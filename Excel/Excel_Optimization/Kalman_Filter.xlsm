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G:\Share\BFagan\Optimization\Excel\"/>
    </mc:Choice>
  </mc:AlternateContent>
  <bookViews>
    <workbookView xWindow="0" yWindow="15" windowWidth="11115" windowHeight="7890"/>
  </bookViews>
  <sheets>
    <sheet name="COPYING" sheetId="14" r:id="rId1"/>
    <sheet name="calibrate" sheetId="11" r:id="rId2"/>
    <sheet name="simulate" sheetId="13" r:id="rId3"/>
  </sheets>
  <functionGroups builtInGroupCount="18"/>
  <definedNames>
    <definedName name="KF_Objective">calibrate!$D$44</definedName>
    <definedName name="KF_Parameters">calibrate!$D$38:$D$41</definedName>
    <definedName name="KF_Populate_Sheets">calibrate!$D$24:$D$28</definedName>
    <definedName name="solver_adj" localSheetId="1" hidden="1">calibrate!$D$38:$D$41</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calibrate!$D$38:$D$41</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definedName>
    <definedName name="solver_nwt" localSheetId="1" hidden="1">1</definedName>
    <definedName name="solver_opt" localSheetId="1" hidden="1">calibrate!$D$44</definedName>
    <definedName name="solver_pre" localSheetId="1" hidden="1">0.000001</definedName>
    <definedName name="solver_rbv" localSheetId="1" hidden="1">2</definedName>
    <definedName name="solver_rel1" localSheetId="1" hidden="1">3</definedName>
    <definedName name="solver_rhs1" localSheetId="1" hidden="1">0.001</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1000</definedName>
    <definedName name="solver_tol" localSheetId="1" hidden="1">0.05</definedName>
    <definedName name="solver_typ" localSheetId="1" hidden="1">1</definedName>
    <definedName name="solver_val" localSheetId="1" hidden="1">0</definedName>
    <definedName name="solver_ver" localSheetId="1" hidden="1">3</definedName>
  </definedNames>
  <calcPr calcId="152511"/>
</workbook>
</file>

<file path=xl/calcChain.xml><?xml version="1.0" encoding="utf-8"?>
<calcChain xmlns="http://schemas.openxmlformats.org/spreadsheetml/2006/main">
  <c r="AM602" i="13" l="1"/>
  <c r="AL602" i="13"/>
  <c r="AK602" i="13"/>
  <c r="AJ602" i="13"/>
  <c r="AC602" i="13"/>
  <c r="AB602" i="13"/>
  <c r="AA602" i="13"/>
  <c r="Z602" i="13"/>
  <c r="AM601" i="13"/>
  <c r="AL601" i="13"/>
  <c r="AK601" i="13"/>
  <c r="AJ601" i="13"/>
  <c r="AC601" i="13"/>
  <c r="AB601" i="13"/>
  <c r="AA601" i="13"/>
  <c r="Z601" i="13"/>
  <c r="AM600" i="13"/>
  <c r="AL600" i="13"/>
  <c r="AK600" i="13"/>
  <c r="AJ600" i="13"/>
  <c r="AC600" i="13"/>
  <c r="AB600" i="13"/>
  <c r="AA600" i="13"/>
  <c r="Z600" i="13"/>
  <c r="AM599" i="13"/>
  <c r="AL599" i="13"/>
  <c r="AK599" i="13"/>
  <c r="AJ599" i="13"/>
  <c r="AC599" i="13"/>
  <c r="AB599" i="13"/>
  <c r="AA599" i="13"/>
  <c r="Z599" i="13"/>
  <c r="AM598" i="13"/>
  <c r="AL598" i="13"/>
  <c r="AK598" i="13"/>
  <c r="AJ598" i="13"/>
  <c r="AC598" i="13"/>
  <c r="AB598" i="13"/>
  <c r="AA598" i="13"/>
  <c r="Z598" i="13"/>
  <c r="AM597" i="13"/>
  <c r="AL597" i="13"/>
  <c r="AK597" i="13"/>
  <c r="AJ597" i="13"/>
  <c r="AC597" i="13"/>
  <c r="AB597" i="13"/>
  <c r="AA597" i="13"/>
  <c r="Z597" i="13"/>
  <c r="AM596" i="13"/>
  <c r="AL596" i="13"/>
  <c r="AK596" i="13"/>
  <c r="AJ596" i="13"/>
  <c r="AC596" i="13"/>
  <c r="AB596" i="13"/>
  <c r="AA596" i="13"/>
  <c r="Z596" i="13"/>
  <c r="AM595" i="13"/>
  <c r="AL595" i="13"/>
  <c r="AK595" i="13"/>
  <c r="AJ595" i="13"/>
  <c r="AC595" i="13"/>
  <c r="AB595" i="13"/>
  <c r="AA595" i="13"/>
  <c r="Z595" i="13"/>
  <c r="AM594" i="13"/>
  <c r="AL594" i="13"/>
  <c r="AK594" i="13"/>
  <c r="AJ594" i="13"/>
  <c r="AC594" i="13"/>
  <c r="AB594" i="13"/>
  <c r="AA594" i="13"/>
  <c r="Z594" i="13"/>
  <c r="AM593" i="13"/>
  <c r="AL593" i="13"/>
  <c r="AK593" i="13"/>
  <c r="AJ593" i="13"/>
  <c r="AC593" i="13"/>
  <c r="AB593" i="13"/>
  <c r="AA593" i="13"/>
  <c r="Z593" i="13"/>
  <c r="AM592" i="13"/>
  <c r="AL592" i="13"/>
  <c r="AK592" i="13"/>
  <c r="AJ592" i="13"/>
  <c r="AC592" i="13"/>
  <c r="AB592" i="13"/>
  <c r="AA592" i="13"/>
  <c r="Z592" i="13"/>
  <c r="AM591" i="13"/>
  <c r="AL591" i="13"/>
  <c r="AK591" i="13"/>
  <c r="AJ591" i="13"/>
  <c r="AC591" i="13"/>
  <c r="AB591" i="13"/>
  <c r="AA591" i="13"/>
  <c r="Z591" i="13"/>
  <c r="AM590" i="13"/>
  <c r="AL590" i="13"/>
  <c r="AK590" i="13"/>
  <c r="AJ590" i="13"/>
  <c r="AC590" i="13"/>
  <c r="AB590" i="13"/>
  <c r="AA590" i="13"/>
  <c r="Z590" i="13"/>
  <c r="AM589" i="13"/>
  <c r="AL589" i="13"/>
  <c r="AK589" i="13"/>
  <c r="AJ589" i="13"/>
  <c r="AC589" i="13"/>
  <c r="AB589" i="13"/>
  <c r="AA589" i="13"/>
  <c r="Z589" i="13"/>
  <c r="AM588" i="13"/>
  <c r="AL588" i="13"/>
  <c r="AK588" i="13"/>
  <c r="AJ588" i="13"/>
  <c r="AC588" i="13"/>
  <c r="AB588" i="13"/>
  <c r="AA588" i="13"/>
  <c r="Z588" i="13"/>
  <c r="AM587" i="13"/>
  <c r="AL587" i="13"/>
  <c r="AK587" i="13"/>
  <c r="AJ587" i="13"/>
  <c r="AC587" i="13"/>
  <c r="AB587" i="13"/>
  <c r="AA587" i="13"/>
  <c r="Z587" i="13"/>
  <c r="AM586" i="13"/>
  <c r="AL586" i="13"/>
  <c r="AK586" i="13"/>
  <c r="AJ586" i="13"/>
  <c r="AC586" i="13"/>
  <c r="AB586" i="13"/>
  <c r="AA586" i="13"/>
  <c r="Z586" i="13"/>
  <c r="AM585" i="13"/>
  <c r="AL585" i="13"/>
  <c r="AK585" i="13"/>
  <c r="AJ585" i="13"/>
  <c r="AC585" i="13"/>
  <c r="AB585" i="13"/>
  <c r="AA585" i="13"/>
  <c r="Z585" i="13"/>
  <c r="AM584" i="13"/>
  <c r="AL584" i="13"/>
  <c r="AK584" i="13"/>
  <c r="AJ584" i="13"/>
  <c r="AC584" i="13"/>
  <c r="AB584" i="13"/>
  <c r="AA584" i="13"/>
  <c r="Z584" i="13"/>
  <c r="AM583" i="13"/>
  <c r="AL583" i="13"/>
  <c r="AK583" i="13"/>
  <c r="AJ583" i="13"/>
  <c r="AC583" i="13"/>
  <c r="AB583" i="13"/>
  <c r="AA583" i="13"/>
  <c r="Z583" i="13"/>
  <c r="AM582" i="13"/>
  <c r="AL582" i="13"/>
  <c r="AK582" i="13"/>
  <c r="AJ582" i="13"/>
  <c r="AC582" i="13"/>
  <c r="AB582" i="13"/>
  <c r="AA582" i="13"/>
  <c r="Z582" i="13"/>
  <c r="AM581" i="13"/>
  <c r="AL581" i="13"/>
  <c r="AK581" i="13"/>
  <c r="AJ581" i="13"/>
  <c r="AC581" i="13"/>
  <c r="AB581" i="13"/>
  <c r="AA581" i="13"/>
  <c r="Z581" i="13"/>
  <c r="AM580" i="13"/>
  <c r="AL580" i="13"/>
  <c r="AK580" i="13"/>
  <c r="AJ580" i="13"/>
  <c r="AC580" i="13"/>
  <c r="AB580" i="13"/>
  <c r="AA580" i="13"/>
  <c r="Z580" i="13"/>
  <c r="AM579" i="13"/>
  <c r="AL579" i="13"/>
  <c r="AK579" i="13"/>
  <c r="AJ579" i="13"/>
  <c r="AC579" i="13"/>
  <c r="AB579" i="13"/>
  <c r="AA579" i="13"/>
  <c r="Z579" i="13"/>
  <c r="AM578" i="13"/>
  <c r="AL578" i="13"/>
  <c r="AK578" i="13"/>
  <c r="AJ578" i="13"/>
  <c r="AC578" i="13"/>
  <c r="AB578" i="13"/>
  <c r="AA578" i="13"/>
  <c r="Z578" i="13"/>
  <c r="AM577" i="13"/>
  <c r="AL577" i="13"/>
  <c r="AK577" i="13"/>
  <c r="AJ577" i="13"/>
  <c r="AC577" i="13"/>
  <c r="AB577" i="13"/>
  <c r="AA577" i="13"/>
  <c r="Z577" i="13"/>
  <c r="AM576" i="13"/>
  <c r="AL576" i="13"/>
  <c r="AK576" i="13"/>
  <c r="AJ576" i="13"/>
  <c r="AC576" i="13"/>
  <c r="AB576" i="13"/>
  <c r="AA576" i="13"/>
  <c r="Z576" i="13"/>
  <c r="AM575" i="13"/>
  <c r="AL575" i="13"/>
  <c r="AK575" i="13"/>
  <c r="AJ575" i="13"/>
  <c r="AC575" i="13"/>
  <c r="AB575" i="13"/>
  <c r="AA575" i="13"/>
  <c r="Z575" i="13"/>
  <c r="AM574" i="13"/>
  <c r="AL574" i="13"/>
  <c r="AK574" i="13"/>
  <c r="AJ574" i="13"/>
  <c r="AC574" i="13"/>
  <c r="AB574" i="13"/>
  <c r="AA574" i="13"/>
  <c r="Z574" i="13"/>
  <c r="AM573" i="13"/>
  <c r="AL573" i="13"/>
  <c r="AK573" i="13"/>
  <c r="AJ573" i="13"/>
  <c r="AC573" i="13"/>
  <c r="AB573" i="13"/>
  <c r="AA573" i="13"/>
  <c r="Z573" i="13"/>
  <c r="AM572" i="13"/>
  <c r="AL572" i="13"/>
  <c r="AK572" i="13"/>
  <c r="AJ572" i="13"/>
  <c r="AC572" i="13"/>
  <c r="AB572" i="13"/>
  <c r="AA572" i="13"/>
  <c r="Z572" i="13"/>
  <c r="AM571" i="13"/>
  <c r="AL571" i="13"/>
  <c r="AK571" i="13"/>
  <c r="AJ571" i="13"/>
  <c r="AC571" i="13"/>
  <c r="AB571" i="13"/>
  <c r="AA571" i="13"/>
  <c r="Z571" i="13"/>
  <c r="AM570" i="13"/>
  <c r="AL570" i="13"/>
  <c r="AK570" i="13"/>
  <c r="AJ570" i="13"/>
  <c r="AC570" i="13"/>
  <c r="AB570" i="13"/>
  <c r="AA570" i="13"/>
  <c r="Z570" i="13"/>
  <c r="AM569" i="13"/>
  <c r="AL569" i="13"/>
  <c r="AK569" i="13"/>
  <c r="AJ569" i="13"/>
  <c r="AC569" i="13"/>
  <c r="AB569" i="13"/>
  <c r="AA569" i="13"/>
  <c r="Z569" i="13"/>
  <c r="AM568" i="13"/>
  <c r="AL568" i="13"/>
  <c r="AK568" i="13"/>
  <c r="AJ568" i="13"/>
  <c r="AC568" i="13"/>
  <c r="AB568" i="13"/>
  <c r="AA568" i="13"/>
  <c r="Z568" i="13"/>
  <c r="AM567" i="13"/>
  <c r="AL567" i="13"/>
  <c r="AK567" i="13"/>
  <c r="AJ567" i="13"/>
  <c r="AC567" i="13"/>
  <c r="AB567" i="13"/>
  <c r="AA567" i="13"/>
  <c r="Z567" i="13"/>
  <c r="AM566" i="13"/>
  <c r="AL566" i="13"/>
  <c r="AK566" i="13"/>
  <c r="AJ566" i="13"/>
  <c r="AC566" i="13"/>
  <c r="AB566" i="13"/>
  <c r="AA566" i="13"/>
  <c r="Z566" i="13"/>
  <c r="AM565" i="13"/>
  <c r="AL565" i="13"/>
  <c r="AK565" i="13"/>
  <c r="AJ565" i="13"/>
  <c r="AC565" i="13"/>
  <c r="AB565" i="13"/>
  <c r="AA565" i="13"/>
  <c r="Z565" i="13"/>
  <c r="AM564" i="13"/>
  <c r="AL564" i="13"/>
  <c r="AK564" i="13"/>
  <c r="AJ564" i="13"/>
  <c r="AC564" i="13"/>
  <c r="AB564" i="13"/>
  <c r="AA564" i="13"/>
  <c r="Z564" i="13"/>
  <c r="AM563" i="13"/>
  <c r="AL563" i="13"/>
  <c r="AK563" i="13"/>
  <c r="AJ563" i="13"/>
  <c r="AC563" i="13"/>
  <c r="AB563" i="13"/>
  <c r="AA563" i="13"/>
  <c r="Z563" i="13"/>
  <c r="AM562" i="13"/>
  <c r="AL562" i="13"/>
  <c r="AK562" i="13"/>
  <c r="AJ562" i="13"/>
  <c r="AC562" i="13"/>
  <c r="AB562" i="13"/>
  <c r="AA562" i="13"/>
  <c r="Z562" i="13"/>
  <c r="AM561" i="13"/>
  <c r="AL561" i="13"/>
  <c r="AK561" i="13"/>
  <c r="AJ561" i="13"/>
  <c r="AC561" i="13"/>
  <c r="AB561" i="13"/>
  <c r="AA561" i="13"/>
  <c r="Z561" i="13"/>
  <c r="AM560" i="13"/>
  <c r="AL560" i="13"/>
  <c r="AK560" i="13"/>
  <c r="AJ560" i="13"/>
  <c r="AC560" i="13"/>
  <c r="AB560" i="13"/>
  <c r="AA560" i="13"/>
  <c r="Z560" i="13"/>
  <c r="AM559" i="13"/>
  <c r="AL559" i="13"/>
  <c r="AK559" i="13"/>
  <c r="AJ559" i="13"/>
  <c r="AC559" i="13"/>
  <c r="AB559" i="13"/>
  <c r="AA559" i="13"/>
  <c r="Z559" i="13"/>
  <c r="AM558" i="13"/>
  <c r="AL558" i="13"/>
  <c r="AK558" i="13"/>
  <c r="AJ558" i="13"/>
  <c r="AC558" i="13"/>
  <c r="AB558" i="13"/>
  <c r="AA558" i="13"/>
  <c r="Z558" i="13"/>
  <c r="AM557" i="13"/>
  <c r="AL557" i="13"/>
  <c r="AK557" i="13"/>
  <c r="AJ557" i="13"/>
  <c r="AC557" i="13"/>
  <c r="AB557" i="13"/>
  <c r="AA557" i="13"/>
  <c r="Z557" i="13"/>
  <c r="AM556" i="13"/>
  <c r="AL556" i="13"/>
  <c r="AK556" i="13"/>
  <c r="AJ556" i="13"/>
  <c r="AC556" i="13"/>
  <c r="AB556" i="13"/>
  <c r="AA556" i="13"/>
  <c r="Z556" i="13"/>
  <c r="AM555" i="13"/>
  <c r="AL555" i="13"/>
  <c r="AK555" i="13"/>
  <c r="AJ555" i="13"/>
  <c r="AC555" i="13"/>
  <c r="AB555" i="13"/>
  <c r="AA555" i="13"/>
  <c r="Z555" i="13"/>
  <c r="AM554" i="13"/>
  <c r="AL554" i="13"/>
  <c r="AK554" i="13"/>
  <c r="AJ554" i="13"/>
  <c r="AC554" i="13"/>
  <c r="AB554" i="13"/>
  <c r="AA554" i="13"/>
  <c r="Z554" i="13"/>
  <c r="AM553" i="13"/>
  <c r="AL553" i="13"/>
  <c r="AK553" i="13"/>
  <c r="AJ553" i="13"/>
  <c r="AC553" i="13"/>
  <c r="AB553" i="13"/>
  <c r="AA553" i="13"/>
  <c r="Z553" i="13"/>
  <c r="AM552" i="13"/>
  <c r="AL552" i="13"/>
  <c r="AK552" i="13"/>
  <c r="AJ552" i="13"/>
  <c r="AC552" i="13"/>
  <c r="AB552" i="13"/>
  <c r="AA552" i="13"/>
  <c r="Z552" i="13"/>
  <c r="AM551" i="13"/>
  <c r="AL551" i="13"/>
  <c r="AK551" i="13"/>
  <c r="AJ551" i="13"/>
  <c r="AC551" i="13"/>
  <c r="AB551" i="13"/>
  <c r="AA551" i="13"/>
  <c r="Z551" i="13"/>
  <c r="AM550" i="13"/>
  <c r="AL550" i="13"/>
  <c r="AK550" i="13"/>
  <c r="AJ550" i="13"/>
  <c r="AC550" i="13"/>
  <c r="AB550" i="13"/>
  <c r="AA550" i="13"/>
  <c r="Z550" i="13"/>
  <c r="AM549" i="13"/>
  <c r="AL549" i="13"/>
  <c r="AK549" i="13"/>
  <c r="AJ549" i="13"/>
  <c r="AC549" i="13"/>
  <c r="AB549" i="13"/>
  <c r="AA549" i="13"/>
  <c r="Z549" i="13"/>
  <c r="AM548" i="13"/>
  <c r="AL548" i="13"/>
  <c r="AK548" i="13"/>
  <c r="AJ548" i="13"/>
  <c r="AC548" i="13"/>
  <c r="AB548" i="13"/>
  <c r="AA548" i="13"/>
  <c r="Z548" i="13"/>
  <c r="AM547" i="13"/>
  <c r="AL547" i="13"/>
  <c r="AK547" i="13"/>
  <c r="AJ547" i="13"/>
  <c r="AC547" i="13"/>
  <c r="AB547" i="13"/>
  <c r="AA547" i="13"/>
  <c r="Z547" i="13"/>
  <c r="AM546" i="13"/>
  <c r="AL546" i="13"/>
  <c r="AK546" i="13"/>
  <c r="AJ546" i="13"/>
  <c r="AC546" i="13"/>
  <c r="AB546" i="13"/>
  <c r="AA546" i="13"/>
  <c r="Z546" i="13"/>
  <c r="AM545" i="13"/>
  <c r="AL545" i="13"/>
  <c r="AK545" i="13"/>
  <c r="AJ545" i="13"/>
  <c r="AC545" i="13"/>
  <c r="AB545" i="13"/>
  <c r="AA545" i="13"/>
  <c r="Z545" i="13"/>
  <c r="AM544" i="13"/>
  <c r="AL544" i="13"/>
  <c r="AK544" i="13"/>
  <c r="AJ544" i="13"/>
  <c r="AC544" i="13"/>
  <c r="AB544" i="13"/>
  <c r="AA544" i="13"/>
  <c r="Z544" i="13"/>
  <c r="AM543" i="13"/>
  <c r="AL543" i="13"/>
  <c r="AK543" i="13"/>
  <c r="AJ543" i="13"/>
  <c r="AC543" i="13"/>
  <c r="AB543" i="13"/>
  <c r="AA543" i="13"/>
  <c r="Z543" i="13"/>
  <c r="AM542" i="13"/>
  <c r="AL542" i="13"/>
  <c r="AK542" i="13"/>
  <c r="AJ542" i="13"/>
  <c r="AC542" i="13"/>
  <c r="AB542" i="13"/>
  <c r="AA542" i="13"/>
  <c r="Z542" i="13"/>
  <c r="AM541" i="13"/>
  <c r="AL541" i="13"/>
  <c r="AK541" i="13"/>
  <c r="AJ541" i="13"/>
  <c r="AC541" i="13"/>
  <c r="AB541" i="13"/>
  <c r="AA541" i="13"/>
  <c r="Z541" i="13"/>
  <c r="AM540" i="13"/>
  <c r="AL540" i="13"/>
  <c r="AK540" i="13"/>
  <c r="AJ540" i="13"/>
  <c r="AC540" i="13"/>
  <c r="AB540" i="13"/>
  <c r="AA540" i="13"/>
  <c r="Z540" i="13"/>
  <c r="AM539" i="13"/>
  <c r="AL539" i="13"/>
  <c r="AK539" i="13"/>
  <c r="AJ539" i="13"/>
  <c r="AC539" i="13"/>
  <c r="AB539" i="13"/>
  <c r="AA539" i="13"/>
  <c r="Z539" i="13"/>
  <c r="AM538" i="13"/>
  <c r="AL538" i="13"/>
  <c r="AK538" i="13"/>
  <c r="AJ538" i="13"/>
  <c r="AC538" i="13"/>
  <c r="AB538" i="13"/>
  <c r="AA538" i="13"/>
  <c r="Z538" i="13"/>
  <c r="AM537" i="13"/>
  <c r="AL537" i="13"/>
  <c r="AK537" i="13"/>
  <c r="AJ537" i="13"/>
  <c r="AC537" i="13"/>
  <c r="AB537" i="13"/>
  <c r="AA537" i="13"/>
  <c r="Z537" i="13"/>
  <c r="AM536" i="13"/>
  <c r="AL536" i="13"/>
  <c r="AK536" i="13"/>
  <c r="AJ536" i="13"/>
  <c r="AC536" i="13"/>
  <c r="AB536" i="13"/>
  <c r="AA536" i="13"/>
  <c r="Z536" i="13"/>
  <c r="AM535" i="13"/>
  <c r="AL535" i="13"/>
  <c r="AK535" i="13"/>
  <c r="AJ535" i="13"/>
  <c r="AC535" i="13"/>
  <c r="AB535" i="13"/>
  <c r="AA535" i="13"/>
  <c r="Z535" i="13"/>
  <c r="AM534" i="13"/>
  <c r="AL534" i="13"/>
  <c r="AK534" i="13"/>
  <c r="AJ534" i="13"/>
  <c r="AC534" i="13"/>
  <c r="AB534" i="13"/>
  <c r="AA534" i="13"/>
  <c r="Z534" i="13"/>
  <c r="AM533" i="13"/>
  <c r="AL533" i="13"/>
  <c r="AK533" i="13"/>
  <c r="AJ533" i="13"/>
  <c r="AC533" i="13"/>
  <c r="AB533" i="13"/>
  <c r="AA533" i="13"/>
  <c r="Z533" i="13"/>
  <c r="AM532" i="13"/>
  <c r="AL532" i="13"/>
  <c r="AK532" i="13"/>
  <c r="AJ532" i="13"/>
  <c r="AC532" i="13"/>
  <c r="AB532" i="13"/>
  <c r="AA532" i="13"/>
  <c r="Z532" i="13"/>
  <c r="AM531" i="13"/>
  <c r="AL531" i="13"/>
  <c r="AK531" i="13"/>
  <c r="AJ531" i="13"/>
  <c r="AC531" i="13"/>
  <c r="AB531" i="13"/>
  <c r="AA531" i="13"/>
  <c r="Z531" i="13"/>
  <c r="AM530" i="13"/>
  <c r="AL530" i="13"/>
  <c r="AK530" i="13"/>
  <c r="AJ530" i="13"/>
  <c r="AC530" i="13"/>
  <c r="AB530" i="13"/>
  <c r="AA530" i="13"/>
  <c r="Z530" i="13"/>
  <c r="AM529" i="13"/>
  <c r="AL529" i="13"/>
  <c r="AK529" i="13"/>
  <c r="AJ529" i="13"/>
  <c r="AC529" i="13"/>
  <c r="AB529" i="13"/>
  <c r="AA529" i="13"/>
  <c r="Z529" i="13"/>
  <c r="AM528" i="13"/>
  <c r="AL528" i="13"/>
  <c r="AK528" i="13"/>
  <c r="AJ528" i="13"/>
  <c r="AC528" i="13"/>
  <c r="AB528" i="13"/>
  <c r="AA528" i="13"/>
  <c r="Z528" i="13"/>
  <c r="AM527" i="13"/>
  <c r="AL527" i="13"/>
  <c r="AK527" i="13"/>
  <c r="AJ527" i="13"/>
  <c r="AC527" i="13"/>
  <c r="AB527" i="13"/>
  <c r="AA527" i="13"/>
  <c r="Z527" i="13"/>
  <c r="AM526" i="13"/>
  <c r="AL526" i="13"/>
  <c r="AK526" i="13"/>
  <c r="AJ526" i="13"/>
  <c r="AC526" i="13"/>
  <c r="AB526" i="13"/>
  <c r="AA526" i="13"/>
  <c r="Z526" i="13"/>
  <c r="AM525" i="13"/>
  <c r="AL525" i="13"/>
  <c r="AK525" i="13"/>
  <c r="AJ525" i="13"/>
  <c r="AC525" i="13"/>
  <c r="AB525" i="13"/>
  <c r="AA525" i="13"/>
  <c r="Z525" i="13"/>
  <c r="AM524" i="13"/>
  <c r="AL524" i="13"/>
  <c r="AK524" i="13"/>
  <c r="AJ524" i="13"/>
  <c r="AC524" i="13"/>
  <c r="AB524" i="13"/>
  <c r="AA524" i="13"/>
  <c r="Z524" i="13"/>
  <c r="AM523" i="13"/>
  <c r="AL523" i="13"/>
  <c r="AK523" i="13"/>
  <c r="AJ523" i="13"/>
  <c r="AC523" i="13"/>
  <c r="AB523" i="13"/>
  <c r="AA523" i="13"/>
  <c r="Z523" i="13"/>
  <c r="AM522" i="13"/>
  <c r="AL522" i="13"/>
  <c r="AK522" i="13"/>
  <c r="AJ522" i="13"/>
  <c r="AC522" i="13"/>
  <c r="AB522" i="13"/>
  <c r="AA522" i="13"/>
  <c r="Z522" i="13"/>
  <c r="AM521" i="13"/>
  <c r="AL521" i="13"/>
  <c r="AK521" i="13"/>
  <c r="AJ521" i="13"/>
  <c r="AC521" i="13"/>
  <c r="AB521" i="13"/>
  <c r="AA521" i="13"/>
  <c r="Z521" i="13"/>
  <c r="AM520" i="13"/>
  <c r="AL520" i="13"/>
  <c r="AK520" i="13"/>
  <c r="AJ520" i="13"/>
  <c r="AC520" i="13"/>
  <c r="AB520" i="13"/>
  <c r="AA520" i="13"/>
  <c r="Z520" i="13"/>
  <c r="AM519" i="13"/>
  <c r="AL519" i="13"/>
  <c r="AK519" i="13"/>
  <c r="AJ519" i="13"/>
  <c r="AC519" i="13"/>
  <c r="AB519" i="13"/>
  <c r="AA519" i="13"/>
  <c r="Z519" i="13"/>
  <c r="AM518" i="13"/>
  <c r="AL518" i="13"/>
  <c r="AK518" i="13"/>
  <c r="AJ518" i="13"/>
  <c r="AC518" i="13"/>
  <c r="AB518" i="13"/>
  <c r="AA518" i="13"/>
  <c r="Z518" i="13"/>
  <c r="AM517" i="13"/>
  <c r="AL517" i="13"/>
  <c r="AK517" i="13"/>
  <c r="AJ517" i="13"/>
  <c r="AC517" i="13"/>
  <c r="AB517" i="13"/>
  <c r="AA517" i="13"/>
  <c r="Z517" i="13"/>
  <c r="AM516" i="13"/>
  <c r="AL516" i="13"/>
  <c r="AK516" i="13"/>
  <c r="AJ516" i="13"/>
  <c r="AC516" i="13"/>
  <c r="AB516" i="13"/>
  <c r="AA516" i="13"/>
  <c r="Z516" i="13"/>
  <c r="AM515" i="13"/>
  <c r="AL515" i="13"/>
  <c r="AK515" i="13"/>
  <c r="AJ515" i="13"/>
  <c r="AC515" i="13"/>
  <c r="AB515" i="13"/>
  <c r="AA515" i="13"/>
  <c r="Z515" i="13"/>
  <c r="AM514" i="13"/>
  <c r="AL514" i="13"/>
  <c r="AK514" i="13"/>
  <c r="AJ514" i="13"/>
  <c r="AC514" i="13"/>
  <c r="AB514" i="13"/>
  <c r="AA514" i="13"/>
  <c r="Z514" i="13"/>
  <c r="AM513" i="13"/>
  <c r="AL513" i="13"/>
  <c r="AK513" i="13"/>
  <c r="AJ513" i="13"/>
  <c r="AC513" i="13"/>
  <c r="AB513" i="13"/>
  <c r="AA513" i="13"/>
  <c r="Z513" i="13"/>
  <c r="AM512" i="13"/>
  <c r="AL512" i="13"/>
  <c r="AK512" i="13"/>
  <c r="AJ512" i="13"/>
  <c r="AC512" i="13"/>
  <c r="AB512" i="13"/>
  <c r="AA512" i="13"/>
  <c r="Z512" i="13"/>
  <c r="AM511" i="13"/>
  <c r="AL511" i="13"/>
  <c r="AK511" i="13"/>
  <c r="AJ511" i="13"/>
  <c r="AC511" i="13"/>
  <c r="AB511" i="13"/>
  <c r="AA511" i="13"/>
  <c r="Z511" i="13"/>
  <c r="AM510" i="13"/>
  <c r="AL510" i="13"/>
  <c r="AK510" i="13"/>
  <c r="AJ510" i="13"/>
  <c r="AC510" i="13"/>
  <c r="AB510" i="13"/>
  <c r="AA510" i="13"/>
  <c r="Z510" i="13"/>
  <c r="AM509" i="13"/>
  <c r="AL509" i="13"/>
  <c r="AK509" i="13"/>
  <c r="AJ509" i="13"/>
  <c r="AC509" i="13"/>
  <c r="AB509" i="13"/>
  <c r="AA509" i="13"/>
  <c r="Z509" i="13"/>
  <c r="AM508" i="13"/>
  <c r="AL508" i="13"/>
  <c r="AK508" i="13"/>
  <c r="AJ508" i="13"/>
  <c r="AC508" i="13"/>
  <c r="AB508" i="13"/>
  <c r="AA508" i="13"/>
  <c r="Z508" i="13"/>
  <c r="AM507" i="13"/>
  <c r="AL507" i="13"/>
  <c r="AK507" i="13"/>
  <c r="AJ507" i="13"/>
  <c r="AC507" i="13"/>
  <c r="AB507" i="13"/>
  <c r="AA507" i="13"/>
  <c r="Z507" i="13"/>
  <c r="AM506" i="13"/>
  <c r="AL506" i="13"/>
  <c r="AK506" i="13"/>
  <c r="AJ506" i="13"/>
  <c r="AC506" i="13"/>
  <c r="AB506" i="13"/>
  <c r="AA506" i="13"/>
  <c r="Z506" i="13"/>
  <c r="AM505" i="13"/>
  <c r="AL505" i="13"/>
  <c r="AK505" i="13"/>
  <c r="AJ505" i="13"/>
  <c r="AC505" i="13"/>
  <c r="AB505" i="13"/>
  <c r="AA505" i="13"/>
  <c r="Z505" i="13"/>
  <c r="AM504" i="13"/>
  <c r="AL504" i="13"/>
  <c r="AK504" i="13"/>
  <c r="AJ504" i="13"/>
  <c r="AC504" i="13"/>
  <c r="AB504" i="13"/>
  <c r="AA504" i="13"/>
  <c r="Z504" i="13"/>
  <c r="AM503" i="13"/>
  <c r="AL503" i="13"/>
  <c r="AK503" i="13"/>
  <c r="AJ503" i="13"/>
  <c r="AC503" i="13"/>
  <c r="AB503" i="13"/>
  <c r="AA503" i="13"/>
  <c r="Z503" i="13"/>
  <c r="AM502" i="13"/>
  <c r="AL502" i="13"/>
  <c r="AK502" i="13"/>
  <c r="AJ502" i="13"/>
  <c r="AC502" i="13"/>
  <c r="AB502" i="13"/>
  <c r="AA502" i="13"/>
  <c r="Z502" i="13"/>
  <c r="AM501" i="13"/>
  <c r="AL501" i="13"/>
  <c r="AK501" i="13"/>
  <c r="AJ501" i="13"/>
  <c r="AC501" i="13"/>
  <c r="AB501" i="13"/>
  <c r="AA501" i="13"/>
  <c r="Z501" i="13"/>
  <c r="AM500" i="13"/>
  <c r="AL500" i="13"/>
  <c r="AK500" i="13"/>
  <c r="AJ500" i="13"/>
  <c r="AC500" i="13"/>
  <c r="AB500" i="13"/>
  <c r="AA500" i="13"/>
  <c r="Z500" i="13"/>
  <c r="AM499" i="13"/>
  <c r="AL499" i="13"/>
  <c r="AK499" i="13"/>
  <c r="AJ499" i="13"/>
  <c r="AC499" i="13"/>
  <c r="AB499" i="13"/>
  <c r="AA499" i="13"/>
  <c r="Z499" i="13"/>
  <c r="AM498" i="13"/>
  <c r="AL498" i="13"/>
  <c r="AK498" i="13"/>
  <c r="AJ498" i="13"/>
  <c r="AC498" i="13"/>
  <c r="AB498" i="13"/>
  <c r="AA498" i="13"/>
  <c r="Z498" i="13"/>
  <c r="AM497" i="13"/>
  <c r="AL497" i="13"/>
  <c r="AK497" i="13"/>
  <c r="AJ497" i="13"/>
  <c r="AC497" i="13"/>
  <c r="AB497" i="13"/>
  <c r="AA497" i="13"/>
  <c r="Z497" i="13"/>
  <c r="AM496" i="13"/>
  <c r="AL496" i="13"/>
  <c r="AK496" i="13"/>
  <c r="AJ496" i="13"/>
  <c r="AC496" i="13"/>
  <c r="AB496" i="13"/>
  <c r="AA496" i="13"/>
  <c r="Z496" i="13"/>
  <c r="AM495" i="13"/>
  <c r="AL495" i="13"/>
  <c r="AK495" i="13"/>
  <c r="AJ495" i="13"/>
  <c r="AC495" i="13"/>
  <c r="AB495" i="13"/>
  <c r="AA495" i="13"/>
  <c r="Z495" i="13"/>
  <c r="AM494" i="13"/>
  <c r="AL494" i="13"/>
  <c r="AK494" i="13"/>
  <c r="AJ494" i="13"/>
  <c r="AC494" i="13"/>
  <c r="AB494" i="13"/>
  <c r="AA494" i="13"/>
  <c r="Z494" i="13"/>
  <c r="AM493" i="13"/>
  <c r="AL493" i="13"/>
  <c r="AK493" i="13"/>
  <c r="AJ493" i="13"/>
  <c r="AC493" i="13"/>
  <c r="AB493" i="13"/>
  <c r="AA493" i="13"/>
  <c r="Z493" i="13"/>
  <c r="AM492" i="13"/>
  <c r="AL492" i="13"/>
  <c r="AK492" i="13"/>
  <c r="AJ492" i="13"/>
  <c r="AC492" i="13"/>
  <c r="AB492" i="13"/>
  <c r="AA492" i="13"/>
  <c r="Z492" i="13"/>
  <c r="AM491" i="13"/>
  <c r="AL491" i="13"/>
  <c r="AK491" i="13"/>
  <c r="AJ491" i="13"/>
  <c r="AC491" i="13"/>
  <c r="AB491" i="13"/>
  <c r="AA491" i="13"/>
  <c r="Z491" i="13"/>
  <c r="AM490" i="13"/>
  <c r="AL490" i="13"/>
  <c r="AK490" i="13"/>
  <c r="AJ490" i="13"/>
  <c r="AC490" i="13"/>
  <c r="AB490" i="13"/>
  <c r="AA490" i="13"/>
  <c r="Z490" i="13"/>
  <c r="AM489" i="13"/>
  <c r="AL489" i="13"/>
  <c r="AK489" i="13"/>
  <c r="AJ489" i="13"/>
  <c r="AC489" i="13"/>
  <c r="AB489" i="13"/>
  <c r="AA489" i="13"/>
  <c r="Z489" i="13"/>
  <c r="AM488" i="13"/>
  <c r="AL488" i="13"/>
  <c r="AK488" i="13"/>
  <c r="AJ488" i="13"/>
  <c r="AC488" i="13"/>
  <c r="AB488" i="13"/>
  <c r="AA488" i="13"/>
  <c r="Z488" i="13"/>
  <c r="AM487" i="13"/>
  <c r="AL487" i="13"/>
  <c r="AK487" i="13"/>
  <c r="AJ487" i="13"/>
  <c r="AC487" i="13"/>
  <c r="AB487" i="13"/>
  <c r="AA487" i="13"/>
  <c r="Z487" i="13"/>
  <c r="AM486" i="13"/>
  <c r="AL486" i="13"/>
  <c r="AK486" i="13"/>
  <c r="AJ486" i="13"/>
  <c r="AC486" i="13"/>
  <c r="AB486" i="13"/>
  <c r="AA486" i="13"/>
  <c r="Z486" i="13"/>
  <c r="AM485" i="13"/>
  <c r="AL485" i="13"/>
  <c r="AK485" i="13"/>
  <c r="AJ485" i="13"/>
  <c r="AC485" i="13"/>
  <c r="AB485" i="13"/>
  <c r="AA485" i="13"/>
  <c r="Z485" i="13"/>
  <c r="AM484" i="13"/>
  <c r="AL484" i="13"/>
  <c r="AK484" i="13"/>
  <c r="AJ484" i="13"/>
  <c r="AC484" i="13"/>
  <c r="AB484" i="13"/>
  <c r="AA484" i="13"/>
  <c r="Z484" i="13"/>
  <c r="AM483" i="13"/>
  <c r="AL483" i="13"/>
  <c r="AK483" i="13"/>
  <c r="AJ483" i="13"/>
  <c r="AC483" i="13"/>
  <c r="AB483" i="13"/>
  <c r="AA483" i="13"/>
  <c r="Z483" i="13"/>
  <c r="AM482" i="13"/>
  <c r="AL482" i="13"/>
  <c r="AK482" i="13"/>
  <c r="AJ482" i="13"/>
  <c r="AC482" i="13"/>
  <c r="AB482" i="13"/>
  <c r="AA482" i="13"/>
  <c r="Z482" i="13"/>
  <c r="AM481" i="13"/>
  <c r="AL481" i="13"/>
  <c r="AK481" i="13"/>
  <c r="AJ481" i="13"/>
  <c r="AC481" i="13"/>
  <c r="AB481" i="13"/>
  <c r="AA481" i="13"/>
  <c r="Z481" i="13"/>
  <c r="AM480" i="13"/>
  <c r="AL480" i="13"/>
  <c r="AK480" i="13"/>
  <c r="AJ480" i="13"/>
  <c r="AC480" i="13"/>
  <c r="AB480" i="13"/>
  <c r="AA480" i="13"/>
  <c r="Z480" i="13"/>
  <c r="AM479" i="13"/>
  <c r="AL479" i="13"/>
  <c r="AK479" i="13"/>
  <c r="AJ479" i="13"/>
  <c r="AC479" i="13"/>
  <c r="AB479" i="13"/>
  <c r="AA479" i="13"/>
  <c r="Z479" i="13"/>
  <c r="AM478" i="13"/>
  <c r="AL478" i="13"/>
  <c r="AK478" i="13"/>
  <c r="AJ478" i="13"/>
  <c r="AC478" i="13"/>
  <c r="AB478" i="13"/>
  <c r="AA478" i="13"/>
  <c r="Z478" i="13"/>
  <c r="AM477" i="13"/>
  <c r="AL477" i="13"/>
  <c r="AK477" i="13"/>
  <c r="AJ477" i="13"/>
  <c r="AC477" i="13"/>
  <c r="AB477" i="13"/>
  <c r="AA477" i="13"/>
  <c r="Z477" i="13"/>
  <c r="AM476" i="13"/>
  <c r="AL476" i="13"/>
  <c r="AK476" i="13"/>
  <c r="AJ476" i="13"/>
  <c r="AC476" i="13"/>
  <c r="AB476" i="13"/>
  <c r="AA476" i="13"/>
  <c r="Z476" i="13"/>
  <c r="AM475" i="13"/>
  <c r="AL475" i="13"/>
  <c r="AK475" i="13"/>
  <c r="AJ475" i="13"/>
  <c r="AC475" i="13"/>
  <c r="AB475" i="13"/>
  <c r="AA475" i="13"/>
  <c r="Z475" i="13"/>
  <c r="AM474" i="13"/>
  <c r="AL474" i="13"/>
  <c r="AK474" i="13"/>
  <c r="AJ474" i="13"/>
  <c r="AC474" i="13"/>
  <c r="AB474" i="13"/>
  <c r="AA474" i="13"/>
  <c r="Z474" i="13"/>
  <c r="AM473" i="13"/>
  <c r="AL473" i="13"/>
  <c r="AK473" i="13"/>
  <c r="AJ473" i="13"/>
  <c r="AC473" i="13"/>
  <c r="AB473" i="13"/>
  <c r="AA473" i="13"/>
  <c r="Z473" i="13"/>
  <c r="AM472" i="13"/>
  <c r="AL472" i="13"/>
  <c r="AK472" i="13"/>
  <c r="AJ472" i="13"/>
  <c r="AC472" i="13"/>
  <c r="AB472" i="13"/>
  <c r="AA472" i="13"/>
  <c r="Z472" i="13"/>
  <c r="AM471" i="13"/>
  <c r="AL471" i="13"/>
  <c r="AK471" i="13"/>
  <c r="AJ471" i="13"/>
  <c r="AC471" i="13"/>
  <c r="AB471" i="13"/>
  <c r="AA471" i="13"/>
  <c r="Z471" i="13"/>
  <c r="AM470" i="13"/>
  <c r="AL470" i="13"/>
  <c r="AK470" i="13"/>
  <c r="AJ470" i="13"/>
  <c r="AC470" i="13"/>
  <c r="AB470" i="13"/>
  <c r="AA470" i="13"/>
  <c r="Z470" i="13"/>
  <c r="AM469" i="13"/>
  <c r="AL469" i="13"/>
  <c r="AK469" i="13"/>
  <c r="AJ469" i="13"/>
  <c r="AC469" i="13"/>
  <c r="AB469" i="13"/>
  <c r="AA469" i="13"/>
  <c r="Z469" i="13"/>
  <c r="AM468" i="13"/>
  <c r="AL468" i="13"/>
  <c r="AK468" i="13"/>
  <c r="AJ468" i="13"/>
  <c r="AC468" i="13"/>
  <c r="AB468" i="13"/>
  <c r="AA468" i="13"/>
  <c r="Z468" i="13"/>
  <c r="AM467" i="13"/>
  <c r="AL467" i="13"/>
  <c r="AK467" i="13"/>
  <c r="AJ467" i="13"/>
  <c r="AC467" i="13"/>
  <c r="AB467" i="13"/>
  <c r="AA467" i="13"/>
  <c r="Z467" i="13"/>
  <c r="AM466" i="13"/>
  <c r="AL466" i="13"/>
  <c r="AK466" i="13"/>
  <c r="AJ466" i="13"/>
  <c r="AC466" i="13"/>
  <c r="AB466" i="13"/>
  <c r="AA466" i="13"/>
  <c r="Z466" i="13"/>
  <c r="AM465" i="13"/>
  <c r="AL465" i="13"/>
  <c r="AK465" i="13"/>
  <c r="AJ465" i="13"/>
  <c r="AC465" i="13"/>
  <c r="AB465" i="13"/>
  <c r="AA465" i="13"/>
  <c r="Z465" i="13"/>
  <c r="AM464" i="13"/>
  <c r="AL464" i="13"/>
  <c r="AK464" i="13"/>
  <c r="AJ464" i="13"/>
  <c r="AC464" i="13"/>
  <c r="AB464" i="13"/>
  <c r="AA464" i="13"/>
  <c r="Z464" i="13"/>
  <c r="AM463" i="13"/>
  <c r="AL463" i="13"/>
  <c r="AK463" i="13"/>
  <c r="AJ463" i="13"/>
  <c r="AC463" i="13"/>
  <c r="AB463" i="13"/>
  <c r="AA463" i="13"/>
  <c r="Z463" i="13"/>
  <c r="AM462" i="13"/>
  <c r="AL462" i="13"/>
  <c r="AK462" i="13"/>
  <c r="AJ462" i="13"/>
  <c r="AC462" i="13"/>
  <c r="AB462" i="13"/>
  <c r="AA462" i="13"/>
  <c r="Z462" i="13"/>
  <c r="AM461" i="13"/>
  <c r="AL461" i="13"/>
  <c r="AK461" i="13"/>
  <c r="AJ461" i="13"/>
  <c r="AC461" i="13"/>
  <c r="AB461" i="13"/>
  <c r="AA461" i="13"/>
  <c r="Z461" i="13"/>
  <c r="AM460" i="13"/>
  <c r="AL460" i="13"/>
  <c r="AK460" i="13"/>
  <c r="AJ460" i="13"/>
  <c r="AC460" i="13"/>
  <c r="AB460" i="13"/>
  <c r="AA460" i="13"/>
  <c r="Z460" i="13"/>
  <c r="AM459" i="13"/>
  <c r="AL459" i="13"/>
  <c r="AK459" i="13"/>
  <c r="AJ459" i="13"/>
  <c r="AC459" i="13"/>
  <c r="AB459" i="13"/>
  <c r="AA459" i="13"/>
  <c r="Z459" i="13"/>
  <c r="AM458" i="13"/>
  <c r="AL458" i="13"/>
  <c r="AK458" i="13"/>
  <c r="AJ458" i="13"/>
  <c r="AC458" i="13"/>
  <c r="AB458" i="13"/>
  <c r="AA458" i="13"/>
  <c r="Z458" i="13"/>
  <c r="AM457" i="13"/>
  <c r="AL457" i="13"/>
  <c r="AK457" i="13"/>
  <c r="AJ457" i="13"/>
  <c r="AC457" i="13"/>
  <c r="AB457" i="13"/>
  <c r="AA457" i="13"/>
  <c r="Z457" i="13"/>
  <c r="AM456" i="13"/>
  <c r="AL456" i="13"/>
  <c r="AK456" i="13"/>
  <c r="AJ456" i="13"/>
  <c r="AC456" i="13"/>
  <c r="AB456" i="13"/>
  <c r="AA456" i="13"/>
  <c r="Z456" i="13"/>
  <c r="AM455" i="13"/>
  <c r="AL455" i="13"/>
  <c r="AK455" i="13"/>
  <c r="AJ455" i="13"/>
  <c r="AC455" i="13"/>
  <c r="AB455" i="13"/>
  <c r="AA455" i="13"/>
  <c r="Z455" i="13"/>
  <c r="AM454" i="13"/>
  <c r="AL454" i="13"/>
  <c r="AK454" i="13"/>
  <c r="AJ454" i="13"/>
  <c r="AC454" i="13"/>
  <c r="AB454" i="13"/>
  <c r="AA454" i="13"/>
  <c r="Z454" i="13"/>
  <c r="AM453" i="13"/>
  <c r="AL453" i="13"/>
  <c r="AK453" i="13"/>
  <c r="AJ453" i="13"/>
  <c r="AC453" i="13"/>
  <c r="AB453" i="13"/>
  <c r="AA453" i="13"/>
  <c r="Z453" i="13"/>
  <c r="AM452" i="13"/>
  <c r="AL452" i="13"/>
  <c r="AK452" i="13"/>
  <c r="AJ452" i="13"/>
  <c r="AC452" i="13"/>
  <c r="AB452" i="13"/>
  <c r="AA452" i="13"/>
  <c r="Z452" i="13"/>
  <c r="AM451" i="13"/>
  <c r="AL451" i="13"/>
  <c r="AK451" i="13"/>
  <c r="AJ451" i="13"/>
  <c r="AC451" i="13"/>
  <c r="AB451" i="13"/>
  <c r="AA451" i="13"/>
  <c r="Z451" i="13"/>
  <c r="AM450" i="13"/>
  <c r="AL450" i="13"/>
  <c r="AK450" i="13"/>
  <c r="AJ450" i="13"/>
  <c r="AC450" i="13"/>
  <c r="AB450" i="13"/>
  <c r="AA450" i="13"/>
  <c r="Z450" i="13"/>
  <c r="AM449" i="13"/>
  <c r="AL449" i="13"/>
  <c r="AK449" i="13"/>
  <c r="AJ449" i="13"/>
  <c r="AC449" i="13"/>
  <c r="AB449" i="13"/>
  <c r="AA449" i="13"/>
  <c r="Z449" i="13"/>
  <c r="AM448" i="13"/>
  <c r="AL448" i="13"/>
  <c r="AK448" i="13"/>
  <c r="AJ448" i="13"/>
  <c r="AC448" i="13"/>
  <c r="AB448" i="13"/>
  <c r="AA448" i="13"/>
  <c r="Z448" i="13"/>
  <c r="AM447" i="13"/>
  <c r="AL447" i="13"/>
  <c r="AK447" i="13"/>
  <c r="AJ447" i="13"/>
  <c r="AC447" i="13"/>
  <c r="AB447" i="13"/>
  <c r="AA447" i="13"/>
  <c r="Z447" i="13"/>
  <c r="AM446" i="13"/>
  <c r="AL446" i="13"/>
  <c r="AK446" i="13"/>
  <c r="AJ446" i="13"/>
  <c r="AC446" i="13"/>
  <c r="AB446" i="13"/>
  <c r="AA446" i="13"/>
  <c r="Z446" i="13"/>
  <c r="AM445" i="13"/>
  <c r="AL445" i="13"/>
  <c r="AK445" i="13"/>
  <c r="AJ445" i="13"/>
  <c r="AC445" i="13"/>
  <c r="AB445" i="13"/>
  <c r="AA445" i="13"/>
  <c r="Z445" i="13"/>
  <c r="AM444" i="13"/>
  <c r="AL444" i="13"/>
  <c r="AK444" i="13"/>
  <c r="AJ444" i="13"/>
  <c r="AC444" i="13"/>
  <c r="AB444" i="13"/>
  <c r="AA444" i="13"/>
  <c r="Z444" i="13"/>
  <c r="AM443" i="13"/>
  <c r="AL443" i="13"/>
  <c r="AK443" i="13"/>
  <c r="AJ443" i="13"/>
  <c r="AC443" i="13"/>
  <c r="AB443" i="13"/>
  <c r="AA443" i="13"/>
  <c r="Z443" i="13"/>
  <c r="AM442" i="13"/>
  <c r="AL442" i="13"/>
  <c r="AK442" i="13"/>
  <c r="AJ442" i="13"/>
  <c r="AC442" i="13"/>
  <c r="AB442" i="13"/>
  <c r="AA442" i="13"/>
  <c r="Z442" i="13"/>
  <c r="AM441" i="13"/>
  <c r="AL441" i="13"/>
  <c r="AK441" i="13"/>
  <c r="AJ441" i="13"/>
  <c r="AC441" i="13"/>
  <c r="AB441" i="13"/>
  <c r="AA441" i="13"/>
  <c r="Z441" i="13"/>
  <c r="AM440" i="13"/>
  <c r="AL440" i="13"/>
  <c r="AK440" i="13"/>
  <c r="AJ440" i="13"/>
  <c r="AC440" i="13"/>
  <c r="AB440" i="13"/>
  <c r="AA440" i="13"/>
  <c r="Z440" i="13"/>
  <c r="AM439" i="13"/>
  <c r="AL439" i="13"/>
  <c r="AK439" i="13"/>
  <c r="AJ439" i="13"/>
  <c r="AC439" i="13"/>
  <c r="AB439" i="13"/>
  <c r="AA439" i="13"/>
  <c r="Z439" i="13"/>
  <c r="AM438" i="13"/>
  <c r="AL438" i="13"/>
  <c r="AK438" i="13"/>
  <c r="AJ438" i="13"/>
  <c r="AC438" i="13"/>
  <c r="AB438" i="13"/>
  <c r="AA438" i="13"/>
  <c r="Z438" i="13"/>
  <c r="AM437" i="13"/>
  <c r="AL437" i="13"/>
  <c r="AK437" i="13"/>
  <c r="AJ437" i="13"/>
  <c r="AC437" i="13"/>
  <c r="AB437" i="13"/>
  <c r="AA437" i="13"/>
  <c r="Z437" i="13"/>
  <c r="AM436" i="13"/>
  <c r="AL436" i="13"/>
  <c r="AK436" i="13"/>
  <c r="AJ436" i="13"/>
  <c r="AC436" i="13"/>
  <c r="AB436" i="13"/>
  <c r="AA436" i="13"/>
  <c r="Z436" i="13"/>
  <c r="AM435" i="13"/>
  <c r="AL435" i="13"/>
  <c r="AK435" i="13"/>
  <c r="AJ435" i="13"/>
  <c r="AC435" i="13"/>
  <c r="AB435" i="13"/>
  <c r="AA435" i="13"/>
  <c r="Z435" i="13"/>
  <c r="AM434" i="13"/>
  <c r="AL434" i="13"/>
  <c r="AK434" i="13"/>
  <c r="AJ434" i="13"/>
  <c r="AC434" i="13"/>
  <c r="AB434" i="13"/>
  <c r="AA434" i="13"/>
  <c r="Z434" i="13"/>
  <c r="AM433" i="13"/>
  <c r="AL433" i="13"/>
  <c r="AK433" i="13"/>
  <c r="AJ433" i="13"/>
  <c r="AC433" i="13"/>
  <c r="AB433" i="13"/>
  <c r="AA433" i="13"/>
  <c r="Z433" i="13"/>
  <c r="AM432" i="13"/>
  <c r="AL432" i="13"/>
  <c r="AK432" i="13"/>
  <c r="AJ432" i="13"/>
  <c r="AC432" i="13"/>
  <c r="AB432" i="13"/>
  <c r="AA432" i="13"/>
  <c r="Z432" i="13"/>
  <c r="AM431" i="13"/>
  <c r="AL431" i="13"/>
  <c r="AK431" i="13"/>
  <c r="AJ431" i="13"/>
  <c r="AC431" i="13"/>
  <c r="AB431" i="13"/>
  <c r="AA431" i="13"/>
  <c r="Z431" i="13"/>
  <c r="AM430" i="13"/>
  <c r="AL430" i="13"/>
  <c r="AK430" i="13"/>
  <c r="AJ430" i="13"/>
  <c r="AC430" i="13"/>
  <c r="AB430" i="13"/>
  <c r="AA430" i="13"/>
  <c r="Z430" i="13"/>
  <c r="AM429" i="13"/>
  <c r="AL429" i="13"/>
  <c r="AK429" i="13"/>
  <c r="AJ429" i="13"/>
  <c r="AC429" i="13"/>
  <c r="AB429" i="13"/>
  <c r="AA429" i="13"/>
  <c r="Z429" i="13"/>
  <c r="AM428" i="13"/>
  <c r="AL428" i="13"/>
  <c r="AK428" i="13"/>
  <c r="AJ428" i="13"/>
  <c r="AC428" i="13"/>
  <c r="AB428" i="13"/>
  <c r="AA428" i="13"/>
  <c r="Z428" i="13"/>
  <c r="AM427" i="13"/>
  <c r="AL427" i="13"/>
  <c r="AK427" i="13"/>
  <c r="AJ427" i="13"/>
  <c r="AC427" i="13"/>
  <c r="AB427" i="13"/>
  <c r="AA427" i="13"/>
  <c r="Z427" i="13"/>
  <c r="AM426" i="13"/>
  <c r="AL426" i="13"/>
  <c r="AK426" i="13"/>
  <c r="AJ426" i="13"/>
  <c r="AC426" i="13"/>
  <c r="AB426" i="13"/>
  <c r="AA426" i="13"/>
  <c r="Z426" i="13"/>
  <c r="AM425" i="13"/>
  <c r="AL425" i="13"/>
  <c r="AK425" i="13"/>
  <c r="AJ425" i="13"/>
  <c r="AC425" i="13"/>
  <c r="AB425" i="13"/>
  <c r="AA425" i="13"/>
  <c r="Z425" i="13"/>
  <c r="AM424" i="13"/>
  <c r="AL424" i="13"/>
  <c r="AK424" i="13"/>
  <c r="AJ424" i="13"/>
  <c r="AC424" i="13"/>
  <c r="AB424" i="13"/>
  <c r="AA424" i="13"/>
  <c r="Z424" i="13"/>
  <c r="AM423" i="13"/>
  <c r="AL423" i="13"/>
  <c r="AK423" i="13"/>
  <c r="AJ423" i="13"/>
  <c r="AC423" i="13"/>
  <c r="AB423" i="13"/>
  <c r="AA423" i="13"/>
  <c r="Z423" i="13"/>
  <c r="AM422" i="13"/>
  <c r="AL422" i="13"/>
  <c r="AK422" i="13"/>
  <c r="AJ422" i="13"/>
  <c r="AC422" i="13"/>
  <c r="AB422" i="13"/>
  <c r="AA422" i="13"/>
  <c r="Z422" i="13"/>
  <c r="AM421" i="13"/>
  <c r="AL421" i="13"/>
  <c r="AK421" i="13"/>
  <c r="AJ421" i="13"/>
  <c r="AC421" i="13"/>
  <c r="AB421" i="13"/>
  <c r="AA421" i="13"/>
  <c r="Z421" i="13"/>
  <c r="AM420" i="13"/>
  <c r="AL420" i="13"/>
  <c r="AK420" i="13"/>
  <c r="AJ420" i="13"/>
  <c r="AC420" i="13"/>
  <c r="AB420" i="13"/>
  <c r="AA420" i="13"/>
  <c r="Z420" i="13"/>
  <c r="AM419" i="13"/>
  <c r="AL419" i="13"/>
  <c r="AK419" i="13"/>
  <c r="AJ419" i="13"/>
  <c r="AC419" i="13"/>
  <c r="AB419" i="13"/>
  <c r="AA419" i="13"/>
  <c r="Z419" i="13"/>
  <c r="AM418" i="13"/>
  <c r="AL418" i="13"/>
  <c r="AK418" i="13"/>
  <c r="AJ418" i="13"/>
  <c r="AC418" i="13"/>
  <c r="AB418" i="13"/>
  <c r="AA418" i="13"/>
  <c r="Z418" i="13"/>
  <c r="AM417" i="13"/>
  <c r="AL417" i="13"/>
  <c r="AK417" i="13"/>
  <c r="AJ417" i="13"/>
  <c r="AC417" i="13"/>
  <c r="AB417" i="13"/>
  <c r="AA417" i="13"/>
  <c r="Z417" i="13"/>
  <c r="AM416" i="13"/>
  <c r="AL416" i="13"/>
  <c r="AK416" i="13"/>
  <c r="AJ416" i="13"/>
  <c r="AC416" i="13"/>
  <c r="AB416" i="13"/>
  <c r="AA416" i="13"/>
  <c r="Z416" i="13"/>
  <c r="AM415" i="13"/>
  <c r="AL415" i="13"/>
  <c r="AK415" i="13"/>
  <c r="AJ415" i="13"/>
  <c r="AC415" i="13"/>
  <c r="AB415" i="13"/>
  <c r="AA415" i="13"/>
  <c r="Z415" i="13"/>
  <c r="AM414" i="13"/>
  <c r="AL414" i="13"/>
  <c r="AK414" i="13"/>
  <c r="AJ414" i="13"/>
  <c r="AC414" i="13"/>
  <c r="AB414" i="13"/>
  <c r="AA414" i="13"/>
  <c r="Z414" i="13"/>
  <c r="AM413" i="13"/>
  <c r="AL413" i="13"/>
  <c r="AK413" i="13"/>
  <c r="AJ413" i="13"/>
  <c r="AC413" i="13"/>
  <c r="AB413" i="13"/>
  <c r="AA413" i="13"/>
  <c r="Z413" i="13"/>
  <c r="AM412" i="13"/>
  <c r="AL412" i="13"/>
  <c r="AK412" i="13"/>
  <c r="AJ412" i="13"/>
  <c r="AC412" i="13"/>
  <c r="AB412" i="13"/>
  <c r="AA412" i="13"/>
  <c r="Z412" i="13"/>
  <c r="AM411" i="13"/>
  <c r="AL411" i="13"/>
  <c r="AK411" i="13"/>
  <c r="AJ411" i="13"/>
  <c r="AC411" i="13"/>
  <c r="AB411" i="13"/>
  <c r="AA411" i="13"/>
  <c r="Z411" i="13"/>
  <c r="AM410" i="13"/>
  <c r="AL410" i="13"/>
  <c r="AK410" i="13"/>
  <c r="AJ410" i="13"/>
  <c r="AC410" i="13"/>
  <c r="AB410" i="13"/>
  <c r="AA410" i="13"/>
  <c r="Z410" i="13"/>
  <c r="AM409" i="13"/>
  <c r="AL409" i="13"/>
  <c r="AK409" i="13"/>
  <c r="AJ409" i="13"/>
  <c r="AC409" i="13"/>
  <c r="AB409" i="13"/>
  <c r="AA409" i="13"/>
  <c r="Z409" i="13"/>
  <c r="AM408" i="13"/>
  <c r="AL408" i="13"/>
  <c r="AK408" i="13"/>
  <c r="AJ408" i="13"/>
  <c r="AC408" i="13"/>
  <c r="AB408" i="13"/>
  <c r="AA408" i="13"/>
  <c r="Z408" i="13"/>
  <c r="AM407" i="13"/>
  <c r="AL407" i="13"/>
  <c r="AK407" i="13"/>
  <c r="AJ407" i="13"/>
  <c r="AC407" i="13"/>
  <c r="AB407" i="13"/>
  <c r="AA407" i="13"/>
  <c r="Z407" i="13"/>
  <c r="AM406" i="13"/>
  <c r="AL406" i="13"/>
  <c r="AK406" i="13"/>
  <c r="AJ406" i="13"/>
  <c r="AC406" i="13"/>
  <c r="AB406" i="13"/>
  <c r="AA406" i="13"/>
  <c r="Z406" i="13"/>
  <c r="AM405" i="13"/>
  <c r="AL405" i="13"/>
  <c r="AK405" i="13"/>
  <c r="AJ405" i="13"/>
  <c r="AC405" i="13"/>
  <c r="AB405" i="13"/>
  <c r="AA405" i="13"/>
  <c r="Z405" i="13"/>
  <c r="AM404" i="13"/>
  <c r="AL404" i="13"/>
  <c r="AK404" i="13"/>
  <c r="AJ404" i="13"/>
  <c r="AC404" i="13"/>
  <c r="AB404" i="13"/>
  <c r="AA404" i="13"/>
  <c r="Z404" i="13"/>
  <c r="AM403" i="13"/>
  <c r="AL403" i="13"/>
  <c r="AK403" i="13"/>
  <c r="AJ403" i="13"/>
  <c r="AC403" i="13"/>
  <c r="AB403" i="13"/>
  <c r="AA403" i="13"/>
  <c r="Z403" i="13"/>
  <c r="AM402" i="13"/>
  <c r="AL402" i="13"/>
  <c r="AK402" i="13"/>
  <c r="AJ402" i="13"/>
  <c r="AC402" i="13"/>
  <c r="AB402" i="13"/>
  <c r="AA402" i="13"/>
  <c r="Z402" i="13"/>
  <c r="AM401" i="13"/>
  <c r="AL401" i="13"/>
  <c r="AK401" i="13"/>
  <c r="AJ401" i="13"/>
  <c r="AC401" i="13"/>
  <c r="AB401" i="13"/>
  <c r="AA401" i="13"/>
  <c r="Z401" i="13"/>
  <c r="AM400" i="13"/>
  <c r="AL400" i="13"/>
  <c r="AK400" i="13"/>
  <c r="AJ400" i="13"/>
  <c r="AC400" i="13"/>
  <c r="AB400" i="13"/>
  <c r="AA400" i="13"/>
  <c r="Z400" i="13"/>
  <c r="AM399" i="13"/>
  <c r="AL399" i="13"/>
  <c r="AK399" i="13"/>
  <c r="AJ399" i="13"/>
  <c r="AC399" i="13"/>
  <c r="AB399" i="13"/>
  <c r="AA399" i="13"/>
  <c r="Z399" i="13"/>
  <c r="AM398" i="13"/>
  <c r="AL398" i="13"/>
  <c r="AK398" i="13"/>
  <c r="AJ398" i="13"/>
  <c r="AC398" i="13"/>
  <c r="AB398" i="13"/>
  <c r="AA398" i="13"/>
  <c r="Z398" i="13"/>
  <c r="AM397" i="13"/>
  <c r="AL397" i="13"/>
  <c r="AK397" i="13"/>
  <c r="AJ397" i="13"/>
  <c r="AC397" i="13"/>
  <c r="AB397" i="13"/>
  <c r="AA397" i="13"/>
  <c r="Z397" i="13"/>
  <c r="AM396" i="13"/>
  <c r="AL396" i="13"/>
  <c r="AK396" i="13"/>
  <c r="AJ396" i="13"/>
  <c r="AC396" i="13"/>
  <c r="AB396" i="13"/>
  <c r="AA396" i="13"/>
  <c r="Z396" i="13"/>
  <c r="AM395" i="13"/>
  <c r="AL395" i="13"/>
  <c r="AK395" i="13"/>
  <c r="AJ395" i="13"/>
  <c r="AC395" i="13"/>
  <c r="AB395" i="13"/>
  <c r="AA395" i="13"/>
  <c r="Z395" i="13"/>
  <c r="AM394" i="13"/>
  <c r="AL394" i="13"/>
  <c r="AK394" i="13"/>
  <c r="AJ394" i="13"/>
  <c r="AC394" i="13"/>
  <c r="AB394" i="13"/>
  <c r="AA394" i="13"/>
  <c r="Z394" i="13"/>
  <c r="AM393" i="13"/>
  <c r="AL393" i="13"/>
  <c r="AK393" i="13"/>
  <c r="AJ393" i="13"/>
  <c r="AC393" i="13"/>
  <c r="AB393" i="13"/>
  <c r="AA393" i="13"/>
  <c r="Z393" i="13"/>
  <c r="AM392" i="13"/>
  <c r="AL392" i="13"/>
  <c r="AK392" i="13"/>
  <c r="AJ392" i="13"/>
  <c r="AC392" i="13"/>
  <c r="AB392" i="13"/>
  <c r="AA392" i="13"/>
  <c r="Z392" i="13"/>
  <c r="AM391" i="13"/>
  <c r="AL391" i="13"/>
  <c r="AK391" i="13"/>
  <c r="AJ391" i="13"/>
  <c r="AC391" i="13"/>
  <c r="AB391" i="13"/>
  <c r="AA391" i="13"/>
  <c r="Z391" i="13"/>
  <c r="AM390" i="13"/>
  <c r="AL390" i="13"/>
  <c r="AK390" i="13"/>
  <c r="AJ390" i="13"/>
  <c r="AC390" i="13"/>
  <c r="AB390" i="13"/>
  <c r="AA390" i="13"/>
  <c r="Z390" i="13"/>
  <c r="AM389" i="13"/>
  <c r="AL389" i="13"/>
  <c r="AK389" i="13"/>
  <c r="AJ389" i="13"/>
  <c r="AC389" i="13"/>
  <c r="AB389" i="13"/>
  <c r="AA389" i="13"/>
  <c r="Z389" i="13"/>
  <c r="AM388" i="13"/>
  <c r="AL388" i="13"/>
  <c r="AK388" i="13"/>
  <c r="AJ388" i="13"/>
  <c r="AC388" i="13"/>
  <c r="AB388" i="13"/>
  <c r="AA388" i="13"/>
  <c r="Z388" i="13"/>
  <c r="AM387" i="13"/>
  <c r="AL387" i="13"/>
  <c r="AK387" i="13"/>
  <c r="AJ387" i="13"/>
  <c r="AC387" i="13"/>
  <c r="AB387" i="13"/>
  <c r="AA387" i="13"/>
  <c r="Z387" i="13"/>
  <c r="AM386" i="13"/>
  <c r="AL386" i="13"/>
  <c r="AK386" i="13"/>
  <c r="AJ386" i="13"/>
  <c r="AC386" i="13"/>
  <c r="AB386" i="13"/>
  <c r="AA386" i="13"/>
  <c r="Z386" i="13"/>
  <c r="AM385" i="13"/>
  <c r="AL385" i="13"/>
  <c r="AK385" i="13"/>
  <c r="AJ385" i="13"/>
  <c r="AC385" i="13"/>
  <c r="AB385" i="13"/>
  <c r="AA385" i="13"/>
  <c r="Z385" i="13"/>
  <c r="AM384" i="13"/>
  <c r="AL384" i="13"/>
  <c r="AK384" i="13"/>
  <c r="AJ384" i="13"/>
  <c r="AC384" i="13"/>
  <c r="AB384" i="13"/>
  <c r="AA384" i="13"/>
  <c r="Z384" i="13"/>
  <c r="AM383" i="13"/>
  <c r="AL383" i="13"/>
  <c r="AK383" i="13"/>
  <c r="AJ383" i="13"/>
  <c r="AC383" i="13"/>
  <c r="AB383" i="13"/>
  <c r="AA383" i="13"/>
  <c r="Z383" i="13"/>
  <c r="AM382" i="13"/>
  <c r="AL382" i="13"/>
  <c r="AK382" i="13"/>
  <c r="AJ382" i="13"/>
  <c r="AC382" i="13"/>
  <c r="AB382" i="13"/>
  <c r="AA382" i="13"/>
  <c r="Z382" i="13"/>
  <c r="AM381" i="13"/>
  <c r="AL381" i="13"/>
  <c r="AK381" i="13"/>
  <c r="AJ381" i="13"/>
  <c r="AC381" i="13"/>
  <c r="AB381" i="13"/>
  <c r="AA381" i="13"/>
  <c r="Z381" i="13"/>
  <c r="AM380" i="13"/>
  <c r="AL380" i="13"/>
  <c r="AK380" i="13"/>
  <c r="AJ380" i="13"/>
  <c r="AC380" i="13"/>
  <c r="AB380" i="13"/>
  <c r="AA380" i="13"/>
  <c r="Z380" i="13"/>
  <c r="AM379" i="13"/>
  <c r="AL379" i="13"/>
  <c r="AK379" i="13"/>
  <c r="AJ379" i="13"/>
  <c r="AC379" i="13"/>
  <c r="AB379" i="13"/>
  <c r="AA379" i="13"/>
  <c r="Z379" i="13"/>
  <c r="AM378" i="13"/>
  <c r="AL378" i="13"/>
  <c r="AK378" i="13"/>
  <c r="AJ378" i="13"/>
  <c r="AC378" i="13"/>
  <c r="AB378" i="13"/>
  <c r="AA378" i="13"/>
  <c r="Z378" i="13"/>
  <c r="AM377" i="13"/>
  <c r="AL377" i="13"/>
  <c r="AK377" i="13"/>
  <c r="AJ377" i="13"/>
  <c r="AC377" i="13"/>
  <c r="AB377" i="13"/>
  <c r="AA377" i="13"/>
  <c r="Z377" i="13"/>
  <c r="AM376" i="13"/>
  <c r="AL376" i="13"/>
  <c r="AK376" i="13"/>
  <c r="AJ376" i="13"/>
  <c r="AC376" i="13"/>
  <c r="AB376" i="13"/>
  <c r="AA376" i="13"/>
  <c r="Z376" i="13"/>
  <c r="AM375" i="13"/>
  <c r="AL375" i="13"/>
  <c r="AK375" i="13"/>
  <c r="AJ375" i="13"/>
  <c r="AC375" i="13"/>
  <c r="AB375" i="13"/>
  <c r="AA375" i="13"/>
  <c r="Z375" i="13"/>
  <c r="AM374" i="13"/>
  <c r="AL374" i="13"/>
  <c r="AK374" i="13"/>
  <c r="AJ374" i="13"/>
  <c r="AC374" i="13"/>
  <c r="AB374" i="13"/>
  <c r="AA374" i="13"/>
  <c r="Z374" i="13"/>
  <c r="AM373" i="13"/>
  <c r="AL373" i="13"/>
  <c r="AK373" i="13"/>
  <c r="AJ373" i="13"/>
  <c r="AC373" i="13"/>
  <c r="AB373" i="13"/>
  <c r="AA373" i="13"/>
  <c r="Z373" i="13"/>
  <c r="AM372" i="13"/>
  <c r="AL372" i="13"/>
  <c r="AK372" i="13"/>
  <c r="AJ372" i="13"/>
  <c r="AC372" i="13"/>
  <c r="AB372" i="13"/>
  <c r="AA372" i="13"/>
  <c r="Z372" i="13"/>
  <c r="AM371" i="13"/>
  <c r="AL371" i="13"/>
  <c r="AK371" i="13"/>
  <c r="AJ371" i="13"/>
  <c r="AC371" i="13"/>
  <c r="AB371" i="13"/>
  <c r="AA371" i="13"/>
  <c r="Z371" i="13"/>
  <c r="AM370" i="13"/>
  <c r="AL370" i="13"/>
  <c r="AK370" i="13"/>
  <c r="AJ370" i="13"/>
  <c r="AC370" i="13"/>
  <c r="AB370" i="13"/>
  <c r="AA370" i="13"/>
  <c r="Z370" i="13"/>
  <c r="AM369" i="13"/>
  <c r="AL369" i="13"/>
  <c r="AK369" i="13"/>
  <c r="AJ369" i="13"/>
  <c r="AC369" i="13"/>
  <c r="AB369" i="13"/>
  <c r="AA369" i="13"/>
  <c r="Z369" i="13"/>
  <c r="AM368" i="13"/>
  <c r="AL368" i="13"/>
  <c r="AK368" i="13"/>
  <c r="AJ368" i="13"/>
  <c r="AC368" i="13"/>
  <c r="AB368" i="13"/>
  <c r="AA368" i="13"/>
  <c r="Z368" i="13"/>
  <c r="AM367" i="13"/>
  <c r="AL367" i="13"/>
  <c r="AK367" i="13"/>
  <c r="AJ367" i="13"/>
  <c r="AC367" i="13"/>
  <c r="AB367" i="13"/>
  <c r="AA367" i="13"/>
  <c r="Z367" i="13"/>
  <c r="AM366" i="13"/>
  <c r="AL366" i="13"/>
  <c r="AK366" i="13"/>
  <c r="AJ366" i="13"/>
  <c r="AC366" i="13"/>
  <c r="AB366" i="13"/>
  <c r="AA366" i="13"/>
  <c r="Z366" i="13"/>
  <c r="AM365" i="13"/>
  <c r="AL365" i="13"/>
  <c r="AK365" i="13"/>
  <c r="AJ365" i="13"/>
  <c r="AC365" i="13"/>
  <c r="AB365" i="13"/>
  <c r="AA365" i="13"/>
  <c r="Z365" i="13"/>
  <c r="AM364" i="13"/>
  <c r="AL364" i="13"/>
  <c r="AK364" i="13"/>
  <c r="AJ364" i="13"/>
  <c r="AC364" i="13"/>
  <c r="AB364" i="13"/>
  <c r="AA364" i="13"/>
  <c r="Z364" i="13"/>
  <c r="AM363" i="13"/>
  <c r="AL363" i="13"/>
  <c r="AK363" i="13"/>
  <c r="AJ363" i="13"/>
  <c r="AC363" i="13"/>
  <c r="AB363" i="13"/>
  <c r="AA363" i="13"/>
  <c r="Z363" i="13"/>
  <c r="AM362" i="13"/>
  <c r="AL362" i="13"/>
  <c r="AK362" i="13"/>
  <c r="AJ362" i="13"/>
  <c r="AC362" i="13"/>
  <c r="AB362" i="13"/>
  <c r="AA362" i="13"/>
  <c r="Z362" i="13"/>
  <c r="AM361" i="13"/>
  <c r="AL361" i="13"/>
  <c r="AK361" i="13"/>
  <c r="AJ361" i="13"/>
  <c r="AC361" i="13"/>
  <c r="AB361" i="13"/>
  <c r="AA361" i="13"/>
  <c r="Z361" i="13"/>
  <c r="AM360" i="13"/>
  <c r="AL360" i="13"/>
  <c r="AK360" i="13"/>
  <c r="AJ360" i="13"/>
  <c r="AC360" i="13"/>
  <c r="AB360" i="13"/>
  <c r="AA360" i="13"/>
  <c r="Z360" i="13"/>
  <c r="AM359" i="13"/>
  <c r="AL359" i="13"/>
  <c r="AK359" i="13"/>
  <c r="AJ359" i="13"/>
  <c r="AC359" i="13"/>
  <c r="AB359" i="13"/>
  <c r="AA359" i="13"/>
  <c r="Z359" i="13"/>
  <c r="AM358" i="13"/>
  <c r="AL358" i="13"/>
  <c r="AK358" i="13"/>
  <c r="AJ358" i="13"/>
  <c r="AC358" i="13"/>
  <c r="AB358" i="13"/>
  <c r="AA358" i="13"/>
  <c r="Z358" i="13"/>
  <c r="AM357" i="13"/>
  <c r="AL357" i="13"/>
  <c r="AK357" i="13"/>
  <c r="AJ357" i="13"/>
  <c r="AC357" i="13"/>
  <c r="AB357" i="13"/>
  <c r="AA357" i="13"/>
  <c r="Z357" i="13"/>
  <c r="AM356" i="13"/>
  <c r="AL356" i="13"/>
  <c r="AK356" i="13"/>
  <c r="AJ356" i="13"/>
  <c r="AC356" i="13"/>
  <c r="AB356" i="13"/>
  <c r="AA356" i="13"/>
  <c r="Z356" i="13"/>
  <c r="AM355" i="13"/>
  <c r="AL355" i="13"/>
  <c r="AK355" i="13"/>
  <c r="AJ355" i="13"/>
  <c r="AC355" i="13"/>
  <c r="AB355" i="13"/>
  <c r="AA355" i="13"/>
  <c r="Z355" i="13"/>
  <c r="AM354" i="13"/>
  <c r="AL354" i="13"/>
  <c r="AK354" i="13"/>
  <c r="AJ354" i="13"/>
  <c r="AC354" i="13"/>
  <c r="AB354" i="13"/>
  <c r="AA354" i="13"/>
  <c r="Z354" i="13"/>
  <c r="AM353" i="13"/>
  <c r="AL353" i="13"/>
  <c r="AK353" i="13"/>
  <c r="AJ353" i="13"/>
  <c r="AC353" i="13"/>
  <c r="AB353" i="13"/>
  <c r="AA353" i="13"/>
  <c r="Z353" i="13"/>
  <c r="AM352" i="13"/>
  <c r="AL352" i="13"/>
  <c r="AK352" i="13"/>
  <c r="AJ352" i="13"/>
  <c r="AC352" i="13"/>
  <c r="AB352" i="13"/>
  <c r="AA352" i="13"/>
  <c r="Z352" i="13"/>
  <c r="AM351" i="13"/>
  <c r="AL351" i="13"/>
  <c r="AK351" i="13"/>
  <c r="AJ351" i="13"/>
  <c r="AC351" i="13"/>
  <c r="AB351" i="13"/>
  <c r="AA351" i="13"/>
  <c r="Z351" i="13"/>
  <c r="AM350" i="13"/>
  <c r="AL350" i="13"/>
  <c r="AK350" i="13"/>
  <c r="AJ350" i="13"/>
  <c r="AC350" i="13"/>
  <c r="AB350" i="13"/>
  <c r="AA350" i="13"/>
  <c r="Z350" i="13"/>
  <c r="AM349" i="13"/>
  <c r="AL349" i="13"/>
  <c r="AK349" i="13"/>
  <c r="AJ349" i="13"/>
  <c r="AC349" i="13"/>
  <c r="AB349" i="13"/>
  <c r="AA349" i="13"/>
  <c r="Z349" i="13"/>
  <c r="AM348" i="13"/>
  <c r="AL348" i="13"/>
  <c r="AK348" i="13"/>
  <c r="AJ348" i="13"/>
  <c r="AC348" i="13"/>
  <c r="AB348" i="13"/>
  <c r="AA348" i="13"/>
  <c r="Z348" i="13"/>
  <c r="AM347" i="13"/>
  <c r="AL347" i="13"/>
  <c r="AK347" i="13"/>
  <c r="AJ347" i="13"/>
  <c r="AC347" i="13"/>
  <c r="AB347" i="13"/>
  <c r="AA347" i="13"/>
  <c r="Z347" i="13"/>
  <c r="AM346" i="13"/>
  <c r="AL346" i="13"/>
  <c r="AK346" i="13"/>
  <c r="AJ346" i="13"/>
  <c r="AC346" i="13"/>
  <c r="AB346" i="13"/>
  <c r="AA346" i="13"/>
  <c r="Z346" i="13"/>
  <c r="AM345" i="13"/>
  <c r="AL345" i="13"/>
  <c r="AK345" i="13"/>
  <c r="AJ345" i="13"/>
  <c r="AC345" i="13"/>
  <c r="AB345" i="13"/>
  <c r="AA345" i="13"/>
  <c r="Z345" i="13"/>
  <c r="AM344" i="13"/>
  <c r="AL344" i="13"/>
  <c r="AK344" i="13"/>
  <c r="AJ344" i="13"/>
  <c r="AC344" i="13"/>
  <c r="AB344" i="13"/>
  <c r="AA344" i="13"/>
  <c r="Z344" i="13"/>
  <c r="AM343" i="13"/>
  <c r="AL343" i="13"/>
  <c r="AK343" i="13"/>
  <c r="AJ343" i="13"/>
  <c r="AC343" i="13"/>
  <c r="AB343" i="13"/>
  <c r="AA343" i="13"/>
  <c r="Z343" i="13"/>
  <c r="AM342" i="13"/>
  <c r="AL342" i="13"/>
  <c r="AK342" i="13"/>
  <c r="AJ342" i="13"/>
  <c r="AC342" i="13"/>
  <c r="AB342" i="13"/>
  <c r="AA342" i="13"/>
  <c r="Z342" i="13"/>
  <c r="AM341" i="13"/>
  <c r="AL341" i="13"/>
  <c r="AK341" i="13"/>
  <c r="AJ341" i="13"/>
  <c r="AC341" i="13"/>
  <c r="AB341" i="13"/>
  <c r="AA341" i="13"/>
  <c r="Z341" i="13"/>
  <c r="AM340" i="13"/>
  <c r="AL340" i="13"/>
  <c r="AK340" i="13"/>
  <c r="AJ340" i="13"/>
  <c r="AC340" i="13"/>
  <c r="AB340" i="13"/>
  <c r="AA340" i="13"/>
  <c r="Z340" i="13"/>
  <c r="AM339" i="13"/>
  <c r="AL339" i="13"/>
  <c r="AK339" i="13"/>
  <c r="AJ339" i="13"/>
  <c r="AC339" i="13"/>
  <c r="AB339" i="13"/>
  <c r="AA339" i="13"/>
  <c r="Z339" i="13"/>
  <c r="AM338" i="13"/>
  <c r="AL338" i="13"/>
  <c r="AK338" i="13"/>
  <c r="AJ338" i="13"/>
  <c r="AC338" i="13"/>
  <c r="AB338" i="13"/>
  <c r="AA338" i="13"/>
  <c r="Z338" i="13"/>
  <c r="AM337" i="13"/>
  <c r="AL337" i="13"/>
  <c r="AK337" i="13"/>
  <c r="AJ337" i="13"/>
  <c r="AC337" i="13"/>
  <c r="AB337" i="13"/>
  <c r="AA337" i="13"/>
  <c r="Z337" i="13"/>
  <c r="AM336" i="13"/>
  <c r="AL336" i="13"/>
  <c r="AK336" i="13"/>
  <c r="AJ336" i="13"/>
  <c r="AC336" i="13"/>
  <c r="AB336" i="13"/>
  <c r="AA336" i="13"/>
  <c r="Z336" i="13"/>
  <c r="AM335" i="13"/>
  <c r="AL335" i="13"/>
  <c r="AK335" i="13"/>
  <c r="AJ335" i="13"/>
  <c r="AC335" i="13"/>
  <c r="AB335" i="13"/>
  <c r="AA335" i="13"/>
  <c r="Z335" i="13"/>
  <c r="AM334" i="13"/>
  <c r="AL334" i="13"/>
  <c r="AK334" i="13"/>
  <c r="AJ334" i="13"/>
  <c r="AC334" i="13"/>
  <c r="AB334" i="13"/>
  <c r="AA334" i="13"/>
  <c r="Z334" i="13"/>
  <c r="AM333" i="13"/>
  <c r="AL333" i="13"/>
  <c r="AK333" i="13"/>
  <c r="AJ333" i="13"/>
  <c r="AC333" i="13"/>
  <c r="AB333" i="13"/>
  <c r="AA333" i="13"/>
  <c r="Z333" i="13"/>
  <c r="AM332" i="13"/>
  <c r="AL332" i="13"/>
  <c r="AK332" i="13"/>
  <c r="AJ332" i="13"/>
  <c r="AC332" i="13"/>
  <c r="AB332" i="13"/>
  <c r="AA332" i="13"/>
  <c r="Z332" i="13"/>
  <c r="AM331" i="13"/>
  <c r="AL331" i="13"/>
  <c r="AK331" i="13"/>
  <c r="AJ331" i="13"/>
  <c r="AC331" i="13"/>
  <c r="AB331" i="13"/>
  <c r="AA331" i="13"/>
  <c r="Z331" i="13"/>
  <c r="AM330" i="13"/>
  <c r="AL330" i="13"/>
  <c r="AK330" i="13"/>
  <c r="AJ330" i="13"/>
  <c r="AC330" i="13"/>
  <c r="AB330" i="13"/>
  <c r="AA330" i="13"/>
  <c r="Z330" i="13"/>
  <c r="AM329" i="13"/>
  <c r="AL329" i="13"/>
  <c r="AK329" i="13"/>
  <c r="AJ329" i="13"/>
  <c r="AC329" i="13"/>
  <c r="AB329" i="13"/>
  <c r="AA329" i="13"/>
  <c r="Z329" i="13"/>
  <c r="AM328" i="13"/>
  <c r="AL328" i="13"/>
  <c r="AK328" i="13"/>
  <c r="AJ328" i="13"/>
  <c r="AC328" i="13"/>
  <c r="AB328" i="13"/>
  <c r="AA328" i="13"/>
  <c r="Z328" i="13"/>
  <c r="AM327" i="13"/>
  <c r="AL327" i="13"/>
  <c r="AK327" i="13"/>
  <c r="AJ327" i="13"/>
  <c r="AC327" i="13"/>
  <c r="AB327" i="13"/>
  <c r="AA327" i="13"/>
  <c r="Z327" i="13"/>
  <c r="AM326" i="13"/>
  <c r="AL326" i="13"/>
  <c r="AK326" i="13"/>
  <c r="AJ326" i="13"/>
  <c r="AC326" i="13"/>
  <c r="AB326" i="13"/>
  <c r="AA326" i="13"/>
  <c r="Z326" i="13"/>
  <c r="AM325" i="13"/>
  <c r="AL325" i="13"/>
  <c r="AK325" i="13"/>
  <c r="AJ325" i="13"/>
  <c r="AC325" i="13"/>
  <c r="AB325" i="13"/>
  <c r="AA325" i="13"/>
  <c r="Z325" i="13"/>
  <c r="AM324" i="13"/>
  <c r="AL324" i="13"/>
  <c r="AK324" i="13"/>
  <c r="AJ324" i="13"/>
  <c r="AC324" i="13"/>
  <c r="AB324" i="13"/>
  <c r="AA324" i="13"/>
  <c r="Z324" i="13"/>
  <c r="AM323" i="13"/>
  <c r="AL323" i="13"/>
  <c r="AK323" i="13"/>
  <c r="AJ323" i="13"/>
  <c r="AC323" i="13"/>
  <c r="AB323" i="13"/>
  <c r="AA323" i="13"/>
  <c r="Z323" i="13"/>
  <c r="AM322" i="13"/>
  <c r="AL322" i="13"/>
  <c r="AK322" i="13"/>
  <c r="AJ322" i="13"/>
  <c r="AC322" i="13"/>
  <c r="AB322" i="13"/>
  <c r="AA322" i="13"/>
  <c r="Z322" i="13"/>
  <c r="AM321" i="13"/>
  <c r="AL321" i="13"/>
  <c r="AK321" i="13"/>
  <c r="AJ321" i="13"/>
  <c r="AC321" i="13"/>
  <c r="AB321" i="13"/>
  <c r="AA321" i="13"/>
  <c r="Z321" i="13"/>
  <c r="AM320" i="13"/>
  <c r="AL320" i="13"/>
  <c r="AK320" i="13"/>
  <c r="AJ320" i="13"/>
  <c r="AC320" i="13"/>
  <c r="AB320" i="13"/>
  <c r="AA320" i="13"/>
  <c r="Z320" i="13"/>
  <c r="AM319" i="13"/>
  <c r="AL319" i="13"/>
  <c r="AK319" i="13"/>
  <c r="AJ319" i="13"/>
  <c r="AC319" i="13"/>
  <c r="AB319" i="13"/>
  <c r="AA319" i="13"/>
  <c r="Z319" i="13"/>
  <c r="AM318" i="13"/>
  <c r="AL318" i="13"/>
  <c r="AK318" i="13"/>
  <c r="AJ318" i="13"/>
  <c r="AC318" i="13"/>
  <c r="AB318" i="13"/>
  <c r="AA318" i="13"/>
  <c r="Z318" i="13"/>
  <c r="AM317" i="13"/>
  <c r="AL317" i="13"/>
  <c r="AK317" i="13"/>
  <c r="AJ317" i="13"/>
  <c r="AC317" i="13"/>
  <c r="AB317" i="13"/>
  <c r="AA317" i="13"/>
  <c r="Z317" i="13"/>
  <c r="AM316" i="13"/>
  <c r="AL316" i="13"/>
  <c r="AK316" i="13"/>
  <c r="AJ316" i="13"/>
  <c r="AC316" i="13"/>
  <c r="AB316" i="13"/>
  <c r="AA316" i="13"/>
  <c r="Z316" i="13"/>
  <c r="AM315" i="13"/>
  <c r="AL315" i="13"/>
  <c r="AK315" i="13"/>
  <c r="AJ315" i="13"/>
  <c r="AC315" i="13"/>
  <c r="AB315" i="13"/>
  <c r="AA315" i="13"/>
  <c r="Z315" i="13"/>
  <c r="AM314" i="13"/>
  <c r="AL314" i="13"/>
  <c r="AK314" i="13"/>
  <c r="AJ314" i="13"/>
  <c r="AC314" i="13"/>
  <c r="AB314" i="13"/>
  <c r="AA314" i="13"/>
  <c r="Z314" i="13"/>
  <c r="AM313" i="13"/>
  <c r="AL313" i="13"/>
  <c r="AK313" i="13"/>
  <c r="AJ313" i="13"/>
  <c r="AC313" i="13"/>
  <c r="AB313" i="13"/>
  <c r="AA313" i="13"/>
  <c r="Z313" i="13"/>
  <c r="AM312" i="13"/>
  <c r="AL312" i="13"/>
  <c r="AK312" i="13"/>
  <c r="AJ312" i="13"/>
  <c r="AC312" i="13"/>
  <c r="AB312" i="13"/>
  <c r="AA312" i="13"/>
  <c r="Z312" i="13"/>
  <c r="AM311" i="13"/>
  <c r="AL311" i="13"/>
  <c r="AK311" i="13"/>
  <c r="AJ311" i="13"/>
  <c r="AC311" i="13"/>
  <c r="AB311" i="13"/>
  <c r="AA311" i="13"/>
  <c r="Z311" i="13"/>
  <c r="AM310" i="13"/>
  <c r="AL310" i="13"/>
  <c r="AK310" i="13"/>
  <c r="AJ310" i="13"/>
  <c r="AC310" i="13"/>
  <c r="AB310" i="13"/>
  <c r="AA310" i="13"/>
  <c r="Z310" i="13"/>
  <c r="AM309" i="13"/>
  <c r="AL309" i="13"/>
  <c r="AK309" i="13"/>
  <c r="AJ309" i="13"/>
  <c r="AC309" i="13"/>
  <c r="AB309" i="13"/>
  <c r="AA309" i="13"/>
  <c r="Z309" i="13"/>
  <c r="AM308" i="13"/>
  <c r="AL308" i="13"/>
  <c r="AK308" i="13"/>
  <c r="AJ308" i="13"/>
  <c r="AC308" i="13"/>
  <c r="AB308" i="13"/>
  <c r="AA308" i="13"/>
  <c r="Z308" i="13"/>
  <c r="AM307" i="13"/>
  <c r="AL307" i="13"/>
  <c r="AK307" i="13"/>
  <c r="AJ307" i="13"/>
  <c r="AC307" i="13"/>
  <c r="AB307" i="13"/>
  <c r="AA307" i="13"/>
  <c r="Z307" i="13"/>
  <c r="AM306" i="13"/>
  <c r="AL306" i="13"/>
  <c r="AK306" i="13"/>
  <c r="AJ306" i="13"/>
  <c r="AC306" i="13"/>
  <c r="AB306" i="13"/>
  <c r="AA306" i="13"/>
  <c r="Z306" i="13"/>
  <c r="AM305" i="13"/>
  <c r="AL305" i="13"/>
  <c r="AK305" i="13"/>
  <c r="AJ305" i="13"/>
  <c r="AC305" i="13"/>
  <c r="AB305" i="13"/>
  <c r="AA305" i="13"/>
  <c r="Z305" i="13"/>
  <c r="AM304" i="13"/>
  <c r="AL304" i="13"/>
  <c r="AK304" i="13"/>
  <c r="AJ304" i="13"/>
  <c r="AC304" i="13"/>
  <c r="AB304" i="13"/>
  <c r="AA304" i="13"/>
  <c r="Z304" i="13"/>
  <c r="AM303" i="13"/>
  <c r="AL303" i="13"/>
  <c r="AK303" i="13"/>
  <c r="AJ303" i="13"/>
  <c r="AC303" i="13"/>
  <c r="AB303" i="13"/>
  <c r="AA303" i="13"/>
  <c r="Z303" i="13"/>
  <c r="AM302" i="13"/>
  <c r="AL302" i="13"/>
  <c r="AK302" i="13"/>
  <c r="AJ302" i="13"/>
  <c r="AC302" i="13"/>
  <c r="AB302" i="13"/>
  <c r="AA302" i="13"/>
  <c r="Z302" i="13"/>
  <c r="AM301" i="13"/>
  <c r="AL301" i="13"/>
  <c r="AK301" i="13"/>
  <c r="AJ301" i="13"/>
  <c r="AC301" i="13"/>
  <c r="AB301" i="13"/>
  <c r="AA301" i="13"/>
  <c r="Z301" i="13"/>
  <c r="AM300" i="13"/>
  <c r="AL300" i="13"/>
  <c r="AK300" i="13"/>
  <c r="AJ300" i="13"/>
  <c r="AC300" i="13"/>
  <c r="AB300" i="13"/>
  <c r="AA300" i="13"/>
  <c r="Z300" i="13"/>
  <c r="AM299" i="13"/>
  <c r="AL299" i="13"/>
  <c r="AK299" i="13"/>
  <c r="AJ299" i="13"/>
  <c r="AC299" i="13"/>
  <c r="AB299" i="13"/>
  <c r="AA299" i="13"/>
  <c r="Z299" i="13"/>
  <c r="AM298" i="13"/>
  <c r="AL298" i="13"/>
  <c r="AK298" i="13"/>
  <c r="AJ298" i="13"/>
  <c r="AC298" i="13"/>
  <c r="AB298" i="13"/>
  <c r="AA298" i="13"/>
  <c r="Z298" i="13"/>
  <c r="AM297" i="13"/>
  <c r="AL297" i="13"/>
  <c r="AK297" i="13"/>
  <c r="AJ297" i="13"/>
  <c r="AC297" i="13"/>
  <c r="AB297" i="13"/>
  <c r="AA297" i="13"/>
  <c r="Z297" i="13"/>
  <c r="AM296" i="13"/>
  <c r="AL296" i="13"/>
  <c r="AK296" i="13"/>
  <c r="AJ296" i="13"/>
  <c r="AC296" i="13"/>
  <c r="AB296" i="13"/>
  <c r="AA296" i="13"/>
  <c r="Z296" i="13"/>
  <c r="AM295" i="13"/>
  <c r="AL295" i="13"/>
  <c r="AK295" i="13"/>
  <c r="AJ295" i="13"/>
  <c r="AC295" i="13"/>
  <c r="AB295" i="13"/>
  <c r="AA295" i="13"/>
  <c r="Z295" i="13"/>
  <c r="AM294" i="13"/>
  <c r="AL294" i="13"/>
  <c r="AK294" i="13"/>
  <c r="AJ294" i="13"/>
  <c r="AC294" i="13"/>
  <c r="AB294" i="13"/>
  <c r="AA294" i="13"/>
  <c r="Z294" i="13"/>
  <c r="AM293" i="13"/>
  <c r="AL293" i="13"/>
  <c r="AK293" i="13"/>
  <c r="AJ293" i="13"/>
  <c r="AC293" i="13"/>
  <c r="AB293" i="13"/>
  <c r="AA293" i="13"/>
  <c r="Z293" i="13"/>
  <c r="AM292" i="13"/>
  <c r="AL292" i="13"/>
  <c r="AK292" i="13"/>
  <c r="AJ292" i="13"/>
  <c r="AC292" i="13"/>
  <c r="AB292" i="13"/>
  <c r="AA292" i="13"/>
  <c r="Z292" i="13"/>
  <c r="AM291" i="13"/>
  <c r="AL291" i="13"/>
  <c r="AK291" i="13"/>
  <c r="AJ291" i="13"/>
  <c r="AC291" i="13"/>
  <c r="AB291" i="13"/>
  <c r="AA291" i="13"/>
  <c r="Z291" i="13"/>
  <c r="AM290" i="13"/>
  <c r="AL290" i="13"/>
  <c r="AK290" i="13"/>
  <c r="AJ290" i="13"/>
  <c r="AC290" i="13"/>
  <c r="AB290" i="13"/>
  <c r="AA290" i="13"/>
  <c r="Z290" i="13"/>
  <c r="AM289" i="13"/>
  <c r="AL289" i="13"/>
  <c r="AK289" i="13"/>
  <c r="AJ289" i="13"/>
  <c r="AC289" i="13"/>
  <c r="AB289" i="13"/>
  <c r="AA289" i="13"/>
  <c r="Z289" i="13"/>
  <c r="AM288" i="13"/>
  <c r="AL288" i="13"/>
  <c r="AK288" i="13"/>
  <c r="AJ288" i="13"/>
  <c r="AC288" i="13"/>
  <c r="AB288" i="13"/>
  <c r="AA288" i="13"/>
  <c r="Z288" i="13"/>
  <c r="AM287" i="13"/>
  <c r="AL287" i="13"/>
  <c r="AK287" i="13"/>
  <c r="AJ287" i="13"/>
  <c r="AC287" i="13"/>
  <c r="AB287" i="13"/>
  <c r="AA287" i="13"/>
  <c r="Z287" i="13"/>
  <c r="AM286" i="13"/>
  <c r="AL286" i="13"/>
  <c r="AK286" i="13"/>
  <c r="AJ286" i="13"/>
  <c r="AC286" i="13"/>
  <c r="AB286" i="13"/>
  <c r="AA286" i="13"/>
  <c r="Z286" i="13"/>
  <c r="AM285" i="13"/>
  <c r="AL285" i="13"/>
  <c r="AK285" i="13"/>
  <c r="AJ285" i="13"/>
  <c r="AC285" i="13"/>
  <c r="AB285" i="13"/>
  <c r="AA285" i="13"/>
  <c r="Z285" i="13"/>
  <c r="AM284" i="13"/>
  <c r="AL284" i="13"/>
  <c r="AK284" i="13"/>
  <c r="AJ284" i="13"/>
  <c r="AC284" i="13"/>
  <c r="AB284" i="13"/>
  <c r="AA284" i="13"/>
  <c r="Z284" i="13"/>
  <c r="AM283" i="13"/>
  <c r="AL283" i="13"/>
  <c r="AK283" i="13"/>
  <c r="AJ283" i="13"/>
  <c r="AC283" i="13"/>
  <c r="AB283" i="13"/>
  <c r="AA283" i="13"/>
  <c r="Z283" i="13"/>
  <c r="AM282" i="13"/>
  <c r="AL282" i="13"/>
  <c r="AK282" i="13"/>
  <c r="AJ282" i="13"/>
  <c r="AC282" i="13"/>
  <c r="AB282" i="13"/>
  <c r="AA282" i="13"/>
  <c r="Z282" i="13"/>
  <c r="AM281" i="13"/>
  <c r="AL281" i="13"/>
  <c r="AK281" i="13"/>
  <c r="AJ281" i="13"/>
  <c r="AC281" i="13"/>
  <c r="AB281" i="13"/>
  <c r="AA281" i="13"/>
  <c r="Z281" i="13"/>
  <c r="AM280" i="13"/>
  <c r="AL280" i="13"/>
  <c r="AK280" i="13"/>
  <c r="AJ280" i="13"/>
  <c r="AC280" i="13"/>
  <c r="AB280" i="13"/>
  <c r="AA280" i="13"/>
  <c r="Z280" i="13"/>
  <c r="AM279" i="13"/>
  <c r="AL279" i="13"/>
  <c r="AK279" i="13"/>
  <c r="AJ279" i="13"/>
  <c r="AC279" i="13"/>
  <c r="AB279" i="13"/>
  <c r="AA279" i="13"/>
  <c r="Z279" i="13"/>
  <c r="AM278" i="13"/>
  <c r="AL278" i="13"/>
  <c r="AK278" i="13"/>
  <c r="AJ278" i="13"/>
  <c r="AC278" i="13"/>
  <c r="AB278" i="13"/>
  <c r="AA278" i="13"/>
  <c r="Z278" i="13"/>
  <c r="AM277" i="13"/>
  <c r="AL277" i="13"/>
  <c r="AK277" i="13"/>
  <c r="AJ277" i="13"/>
  <c r="AC277" i="13"/>
  <c r="AB277" i="13"/>
  <c r="AA277" i="13"/>
  <c r="Z277" i="13"/>
  <c r="AM276" i="13"/>
  <c r="AL276" i="13"/>
  <c r="AK276" i="13"/>
  <c r="AJ276" i="13"/>
  <c r="AC276" i="13"/>
  <c r="AB276" i="13"/>
  <c r="AA276" i="13"/>
  <c r="Z276" i="13"/>
  <c r="AM275" i="13"/>
  <c r="AL275" i="13"/>
  <c r="AK275" i="13"/>
  <c r="AJ275" i="13"/>
  <c r="AC275" i="13"/>
  <c r="AB275" i="13"/>
  <c r="AA275" i="13"/>
  <c r="Z275" i="13"/>
  <c r="AM274" i="13"/>
  <c r="AL274" i="13"/>
  <c r="AK274" i="13"/>
  <c r="AJ274" i="13"/>
  <c r="AC274" i="13"/>
  <c r="AB274" i="13"/>
  <c r="AA274" i="13"/>
  <c r="Z274" i="13"/>
  <c r="AM273" i="13"/>
  <c r="AL273" i="13"/>
  <c r="AK273" i="13"/>
  <c r="AJ273" i="13"/>
  <c r="AC273" i="13"/>
  <c r="AB273" i="13"/>
  <c r="AA273" i="13"/>
  <c r="Z273" i="13"/>
  <c r="AM272" i="13"/>
  <c r="AL272" i="13"/>
  <c r="AK272" i="13"/>
  <c r="AJ272" i="13"/>
  <c r="AC272" i="13"/>
  <c r="AB272" i="13"/>
  <c r="AA272" i="13"/>
  <c r="Z272" i="13"/>
  <c r="AM271" i="13"/>
  <c r="AL271" i="13"/>
  <c r="AK271" i="13"/>
  <c r="AJ271" i="13"/>
  <c r="AC271" i="13"/>
  <c r="AB271" i="13"/>
  <c r="AA271" i="13"/>
  <c r="Z271" i="13"/>
  <c r="AM270" i="13"/>
  <c r="AL270" i="13"/>
  <c r="AK270" i="13"/>
  <c r="AJ270" i="13"/>
  <c r="AC270" i="13"/>
  <c r="AB270" i="13"/>
  <c r="AA270" i="13"/>
  <c r="Z270" i="13"/>
  <c r="AM269" i="13"/>
  <c r="AL269" i="13"/>
  <c r="AK269" i="13"/>
  <c r="AJ269" i="13"/>
  <c r="AC269" i="13"/>
  <c r="AB269" i="13"/>
  <c r="AA269" i="13"/>
  <c r="Z269" i="13"/>
  <c r="AM268" i="13"/>
  <c r="AL268" i="13"/>
  <c r="AK268" i="13"/>
  <c r="AJ268" i="13"/>
  <c r="AC268" i="13"/>
  <c r="AB268" i="13"/>
  <c r="AA268" i="13"/>
  <c r="Z268" i="13"/>
  <c r="AM267" i="13"/>
  <c r="AL267" i="13"/>
  <c r="AK267" i="13"/>
  <c r="AJ267" i="13"/>
  <c r="AC267" i="13"/>
  <c r="AB267" i="13"/>
  <c r="AA267" i="13"/>
  <c r="Z267" i="13"/>
  <c r="AM266" i="13"/>
  <c r="AL266" i="13"/>
  <c r="AK266" i="13"/>
  <c r="AJ266" i="13"/>
  <c r="AC266" i="13"/>
  <c r="AB266" i="13"/>
  <c r="AA266" i="13"/>
  <c r="Z266" i="13"/>
  <c r="AM265" i="13"/>
  <c r="AL265" i="13"/>
  <c r="AK265" i="13"/>
  <c r="AJ265" i="13"/>
  <c r="AC265" i="13"/>
  <c r="AB265" i="13"/>
  <c r="AA265" i="13"/>
  <c r="Z265" i="13"/>
  <c r="AM264" i="13"/>
  <c r="AL264" i="13"/>
  <c r="AK264" i="13"/>
  <c r="AJ264" i="13"/>
  <c r="AC264" i="13"/>
  <c r="AB264" i="13"/>
  <c r="AA264" i="13"/>
  <c r="Z264" i="13"/>
  <c r="AM263" i="13"/>
  <c r="AL263" i="13"/>
  <c r="AK263" i="13"/>
  <c r="AJ263" i="13"/>
  <c r="AC263" i="13"/>
  <c r="AB263" i="13"/>
  <c r="AA263" i="13"/>
  <c r="Z263" i="13"/>
  <c r="AM262" i="13"/>
  <c r="AL262" i="13"/>
  <c r="AK262" i="13"/>
  <c r="AJ262" i="13"/>
  <c r="AC262" i="13"/>
  <c r="AB262" i="13"/>
  <c r="AA262" i="13"/>
  <c r="Z262" i="13"/>
  <c r="AM261" i="13"/>
  <c r="AL261" i="13"/>
  <c r="AK261" i="13"/>
  <c r="AJ261" i="13"/>
  <c r="AC261" i="13"/>
  <c r="AB261" i="13"/>
  <c r="AA261" i="13"/>
  <c r="Z261" i="13"/>
  <c r="AM260" i="13"/>
  <c r="AL260" i="13"/>
  <c r="AK260" i="13"/>
  <c r="AJ260" i="13"/>
  <c r="AC260" i="13"/>
  <c r="AB260" i="13"/>
  <c r="AA260" i="13"/>
  <c r="Z260" i="13"/>
  <c r="AM259" i="13"/>
  <c r="AL259" i="13"/>
  <c r="AK259" i="13"/>
  <c r="AJ259" i="13"/>
  <c r="AC259" i="13"/>
  <c r="AB259" i="13"/>
  <c r="AA259" i="13"/>
  <c r="Z259" i="13"/>
  <c r="AM258" i="13"/>
  <c r="AL258" i="13"/>
  <c r="AK258" i="13"/>
  <c r="AJ258" i="13"/>
  <c r="AC258" i="13"/>
  <c r="AB258" i="13"/>
  <c r="AA258" i="13"/>
  <c r="Z258" i="13"/>
  <c r="AM257" i="13"/>
  <c r="AL257" i="13"/>
  <c r="AK257" i="13"/>
  <c r="AJ257" i="13"/>
  <c r="AC257" i="13"/>
  <c r="AB257" i="13"/>
  <c r="AA257" i="13"/>
  <c r="Z257" i="13"/>
  <c r="AM256" i="13"/>
  <c r="AL256" i="13"/>
  <c r="AK256" i="13"/>
  <c r="AJ256" i="13"/>
  <c r="AC256" i="13"/>
  <c r="AB256" i="13"/>
  <c r="AA256" i="13"/>
  <c r="Z256" i="13"/>
  <c r="AM255" i="13"/>
  <c r="AL255" i="13"/>
  <c r="AK255" i="13"/>
  <c r="AJ255" i="13"/>
  <c r="AC255" i="13"/>
  <c r="AB255" i="13"/>
  <c r="AA255" i="13"/>
  <c r="Z255" i="13"/>
  <c r="AM254" i="13"/>
  <c r="AL254" i="13"/>
  <c r="AK254" i="13"/>
  <c r="AJ254" i="13"/>
  <c r="AC254" i="13"/>
  <c r="AB254" i="13"/>
  <c r="AA254" i="13"/>
  <c r="Z254" i="13"/>
  <c r="AM253" i="13"/>
  <c r="AL253" i="13"/>
  <c r="AK253" i="13"/>
  <c r="AJ253" i="13"/>
  <c r="AC253" i="13"/>
  <c r="AB253" i="13"/>
  <c r="AA253" i="13"/>
  <c r="Z253" i="13"/>
  <c r="AM252" i="13"/>
  <c r="AL252" i="13"/>
  <c r="AK252" i="13"/>
  <c r="AJ252" i="13"/>
  <c r="AC252" i="13"/>
  <c r="AB252" i="13"/>
  <c r="AA252" i="13"/>
  <c r="Z252" i="13"/>
  <c r="AM251" i="13"/>
  <c r="AL251" i="13"/>
  <c r="AK251" i="13"/>
  <c r="AJ251" i="13"/>
  <c r="AC251" i="13"/>
  <c r="AB251" i="13"/>
  <c r="AA251" i="13"/>
  <c r="Z251" i="13"/>
  <c r="AM250" i="13"/>
  <c r="AL250" i="13"/>
  <c r="AK250" i="13"/>
  <c r="AJ250" i="13"/>
  <c r="AC250" i="13"/>
  <c r="AB250" i="13"/>
  <c r="AA250" i="13"/>
  <c r="Z250" i="13"/>
  <c r="AM249" i="13"/>
  <c r="AL249" i="13"/>
  <c r="AK249" i="13"/>
  <c r="AJ249" i="13"/>
  <c r="AC249" i="13"/>
  <c r="AB249" i="13"/>
  <c r="AA249" i="13"/>
  <c r="Z249" i="13"/>
  <c r="AM248" i="13"/>
  <c r="AL248" i="13"/>
  <c r="AK248" i="13"/>
  <c r="AJ248" i="13"/>
  <c r="AC248" i="13"/>
  <c r="AB248" i="13"/>
  <c r="AA248" i="13"/>
  <c r="Z248" i="13"/>
  <c r="AM247" i="13"/>
  <c r="AL247" i="13"/>
  <c r="AK247" i="13"/>
  <c r="AJ247" i="13"/>
  <c r="AC247" i="13"/>
  <c r="AB247" i="13"/>
  <c r="AA247" i="13"/>
  <c r="Z247" i="13"/>
  <c r="AM246" i="13"/>
  <c r="AL246" i="13"/>
  <c r="AK246" i="13"/>
  <c r="AJ246" i="13"/>
  <c r="AC246" i="13"/>
  <c r="AB246" i="13"/>
  <c r="AA246" i="13"/>
  <c r="Z246" i="13"/>
  <c r="AM245" i="13"/>
  <c r="AL245" i="13"/>
  <c r="AK245" i="13"/>
  <c r="AJ245" i="13"/>
  <c r="AC245" i="13"/>
  <c r="AB245" i="13"/>
  <c r="AA245" i="13"/>
  <c r="Z245" i="13"/>
  <c r="AM244" i="13"/>
  <c r="AL244" i="13"/>
  <c r="AK244" i="13"/>
  <c r="AJ244" i="13"/>
  <c r="AC244" i="13"/>
  <c r="AB244" i="13"/>
  <c r="AA244" i="13"/>
  <c r="Z244" i="13"/>
  <c r="AM243" i="13"/>
  <c r="AL243" i="13"/>
  <c r="AK243" i="13"/>
  <c r="AJ243" i="13"/>
  <c r="AC243" i="13"/>
  <c r="AB243" i="13"/>
  <c r="AA243" i="13"/>
  <c r="Z243" i="13"/>
  <c r="AM242" i="13"/>
  <c r="AL242" i="13"/>
  <c r="AK242" i="13"/>
  <c r="AJ242" i="13"/>
  <c r="AC242" i="13"/>
  <c r="AB242" i="13"/>
  <c r="AA242" i="13"/>
  <c r="Z242" i="13"/>
  <c r="AM241" i="13"/>
  <c r="AL241" i="13"/>
  <c r="AK241" i="13"/>
  <c r="AJ241" i="13"/>
  <c r="AC241" i="13"/>
  <c r="AB241" i="13"/>
  <c r="AA241" i="13"/>
  <c r="Z241" i="13"/>
  <c r="AM240" i="13"/>
  <c r="AL240" i="13"/>
  <c r="AK240" i="13"/>
  <c r="AJ240" i="13"/>
  <c r="AC240" i="13"/>
  <c r="AB240" i="13"/>
  <c r="AA240" i="13"/>
  <c r="Z240" i="13"/>
  <c r="AM239" i="13"/>
  <c r="AL239" i="13"/>
  <c r="AK239" i="13"/>
  <c r="AJ239" i="13"/>
  <c r="AC239" i="13"/>
  <c r="AB239" i="13"/>
  <c r="AA239" i="13"/>
  <c r="Z239" i="13"/>
  <c r="AM238" i="13"/>
  <c r="AL238" i="13"/>
  <c r="AK238" i="13"/>
  <c r="AJ238" i="13"/>
  <c r="AC238" i="13"/>
  <c r="AB238" i="13"/>
  <c r="AA238" i="13"/>
  <c r="Z238" i="13"/>
  <c r="AM237" i="13"/>
  <c r="AL237" i="13"/>
  <c r="AK237" i="13"/>
  <c r="AJ237" i="13"/>
  <c r="AC237" i="13"/>
  <c r="AB237" i="13"/>
  <c r="AA237" i="13"/>
  <c r="Z237" i="13"/>
  <c r="AM236" i="13"/>
  <c r="AL236" i="13"/>
  <c r="AK236" i="13"/>
  <c r="AJ236" i="13"/>
  <c r="AC236" i="13"/>
  <c r="AB236" i="13"/>
  <c r="AA236" i="13"/>
  <c r="Z236" i="13"/>
  <c r="AM235" i="13"/>
  <c r="AL235" i="13"/>
  <c r="AK235" i="13"/>
  <c r="AJ235" i="13"/>
  <c r="AC235" i="13"/>
  <c r="AB235" i="13"/>
  <c r="AA235" i="13"/>
  <c r="Z235" i="13"/>
  <c r="AM234" i="13"/>
  <c r="AL234" i="13"/>
  <c r="AK234" i="13"/>
  <c r="AJ234" i="13"/>
  <c r="AC234" i="13"/>
  <c r="AB234" i="13"/>
  <c r="AA234" i="13"/>
  <c r="Z234" i="13"/>
  <c r="AM233" i="13"/>
  <c r="AL233" i="13"/>
  <c r="AK233" i="13"/>
  <c r="AJ233" i="13"/>
  <c r="AC233" i="13"/>
  <c r="AB233" i="13"/>
  <c r="AA233" i="13"/>
  <c r="Z233" i="13"/>
  <c r="AM232" i="13"/>
  <c r="AL232" i="13"/>
  <c r="AK232" i="13"/>
  <c r="AJ232" i="13"/>
  <c r="AC232" i="13"/>
  <c r="AB232" i="13"/>
  <c r="AA232" i="13"/>
  <c r="Z232" i="13"/>
  <c r="AM231" i="13"/>
  <c r="AL231" i="13"/>
  <c r="AK231" i="13"/>
  <c r="AJ231" i="13"/>
  <c r="AC231" i="13"/>
  <c r="AB231" i="13"/>
  <c r="AA231" i="13"/>
  <c r="Z231" i="13"/>
  <c r="AM230" i="13"/>
  <c r="AL230" i="13"/>
  <c r="AK230" i="13"/>
  <c r="AJ230" i="13"/>
  <c r="AC230" i="13"/>
  <c r="AB230" i="13"/>
  <c r="AA230" i="13"/>
  <c r="Z230" i="13"/>
  <c r="AM229" i="13"/>
  <c r="AL229" i="13"/>
  <c r="AK229" i="13"/>
  <c r="AJ229" i="13"/>
  <c r="AC229" i="13"/>
  <c r="AB229" i="13"/>
  <c r="AA229" i="13"/>
  <c r="Z229" i="13"/>
  <c r="AM228" i="13"/>
  <c r="AL228" i="13"/>
  <c r="AK228" i="13"/>
  <c r="AJ228" i="13"/>
  <c r="AC228" i="13"/>
  <c r="AB228" i="13"/>
  <c r="AA228" i="13"/>
  <c r="Z228" i="13"/>
  <c r="AM227" i="13"/>
  <c r="AL227" i="13"/>
  <c r="AK227" i="13"/>
  <c r="AJ227" i="13"/>
  <c r="AC227" i="13"/>
  <c r="AB227" i="13"/>
  <c r="AA227" i="13"/>
  <c r="Z227" i="13"/>
  <c r="AM226" i="13"/>
  <c r="AL226" i="13"/>
  <c r="AK226" i="13"/>
  <c r="AJ226" i="13"/>
  <c r="AC226" i="13"/>
  <c r="AB226" i="13"/>
  <c r="AA226" i="13"/>
  <c r="Z226" i="13"/>
  <c r="AM225" i="13"/>
  <c r="AL225" i="13"/>
  <c r="AK225" i="13"/>
  <c r="AJ225" i="13"/>
  <c r="AC225" i="13"/>
  <c r="AB225" i="13"/>
  <c r="AA225" i="13"/>
  <c r="Z225" i="13"/>
  <c r="AM224" i="13"/>
  <c r="AL224" i="13"/>
  <c r="AK224" i="13"/>
  <c r="AJ224" i="13"/>
  <c r="AC224" i="13"/>
  <c r="AB224" i="13"/>
  <c r="AA224" i="13"/>
  <c r="Z224" i="13"/>
  <c r="AM223" i="13"/>
  <c r="AL223" i="13"/>
  <c r="AK223" i="13"/>
  <c r="AJ223" i="13"/>
  <c r="AC223" i="13"/>
  <c r="AB223" i="13"/>
  <c r="AA223" i="13"/>
  <c r="Z223" i="13"/>
  <c r="AM222" i="13"/>
  <c r="AL222" i="13"/>
  <c r="AK222" i="13"/>
  <c r="AJ222" i="13"/>
  <c r="AC222" i="13"/>
  <c r="AB222" i="13"/>
  <c r="AA222" i="13"/>
  <c r="Z222" i="13"/>
  <c r="AM221" i="13"/>
  <c r="AL221" i="13"/>
  <c r="AK221" i="13"/>
  <c r="AJ221" i="13"/>
  <c r="AC221" i="13"/>
  <c r="AB221" i="13"/>
  <c r="AA221" i="13"/>
  <c r="Z221" i="13"/>
  <c r="AM220" i="13"/>
  <c r="AL220" i="13"/>
  <c r="AK220" i="13"/>
  <c r="AJ220" i="13"/>
  <c r="AC220" i="13"/>
  <c r="AB220" i="13"/>
  <c r="AA220" i="13"/>
  <c r="Z220" i="13"/>
  <c r="AM219" i="13"/>
  <c r="AL219" i="13"/>
  <c r="AK219" i="13"/>
  <c r="AJ219" i="13"/>
  <c r="AC219" i="13"/>
  <c r="AB219" i="13"/>
  <c r="AA219" i="13"/>
  <c r="Z219" i="13"/>
  <c r="AM218" i="13"/>
  <c r="AL218" i="13"/>
  <c r="AK218" i="13"/>
  <c r="AJ218" i="13"/>
  <c r="AC218" i="13"/>
  <c r="AB218" i="13"/>
  <c r="AA218" i="13"/>
  <c r="Z218" i="13"/>
  <c r="AM217" i="13"/>
  <c r="AL217" i="13"/>
  <c r="AK217" i="13"/>
  <c r="AJ217" i="13"/>
  <c r="AC217" i="13"/>
  <c r="AB217" i="13"/>
  <c r="AA217" i="13"/>
  <c r="Z217" i="13"/>
  <c r="AM216" i="13"/>
  <c r="AL216" i="13"/>
  <c r="AK216" i="13"/>
  <c r="AJ216" i="13"/>
  <c r="AC216" i="13"/>
  <c r="AB216" i="13"/>
  <c r="AA216" i="13"/>
  <c r="Z216" i="13"/>
  <c r="AM215" i="13"/>
  <c r="AL215" i="13"/>
  <c r="AK215" i="13"/>
  <c r="AJ215" i="13"/>
  <c r="AC215" i="13"/>
  <c r="AB215" i="13"/>
  <c r="AA215" i="13"/>
  <c r="Z215" i="13"/>
  <c r="AM214" i="13"/>
  <c r="AL214" i="13"/>
  <c r="AK214" i="13"/>
  <c r="AJ214" i="13"/>
  <c r="AC214" i="13"/>
  <c r="AB214" i="13"/>
  <c r="AA214" i="13"/>
  <c r="Z214" i="13"/>
  <c r="AM213" i="13"/>
  <c r="AL213" i="13"/>
  <c r="AK213" i="13"/>
  <c r="AJ213" i="13"/>
  <c r="AC213" i="13"/>
  <c r="AB213" i="13"/>
  <c r="AA213" i="13"/>
  <c r="Z213" i="13"/>
  <c r="AM212" i="13"/>
  <c r="AL212" i="13"/>
  <c r="AK212" i="13"/>
  <c r="AJ212" i="13"/>
  <c r="AC212" i="13"/>
  <c r="AB212" i="13"/>
  <c r="AA212" i="13"/>
  <c r="Z212" i="13"/>
  <c r="AM211" i="13"/>
  <c r="AL211" i="13"/>
  <c r="AK211" i="13"/>
  <c r="AJ211" i="13"/>
  <c r="AC211" i="13"/>
  <c r="AB211" i="13"/>
  <c r="AA211" i="13"/>
  <c r="Z211" i="13"/>
  <c r="AM210" i="13"/>
  <c r="AL210" i="13"/>
  <c r="AK210" i="13"/>
  <c r="AJ210" i="13"/>
  <c r="AC210" i="13"/>
  <c r="AB210" i="13"/>
  <c r="AA210" i="13"/>
  <c r="Z210" i="13"/>
  <c r="AM209" i="13"/>
  <c r="AL209" i="13"/>
  <c r="AK209" i="13"/>
  <c r="AJ209" i="13"/>
  <c r="AC209" i="13"/>
  <c r="AB209" i="13"/>
  <c r="AA209" i="13"/>
  <c r="Z209" i="13"/>
  <c r="AM208" i="13"/>
  <c r="AL208" i="13"/>
  <c r="AK208" i="13"/>
  <c r="AJ208" i="13"/>
  <c r="AC208" i="13"/>
  <c r="AB208" i="13"/>
  <c r="AA208" i="13"/>
  <c r="Z208" i="13"/>
  <c r="AM207" i="13"/>
  <c r="AL207" i="13"/>
  <c r="AK207" i="13"/>
  <c r="AJ207" i="13"/>
  <c r="AC207" i="13"/>
  <c r="AB207" i="13"/>
  <c r="AA207" i="13"/>
  <c r="Z207" i="13"/>
  <c r="AM206" i="13"/>
  <c r="AL206" i="13"/>
  <c r="AK206" i="13"/>
  <c r="AJ206" i="13"/>
  <c r="AC206" i="13"/>
  <c r="AB206" i="13"/>
  <c r="AA206" i="13"/>
  <c r="Z206" i="13"/>
  <c r="AM205" i="13"/>
  <c r="AL205" i="13"/>
  <c r="AK205" i="13"/>
  <c r="AJ205" i="13"/>
  <c r="AC205" i="13"/>
  <c r="AB205" i="13"/>
  <c r="AA205" i="13"/>
  <c r="Z205" i="13"/>
  <c r="AM204" i="13"/>
  <c r="AL204" i="13"/>
  <c r="AK204" i="13"/>
  <c r="AJ204" i="13"/>
  <c r="AC204" i="13"/>
  <c r="AB204" i="13"/>
  <c r="AA204" i="13"/>
  <c r="Z204" i="13"/>
  <c r="AM203" i="13"/>
  <c r="AL203" i="13"/>
  <c r="AK203" i="13"/>
  <c r="AJ203" i="13"/>
  <c r="AC203" i="13"/>
  <c r="AB203" i="13"/>
  <c r="AA203" i="13"/>
  <c r="Z203" i="13"/>
  <c r="AM202" i="13"/>
  <c r="AL202" i="13"/>
  <c r="AK202" i="13"/>
  <c r="AJ202" i="13"/>
  <c r="AC202" i="13"/>
  <c r="AB202" i="13"/>
  <c r="AA202" i="13"/>
  <c r="Z202" i="13"/>
  <c r="AM201" i="13"/>
  <c r="AL201" i="13"/>
  <c r="AK201" i="13"/>
  <c r="AJ201" i="13"/>
  <c r="AC201" i="13"/>
  <c r="AB201" i="13"/>
  <c r="AA201" i="13"/>
  <c r="Z201" i="13"/>
  <c r="AM200" i="13"/>
  <c r="AL200" i="13"/>
  <c r="AK200" i="13"/>
  <c r="AJ200" i="13"/>
  <c r="AC200" i="13"/>
  <c r="AB200" i="13"/>
  <c r="AA200" i="13"/>
  <c r="Z200" i="13"/>
  <c r="AM199" i="13"/>
  <c r="AL199" i="13"/>
  <c r="AK199" i="13"/>
  <c r="AJ199" i="13"/>
  <c r="AC199" i="13"/>
  <c r="AB199" i="13"/>
  <c r="AA199" i="13"/>
  <c r="Z199" i="13"/>
  <c r="AM198" i="13"/>
  <c r="AL198" i="13"/>
  <c r="AK198" i="13"/>
  <c r="AJ198" i="13"/>
  <c r="AC198" i="13"/>
  <c r="AB198" i="13"/>
  <c r="AA198" i="13"/>
  <c r="Z198" i="13"/>
  <c r="AM197" i="13"/>
  <c r="AL197" i="13"/>
  <c r="AK197" i="13"/>
  <c r="AJ197" i="13"/>
  <c r="AC197" i="13"/>
  <c r="AB197" i="13"/>
  <c r="AA197" i="13"/>
  <c r="Z197" i="13"/>
  <c r="AM196" i="13"/>
  <c r="AL196" i="13"/>
  <c r="AK196" i="13"/>
  <c r="AJ196" i="13"/>
  <c r="AC196" i="13"/>
  <c r="AB196" i="13"/>
  <c r="AA196" i="13"/>
  <c r="Z196" i="13"/>
  <c r="AM195" i="13"/>
  <c r="AL195" i="13"/>
  <c r="AK195" i="13"/>
  <c r="AJ195" i="13"/>
  <c r="AC195" i="13"/>
  <c r="AB195" i="13"/>
  <c r="AA195" i="13"/>
  <c r="Z195" i="13"/>
  <c r="AM194" i="13"/>
  <c r="AL194" i="13"/>
  <c r="AK194" i="13"/>
  <c r="AJ194" i="13"/>
  <c r="AC194" i="13"/>
  <c r="AB194" i="13"/>
  <c r="AA194" i="13"/>
  <c r="Z194" i="13"/>
  <c r="AM193" i="13"/>
  <c r="AL193" i="13"/>
  <c r="AK193" i="13"/>
  <c r="AJ193" i="13"/>
  <c r="AC193" i="13"/>
  <c r="AB193" i="13"/>
  <c r="AA193" i="13"/>
  <c r="Z193" i="13"/>
  <c r="AM192" i="13"/>
  <c r="AL192" i="13"/>
  <c r="AK192" i="13"/>
  <c r="AJ192" i="13"/>
  <c r="AC192" i="13"/>
  <c r="AB192" i="13"/>
  <c r="AA192" i="13"/>
  <c r="Z192" i="13"/>
  <c r="AM191" i="13"/>
  <c r="AL191" i="13"/>
  <c r="AK191" i="13"/>
  <c r="AJ191" i="13"/>
  <c r="AC191" i="13"/>
  <c r="AB191" i="13"/>
  <c r="AA191" i="13"/>
  <c r="Z191" i="13"/>
  <c r="AM190" i="13"/>
  <c r="AL190" i="13"/>
  <c r="AK190" i="13"/>
  <c r="AJ190" i="13"/>
  <c r="AC190" i="13"/>
  <c r="AB190" i="13"/>
  <c r="AA190" i="13"/>
  <c r="Z190" i="13"/>
  <c r="AM189" i="13"/>
  <c r="AL189" i="13"/>
  <c r="AK189" i="13"/>
  <c r="AJ189" i="13"/>
  <c r="AC189" i="13"/>
  <c r="AB189" i="13"/>
  <c r="AA189" i="13"/>
  <c r="Z189" i="13"/>
  <c r="AM188" i="13"/>
  <c r="AL188" i="13"/>
  <c r="AK188" i="13"/>
  <c r="AJ188" i="13"/>
  <c r="AC188" i="13"/>
  <c r="AB188" i="13"/>
  <c r="AA188" i="13"/>
  <c r="Z188" i="13"/>
  <c r="AM187" i="13"/>
  <c r="AL187" i="13"/>
  <c r="AK187" i="13"/>
  <c r="AJ187" i="13"/>
  <c r="AC187" i="13"/>
  <c r="AB187" i="13"/>
  <c r="AA187" i="13"/>
  <c r="Z187" i="13"/>
  <c r="AM186" i="13"/>
  <c r="AL186" i="13"/>
  <c r="AK186" i="13"/>
  <c r="AJ186" i="13"/>
  <c r="AC186" i="13"/>
  <c r="AB186" i="13"/>
  <c r="AA186" i="13"/>
  <c r="Z186" i="13"/>
  <c r="AM185" i="13"/>
  <c r="AL185" i="13"/>
  <c r="AK185" i="13"/>
  <c r="AJ185" i="13"/>
  <c r="AC185" i="13"/>
  <c r="AB185" i="13"/>
  <c r="AA185" i="13"/>
  <c r="Z185" i="13"/>
  <c r="AM184" i="13"/>
  <c r="AL184" i="13"/>
  <c r="AK184" i="13"/>
  <c r="AJ184" i="13"/>
  <c r="AC184" i="13"/>
  <c r="AB184" i="13"/>
  <c r="AA184" i="13"/>
  <c r="Z184" i="13"/>
  <c r="AM183" i="13"/>
  <c r="AL183" i="13"/>
  <c r="AK183" i="13"/>
  <c r="AJ183" i="13"/>
  <c r="AC183" i="13"/>
  <c r="AB183" i="13"/>
  <c r="AA183" i="13"/>
  <c r="Z183" i="13"/>
  <c r="AM182" i="13"/>
  <c r="AL182" i="13"/>
  <c r="AK182" i="13"/>
  <c r="AJ182" i="13"/>
  <c r="AC182" i="13"/>
  <c r="AB182" i="13"/>
  <c r="AA182" i="13"/>
  <c r="Z182" i="13"/>
  <c r="AM181" i="13"/>
  <c r="AL181" i="13"/>
  <c r="AK181" i="13"/>
  <c r="AJ181" i="13"/>
  <c r="AC181" i="13"/>
  <c r="AB181" i="13"/>
  <c r="AA181" i="13"/>
  <c r="Z181" i="13"/>
  <c r="AM180" i="13"/>
  <c r="AL180" i="13"/>
  <c r="AK180" i="13"/>
  <c r="AJ180" i="13"/>
  <c r="AC180" i="13"/>
  <c r="AB180" i="13"/>
  <c r="AA180" i="13"/>
  <c r="Z180" i="13"/>
  <c r="AM179" i="13"/>
  <c r="AL179" i="13"/>
  <c r="AK179" i="13"/>
  <c r="AJ179" i="13"/>
  <c r="AC179" i="13"/>
  <c r="AB179" i="13"/>
  <c r="AA179" i="13"/>
  <c r="Z179" i="13"/>
  <c r="AM178" i="13"/>
  <c r="AL178" i="13"/>
  <c r="AK178" i="13"/>
  <c r="AJ178" i="13"/>
  <c r="AC178" i="13"/>
  <c r="AB178" i="13"/>
  <c r="AA178" i="13"/>
  <c r="Z178" i="13"/>
  <c r="AM177" i="13"/>
  <c r="AL177" i="13"/>
  <c r="AK177" i="13"/>
  <c r="AJ177" i="13"/>
  <c r="AC177" i="13"/>
  <c r="AB177" i="13"/>
  <c r="AA177" i="13"/>
  <c r="Z177" i="13"/>
  <c r="AM176" i="13"/>
  <c r="AL176" i="13"/>
  <c r="AK176" i="13"/>
  <c r="AJ176" i="13"/>
  <c r="AC176" i="13"/>
  <c r="AB176" i="13"/>
  <c r="AA176" i="13"/>
  <c r="Z176" i="13"/>
  <c r="AM175" i="13"/>
  <c r="AL175" i="13"/>
  <c r="AK175" i="13"/>
  <c r="AJ175" i="13"/>
  <c r="AC175" i="13"/>
  <c r="AB175" i="13"/>
  <c r="AA175" i="13"/>
  <c r="Z175" i="13"/>
  <c r="AM174" i="13"/>
  <c r="AL174" i="13"/>
  <c r="AK174" i="13"/>
  <c r="AJ174" i="13"/>
  <c r="AC174" i="13"/>
  <c r="AB174" i="13"/>
  <c r="AA174" i="13"/>
  <c r="Z174" i="13"/>
  <c r="AM173" i="13"/>
  <c r="AL173" i="13"/>
  <c r="AK173" i="13"/>
  <c r="AJ173" i="13"/>
  <c r="AC173" i="13"/>
  <c r="AB173" i="13"/>
  <c r="AA173" i="13"/>
  <c r="Z173" i="13"/>
  <c r="AM172" i="13"/>
  <c r="AL172" i="13"/>
  <c r="AK172" i="13"/>
  <c r="AJ172" i="13"/>
  <c r="AC172" i="13"/>
  <c r="AB172" i="13"/>
  <c r="AA172" i="13"/>
  <c r="Z172" i="13"/>
  <c r="AM171" i="13"/>
  <c r="AL171" i="13"/>
  <c r="AK171" i="13"/>
  <c r="AJ171" i="13"/>
  <c r="AC171" i="13"/>
  <c r="AB171" i="13"/>
  <c r="AA171" i="13"/>
  <c r="Z171" i="13"/>
  <c r="AM170" i="13"/>
  <c r="AL170" i="13"/>
  <c r="AK170" i="13"/>
  <c r="AJ170" i="13"/>
  <c r="AC170" i="13"/>
  <c r="AB170" i="13"/>
  <c r="AA170" i="13"/>
  <c r="Z170" i="13"/>
  <c r="AM169" i="13"/>
  <c r="AL169" i="13"/>
  <c r="AK169" i="13"/>
  <c r="AJ169" i="13"/>
  <c r="AC169" i="13"/>
  <c r="AB169" i="13"/>
  <c r="AA169" i="13"/>
  <c r="Z169" i="13"/>
  <c r="AM168" i="13"/>
  <c r="AL168" i="13"/>
  <c r="AK168" i="13"/>
  <c r="AJ168" i="13"/>
  <c r="AC168" i="13"/>
  <c r="AB168" i="13"/>
  <c r="AA168" i="13"/>
  <c r="Z168" i="13"/>
  <c r="AM167" i="13"/>
  <c r="AL167" i="13"/>
  <c r="AK167" i="13"/>
  <c r="AJ167" i="13"/>
  <c r="AC167" i="13"/>
  <c r="AB167" i="13"/>
  <c r="AA167" i="13"/>
  <c r="Z167" i="13"/>
  <c r="AM166" i="13"/>
  <c r="AL166" i="13"/>
  <c r="AK166" i="13"/>
  <c r="AJ166" i="13"/>
  <c r="AC166" i="13"/>
  <c r="AB166" i="13"/>
  <c r="AA166" i="13"/>
  <c r="Z166" i="13"/>
  <c r="AM165" i="13"/>
  <c r="AL165" i="13"/>
  <c r="AK165" i="13"/>
  <c r="AJ165" i="13"/>
  <c r="AC165" i="13"/>
  <c r="AB165" i="13"/>
  <c r="AA165" i="13"/>
  <c r="Z165" i="13"/>
  <c r="AM164" i="13"/>
  <c r="AL164" i="13"/>
  <c r="AK164" i="13"/>
  <c r="AJ164" i="13"/>
  <c r="AC164" i="13"/>
  <c r="AB164" i="13"/>
  <c r="AA164" i="13"/>
  <c r="Z164" i="13"/>
  <c r="AM163" i="13"/>
  <c r="AL163" i="13"/>
  <c r="AK163" i="13"/>
  <c r="AJ163" i="13"/>
  <c r="AC163" i="13"/>
  <c r="AB163" i="13"/>
  <c r="AA163" i="13"/>
  <c r="Z163" i="13"/>
  <c r="AM162" i="13"/>
  <c r="AL162" i="13"/>
  <c r="AK162" i="13"/>
  <c r="AJ162" i="13"/>
  <c r="AC162" i="13"/>
  <c r="AB162" i="13"/>
  <c r="AA162" i="13"/>
  <c r="Z162" i="13"/>
  <c r="AM161" i="13"/>
  <c r="AL161" i="13"/>
  <c r="AK161" i="13"/>
  <c r="AJ161" i="13"/>
  <c r="AC161" i="13"/>
  <c r="AB161" i="13"/>
  <c r="AA161" i="13"/>
  <c r="Z161" i="13"/>
  <c r="AM160" i="13"/>
  <c r="AL160" i="13"/>
  <c r="AK160" i="13"/>
  <c r="AJ160" i="13"/>
  <c r="AC160" i="13"/>
  <c r="AB160" i="13"/>
  <c r="AA160" i="13"/>
  <c r="Z160" i="13"/>
  <c r="AM159" i="13"/>
  <c r="AL159" i="13"/>
  <c r="AK159" i="13"/>
  <c r="AJ159" i="13"/>
  <c r="AC159" i="13"/>
  <c r="AB159" i="13"/>
  <c r="AA159" i="13"/>
  <c r="Z159" i="13"/>
  <c r="AM158" i="13"/>
  <c r="AL158" i="13"/>
  <c r="AK158" i="13"/>
  <c r="AJ158" i="13"/>
  <c r="AC158" i="13"/>
  <c r="AB158" i="13"/>
  <c r="AA158" i="13"/>
  <c r="Z158" i="13"/>
  <c r="AM157" i="13"/>
  <c r="AL157" i="13"/>
  <c r="AK157" i="13"/>
  <c r="AJ157" i="13"/>
  <c r="AC157" i="13"/>
  <c r="AB157" i="13"/>
  <c r="AA157" i="13"/>
  <c r="Z157" i="13"/>
  <c r="AM156" i="13"/>
  <c r="AL156" i="13"/>
  <c r="AK156" i="13"/>
  <c r="AJ156" i="13"/>
  <c r="AC156" i="13"/>
  <c r="AB156" i="13"/>
  <c r="AA156" i="13"/>
  <c r="Z156" i="13"/>
  <c r="AM155" i="13"/>
  <c r="AL155" i="13"/>
  <c r="AK155" i="13"/>
  <c r="AJ155" i="13"/>
  <c r="AC155" i="13"/>
  <c r="AB155" i="13"/>
  <c r="AA155" i="13"/>
  <c r="Z155" i="13"/>
  <c r="AM154" i="13"/>
  <c r="AL154" i="13"/>
  <c r="AK154" i="13"/>
  <c r="AJ154" i="13"/>
  <c r="AC154" i="13"/>
  <c r="AB154" i="13"/>
  <c r="AA154" i="13"/>
  <c r="Z154" i="13"/>
  <c r="AM153" i="13"/>
  <c r="AL153" i="13"/>
  <c r="AK153" i="13"/>
  <c r="AJ153" i="13"/>
  <c r="AC153" i="13"/>
  <c r="AB153" i="13"/>
  <c r="AA153" i="13"/>
  <c r="Z153" i="13"/>
  <c r="AM152" i="13"/>
  <c r="AL152" i="13"/>
  <c r="AK152" i="13"/>
  <c r="AJ152" i="13"/>
  <c r="AC152" i="13"/>
  <c r="AB152" i="13"/>
  <c r="AA152" i="13"/>
  <c r="Z152" i="13"/>
  <c r="AM151" i="13"/>
  <c r="AL151" i="13"/>
  <c r="AK151" i="13"/>
  <c r="AJ151" i="13"/>
  <c r="AC151" i="13"/>
  <c r="AB151" i="13"/>
  <c r="AA151" i="13"/>
  <c r="Z151" i="13"/>
  <c r="AM150" i="13"/>
  <c r="AL150" i="13"/>
  <c r="AK150" i="13"/>
  <c r="AJ150" i="13"/>
  <c r="AC150" i="13"/>
  <c r="AB150" i="13"/>
  <c r="AA150" i="13"/>
  <c r="Z150" i="13"/>
  <c r="AM149" i="13"/>
  <c r="AL149" i="13"/>
  <c r="AK149" i="13"/>
  <c r="AJ149" i="13"/>
  <c r="AC149" i="13"/>
  <c r="AB149" i="13"/>
  <c r="AA149" i="13"/>
  <c r="Z149" i="13"/>
  <c r="AM148" i="13"/>
  <c r="AL148" i="13"/>
  <c r="AK148" i="13"/>
  <c r="AJ148" i="13"/>
  <c r="AC148" i="13"/>
  <c r="AB148" i="13"/>
  <c r="AA148" i="13"/>
  <c r="Z148" i="13"/>
  <c r="AM147" i="13"/>
  <c r="AL147" i="13"/>
  <c r="AK147" i="13"/>
  <c r="AJ147" i="13"/>
  <c r="AC147" i="13"/>
  <c r="AB147" i="13"/>
  <c r="AA147" i="13"/>
  <c r="Z147" i="13"/>
  <c r="AM146" i="13"/>
  <c r="AL146" i="13"/>
  <c r="AK146" i="13"/>
  <c r="AJ146" i="13"/>
  <c r="AC146" i="13"/>
  <c r="AB146" i="13"/>
  <c r="AA146" i="13"/>
  <c r="Z146" i="13"/>
  <c r="AM145" i="13"/>
  <c r="AL145" i="13"/>
  <c r="AK145" i="13"/>
  <c r="AJ145" i="13"/>
  <c r="AC145" i="13"/>
  <c r="AB145" i="13"/>
  <c r="AA145" i="13"/>
  <c r="Z145" i="13"/>
  <c r="AM144" i="13"/>
  <c r="AL144" i="13"/>
  <c r="AK144" i="13"/>
  <c r="AJ144" i="13"/>
  <c r="AC144" i="13"/>
  <c r="AB144" i="13"/>
  <c r="AA144" i="13"/>
  <c r="Z144" i="13"/>
  <c r="AM143" i="13"/>
  <c r="AL143" i="13"/>
  <c r="AK143" i="13"/>
  <c r="AJ143" i="13"/>
  <c r="AC143" i="13"/>
  <c r="AB143" i="13"/>
  <c r="AA143" i="13"/>
  <c r="Z143" i="13"/>
  <c r="AM142" i="13"/>
  <c r="AL142" i="13"/>
  <c r="AK142" i="13"/>
  <c r="AJ142" i="13"/>
  <c r="AC142" i="13"/>
  <c r="AB142" i="13"/>
  <c r="AA142" i="13"/>
  <c r="Z142" i="13"/>
  <c r="AM141" i="13"/>
  <c r="AL141" i="13"/>
  <c r="AK141" i="13"/>
  <c r="AJ141" i="13"/>
  <c r="AC141" i="13"/>
  <c r="AB141" i="13"/>
  <c r="AA141" i="13"/>
  <c r="Z141" i="13"/>
  <c r="AM140" i="13"/>
  <c r="AL140" i="13"/>
  <c r="AK140" i="13"/>
  <c r="AJ140" i="13"/>
  <c r="AC140" i="13"/>
  <c r="AB140" i="13"/>
  <c r="AA140" i="13"/>
  <c r="Z140" i="13"/>
  <c r="AM139" i="13"/>
  <c r="AL139" i="13"/>
  <c r="AK139" i="13"/>
  <c r="AJ139" i="13"/>
  <c r="AC139" i="13"/>
  <c r="AB139" i="13"/>
  <c r="AA139" i="13"/>
  <c r="Z139" i="13"/>
  <c r="AM138" i="13"/>
  <c r="AL138" i="13"/>
  <c r="AK138" i="13"/>
  <c r="AJ138" i="13"/>
  <c r="AC138" i="13"/>
  <c r="AB138" i="13"/>
  <c r="AA138" i="13"/>
  <c r="Z138" i="13"/>
  <c r="AM137" i="13"/>
  <c r="AL137" i="13"/>
  <c r="AK137" i="13"/>
  <c r="AJ137" i="13"/>
  <c r="AC137" i="13"/>
  <c r="AB137" i="13"/>
  <c r="AA137" i="13"/>
  <c r="Z137" i="13"/>
  <c r="AM136" i="13"/>
  <c r="AL136" i="13"/>
  <c r="AK136" i="13"/>
  <c r="AJ136" i="13"/>
  <c r="AC136" i="13"/>
  <c r="AB136" i="13"/>
  <c r="AA136" i="13"/>
  <c r="Z136" i="13"/>
  <c r="AM135" i="13"/>
  <c r="AL135" i="13"/>
  <c r="AK135" i="13"/>
  <c r="AJ135" i="13"/>
  <c r="AC135" i="13"/>
  <c r="AB135" i="13"/>
  <c r="AA135" i="13"/>
  <c r="Z135" i="13"/>
  <c r="AM134" i="13"/>
  <c r="AL134" i="13"/>
  <c r="AK134" i="13"/>
  <c r="AJ134" i="13"/>
  <c r="AC134" i="13"/>
  <c r="AB134" i="13"/>
  <c r="AA134" i="13"/>
  <c r="Z134" i="13"/>
  <c r="AM133" i="13"/>
  <c r="AL133" i="13"/>
  <c r="AK133" i="13"/>
  <c r="AJ133" i="13"/>
  <c r="AC133" i="13"/>
  <c r="AB133" i="13"/>
  <c r="AA133" i="13"/>
  <c r="Z133" i="13"/>
  <c r="AM132" i="13"/>
  <c r="AL132" i="13"/>
  <c r="AK132" i="13"/>
  <c r="AJ132" i="13"/>
  <c r="AC132" i="13"/>
  <c r="AB132" i="13"/>
  <c r="AA132" i="13"/>
  <c r="Z132" i="13"/>
  <c r="AM131" i="13"/>
  <c r="AL131" i="13"/>
  <c r="AK131" i="13"/>
  <c r="AJ131" i="13"/>
  <c r="AC131" i="13"/>
  <c r="AB131" i="13"/>
  <c r="AA131" i="13"/>
  <c r="Z131" i="13"/>
  <c r="AM130" i="13"/>
  <c r="AL130" i="13"/>
  <c r="AK130" i="13"/>
  <c r="AJ130" i="13"/>
  <c r="AC130" i="13"/>
  <c r="AB130" i="13"/>
  <c r="AA130" i="13"/>
  <c r="Z130" i="13"/>
  <c r="AM129" i="13"/>
  <c r="AL129" i="13"/>
  <c r="AK129" i="13"/>
  <c r="AJ129" i="13"/>
  <c r="AC129" i="13"/>
  <c r="AB129" i="13"/>
  <c r="AA129" i="13"/>
  <c r="Z129" i="13"/>
  <c r="AM128" i="13"/>
  <c r="AL128" i="13"/>
  <c r="AK128" i="13"/>
  <c r="AJ128" i="13"/>
  <c r="AC128" i="13"/>
  <c r="AB128" i="13"/>
  <c r="AA128" i="13"/>
  <c r="Z128" i="13"/>
  <c r="AM127" i="13"/>
  <c r="AL127" i="13"/>
  <c r="AK127" i="13"/>
  <c r="AJ127" i="13"/>
  <c r="AC127" i="13"/>
  <c r="AB127" i="13"/>
  <c r="AA127" i="13"/>
  <c r="Z127" i="13"/>
  <c r="AM126" i="13"/>
  <c r="AL126" i="13"/>
  <c r="AK126" i="13"/>
  <c r="AJ126" i="13"/>
  <c r="AC126" i="13"/>
  <c r="AB126" i="13"/>
  <c r="AA126" i="13"/>
  <c r="Z126" i="13"/>
  <c r="AM125" i="13"/>
  <c r="AL125" i="13"/>
  <c r="AK125" i="13"/>
  <c r="AJ125" i="13"/>
  <c r="AC125" i="13"/>
  <c r="AB125" i="13"/>
  <c r="AA125" i="13"/>
  <c r="Z125" i="13"/>
  <c r="AM124" i="13"/>
  <c r="AL124" i="13"/>
  <c r="AK124" i="13"/>
  <c r="AJ124" i="13"/>
  <c r="AC124" i="13"/>
  <c r="AB124" i="13"/>
  <c r="AA124" i="13"/>
  <c r="Z124" i="13"/>
  <c r="AM123" i="13"/>
  <c r="AL123" i="13"/>
  <c r="AK123" i="13"/>
  <c r="AJ123" i="13"/>
  <c r="AC123" i="13"/>
  <c r="AB123" i="13"/>
  <c r="AA123" i="13"/>
  <c r="Z123" i="13"/>
  <c r="AM122" i="13"/>
  <c r="AL122" i="13"/>
  <c r="AK122" i="13"/>
  <c r="AJ122" i="13"/>
  <c r="AC122" i="13"/>
  <c r="AB122" i="13"/>
  <c r="AA122" i="13"/>
  <c r="Z122" i="13"/>
  <c r="AM121" i="13"/>
  <c r="AL121" i="13"/>
  <c r="AK121" i="13"/>
  <c r="AJ121" i="13"/>
  <c r="AC121" i="13"/>
  <c r="AB121" i="13"/>
  <c r="AA121" i="13"/>
  <c r="Z121" i="13"/>
  <c r="AM120" i="13"/>
  <c r="AL120" i="13"/>
  <c r="AK120" i="13"/>
  <c r="AJ120" i="13"/>
  <c r="AC120" i="13"/>
  <c r="AB120" i="13"/>
  <c r="AA120" i="13"/>
  <c r="Z120" i="13"/>
  <c r="AM119" i="13"/>
  <c r="AL119" i="13"/>
  <c r="AK119" i="13"/>
  <c r="AJ119" i="13"/>
  <c r="AC119" i="13"/>
  <c r="AB119" i="13"/>
  <c r="AA119" i="13"/>
  <c r="Z119" i="13"/>
  <c r="AM118" i="13"/>
  <c r="AL118" i="13"/>
  <c r="AK118" i="13"/>
  <c r="AJ118" i="13"/>
  <c r="AC118" i="13"/>
  <c r="AB118" i="13"/>
  <c r="AA118" i="13"/>
  <c r="Z118" i="13"/>
  <c r="AM117" i="13"/>
  <c r="AL117" i="13"/>
  <c r="AK117" i="13"/>
  <c r="AJ117" i="13"/>
  <c r="AC117" i="13"/>
  <c r="AB117" i="13"/>
  <c r="AA117" i="13"/>
  <c r="Z117" i="13"/>
  <c r="AM116" i="13"/>
  <c r="AL116" i="13"/>
  <c r="AK116" i="13"/>
  <c r="AJ116" i="13"/>
  <c r="AC116" i="13"/>
  <c r="AB116" i="13"/>
  <c r="AA116" i="13"/>
  <c r="Z116" i="13"/>
  <c r="AM115" i="13"/>
  <c r="AL115" i="13"/>
  <c r="AK115" i="13"/>
  <c r="AJ115" i="13"/>
  <c r="AC115" i="13"/>
  <c r="AB115" i="13"/>
  <c r="AA115" i="13"/>
  <c r="Z115" i="13"/>
  <c r="AM114" i="13"/>
  <c r="AL114" i="13"/>
  <c r="AK114" i="13"/>
  <c r="AJ114" i="13"/>
  <c r="AC114" i="13"/>
  <c r="AB114" i="13"/>
  <c r="AA114" i="13"/>
  <c r="Z114" i="13"/>
  <c r="AM113" i="13"/>
  <c r="AL113" i="13"/>
  <c r="AK113" i="13"/>
  <c r="AJ113" i="13"/>
  <c r="AC113" i="13"/>
  <c r="AB113" i="13"/>
  <c r="AA113" i="13"/>
  <c r="Z113" i="13"/>
  <c r="AM112" i="13"/>
  <c r="AL112" i="13"/>
  <c r="AK112" i="13"/>
  <c r="AJ112" i="13"/>
  <c r="AC112" i="13"/>
  <c r="AB112" i="13"/>
  <c r="AA112" i="13"/>
  <c r="Z112" i="13"/>
  <c r="AM111" i="13"/>
  <c r="AL111" i="13"/>
  <c r="AK111" i="13"/>
  <c r="AJ111" i="13"/>
  <c r="AC111" i="13"/>
  <c r="AB111" i="13"/>
  <c r="AA111" i="13"/>
  <c r="Z111" i="13"/>
  <c r="AM110" i="13"/>
  <c r="AL110" i="13"/>
  <c r="AK110" i="13"/>
  <c r="AJ110" i="13"/>
  <c r="AC110" i="13"/>
  <c r="AB110" i="13"/>
  <c r="AA110" i="13"/>
  <c r="Z110" i="13"/>
  <c r="AM109" i="13"/>
  <c r="AL109" i="13"/>
  <c r="AK109" i="13"/>
  <c r="AJ109" i="13"/>
  <c r="AC109" i="13"/>
  <c r="AB109" i="13"/>
  <c r="AA109" i="13"/>
  <c r="Z109" i="13"/>
  <c r="AM108" i="13"/>
  <c r="AL108" i="13"/>
  <c r="AK108" i="13"/>
  <c r="AJ108" i="13"/>
  <c r="AC108" i="13"/>
  <c r="AB108" i="13"/>
  <c r="AA108" i="13"/>
  <c r="Z108" i="13"/>
  <c r="AM107" i="13"/>
  <c r="AL107" i="13"/>
  <c r="AK107" i="13"/>
  <c r="AJ107" i="13"/>
  <c r="AC107" i="13"/>
  <c r="AB107" i="13"/>
  <c r="AA107" i="13"/>
  <c r="Z107" i="13"/>
  <c r="AM106" i="13"/>
  <c r="AL106" i="13"/>
  <c r="AK106" i="13"/>
  <c r="AJ106" i="13"/>
  <c r="AC106" i="13"/>
  <c r="AB106" i="13"/>
  <c r="AA106" i="13"/>
  <c r="Z106" i="13"/>
  <c r="AM105" i="13"/>
  <c r="AL105" i="13"/>
  <c r="AK105" i="13"/>
  <c r="AJ105" i="13"/>
  <c r="AC105" i="13"/>
  <c r="AB105" i="13"/>
  <c r="AA105" i="13"/>
  <c r="Z105" i="13"/>
  <c r="AM104" i="13"/>
  <c r="AL104" i="13"/>
  <c r="AK104" i="13"/>
  <c r="AJ104" i="13"/>
  <c r="AC104" i="13"/>
  <c r="AB104" i="13"/>
  <c r="AA104" i="13"/>
  <c r="Z104" i="13"/>
  <c r="AM103" i="13"/>
  <c r="AL103" i="13"/>
  <c r="AK103" i="13"/>
  <c r="AJ103" i="13"/>
  <c r="AC103" i="13"/>
  <c r="AB103" i="13"/>
  <c r="AA103" i="13"/>
  <c r="Z103" i="13"/>
  <c r="AM102" i="13"/>
  <c r="AL102" i="13"/>
  <c r="AK102" i="13"/>
  <c r="AJ102" i="13"/>
  <c r="AC102" i="13"/>
  <c r="AB102" i="13"/>
  <c r="AA102" i="13"/>
  <c r="Z102" i="13"/>
  <c r="AM101" i="13"/>
  <c r="AL101" i="13"/>
  <c r="AK101" i="13"/>
  <c r="AJ101" i="13"/>
  <c r="AC101" i="13"/>
  <c r="AB101" i="13"/>
  <c r="AA101" i="13"/>
  <c r="Z101" i="13"/>
  <c r="AM100" i="13"/>
  <c r="AL100" i="13"/>
  <c r="AK100" i="13"/>
  <c r="AJ100" i="13"/>
  <c r="AC100" i="13"/>
  <c r="AB100" i="13"/>
  <c r="AA100" i="13"/>
  <c r="Z100" i="13"/>
  <c r="AM99" i="13"/>
  <c r="AL99" i="13"/>
  <c r="AK99" i="13"/>
  <c r="AJ99" i="13"/>
  <c r="AC99" i="13"/>
  <c r="AB99" i="13"/>
  <c r="AA99" i="13"/>
  <c r="Z99" i="13"/>
  <c r="AM98" i="13"/>
  <c r="AL98" i="13"/>
  <c r="AK98" i="13"/>
  <c r="AJ98" i="13"/>
  <c r="AC98" i="13"/>
  <c r="AB98" i="13"/>
  <c r="AA98" i="13"/>
  <c r="Z98" i="13"/>
  <c r="AM97" i="13"/>
  <c r="AL97" i="13"/>
  <c r="AK97" i="13"/>
  <c r="AJ97" i="13"/>
  <c r="AC97" i="13"/>
  <c r="AB97" i="13"/>
  <c r="AA97" i="13"/>
  <c r="Z97" i="13"/>
  <c r="AM96" i="13"/>
  <c r="AL96" i="13"/>
  <c r="AK96" i="13"/>
  <c r="AJ96" i="13"/>
  <c r="AC96" i="13"/>
  <c r="AB96" i="13"/>
  <c r="AA96" i="13"/>
  <c r="Z96" i="13"/>
  <c r="AM95" i="13"/>
  <c r="AL95" i="13"/>
  <c r="AK95" i="13"/>
  <c r="AJ95" i="13"/>
  <c r="AC95" i="13"/>
  <c r="AB95" i="13"/>
  <c r="AA95" i="13"/>
  <c r="Z95" i="13"/>
  <c r="AM94" i="13"/>
  <c r="AL94" i="13"/>
  <c r="AK94" i="13"/>
  <c r="AJ94" i="13"/>
  <c r="AC94" i="13"/>
  <c r="AB94" i="13"/>
  <c r="AA94" i="13"/>
  <c r="Z94" i="13"/>
  <c r="AM93" i="13"/>
  <c r="AL93" i="13"/>
  <c r="AK93" i="13"/>
  <c r="AJ93" i="13"/>
  <c r="AC93" i="13"/>
  <c r="AB93" i="13"/>
  <c r="AA93" i="13"/>
  <c r="Z93" i="13"/>
  <c r="AM92" i="13"/>
  <c r="AL92" i="13"/>
  <c r="AK92" i="13"/>
  <c r="AJ92" i="13"/>
  <c r="AC92" i="13"/>
  <c r="AB92" i="13"/>
  <c r="AA92" i="13"/>
  <c r="Z92" i="13"/>
  <c r="AM91" i="13"/>
  <c r="AL91" i="13"/>
  <c r="AK91" i="13"/>
  <c r="AJ91" i="13"/>
  <c r="AC91" i="13"/>
  <c r="AB91" i="13"/>
  <c r="AA91" i="13"/>
  <c r="Z91" i="13"/>
  <c r="AM90" i="13"/>
  <c r="AL90" i="13"/>
  <c r="AK90" i="13"/>
  <c r="AJ90" i="13"/>
  <c r="AC90" i="13"/>
  <c r="AB90" i="13"/>
  <c r="AA90" i="13"/>
  <c r="Z90" i="13"/>
  <c r="AM89" i="13"/>
  <c r="AL89" i="13"/>
  <c r="AK89" i="13"/>
  <c r="AJ89" i="13"/>
  <c r="AC89" i="13"/>
  <c r="AB89" i="13"/>
  <c r="AA89" i="13"/>
  <c r="Z89" i="13"/>
  <c r="AM88" i="13"/>
  <c r="AL88" i="13"/>
  <c r="AK88" i="13"/>
  <c r="AJ88" i="13"/>
  <c r="AC88" i="13"/>
  <c r="AB88" i="13"/>
  <c r="AA88" i="13"/>
  <c r="Z88" i="13"/>
  <c r="AM87" i="13"/>
  <c r="AL87" i="13"/>
  <c r="AK87" i="13"/>
  <c r="AJ87" i="13"/>
  <c r="AC87" i="13"/>
  <c r="AB87" i="13"/>
  <c r="AA87" i="13"/>
  <c r="Z87" i="13"/>
  <c r="AM86" i="13"/>
  <c r="AL86" i="13"/>
  <c r="AK86" i="13"/>
  <c r="AJ86" i="13"/>
  <c r="AC86" i="13"/>
  <c r="AB86" i="13"/>
  <c r="AA86" i="13"/>
  <c r="Z86" i="13"/>
  <c r="AM85" i="13"/>
  <c r="AL85" i="13"/>
  <c r="AK85" i="13"/>
  <c r="AJ85" i="13"/>
  <c r="AC85" i="13"/>
  <c r="AB85" i="13"/>
  <c r="AA85" i="13"/>
  <c r="Z85" i="13"/>
  <c r="AM84" i="13"/>
  <c r="AL84" i="13"/>
  <c r="AK84" i="13"/>
  <c r="AJ84" i="13"/>
  <c r="AC84" i="13"/>
  <c r="AB84" i="13"/>
  <c r="AA84" i="13"/>
  <c r="Z84" i="13"/>
  <c r="AM83" i="13"/>
  <c r="AL83" i="13"/>
  <c r="AK83" i="13"/>
  <c r="AJ83" i="13"/>
  <c r="AC83" i="13"/>
  <c r="AB83" i="13"/>
  <c r="AA83" i="13"/>
  <c r="Z83" i="13"/>
  <c r="AM82" i="13"/>
  <c r="AL82" i="13"/>
  <c r="AK82" i="13"/>
  <c r="AJ82" i="13"/>
  <c r="AC82" i="13"/>
  <c r="AB82" i="13"/>
  <c r="AA82" i="13"/>
  <c r="Z82" i="13"/>
  <c r="AM81" i="13"/>
  <c r="AL81" i="13"/>
  <c r="AK81" i="13"/>
  <c r="AJ81" i="13"/>
  <c r="AC81" i="13"/>
  <c r="AB81" i="13"/>
  <c r="AA81" i="13"/>
  <c r="Z81" i="13"/>
  <c r="AM80" i="13"/>
  <c r="AL80" i="13"/>
  <c r="AK80" i="13"/>
  <c r="AJ80" i="13"/>
  <c r="AC80" i="13"/>
  <c r="AB80" i="13"/>
  <c r="AA80" i="13"/>
  <c r="Z80" i="13"/>
  <c r="AM79" i="13"/>
  <c r="AL79" i="13"/>
  <c r="AK79" i="13"/>
  <c r="AJ79" i="13"/>
  <c r="AC79" i="13"/>
  <c r="AB79" i="13"/>
  <c r="AA79" i="13"/>
  <c r="Z79" i="13"/>
  <c r="AM78" i="13"/>
  <c r="AL78" i="13"/>
  <c r="AK78" i="13"/>
  <c r="AJ78" i="13"/>
  <c r="AC78" i="13"/>
  <c r="AB78" i="13"/>
  <c r="AA78" i="13"/>
  <c r="Z78" i="13"/>
  <c r="AM77" i="13"/>
  <c r="AL77" i="13"/>
  <c r="AK77" i="13"/>
  <c r="AJ77" i="13"/>
  <c r="AC77" i="13"/>
  <c r="AB77" i="13"/>
  <c r="AA77" i="13"/>
  <c r="Z77" i="13"/>
  <c r="AM76" i="13"/>
  <c r="AL76" i="13"/>
  <c r="AK76" i="13"/>
  <c r="AJ76" i="13"/>
  <c r="AC76" i="13"/>
  <c r="AB76" i="13"/>
  <c r="AA76" i="13"/>
  <c r="Z76" i="13"/>
  <c r="AM75" i="13"/>
  <c r="AL75" i="13"/>
  <c r="AK75" i="13"/>
  <c r="AJ75" i="13"/>
  <c r="AC75" i="13"/>
  <c r="AB75" i="13"/>
  <c r="AA75" i="13"/>
  <c r="Z75" i="13"/>
  <c r="AM74" i="13"/>
  <c r="AL74" i="13"/>
  <c r="AK74" i="13"/>
  <c r="AJ74" i="13"/>
  <c r="AC74" i="13"/>
  <c r="AB74" i="13"/>
  <c r="AA74" i="13"/>
  <c r="Z74" i="13"/>
  <c r="AM73" i="13"/>
  <c r="AL73" i="13"/>
  <c r="AK73" i="13"/>
  <c r="AJ73" i="13"/>
  <c r="AC73" i="13"/>
  <c r="AB73" i="13"/>
  <c r="AA73" i="13"/>
  <c r="Z73" i="13"/>
  <c r="AM72" i="13"/>
  <c r="AL72" i="13"/>
  <c r="AK72" i="13"/>
  <c r="AJ72" i="13"/>
  <c r="AC72" i="13"/>
  <c r="AB72" i="13"/>
  <c r="AA72" i="13"/>
  <c r="Z72" i="13"/>
  <c r="AM71" i="13"/>
  <c r="AL71" i="13"/>
  <c r="AK71" i="13"/>
  <c r="AJ71" i="13"/>
  <c r="AC71" i="13"/>
  <c r="AB71" i="13"/>
  <c r="AA71" i="13"/>
  <c r="Z71" i="13"/>
  <c r="AM70" i="13"/>
  <c r="AL70" i="13"/>
  <c r="AK70" i="13"/>
  <c r="AJ70" i="13"/>
  <c r="AC70" i="13"/>
  <c r="AB70" i="13"/>
  <c r="AA70" i="13"/>
  <c r="Z70" i="13"/>
  <c r="AM69" i="13"/>
  <c r="AL69" i="13"/>
  <c r="AK69" i="13"/>
  <c r="AJ69" i="13"/>
  <c r="AC69" i="13"/>
  <c r="AB69" i="13"/>
  <c r="AA69" i="13"/>
  <c r="Z69" i="13"/>
  <c r="AM68" i="13"/>
  <c r="AL68" i="13"/>
  <c r="AK68" i="13"/>
  <c r="AJ68" i="13"/>
  <c r="AC68" i="13"/>
  <c r="AB68" i="13"/>
  <c r="AA68" i="13"/>
  <c r="Z68" i="13"/>
  <c r="AM67" i="13"/>
  <c r="AL67" i="13"/>
  <c r="AK67" i="13"/>
  <c r="AJ67" i="13"/>
  <c r="AC67" i="13"/>
  <c r="AB67" i="13"/>
  <c r="AA67" i="13"/>
  <c r="Z67" i="13"/>
  <c r="AM66" i="13"/>
  <c r="AL66" i="13"/>
  <c r="AK66" i="13"/>
  <c r="AJ66" i="13"/>
  <c r="AC66" i="13"/>
  <c r="AB66" i="13"/>
  <c r="AA66" i="13"/>
  <c r="Z66" i="13"/>
  <c r="AM65" i="13"/>
  <c r="AL65" i="13"/>
  <c r="AK65" i="13"/>
  <c r="AJ65" i="13"/>
  <c r="AC65" i="13"/>
  <c r="AB65" i="13"/>
  <c r="AA65" i="13"/>
  <c r="Z65" i="13"/>
  <c r="AM64" i="13"/>
  <c r="AL64" i="13"/>
  <c r="AK64" i="13"/>
  <c r="AJ64" i="13"/>
  <c r="AC64" i="13"/>
  <c r="AB64" i="13"/>
  <c r="AA64" i="13"/>
  <c r="Z64" i="13"/>
  <c r="AM63" i="13"/>
  <c r="AL63" i="13"/>
  <c r="AK63" i="13"/>
  <c r="AJ63" i="13"/>
  <c r="AC63" i="13"/>
  <c r="AB63" i="13"/>
  <c r="AA63" i="13"/>
  <c r="Z63" i="13"/>
  <c r="AM62" i="13"/>
  <c r="AL62" i="13"/>
  <c r="AK62" i="13"/>
  <c r="AJ62" i="13"/>
  <c r="AC62" i="13"/>
  <c r="AB62" i="13"/>
  <c r="AA62" i="13"/>
  <c r="Z62" i="13"/>
  <c r="AM61" i="13"/>
  <c r="AL61" i="13"/>
  <c r="AK61" i="13"/>
  <c r="AJ61" i="13"/>
  <c r="AC61" i="13"/>
  <c r="AB61" i="13"/>
  <c r="AA61" i="13"/>
  <c r="Z61" i="13"/>
  <c r="AM60" i="13"/>
  <c r="AL60" i="13"/>
  <c r="AK60" i="13"/>
  <c r="AJ60" i="13"/>
  <c r="AC60" i="13"/>
  <c r="AB60" i="13"/>
  <c r="AA60" i="13"/>
  <c r="Z60" i="13"/>
  <c r="AM59" i="13"/>
  <c r="AL59" i="13"/>
  <c r="AK59" i="13"/>
  <c r="AJ59" i="13"/>
  <c r="AC59" i="13"/>
  <c r="AB59" i="13"/>
  <c r="AA59" i="13"/>
  <c r="Z59" i="13"/>
  <c r="AM58" i="13"/>
  <c r="AL58" i="13"/>
  <c r="AK58" i="13"/>
  <c r="AJ58" i="13"/>
  <c r="AC58" i="13"/>
  <c r="AB58" i="13"/>
  <c r="AA58" i="13"/>
  <c r="Z58" i="13"/>
  <c r="AM57" i="13"/>
  <c r="AL57" i="13"/>
  <c r="AK57" i="13"/>
  <c r="AJ57" i="13"/>
  <c r="AC57" i="13"/>
  <c r="AB57" i="13"/>
  <c r="AA57" i="13"/>
  <c r="Z57" i="13"/>
  <c r="AM56" i="13"/>
  <c r="AL56" i="13"/>
  <c r="AK56" i="13"/>
  <c r="AJ56" i="13"/>
  <c r="AC56" i="13"/>
  <c r="AB56" i="13"/>
  <c r="AA56" i="13"/>
  <c r="Z56" i="13"/>
  <c r="AM55" i="13"/>
  <c r="AL55" i="13"/>
  <c r="AK55" i="13"/>
  <c r="AJ55" i="13"/>
  <c r="AC55" i="13"/>
  <c r="AB55" i="13"/>
  <c r="AA55" i="13"/>
  <c r="Z55" i="13"/>
  <c r="AM54" i="13"/>
  <c r="AL54" i="13"/>
  <c r="AK54" i="13"/>
  <c r="AJ54" i="13"/>
  <c r="AC54" i="13"/>
  <c r="AB54" i="13"/>
  <c r="AA54" i="13"/>
  <c r="Z54" i="13"/>
  <c r="AM53" i="13"/>
  <c r="AL53" i="13"/>
  <c r="AK53" i="13"/>
  <c r="AJ53" i="13"/>
  <c r="AC53" i="13"/>
  <c r="AB53" i="13"/>
  <c r="AA53" i="13"/>
  <c r="Z53" i="13"/>
  <c r="AM52" i="13"/>
  <c r="AL52" i="13"/>
  <c r="AK52" i="13"/>
  <c r="AJ52" i="13"/>
  <c r="AC52" i="13"/>
  <c r="AB52" i="13"/>
  <c r="AA52" i="13"/>
  <c r="Z52" i="13"/>
  <c r="AM51" i="13"/>
  <c r="AL51" i="13"/>
  <c r="AK51" i="13"/>
  <c r="AJ51" i="13"/>
  <c r="AC51" i="13"/>
  <c r="AB51" i="13"/>
  <c r="AA51" i="13"/>
  <c r="Z51" i="13"/>
  <c r="AM50" i="13"/>
  <c r="AL50" i="13"/>
  <c r="AK50" i="13"/>
  <c r="AJ50" i="13"/>
  <c r="AC50" i="13"/>
  <c r="AB50" i="13"/>
  <c r="AA50" i="13"/>
  <c r="Z50" i="13"/>
  <c r="AM49" i="13"/>
  <c r="AL49" i="13"/>
  <c r="AK49" i="13"/>
  <c r="AJ49" i="13"/>
  <c r="AC49" i="13"/>
  <c r="AB49" i="13"/>
  <c r="AA49" i="13"/>
  <c r="Z49" i="13"/>
  <c r="AM48" i="13"/>
  <c r="AL48" i="13"/>
  <c r="AK48" i="13"/>
  <c r="AJ48" i="13"/>
  <c r="AC48" i="13"/>
  <c r="AB48" i="13"/>
  <c r="AA48" i="13"/>
  <c r="Z48" i="13"/>
  <c r="AM47" i="13"/>
  <c r="AL47" i="13"/>
  <c r="AK47" i="13"/>
  <c r="AJ47" i="13"/>
  <c r="AC47" i="13"/>
  <c r="AB47" i="13"/>
  <c r="AA47" i="13"/>
  <c r="Z47" i="13"/>
  <c r="AM46" i="13"/>
  <c r="AL46" i="13"/>
  <c r="AK46" i="13"/>
  <c r="AJ46" i="13"/>
  <c r="AC46" i="13"/>
  <c r="AB46" i="13"/>
  <c r="AA46" i="13"/>
  <c r="Z46" i="13"/>
  <c r="AM45" i="13"/>
  <c r="AL45" i="13"/>
  <c r="AK45" i="13"/>
  <c r="AJ45" i="13"/>
  <c r="AC45" i="13"/>
  <c r="AB45" i="13"/>
  <c r="AA45" i="13"/>
  <c r="Z45" i="13"/>
  <c r="AM44" i="13"/>
  <c r="AL44" i="13"/>
  <c r="AK44" i="13"/>
  <c r="AJ44" i="13"/>
  <c r="AC44" i="13"/>
  <c r="AB44" i="13"/>
  <c r="AA44" i="13"/>
  <c r="Z44" i="13"/>
  <c r="AM43" i="13"/>
  <c r="AL43" i="13"/>
  <c r="AK43" i="13"/>
  <c r="AJ43" i="13"/>
  <c r="AC43" i="13"/>
  <c r="AB43" i="13"/>
  <c r="AA43" i="13"/>
  <c r="Z43" i="13"/>
  <c r="AM42" i="13"/>
  <c r="AL42" i="13"/>
  <c r="AK42" i="13"/>
  <c r="AJ42" i="13"/>
  <c r="AC42" i="13"/>
  <c r="AB42" i="13"/>
  <c r="AA42" i="13"/>
  <c r="Z42" i="13"/>
  <c r="AM41" i="13"/>
  <c r="AL41" i="13"/>
  <c r="AK41" i="13"/>
  <c r="AJ41" i="13"/>
  <c r="AC41" i="13"/>
  <c r="AB41" i="13"/>
  <c r="AA41" i="13"/>
  <c r="Z41" i="13"/>
  <c r="AM40" i="13"/>
  <c r="AL40" i="13"/>
  <c r="AK40" i="13"/>
  <c r="AJ40" i="13"/>
  <c r="AC40" i="13"/>
  <c r="AB40" i="13"/>
  <c r="AA40" i="13"/>
  <c r="Z40" i="13"/>
  <c r="AM39" i="13"/>
  <c r="AL39" i="13"/>
  <c r="AK39" i="13"/>
  <c r="AJ39" i="13"/>
  <c r="AC39" i="13"/>
  <c r="AB39" i="13"/>
  <c r="AA39" i="13"/>
  <c r="Z39" i="13"/>
  <c r="AM38" i="13"/>
  <c r="AL38" i="13"/>
  <c r="AK38" i="13"/>
  <c r="AJ38" i="13"/>
  <c r="AC38" i="13"/>
  <c r="AB38" i="13"/>
  <c r="AA38" i="13"/>
  <c r="Z38" i="13"/>
  <c r="AM37" i="13"/>
  <c r="AL37" i="13"/>
  <c r="AK37" i="13"/>
  <c r="AJ37" i="13"/>
  <c r="AC37" i="13"/>
  <c r="AB37" i="13"/>
  <c r="AA37" i="13"/>
  <c r="Z37" i="13"/>
  <c r="AM36" i="13"/>
  <c r="AL36" i="13"/>
  <c r="AK36" i="13"/>
  <c r="AJ36" i="13"/>
  <c r="AC36" i="13"/>
  <c r="AB36" i="13"/>
  <c r="AA36" i="13"/>
  <c r="Z36" i="13"/>
  <c r="AM35" i="13"/>
  <c r="AL35" i="13"/>
  <c r="AK35" i="13"/>
  <c r="AJ35" i="13"/>
  <c r="AC35" i="13"/>
  <c r="AB35" i="13"/>
  <c r="AA35" i="13"/>
  <c r="Z35" i="13"/>
  <c r="AM34" i="13"/>
  <c r="AL34" i="13"/>
  <c r="AK34" i="13"/>
  <c r="AJ34" i="13"/>
  <c r="AC34" i="13"/>
  <c r="AB34" i="13"/>
  <c r="AA34" i="13"/>
  <c r="Z34" i="13"/>
  <c r="AM33" i="13"/>
  <c r="AL33" i="13"/>
  <c r="AK33" i="13"/>
  <c r="AJ33" i="13"/>
  <c r="AC33" i="13"/>
  <c r="AB33" i="13"/>
  <c r="AA33" i="13"/>
  <c r="Z33" i="13"/>
  <c r="AM32" i="13"/>
  <c r="AL32" i="13"/>
  <c r="AK32" i="13"/>
  <c r="AJ32" i="13"/>
  <c r="AC32" i="13"/>
  <c r="AB32" i="13"/>
  <c r="AA32" i="13"/>
  <c r="Z32" i="13"/>
  <c r="AM31" i="13"/>
  <c r="AL31" i="13"/>
  <c r="AK31" i="13"/>
  <c r="AJ31" i="13"/>
  <c r="AC31" i="13"/>
  <c r="AB31" i="13"/>
  <c r="AA31" i="13"/>
  <c r="Z31" i="13"/>
  <c r="AM30" i="13"/>
  <c r="AL30" i="13"/>
  <c r="AK30" i="13"/>
  <c r="AJ30" i="13"/>
  <c r="AC30" i="13"/>
  <c r="AB30" i="13"/>
  <c r="AA30" i="13"/>
  <c r="Z30" i="13"/>
  <c r="AM29" i="13"/>
  <c r="AL29" i="13"/>
  <c r="AK29" i="13"/>
  <c r="AJ29" i="13"/>
  <c r="AC29" i="13"/>
  <c r="AB29" i="13"/>
  <c r="AA29" i="13"/>
  <c r="Z29" i="13"/>
  <c r="AM28" i="13"/>
  <c r="AL28" i="13"/>
  <c r="AK28" i="13"/>
  <c r="AJ28" i="13"/>
  <c r="AC28" i="13"/>
  <c r="AB28" i="13"/>
  <c r="AA28" i="13"/>
  <c r="Z28" i="13"/>
  <c r="AM27" i="13"/>
  <c r="AL27" i="13"/>
  <c r="AK27" i="13"/>
  <c r="AJ27" i="13"/>
  <c r="AC27" i="13"/>
  <c r="AB27" i="13"/>
  <c r="AA27" i="13"/>
  <c r="Z27" i="13"/>
  <c r="AM26" i="13"/>
  <c r="AL26" i="13"/>
  <c r="AK26" i="13"/>
  <c r="AJ26" i="13"/>
  <c r="AC26" i="13"/>
  <c r="AB26" i="13"/>
  <c r="AA26" i="13"/>
  <c r="Z26" i="13"/>
  <c r="AM25" i="13"/>
  <c r="AL25" i="13"/>
  <c r="AK25" i="13"/>
  <c r="AJ25" i="13"/>
  <c r="AC25" i="13"/>
  <c r="AB25" i="13"/>
  <c r="AA25" i="13"/>
  <c r="Z25" i="13"/>
  <c r="AM24" i="13"/>
  <c r="AL24" i="13"/>
  <c r="AK24" i="13"/>
  <c r="AJ24" i="13"/>
  <c r="AC24" i="13"/>
  <c r="AB24" i="13"/>
  <c r="AA24" i="13"/>
  <c r="Z24" i="13"/>
  <c r="AM23" i="13"/>
  <c r="AL23" i="13"/>
  <c r="AK23" i="13"/>
  <c r="AJ23" i="13"/>
  <c r="AC23" i="13"/>
  <c r="AB23" i="13"/>
  <c r="AA23" i="13"/>
  <c r="Z23" i="13"/>
  <c r="AM22" i="13"/>
  <c r="AL22" i="13"/>
  <c r="AK22" i="13"/>
  <c r="AJ22" i="13"/>
  <c r="AC22" i="13"/>
  <c r="AB22" i="13"/>
  <c r="AA22" i="13"/>
  <c r="Z22" i="13"/>
  <c r="AM21" i="13"/>
  <c r="AL21" i="13"/>
  <c r="AK21" i="13"/>
  <c r="AJ21" i="13"/>
  <c r="AC21" i="13"/>
  <c r="AB21" i="13"/>
  <c r="AA21" i="13"/>
  <c r="Z21" i="13"/>
  <c r="AM20" i="13"/>
  <c r="AL20" i="13"/>
  <c r="AK20" i="13"/>
  <c r="AJ20" i="13"/>
  <c r="AC20" i="13"/>
  <c r="AB20" i="13"/>
  <c r="AA20" i="13"/>
  <c r="Z20" i="13"/>
  <c r="AM19" i="13"/>
  <c r="AL19" i="13"/>
  <c r="AK19" i="13"/>
  <c r="AJ19" i="13"/>
  <c r="AC19" i="13"/>
  <c r="AB19" i="13"/>
  <c r="AA19" i="13"/>
  <c r="Z19" i="13"/>
  <c r="AM18" i="13"/>
  <c r="AL18" i="13"/>
  <c r="AK18" i="13"/>
  <c r="AJ18" i="13"/>
  <c r="AC18" i="13"/>
  <c r="AB18" i="13"/>
  <c r="AA18" i="13"/>
  <c r="Z18" i="13"/>
  <c r="AM17" i="13"/>
  <c r="AL17" i="13"/>
  <c r="AK17" i="13"/>
  <c r="AJ17" i="13"/>
  <c r="AC17" i="13"/>
  <c r="AB17" i="13"/>
  <c r="AA17" i="13"/>
  <c r="Z17" i="13"/>
  <c r="AM16" i="13"/>
  <c r="AL16" i="13"/>
  <c r="AK16" i="13"/>
  <c r="AJ16" i="13"/>
  <c r="AC16" i="13"/>
  <c r="AB16" i="13"/>
  <c r="AA16" i="13"/>
  <c r="Z16" i="13"/>
  <c r="AM15" i="13"/>
  <c r="AL15" i="13"/>
  <c r="AK15" i="13"/>
  <c r="AJ15" i="13"/>
  <c r="AC15" i="13"/>
  <c r="AB15" i="13"/>
  <c r="AA15" i="13"/>
  <c r="Z15" i="13"/>
  <c r="AM14" i="13"/>
  <c r="AL14" i="13"/>
  <c r="AK14" i="13"/>
  <c r="AJ14" i="13"/>
  <c r="AC14" i="13"/>
  <c r="AB14" i="13"/>
  <c r="AA14" i="13"/>
  <c r="Z14" i="13"/>
  <c r="AM13" i="13"/>
  <c r="AL13" i="13"/>
  <c r="AK13" i="13"/>
  <c r="AJ13" i="13"/>
  <c r="AC13" i="13"/>
  <c r="AB13" i="13"/>
  <c r="AA13" i="13"/>
  <c r="Z13" i="13"/>
  <c r="AM12" i="13"/>
  <c r="AL12" i="13"/>
  <c r="AK12" i="13"/>
  <c r="AJ12" i="13"/>
  <c r="AC12" i="13"/>
  <c r="AB12" i="13"/>
  <c r="AA12" i="13"/>
  <c r="Z12" i="13"/>
  <c r="AM11" i="13"/>
  <c r="AL11" i="13"/>
  <c r="AK11" i="13"/>
  <c r="AJ11" i="13"/>
  <c r="AC11" i="13"/>
  <c r="AB11" i="13"/>
  <c r="AA11" i="13"/>
  <c r="Z11" i="13"/>
  <c r="AM10" i="13"/>
  <c r="AL10" i="13"/>
  <c r="AK10" i="13"/>
  <c r="AJ10" i="13"/>
  <c r="AC10" i="13"/>
  <c r="AB10" i="13"/>
  <c r="AA10" i="13"/>
  <c r="Z10" i="13"/>
  <c r="AM9" i="13"/>
  <c r="AL9" i="13"/>
  <c r="AK9" i="13"/>
  <c r="AJ9" i="13"/>
  <c r="AC9" i="13"/>
  <c r="AB9" i="13"/>
  <c r="AA9" i="13"/>
  <c r="Z9" i="13"/>
  <c r="AM8" i="13"/>
  <c r="AL8" i="13"/>
  <c r="AK8" i="13"/>
  <c r="AJ8" i="13"/>
  <c r="AC8" i="13"/>
  <c r="AB8" i="13"/>
  <c r="AA8" i="13"/>
  <c r="Z8" i="13"/>
  <c r="AM7" i="13"/>
  <c r="AL7" i="13"/>
  <c r="AK7" i="13"/>
  <c r="AJ7" i="13"/>
  <c r="AC7" i="13"/>
  <c r="AB7" i="13"/>
  <c r="AA7" i="13"/>
  <c r="Z7" i="13"/>
  <c r="AM6" i="13"/>
  <c r="AL6" i="13"/>
  <c r="AK6" i="13"/>
  <c r="AJ6" i="13"/>
  <c r="AC6" i="13"/>
  <c r="AB6" i="13"/>
  <c r="AA6" i="13"/>
  <c r="Z6" i="13"/>
  <c r="AM5" i="13"/>
  <c r="AL5" i="13"/>
  <c r="AK5" i="13"/>
  <c r="AJ5" i="13"/>
  <c r="AC5" i="13"/>
  <c r="AB5" i="13"/>
  <c r="AA5" i="13"/>
  <c r="Z5" i="13"/>
  <c r="Y9" i="13"/>
  <c r="Y10" i="13" s="1"/>
  <c r="Y11" i="13"/>
  <c r="Y12" i="13" s="1"/>
  <c r="Y13" i="13" s="1"/>
  <c r="Y14" i="13" s="1"/>
  <c r="Y15" i="13"/>
  <c r="Y16" i="13"/>
  <c r="Y17" i="13"/>
  <c r="Y18" i="13" s="1"/>
  <c r="Y19" i="13" s="1"/>
  <c r="Y20" i="13" s="1"/>
  <c r="Y21" i="13" s="1"/>
  <c r="Y22" i="13" s="1"/>
  <c r="Y23" i="13"/>
  <c r="Y24" i="13"/>
  <c r="Y25" i="13" s="1"/>
  <c r="Y26" i="13" s="1"/>
  <c r="Y27" i="13" s="1"/>
  <c r="Y28" i="13" s="1"/>
  <c r="Y29" i="13" s="1"/>
  <c r="Y30" i="13" s="1"/>
  <c r="Y31" i="13" s="1"/>
  <c r="Y32" i="13" s="1"/>
  <c r="Y33" i="13" s="1"/>
  <c r="Y34" i="13" s="1"/>
  <c r="Y35" i="13" s="1"/>
  <c r="Y36" i="13" s="1"/>
  <c r="Y37" i="13" s="1"/>
  <c r="Y38" i="13" s="1"/>
  <c r="Y39" i="13" s="1"/>
  <c r="Y40" i="13" s="1"/>
  <c r="Y41" i="13" s="1"/>
  <c r="Y42" i="13" s="1"/>
  <c r="Y43" i="13" s="1"/>
  <c r="Y44" i="13" s="1"/>
  <c r="Y45" i="13" s="1"/>
  <c r="Y46" i="13" s="1"/>
  <c r="Y47" i="13" s="1"/>
  <c r="Y48" i="13" s="1"/>
  <c r="Y49" i="13" s="1"/>
  <c r="Y50" i="13" s="1"/>
  <c r="Y51" i="13" s="1"/>
  <c r="Y52" i="13" s="1"/>
  <c r="Y53" i="13" s="1"/>
  <c r="Y54" i="13" s="1"/>
  <c r="Y55" i="13" s="1"/>
  <c r="Y56" i="13" s="1"/>
  <c r="Y57" i="13" s="1"/>
  <c r="Y58" i="13" s="1"/>
  <c r="Y59" i="13" s="1"/>
  <c r="Y60" i="13" s="1"/>
  <c r="Y61" i="13" s="1"/>
  <c r="Y62" i="13" s="1"/>
  <c r="Y63" i="13" s="1"/>
  <c r="Y64" i="13" s="1"/>
  <c r="Y65" i="13" s="1"/>
  <c r="Y66" i="13" s="1"/>
  <c r="Y67" i="13" s="1"/>
  <c r="Y68" i="13" s="1"/>
  <c r="Y69" i="13" s="1"/>
  <c r="Y70" i="13" s="1"/>
  <c r="Y71" i="13" s="1"/>
  <c r="Y72" i="13" s="1"/>
  <c r="Y73" i="13" s="1"/>
  <c r="Y74" i="13" s="1"/>
  <c r="Y75" i="13" s="1"/>
  <c r="Y76" i="13" s="1"/>
  <c r="Y77" i="13" s="1"/>
  <c r="Y78" i="13" s="1"/>
  <c r="Y79" i="13" s="1"/>
  <c r="Y80" i="13" s="1"/>
  <c r="Y81" i="13" s="1"/>
  <c r="Y82" i="13" s="1"/>
  <c r="Y83" i="13" s="1"/>
  <c r="Y84" i="13" s="1"/>
  <c r="Y85" i="13" s="1"/>
  <c r="Y86" i="13" s="1"/>
  <c r="Y87" i="13" s="1"/>
  <c r="Y88" i="13" s="1"/>
  <c r="Y89" i="13" s="1"/>
  <c r="Y90" i="13" s="1"/>
  <c r="Y91" i="13" s="1"/>
  <c r="Y92" i="13" s="1"/>
  <c r="Y93" i="13" s="1"/>
  <c r="Y94" i="13" s="1"/>
  <c r="Y95" i="13" s="1"/>
  <c r="Y96" i="13" s="1"/>
  <c r="Y97" i="13" s="1"/>
  <c r="Y98" i="13" s="1"/>
  <c r="Y99" i="13" s="1"/>
  <c r="Y100" i="13" s="1"/>
  <c r="Y101" i="13" s="1"/>
  <c r="Y102" i="13" s="1"/>
  <c r="Y103" i="13" s="1"/>
  <c r="Y104" i="13" s="1"/>
  <c r="Y105" i="13" s="1"/>
  <c r="Y106" i="13" s="1"/>
  <c r="Y107" i="13" s="1"/>
  <c r="Y108" i="13" s="1"/>
  <c r="Y109" i="13" s="1"/>
  <c r="Y110" i="13" s="1"/>
  <c r="Y111" i="13" s="1"/>
  <c r="Y112" i="13" s="1"/>
  <c r="Y113" i="13" s="1"/>
  <c r="Y114" i="13" s="1"/>
  <c r="Y115" i="13" s="1"/>
  <c r="Y116" i="13" s="1"/>
  <c r="Y117" i="13" s="1"/>
  <c r="Y118" i="13" s="1"/>
  <c r="Y119" i="13" s="1"/>
  <c r="Y120" i="13" s="1"/>
  <c r="Y121" i="13" s="1"/>
  <c r="Y122" i="13" s="1"/>
  <c r="Y123" i="13" s="1"/>
  <c r="Y124" i="13" s="1"/>
  <c r="Y125" i="13" s="1"/>
  <c r="Y126" i="13" s="1"/>
  <c r="Y127" i="13" s="1"/>
  <c r="Y128" i="13" s="1"/>
  <c r="Y129" i="13" s="1"/>
  <c r="Y130" i="13" s="1"/>
  <c r="Y131" i="13" s="1"/>
  <c r="Y132" i="13" s="1"/>
  <c r="Y133" i="13" s="1"/>
  <c r="Y134" i="13" s="1"/>
  <c r="Y135" i="13" s="1"/>
  <c r="Y136" i="13" s="1"/>
  <c r="Y137" i="13" s="1"/>
  <c r="Y138" i="13" s="1"/>
  <c r="Y139" i="13" s="1"/>
  <c r="Y140" i="13" s="1"/>
  <c r="Y141" i="13" s="1"/>
  <c r="Y142" i="13" s="1"/>
  <c r="Y143" i="13" s="1"/>
  <c r="Y144" i="13" s="1"/>
  <c r="Y145" i="13" s="1"/>
  <c r="Y146" i="13" s="1"/>
  <c r="Y147" i="13" s="1"/>
  <c r="Y148" i="13" s="1"/>
  <c r="Y149" i="13" s="1"/>
  <c r="Y150" i="13" s="1"/>
  <c r="Y151" i="13" s="1"/>
  <c r="Y152" i="13" s="1"/>
  <c r="Y153" i="13" s="1"/>
  <c r="Y154" i="13" s="1"/>
  <c r="Y155" i="13" s="1"/>
  <c r="Y156" i="13" s="1"/>
  <c r="Y157" i="13" s="1"/>
  <c r="Y158" i="13" s="1"/>
  <c r="Y159" i="13" s="1"/>
  <c r="Y160" i="13" s="1"/>
  <c r="Y161" i="13" s="1"/>
  <c r="Y162" i="13" s="1"/>
  <c r="Y163" i="13" s="1"/>
  <c r="Y164" i="13" s="1"/>
  <c r="Y165" i="13" s="1"/>
  <c r="Y166" i="13" s="1"/>
  <c r="Y167" i="13" s="1"/>
  <c r="Y168" i="13" s="1"/>
  <c r="Y169" i="13" s="1"/>
  <c r="Y170" i="13" s="1"/>
  <c r="Y171" i="13" s="1"/>
  <c r="Y172" i="13" s="1"/>
  <c r="Y173" i="13" s="1"/>
  <c r="Y174" i="13" s="1"/>
  <c r="Y175" i="13" s="1"/>
  <c r="Y176" i="13" s="1"/>
  <c r="Y177" i="13" s="1"/>
  <c r="Y178" i="13" s="1"/>
  <c r="Y179" i="13" s="1"/>
  <c r="Y180" i="13" s="1"/>
  <c r="Y181" i="13" s="1"/>
  <c r="Y182" i="13" s="1"/>
  <c r="Y183" i="13" s="1"/>
  <c r="Y184" i="13" s="1"/>
  <c r="Y185" i="13" s="1"/>
  <c r="Y186" i="13" s="1"/>
  <c r="Y187" i="13" s="1"/>
  <c r="Y188" i="13" s="1"/>
  <c r="Y189" i="13" s="1"/>
  <c r="Y190" i="13" s="1"/>
  <c r="Y191" i="13" s="1"/>
  <c r="Y192" i="13" s="1"/>
  <c r="Y193" i="13" s="1"/>
  <c r="Y194" i="13" s="1"/>
  <c r="Y195" i="13" s="1"/>
  <c r="Y196" i="13" s="1"/>
  <c r="Y197" i="13" s="1"/>
  <c r="Y198" i="13" s="1"/>
  <c r="Y199" i="13" s="1"/>
  <c r="Y200" i="13" s="1"/>
  <c r="Y201" i="13" s="1"/>
  <c r="Y202" i="13" s="1"/>
  <c r="Y203" i="13" s="1"/>
  <c r="Y204" i="13" s="1"/>
  <c r="Y205" i="13" s="1"/>
  <c r="Y206" i="13" s="1"/>
  <c r="Y207" i="13" s="1"/>
  <c r="Y208" i="13" s="1"/>
  <c r="Y209" i="13" s="1"/>
  <c r="Y210" i="13" s="1"/>
  <c r="Y211" i="13" s="1"/>
  <c r="Y212" i="13" s="1"/>
  <c r="Y213" i="13" s="1"/>
  <c r="Y214" i="13" s="1"/>
  <c r="Y215" i="13" s="1"/>
  <c r="Y216" i="13" s="1"/>
  <c r="Y217" i="13" s="1"/>
  <c r="Y218" i="13" s="1"/>
  <c r="Y219" i="13" s="1"/>
  <c r="Y220" i="13" s="1"/>
  <c r="Y221" i="13" s="1"/>
  <c r="Y222" i="13" s="1"/>
  <c r="Y223" i="13" s="1"/>
  <c r="Y224" i="13" s="1"/>
  <c r="Y225" i="13" s="1"/>
  <c r="Y226" i="13" s="1"/>
  <c r="Y227" i="13" s="1"/>
  <c r="Y228" i="13" s="1"/>
  <c r="Y229" i="13" s="1"/>
  <c r="Y230" i="13" s="1"/>
  <c r="Y231" i="13" s="1"/>
  <c r="Y232" i="13" s="1"/>
  <c r="Y233" i="13" s="1"/>
  <c r="Y234" i="13" s="1"/>
  <c r="Y235" i="13" s="1"/>
  <c r="Y236" i="13" s="1"/>
  <c r="Y237" i="13" s="1"/>
  <c r="Y238" i="13" s="1"/>
  <c r="Y239" i="13" s="1"/>
  <c r="Y240" i="13" s="1"/>
  <c r="Y241" i="13" s="1"/>
  <c r="Y242" i="13" s="1"/>
  <c r="Y243" i="13" s="1"/>
  <c r="Y244" i="13" s="1"/>
  <c r="Y245" i="13" s="1"/>
  <c r="Y246" i="13" s="1"/>
  <c r="Y247" i="13" s="1"/>
  <c r="Y248" i="13" s="1"/>
  <c r="Y249" i="13" s="1"/>
  <c r="Y250" i="13" s="1"/>
  <c r="Y251" i="13" s="1"/>
  <c r="Y252" i="13" s="1"/>
  <c r="Y253" i="13" s="1"/>
  <c r="Y254" i="13" s="1"/>
  <c r="Y255" i="13" s="1"/>
  <c r="Y256" i="13" s="1"/>
  <c r="Y257" i="13" s="1"/>
  <c r="Y258" i="13" s="1"/>
  <c r="Y259" i="13" s="1"/>
  <c r="Y260" i="13" s="1"/>
  <c r="Y261" i="13" s="1"/>
  <c r="Y262" i="13" s="1"/>
  <c r="Y263" i="13" s="1"/>
  <c r="Y264" i="13" s="1"/>
  <c r="Y265" i="13" s="1"/>
  <c r="Y266" i="13" s="1"/>
  <c r="Y267" i="13" s="1"/>
  <c r="Y268" i="13" s="1"/>
  <c r="Y269" i="13" s="1"/>
  <c r="Y270" i="13" s="1"/>
  <c r="Y271" i="13" s="1"/>
  <c r="Y272" i="13" s="1"/>
  <c r="Y273" i="13" s="1"/>
  <c r="Y274" i="13" s="1"/>
  <c r="Y275" i="13" s="1"/>
  <c r="Y276" i="13" s="1"/>
  <c r="Y277" i="13" s="1"/>
  <c r="Y278" i="13" s="1"/>
  <c r="Y279" i="13" s="1"/>
  <c r="Y280" i="13" s="1"/>
  <c r="Y281" i="13" s="1"/>
  <c r="Y282" i="13" s="1"/>
  <c r="Y283" i="13" s="1"/>
  <c r="Y284" i="13" s="1"/>
  <c r="Y285" i="13" s="1"/>
  <c r="Y286" i="13" s="1"/>
  <c r="Y287" i="13" s="1"/>
  <c r="Y288" i="13" s="1"/>
  <c r="Y289" i="13" s="1"/>
  <c r="Y290" i="13" s="1"/>
  <c r="Y291" i="13" s="1"/>
  <c r="Y292" i="13" s="1"/>
  <c r="Y293" i="13" s="1"/>
  <c r="Y294" i="13" s="1"/>
  <c r="Y295" i="13" s="1"/>
  <c r="Y296" i="13" s="1"/>
  <c r="Y297" i="13" s="1"/>
  <c r="Y298" i="13" s="1"/>
  <c r="Y299" i="13" s="1"/>
  <c r="Y300" i="13" s="1"/>
  <c r="Y301" i="13" s="1"/>
  <c r="Y302" i="13" s="1"/>
  <c r="Y303" i="13" s="1"/>
  <c r="Y304" i="13" s="1"/>
  <c r="Y305" i="13" s="1"/>
  <c r="Y306" i="13" s="1"/>
  <c r="Y307" i="13" s="1"/>
  <c r="Y308" i="13" s="1"/>
  <c r="Y309" i="13" s="1"/>
  <c r="Y310" i="13" s="1"/>
  <c r="Y311" i="13" s="1"/>
  <c r="Y312" i="13" s="1"/>
  <c r="Y313" i="13" s="1"/>
  <c r="Y314" i="13" s="1"/>
  <c r="Y315" i="13" s="1"/>
  <c r="Y316" i="13" s="1"/>
  <c r="Y317" i="13" s="1"/>
  <c r="Y318" i="13" s="1"/>
  <c r="Y319" i="13" s="1"/>
  <c r="Y320" i="13" s="1"/>
  <c r="Y321" i="13" s="1"/>
  <c r="Y322" i="13" s="1"/>
  <c r="Y323" i="13" s="1"/>
  <c r="Y324" i="13" s="1"/>
  <c r="Y325" i="13" s="1"/>
  <c r="Y326" i="13" s="1"/>
  <c r="Y327" i="13" s="1"/>
  <c r="Y328" i="13" s="1"/>
  <c r="Y329" i="13" s="1"/>
  <c r="Y330" i="13" s="1"/>
  <c r="Y331" i="13" s="1"/>
  <c r="Y332" i="13" s="1"/>
  <c r="Y333" i="13" s="1"/>
  <c r="Y334" i="13" s="1"/>
  <c r="Y335" i="13" s="1"/>
  <c r="Y336" i="13" s="1"/>
  <c r="Y337" i="13" s="1"/>
  <c r="Y338" i="13" s="1"/>
  <c r="Y339" i="13" s="1"/>
  <c r="Y340" i="13" s="1"/>
  <c r="Y341" i="13" s="1"/>
  <c r="Y342" i="13" s="1"/>
  <c r="Y343" i="13" s="1"/>
  <c r="Y344" i="13" s="1"/>
  <c r="Y345" i="13" s="1"/>
  <c r="Y346" i="13" s="1"/>
  <c r="Y347" i="13" s="1"/>
  <c r="Y348" i="13" s="1"/>
  <c r="Y349" i="13" s="1"/>
  <c r="Y350" i="13" s="1"/>
  <c r="Y351" i="13" s="1"/>
  <c r="Y352" i="13" s="1"/>
  <c r="Y353" i="13" s="1"/>
  <c r="Y354" i="13" s="1"/>
  <c r="Y355" i="13" s="1"/>
  <c r="Y356" i="13" s="1"/>
  <c r="Y357" i="13" s="1"/>
  <c r="Y358" i="13" s="1"/>
  <c r="Y359" i="13" s="1"/>
  <c r="Y360" i="13" s="1"/>
  <c r="Y361" i="13" s="1"/>
  <c r="Y362" i="13" s="1"/>
  <c r="Y363" i="13" s="1"/>
  <c r="Y364" i="13" s="1"/>
  <c r="Y365" i="13" s="1"/>
  <c r="Y366" i="13" s="1"/>
  <c r="Y367" i="13" s="1"/>
  <c r="Y368" i="13" s="1"/>
  <c r="Y369" i="13" s="1"/>
  <c r="Y370" i="13" s="1"/>
  <c r="Y371" i="13" s="1"/>
  <c r="Y372" i="13" s="1"/>
  <c r="Y373" i="13" s="1"/>
  <c r="Y374" i="13" s="1"/>
  <c r="Y375" i="13" s="1"/>
  <c r="Y376" i="13" s="1"/>
  <c r="Y377" i="13" s="1"/>
  <c r="Y378" i="13" s="1"/>
  <c r="Y379" i="13" s="1"/>
  <c r="Y380" i="13" s="1"/>
  <c r="Y381" i="13" s="1"/>
  <c r="Y382" i="13" s="1"/>
  <c r="Y383" i="13" s="1"/>
  <c r="Y384" i="13" s="1"/>
  <c r="Y385" i="13" s="1"/>
  <c r="Y386" i="13" s="1"/>
  <c r="Y387" i="13" s="1"/>
  <c r="Y388" i="13" s="1"/>
  <c r="Y389" i="13" s="1"/>
  <c r="Y390" i="13" s="1"/>
  <c r="Y391" i="13" s="1"/>
  <c r="Y392" i="13" s="1"/>
  <c r="Y393" i="13" s="1"/>
  <c r="Y394" i="13" s="1"/>
  <c r="Y395" i="13" s="1"/>
  <c r="Y396" i="13" s="1"/>
  <c r="Y397" i="13" s="1"/>
  <c r="Y398" i="13" s="1"/>
  <c r="Y399" i="13" s="1"/>
  <c r="Y400" i="13" s="1"/>
  <c r="Y401" i="13" s="1"/>
  <c r="Y402" i="13" s="1"/>
  <c r="Y403" i="13" s="1"/>
  <c r="Y404" i="13" s="1"/>
  <c r="Y405" i="13" s="1"/>
  <c r="Y406" i="13" s="1"/>
  <c r="Y407" i="13" s="1"/>
  <c r="Y408" i="13" s="1"/>
  <c r="Y409" i="13" s="1"/>
  <c r="Y410" i="13" s="1"/>
  <c r="Y411" i="13" s="1"/>
  <c r="Y412" i="13" s="1"/>
  <c r="Y413" i="13" s="1"/>
  <c r="Y414" i="13" s="1"/>
  <c r="Y415" i="13" s="1"/>
  <c r="Y416" i="13" s="1"/>
  <c r="Y417" i="13" s="1"/>
  <c r="Y418" i="13" s="1"/>
  <c r="Y419" i="13" s="1"/>
  <c r="Y420" i="13" s="1"/>
  <c r="Y421" i="13" s="1"/>
  <c r="Y422" i="13" s="1"/>
  <c r="Y423" i="13" s="1"/>
  <c r="Y424" i="13" s="1"/>
  <c r="Y425" i="13" s="1"/>
  <c r="Y426" i="13" s="1"/>
  <c r="Y427" i="13" s="1"/>
  <c r="Y428" i="13" s="1"/>
  <c r="Y429" i="13" s="1"/>
  <c r="Y430" i="13" s="1"/>
  <c r="Y431" i="13" s="1"/>
  <c r="Y432" i="13" s="1"/>
  <c r="Y433" i="13" s="1"/>
  <c r="Y434" i="13" s="1"/>
  <c r="Y435" i="13" s="1"/>
  <c r="Y436" i="13" s="1"/>
  <c r="Y437" i="13" s="1"/>
  <c r="Y438" i="13" s="1"/>
  <c r="Y439" i="13" s="1"/>
  <c r="Y440" i="13" s="1"/>
  <c r="Y441" i="13" s="1"/>
  <c r="Y442" i="13" s="1"/>
  <c r="Y443" i="13" s="1"/>
  <c r="Y444" i="13" s="1"/>
  <c r="Y445" i="13" s="1"/>
  <c r="Y446" i="13" s="1"/>
  <c r="Y447" i="13" s="1"/>
  <c r="Y448" i="13" s="1"/>
  <c r="Y449" i="13" s="1"/>
  <c r="Y450" i="13" s="1"/>
  <c r="Y451" i="13" s="1"/>
  <c r="Y452" i="13" s="1"/>
  <c r="Y453" i="13" s="1"/>
  <c r="Y454" i="13" s="1"/>
  <c r="Y455" i="13" s="1"/>
  <c r="Y456" i="13" s="1"/>
  <c r="Y457" i="13" s="1"/>
  <c r="Y458" i="13" s="1"/>
  <c r="Y459" i="13" s="1"/>
  <c r="Y460" i="13" s="1"/>
  <c r="Y461" i="13" s="1"/>
  <c r="Y462" i="13" s="1"/>
  <c r="Y463" i="13" s="1"/>
  <c r="Y464" i="13" s="1"/>
  <c r="Y465" i="13" s="1"/>
  <c r="Y466" i="13" s="1"/>
  <c r="Y467" i="13" s="1"/>
  <c r="Y468" i="13" s="1"/>
  <c r="Y469" i="13" s="1"/>
  <c r="Y470" i="13" s="1"/>
  <c r="Y471" i="13" s="1"/>
  <c r="Y472" i="13" s="1"/>
  <c r="Y473" i="13" s="1"/>
  <c r="Y474" i="13" s="1"/>
  <c r="Y475" i="13" s="1"/>
  <c r="Y476" i="13" s="1"/>
  <c r="Y477" i="13" s="1"/>
  <c r="Y478" i="13" s="1"/>
  <c r="Y479" i="13" s="1"/>
  <c r="Y480" i="13" s="1"/>
  <c r="Y481" i="13" s="1"/>
  <c r="Y482" i="13" s="1"/>
  <c r="Y483" i="13" s="1"/>
  <c r="Y484" i="13" s="1"/>
  <c r="Y485" i="13" s="1"/>
  <c r="Y486" i="13" s="1"/>
  <c r="Y487" i="13" s="1"/>
  <c r="Y488" i="13" s="1"/>
  <c r="Y489" i="13" s="1"/>
  <c r="Y490" i="13" s="1"/>
  <c r="Y491" i="13" s="1"/>
  <c r="Y492" i="13" s="1"/>
  <c r="Y493" i="13" s="1"/>
  <c r="Y494" i="13" s="1"/>
  <c r="Y495" i="13" s="1"/>
  <c r="Y496" i="13" s="1"/>
  <c r="Y497" i="13" s="1"/>
  <c r="Y498" i="13" s="1"/>
  <c r="Y499" i="13" s="1"/>
  <c r="Y500" i="13" s="1"/>
  <c r="Y501" i="13" s="1"/>
  <c r="Y502" i="13" s="1"/>
  <c r="Y503" i="13" s="1"/>
  <c r="Y504" i="13" s="1"/>
  <c r="Y505" i="13" s="1"/>
  <c r="Y506" i="13" s="1"/>
  <c r="Y507" i="13" s="1"/>
  <c r="Y508" i="13" s="1"/>
  <c r="Y509" i="13" s="1"/>
  <c r="Y510" i="13" s="1"/>
  <c r="Y511" i="13" s="1"/>
  <c r="Y512" i="13" s="1"/>
  <c r="Y513" i="13" s="1"/>
  <c r="Y514" i="13" s="1"/>
  <c r="Y515" i="13" s="1"/>
  <c r="Y516" i="13" s="1"/>
  <c r="Y517" i="13" s="1"/>
  <c r="Y518" i="13" s="1"/>
  <c r="Y519" i="13" s="1"/>
  <c r="Y520" i="13" s="1"/>
  <c r="Y521" i="13" s="1"/>
  <c r="Y522" i="13" s="1"/>
  <c r="Y523" i="13" s="1"/>
  <c r="Y524" i="13" s="1"/>
  <c r="Y525" i="13" s="1"/>
  <c r="Y526" i="13" s="1"/>
  <c r="Y527" i="13" s="1"/>
  <c r="Y528" i="13" s="1"/>
  <c r="Y529" i="13" s="1"/>
  <c r="Y530" i="13" s="1"/>
  <c r="Y531" i="13" s="1"/>
  <c r="Y532" i="13" s="1"/>
  <c r="Y533" i="13" s="1"/>
  <c r="Y534" i="13" s="1"/>
  <c r="Y535" i="13" s="1"/>
  <c r="Y536" i="13" s="1"/>
  <c r="Y537" i="13" s="1"/>
  <c r="Y538" i="13" s="1"/>
  <c r="Y539" i="13" s="1"/>
  <c r="Y540" i="13" s="1"/>
  <c r="Y541" i="13" s="1"/>
  <c r="Y542" i="13" s="1"/>
  <c r="Y543" i="13" s="1"/>
  <c r="Y544" i="13" s="1"/>
  <c r="Y545" i="13" s="1"/>
  <c r="Y546" i="13" s="1"/>
  <c r="Y547" i="13" s="1"/>
  <c r="Y548" i="13" s="1"/>
  <c r="Y549" i="13" s="1"/>
  <c r="Y550" i="13" s="1"/>
  <c r="Y551" i="13" s="1"/>
  <c r="Y552" i="13" s="1"/>
  <c r="Y553" i="13" s="1"/>
  <c r="Y554" i="13" s="1"/>
  <c r="Y555" i="13" s="1"/>
  <c r="Y556" i="13" s="1"/>
  <c r="Y557" i="13" s="1"/>
  <c r="Y558" i="13" s="1"/>
  <c r="Y559" i="13" s="1"/>
  <c r="Y560" i="13" s="1"/>
  <c r="Y561" i="13" s="1"/>
  <c r="Y562" i="13" s="1"/>
  <c r="Y563" i="13" s="1"/>
  <c r="Y564" i="13" s="1"/>
  <c r="Y565" i="13" s="1"/>
  <c r="Y566" i="13" s="1"/>
  <c r="Y567" i="13" s="1"/>
  <c r="Y568" i="13" s="1"/>
  <c r="Y569" i="13" s="1"/>
  <c r="Y570" i="13" s="1"/>
  <c r="Y571" i="13" s="1"/>
  <c r="Y572" i="13" s="1"/>
  <c r="Y573" i="13" s="1"/>
  <c r="Y574" i="13" s="1"/>
  <c r="Y575" i="13" s="1"/>
  <c r="Y576" i="13" s="1"/>
  <c r="Y577" i="13" s="1"/>
  <c r="Y578" i="13" s="1"/>
  <c r="Y579" i="13" s="1"/>
  <c r="Y580" i="13" s="1"/>
  <c r="Y581" i="13" s="1"/>
  <c r="Y582" i="13" s="1"/>
  <c r="Y583" i="13" s="1"/>
  <c r="Y584" i="13" s="1"/>
  <c r="Y585" i="13" s="1"/>
  <c r="Y586" i="13" s="1"/>
  <c r="Y587" i="13" s="1"/>
  <c r="Y588" i="13" s="1"/>
  <c r="Y589" i="13" s="1"/>
  <c r="Y590" i="13" s="1"/>
  <c r="Y591" i="13" s="1"/>
  <c r="Y592" i="13" s="1"/>
  <c r="Y593" i="13" s="1"/>
  <c r="Y594" i="13" s="1"/>
  <c r="Y595" i="13" s="1"/>
  <c r="Y596" i="13" s="1"/>
  <c r="Y597" i="13" s="1"/>
  <c r="Y598" i="13" s="1"/>
  <c r="Y599" i="13" s="1"/>
  <c r="Y600" i="13" s="1"/>
  <c r="Y601" i="13" s="1"/>
  <c r="Y602" i="13" s="1"/>
  <c r="W4" i="11"/>
  <c r="W5" i="11" s="1"/>
  <c r="S38" i="11"/>
  <c r="S39" i="11"/>
  <c r="S40" i="11" s="1"/>
  <c r="S41" i="11"/>
  <c r="S44" i="11"/>
  <c r="S45" i="11" s="1"/>
  <c r="S46" i="11" s="1"/>
  <c r="S47" i="11" s="1"/>
  <c r="B54" i="11"/>
  <c r="B60" i="11"/>
  <c r="G54" i="11"/>
  <c r="G60" i="11" s="1"/>
  <c r="L54" i="11"/>
  <c r="L60" i="11" s="1"/>
  <c r="Q54" i="11"/>
  <c r="Q60" i="11" s="1"/>
  <c r="E3" i="13"/>
  <c r="S9" i="13" s="1"/>
  <c r="S10" i="13" s="1"/>
  <c r="S11" i="13" s="1"/>
  <c r="S12" i="13" s="1"/>
  <c r="E4" i="13"/>
  <c r="C39" i="11" s="1"/>
  <c r="Y4" i="13"/>
  <c r="Y5" i="13" s="1"/>
  <c r="Y6" i="13" s="1"/>
  <c r="Y7" i="13" s="1"/>
  <c r="Y8" i="13" s="1"/>
  <c r="Z4" i="13"/>
  <c r="AA4" i="13"/>
  <c r="AB4" i="13"/>
  <c r="AC4" i="13"/>
  <c r="AJ4" i="13"/>
  <c r="AK4" i="13"/>
  <c r="AL4" i="13"/>
  <c r="AM4" i="13"/>
  <c r="E6" i="13"/>
  <c r="S17" i="13" s="1"/>
  <c r="S18" i="13" s="1"/>
  <c r="S19" i="13" s="1"/>
  <c r="S20" i="13" s="1"/>
  <c r="C41" i="11"/>
  <c r="B9" i="13"/>
  <c r="B10" i="13"/>
  <c r="G39" i="11" s="1"/>
  <c r="B11" i="13"/>
  <c r="G40" i="11" s="1"/>
  <c r="B12" i="13"/>
  <c r="G41" i="11" s="1"/>
  <c r="B17" i="13"/>
  <c r="G44" i="11" s="1"/>
  <c r="B18" i="13"/>
  <c r="G45" i="11" s="1"/>
  <c r="B19" i="13"/>
  <c r="G46" i="11" s="1"/>
  <c r="B20" i="13"/>
  <c r="G47" i="11" s="1"/>
  <c r="AB4" i="11"/>
  <c r="AV3" i="11" a="1"/>
  <c r="I44" i="11" a="1"/>
  <c r="T17" i="13" a="1"/>
  <c r="D9" i="13" a="1"/>
  <c r="T9" i="13" a="1"/>
  <c r="D27" i="11"/>
  <c r="D25" i="11"/>
  <c r="C38" i="11" l="1"/>
  <c r="E5" i="13"/>
  <c r="U10" i="13"/>
  <c r="V11" i="13"/>
  <c r="V9" i="13"/>
  <c r="V12" i="13"/>
  <c r="T9" i="13"/>
  <c r="W9" i="13"/>
  <c r="W11" i="13"/>
  <c r="V10" i="13"/>
  <c r="U9" i="13"/>
  <c r="T12" i="13"/>
  <c r="T10" i="13"/>
  <c r="U11" i="13"/>
  <c r="W10" i="13"/>
  <c r="W12" i="13"/>
  <c r="T11" i="13"/>
  <c r="U12" i="13"/>
  <c r="F12" i="13"/>
  <c r="K41" i="11" s="1"/>
  <c r="E12" i="13"/>
  <c r="J41" i="11" s="1"/>
  <c r="E9" i="13"/>
  <c r="J38" i="11" s="1"/>
  <c r="F9" i="13"/>
  <c r="K38" i="11" s="1"/>
  <c r="E10" i="13"/>
  <c r="J39" i="11" s="1"/>
  <c r="G10" i="13"/>
  <c r="L39" i="11" s="1"/>
  <c r="D9" i="13"/>
  <c r="E11" i="13"/>
  <c r="J40" i="11" s="1"/>
  <c r="G12" i="13"/>
  <c r="L41" i="11" s="1"/>
  <c r="G9" i="13"/>
  <c r="L38" i="11" s="1"/>
  <c r="D11" i="13"/>
  <c r="I40" i="11" s="1"/>
  <c r="G11" i="13"/>
  <c r="L40" i="11" s="1"/>
  <c r="F11" i="13"/>
  <c r="K40" i="11" s="1"/>
  <c r="D12" i="13"/>
  <c r="I41" i="11" s="1"/>
  <c r="F10" i="13"/>
  <c r="K39" i="11" s="1"/>
  <c r="D10" i="13"/>
  <c r="I39" i="11" s="1"/>
  <c r="U20" i="13"/>
  <c r="W17" i="13"/>
  <c r="V17" i="13"/>
  <c r="V18" i="13"/>
  <c r="W19" i="13"/>
  <c r="W18" i="13"/>
  <c r="T20" i="13"/>
  <c r="V19" i="13"/>
  <c r="T17" i="13"/>
  <c r="U19" i="13"/>
  <c r="V20" i="13"/>
  <c r="T19" i="13"/>
  <c r="T18" i="13"/>
  <c r="W20" i="13"/>
  <c r="U18" i="13"/>
  <c r="U17" i="13"/>
  <c r="I44" i="11"/>
  <c r="I47" i="11"/>
  <c r="J46" i="11"/>
  <c r="L44" i="11"/>
  <c r="I46" i="11"/>
  <c r="J44" i="11"/>
  <c r="L47" i="11"/>
  <c r="K45" i="11"/>
  <c r="K47" i="11"/>
  <c r="K44" i="11"/>
  <c r="L46" i="11"/>
  <c r="J47" i="11"/>
  <c r="I45" i="11"/>
  <c r="L45" i="11"/>
  <c r="J45" i="11"/>
  <c r="K46" i="11"/>
  <c r="AV3" i="11"/>
  <c r="G38" i="11"/>
  <c r="W6" i="11"/>
  <c r="AB5" i="11"/>
  <c r="D17" i="13" a="1"/>
  <c r="D26" i="11"/>
  <c r="D28" i="11"/>
  <c r="E17" i="13" l="1"/>
  <c r="F20" i="13"/>
  <c r="G19" i="13"/>
  <c r="D17" i="13"/>
  <c r="G17" i="13"/>
  <c r="E18" i="13"/>
  <c r="G18" i="13"/>
  <c r="E20" i="13"/>
  <c r="F18" i="13"/>
  <c r="D18" i="13"/>
  <c r="F19" i="13"/>
  <c r="F17" i="13"/>
  <c r="D20" i="13"/>
  <c r="E19" i="13"/>
  <c r="D19" i="13"/>
  <c r="G20" i="13"/>
  <c r="C40" i="11"/>
  <c r="AC4" i="11" a="1"/>
  <c r="W7" i="11"/>
  <c r="AB6" i="11"/>
  <c r="I38" i="11"/>
  <c r="G16" i="13"/>
  <c r="N38" i="11" a="1"/>
  <c r="I9" i="13" a="1"/>
  <c r="N44" i="11" a="1"/>
  <c r="I17" i="13" a="1"/>
  <c r="K19" i="13" l="1"/>
  <c r="I18" i="13"/>
  <c r="I20" i="13"/>
  <c r="L20" i="13"/>
  <c r="J17" i="13"/>
  <c r="L18" i="13"/>
  <c r="I19" i="13"/>
  <c r="K18" i="13"/>
  <c r="L19" i="13"/>
  <c r="J19" i="13"/>
  <c r="K20" i="13"/>
  <c r="K17" i="13"/>
  <c r="I17" i="13"/>
  <c r="J18" i="13"/>
  <c r="J20" i="13"/>
  <c r="L17" i="13"/>
  <c r="Q45" i="11"/>
  <c r="O44" i="11"/>
  <c r="N44" i="11"/>
  <c r="P46" i="11"/>
  <c r="P44" i="11"/>
  <c r="O45" i="11"/>
  <c r="O46" i="11"/>
  <c r="P47" i="11"/>
  <c r="Q46" i="11"/>
  <c r="N45" i="11"/>
  <c r="P45" i="11"/>
  <c r="N46" i="11"/>
  <c r="Q47" i="11"/>
  <c r="N47" i="11"/>
  <c r="O47" i="11"/>
  <c r="Q44" i="11"/>
  <c r="J10" i="13"/>
  <c r="I11" i="13"/>
  <c r="I12" i="13"/>
  <c r="L9" i="13"/>
  <c r="K10" i="13"/>
  <c r="K11" i="13"/>
  <c r="I9" i="13"/>
  <c r="J12" i="13"/>
  <c r="K12" i="13"/>
  <c r="L10" i="13"/>
  <c r="L11" i="13"/>
  <c r="L12" i="13"/>
  <c r="I10" i="13"/>
  <c r="J11" i="13"/>
  <c r="J9" i="13"/>
  <c r="K9" i="13"/>
  <c r="Q38" i="11"/>
  <c r="P41" i="11"/>
  <c r="P39" i="11"/>
  <c r="Q41" i="11"/>
  <c r="O40" i="11"/>
  <c r="O39" i="11"/>
  <c r="N41" i="11"/>
  <c r="P38" i="11"/>
  <c r="N38" i="11"/>
  <c r="Q39" i="11"/>
  <c r="N40" i="11"/>
  <c r="O41" i="11"/>
  <c r="N39" i="11"/>
  <c r="P40" i="11"/>
  <c r="O38" i="11"/>
  <c r="Q40" i="11"/>
  <c r="W8" i="11"/>
  <c r="AB7" i="11"/>
  <c r="AF4" i="11"/>
  <c r="AC4" i="11"/>
  <c r="AD4" i="11"/>
  <c r="AE4" i="11"/>
  <c r="N17" i="13" a="1"/>
  <c r="N9" i="13" a="1"/>
  <c r="O12" i="13" l="1"/>
  <c r="N10" i="13"/>
  <c r="Q12" i="13"/>
  <c r="Q11" i="13"/>
  <c r="Q9" i="13"/>
  <c r="P11" i="13"/>
  <c r="O11" i="13"/>
  <c r="N12" i="13"/>
  <c r="P12" i="13"/>
  <c r="P9" i="13"/>
  <c r="P10" i="13"/>
  <c r="N9" i="13"/>
  <c r="N11" i="13"/>
  <c r="O10" i="13"/>
  <c r="Q10" i="13"/>
  <c r="O9" i="13"/>
  <c r="P18" i="13"/>
  <c r="O20" i="13"/>
  <c r="N18" i="13"/>
  <c r="N17" i="13"/>
  <c r="P17" i="13"/>
  <c r="Q19" i="13"/>
  <c r="O19" i="13"/>
  <c r="O18" i="13"/>
  <c r="Q20" i="13"/>
  <c r="Q18" i="13"/>
  <c r="Q17" i="13"/>
  <c r="P19" i="13"/>
  <c r="N20" i="13"/>
  <c r="N19" i="13"/>
  <c r="O17" i="13"/>
  <c r="P20" i="13"/>
  <c r="AH4" i="11" a="1"/>
  <c r="AJ4" i="11" s="1"/>
  <c r="AB8" i="11"/>
  <c r="W9" i="11"/>
  <c r="AH4" i="11" l="1"/>
  <c r="AK4" i="11"/>
  <c r="AI4" i="11"/>
  <c r="AO4" i="13" a="1"/>
  <c r="W10" i="11"/>
  <c r="AB9" i="11"/>
  <c r="AR4" i="13" l="1"/>
  <c r="AO4" i="13"/>
  <c r="AP4" i="13"/>
  <c r="AQ4" i="13"/>
  <c r="W11" i="11"/>
  <c r="AB10" i="11"/>
  <c r="AE4" i="13" l="1" a="1"/>
  <c r="AO5" i="13" a="1"/>
  <c r="W12" i="11"/>
  <c r="AB11" i="11"/>
  <c r="AQ5" i="13" l="1"/>
  <c r="AP5" i="13"/>
  <c r="AR5" i="13"/>
  <c r="AO5" i="13"/>
  <c r="AH4" i="13"/>
  <c r="AE4" i="13"/>
  <c r="AF4" i="13"/>
  <c r="AG4" i="13"/>
  <c r="W13" i="11"/>
  <c r="AB12" i="11"/>
  <c r="X4" i="11" l="1" a="1"/>
  <c r="AO6" i="13" a="1"/>
  <c r="AE5" i="13" a="1"/>
  <c r="AB13" i="11"/>
  <c r="W14" i="11"/>
  <c r="AE5" i="13" l="1"/>
  <c r="AG5" i="13"/>
  <c r="AF5" i="13"/>
  <c r="AH5" i="13"/>
  <c r="AO6" i="13"/>
  <c r="AR6" i="13"/>
  <c r="AQ6" i="13"/>
  <c r="AP6" i="13"/>
  <c r="Y4" i="11"/>
  <c r="Z4" i="11"/>
  <c r="AA4" i="11"/>
  <c r="X4" i="11"/>
  <c r="W15" i="11"/>
  <c r="AB14" i="11"/>
  <c r="X5" i="11" l="1" a="1"/>
  <c r="Z5" i="11" s="1"/>
  <c r="AO7" i="13" a="1"/>
  <c r="AE6" i="13" a="1"/>
  <c r="AM4" i="11" a="1"/>
  <c r="AB15" i="11"/>
  <c r="W16" i="11"/>
  <c r="Y5" i="11" l="1"/>
  <c r="AA5" i="11"/>
  <c r="X5" i="11"/>
  <c r="AN4" i="11"/>
  <c r="AO4" i="11"/>
  <c r="AP4" i="11"/>
  <c r="AM4" i="11"/>
  <c r="AF6" i="13"/>
  <c r="AE6" i="13"/>
  <c r="AH6" i="13"/>
  <c r="AG6" i="13"/>
  <c r="AO7" i="13"/>
  <c r="AR7" i="13"/>
  <c r="AP7" i="13"/>
  <c r="AQ7" i="13"/>
  <c r="AB16" i="11"/>
  <c r="W17" i="11"/>
  <c r="X6" i="11" l="1" a="1"/>
  <c r="AE7" i="13" a="1"/>
  <c r="AO8" i="13" a="1"/>
  <c r="W18" i="11"/>
  <c r="AB17" i="11"/>
  <c r="AP8" i="13" l="1"/>
  <c r="AR8" i="13"/>
  <c r="AQ8" i="13"/>
  <c r="AO8" i="13"/>
  <c r="AF7" i="13"/>
  <c r="AE7" i="13"/>
  <c r="AH7" i="13"/>
  <c r="AG7" i="13"/>
  <c r="AA6" i="11"/>
  <c r="Z6" i="11"/>
  <c r="Y6" i="11"/>
  <c r="X6" i="11"/>
  <c r="W19" i="11"/>
  <c r="AB18" i="11"/>
  <c r="X7" i="11" l="1" a="1"/>
  <c r="AE8" i="13" a="1"/>
  <c r="AO9" i="13" a="1"/>
  <c r="W20" i="11"/>
  <c r="AB19" i="11"/>
  <c r="AO9" i="13" l="1"/>
  <c r="AR9" i="13"/>
  <c r="AQ9" i="13"/>
  <c r="AP9" i="13"/>
  <c r="AH8" i="13"/>
  <c r="AG8" i="13"/>
  <c r="AF8" i="13"/>
  <c r="AE8" i="13"/>
  <c r="X8" i="11" s="1" a="1"/>
  <c r="AA7" i="11"/>
  <c r="X7" i="11"/>
  <c r="Z7" i="11"/>
  <c r="Y7" i="11"/>
  <c r="W21" i="11"/>
  <c r="AB20" i="11"/>
  <c r="Z8" i="11" l="1"/>
  <c r="Y8" i="11"/>
  <c r="X8" i="11"/>
  <c r="AA8" i="11"/>
  <c r="AE9" i="13" a="1"/>
  <c r="AO10" i="13" a="1"/>
  <c r="AB21" i="11"/>
  <c r="W22" i="11"/>
  <c r="AE9" i="13" l="1"/>
  <c r="AH9" i="13"/>
  <c r="AF9" i="13"/>
  <c r="AG9" i="13"/>
  <c r="AO10" i="13"/>
  <c r="AR10" i="13"/>
  <c r="AP10" i="13"/>
  <c r="AQ10" i="13"/>
  <c r="AB22" i="11"/>
  <c r="W23" i="11"/>
  <c r="AE10" i="13" l="1" a="1"/>
  <c r="AO11" i="13" a="1"/>
  <c r="X9" i="11" a="1"/>
  <c r="W24" i="11"/>
  <c r="AB23" i="11"/>
  <c r="AA9" i="11" l="1"/>
  <c r="Y9" i="11"/>
  <c r="X9" i="11"/>
  <c r="Z9" i="11"/>
  <c r="AO11" i="13"/>
  <c r="AP11" i="13"/>
  <c r="AR11" i="13"/>
  <c r="AQ11" i="13"/>
  <c r="AG10" i="13"/>
  <c r="AE10" i="13"/>
  <c r="AH10" i="13"/>
  <c r="AF10" i="13"/>
  <c r="W25" i="11"/>
  <c r="AB24" i="11"/>
  <c r="AE11" i="13" l="1" a="1"/>
  <c r="AO12" i="13" a="1"/>
  <c r="X10" i="11" a="1"/>
  <c r="AV24" i="11" a="1"/>
  <c r="AV24" i="11" s="1"/>
  <c r="AG24" i="11" a="1"/>
  <c r="AG24" i="11" s="1"/>
  <c r="AL24" i="11" a="1"/>
  <c r="AL24" i="11" s="1"/>
  <c r="AQ24" i="11" a="1"/>
  <c r="AQ24" i="11" s="1"/>
  <c r="AB25" i="11"/>
  <c r="W26" i="11"/>
  <c r="X10" i="11" l="1"/>
  <c r="Y10" i="11"/>
  <c r="AA10" i="11"/>
  <c r="Z10" i="11"/>
  <c r="AQ12" i="13"/>
  <c r="AO12" i="13"/>
  <c r="AR12" i="13"/>
  <c r="AP12" i="13"/>
  <c r="AG11" i="13"/>
  <c r="AH11" i="13"/>
  <c r="AF11" i="13"/>
  <c r="AE11" i="13"/>
  <c r="W27" i="11"/>
  <c r="AB26" i="11"/>
  <c r="AL25" i="11" a="1"/>
  <c r="AL25" i="11" s="1"/>
  <c r="AG25" i="11" a="1"/>
  <c r="AG25" i="11" s="1"/>
  <c r="AV25" i="11" a="1"/>
  <c r="AV25" i="11" s="1"/>
  <c r="AQ25" i="11" a="1"/>
  <c r="AQ25" i="11" s="1"/>
  <c r="X11" i="11" l="1" a="1"/>
  <c r="Z11" i="11" s="1"/>
  <c r="AE12" i="13" a="1"/>
  <c r="AO13" i="13" a="1"/>
  <c r="AB27" i="11"/>
  <c r="W28" i="11"/>
  <c r="AL26" i="11" a="1"/>
  <c r="AL26" i="11" s="1"/>
  <c r="AQ26" i="11" a="1"/>
  <c r="AQ26" i="11" s="1"/>
  <c r="AG26" i="11" a="1"/>
  <c r="AG26" i="11" s="1"/>
  <c r="AV26" i="11" a="1"/>
  <c r="AV26" i="11" s="1"/>
  <c r="AA11" i="11" l="1"/>
  <c r="X11" i="11"/>
  <c r="Y11" i="11"/>
  <c r="AP13" i="13"/>
  <c r="AR13" i="13"/>
  <c r="AO13" i="13"/>
  <c r="AQ13" i="13"/>
  <c r="AG12" i="13"/>
  <c r="AF12" i="13"/>
  <c r="AE12" i="13"/>
  <c r="AH12" i="13"/>
  <c r="W29" i="11"/>
  <c r="AB28" i="11"/>
  <c r="AG27" i="11" a="1"/>
  <c r="AG27" i="11" s="1"/>
  <c r="AQ27" i="11" a="1"/>
  <c r="AQ27" i="11" s="1"/>
  <c r="AV27" i="11" a="1"/>
  <c r="AV27" i="11" s="1"/>
  <c r="AL27" i="11" a="1"/>
  <c r="AL27" i="11" s="1"/>
  <c r="X12" i="11" l="1" a="1"/>
  <c r="Z12" i="11" s="1"/>
  <c r="AO14" i="13" a="1"/>
  <c r="AE13" i="13" a="1"/>
  <c r="W30" i="11"/>
  <c r="AB29" i="11"/>
  <c r="AG28" i="11" a="1"/>
  <c r="AG28" i="11" s="1"/>
  <c r="AQ28" i="11" a="1"/>
  <c r="AQ28" i="11" s="1"/>
  <c r="AL28" i="11" a="1"/>
  <c r="AL28" i="11" s="1"/>
  <c r="AV28" i="11" a="1"/>
  <c r="AV28" i="11" s="1"/>
  <c r="AA12" i="11" l="1"/>
  <c r="X12" i="11"/>
  <c r="Y12" i="11"/>
  <c r="AQ14" i="13"/>
  <c r="AP14" i="13"/>
  <c r="AO14" i="13"/>
  <c r="AR14" i="13"/>
  <c r="AF13" i="13"/>
  <c r="AE13" i="13"/>
  <c r="AH13" i="13"/>
  <c r="AG13" i="13"/>
  <c r="AQ29" i="11" a="1"/>
  <c r="AQ29" i="11" s="1"/>
  <c r="AG29" i="11" a="1"/>
  <c r="AG29" i="11" s="1"/>
  <c r="AL29" i="11" a="1"/>
  <c r="AL29" i="11" s="1"/>
  <c r="AV29" i="11" a="1"/>
  <c r="AV29" i="11" s="1"/>
  <c r="W31" i="11"/>
  <c r="AB30" i="11"/>
  <c r="X13" i="11" l="1" a="1"/>
  <c r="Y13" i="11" s="1"/>
  <c r="X13" i="11"/>
  <c r="AA13" i="11"/>
  <c r="AE14" i="13" a="1"/>
  <c r="AO15" i="13" a="1"/>
  <c r="AQ30" i="11" a="1"/>
  <c r="AQ30" i="11" s="1"/>
  <c r="AV30" i="11" a="1"/>
  <c r="AV30" i="11" s="1"/>
  <c r="AL30" i="11" a="1"/>
  <c r="AL30" i="11" s="1"/>
  <c r="AG30" i="11" a="1"/>
  <c r="AG30" i="11" s="1"/>
  <c r="W32" i="11"/>
  <c r="AB31" i="11"/>
  <c r="Z13" i="11" l="1"/>
  <c r="AG14" i="13"/>
  <c r="AH14" i="13"/>
  <c r="AE14" i="13"/>
  <c r="AF14" i="13"/>
  <c r="AQ15" i="13"/>
  <c r="AP15" i="13"/>
  <c r="AO15" i="13"/>
  <c r="AR15" i="13"/>
  <c r="AL31" i="11" a="1"/>
  <c r="AL31" i="11" s="1"/>
  <c r="AG31" i="11" a="1"/>
  <c r="AG31" i="11" s="1"/>
  <c r="AQ31" i="11" a="1"/>
  <c r="AQ31" i="11" s="1"/>
  <c r="AV31" i="11" a="1"/>
  <c r="AV31" i="11" s="1"/>
  <c r="W33" i="11"/>
  <c r="AB32" i="11"/>
  <c r="AE15" i="13" l="1" a="1"/>
  <c r="AO16" i="13" a="1"/>
  <c r="X14" i="11" a="1"/>
  <c r="W34" i="11"/>
  <c r="AB33" i="11"/>
  <c r="AG32" i="11" a="1"/>
  <c r="AG32" i="11" s="1"/>
  <c r="AQ32" i="11" a="1"/>
  <c r="AQ32" i="11" s="1"/>
  <c r="AV32" i="11" a="1"/>
  <c r="AV32" i="11" s="1"/>
  <c r="AL32" i="11" a="1"/>
  <c r="AL32" i="11" s="1"/>
  <c r="X14" i="11" l="1"/>
  <c r="Z14" i="11"/>
  <c r="AA14" i="11"/>
  <c r="Y14" i="11"/>
  <c r="AP16" i="13"/>
  <c r="AO16" i="13"/>
  <c r="AR16" i="13"/>
  <c r="AQ16" i="13"/>
  <c r="AF15" i="13"/>
  <c r="AE15" i="13"/>
  <c r="AG15" i="13"/>
  <c r="AH15" i="13"/>
  <c r="AV33" i="11" a="1"/>
  <c r="AV33" i="11" s="1"/>
  <c r="AQ33" i="11" a="1"/>
  <c r="AQ33" i="11" s="1"/>
  <c r="AG33" i="11" a="1"/>
  <c r="AG33" i="11" s="1"/>
  <c r="AL33" i="11" a="1"/>
  <c r="AL33" i="11" s="1"/>
  <c r="W35" i="11"/>
  <c r="AB34" i="11"/>
  <c r="AE16" i="13" l="1" a="1"/>
  <c r="AO17" i="13" a="1"/>
  <c r="X15" i="11" a="1"/>
  <c r="AB35" i="11"/>
  <c r="W36" i="11"/>
  <c r="AV34" i="11" a="1"/>
  <c r="AV34" i="11" s="1"/>
  <c r="AQ34" i="11" a="1"/>
  <c r="AQ34" i="11" s="1"/>
  <c r="AG34" i="11" a="1"/>
  <c r="AG34" i="11" s="1"/>
  <c r="AL34" i="11" a="1"/>
  <c r="AL34" i="11" s="1"/>
  <c r="X15" i="11" l="1"/>
  <c r="AA15" i="11"/>
  <c r="Z15" i="11"/>
  <c r="Y15" i="11"/>
  <c r="AP17" i="13"/>
  <c r="AR17" i="13"/>
  <c r="AQ17" i="13"/>
  <c r="AO17" i="13"/>
  <c r="AG16" i="13"/>
  <c r="AE16" i="13"/>
  <c r="AF16" i="13"/>
  <c r="AH16" i="13"/>
  <c r="AB36" i="11"/>
  <c r="W37" i="11"/>
  <c r="AL35" i="11" a="1"/>
  <c r="AL35" i="11" s="1"/>
  <c r="AV35" i="11" a="1"/>
  <c r="AV35" i="11" s="1"/>
  <c r="AG35" i="11" a="1"/>
  <c r="AG35" i="11" s="1"/>
  <c r="AQ35" i="11" a="1"/>
  <c r="AQ35" i="11" s="1"/>
  <c r="AE17" i="13" l="1" a="1"/>
  <c r="AO18" i="13" a="1"/>
  <c r="X16" i="11" a="1"/>
  <c r="W38" i="11"/>
  <c r="AB37" i="11"/>
  <c r="AL36" i="11" a="1"/>
  <c r="AL36" i="11" s="1"/>
  <c r="AV36" i="11" a="1"/>
  <c r="AV36" i="11" s="1"/>
  <c r="AG36" i="11" a="1"/>
  <c r="AG36" i="11" s="1"/>
  <c r="AQ36" i="11" a="1"/>
  <c r="AQ36" i="11" s="1"/>
  <c r="AA16" i="11" l="1"/>
  <c r="Y16" i="11"/>
  <c r="X16" i="11"/>
  <c r="Z16" i="11"/>
  <c r="AO18" i="13"/>
  <c r="AQ18" i="13"/>
  <c r="AP18" i="13"/>
  <c r="AR18" i="13"/>
  <c r="AH17" i="13"/>
  <c r="AG17" i="13"/>
  <c r="AE17" i="13"/>
  <c r="AF17" i="13"/>
  <c r="AG37" i="11" a="1"/>
  <c r="AG37" i="11" s="1"/>
  <c r="AL37" i="11" a="1"/>
  <c r="AL37" i="11" s="1"/>
  <c r="AQ37" i="11" a="1"/>
  <c r="AQ37" i="11" s="1"/>
  <c r="AV37" i="11" a="1"/>
  <c r="AV37" i="11" s="1"/>
  <c r="AB38" i="11"/>
  <c r="W39" i="11"/>
  <c r="X17" i="11" l="1" a="1"/>
  <c r="AO19" i="13" a="1"/>
  <c r="AE18" i="13" a="1"/>
  <c r="AB39" i="11"/>
  <c r="W40" i="11"/>
  <c r="AV38" i="11" a="1"/>
  <c r="AV38" i="11" s="1"/>
  <c r="AQ38" i="11" a="1"/>
  <c r="AQ38" i="11" s="1"/>
  <c r="AL38" i="11" a="1"/>
  <c r="AL38" i="11" s="1"/>
  <c r="AG38" i="11" a="1"/>
  <c r="AG38" i="11" s="1"/>
  <c r="AP19" i="13" l="1"/>
  <c r="AO19" i="13"/>
  <c r="AQ19" i="13"/>
  <c r="AR19" i="13"/>
  <c r="AH18" i="13"/>
  <c r="AF18" i="13"/>
  <c r="AE18" i="13"/>
  <c r="AG18" i="13"/>
  <c r="Z17" i="11"/>
  <c r="X17" i="11"/>
  <c r="Y17" i="11"/>
  <c r="AA17" i="11"/>
  <c r="W41" i="11"/>
  <c r="AB40" i="11"/>
  <c r="AG39" i="11" a="1"/>
  <c r="AG39" i="11" s="1"/>
  <c r="AQ39" i="11" a="1"/>
  <c r="AQ39" i="11" s="1"/>
  <c r="AL39" i="11" a="1"/>
  <c r="AL39" i="11" s="1"/>
  <c r="AV39" i="11" a="1"/>
  <c r="AV39" i="11" s="1"/>
  <c r="X18" i="11" l="1" a="1"/>
  <c r="AO20" i="13" a="1"/>
  <c r="AE19" i="13" a="1"/>
  <c r="AG40" i="11" a="1"/>
  <c r="AG40" i="11" s="1"/>
  <c r="AV40" i="11" a="1"/>
  <c r="AV40" i="11" s="1"/>
  <c r="AL40" i="11" a="1"/>
  <c r="AL40" i="11" s="1"/>
  <c r="AQ40" i="11" a="1"/>
  <c r="AQ40" i="11" s="1"/>
  <c r="AB41" i="11"/>
  <c r="W42" i="11"/>
  <c r="AE19" i="13" l="1"/>
  <c r="AG19" i="13"/>
  <c r="AF19" i="13"/>
  <c r="AH19" i="13"/>
  <c r="AR20" i="13"/>
  <c r="AQ20" i="13"/>
  <c r="AP20" i="13"/>
  <c r="AO20" i="13"/>
  <c r="Y18" i="11"/>
  <c r="X18" i="11"/>
  <c r="Z18" i="11"/>
  <c r="AA18" i="11"/>
  <c r="AQ41" i="11" a="1"/>
  <c r="AQ41" i="11" s="1"/>
  <c r="AL41" i="11" a="1"/>
  <c r="AL41" i="11" s="1"/>
  <c r="AG41" i="11" a="1"/>
  <c r="AG41" i="11" s="1"/>
  <c r="AV41" i="11" a="1"/>
  <c r="AV41" i="11" s="1"/>
  <c r="W43" i="11"/>
  <c r="AB42" i="11"/>
  <c r="AO21" i="13" l="1" a="1"/>
  <c r="AE20" i="13" a="1"/>
  <c r="X19" i="11" a="1"/>
  <c r="AV42" i="11" a="1"/>
  <c r="AV42" i="11" s="1"/>
  <c r="AG42" i="11" a="1"/>
  <c r="AG42" i="11" s="1"/>
  <c r="AQ42" i="11" a="1"/>
  <c r="AQ42" i="11" s="1"/>
  <c r="AL42" i="11" a="1"/>
  <c r="AL42" i="11" s="1"/>
  <c r="W44" i="11"/>
  <c r="AB43" i="11"/>
  <c r="AA19" i="11" l="1"/>
  <c r="Y19" i="11"/>
  <c r="X19" i="11"/>
  <c r="Z19" i="11"/>
  <c r="AF20" i="13"/>
  <c r="AE20" i="13"/>
  <c r="AH20" i="13"/>
  <c r="AG20" i="13"/>
  <c r="AP21" i="13"/>
  <c r="AQ21" i="13"/>
  <c r="AO21" i="13"/>
  <c r="AR21" i="13"/>
  <c r="AB44" i="11"/>
  <c r="W45" i="11"/>
  <c r="AL43" i="11" a="1"/>
  <c r="AL43" i="11" s="1"/>
  <c r="AV43" i="11" a="1"/>
  <c r="AV43" i="11" s="1"/>
  <c r="AQ43" i="11" a="1"/>
  <c r="AQ43" i="11" s="1"/>
  <c r="AG43" i="11" a="1"/>
  <c r="AG43" i="11" s="1"/>
  <c r="X20" i="11" l="1" a="1"/>
  <c r="Z20" i="11" s="1"/>
  <c r="AO22" i="13" a="1"/>
  <c r="AE21" i="13" a="1"/>
  <c r="W46" i="11"/>
  <c r="AB45" i="11"/>
  <c r="AQ44" i="11" a="1"/>
  <c r="AQ44" i="11" s="1"/>
  <c r="AL44" i="11" a="1"/>
  <c r="AL44" i="11" s="1"/>
  <c r="AV44" i="11" a="1"/>
  <c r="AV44" i="11" s="1"/>
  <c r="AG44" i="11" a="1"/>
  <c r="AG44" i="11" s="1"/>
  <c r="X20" i="11" l="1"/>
  <c r="Y20" i="11"/>
  <c r="AA20" i="11"/>
  <c r="AO22" i="13"/>
  <c r="AR22" i="13"/>
  <c r="AQ22" i="13"/>
  <c r="AP22" i="13"/>
  <c r="AH21" i="13"/>
  <c r="AF21" i="13"/>
  <c r="AG21" i="13"/>
  <c r="AE21" i="13"/>
  <c r="AQ45" i="11" a="1"/>
  <c r="AQ45" i="11" s="1"/>
  <c r="AL45" i="11" a="1"/>
  <c r="AL45" i="11" s="1"/>
  <c r="AV45" i="11" a="1"/>
  <c r="AV45" i="11" s="1"/>
  <c r="AG45" i="11" a="1"/>
  <c r="AG45" i="11" s="1"/>
  <c r="AB46" i="11"/>
  <c r="W47" i="11"/>
  <c r="X21" i="11" l="1" a="1"/>
  <c r="X21" i="11" s="1"/>
  <c r="AO23" i="13" a="1"/>
  <c r="AE22" i="13" a="1"/>
  <c r="W48" i="11"/>
  <c r="AB47" i="11"/>
  <c r="AV46" i="11" a="1"/>
  <c r="AV46" i="11" s="1"/>
  <c r="AG46" i="11" a="1"/>
  <c r="AG46" i="11" s="1"/>
  <c r="AQ46" i="11" a="1"/>
  <c r="AQ46" i="11" s="1"/>
  <c r="AL46" i="11" a="1"/>
  <c r="AL46" i="11" s="1"/>
  <c r="AA21" i="11" l="1"/>
  <c r="Y21" i="11"/>
  <c r="Z21" i="11"/>
  <c r="AF22" i="13"/>
  <c r="AE22" i="13"/>
  <c r="AG22" i="13"/>
  <c r="AH22" i="13"/>
  <c r="AO23" i="13"/>
  <c r="AR23" i="13"/>
  <c r="AQ23" i="13"/>
  <c r="AP23" i="13"/>
  <c r="AQ47" i="11" a="1"/>
  <c r="AQ47" i="11" s="1"/>
  <c r="AG47" i="11" a="1"/>
  <c r="AG47" i="11" s="1"/>
  <c r="AV47" i="11" a="1"/>
  <c r="AV47" i="11" s="1"/>
  <c r="AL47" i="11" a="1"/>
  <c r="AL47" i="11" s="1"/>
  <c r="W49" i="11"/>
  <c r="AB48" i="11"/>
  <c r="AO24" i="13" l="1" a="1"/>
  <c r="AE23" i="13" a="1"/>
  <c r="X22" i="11" a="1"/>
  <c r="AV48" i="11" a="1"/>
  <c r="AV48" i="11" s="1"/>
  <c r="AQ48" i="11" a="1"/>
  <c r="AQ48" i="11" s="1"/>
  <c r="AL48" i="11" a="1"/>
  <c r="AL48" i="11" s="1"/>
  <c r="AG48" i="11" a="1"/>
  <c r="AG48" i="11" s="1"/>
  <c r="W50" i="11"/>
  <c r="AB49" i="11"/>
  <c r="Z22" i="11" l="1"/>
  <c r="X22" i="11"/>
  <c r="AA22" i="11"/>
  <c r="Y22" i="11"/>
  <c r="AF23" i="13"/>
  <c r="AE23" i="13"/>
  <c r="AG23" i="13"/>
  <c r="AH23" i="13"/>
  <c r="AR24" i="13"/>
  <c r="AQ24" i="13"/>
  <c r="AP24" i="13"/>
  <c r="AO24" i="13"/>
  <c r="AG49" i="11" a="1"/>
  <c r="AG49" i="11" s="1"/>
  <c r="AL49" i="11" a="1"/>
  <c r="AL49" i="11" s="1"/>
  <c r="AV49" i="11" a="1"/>
  <c r="AV49" i="11" s="1"/>
  <c r="AQ49" i="11" a="1"/>
  <c r="AQ49" i="11" s="1"/>
  <c r="AB50" i="11"/>
  <c r="W51" i="11"/>
  <c r="AO25" i="13" l="1" a="1"/>
  <c r="AE24" i="13" a="1"/>
  <c r="X23" i="11" a="1"/>
  <c r="AB51" i="11"/>
  <c r="W52" i="11"/>
  <c r="AQ50" i="11" a="1"/>
  <c r="AQ50" i="11" s="1"/>
  <c r="AG50" i="11" a="1"/>
  <c r="AG50" i="11" s="1"/>
  <c r="AV50" i="11" a="1"/>
  <c r="AV50" i="11" s="1"/>
  <c r="AL50" i="11" a="1"/>
  <c r="AL50" i="11" s="1"/>
  <c r="Y23" i="11" l="1"/>
  <c r="X23" i="11"/>
  <c r="Z23" i="11"/>
  <c r="AA23" i="11"/>
  <c r="AF24" i="13"/>
  <c r="AH24" i="13"/>
  <c r="AG24" i="13"/>
  <c r="AE24" i="13"/>
  <c r="X24" i="11" s="1" a="1"/>
  <c r="AO25" i="13"/>
  <c r="AR25" i="13"/>
  <c r="AQ25" i="13"/>
  <c r="AP25" i="13"/>
  <c r="AB52" i="11"/>
  <c r="W53" i="11"/>
  <c r="AQ51" i="11" a="1"/>
  <c r="AQ51" i="11" s="1"/>
  <c r="AL51" i="11" a="1"/>
  <c r="AL51" i="11" s="1"/>
  <c r="AV51" i="11" a="1"/>
  <c r="AV51" i="11" s="1"/>
  <c r="AG51" i="11" a="1"/>
  <c r="AG51" i="11" s="1"/>
  <c r="AA24" i="11" l="1"/>
  <c r="X24" i="11"/>
  <c r="Z24" i="11"/>
  <c r="Y24" i="11"/>
  <c r="AE25" i="13" a="1"/>
  <c r="AO26" i="13" a="1"/>
  <c r="W54" i="11"/>
  <c r="AB53" i="11"/>
  <c r="AQ52" i="11" a="1"/>
  <c r="AQ52" i="11" s="1"/>
  <c r="AL52" i="11" a="1"/>
  <c r="AL52" i="11" s="1"/>
  <c r="AV52" i="11" a="1"/>
  <c r="AV52" i="11" s="1"/>
  <c r="AG52" i="11" a="1"/>
  <c r="AG52" i="11" s="1"/>
  <c r="AR26" i="13" l="1"/>
  <c r="AQ26" i="13"/>
  <c r="AP26" i="13"/>
  <c r="AO26" i="13"/>
  <c r="AG25" i="13"/>
  <c r="AH25" i="13"/>
  <c r="AE25" i="13"/>
  <c r="AF25" i="13"/>
  <c r="AQ53" i="11" a="1"/>
  <c r="AQ53" i="11" s="1"/>
  <c r="AG53" i="11" a="1"/>
  <c r="AG53" i="11" s="1"/>
  <c r="AV53" i="11" a="1"/>
  <c r="AV53" i="11" s="1"/>
  <c r="AL53" i="11" a="1"/>
  <c r="AL53" i="11" s="1"/>
  <c r="W55" i="11"/>
  <c r="AB54" i="11"/>
  <c r="X25" i="11" l="1" a="1"/>
  <c r="Z25" i="11" s="1"/>
  <c r="AO27" i="13" a="1"/>
  <c r="AE26" i="13" a="1"/>
  <c r="W56" i="11"/>
  <c r="AB55" i="11"/>
  <c r="AV54" i="11" a="1"/>
  <c r="AV54" i="11" s="1"/>
  <c r="AL54" i="11" a="1"/>
  <c r="AL54" i="11" s="1"/>
  <c r="AQ54" i="11" a="1"/>
  <c r="AQ54" i="11" s="1"/>
  <c r="AG54" i="11" a="1"/>
  <c r="AG54" i="11" s="1"/>
  <c r="Y25" i="11" l="1"/>
  <c r="AA25" i="11"/>
  <c r="X25" i="11"/>
  <c r="AQ27" i="13"/>
  <c r="AO27" i="13"/>
  <c r="AR27" i="13"/>
  <c r="AP27" i="13"/>
  <c r="AH26" i="13"/>
  <c r="AF26" i="13"/>
  <c r="AE26" i="13"/>
  <c r="AG26" i="13"/>
  <c r="AQ55" i="11" a="1"/>
  <c r="AQ55" i="11" s="1"/>
  <c r="AL55" i="11" a="1"/>
  <c r="AL55" i="11" s="1"/>
  <c r="AG55" i="11" a="1"/>
  <c r="AG55" i="11" s="1"/>
  <c r="AV55" i="11" a="1"/>
  <c r="AV55" i="11" s="1"/>
  <c r="AB56" i="11"/>
  <c r="W57" i="11"/>
  <c r="X26" i="11" l="1" a="1"/>
  <c r="AA26" i="11" s="1"/>
  <c r="AE27" i="13" a="1"/>
  <c r="AO28" i="13" a="1"/>
  <c r="AB57" i="11"/>
  <c r="W58" i="11"/>
  <c r="AG56" i="11" a="1"/>
  <c r="AG56" i="11" s="1"/>
  <c r="AV56" i="11" a="1"/>
  <c r="AV56" i="11" s="1"/>
  <c r="AL56" i="11" a="1"/>
  <c r="AL56" i="11" s="1"/>
  <c r="AQ56" i="11" a="1"/>
  <c r="AQ56" i="11" s="1"/>
  <c r="Z26" i="11" l="1"/>
  <c r="Y26" i="11"/>
  <c r="X26" i="11"/>
  <c r="AP28" i="13"/>
  <c r="AO28" i="13"/>
  <c r="AQ28" i="13"/>
  <c r="AR28" i="13"/>
  <c r="AH27" i="13"/>
  <c r="AE27" i="13"/>
  <c r="AG27" i="13"/>
  <c r="AF27" i="13"/>
  <c r="AB58" i="11"/>
  <c r="W59" i="11"/>
  <c r="AV57" i="11" a="1"/>
  <c r="AV57" i="11" s="1"/>
  <c r="AQ57" i="11" a="1"/>
  <c r="AQ57" i="11" s="1"/>
  <c r="AG57" i="11" a="1"/>
  <c r="AG57" i="11" s="1"/>
  <c r="AL57" i="11" a="1"/>
  <c r="AL57" i="11" s="1"/>
  <c r="X27" i="11" l="1" a="1"/>
  <c r="Z27" i="11" s="1"/>
  <c r="AE28" i="13" a="1"/>
  <c r="AO29" i="13" a="1"/>
  <c r="W60" i="11"/>
  <c r="AB59" i="11"/>
  <c r="AV58" i="11" a="1"/>
  <c r="AV58" i="11" s="1"/>
  <c r="AQ58" i="11" a="1"/>
  <c r="AQ58" i="11" s="1"/>
  <c r="AL58" i="11" a="1"/>
  <c r="AL58" i="11" s="1"/>
  <c r="AG58" i="11" a="1"/>
  <c r="AG58" i="11" s="1"/>
  <c r="X27" i="11" l="1"/>
  <c r="Y27" i="11"/>
  <c r="AA27" i="11"/>
  <c r="AH28" i="13"/>
  <c r="AE28" i="13"/>
  <c r="AF28" i="13"/>
  <c r="AG28" i="13"/>
  <c r="AO29" i="13"/>
  <c r="AP29" i="13"/>
  <c r="AQ29" i="13"/>
  <c r="AR29" i="13"/>
  <c r="AV59" i="11" a="1"/>
  <c r="AV59" i="11" s="1"/>
  <c r="AQ59" i="11" a="1"/>
  <c r="AQ59" i="11" s="1"/>
  <c r="AL59" i="11" a="1"/>
  <c r="AL59" i="11" s="1"/>
  <c r="AG59" i="11" a="1"/>
  <c r="AG59" i="11" s="1"/>
  <c r="AB60" i="11"/>
  <c r="W61" i="11"/>
  <c r="X28" i="11" l="1" a="1"/>
  <c r="AO30" i="13" a="1"/>
  <c r="AE29" i="13" a="1"/>
  <c r="W62" i="11"/>
  <c r="AB61" i="11"/>
  <c r="AG60" i="11" a="1"/>
  <c r="AG60" i="11" s="1"/>
  <c r="AV60" i="11" a="1"/>
  <c r="AV60" i="11" s="1"/>
  <c r="AQ60" i="11" a="1"/>
  <c r="AQ60" i="11" s="1"/>
  <c r="AL60" i="11" a="1"/>
  <c r="AL60" i="11" s="1"/>
  <c r="AH29" i="13" l="1"/>
  <c r="AE29" i="13"/>
  <c r="AG29" i="13"/>
  <c r="AF29" i="13"/>
  <c r="AP30" i="13"/>
  <c r="AQ30" i="13"/>
  <c r="AR30" i="13"/>
  <c r="AO30" i="13"/>
  <c r="AA28" i="11"/>
  <c r="Z28" i="11"/>
  <c r="Y28" i="11"/>
  <c r="X28" i="11"/>
  <c r="AL61" i="11" a="1"/>
  <c r="AL61" i="11" s="1"/>
  <c r="AG61" i="11" a="1"/>
  <c r="AG61" i="11" s="1"/>
  <c r="AQ61" i="11" a="1"/>
  <c r="AQ61" i="11" s="1"/>
  <c r="AV61" i="11" a="1"/>
  <c r="AV61" i="11" s="1"/>
  <c r="AB62" i="11"/>
  <c r="W63" i="11"/>
  <c r="AO31" i="13" l="1" a="1"/>
  <c r="AE30" i="13" a="1"/>
  <c r="X29" i="11" a="1"/>
  <c r="W64" i="11"/>
  <c r="AB63" i="11"/>
  <c r="AL62" i="11" a="1"/>
  <c r="AL62" i="11" s="1"/>
  <c r="AG62" i="11" a="1"/>
  <c r="AG62" i="11" s="1"/>
  <c r="AV62" i="11" a="1"/>
  <c r="AV62" i="11" s="1"/>
  <c r="AQ62" i="11" a="1"/>
  <c r="AQ62" i="11" s="1"/>
  <c r="X29" i="11" l="1"/>
  <c r="AA29" i="11"/>
  <c r="Z29" i="11"/>
  <c r="Y29" i="11"/>
  <c r="AH30" i="13"/>
  <c r="AE30" i="13"/>
  <c r="AG30" i="13"/>
  <c r="AF30" i="13"/>
  <c r="AR31" i="13"/>
  <c r="AP31" i="13"/>
  <c r="AQ31" i="13"/>
  <c r="AO31" i="13"/>
  <c r="AL63" i="11" a="1"/>
  <c r="AL63" i="11" s="1"/>
  <c r="AG63" i="11" a="1"/>
  <c r="AG63" i="11" s="1"/>
  <c r="AV63" i="11" a="1"/>
  <c r="AV63" i="11" s="1"/>
  <c r="AQ63" i="11" a="1"/>
  <c r="AQ63" i="11" s="1"/>
  <c r="W65" i="11"/>
  <c r="AB64" i="11"/>
  <c r="AO32" i="13" l="1" a="1"/>
  <c r="AE31" i="13" a="1"/>
  <c r="X30" i="11" a="1"/>
  <c r="AV64" i="11" a="1"/>
  <c r="AV64" i="11" s="1"/>
  <c r="AG64" i="11" a="1"/>
  <c r="AG64" i="11" s="1"/>
  <c r="AQ64" i="11" a="1"/>
  <c r="AQ64" i="11" s="1"/>
  <c r="AL64" i="11" a="1"/>
  <c r="AL64" i="11" s="1"/>
  <c r="W66" i="11"/>
  <c r="AB65" i="11"/>
  <c r="X30" i="11" l="1"/>
  <c r="Y30" i="11"/>
  <c r="AA30" i="11"/>
  <c r="Z30" i="11"/>
  <c r="AG31" i="13"/>
  <c r="AE31" i="13"/>
  <c r="AH31" i="13"/>
  <c r="AF31" i="13"/>
  <c r="AQ32" i="13"/>
  <c r="AP32" i="13"/>
  <c r="AO32" i="13"/>
  <c r="AR32" i="13"/>
  <c r="AB66" i="11"/>
  <c r="W67" i="11"/>
  <c r="AV65" i="11" a="1"/>
  <c r="AV65" i="11" s="1"/>
  <c r="AQ65" i="11" a="1"/>
  <c r="AQ65" i="11" s="1"/>
  <c r="AL65" i="11" a="1"/>
  <c r="AL65" i="11" s="1"/>
  <c r="AG65" i="11" a="1"/>
  <c r="AG65" i="11" s="1"/>
  <c r="X31" i="11" l="1" a="1"/>
  <c r="AE32" i="13" a="1"/>
  <c r="AO33" i="13" a="1"/>
  <c r="W68" i="11"/>
  <c r="AB67" i="11"/>
  <c r="AV66" i="11" a="1"/>
  <c r="AV66" i="11" s="1"/>
  <c r="AG66" i="11" a="1"/>
  <c r="AG66" i="11" s="1"/>
  <c r="AL66" i="11" a="1"/>
  <c r="AL66" i="11" s="1"/>
  <c r="AQ66" i="11" a="1"/>
  <c r="AQ66" i="11" s="1"/>
  <c r="AQ33" i="13" l="1"/>
  <c r="AR33" i="13"/>
  <c r="AP33" i="13"/>
  <c r="AO33" i="13"/>
  <c r="AE32" i="13"/>
  <c r="AH32" i="13"/>
  <c r="AG32" i="13"/>
  <c r="AF32" i="13"/>
  <c r="X31" i="11"/>
  <c r="Z31" i="11"/>
  <c r="AA31" i="11"/>
  <c r="Y31" i="11"/>
  <c r="AV67" i="11" a="1"/>
  <c r="AV67" i="11" s="1"/>
  <c r="AG67" i="11" a="1"/>
  <c r="AG67" i="11" s="1"/>
  <c r="AL67" i="11" a="1"/>
  <c r="AL67" i="11" s="1"/>
  <c r="AQ67" i="11" a="1"/>
  <c r="AQ67" i="11" s="1"/>
  <c r="W69" i="11"/>
  <c r="AB68" i="11"/>
  <c r="X32" i="11" l="1" a="1"/>
  <c r="AO34" i="13" a="1"/>
  <c r="AE33" i="13" a="1"/>
  <c r="AG68" i="11" a="1"/>
  <c r="AG68" i="11" s="1"/>
  <c r="AV68" i="11" a="1"/>
  <c r="AV68" i="11" s="1"/>
  <c r="AQ68" i="11" a="1"/>
  <c r="AQ68" i="11" s="1"/>
  <c r="AL68" i="11" a="1"/>
  <c r="AL68" i="11" s="1"/>
  <c r="W70" i="11"/>
  <c r="AB69" i="11"/>
  <c r="AG33" i="13" l="1"/>
  <c r="AH33" i="13"/>
  <c r="AE33" i="13"/>
  <c r="AF33" i="13"/>
  <c r="AR34" i="13"/>
  <c r="AP34" i="13"/>
  <c r="AQ34" i="13"/>
  <c r="AO34" i="13"/>
  <c r="X32" i="11"/>
  <c r="AA32" i="11"/>
  <c r="Z32" i="11"/>
  <c r="Y32" i="11"/>
  <c r="AQ69" i="11" a="1"/>
  <c r="AQ69" i="11" s="1"/>
  <c r="AV69" i="11" a="1"/>
  <c r="AV69" i="11" s="1"/>
  <c r="AL69" i="11" a="1"/>
  <c r="AL69" i="11" s="1"/>
  <c r="AG69" i="11" a="1"/>
  <c r="AG69" i="11" s="1"/>
  <c r="AB70" i="11"/>
  <c r="W71" i="11"/>
  <c r="AE34" i="13" l="1" a="1"/>
  <c r="AO35" i="13" a="1"/>
  <c r="X33" i="11" a="1"/>
  <c r="W72" i="11"/>
  <c r="AB71" i="11"/>
  <c r="AL70" i="11" a="1"/>
  <c r="AL70" i="11" s="1"/>
  <c r="AG70" i="11" a="1"/>
  <c r="AG70" i="11" s="1"/>
  <c r="AQ70" i="11" a="1"/>
  <c r="AQ70" i="11" s="1"/>
  <c r="AV70" i="11" a="1"/>
  <c r="AV70" i="11" s="1"/>
  <c r="AA33" i="11" l="1"/>
  <c r="Y33" i="11"/>
  <c r="Z33" i="11"/>
  <c r="X33" i="11"/>
  <c r="AR35" i="13"/>
  <c r="AQ35" i="13"/>
  <c r="AP35" i="13"/>
  <c r="AO35" i="13"/>
  <c r="AE34" i="13"/>
  <c r="AH34" i="13"/>
  <c r="AF34" i="13"/>
  <c r="AG34" i="13"/>
  <c r="W73" i="11"/>
  <c r="AB72" i="11"/>
  <c r="AG71" i="11" a="1"/>
  <c r="AG71" i="11" s="1"/>
  <c r="AV71" i="11" a="1"/>
  <c r="AV71" i="11" s="1"/>
  <c r="AL71" i="11" a="1"/>
  <c r="AL71" i="11" s="1"/>
  <c r="AQ71" i="11" a="1"/>
  <c r="AQ71" i="11" s="1"/>
  <c r="AE35" i="13" l="1" a="1"/>
  <c r="AO36" i="13" a="1"/>
  <c r="X34" i="11" a="1"/>
  <c r="AB73" i="11"/>
  <c r="W74" i="11"/>
  <c r="AQ72" i="11" a="1"/>
  <c r="AQ72" i="11" s="1"/>
  <c r="AV72" i="11" a="1"/>
  <c r="AV72" i="11" s="1"/>
  <c r="AL72" i="11" a="1"/>
  <c r="AL72" i="11" s="1"/>
  <c r="AG72" i="11" a="1"/>
  <c r="AG72" i="11" s="1"/>
  <c r="Z34" i="11" l="1"/>
  <c r="AA34" i="11"/>
  <c r="Y34" i="11"/>
  <c r="X34" i="11"/>
  <c r="AO36" i="13"/>
  <c r="AR36" i="13"/>
  <c r="AQ36" i="13"/>
  <c r="AP36" i="13"/>
  <c r="AH35" i="13"/>
  <c r="AE35" i="13"/>
  <c r="AF35" i="13"/>
  <c r="AG35" i="13"/>
  <c r="W75" i="11"/>
  <c r="AB74" i="11"/>
  <c r="AL73" i="11" a="1"/>
  <c r="AL73" i="11" s="1"/>
  <c r="AQ73" i="11" a="1"/>
  <c r="AQ73" i="11" s="1"/>
  <c r="AG73" i="11" a="1"/>
  <c r="AG73" i="11" s="1"/>
  <c r="AV73" i="11" a="1"/>
  <c r="AV73" i="11" s="1"/>
  <c r="AE36" i="13" l="1" a="1"/>
  <c r="AO37" i="13" a="1"/>
  <c r="X35" i="11" a="1"/>
  <c r="AG74" i="11" a="1"/>
  <c r="AG74" i="11" s="1"/>
  <c r="AL74" i="11" a="1"/>
  <c r="AL74" i="11" s="1"/>
  <c r="AQ74" i="11" a="1"/>
  <c r="AQ74" i="11" s="1"/>
  <c r="AV74" i="11" a="1"/>
  <c r="AV74" i="11" s="1"/>
  <c r="W76" i="11"/>
  <c r="AB75" i="11"/>
  <c r="Y35" i="11" l="1"/>
  <c r="Z35" i="11"/>
  <c r="X35" i="11"/>
  <c r="AA35" i="11"/>
  <c r="AO37" i="13"/>
  <c r="AR37" i="13"/>
  <c r="AP37" i="13"/>
  <c r="AQ37" i="13"/>
  <c r="AF36" i="13"/>
  <c r="AH36" i="13"/>
  <c r="AG36" i="13"/>
  <c r="AE36" i="13"/>
  <c r="AL75" i="11" a="1"/>
  <c r="AL75" i="11" s="1"/>
  <c r="AQ75" i="11" a="1"/>
  <c r="AQ75" i="11" s="1"/>
  <c r="AV75" i="11" a="1"/>
  <c r="AV75" i="11" s="1"/>
  <c r="AG75" i="11" a="1"/>
  <c r="AG75" i="11" s="1"/>
  <c r="W77" i="11"/>
  <c r="AB76" i="11"/>
  <c r="X36" i="11" l="1" a="1"/>
  <c r="AE37" i="13" a="1"/>
  <c r="AO38" i="13" a="1"/>
  <c r="Z36" i="11"/>
  <c r="AA36" i="11"/>
  <c r="X36" i="11"/>
  <c r="Y36" i="11"/>
  <c r="AG76" i="11" a="1"/>
  <c r="AG76" i="11" s="1"/>
  <c r="AV76" i="11" a="1"/>
  <c r="AV76" i="11" s="1"/>
  <c r="AQ76" i="11" a="1"/>
  <c r="AQ76" i="11" s="1"/>
  <c r="AL76" i="11" a="1"/>
  <c r="AL76" i="11" s="1"/>
  <c r="W78" i="11"/>
  <c r="AB77" i="11"/>
  <c r="AQ38" i="13" l="1"/>
  <c r="AP38" i="13"/>
  <c r="AO38" i="13"/>
  <c r="AR38" i="13"/>
  <c r="AE37" i="13"/>
  <c r="AF37" i="13"/>
  <c r="AG37" i="13"/>
  <c r="AH37" i="13"/>
  <c r="AQ77" i="11" a="1"/>
  <c r="AQ77" i="11" s="1"/>
  <c r="AG77" i="11" a="1"/>
  <c r="AG77" i="11" s="1"/>
  <c r="AV77" i="11" a="1"/>
  <c r="AV77" i="11" s="1"/>
  <c r="AL77" i="11" a="1"/>
  <c r="AL77" i="11" s="1"/>
  <c r="AB78" i="11"/>
  <c r="W79" i="11"/>
  <c r="X37" i="11" l="1" a="1"/>
  <c r="AE38" i="13" a="1"/>
  <c r="AO39" i="13" a="1"/>
  <c r="AL78" i="11" a="1"/>
  <c r="AL78" i="11" s="1"/>
  <c r="AV78" i="11" a="1"/>
  <c r="AV78" i="11" s="1"/>
  <c r="AQ78" i="11" a="1"/>
  <c r="AQ78" i="11" s="1"/>
  <c r="AG78" i="11" a="1"/>
  <c r="AG78" i="11" s="1"/>
  <c r="W80" i="11"/>
  <c r="AB79" i="11"/>
  <c r="AH38" i="13" l="1"/>
  <c r="AF38" i="13"/>
  <c r="AE38" i="13"/>
  <c r="AG38" i="13"/>
  <c r="AQ39" i="13"/>
  <c r="AR39" i="13"/>
  <c r="AO39" i="13"/>
  <c r="AP39" i="13"/>
  <c r="Z37" i="11"/>
  <c r="X37" i="11"/>
  <c r="AA37" i="11"/>
  <c r="Y37" i="11"/>
  <c r="AG79" i="11" a="1"/>
  <c r="AG79" i="11" s="1"/>
  <c r="AL79" i="11" a="1"/>
  <c r="AL79" i="11" s="1"/>
  <c r="AQ79" i="11" a="1"/>
  <c r="AQ79" i="11" s="1"/>
  <c r="AV79" i="11" a="1"/>
  <c r="AV79" i="11" s="1"/>
  <c r="AB80" i="11"/>
  <c r="W81" i="11"/>
  <c r="X38" i="11" l="1" a="1"/>
  <c r="AO40" i="13" a="1"/>
  <c r="AE39" i="13" a="1"/>
  <c r="Y38" i="11"/>
  <c r="AA38" i="11"/>
  <c r="X38" i="11"/>
  <c r="Z38" i="11"/>
  <c r="AG80" i="11" a="1"/>
  <c r="AG80" i="11" s="1"/>
  <c r="AL80" i="11" a="1"/>
  <c r="AL80" i="11" s="1"/>
  <c r="AQ80" i="11" a="1"/>
  <c r="AQ80" i="11" s="1"/>
  <c r="AV80" i="11" a="1"/>
  <c r="AV80" i="11" s="1"/>
  <c r="W82" i="11"/>
  <c r="AB81" i="11"/>
  <c r="AH39" i="13" l="1"/>
  <c r="AE39" i="13"/>
  <c r="AG39" i="13"/>
  <c r="AF39" i="13"/>
  <c r="AR40" i="13"/>
  <c r="AQ40" i="13"/>
  <c r="AO40" i="13"/>
  <c r="AP40" i="13"/>
  <c r="AG81" i="11" a="1"/>
  <c r="AG81" i="11" s="1"/>
  <c r="AV81" i="11" a="1"/>
  <c r="AV81" i="11" s="1"/>
  <c r="AQ81" i="11" a="1"/>
  <c r="AQ81" i="11" s="1"/>
  <c r="AL81" i="11" a="1"/>
  <c r="AL81" i="11" s="1"/>
  <c r="AB82" i="11"/>
  <c r="W83" i="11"/>
  <c r="AE40" i="13" l="1" a="1"/>
  <c r="AO41" i="13" a="1"/>
  <c r="X39" i="11" a="1"/>
  <c r="W84" i="11"/>
  <c r="AB83" i="11"/>
  <c r="AQ82" i="11" a="1"/>
  <c r="AQ82" i="11" s="1"/>
  <c r="AG82" i="11" a="1"/>
  <c r="AG82" i="11" s="1"/>
  <c r="AV82" i="11" a="1"/>
  <c r="AV82" i="11" s="1"/>
  <c r="AL82" i="11" a="1"/>
  <c r="AL82" i="11" s="1"/>
  <c r="Y39" i="11" l="1"/>
  <c r="Z39" i="11"/>
  <c r="X39" i="11"/>
  <c r="AA39" i="11"/>
  <c r="AP41" i="13"/>
  <c r="AO41" i="13"/>
  <c r="AR41" i="13"/>
  <c r="AQ41" i="13"/>
  <c r="AE40" i="13"/>
  <c r="AH40" i="13"/>
  <c r="AG40" i="13"/>
  <c r="AF40" i="13"/>
  <c r="AQ83" i="11" a="1"/>
  <c r="AQ83" i="11" s="1"/>
  <c r="AV83" i="11" a="1"/>
  <c r="AV83" i="11" s="1"/>
  <c r="AG83" i="11" a="1"/>
  <c r="AG83" i="11" s="1"/>
  <c r="AL83" i="11" a="1"/>
  <c r="AL83" i="11" s="1"/>
  <c r="W85" i="11"/>
  <c r="AB84" i="11"/>
  <c r="AO42" i="13" l="1" a="1"/>
  <c r="AE41" i="13" a="1"/>
  <c r="X40" i="11" a="1"/>
  <c r="AL84" i="11" a="1"/>
  <c r="AL84" i="11" s="1"/>
  <c r="AQ84" i="11" a="1"/>
  <c r="AQ84" i="11" s="1"/>
  <c r="AV84" i="11" a="1"/>
  <c r="AV84" i="11" s="1"/>
  <c r="AG84" i="11" a="1"/>
  <c r="AG84" i="11" s="1"/>
  <c r="W86" i="11"/>
  <c r="AB85" i="11"/>
  <c r="X40" i="11" l="1"/>
  <c r="AA40" i="11"/>
  <c r="Y40" i="11"/>
  <c r="Z40" i="11"/>
  <c r="AF41" i="13"/>
  <c r="AE41" i="13"/>
  <c r="AG41" i="13"/>
  <c r="AH41" i="13"/>
  <c r="AP42" i="13"/>
  <c r="AQ42" i="13"/>
  <c r="AO42" i="13"/>
  <c r="AR42" i="13"/>
  <c r="AG85" i="11" a="1"/>
  <c r="AG85" i="11" s="1"/>
  <c r="AQ85" i="11" a="1"/>
  <c r="AQ85" i="11" s="1"/>
  <c r="AL85" i="11" a="1"/>
  <c r="AL85" i="11" s="1"/>
  <c r="AV85" i="11" a="1"/>
  <c r="AV85" i="11" s="1"/>
  <c r="W87" i="11"/>
  <c r="AB86" i="11"/>
  <c r="X41" i="11" l="1" a="1"/>
  <c r="Z41" i="11" s="1"/>
  <c r="AE42" i="13" a="1"/>
  <c r="AO43" i="13" a="1"/>
  <c r="W88" i="11"/>
  <c r="AB87" i="11"/>
  <c r="AG86" i="11" a="1"/>
  <c r="AG86" i="11" s="1"/>
  <c r="AQ86" i="11" a="1"/>
  <c r="AQ86" i="11" s="1"/>
  <c r="AL86" i="11" a="1"/>
  <c r="AL86" i="11" s="1"/>
  <c r="AV86" i="11" a="1"/>
  <c r="AV86" i="11" s="1"/>
  <c r="AA41" i="11" l="1"/>
  <c r="Y41" i="11"/>
  <c r="X41" i="11"/>
  <c r="AQ43" i="13"/>
  <c r="AR43" i="13"/>
  <c r="AO43" i="13"/>
  <c r="AP43" i="13"/>
  <c r="AF42" i="13"/>
  <c r="AG42" i="13"/>
  <c r="AH42" i="13"/>
  <c r="AE42" i="13"/>
  <c r="AL87" i="11" a="1"/>
  <c r="AL87" i="11" s="1"/>
  <c r="AQ87" i="11" a="1"/>
  <c r="AQ87" i="11" s="1"/>
  <c r="AV87" i="11" a="1"/>
  <c r="AV87" i="11" s="1"/>
  <c r="AG87" i="11" a="1"/>
  <c r="AG87" i="11" s="1"/>
  <c r="W89" i="11"/>
  <c r="AB88" i="11"/>
  <c r="X42" i="11" l="1" a="1"/>
  <c r="Y42" i="11" s="1"/>
  <c r="AO44" i="13" a="1"/>
  <c r="AE43" i="13" a="1"/>
  <c r="W90" i="11"/>
  <c r="AB89" i="11"/>
  <c r="AG88" i="11" a="1"/>
  <c r="AG88" i="11" s="1"/>
  <c r="AL88" i="11" a="1"/>
  <c r="AL88" i="11" s="1"/>
  <c r="AQ88" i="11" a="1"/>
  <c r="AQ88" i="11" s="1"/>
  <c r="AV88" i="11" a="1"/>
  <c r="AV88" i="11" s="1"/>
  <c r="X42" i="11" l="1"/>
  <c r="AA42" i="11"/>
  <c r="Z42" i="11"/>
  <c r="AG43" i="13"/>
  <c r="AE43" i="13"/>
  <c r="AH43" i="13"/>
  <c r="AF43" i="13"/>
  <c r="AR44" i="13"/>
  <c r="AQ44" i="13"/>
  <c r="AO44" i="13"/>
  <c r="AP44" i="13"/>
  <c r="AL89" i="11" a="1"/>
  <c r="AL89" i="11" s="1"/>
  <c r="AG89" i="11" a="1"/>
  <c r="AG89" i="11" s="1"/>
  <c r="AV89" i="11" a="1"/>
  <c r="AV89" i="11" s="1"/>
  <c r="AQ89" i="11" a="1"/>
  <c r="AQ89" i="11" s="1"/>
  <c r="AB90" i="11"/>
  <c r="W91" i="11"/>
  <c r="AO45" i="13" l="1" a="1"/>
  <c r="AE44" i="13" a="1"/>
  <c r="X43" i="11" a="1"/>
  <c r="AB91" i="11"/>
  <c r="W92" i="11"/>
  <c r="AQ90" i="11" a="1"/>
  <c r="AQ90" i="11" s="1"/>
  <c r="AG90" i="11" a="1"/>
  <c r="AG90" i="11" s="1"/>
  <c r="AL90" i="11" a="1"/>
  <c r="AL90" i="11" s="1"/>
  <c r="AV90" i="11" a="1"/>
  <c r="AV90" i="11" s="1"/>
  <c r="X43" i="11" l="1"/>
  <c r="AA43" i="11"/>
  <c r="Y43" i="11"/>
  <c r="Z43" i="11"/>
  <c r="AE44" i="13"/>
  <c r="AF44" i="13"/>
  <c r="AG44" i="13"/>
  <c r="AH44" i="13"/>
  <c r="AQ45" i="13"/>
  <c r="AP45" i="13"/>
  <c r="AR45" i="13"/>
  <c r="AO45" i="13"/>
  <c r="AB92" i="11"/>
  <c r="W93" i="11"/>
  <c r="AG91" i="11" a="1"/>
  <c r="AG91" i="11" s="1"/>
  <c r="AV91" i="11" a="1"/>
  <c r="AV91" i="11" s="1"/>
  <c r="AQ91" i="11" a="1"/>
  <c r="AQ91" i="11" s="1"/>
  <c r="AL91" i="11" a="1"/>
  <c r="AL91" i="11" s="1"/>
  <c r="X44" i="11" l="1" a="1"/>
  <c r="AE45" i="13" a="1"/>
  <c r="AO46" i="13" a="1"/>
  <c r="W94" i="11"/>
  <c r="AB93" i="11"/>
  <c r="AV92" i="11" a="1"/>
  <c r="AV92" i="11" s="1"/>
  <c r="AQ92" i="11" a="1"/>
  <c r="AQ92" i="11" s="1"/>
  <c r="AL92" i="11" a="1"/>
  <c r="AL92" i="11" s="1"/>
  <c r="AG92" i="11" a="1"/>
  <c r="AG92" i="11" s="1"/>
  <c r="AE45" i="13" l="1"/>
  <c r="AG45" i="13"/>
  <c r="AH45" i="13"/>
  <c r="AF45" i="13"/>
  <c r="AQ46" i="13"/>
  <c r="AP46" i="13"/>
  <c r="AO46" i="13"/>
  <c r="AR46" i="13"/>
  <c r="Y44" i="11"/>
  <c r="Z44" i="11"/>
  <c r="AA44" i="11"/>
  <c r="X44" i="11"/>
  <c r="AV93" i="11" a="1"/>
  <c r="AV93" i="11" s="1"/>
  <c r="AQ93" i="11" a="1"/>
  <c r="AQ93" i="11" s="1"/>
  <c r="AG93" i="11" a="1"/>
  <c r="AG93" i="11" s="1"/>
  <c r="AL93" i="11" a="1"/>
  <c r="AL93" i="11" s="1"/>
  <c r="W95" i="11"/>
  <c r="AB94" i="11"/>
  <c r="AE46" i="13" l="1" a="1"/>
  <c r="AO47" i="13" a="1"/>
  <c r="X45" i="11" a="1"/>
  <c r="AL94" i="11" a="1"/>
  <c r="AL94" i="11" s="1"/>
  <c r="AV94" i="11" a="1"/>
  <c r="AV94" i="11" s="1"/>
  <c r="AQ94" i="11" a="1"/>
  <c r="AQ94" i="11" s="1"/>
  <c r="AG94" i="11" a="1"/>
  <c r="AG94" i="11" s="1"/>
  <c r="AB95" i="11"/>
  <c r="W96" i="11"/>
  <c r="AA45" i="11" l="1"/>
  <c r="Y45" i="11"/>
  <c r="Z45" i="11"/>
  <c r="X45" i="11"/>
  <c r="AQ47" i="13"/>
  <c r="AR47" i="13"/>
  <c r="AO47" i="13"/>
  <c r="AP47" i="13"/>
  <c r="AF46" i="13"/>
  <c r="AE46" i="13"/>
  <c r="AG46" i="13"/>
  <c r="AH46" i="13"/>
  <c r="AB96" i="11"/>
  <c r="W97" i="11"/>
  <c r="AL95" i="11" a="1"/>
  <c r="AL95" i="11" s="1"/>
  <c r="AQ95" i="11" a="1"/>
  <c r="AQ95" i="11" s="1"/>
  <c r="AG95" i="11" a="1"/>
  <c r="AG95" i="11" s="1"/>
  <c r="AV95" i="11" a="1"/>
  <c r="AV95" i="11" s="1"/>
  <c r="AE47" i="13" l="1" a="1"/>
  <c r="AO48" i="13" a="1"/>
  <c r="X46" i="11" a="1"/>
  <c r="W98" i="11"/>
  <c r="AB97" i="11"/>
  <c r="AG96" i="11" a="1"/>
  <c r="AG96" i="11" s="1"/>
  <c r="AV96" i="11" a="1"/>
  <c r="AV96" i="11" s="1"/>
  <c r="AQ96" i="11" a="1"/>
  <c r="AQ96" i="11" s="1"/>
  <c r="AL96" i="11" a="1"/>
  <c r="AL96" i="11" s="1"/>
  <c r="X46" i="11" l="1"/>
  <c r="Z46" i="11"/>
  <c r="AA46" i="11"/>
  <c r="Y46" i="11"/>
  <c r="AO48" i="13"/>
  <c r="AQ48" i="13"/>
  <c r="AP48" i="13"/>
  <c r="AR48" i="13"/>
  <c r="AF47" i="13"/>
  <c r="AH47" i="13"/>
  <c r="AG47" i="13"/>
  <c r="AE47" i="13"/>
  <c r="X47" i="11" s="1" a="1"/>
  <c r="AL97" i="11" a="1"/>
  <c r="AL97" i="11" s="1"/>
  <c r="AG97" i="11" a="1"/>
  <c r="AG97" i="11" s="1"/>
  <c r="AV97" i="11" a="1"/>
  <c r="AV97" i="11" s="1"/>
  <c r="AQ97" i="11" a="1"/>
  <c r="AQ97" i="11" s="1"/>
  <c r="AB98" i="11"/>
  <c r="W99" i="11"/>
  <c r="AO49" i="13" l="1" a="1"/>
  <c r="AE48" i="13" a="1"/>
  <c r="Y47" i="11"/>
  <c r="X47" i="11"/>
  <c r="Z47" i="11"/>
  <c r="AA47" i="11"/>
  <c r="AG98" i="11" a="1"/>
  <c r="AG98" i="11" s="1"/>
  <c r="AL98" i="11" a="1"/>
  <c r="AL98" i="11" s="1"/>
  <c r="AV98" i="11" a="1"/>
  <c r="AV98" i="11" s="1"/>
  <c r="AQ98" i="11" a="1"/>
  <c r="AQ98" i="11" s="1"/>
  <c r="AB99" i="11"/>
  <c r="W100" i="11"/>
  <c r="AG48" i="13" l="1"/>
  <c r="AE48" i="13"/>
  <c r="AF48" i="13"/>
  <c r="AH48" i="13"/>
  <c r="AO49" i="13"/>
  <c r="AP49" i="13"/>
  <c r="AQ49" i="13"/>
  <c r="AR49" i="13"/>
  <c r="W101" i="11"/>
  <c r="AB100" i="11"/>
  <c r="AQ99" i="11" a="1"/>
  <c r="AQ99" i="11" s="1"/>
  <c r="AV99" i="11" a="1"/>
  <c r="AV99" i="11" s="1"/>
  <c r="AG99" i="11" a="1"/>
  <c r="AG99" i="11" s="1"/>
  <c r="AL99" i="11" a="1"/>
  <c r="AL99" i="11" s="1"/>
  <c r="AE49" i="13" l="1" a="1"/>
  <c r="AO50" i="13" a="1"/>
  <c r="X48" i="11" a="1"/>
  <c r="AG100" i="11" a="1"/>
  <c r="AG100" i="11" s="1"/>
  <c r="AL100" i="11" a="1"/>
  <c r="AL100" i="11" s="1"/>
  <c r="AV100" i="11" a="1"/>
  <c r="AV100" i="11" s="1"/>
  <c r="AQ100" i="11" a="1"/>
  <c r="AQ100" i="11" s="1"/>
  <c r="AB101" i="11"/>
  <c r="W102" i="11"/>
  <c r="AA48" i="11" l="1"/>
  <c r="Z48" i="11"/>
  <c r="X48" i="11"/>
  <c r="Y48" i="11"/>
  <c r="AR50" i="13"/>
  <c r="AQ50" i="13"/>
  <c r="AP50" i="13"/>
  <c r="AO50" i="13"/>
  <c r="AH49" i="13"/>
  <c r="AF49" i="13"/>
  <c r="AG49" i="13"/>
  <c r="AE49" i="13"/>
  <c r="W103" i="11"/>
  <c r="AB102" i="11"/>
  <c r="AQ101" i="11" a="1"/>
  <c r="AQ101" i="11" s="1"/>
  <c r="AL101" i="11" a="1"/>
  <c r="AL101" i="11" s="1"/>
  <c r="AV101" i="11" a="1"/>
  <c r="AV101" i="11" s="1"/>
  <c r="AG101" i="11" a="1"/>
  <c r="AG101" i="11" s="1"/>
  <c r="X49" i="11" l="1" a="1"/>
  <c r="AO51" i="13" a="1"/>
  <c r="AE50" i="13" a="1"/>
  <c r="X49" i="11"/>
  <c r="Y49" i="11"/>
  <c r="AA49" i="11"/>
  <c r="Z49" i="11"/>
  <c r="AG102" i="11" a="1"/>
  <c r="AG102" i="11" s="1"/>
  <c r="AL102" i="11" a="1"/>
  <c r="AL102" i="11" s="1"/>
  <c r="AV102" i="11" a="1"/>
  <c r="AV102" i="11" s="1"/>
  <c r="AQ102" i="11" a="1"/>
  <c r="AQ102" i="11" s="1"/>
  <c r="W104" i="11"/>
  <c r="AB103" i="11"/>
  <c r="AH50" i="13" l="1"/>
  <c r="AE50" i="13"/>
  <c r="AF50" i="13"/>
  <c r="AG50" i="13"/>
  <c r="AR51" i="13"/>
  <c r="AQ51" i="13"/>
  <c r="AP51" i="13"/>
  <c r="AO51" i="13"/>
  <c r="W105" i="11"/>
  <c r="AB104" i="11"/>
  <c r="AL103" i="11" a="1"/>
  <c r="AL103" i="11" s="1"/>
  <c r="AQ103" i="11" a="1"/>
  <c r="AQ103" i="11" s="1"/>
  <c r="AV103" i="11" a="1"/>
  <c r="AV103" i="11" s="1"/>
  <c r="AG103" i="11" a="1"/>
  <c r="AG103" i="11" s="1"/>
  <c r="AO52" i="13" l="1" a="1"/>
  <c r="AE51" i="13" a="1"/>
  <c r="X50" i="11" a="1"/>
  <c r="AQ104" i="11" a="1"/>
  <c r="AQ104" i="11" s="1"/>
  <c r="AG104" i="11" a="1"/>
  <c r="AG104" i="11" s="1"/>
  <c r="AV104" i="11" a="1"/>
  <c r="AV104" i="11" s="1"/>
  <c r="AL104" i="11" a="1"/>
  <c r="AL104" i="11" s="1"/>
  <c r="AB105" i="11"/>
  <c r="W106" i="11"/>
  <c r="Y50" i="11" l="1"/>
  <c r="AA50" i="11"/>
  <c r="Z50" i="11"/>
  <c r="X50" i="11"/>
  <c r="AH51" i="13"/>
  <c r="AG51" i="13"/>
  <c r="AF51" i="13"/>
  <c r="AE51" i="13"/>
  <c r="X51" i="11" s="1" a="1"/>
  <c r="AO52" i="13"/>
  <c r="AP52" i="13"/>
  <c r="AQ52" i="13"/>
  <c r="AR52" i="13"/>
  <c r="W107" i="11"/>
  <c r="AB106" i="11"/>
  <c r="AQ105" i="11" a="1"/>
  <c r="AQ105" i="11" s="1"/>
  <c r="AG105" i="11" a="1"/>
  <c r="AG105" i="11" s="1"/>
  <c r="AL105" i="11" a="1"/>
  <c r="AL105" i="11" s="1"/>
  <c r="AV105" i="11" a="1"/>
  <c r="AV105" i="11" s="1"/>
  <c r="Z51" i="11" l="1"/>
  <c r="AA51" i="11"/>
  <c r="Y51" i="11"/>
  <c r="X51" i="11"/>
  <c r="AO53" i="13" a="1"/>
  <c r="AE52" i="13" a="1"/>
  <c r="AQ106" i="11" a="1"/>
  <c r="AQ106" i="11" s="1"/>
  <c r="AV106" i="11" a="1"/>
  <c r="AV106" i="11" s="1"/>
  <c r="AL106" i="11" a="1"/>
  <c r="AL106" i="11" s="1"/>
  <c r="AG106" i="11" a="1"/>
  <c r="AG106" i="11" s="1"/>
  <c r="W108" i="11"/>
  <c r="AB107" i="11"/>
  <c r="AO53" i="13" l="1"/>
  <c r="AR53" i="13"/>
  <c r="AQ53" i="13"/>
  <c r="AP53" i="13"/>
  <c r="AG52" i="13"/>
  <c r="AE52" i="13"/>
  <c r="AF52" i="13"/>
  <c r="AH52" i="13"/>
  <c r="AL107" i="11" a="1"/>
  <c r="AL107" i="11" s="1"/>
  <c r="AG107" i="11" a="1"/>
  <c r="AG107" i="11" s="1"/>
  <c r="AQ107" i="11" a="1"/>
  <c r="AQ107" i="11" s="1"/>
  <c r="AV107" i="11" a="1"/>
  <c r="AV107" i="11" s="1"/>
  <c r="W109" i="11"/>
  <c r="AB108" i="11"/>
  <c r="X52" i="11" l="1" a="1"/>
  <c r="X52" i="11"/>
  <c r="AA52" i="11"/>
  <c r="Y52" i="11"/>
  <c r="Z52" i="11"/>
  <c r="AO54" i="13" a="1"/>
  <c r="AE53" i="13" a="1"/>
  <c r="W110" i="11"/>
  <c r="AB109" i="11"/>
  <c r="AL108" i="11" a="1"/>
  <c r="AL108" i="11" s="1"/>
  <c r="AQ108" i="11" a="1"/>
  <c r="AQ108" i="11" s="1"/>
  <c r="AV108" i="11" a="1"/>
  <c r="AV108" i="11" s="1"/>
  <c r="AG108" i="11" a="1"/>
  <c r="AG108" i="11" s="1"/>
  <c r="AE53" i="13" l="1"/>
  <c r="AH53" i="13"/>
  <c r="AG53" i="13"/>
  <c r="AF53" i="13"/>
  <c r="AO54" i="13"/>
  <c r="AR54" i="13"/>
  <c r="AP54" i="13"/>
  <c r="AQ54" i="13"/>
  <c r="W111" i="11"/>
  <c r="AB110" i="11"/>
  <c r="AG109" i="11" a="1"/>
  <c r="AG109" i="11" s="1"/>
  <c r="AV109" i="11" a="1"/>
  <c r="AV109" i="11" s="1"/>
  <c r="AL109" i="11" a="1"/>
  <c r="AL109" i="11" s="1"/>
  <c r="AQ109" i="11" a="1"/>
  <c r="AQ109" i="11" s="1"/>
  <c r="AE54" i="13" l="1" a="1"/>
  <c r="AO55" i="13" a="1"/>
  <c r="X53" i="11" a="1"/>
  <c r="AQ110" i="11" a="1"/>
  <c r="AQ110" i="11" s="1"/>
  <c r="AG110" i="11" a="1"/>
  <c r="AG110" i="11" s="1"/>
  <c r="AV110" i="11" a="1"/>
  <c r="AV110" i="11" s="1"/>
  <c r="AL110" i="11" a="1"/>
  <c r="AL110" i="11" s="1"/>
  <c r="W112" i="11"/>
  <c r="AB111" i="11"/>
  <c r="X53" i="11" l="1"/>
  <c r="Y53" i="11"/>
  <c r="AA53" i="11"/>
  <c r="Z53" i="11"/>
  <c r="AR55" i="13"/>
  <c r="AO55" i="13"/>
  <c r="AQ55" i="13"/>
  <c r="AP55" i="13"/>
  <c r="AE54" i="13"/>
  <c r="AF54" i="13"/>
  <c r="AG54" i="13"/>
  <c r="AH54" i="13"/>
  <c r="AG111" i="11" a="1"/>
  <c r="AG111" i="11" s="1"/>
  <c r="AL111" i="11" a="1"/>
  <c r="AL111" i="11" s="1"/>
  <c r="AV111" i="11" a="1"/>
  <c r="AV111" i="11" s="1"/>
  <c r="AQ111" i="11" a="1"/>
  <c r="AQ111" i="11" s="1"/>
  <c r="W113" i="11"/>
  <c r="AB112" i="11"/>
  <c r="AO56" i="13" l="1" a="1"/>
  <c r="AE55" i="13" a="1"/>
  <c r="X54" i="11" a="1"/>
  <c r="AV112" i="11" a="1"/>
  <c r="AV112" i="11" s="1"/>
  <c r="AL112" i="11" a="1"/>
  <c r="AL112" i="11" s="1"/>
  <c r="AG112" i="11" a="1"/>
  <c r="AG112" i="11" s="1"/>
  <c r="AQ112" i="11" a="1"/>
  <c r="AQ112" i="11" s="1"/>
  <c r="AB113" i="11"/>
  <c r="W114" i="11"/>
  <c r="Z54" i="11" l="1"/>
  <c r="AA54" i="11"/>
  <c r="Y54" i="11"/>
  <c r="X54" i="11"/>
  <c r="AE55" i="13"/>
  <c r="AG55" i="13"/>
  <c r="AF55" i="13"/>
  <c r="AH55" i="13"/>
  <c r="AQ56" i="13"/>
  <c r="AP56" i="13"/>
  <c r="AR56" i="13"/>
  <c r="AO56" i="13"/>
  <c r="W115" i="11"/>
  <c r="AB114" i="11"/>
  <c r="AG113" i="11" a="1"/>
  <c r="AG113" i="11" s="1"/>
  <c r="AV113" i="11" a="1"/>
  <c r="AV113" i="11" s="1"/>
  <c r="AL113" i="11" a="1"/>
  <c r="AL113" i="11" s="1"/>
  <c r="AQ113" i="11" a="1"/>
  <c r="AQ113" i="11" s="1"/>
  <c r="X55" i="11" l="1" a="1"/>
  <c r="AE56" i="13" a="1"/>
  <c r="AO57" i="13" a="1"/>
  <c r="AV114" i="11" a="1"/>
  <c r="AV114" i="11" s="1"/>
  <c r="AL114" i="11" a="1"/>
  <c r="AL114" i="11" s="1"/>
  <c r="AG114" i="11" a="1"/>
  <c r="AG114" i="11" s="1"/>
  <c r="AQ114" i="11" a="1"/>
  <c r="AQ114" i="11" s="1"/>
  <c r="W116" i="11"/>
  <c r="AB115" i="11"/>
  <c r="AQ57" i="13" l="1"/>
  <c r="AP57" i="13"/>
  <c r="AR57" i="13"/>
  <c r="AO57" i="13"/>
  <c r="AE56" i="13"/>
  <c r="AG56" i="13"/>
  <c r="AH56" i="13"/>
  <c r="AF56" i="13"/>
  <c r="Z55" i="11"/>
  <c r="Y55" i="11"/>
  <c r="AA55" i="11"/>
  <c r="X55" i="11"/>
  <c r="AL115" i="11" a="1"/>
  <c r="AL115" i="11" s="1"/>
  <c r="AG115" i="11" a="1"/>
  <c r="AG115" i="11" s="1"/>
  <c r="AQ115" i="11" a="1"/>
  <c r="AQ115" i="11" s="1"/>
  <c r="AV115" i="11" a="1"/>
  <c r="AV115" i="11" s="1"/>
  <c r="W117" i="11"/>
  <c r="AB116" i="11"/>
  <c r="X56" i="11" l="1" a="1"/>
  <c r="AO58" i="13" a="1"/>
  <c r="AE57" i="13" a="1"/>
  <c r="AB117" i="11"/>
  <c r="W118" i="11"/>
  <c r="AG116" i="11" a="1"/>
  <c r="AG116" i="11" s="1"/>
  <c r="AV116" i="11" a="1"/>
  <c r="AV116" i="11" s="1"/>
  <c r="AQ116" i="11" a="1"/>
  <c r="AQ116" i="11" s="1"/>
  <c r="AL116" i="11" a="1"/>
  <c r="AL116" i="11" s="1"/>
  <c r="AO58" i="13" l="1"/>
  <c r="AR58" i="13"/>
  <c r="AQ58" i="13"/>
  <c r="AP58" i="13"/>
  <c r="AG57" i="13"/>
  <c r="AE57" i="13"/>
  <c r="AH57" i="13"/>
  <c r="AF57" i="13"/>
  <c r="X56" i="11"/>
  <c r="Y56" i="11"/>
  <c r="AA56" i="11"/>
  <c r="Z56" i="11"/>
  <c r="AB118" i="11"/>
  <c r="W119" i="11"/>
  <c r="AL117" i="11" a="1"/>
  <c r="AL117" i="11" s="1"/>
  <c r="AQ117" i="11" a="1"/>
  <c r="AQ117" i="11" s="1"/>
  <c r="AG117" i="11" a="1"/>
  <c r="AG117" i="11" s="1"/>
  <c r="AV117" i="11" a="1"/>
  <c r="AV117" i="11" s="1"/>
  <c r="X57" i="11" l="1" a="1"/>
  <c r="AO59" i="13" a="1"/>
  <c r="AE58" i="13" a="1"/>
  <c r="AB119" i="11"/>
  <c r="W120" i="11"/>
  <c r="AG118" i="11" a="1"/>
  <c r="AG118" i="11" s="1"/>
  <c r="AQ118" i="11" a="1"/>
  <c r="AQ118" i="11" s="1"/>
  <c r="AL118" i="11" a="1"/>
  <c r="AL118" i="11" s="1"/>
  <c r="AV118" i="11" a="1"/>
  <c r="AV118" i="11" s="1"/>
  <c r="AG58" i="13" l="1"/>
  <c r="AF58" i="13"/>
  <c r="AH58" i="13"/>
  <c r="AE58" i="13"/>
  <c r="AR59" i="13"/>
  <c r="AQ59" i="13"/>
  <c r="AP59" i="13"/>
  <c r="AO59" i="13"/>
  <c r="Y57" i="11"/>
  <c r="Z57" i="11"/>
  <c r="AA57" i="11"/>
  <c r="X57" i="11"/>
  <c r="AB120" i="11"/>
  <c r="W121" i="11"/>
  <c r="AG119" i="11" a="1"/>
  <c r="AG119" i="11" s="1"/>
  <c r="AL119" i="11" a="1"/>
  <c r="AL119" i="11" s="1"/>
  <c r="AQ119" i="11" a="1"/>
  <c r="AQ119" i="11" s="1"/>
  <c r="AV119" i="11" a="1"/>
  <c r="AV119" i="11" s="1"/>
  <c r="X58" i="11" l="1" a="1"/>
  <c r="Y58" i="11" s="1"/>
  <c r="AE59" i="13" a="1"/>
  <c r="AO60" i="13" a="1"/>
  <c r="W122" i="11"/>
  <c r="AB121" i="11"/>
  <c r="AG120" i="11" a="1"/>
  <c r="AG120" i="11" s="1"/>
  <c r="AV120" i="11" a="1"/>
  <c r="AV120" i="11" s="1"/>
  <c r="AL120" i="11" a="1"/>
  <c r="AL120" i="11" s="1"/>
  <c r="AQ120" i="11" a="1"/>
  <c r="AQ120" i="11" s="1"/>
  <c r="AA58" i="11" l="1"/>
  <c r="X58" i="11"/>
  <c r="Z58" i="11"/>
  <c r="AE59" i="13"/>
  <c r="AH59" i="13"/>
  <c r="AF59" i="13"/>
  <c r="AG59" i="13"/>
  <c r="AR60" i="13"/>
  <c r="AQ60" i="13"/>
  <c r="AO60" i="13"/>
  <c r="AP60" i="13"/>
  <c r="AQ121" i="11" a="1"/>
  <c r="AQ121" i="11" s="1"/>
  <c r="AG121" i="11" a="1"/>
  <c r="AG121" i="11" s="1"/>
  <c r="AL121" i="11" a="1"/>
  <c r="AL121" i="11" s="1"/>
  <c r="AV121" i="11" a="1"/>
  <c r="AV121" i="11" s="1"/>
  <c r="W123" i="11"/>
  <c r="AB122" i="11"/>
  <c r="AE60" i="13" l="1" a="1"/>
  <c r="AO61" i="13" a="1"/>
  <c r="X59" i="11" a="1"/>
  <c r="AV122" i="11" a="1"/>
  <c r="AV122" i="11" s="1"/>
  <c r="AQ122" i="11" a="1"/>
  <c r="AQ122" i="11" s="1"/>
  <c r="AL122" i="11" a="1"/>
  <c r="AL122" i="11" s="1"/>
  <c r="AG122" i="11" a="1"/>
  <c r="AG122" i="11" s="1"/>
  <c r="AB123" i="11"/>
  <c r="W124" i="11"/>
  <c r="Y59" i="11" l="1"/>
  <c r="AA59" i="11"/>
  <c r="Z59" i="11"/>
  <c r="X59" i="11"/>
  <c r="AO61" i="13"/>
  <c r="AR61" i="13"/>
  <c r="AQ61" i="13"/>
  <c r="AP61" i="13"/>
  <c r="AE60" i="13"/>
  <c r="AG60" i="13"/>
  <c r="AF60" i="13"/>
  <c r="AH60" i="13"/>
  <c r="W125" i="11"/>
  <c r="AB124" i="11"/>
  <c r="AV123" i="11" a="1"/>
  <c r="AV123" i="11" s="1"/>
  <c r="AL123" i="11" a="1"/>
  <c r="AL123" i="11" s="1"/>
  <c r="AQ123" i="11" a="1"/>
  <c r="AQ123" i="11" s="1"/>
  <c r="AG123" i="11" a="1"/>
  <c r="AG123" i="11" s="1"/>
  <c r="AO62" i="13" l="1" a="1"/>
  <c r="AE61" i="13" a="1"/>
  <c r="X60" i="11" a="1"/>
  <c r="AL124" i="11" a="1"/>
  <c r="AL124" i="11" s="1"/>
  <c r="AV124" i="11" a="1"/>
  <c r="AV124" i="11" s="1"/>
  <c r="AQ124" i="11" a="1"/>
  <c r="AQ124" i="11" s="1"/>
  <c r="AG124" i="11" a="1"/>
  <c r="AG124" i="11" s="1"/>
  <c r="AB125" i="11"/>
  <c r="W126" i="11"/>
  <c r="AA60" i="11" l="1"/>
  <c r="X60" i="11"/>
  <c r="Y60" i="11"/>
  <c r="Z60" i="11"/>
  <c r="AH61" i="13"/>
  <c r="AE61" i="13"/>
  <c r="AF61" i="13"/>
  <c r="AG61" i="13"/>
  <c r="AP62" i="13"/>
  <c r="AR62" i="13"/>
  <c r="AO62" i="13"/>
  <c r="AQ62" i="13"/>
  <c r="AB126" i="11"/>
  <c r="W127" i="11"/>
  <c r="AV125" i="11" a="1"/>
  <c r="AV125" i="11" s="1"/>
  <c r="AQ125" i="11" a="1"/>
  <c r="AQ125" i="11" s="1"/>
  <c r="AG125" i="11" a="1"/>
  <c r="AG125" i="11" s="1"/>
  <c r="AL125" i="11" a="1"/>
  <c r="AL125" i="11" s="1"/>
  <c r="X61" i="11" l="1" a="1"/>
  <c r="AO63" i="13" a="1"/>
  <c r="AE62" i="13" a="1"/>
  <c r="W128" i="11"/>
  <c r="AB127" i="11"/>
  <c r="AL126" i="11" a="1"/>
  <c r="AL126" i="11" s="1"/>
  <c r="AG126" i="11" a="1"/>
  <c r="AG126" i="11" s="1"/>
  <c r="AV126" i="11" a="1"/>
  <c r="AV126" i="11" s="1"/>
  <c r="AQ126" i="11" a="1"/>
  <c r="AQ126" i="11" s="1"/>
  <c r="AG62" i="13" l="1"/>
  <c r="AE62" i="13"/>
  <c r="AF62" i="13"/>
  <c r="AH62" i="13"/>
  <c r="AQ63" i="13"/>
  <c r="AO63" i="13"/>
  <c r="AP63" i="13"/>
  <c r="AR63" i="13"/>
  <c r="X61" i="11"/>
  <c r="Z61" i="11"/>
  <c r="Y61" i="11"/>
  <c r="AA61" i="11"/>
  <c r="AQ127" i="11" a="1"/>
  <c r="AQ127" i="11" s="1"/>
  <c r="AV127" i="11" a="1"/>
  <c r="AV127" i="11" s="1"/>
  <c r="AG127" i="11" a="1"/>
  <c r="AG127" i="11" s="1"/>
  <c r="AL127" i="11" a="1"/>
  <c r="AL127" i="11" s="1"/>
  <c r="W129" i="11"/>
  <c r="AB128" i="11"/>
  <c r="AO64" i="13" l="1" a="1"/>
  <c r="AE63" i="13" a="1"/>
  <c r="X62" i="11" a="1"/>
  <c r="AG128" i="11" a="1"/>
  <c r="AG128" i="11" s="1"/>
  <c r="AL128" i="11" a="1"/>
  <c r="AL128" i="11" s="1"/>
  <c r="AQ128" i="11" a="1"/>
  <c r="AQ128" i="11" s="1"/>
  <c r="AV128" i="11" a="1"/>
  <c r="AV128" i="11" s="1"/>
  <c r="W130" i="11"/>
  <c r="AB129" i="11"/>
  <c r="AA62" i="11" l="1"/>
  <c r="Y62" i="11"/>
  <c r="Z62" i="11"/>
  <c r="X62" i="11"/>
  <c r="AF63" i="13"/>
  <c r="AH63" i="13"/>
  <c r="AG63" i="13"/>
  <c r="AE63" i="13"/>
  <c r="X63" i="11" s="1" a="1"/>
  <c r="AQ64" i="13"/>
  <c r="AO64" i="13"/>
  <c r="AR64" i="13"/>
  <c r="AP64" i="13"/>
  <c r="AG129" i="11" a="1"/>
  <c r="AG129" i="11" s="1"/>
  <c r="AQ129" i="11" a="1"/>
  <c r="AQ129" i="11" s="1"/>
  <c r="AV129" i="11" a="1"/>
  <c r="AV129" i="11" s="1"/>
  <c r="AL129" i="11" a="1"/>
  <c r="AL129" i="11" s="1"/>
  <c r="W131" i="11"/>
  <c r="AB130" i="11"/>
  <c r="Z63" i="11" l="1"/>
  <c r="Y63" i="11"/>
  <c r="AA63" i="11"/>
  <c r="X63" i="11"/>
  <c r="AO65" i="13" a="1"/>
  <c r="AE64" i="13" a="1"/>
  <c r="AL130" i="11" a="1"/>
  <c r="AL130" i="11" s="1"/>
  <c r="AQ130" i="11" a="1"/>
  <c r="AQ130" i="11" s="1"/>
  <c r="AG130" i="11" a="1"/>
  <c r="AG130" i="11" s="1"/>
  <c r="AV130" i="11" a="1"/>
  <c r="AV130" i="11" s="1"/>
  <c r="W132" i="11"/>
  <c r="AB131" i="11"/>
  <c r="AR65" i="13" l="1"/>
  <c r="AQ65" i="13"/>
  <c r="AP65" i="13"/>
  <c r="AO65" i="13"/>
  <c r="AE64" i="13"/>
  <c r="AF64" i="13"/>
  <c r="AH64" i="13"/>
  <c r="AG64" i="13"/>
  <c r="AL131" i="11" a="1"/>
  <c r="AL131" i="11" s="1"/>
  <c r="AG131" i="11" a="1"/>
  <c r="AG131" i="11" s="1"/>
  <c r="AQ131" i="11" a="1"/>
  <c r="AQ131" i="11" s="1"/>
  <c r="AV131" i="11" a="1"/>
  <c r="AV131" i="11" s="1"/>
  <c r="AB132" i="11"/>
  <c r="W133" i="11"/>
  <c r="X64" i="11" l="1" a="1"/>
  <c r="AO66" i="13" a="1"/>
  <c r="AE65" i="13" a="1"/>
  <c r="W134" i="11"/>
  <c r="AB133" i="11"/>
  <c r="AG132" i="11" a="1"/>
  <c r="AG132" i="11" s="1"/>
  <c r="AQ132" i="11" a="1"/>
  <c r="AQ132" i="11" s="1"/>
  <c r="AV132" i="11" a="1"/>
  <c r="AV132" i="11" s="1"/>
  <c r="AL132" i="11" a="1"/>
  <c r="AL132" i="11" s="1"/>
  <c r="AP66" i="13" l="1"/>
  <c r="AQ66" i="13"/>
  <c r="AO66" i="13"/>
  <c r="AR66" i="13"/>
  <c r="AH65" i="13"/>
  <c r="AF65" i="13"/>
  <c r="AG65" i="13"/>
  <c r="AE65" i="13"/>
  <c r="X65" i="11" s="1" a="1"/>
  <c r="X64" i="11"/>
  <c r="Z64" i="11"/>
  <c r="Y64" i="11"/>
  <c r="AA64" i="11"/>
  <c r="AG133" i="11" a="1"/>
  <c r="AG133" i="11" s="1"/>
  <c r="AV133" i="11" a="1"/>
  <c r="AV133" i="11" s="1"/>
  <c r="AL133" i="11" a="1"/>
  <c r="AL133" i="11" s="1"/>
  <c r="AQ133" i="11" a="1"/>
  <c r="AQ133" i="11" s="1"/>
  <c r="W135" i="11"/>
  <c r="AB134" i="11"/>
  <c r="X65" i="11" l="1"/>
  <c r="Y65" i="11"/>
  <c r="Z65" i="11"/>
  <c r="AA65" i="11"/>
  <c r="AE66" i="13" a="1"/>
  <c r="AO67" i="13" a="1"/>
  <c r="AL134" i="11" a="1"/>
  <c r="AL134" i="11" s="1"/>
  <c r="AV134" i="11" a="1"/>
  <c r="AV134" i="11" s="1"/>
  <c r="AQ134" i="11" a="1"/>
  <c r="AQ134" i="11" s="1"/>
  <c r="AG134" i="11" a="1"/>
  <c r="AG134" i="11" s="1"/>
  <c r="W136" i="11"/>
  <c r="AB135" i="11"/>
  <c r="AE66" i="13" l="1"/>
  <c r="AH66" i="13"/>
  <c r="AF66" i="13"/>
  <c r="AG66" i="13"/>
  <c r="AO67" i="13"/>
  <c r="AR67" i="13"/>
  <c r="AQ67" i="13"/>
  <c r="AP67" i="13"/>
  <c r="W137" i="11"/>
  <c r="AB136" i="11"/>
  <c r="AV135" i="11" a="1"/>
  <c r="AV135" i="11" s="1"/>
  <c r="AG135" i="11" a="1"/>
  <c r="AG135" i="11" s="1"/>
  <c r="AQ135" i="11" a="1"/>
  <c r="AQ135" i="11" s="1"/>
  <c r="AL135" i="11" a="1"/>
  <c r="AL135" i="11" s="1"/>
  <c r="AO68" i="13" l="1" a="1"/>
  <c r="AE67" i="13" a="1"/>
  <c r="X66" i="11" a="1"/>
  <c r="AL136" i="11" a="1"/>
  <c r="AL136" i="11" s="1"/>
  <c r="AG136" i="11" a="1"/>
  <c r="AG136" i="11" s="1"/>
  <c r="AV136" i="11" a="1"/>
  <c r="AV136" i="11" s="1"/>
  <c r="AQ136" i="11" a="1"/>
  <c r="AQ136" i="11" s="1"/>
  <c r="W138" i="11"/>
  <c r="AB137" i="11"/>
  <c r="X66" i="11" l="1"/>
  <c r="Y66" i="11"/>
  <c r="AA66" i="11"/>
  <c r="Z66" i="11"/>
  <c r="AG67" i="13"/>
  <c r="AF67" i="13"/>
  <c r="AH67" i="13"/>
  <c r="AE67" i="13"/>
  <c r="X67" i="11" s="1" a="1"/>
  <c r="AP68" i="13"/>
  <c r="AR68" i="13"/>
  <c r="AQ68" i="13"/>
  <c r="AO68" i="13"/>
  <c r="AL137" i="11" a="1"/>
  <c r="AL137" i="11" s="1"/>
  <c r="AQ137" i="11" a="1"/>
  <c r="AQ137" i="11" s="1"/>
  <c r="AG137" i="11" a="1"/>
  <c r="AG137" i="11" s="1"/>
  <c r="AV137" i="11" a="1"/>
  <c r="AV137" i="11" s="1"/>
  <c r="AB138" i="11"/>
  <c r="W139" i="11"/>
  <c r="AA67" i="11" l="1"/>
  <c r="X67" i="11"/>
  <c r="Y67" i="11"/>
  <c r="Z67" i="11"/>
  <c r="AO69" i="13" a="1"/>
  <c r="AE68" i="13" a="1"/>
  <c r="W140" i="11"/>
  <c r="AB139" i="11"/>
  <c r="AG138" i="11" a="1"/>
  <c r="AG138" i="11" s="1"/>
  <c r="AL138" i="11" a="1"/>
  <c r="AL138" i="11" s="1"/>
  <c r="AV138" i="11" a="1"/>
  <c r="AV138" i="11" s="1"/>
  <c r="AQ138" i="11" a="1"/>
  <c r="AQ138" i="11" s="1"/>
  <c r="AO69" i="13" l="1"/>
  <c r="AR69" i="13"/>
  <c r="AQ69" i="13"/>
  <c r="AP69" i="13"/>
  <c r="AE68" i="13"/>
  <c r="AG68" i="13"/>
  <c r="AH68" i="13"/>
  <c r="AF68" i="13"/>
  <c r="AG139" i="11" a="1"/>
  <c r="AG139" i="11" s="1"/>
  <c r="AL139" i="11" a="1"/>
  <c r="AL139" i="11" s="1"/>
  <c r="AQ139" i="11" a="1"/>
  <c r="AQ139" i="11" s="1"/>
  <c r="AV139" i="11" a="1"/>
  <c r="AV139" i="11" s="1"/>
  <c r="W141" i="11"/>
  <c r="AB140" i="11"/>
  <c r="X68" i="11" l="1" a="1"/>
  <c r="AE69" i="13" a="1"/>
  <c r="AO70" i="13" a="1"/>
  <c r="AB141" i="11"/>
  <c r="W142" i="11"/>
  <c r="AG140" i="11" a="1"/>
  <c r="AG140" i="11" s="1"/>
  <c r="AV140" i="11" a="1"/>
  <c r="AV140" i="11" s="1"/>
  <c r="AL140" i="11" a="1"/>
  <c r="AL140" i="11" s="1"/>
  <c r="AQ140" i="11" a="1"/>
  <c r="AQ140" i="11" s="1"/>
  <c r="AH69" i="13" l="1"/>
  <c r="AG69" i="13"/>
  <c r="AE69" i="13"/>
  <c r="AF69" i="13"/>
  <c r="AR70" i="13"/>
  <c r="AQ70" i="13"/>
  <c r="AP70" i="13"/>
  <c r="AO70" i="13"/>
  <c r="AA68" i="11"/>
  <c r="Z68" i="11"/>
  <c r="X68" i="11"/>
  <c r="Y68" i="11"/>
  <c r="AB142" i="11"/>
  <c r="W143" i="11"/>
  <c r="AQ141" i="11" a="1"/>
  <c r="AQ141" i="11" s="1"/>
  <c r="AG141" i="11" a="1"/>
  <c r="AG141" i="11" s="1"/>
  <c r="AL141" i="11" a="1"/>
  <c r="AL141" i="11" s="1"/>
  <c r="AV141" i="11" a="1"/>
  <c r="AV141" i="11" s="1"/>
  <c r="AO71" i="13" l="1" a="1"/>
  <c r="AE70" i="13" a="1"/>
  <c r="X69" i="11" a="1"/>
  <c r="W144" i="11"/>
  <c r="AB143" i="11"/>
  <c r="AG142" i="11" a="1"/>
  <c r="AG142" i="11" s="1"/>
  <c r="AL142" i="11" a="1"/>
  <c r="AL142" i="11" s="1"/>
  <c r="AQ142" i="11" a="1"/>
  <c r="AQ142" i="11" s="1"/>
  <c r="AV142" i="11" a="1"/>
  <c r="AV142" i="11" s="1"/>
  <c r="AH70" i="13" l="1"/>
  <c r="AE70" i="13"/>
  <c r="AG70" i="13"/>
  <c r="AF70" i="13"/>
  <c r="Y69" i="11"/>
  <c r="Z69" i="11"/>
  <c r="AA69" i="11"/>
  <c r="X69" i="11"/>
  <c r="AR71" i="13"/>
  <c r="AO71" i="13"/>
  <c r="AP71" i="13"/>
  <c r="AQ71" i="13"/>
  <c r="AL143" i="11" a="1"/>
  <c r="AL143" i="11" s="1"/>
  <c r="AQ143" i="11" a="1"/>
  <c r="AQ143" i="11" s="1"/>
  <c r="AV143" i="11" a="1"/>
  <c r="AV143" i="11" s="1"/>
  <c r="AG143" i="11" a="1"/>
  <c r="AG143" i="11" s="1"/>
  <c r="AB144" i="11"/>
  <c r="W145" i="11"/>
  <c r="X70" i="11" l="1" a="1"/>
  <c r="Z70" i="11" s="1"/>
  <c r="Y70" i="11"/>
  <c r="X70" i="11"/>
  <c r="AA70" i="11"/>
  <c r="AO72" i="13" a="1"/>
  <c r="AE71" i="13" a="1"/>
  <c r="W146" i="11"/>
  <c r="AB145" i="11"/>
  <c r="AQ144" i="11" a="1"/>
  <c r="AQ144" i="11" s="1"/>
  <c r="AL144" i="11" a="1"/>
  <c r="AL144" i="11" s="1"/>
  <c r="AG144" i="11" a="1"/>
  <c r="AG144" i="11" s="1"/>
  <c r="AV144" i="11" a="1"/>
  <c r="AV144" i="11" s="1"/>
  <c r="AP72" i="13" l="1"/>
  <c r="AQ72" i="13"/>
  <c r="AR72" i="13"/>
  <c r="AO72" i="13"/>
  <c r="AH71" i="13"/>
  <c r="AF71" i="13"/>
  <c r="AE71" i="13"/>
  <c r="AG71" i="13"/>
  <c r="AV145" i="11" a="1"/>
  <c r="AV145" i="11" s="1"/>
  <c r="AG145" i="11" a="1"/>
  <c r="AG145" i="11" s="1"/>
  <c r="AL145" i="11" a="1"/>
  <c r="AL145" i="11" s="1"/>
  <c r="AQ145" i="11" a="1"/>
  <c r="AQ145" i="11" s="1"/>
  <c r="W147" i="11"/>
  <c r="AB146" i="11"/>
  <c r="X71" i="11" l="1" a="1"/>
  <c r="AE72" i="13" a="1"/>
  <c r="AO73" i="13" a="1"/>
  <c r="W148" i="11"/>
  <c r="AB147" i="11"/>
  <c r="AG146" i="11" a="1"/>
  <c r="AG146" i="11" s="1"/>
  <c r="AQ146" i="11" a="1"/>
  <c r="AQ146" i="11" s="1"/>
  <c r="AV146" i="11" a="1"/>
  <c r="AV146" i="11" s="1"/>
  <c r="AL146" i="11" a="1"/>
  <c r="AL146" i="11" s="1"/>
  <c r="AH72" i="13" l="1"/>
  <c r="AG72" i="13"/>
  <c r="AF72" i="13"/>
  <c r="AE72" i="13"/>
  <c r="X72" i="11" s="1" a="1"/>
  <c r="AR73" i="13"/>
  <c r="AQ73" i="13"/>
  <c r="AP73" i="13"/>
  <c r="AO73" i="13"/>
  <c r="AA71" i="11"/>
  <c r="Z71" i="11"/>
  <c r="Y71" i="11"/>
  <c r="X71" i="11"/>
  <c r="AB148" i="11"/>
  <c r="W149" i="11"/>
  <c r="AL147" i="11" a="1"/>
  <c r="AL147" i="11" s="1"/>
  <c r="AV147" i="11" a="1"/>
  <c r="AV147" i="11" s="1"/>
  <c r="AG147" i="11" a="1"/>
  <c r="AG147" i="11" s="1"/>
  <c r="AQ147" i="11" a="1"/>
  <c r="AQ147" i="11" s="1"/>
  <c r="AO74" i="13" l="1" a="1"/>
  <c r="AE73" i="13" a="1"/>
  <c r="Y72" i="11"/>
  <c r="X72" i="11"/>
  <c r="AA72" i="11"/>
  <c r="Z72" i="11"/>
  <c r="AV148" i="11" a="1"/>
  <c r="AV148" i="11" s="1"/>
  <c r="AG148" i="11" a="1"/>
  <c r="AG148" i="11" s="1"/>
  <c r="AQ148" i="11" a="1"/>
  <c r="AQ148" i="11" s="1"/>
  <c r="AL148" i="11" a="1"/>
  <c r="AL148" i="11" s="1"/>
  <c r="W150" i="11"/>
  <c r="AB149" i="11"/>
  <c r="AG73" i="13" l="1"/>
  <c r="AE73" i="13"/>
  <c r="AF73" i="13"/>
  <c r="AH73" i="13"/>
  <c r="AR74" i="13"/>
  <c r="AO74" i="13"/>
  <c r="AQ74" i="13"/>
  <c r="AP74" i="13"/>
  <c r="AV149" i="11" a="1"/>
  <c r="AV149" i="11" s="1"/>
  <c r="AL149" i="11" a="1"/>
  <c r="AL149" i="11" s="1"/>
  <c r="AQ149" i="11" a="1"/>
  <c r="AQ149" i="11" s="1"/>
  <c r="AG149" i="11" a="1"/>
  <c r="AG149" i="11" s="1"/>
  <c r="AB150" i="11"/>
  <c r="W151" i="11"/>
  <c r="AO75" i="13" l="1" a="1"/>
  <c r="AE74" i="13" a="1"/>
  <c r="X73" i="11" a="1"/>
  <c r="W152" i="11"/>
  <c r="AB151" i="11"/>
  <c r="AG150" i="11" a="1"/>
  <c r="AG150" i="11" s="1"/>
  <c r="AQ150" i="11" a="1"/>
  <c r="AQ150" i="11" s="1"/>
  <c r="AV150" i="11" a="1"/>
  <c r="AV150" i="11" s="1"/>
  <c r="AL150" i="11" a="1"/>
  <c r="AL150" i="11" s="1"/>
  <c r="Y73" i="11" l="1"/>
  <c r="Z73" i="11"/>
  <c r="X73" i="11"/>
  <c r="AA73" i="11"/>
  <c r="AF74" i="13"/>
  <c r="AH74" i="13"/>
  <c r="AG74" i="13"/>
  <c r="AE74" i="13"/>
  <c r="X74" i="11" s="1" a="1"/>
  <c r="AP75" i="13"/>
  <c r="AO75" i="13"/>
  <c r="AR75" i="13"/>
  <c r="AQ75" i="13"/>
  <c r="AB152" i="11"/>
  <c r="W153" i="11"/>
  <c r="AV151" i="11" a="1"/>
  <c r="AV151" i="11" s="1"/>
  <c r="AQ151" i="11" a="1"/>
  <c r="AQ151" i="11" s="1"/>
  <c r="AL151" i="11" a="1"/>
  <c r="AL151" i="11" s="1"/>
  <c r="AG151" i="11" a="1"/>
  <c r="AG151" i="11" s="1"/>
  <c r="Y74" i="11" l="1"/>
  <c r="X74" i="11"/>
  <c r="AA74" i="11"/>
  <c r="Z74" i="11"/>
  <c r="AO76" i="13" a="1"/>
  <c r="AE75" i="13" a="1"/>
  <c r="W154" i="11"/>
  <c r="AB153" i="11"/>
  <c r="AV152" i="11" a="1"/>
  <c r="AV152" i="11" s="1"/>
  <c r="AQ152" i="11" a="1"/>
  <c r="AQ152" i="11" s="1"/>
  <c r="AG152" i="11" a="1"/>
  <c r="AG152" i="11" s="1"/>
  <c r="AL152" i="11" a="1"/>
  <c r="AL152" i="11" s="1"/>
  <c r="AH75" i="13" l="1"/>
  <c r="AF75" i="13"/>
  <c r="AG75" i="13"/>
  <c r="AE75" i="13"/>
  <c r="X75" i="11" s="1" a="1"/>
  <c r="AP76" i="13"/>
  <c r="AO76" i="13"/>
  <c r="AR76" i="13"/>
  <c r="AQ76" i="13"/>
  <c r="AL153" i="11" a="1"/>
  <c r="AL153" i="11" s="1"/>
  <c r="AV153" i="11" a="1"/>
  <c r="AV153" i="11" s="1"/>
  <c r="AQ153" i="11" a="1"/>
  <c r="AQ153" i="11" s="1"/>
  <c r="AG153" i="11" a="1"/>
  <c r="AG153" i="11" s="1"/>
  <c r="AB154" i="11"/>
  <c r="W155" i="11"/>
  <c r="AA75" i="11" l="1"/>
  <c r="Z75" i="11"/>
  <c r="Y75" i="11"/>
  <c r="X75" i="11"/>
  <c r="AO77" i="13" a="1"/>
  <c r="AE76" i="13" a="1"/>
  <c r="AB155" i="11"/>
  <c r="W156" i="11"/>
  <c r="AQ154" i="11" a="1"/>
  <c r="AQ154" i="11" s="1"/>
  <c r="AG154" i="11" a="1"/>
  <c r="AG154" i="11" s="1"/>
  <c r="AL154" i="11" a="1"/>
  <c r="AL154" i="11" s="1"/>
  <c r="AV154" i="11" a="1"/>
  <c r="AV154" i="11" s="1"/>
  <c r="AR77" i="13" l="1"/>
  <c r="AQ77" i="13"/>
  <c r="AP77" i="13"/>
  <c r="AO77" i="13"/>
  <c r="AH76" i="13"/>
  <c r="AG76" i="13"/>
  <c r="AE76" i="13"/>
  <c r="X76" i="11" s="1" a="1"/>
  <c r="AF76" i="13"/>
  <c r="W157" i="11"/>
  <c r="AB156" i="11"/>
  <c r="AV155" i="11" a="1"/>
  <c r="AV155" i="11" s="1"/>
  <c r="AG155" i="11" a="1"/>
  <c r="AG155" i="11" s="1"/>
  <c r="AL155" i="11" a="1"/>
  <c r="AL155" i="11" s="1"/>
  <c r="AQ155" i="11" a="1"/>
  <c r="AQ155" i="11" s="1"/>
  <c r="AA76" i="11" l="1"/>
  <c r="X76" i="11"/>
  <c r="Z76" i="11"/>
  <c r="Y76" i="11"/>
  <c r="AO78" i="13" a="1"/>
  <c r="AE77" i="13" a="1"/>
  <c r="AL156" i="11" a="1"/>
  <c r="AL156" i="11" s="1"/>
  <c r="AQ156" i="11" a="1"/>
  <c r="AQ156" i="11" s="1"/>
  <c r="AV156" i="11" a="1"/>
  <c r="AV156" i="11" s="1"/>
  <c r="AG156" i="11" a="1"/>
  <c r="AG156" i="11" s="1"/>
  <c r="AB157" i="11"/>
  <c r="W158" i="11"/>
  <c r="AH77" i="13" l="1"/>
  <c r="AG77" i="13"/>
  <c r="AE77" i="13"/>
  <c r="AF77" i="13"/>
  <c r="AR78" i="13"/>
  <c r="AP78" i="13"/>
  <c r="AO78" i="13"/>
  <c r="AQ78" i="13"/>
  <c r="AB158" i="11"/>
  <c r="W159" i="11"/>
  <c r="AQ157" i="11" a="1"/>
  <c r="AQ157" i="11" s="1"/>
  <c r="AG157" i="11" a="1"/>
  <c r="AG157" i="11" s="1"/>
  <c r="AL157" i="11" a="1"/>
  <c r="AL157" i="11" s="1"/>
  <c r="AV157" i="11" a="1"/>
  <c r="AV157" i="11" s="1"/>
  <c r="X77" i="11" l="1" a="1"/>
  <c r="AO79" i="13" a="1"/>
  <c r="AE78" i="13" a="1"/>
  <c r="W160" i="11"/>
  <c r="AB159" i="11"/>
  <c r="AQ158" i="11" a="1"/>
  <c r="AQ158" i="11" s="1"/>
  <c r="AV158" i="11" a="1"/>
  <c r="AV158" i="11" s="1"/>
  <c r="AL158" i="11" a="1"/>
  <c r="AL158" i="11" s="1"/>
  <c r="AG158" i="11" a="1"/>
  <c r="AG158" i="11" s="1"/>
  <c r="AF78" i="13" l="1"/>
  <c r="AH78" i="13"/>
  <c r="AG78" i="13"/>
  <c r="AE78" i="13"/>
  <c r="AR79" i="13"/>
  <c r="AP79" i="13"/>
  <c r="AQ79" i="13"/>
  <c r="AO79" i="13"/>
  <c r="Z77" i="11"/>
  <c r="Y77" i="11"/>
  <c r="AA77" i="11"/>
  <c r="X77" i="11"/>
  <c r="AQ159" i="11" a="1"/>
  <c r="AQ159" i="11" s="1"/>
  <c r="AV159" i="11" a="1"/>
  <c r="AV159" i="11" s="1"/>
  <c r="AG159" i="11" a="1"/>
  <c r="AG159" i="11" s="1"/>
  <c r="AL159" i="11" a="1"/>
  <c r="AL159" i="11" s="1"/>
  <c r="W161" i="11"/>
  <c r="AB160" i="11"/>
  <c r="X78" i="11" l="1" a="1"/>
  <c r="AO80" i="13" a="1"/>
  <c r="AE79" i="13" a="1"/>
  <c r="AV160" i="11" a="1"/>
  <c r="AV160" i="11" s="1"/>
  <c r="AG160" i="11" a="1"/>
  <c r="AG160" i="11" s="1"/>
  <c r="AQ160" i="11" a="1"/>
  <c r="AQ160" i="11" s="1"/>
  <c r="AL160" i="11" a="1"/>
  <c r="AL160" i="11" s="1"/>
  <c r="W162" i="11"/>
  <c r="AB161" i="11"/>
  <c r="Y78" i="11" l="1"/>
  <c r="Z78" i="11"/>
  <c r="X78" i="11"/>
  <c r="AA78" i="11"/>
  <c r="AF79" i="13"/>
  <c r="AH79" i="13"/>
  <c r="AE79" i="13"/>
  <c r="AG79" i="13"/>
  <c r="AQ80" i="13"/>
  <c r="AR80" i="13"/>
  <c r="AO80" i="13"/>
  <c r="AP80" i="13"/>
  <c r="AG161" i="11" a="1"/>
  <c r="AG161" i="11" s="1"/>
  <c r="AV161" i="11" a="1"/>
  <c r="AV161" i="11" s="1"/>
  <c r="AL161" i="11" a="1"/>
  <c r="AL161" i="11" s="1"/>
  <c r="AQ161" i="11" a="1"/>
  <c r="AQ161" i="11" s="1"/>
  <c r="AB162" i="11"/>
  <c r="W163" i="11"/>
  <c r="X79" i="11" l="1" a="1"/>
  <c r="AO81" i="13" a="1"/>
  <c r="AE80" i="13" a="1"/>
  <c r="Y79" i="11"/>
  <c r="X79" i="11"/>
  <c r="Z79" i="11"/>
  <c r="AA79" i="11"/>
  <c r="AB163" i="11"/>
  <c r="W164" i="11"/>
  <c r="AL162" i="11" a="1"/>
  <c r="AL162" i="11" s="1"/>
  <c r="AG162" i="11" a="1"/>
  <c r="AG162" i="11" s="1"/>
  <c r="AQ162" i="11" a="1"/>
  <c r="AQ162" i="11" s="1"/>
  <c r="AV162" i="11" a="1"/>
  <c r="AV162" i="11" s="1"/>
  <c r="AE80" i="13" l="1"/>
  <c r="AH80" i="13"/>
  <c r="AF80" i="13"/>
  <c r="AG80" i="13"/>
  <c r="AR81" i="13"/>
  <c r="AO81" i="13"/>
  <c r="AQ81" i="13"/>
  <c r="AP81" i="13"/>
  <c r="W165" i="11"/>
  <c r="AB164" i="11"/>
  <c r="AV163" i="11" a="1"/>
  <c r="AV163" i="11" s="1"/>
  <c r="AG163" i="11" a="1"/>
  <c r="AG163" i="11" s="1"/>
  <c r="AQ163" i="11" a="1"/>
  <c r="AQ163" i="11" s="1"/>
  <c r="AL163" i="11" a="1"/>
  <c r="AL163" i="11" s="1"/>
  <c r="AE81" i="13" l="1" a="1"/>
  <c r="AO82" i="13" a="1"/>
  <c r="X80" i="11" a="1"/>
  <c r="AG164" i="11" a="1"/>
  <c r="AG164" i="11" s="1"/>
  <c r="AV164" i="11" a="1"/>
  <c r="AV164" i="11" s="1"/>
  <c r="AL164" i="11" a="1"/>
  <c r="AL164" i="11" s="1"/>
  <c r="AQ164" i="11" a="1"/>
  <c r="AQ164" i="11" s="1"/>
  <c r="W166" i="11"/>
  <c r="AB165" i="11"/>
  <c r="AA80" i="11" l="1"/>
  <c r="Z80" i="11"/>
  <c r="X80" i="11"/>
  <c r="Y80" i="11"/>
  <c r="AR82" i="13"/>
  <c r="AP82" i="13"/>
  <c r="AQ82" i="13"/>
  <c r="AO82" i="13"/>
  <c r="AH81" i="13"/>
  <c r="AF81" i="13"/>
  <c r="AG81" i="13"/>
  <c r="AE81" i="13"/>
  <c r="X81" i="11" s="1" a="1"/>
  <c r="AV165" i="11" a="1"/>
  <c r="AV165" i="11" s="1"/>
  <c r="AG165" i="11" a="1"/>
  <c r="AG165" i="11" s="1"/>
  <c r="AL165" i="11" a="1"/>
  <c r="AL165" i="11" s="1"/>
  <c r="AQ165" i="11" a="1"/>
  <c r="AQ165" i="11" s="1"/>
  <c r="AB166" i="11"/>
  <c r="W167" i="11"/>
  <c r="Z81" i="11" l="1"/>
  <c r="AA81" i="11"/>
  <c r="Y81" i="11"/>
  <c r="X81" i="11"/>
  <c r="AO83" i="13" a="1"/>
  <c r="AE82" i="13" a="1"/>
  <c r="W168" i="11"/>
  <c r="AB167" i="11"/>
  <c r="AL166" i="11" a="1"/>
  <c r="AL166" i="11" s="1"/>
  <c r="AV166" i="11" a="1"/>
  <c r="AV166" i="11" s="1"/>
  <c r="AG166" i="11" a="1"/>
  <c r="AG166" i="11" s="1"/>
  <c r="AQ166" i="11" a="1"/>
  <c r="AQ166" i="11" s="1"/>
  <c r="AQ83" i="13" l="1"/>
  <c r="AO83" i="13"/>
  <c r="AP83" i="13"/>
  <c r="AR83" i="13"/>
  <c r="AF82" i="13"/>
  <c r="AE82" i="13"/>
  <c r="AH82" i="13"/>
  <c r="AG82" i="13"/>
  <c r="AL167" i="11" a="1"/>
  <c r="AL167" i="11" s="1"/>
  <c r="AV167" i="11" a="1"/>
  <c r="AV167" i="11" s="1"/>
  <c r="AQ167" i="11" a="1"/>
  <c r="AQ167" i="11" s="1"/>
  <c r="AG167" i="11" a="1"/>
  <c r="AG167" i="11" s="1"/>
  <c r="W169" i="11"/>
  <c r="AB168" i="11"/>
  <c r="X82" i="11" l="1" a="1"/>
  <c r="AE83" i="13" a="1"/>
  <c r="AO84" i="13" a="1"/>
  <c r="AB169" i="11"/>
  <c r="W170" i="11"/>
  <c r="AV168" i="11" a="1"/>
  <c r="AV168" i="11" s="1"/>
  <c r="AG168" i="11" a="1"/>
  <c r="AG168" i="11" s="1"/>
  <c r="AL168" i="11" a="1"/>
  <c r="AL168" i="11" s="1"/>
  <c r="AQ168" i="11" a="1"/>
  <c r="AQ168" i="11" s="1"/>
  <c r="AR84" i="13" l="1"/>
  <c r="AP84" i="13"/>
  <c r="AQ84" i="13"/>
  <c r="AO84" i="13"/>
  <c r="AF83" i="13"/>
  <c r="AG83" i="13"/>
  <c r="AE83" i="13"/>
  <c r="X83" i="11" s="1" a="1"/>
  <c r="AH83" i="13"/>
  <c r="Z82" i="11"/>
  <c r="Y82" i="11"/>
  <c r="AA82" i="11"/>
  <c r="X82" i="11"/>
  <c r="AB170" i="11"/>
  <c r="W171" i="11"/>
  <c r="AG169" i="11" a="1"/>
  <c r="AG169" i="11" s="1"/>
  <c r="AL169" i="11" a="1"/>
  <c r="AL169" i="11" s="1"/>
  <c r="AV169" i="11" a="1"/>
  <c r="AV169" i="11" s="1"/>
  <c r="AQ169" i="11" a="1"/>
  <c r="AQ169" i="11" s="1"/>
  <c r="AA83" i="11" l="1"/>
  <c r="Z83" i="11"/>
  <c r="X83" i="11"/>
  <c r="Y83" i="11"/>
  <c r="AE84" i="13" a="1"/>
  <c r="AO85" i="13" a="1"/>
  <c r="W172" i="11"/>
  <c r="AB171" i="11"/>
  <c r="AQ170" i="11" a="1"/>
  <c r="AQ170" i="11" s="1"/>
  <c r="AG170" i="11" a="1"/>
  <c r="AG170" i="11" s="1"/>
  <c r="AV170" i="11" a="1"/>
  <c r="AV170" i="11" s="1"/>
  <c r="AL170" i="11" a="1"/>
  <c r="AL170" i="11" s="1"/>
  <c r="AO85" i="13" l="1"/>
  <c r="AQ85" i="13"/>
  <c r="AP85" i="13"/>
  <c r="AR85" i="13"/>
  <c r="AH84" i="13"/>
  <c r="AE84" i="13"/>
  <c r="AG84" i="13"/>
  <c r="AF84" i="13"/>
  <c r="AV171" i="11" a="1"/>
  <c r="AV171" i="11" s="1"/>
  <c r="AG171" i="11" a="1"/>
  <c r="AG171" i="11" s="1"/>
  <c r="AQ171" i="11" a="1"/>
  <c r="AQ171" i="11" s="1"/>
  <c r="AL171" i="11" a="1"/>
  <c r="AL171" i="11" s="1"/>
  <c r="AB172" i="11"/>
  <c r="W173" i="11"/>
  <c r="X84" i="11" l="1" a="1"/>
  <c r="AO86" i="13" a="1"/>
  <c r="AE85" i="13" a="1"/>
  <c r="AB173" i="11"/>
  <c r="W174" i="11"/>
  <c r="AL172" i="11" a="1"/>
  <c r="AL172" i="11" s="1"/>
  <c r="AG172" i="11" a="1"/>
  <c r="AG172" i="11" s="1"/>
  <c r="AQ172" i="11" a="1"/>
  <c r="AQ172" i="11" s="1"/>
  <c r="AV172" i="11" a="1"/>
  <c r="AV172" i="11" s="1"/>
  <c r="AG85" i="13" l="1"/>
  <c r="AF85" i="13"/>
  <c r="AH85" i="13"/>
  <c r="AE85" i="13"/>
  <c r="X85" i="11" s="1" a="1"/>
  <c r="AR86" i="13"/>
  <c r="AP86" i="13"/>
  <c r="AQ86" i="13"/>
  <c r="AO86" i="13"/>
  <c r="Y84" i="11"/>
  <c r="Z84" i="11"/>
  <c r="AA84" i="11"/>
  <c r="X84" i="11"/>
  <c r="AB174" i="11"/>
  <c r="W175" i="11"/>
  <c r="AL173" i="11" a="1"/>
  <c r="AL173" i="11" s="1"/>
  <c r="AQ173" i="11" a="1"/>
  <c r="AQ173" i="11" s="1"/>
  <c r="AV173" i="11" a="1"/>
  <c r="AV173" i="11" s="1"/>
  <c r="AG173" i="11" a="1"/>
  <c r="AG173" i="11" s="1"/>
  <c r="AE86" i="13" l="1" a="1"/>
  <c r="AO87" i="13" a="1"/>
  <c r="AA85" i="11"/>
  <c r="X85" i="11"/>
  <c r="Z85" i="11"/>
  <c r="Y85" i="11"/>
  <c r="AB175" i="11"/>
  <c r="W176" i="11"/>
  <c r="AG174" i="11" a="1"/>
  <c r="AG174" i="11" s="1"/>
  <c r="AL174" i="11" a="1"/>
  <c r="AL174" i="11" s="1"/>
  <c r="AV174" i="11" a="1"/>
  <c r="AV174" i="11" s="1"/>
  <c r="AQ174" i="11" a="1"/>
  <c r="AQ174" i="11" s="1"/>
  <c r="AO87" i="13" l="1"/>
  <c r="AP87" i="13"/>
  <c r="AQ87" i="13"/>
  <c r="AR87" i="13"/>
  <c r="AH86" i="13"/>
  <c r="AF86" i="13"/>
  <c r="AE86" i="13"/>
  <c r="AG86" i="13"/>
  <c r="AB176" i="11"/>
  <c r="W177" i="11"/>
  <c r="AL175" i="11" a="1"/>
  <c r="AL175" i="11" s="1"/>
  <c r="AV175" i="11" a="1"/>
  <c r="AV175" i="11" s="1"/>
  <c r="AG175" i="11" a="1"/>
  <c r="AG175" i="11" s="1"/>
  <c r="AQ175" i="11" a="1"/>
  <c r="AQ175" i="11" s="1"/>
  <c r="X86" i="11" l="1" a="1"/>
  <c r="Y86" i="11" s="1"/>
  <c r="AE87" i="13" a="1"/>
  <c r="AO88" i="13" a="1"/>
  <c r="AB177" i="11"/>
  <c r="W178" i="11"/>
  <c r="AQ176" i="11" a="1"/>
  <c r="AQ176" i="11" s="1"/>
  <c r="AL176" i="11" a="1"/>
  <c r="AL176" i="11" s="1"/>
  <c r="AV176" i="11" a="1"/>
  <c r="AV176" i="11" s="1"/>
  <c r="AG176" i="11" a="1"/>
  <c r="AG176" i="11" s="1"/>
  <c r="AA86" i="11" l="1"/>
  <c r="Z86" i="11"/>
  <c r="X86" i="11"/>
  <c r="AE87" i="13"/>
  <c r="AG87" i="13"/>
  <c r="AH87" i="13"/>
  <c r="AF87" i="13"/>
  <c r="AR88" i="13"/>
  <c r="AQ88" i="13"/>
  <c r="AP88" i="13"/>
  <c r="AO88" i="13"/>
  <c r="AB178" i="11"/>
  <c r="W179" i="11"/>
  <c r="AG177" i="11" a="1"/>
  <c r="AG177" i="11" s="1"/>
  <c r="AL177" i="11" a="1"/>
  <c r="AL177" i="11" s="1"/>
  <c r="AQ177" i="11" a="1"/>
  <c r="AQ177" i="11" s="1"/>
  <c r="AV177" i="11" a="1"/>
  <c r="AV177" i="11" s="1"/>
  <c r="AO89" i="13" l="1" a="1"/>
  <c r="AE88" i="13" a="1"/>
  <c r="X87" i="11" a="1"/>
  <c r="W180" i="11"/>
  <c r="AB179" i="11"/>
  <c r="AV178" i="11" a="1"/>
  <c r="AV178" i="11" s="1"/>
  <c r="AQ178" i="11" a="1"/>
  <c r="AQ178" i="11" s="1"/>
  <c r="AG178" i="11" a="1"/>
  <c r="AG178" i="11" s="1"/>
  <c r="AL178" i="11" a="1"/>
  <c r="AL178" i="11" s="1"/>
  <c r="Y87" i="11" l="1"/>
  <c r="AA87" i="11"/>
  <c r="X87" i="11"/>
  <c r="Z87" i="11"/>
  <c r="AH88" i="13"/>
  <c r="AG88" i="13"/>
  <c r="AF88" i="13"/>
  <c r="AE88" i="13"/>
  <c r="X88" i="11" s="1" a="1"/>
  <c r="AQ89" i="13"/>
  <c r="AO89" i="13"/>
  <c r="AP89" i="13"/>
  <c r="AR89" i="13"/>
  <c r="AQ179" i="11" a="1"/>
  <c r="AQ179" i="11" s="1"/>
  <c r="AG179" i="11" a="1"/>
  <c r="AG179" i="11" s="1"/>
  <c r="AL179" i="11" a="1"/>
  <c r="AL179" i="11" s="1"/>
  <c r="AV179" i="11" a="1"/>
  <c r="AV179" i="11" s="1"/>
  <c r="AB180" i="11"/>
  <c r="W181" i="11"/>
  <c r="Y88" i="11" l="1"/>
  <c r="Z88" i="11"/>
  <c r="X88" i="11"/>
  <c r="AA88" i="11"/>
  <c r="AE89" i="13" a="1"/>
  <c r="AO90" i="13" a="1"/>
  <c r="AB181" i="11"/>
  <c r="W182" i="11"/>
  <c r="AG180" i="11" a="1"/>
  <c r="AG180" i="11" s="1"/>
  <c r="AV180" i="11" a="1"/>
  <c r="AV180" i="11" s="1"/>
  <c r="AL180" i="11" a="1"/>
  <c r="AL180" i="11" s="1"/>
  <c r="AQ180" i="11" a="1"/>
  <c r="AQ180" i="11" s="1"/>
  <c r="AG89" i="13" l="1"/>
  <c r="AF89" i="13"/>
  <c r="AH89" i="13"/>
  <c r="AE89" i="13"/>
  <c r="X89" i="11" s="1" a="1"/>
  <c r="AR90" i="13"/>
  <c r="AO90" i="13"/>
  <c r="AQ90" i="13"/>
  <c r="AP90" i="13"/>
  <c r="AB182" i="11"/>
  <c r="W183" i="11"/>
  <c r="AG181" i="11" a="1"/>
  <c r="AG181" i="11" s="1"/>
  <c r="AQ181" i="11" a="1"/>
  <c r="AQ181" i="11" s="1"/>
  <c r="AV181" i="11" a="1"/>
  <c r="AV181" i="11" s="1"/>
  <c r="AL181" i="11" a="1"/>
  <c r="AL181" i="11" s="1"/>
  <c r="X89" i="11" l="1"/>
  <c r="Z89" i="11"/>
  <c r="AA89" i="11"/>
  <c r="Y89" i="11"/>
  <c r="AE90" i="13" a="1"/>
  <c r="AO91" i="13" a="1"/>
  <c r="W184" i="11"/>
  <c r="AB183" i="11"/>
  <c r="AQ182" i="11" a="1"/>
  <c r="AQ182" i="11" s="1"/>
  <c r="AV182" i="11" a="1"/>
  <c r="AV182" i="11" s="1"/>
  <c r="AL182" i="11" a="1"/>
  <c r="AL182" i="11" s="1"/>
  <c r="AG182" i="11" a="1"/>
  <c r="AG182" i="11" s="1"/>
  <c r="AF90" i="13" l="1"/>
  <c r="AE90" i="13"/>
  <c r="AH90" i="13"/>
  <c r="AG90" i="13"/>
  <c r="AR91" i="13"/>
  <c r="AO91" i="13"/>
  <c r="AP91" i="13"/>
  <c r="AQ91" i="13"/>
  <c r="AL183" i="11" a="1"/>
  <c r="AL183" i="11" s="1"/>
  <c r="AQ183" i="11" a="1"/>
  <c r="AQ183" i="11" s="1"/>
  <c r="AG183" i="11" a="1"/>
  <c r="AG183" i="11" s="1"/>
  <c r="AV183" i="11" a="1"/>
  <c r="AV183" i="11" s="1"/>
  <c r="W185" i="11"/>
  <c r="AB184" i="11"/>
  <c r="AE91" i="13" l="1" a="1"/>
  <c r="AO92" i="13" a="1"/>
  <c r="X90" i="11" a="1"/>
  <c r="AV184" i="11" a="1"/>
  <c r="AV184" i="11" s="1"/>
  <c r="AQ184" i="11" a="1"/>
  <c r="AQ184" i="11" s="1"/>
  <c r="AL184" i="11" a="1"/>
  <c r="AL184" i="11" s="1"/>
  <c r="AG184" i="11" a="1"/>
  <c r="AG184" i="11" s="1"/>
  <c r="W186" i="11"/>
  <c r="AB185" i="11"/>
  <c r="X90" i="11" l="1"/>
  <c r="Y90" i="11"/>
  <c r="AA90" i="11"/>
  <c r="Z90" i="11"/>
  <c r="AR92" i="13"/>
  <c r="AQ92" i="13"/>
  <c r="AP92" i="13"/>
  <c r="AO92" i="13"/>
  <c r="AH91" i="13"/>
  <c r="AF91" i="13"/>
  <c r="AG91" i="13"/>
  <c r="AE91" i="13"/>
  <c r="W187" i="11"/>
  <c r="AB186" i="11"/>
  <c r="AV185" i="11" a="1"/>
  <c r="AV185" i="11" s="1"/>
  <c r="AG185" i="11" a="1"/>
  <c r="AG185" i="11" s="1"/>
  <c r="AQ185" i="11" a="1"/>
  <c r="AQ185" i="11" s="1"/>
  <c r="AL185" i="11" a="1"/>
  <c r="AL185" i="11" s="1"/>
  <c r="AO93" i="13" l="1" a="1"/>
  <c r="AE92" i="13" a="1"/>
  <c r="X91" i="11" a="1"/>
  <c r="AQ186" i="11" a="1"/>
  <c r="AQ186" i="11" s="1"/>
  <c r="AG186" i="11" a="1"/>
  <c r="AG186" i="11" s="1"/>
  <c r="AV186" i="11" a="1"/>
  <c r="AV186" i="11" s="1"/>
  <c r="AL186" i="11" a="1"/>
  <c r="AL186" i="11" s="1"/>
  <c r="W188" i="11"/>
  <c r="AB187" i="11"/>
  <c r="AA91" i="11" l="1"/>
  <c r="X91" i="11"/>
  <c r="Y91" i="11"/>
  <c r="Z91" i="11"/>
  <c r="AF92" i="13"/>
  <c r="AE92" i="13"/>
  <c r="AG92" i="13"/>
  <c r="AH92" i="13"/>
  <c r="AR93" i="13"/>
  <c r="AQ93" i="13"/>
  <c r="AO93" i="13"/>
  <c r="AP93" i="13"/>
  <c r="AL187" i="11" a="1"/>
  <c r="AL187" i="11" s="1"/>
  <c r="AQ187" i="11" a="1"/>
  <c r="AQ187" i="11" s="1"/>
  <c r="AV187" i="11" a="1"/>
  <c r="AV187" i="11" s="1"/>
  <c r="AG187" i="11" a="1"/>
  <c r="AG187" i="11" s="1"/>
  <c r="W189" i="11"/>
  <c r="AB188" i="11"/>
  <c r="X92" i="11" l="1" a="1"/>
  <c r="AO94" i="13" a="1"/>
  <c r="AE93" i="13" a="1"/>
  <c r="AV188" i="11" a="1"/>
  <c r="AV188" i="11" s="1"/>
  <c r="AL188" i="11" a="1"/>
  <c r="AL188" i="11" s="1"/>
  <c r="AG188" i="11" a="1"/>
  <c r="AG188" i="11" s="1"/>
  <c r="AQ188" i="11" a="1"/>
  <c r="AQ188" i="11" s="1"/>
  <c r="AB189" i="11"/>
  <c r="W190" i="11"/>
  <c r="AH93" i="13" l="1"/>
  <c r="AE93" i="13"/>
  <c r="AG93" i="13"/>
  <c r="AF93" i="13"/>
  <c r="AR94" i="13"/>
  <c r="AP94" i="13"/>
  <c r="AQ94" i="13"/>
  <c r="AO94" i="13"/>
  <c r="AA92" i="11"/>
  <c r="Y92" i="11"/>
  <c r="X92" i="11"/>
  <c r="Z92" i="11"/>
  <c r="W191" i="11"/>
  <c r="AB190" i="11"/>
  <c r="AQ189" i="11" a="1"/>
  <c r="AQ189" i="11" s="1"/>
  <c r="AG189" i="11" a="1"/>
  <c r="AG189" i="11" s="1"/>
  <c r="AV189" i="11" a="1"/>
  <c r="AV189" i="11" s="1"/>
  <c r="AL189" i="11" a="1"/>
  <c r="AL189" i="11" s="1"/>
  <c r="AE94" i="13" l="1" a="1"/>
  <c r="AO95" i="13" a="1"/>
  <c r="X93" i="11" a="1"/>
  <c r="AQ190" i="11" a="1"/>
  <c r="AQ190" i="11" s="1"/>
  <c r="AV190" i="11" a="1"/>
  <c r="AV190" i="11" s="1"/>
  <c r="AG190" i="11" a="1"/>
  <c r="AG190" i="11" s="1"/>
  <c r="AL190" i="11" a="1"/>
  <c r="AL190" i="11" s="1"/>
  <c r="AB191" i="11"/>
  <c r="W192" i="11"/>
  <c r="AA93" i="11" l="1"/>
  <c r="Y93" i="11"/>
  <c r="X93" i="11"/>
  <c r="Z93" i="11"/>
  <c r="AR95" i="13"/>
  <c r="AO95" i="13"/>
  <c r="AQ95" i="13"/>
  <c r="AP95" i="13"/>
  <c r="AF94" i="13"/>
  <c r="AE94" i="13"/>
  <c r="AH94" i="13"/>
  <c r="AG94" i="13"/>
  <c r="W193" i="11"/>
  <c r="AB192" i="11"/>
  <c r="AV191" i="11" a="1"/>
  <c r="AV191" i="11" s="1"/>
  <c r="AG191" i="11" a="1"/>
  <c r="AG191" i="11" s="1"/>
  <c r="AL191" i="11" a="1"/>
  <c r="AL191" i="11" s="1"/>
  <c r="AQ191" i="11" a="1"/>
  <c r="AQ191" i="11" s="1"/>
  <c r="AO96" i="13" l="1" a="1"/>
  <c r="AE95" i="13" a="1"/>
  <c r="X94" i="11" a="1"/>
  <c r="AV192" i="11" a="1"/>
  <c r="AV192" i="11" s="1"/>
  <c r="AG192" i="11" a="1"/>
  <c r="AG192" i="11" s="1"/>
  <c r="AQ192" i="11" a="1"/>
  <c r="AQ192" i="11" s="1"/>
  <c r="AL192" i="11" a="1"/>
  <c r="AL192" i="11" s="1"/>
  <c r="AB193" i="11"/>
  <c r="W194" i="11"/>
  <c r="Y94" i="11" l="1"/>
  <c r="Z94" i="11"/>
  <c r="X94" i="11"/>
  <c r="AA94" i="11"/>
  <c r="AE95" i="13"/>
  <c r="AH95" i="13"/>
  <c r="AG95" i="13"/>
  <c r="AF95" i="13"/>
  <c r="AO96" i="13"/>
  <c r="AQ96" i="13"/>
  <c r="AP96" i="13"/>
  <c r="AR96" i="13"/>
  <c r="AB194" i="11"/>
  <c r="W195" i="11"/>
  <c r="AG193" i="11" a="1"/>
  <c r="AG193" i="11" s="1"/>
  <c r="AL193" i="11" a="1"/>
  <c r="AL193" i="11" s="1"/>
  <c r="AQ193" i="11" a="1"/>
  <c r="AQ193" i="11" s="1"/>
  <c r="AV193" i="11" a="1"/>
  <c r="AV193" i="11" s="1"/>
  <c r="X95" i="11" l="1" a="1"/>
  <c r="AO97" i="13" a="1"/>
  <c r="AE96" i="13" a="1"/>
  <c r="W196" i="11"/>
  <c r="AB195" i="11"/>
  <c r="AV194" i="11" a="1"/>
  <c r="AV194" i="11" s="1"/>
  <c r="AL194" i="11" a="1"/>
  <c r="AL194" i="11" s="1"/>
  <c r="AQ194" i="11" a="1"/>
  <c r="AQ194" i="11" s="1"/>
  <c r="AG194" i="11" a="1"/>
  <c r="AG194" i="11" s="1"/>
  <c r="AH96" i="13" l="1"/>
  <c r="AE96" i="13"/>
  <c r="AF96" i="13"/>
  <c r="AG96" i="13"/>
  <c r="AP97" i="13"/>
  <c r="AO97" i="13"/>
  <c r="AQ97" i="13"/>
  <c r="AR97" i="13"/>
  <c r="Z95" i="11"/>
  <c r="AA95" i="11"/>
  <c r="X95" i="11"/>
  <c r="Y95" i="11"/>
  <c r="AG195" i="11" a="1"/>
  <c r="AG195" i="11" s="1"/>
  <c r="AQ195" i="11" a="1"/>
  <c r="AQ195" i="11" s="1"/>
  <c r="AV195" i="11" a="1"/>
  <c r="AV195" i="11" s="1"/>
  <c r="AL195" i="11" a="1"/>
  <c r="AL195" i="11" s="1"/>
  <c r="AB196" i="11"/>
  <c r="W197" i="11"/>
  <c r="AE97" i="13" l="1" a="1"/>
  <c r="AO98" i="13" a="1"/>
  <c r="X96" i="11" a="1"/>
  <c r="AB197" i="11"/>
  <c r="W198" i="11"/>
  <c r="AV196" i="11" a="1"/>
  <c r="AV196" i="11" s="1"/>
  <c r="AG196" i="11" a="1"/>
  <c r="AG196" i="11" s="1"/>
  <c r="AL196" i="11" a="1"/>
  <c r="AL196" i="11" s="1"/>
  <c r="AQ196" i="11" a="1"/>
  <c r="AQ196" i="11" s="1"/>
  <c r="Y96" i="11" l="1"/>
  <c r="AA96" i="11"/>
  <c r="Z96" i="11"/>
  <c r="X96" i="11"/>
  <c r="AR98" i="13"/>
  <c r="AO98" i="13"/>
  <c r="AQ98" i="13"/>
  <c r="AP98" i="13"/>
  <c r="AE97" i="13"/>
  <c r="AH97" i="13"/>
  <c r="AF97" i="13"/>
  <c r="AG97" i="13"/>
  <c r="AB198" i="11"/>
  <c r="W199" i="11"/>
  <c r="AL197" i="11" a="1"/>
  <c r="AL197" i="11" s="1"/>
  <c r="AV197" i="11" a="1"/>
  <c r="AV197" i="11" s="1"/>
  <c r="AQ197" i="11" a="1"/>
  <c r="AQ197" i="11" s="1"/>
  <c r="AG197" i="11" a="1"/>
  <c r="AG197" i="11" s="1"/>
  <c r="AE98" i="13" l="1" a="1"/>
  <c r="AO99" i="13" a="1"/>
  <c r="X97" i="11" a="1"/>
  <c r="W200" i="11"/>
  <c r="AB199" i="11"/>
  <c r="AL198" i="11" a="1"/>
  <c r="AL198" i="11" s="1"/>
  <c r="AG198" i="11" a="1"/>
  <c r="AG198" i="11" s="1"/>
  <c r="AQ198" i="11" a="1"/>
  <c r="AQ198" i="11" s="1"/>
  <c r="AV198" i="11" a="1"/>
  <c r="AV198" i="11" s="1"/>
  <c r="Z97" i="11" l="1"/>
  <c r="AA97" i="11"/>
  <c r="Y97" i="11"/>
  <c r="X97" i="11"/>
  <c r="AP99" i="13"/>
  <c r="AQ99" i="13"/>
  <c r="AR99" i="13"/>
  <c r="AO99" i="13"/>
  <c r="AF98" i="13"/>
  <c r="AH98" i="13"/>
  <c r="AG98" i="13"/>
  <c r="AE98" i="13"/>
  <c r="X98" i="11" s="1" a="1"/>
  <c r="AG199" i="11" a="1"/>
  <c r="AG199" i="11" s="1"/>
  <c r="AL199" i="11" a="1"/>
  <c r="AL199" i="11" s="1"/>
  <c r="AV199" i="11" a="1"/>
  <c r="AV199" i="11" s="1"/>
  <c r="AQ199" i="11" a="1"/>
  <c r="AQ199" i="11" s="1"/>
  <c r="AB200" i="11"/>
  <c r="W201" i="11"/>
  <c r="AE99" i="13" l="1" a="1"/>
  <c r="AO100" i="13" a="1"/>
  <c r="Z98" i="11"/>
  <c r="Y98" i="11"/>
  <c r="X98" i="11"/>
  <c r="AA98" i="11"/>
  <c r="W202" i="11"/>
  <c r="AB201" i="11"/>
  <c r="AG200" i="11" a="1"/>
  <c r="AG200" i="11" s="1"/>
  <c r="AL200" i="11" a="1"/>
  <c r="AL200" i="11" s="1"/>
  <c r="AV200" i="11" a="1"/>
  <c r="AV200" i="11" s="1"/>
  <c r="AQ200" i="11" a="1"/>
  <c r="AQ200" i="11" s="1"/>
  <c r="AR100" i="13" l="1"/>
  <c r="AO100" i="13"/>
  <c r="AP100" i="13"/>
  <c r="AQ100" i="13"/>
  <c r="AG99" i="13"/>
  <c r="AE99" i="13"/>
  <c r="AF99" i="13"/>
  <c r="AH99" i="13"/>
  <c r="AV201" i="11" a="1"/>
  <c r="AV201" i="11" s="1"/>
  <c r="AQ201" i="11" a="1"/>
  <c r="AQ201" i="11" s="1"/>
  <c r="AG201" i="11" a="1"/>
  <c r="AG201" i="11" s="1"/>
  <c r="AL201" i="11" a="1"/>
  <c r="AL201" i="11" s="1"/>
  <c r="W203" i="11"/>
  <c r="AB202" i="11"/>
  <c r="X99" i="11" l="1" a="1"/>
  <c r="AE100" i="13" a="1"/>
  <c r="AO101" i="13" a="1"/>
  <c r="AL202" i="11" a="1"/>
  <c r="AL202" i="11" s="1"/>
  <c r="AV202" i="11" a="1"/>
  <c r="AV202" i="11" s="1"/>
  <c r="AG202" i="11" a="1"/>
  <c r="AG202" i="11" s="1"/>
  <c r="AQ202" i="11" a="1"/>
  <c r="AQ202" i="11" s="1"/>
  <c r="AB203" i="11"/>
  <c r="W204" i="11"/>
  <c r="AR101" i="13" l="1"/>
  <c r="AQ101" i="13"/>
  <c r="AO101" i="13"/>
  <c r="AP101" i="13"/>
  <c r="AE100" i="13"/>
  <c r="AF100" i="13"/>
  <c r="AH100" i="13"/>
  <c r="AG100" i="13"/>
  <c r="AA99" i="11"/>
  <c r="Y99" i="11"/>
  <c r="Z99" i="11"/>
  <c r="X99" i="11"/>
  <c r="AB204" i="11"/>
  <c r="W205" i="11"/>
  <c r="AV203" i="11" a="1"/>
  <c r="AV203" i="11" s="1"/>
  <c r="AG203" i="11" a="1"/>
  <c r="AG203" i="11" s="1"/>
  <c r="AQ203" i="11" a="1"/>
  <c r="AQ203" i="11" s="1"/>
  <c r="AL203" i="11" a="1"/>
  <c r="AL203" i="11" s="1"/>
  <c r="X100" i="11" l="1" a="1"/>
  <c r="AE101" i="13" a="1"/>
  <c r="AO102" i="13" a="1"/>
  <c r="AB205" i="11"/>
  <c r="W206" i="11"/>
  <c r="AQ204" i="11" a="1"/>
  <c r="AQ204" i="11" s="1"/>
  <c r="AG204" i="11" a="1"/>
  <c r="AG204" i="11" s="1"/>
  <c r="AV204" i="11" a="1"/>
  <c r="AV204" i="11" s="1"/>
  <c r="AL204" i="11" a="1"/>
  <c r="AL204" i="11" s="1"/>
  <c r="AH101" i="13" l="1"/>
  <c r="AG101" i="13"/>
  <c r="AF101" i="13"/>
  <c r="AE101" i="13"/>
  <c r="X101" i="11" s="1" a="1"/>
  <c r="AR102" i="13"/>
  <c r="AO102" i="13"/>
  <c r="AP102" i="13"/>
  <c r="AQ102" i="13"/>
  <c r="X100" i="11"/>
  <c r="AA100" i="11"/>
  <c r="Y100" i="11"/>
  <c r="Z100" i="11"/>
  <c r="W207" i="11"/>
  <c r="AB206" i="11"/>
  <c r="AV205" i="11" a="1"/>
  <c r="AV205" i="11" s="1"/>
  <c r="AQ205" i="11" a="1"/>
  <c r="AQ205" i="11" s="1"/>
  <c r="AG205" i="11" a="1"/>
  <c r="AG205" i="11" s="1"/>
  <c r="AL205" i="11" a="1"/>
  <c r="AL205" i="11" s="1"/>
  <c r="X101" i="11" l="1"/>
  <c r="AA101" i="11"/>
  <c r="Z101" i="11"/>
  <c r="Y101" i="11"/>
  <c r="AE102" i="13" a="1"/>
  <c r="AO103" i="13" a="1"/>
  <c r="AV206" i="11" a="1"/>
  <c r="AV206" i="11" s="1"/>
  <c r="AG206" i="11" a="1"/>
  <c r="AG206" i="11" s="1"/>
  <c r="AL206" i="11" a="1"/>
  <c r="AL206" i="11" s="1"/>
  <c r="AQ206" i="11" a="1"/>
  <c r="AQ206" i="11" s="1"/>
  <c r="W208" i="11"/>
  <c r="AB207" i="11"/>
  <c r="AQ103" i="13" l="1"/>
  <c r="AO103" i="13"/>
  <c r="AR103" i="13"/>
  <c r="AP103" i="13"/>
  <c r="AF102" i="13"/>
  <c r="AE102" i="13"/>
  <c r="AG102" i="13"/>
  <c r="AH102" i="13"/>
  <c r="AQ207" i="11" a="1"/>
  <c r="AQ207" i="11" s="1"/>
  <c r="AL207" i="11" a="1"/>
  <c r="AL207" i="11" s="1"/>
  <c r="AG207" i="11" a="1"/>
  <c r="AG207" i="11" s="1"/>
  <c r="AV207" i="11" a="1"/>
  <c r="AV207" i="11" s="1"/>
  <c r="AB208" i="11"/>
  <c r="W209" i="11"/>
  <c r="X102" i="11" l="1" a="1"/>
  <c r="X102" i="11" s="1"/>
  <c r="Y102" i="11"/>
  <c r="AA102" i="11"/>
  <c r="AO104" i="13" a="1"/>
  <c r="AE103" i="13" a="1"/>
  <c r="W210" i="11"/>
  <c r="AB209" i="11"/>
  <c r="AV208" i="11" a="1"/>
  <c r="AV208" i="11" s="1"/>
  <c r="AQ208" i="11" a="1"/>
  <c r="AQ208" i="11" s="1"/>
  <c r="AL208" i="11" a="1"/>
  <c r="AL208" i="11" s="1"/>
  <c r="AG208" i="11" a="1"/>
  <c r="AG208" i="11" s="1"/>
  <c r="Z102" i="11" l="1"/>
  <c r="AH103" i="13"/>
  <c r="AF103" i="13"/>
  <c r="AG103" i="13"/>
  <c r="AE103" i="13"/>
  <c r="X103" i="11" s="1" a="1"/>
  <c r="AR104" i="13"/>
  <c r="AO104" i="13"/>
  <c r="AQ104" i="13"/>
  <c r="AP104" i="13"/>
  <c r="AL209" i="11" a="1"/>
  <c r="AL209" i="11" s="1"/>
  <c r="AG209" i="11" a="1"/>
  <c r="AG209" i="11" s="1"/>
  <c r="AQ209" i="11" a="1"/>
  <c r="AQ209" i="11" s="1"/>
  <c r="AV209" i="11" a="1"/>
  <c r="AV209" i="11" s="1"/>
  <c r="W211" i="11"/>
  <c r="AB210" i="11"/>
  <c r="X103" i="11" l="1"/>
  <c r="Z103" i="11"/>
  <c r="Y103" i="11"/>
  <c r="AA103" i="11"/>
  <c r="AE104" i="13" a="1"/>
  <c r="AO105" i="13" a="1"/>
  <c r="AL210" i="11" a="1"/>
  <c r="AL210" i="11" s="1"/>
  <c r="AQ210" i="11" a="1"/>
  <c r="AQ210" i="11" s="1"/>
  <c r="AG210" i="11" a="1"/>
  <c r="AG210" i="11" s="1"/>
  <c r="AV210" i="11" a="1"/>
  <c r="AV210" i="11" s="1"/>
  <c r="AB211" i="11"/>
  <c r="W212" i="11"/>
  <c r="AH104" i="13" l="1"/>
  <c r="AE104" i="13"/>
  <c r="AF104" i="13"/>
  <c r="AG104" i="13"/>
  <c r="AO105" i="13"/>
  <c r="AQ105" i="13"/>
  <c r="AP105" i="13"/>
  <c r="AR105" i="13"/>
  <c r="AB212" i="11"/>
  <c r="W213" i="11"/>
  <c r="AV211" i="11" a="1"/>
  <c r="AV211" i="11" s="1"/>
  <c r="AG211" i="11" a="1"/>
  <c r="AG211" i="11" s="1"/>
  <c r="AQ211" i="11" a="1"/>
  <c r="AQ211" i="11" s="1"/>
  <c r="AL211" i="11" a="1"/>
  <c r="AL211" i="11" s="1"/>
  <c r="AO106" i="13" l="1" a="1"/>
  <c r="AE105" i="13" a="1"/>
  <c r="X104" i="11" a="1"/>
  <c r="W214" i="11"/>
  <c r="AB213" i="11"/>
  <c r="AG212" i="11" a="1"/>
  <c r="AG212" i="11" s="1"/>
  <c r="AL212" i="11" a="1"/>
  <c r="AL212" i="11" s="1"/>
  <c r="AQ212" i="11" a="1"/>
  <c r="AQ212" i="11" s="1"/>
  <c r="AV212" i="11" a="1"/>
  <c r="AV212" i="11" s="1"/>
  <c r="Y104" i="11" l="1"/>
  <c r="AA104" i="11"/>
  <c r="X104" i="11"/>
  <c r="Z104" i="11"/>
  <c r="AF105" i="13"/>
  <c r="AH105" i="13"/>
  <c r="AE105" i="13"/>
  <c r="AG105" i="13"/>
  <c r="AP106" i="13"/>
  <c r="AQ106" i="13"/>
  <c r="AR106" i="13"/>
  <c r="AO106" i="13"/>
  <c r="AV213" i="11" a="1"/>
  <c r="AV213" i="11" s="1"/>
  <c r="AQ213" i="11" a="1"/>
  <c r="AQ213" i="11" s="1"/>
  <c r="AL213" i="11" a="1"/>
  <c r="AL213" i="11" s="1"/>
  <c r="AG213" i="11" a="1"/>
  <c r="AG213" i="11" s="1"/>
  <c r="W215" i="11"/>
  <c r="AB214" i="11"/>
  <c r="X105" i="11" l="1" a="1"/>
  <c r="Y105" i="11" s="1"/>
  <c r="X105" i="11"/>
  <c r="Z105" i="11"/>
  <c r="AA105" i="11"/>
  <c r="AE106" i="13" a="1"/>
  <c r="AO107" i="13" a="1"/>
  <c r="AB215" i="11"/>
  <c r="W216" i="11"/>
  <c r="AG214" i="11" a="1"/>
  <c r="AG214" i="11" s="1"/>
  <c r="AQ214" i="11" a="1"/>
  <c r="AQ214" i="11" s="1"/>
  <c r="AL214" i="11" a="1"/>
  <c r="AL214" i="11" s="1"/>
  <c r="AV214" i="11" a="1"/>
  <c r="AV214" i="11" s="1"/>
  <c r="AP107" i="13" l="1"/>
  <c r="AR107" i="13"/>
  <c r="AQ107" i="13"/>
  <c r="AO107" i="13"/>
  <c r="AF106" i="13"/>
  <c r="AG106" i="13"/>
  <c r="AE106" i="13"/>
  <c r="AH106" i="13"/>
  <c r="AG215" i="11" a="1"/>
  <c r="AG215" i="11" s="1"/>
  <c r="AV215" i="11" a="1"/>
  <c r="AV215" i="11" s="1"/>
  <c r="AQ215" i="11" a="1"/>
  <c r="AQ215" i="11" s="1"/>
  <c r="AL215" i="11" a="1"/>
  <c r="AL215" i="11" s="1"/>
  <c r="W217" i="11"/>
  <c r="AB216" i="11"/>
  <c r="AO108" i="13" l="1" a="1"/>
  <c r="AE107" i="13" a="1"/>
  <c r="X106" i="11" a="1"/>
  <c r="AB217" i="11"/>
  <c r="W218" i="11"/>
  <c r="AQ216" i="11" a="1"/>
  <c r="AQ216" i="11" s="1"/>
  <c r="AV216" i="11" a="1"/>
  <c r="AV216" i="11" s="1"/>
  <c r="AL216" i="11" a="1"/>
  <c r="AL216" i="11" s="1"/>
  <c r="AG216" i="11" a="1"/>
  <c r="AG216" i="11" s="1"/>
  <c r="X106" i="11" l="1"/>
  <c r="Y106" i="11"/>
  <c r="AA106" i="11"/>
  <c r="Z106" i="11"/>
  <c r="AH107" i="13"/>
  <c r="AG107" i="13"/>
  <c r="AE107" i="13"/>
  <c r="AF107" i="13"/>
  <c r="AO108" i="13"/>
  <c r="AR108" i="13"/>
  <c r="AQ108" i="13"/>
  <c r="AP108" i="13"/>
  <c r="AB218" i="11"/>
  <c r="W219" i="11"/>
  <c r="AQ217" i="11" a="1"/>
  <c r="AQ217" i="11" s="1"/>
  <c r="AG217" i="11" a="1"/>
  <c r="AG217" i="11" s="1"/>
  <c r="AV217" i="11" a="1"/>
  <c r="AV217" i="11" s="1"/>
  <c r="AL217" i="11" a="1"/>
  <c r="AL217" i="11" s="1"/>
  <c r="X107" i="11" l="1" a="1"/>
  <c r="AE108" i="13" a="1"/>
  <c r="AO109" i="13" a="1"/>
  <c r="W220" i="11"/>
  <c r="AB219" i="11"/>
  <c r="AQ218" i="11" a="1"/>
  <c r="AQ218" i="11" s="1"/>
  <c r="AL218" i="11" a="1"/>
  <c r="AL218" i="11" s="1"/>
  <c r="AG218" i="11" a="1"/>
  <c r="AG218" i="11" s="1"/>
  <c r="AV218" i="11" a="1"/>
  <c r="AV218" i="11" s="1"/>
  <c r="AP109" i="13" l="1"/>
  <c r="AR109" i="13"/>
  <c r="AO109" i="13"/>
  <c r="AQ109" i="13"/>
  <c r="AH108" i="13"/>
  <c r="AG108" i="13"/>
  <c r="AE108" i="13"/>
  <c r="AF108" i="13"/>
  <c r="Z107" i="11"/>
  <c r="X107" i="11"/>
  <c r="AA107" i="11"/>
  <c r="Y107" i="11"/>
  <c r="AQ219" i="11" a="1"/>
  <c r="AQ219" i="11" s="1"/>
  <c r="AL219" i="11" a="1"/>
  <c r="AL219" i="11" s="1"/>
  <c r="AV219" i="11" a="1"/>
  <c r="AV219" i="11" s="1"/>
  <c r="AG219" i="11" a="1"/>
  <c r="AG219" i="11" s="1"/>
  <c r="AB220" i="11"/>
  <c r="W221" i="11"/>
  <c r="X108" i="11" l="1" a="1"/>
  <c r="AO110" i="13" a="1"/>
  <c r="AE109" i="13" a="1"/>
  <c r="W222" i="11"/>
  <c r="AB221" i="11"/>
  <c r="AG220" i="11" a="1"/>
  <c r="AG220" i="11" s="1"/>
  <c r="AL220" i="11" a="1"/>
  <c r="AL220" i="11" s="1"/>
  <c r="AQ220" i="11" a="1"/>
  <c r="AQ220" i="11" s="1"/>
  <c r="AV220" i="11" a="1"/>
  <c r="AV220" i="11" s="1"/>
  <c r="AR110" i="13" l="1"/>
  <c r="AQ110" i="13"/>
  <c r="AO110" i="13"/>
  <c r="AP110" i="13"/>
  <c r="AG109" i="13"/>
  <c r="AF109" i="13"/>
  <c r="AH109" i="13"/>
  <c r="AE109" i="13"/>
  <c r="X109" i="11" s="1" a="1"/>
  <c r="X108" i="11"/>
  <c r="Y108" i="11"/>
  <c r="AA108" i="11"/>
  <c r="Z108" i="11"/>
  <c r="AB222" i="11"/>
  <c r="W223" i="11"/>
  <c r="AQ221" i="11" a="1"/>
  <c r="AQ221" i="11" s="1"/>
  <c r="AV221" i="11" a="1"/>
  <c r="AV221" i="11" s="1"/>
  <c r="AL221" i="11" a="1"/>
  <c r="AL221" i="11" s="1"/>
  <c r="AG221" i="11" a="1"/>
  <c r="AG221" i="11" s="1"/>
  <c r="X109" i="11" l="1"/>
  <c r="Z109" i="11"/>
  <c r="Y109" i="11"/>
  <c r="AA109" i="11"/>
  <c r="AE110" i="13" a="1"/>
  <c r="AO111" i="13" a="1"/>
  <c r="AB223" i="11"/>
  <c r="W224" i="11"/>
  <c r="AV222" i="11" a="1"/>
  <c r="AV222" i="11" s="1"/>
  <c r="AL222" i="11" a="1"/>
  <c r="AL222" i="11" s="1"/>
  <c r="AG222" i="11" a="1"/>
  <c r="AG222" i="11" s="1"/>
  <c r="AQ222" i="11" a="1"/>
  <c r="AQ222" i="11" s="1"/>
  <c r="AH110" i="13" l="1"/>
  <c r="AF110" i="13"/>
  <c r="AG110" i="13"/>
  <c r="AE110" i="13"/>
  <c r="X110" i="11" s="1" a="1"/>
  <c r="AR111" i="13"/>
  <c r="AP111" i="13"/>
  <c r="AO111" i="13"/>
  <c r="AQ111" i="13"/>
  <c r="W225" i="11"/>
  <c r="AB224" i="11"/>
  <c r="AV223" i="11" a="1"/>
  <c r="AV223" i="11" s="1"/>
  <c r="AQ223" i="11" a="1"/>
  <c r="AQ223" i="11" s="1"/>
  <c r="AG223" i="11" a="1"/>
  <c r="AG223" i="11" s="1"/>
  <c r="AL223" i="11" a="1"/>
  <c r="AL223" i="11" s="1"/>
  <c r="Y110" i="11" l="1"/>
  <c r="Z110" i="11"/>
  <c r="AA110" i="11"/>
  <c r="X110" i="11"/>
  <c r="AO112" i="13" a="1"/>
  <c r="AE111" i="13" a="1"/>
  <c r="AL224" i="11" a="1"/>
  <c r="AL224" i="11" s="1"/>
  <c r="AV224" i="11" a="1"/>
  <c r="AV224" i="11" s="1"/>
  <c r="AG224" i="11" a="1"/>
  <c r="AG224" i="11" s="1"/>
  <c r="AQ224" i="11" a="1"/>
  <c r="AQ224" i="11" s="1"/>
  <c r="W226" i="11"/>
  <c r="AB225" i="11"/>
  <c r="AG111" i="13" l="1"/>
  <c r="AE111" i="13"/>
  <c r="AH111" i="13"/>
  <c r="AF111" i="13"/>
  <c r="AO112" i="13"/>
  <c r="AQ112" i="13"/>
  <c r="AR112" i="13"/>
  <c r="AP112" i="13"/>
  <c r="AB226" i="11"/>
  <c r="W227" i="11"/>
  <c r="AL225" i="11" a="1"/>
  <c r="AL225" i="11" s="1"/>
  <c r="AV225" i="11" a="1"/>
  <c r="AV225" i="11" s="1"/>
  <c r="AG225" i="11" a="1"/>
  <c r="AG225" i="11" s="1"/>
  <c r="AQ225" i="11" a="1"/>
  <c r="AQ225" i="11" s="1"/>
  <c r="AO113" i="13" l="1" a="1"/>
  <c r="AE112" i="13" a="1"/>
  <c r="X111" i="11" a="1"/>
  <c r="AB227" i="11"/>
  <c r="W228" i="11"/>
  <c r="AV226" i="11" a="1"/>
  <c r="AV226" i="11" s="1"/>
  <c r="AG226" i="11" a="1"/>
  <c r="AG226" i="11" s="1"/>
  <c r="AQ226" i="11" a="1"/>
  <c r="AQ226" i="11" s="1"/>
  <c r="AL226" i="11" a="1"/>
  <c r="AL226" i="11" s="1"/>
  <c r="AA111" i="11" l="1"/>
  <c r="Y111" i="11"/>
  <c r="X111" i="11"/>
  <c r="Z111" i="11"/>
  <c r="AE112" i="13"/>
  <c r="AF112" i="13"/>
  <c r="AH112" i="13"/>
  <c r="AG112" i="13"/>
  <c r="AP113" i="13"/>
  <c r="AR113" i="13"/>
  <c r="AO113" i="13"/>
  <c r="AQ113" i="13"/>
  <c r="AB228" i="11"/>
  <c r="W229" i="11"/>
  <c r="AL227" i="11" a="1"/>
  <c r="AL227" i="11" s="1"/>
  <c r="AG227" i="11" a="1"/>
  <c r="AG227" i="11" s="1"/>
  <c r="AQ227" i="11" a="1"/>
  <c r="AQ227" i="11" s="1"/>
  <c r="AV227" i="11" a="1"/>
  <c r="AV227" i="11" s="1"/>
  <c r="X112" i="11" l="1" a="1"/>
  <c r="AE113" i="13" a="1"/>
  <c r="AO114" i="13" a="1"/>
  <c r="AB229" i="11"/>
  <c r="W230" i="11"/>
  <c r="AV228" i="11" a="1"/>
  <c r="AV228" i="11" s="1"/>
  <c r="AG228" i="11" a="1"/>
  <c r="AG228" i="11" s="1"/>
  <c r="AL228" i="11" a="1"/>
  <c r="AL228" i="11" s="1"/>
  <c r="AQ228" i="11" a="1"/>
  <c r="AQ228" i="11" s="1"/>
  <c r="AP114" i="13" l="1"/>
  <c r="AO114" i="13"/>
  <c r="AQ114" i="13"/>
  <c r="AR114" i="13"/>
  <c r="AF113" i="13"/>
  <c r="AE113" i="13"/>
  <c r="AH113" i="13"/>
  <c r="AG113" i="13"/>
  <c r="Y112" i="11"/>
  <c r="X112" i="11"/>
  <c r="Z112" i="11"/>
  <c r="AA112" i="11"/>
  <c r="AB230" i="11"/>
  <c r="W231" i="11"/>
  <c r="AG229" i="11" a="1"/>
  <c r="AG229" i="11" s="1"/>
  <c r="AL229" i="11" a="1"/>
  <c r="AL229" i="11" s="1"/>
  <c r="AQ229" i="11" a="1"/>
  <c r="AQ229" i="11" s="1"/>
  <c r="AV229" i="11" a="1"/>
  <c r="AV229" i="11" s="1"/>
  <c r="X113" i="11" l="1" a="1"/>
  <c r="AA113" i="11" s="1"/>
  <c r="Z113" i="11"/>
  <c r="Y113" i="11"/>
  <c r="X113" i="11"/>
  <c r="AE114" i="13" a="1"/>
  <c r="AO115" i="13" a="1"/>
  <c r="W232" i="11"/>
  <c r="AB231" i="11"/>
  <c r="AQ230" i="11" a="1"/>
  <c r="AQ230" i="11" s="1"/>
  <c r="AL230" i="11" a="1"/>
  <c r="AL230" i="11" s="1"/>
  <c r="AG230" i="11" a="1"/>
  <c r="AG230" i="11" s="1"/>
  <c r="AV230" i="11" a="1"/>
  <c r="AV230" i="11" s="1"/>
  <c r="AO115" i="13" l="1"/>
  <c r="AR115" i="13"/>
  <c r="AQ115" i="13"/>
  <c r="AP115" i="13"/>
  <c r="AH114" i="13"/>
  <c r="AE114" i="13"/>
  <c r="AG114" i="13"/>
  <c r="AF114" i="13"/>
  <c r="AV231" i="11" a="1"/>
  <c r="AV231" i="11" s="1"/>
  <c r="AG231" i="11" a="1"/>
  <c r="AG231" i="11" s="1"/>
  <c r="AQ231" i="11" a="1"/>
  <c r="AQ231" i="11" s="1"/>
  <c r="AL231" i="11" a="1"/>
  <c r="AL231" i="11" s="1"/>
  <c r="AB232" i="11"/>
  <c r="W233" i="11"/>
  <c r="X114" i="11" l="1" a="1"/>
  <c r="X114" i="11" s="1"/>
  <c r="Y114" i="11"/>
  <c r="AA114" i="11"/>
  <c r="Z114" i="11"/>
  <c r="AO116" i="13" a="1"/>
  <c r="AE115" i="13" a="1"/>
  <c r="W234" i="11"/>
  <c r="AB233" i="11"/>
  <c r="AQ232" i="11" a="1"/>
  <c r="AQ232" i="11" s="1"/>
  <c r="AL232" i="11" a="1"/>
  <c r="AL232" i="11" s="1"/>
  <c r="AV232" i="11" a="1"/>
  <c r="AV232" i="11" s="1"/>
  <c r="AG232" i="11" a="1"/>
  <c r="AG232" i="11" s="1"/>
  <c r="AP116" i="13" l="1"/>
  <c r="AO116" i="13"/>
  <c r="AQ116" i="13"/>
  <c r="AR116" i="13"/>
  <c r="AF115" i="13"/>
  <c r="AH115" i="13"/>
  <c r="AE115" i="13"/>
  <c r="AG115" i="13"/>
  <c r="AG233" i="11" a="1"/>
  <c r="AG233" i="11" s="1"/>
  <c r="AQ233" i="11" a="1"/>
  <c r="AQ233" i="11" s="1"/>
  <c r="AL233" i="11" a="1"/>
  <c r="AL233" i="11" s="1"/>
  <c r="AV233" i="11" a="1"/>
  <c r="AV233" i="11" s="1"/>
  <c r="W235" i="11"/>
  <c r="AB234" i="11"/>
  <c r="X115" i="11" l="1" a="1"/>
  <c r="X115" i="11" s="1"/>
  <c r="AO117" i="13" a="1"/>
  <c r="AE116" i="13" a="1"/>
  <c r="AL234" i="11" a="1"/>
  <c r="AL234" i="11" s="1"/>
  <c r="AQ234" i="11" a="1"/>
  <c r="AQ234" i="11" s="1"/>
  <c r="AG234" i="11" a="1"/>
  <c r="AG234" i="11" s="1"/>
  <c r="AV234" i="11" a="1"/>
  <c r="AV234" i="11" s="1"/>
  <c r="W236" i="11"/>
  <c r="AB235" i="11"/>
  <c r="Y115" i="11" l="1"/>
  <c r="AA115" i="11"/>
  <c r="Z115" i="11"/>
  <c r="AF116" i="13"/>
  <c r="AH116" i="13"/>
  <c r="AG116" i="13"/>
  <c r="AE116" i="13"/>
  <c r="X116" i="11" s="1" a="1"/>
  <c r="AR117" i="13"/>
  <c r="AQ117" i="13"/>
  <c r="AO117" i="13"/>
  <c r="AP117" i="13"/>
  <c r="AQ235" i="11" a="1"/>
  <c r="AQ235" i="11" s="1"/>
  <c r="AG235" i="11" a="1"/>
  <c r="AG235" i="11" s="1"/>
  <c r="AL235" i="11" a="1"/>
  <c r="AL235" i="11" s="1"/>
  <c r="AV235" i="11" a="1"/>
  <c r="AV235" i="11" s="1"/>
  <c r="AB236" i="11"/>
  <c r="W237" i="11"/>
  <c r="AE117" i="13" l="1" a="1"/>
  <c r="AO118" i="13" a="1"/>
  <c r="X116" i="11"/>
  <c r="Z116" i="11"/>
  <c r="Y116" i="11"/>
  <c r="AA116" i="11"/>
  <c r="AB237" i="11"/>
  <c r="W238" i="11"/>
  <c r="AQ236" i="11" a="1"/>
  <c r="AQ236" i="11" s="1"/>
  <c r="AG236" i="11" a="1"/>
  <c r="AG236" i="11" s="1"/>
  <c r="AV236" i="11" a="1"/>
  <c r="AV236" i="11" s="1"/>
  <c r="AL236" i="11" a="1"/>
  <c r="AL236" i="11" s="1"/>
  <c r="AR118" i="13" l="1"/>
  <c r="AP118" i="13"/>
  <c r="AQ118" i="13"/>
  <c r="AO118" i="13"/>
  <c r="AE117" i="13"/>
  <c r="AF117" i="13"/>
  <c r="AH117" i="13"/>
  <c r="AG117" i="13"/>
  <c r="AB238" i="11"/>
  <c r="W239" i="11"/>
  <c r="AL237" i="11" a="1"/>
  <c r="AL237" i="11" s="1"/>
  <c r="AQ237" i="11" a="1"/>
  <c r="AQ237" i="11" s="1"/>
  <c r="AG237" i="11" a="1"/>
  <c r="AG237" i="11" s="1"/>
  <c r="AV237" i="11" a="1"/>
  <c r="AV237" i="11" s="1"/>
  <c r="AO119" i="13" l="1" a="1"/>
  <c r="AE118" i="13" a="1"/>
  <c r="X117" i="11" a="1"/>
  <c r="W240" i="11"/>
  <c r="AB239" i="11"/>
  <c r="AQ238" i="11" a="1"/>
  <c r="AQ238" i="11" s="1"/>
  <c r="AV238" i="11" a="1"/>
  <c r="AV238" i="11" s="1"/>
  <c r="AL238" i="11" a="1"/>
  <c r="AL238" i="11" s="1"/>
  <c r="AG238" i="11" a="1"/>
  <c r="AG238" i="11" s="1"/>
  <c r="Y117" i="11" l="1"/>
  <c r="Z117" i="11"/>
  <c r="AA117" i="11"/>
  <c r="X117" i="11"/>
  <c r="AH118" i="13"/>
  <c r="AG118" i="13"/>
  <c r="AE118" i="13"/>
  <c r="AF118" i="13"/>
  <c r="AP119" i="13"/>
  <c r="AR119" i="13"/>
  <c r="AO119" i="13"/>
  <c r="AQ119" i="13"/>
  <c r="W241" i="11"/>
  <c r="AB240" i="11"/>
  <c r="AV239" i="11" a="1"/>
  <c r="AV239" i="11" s="1"/>
  <c r="AQ239" i="11" a="1"/>
  <c r="AQ239" i="11" s="1"/>
  <c r="AL239" i="11" a="1"/>
  <c r="AL239" i="11" s="1"/>
  <c r="AG239" i="11" a="1"/>
  <c r="AG239" i="11" s="1"/>
  <c r="X118" i="11" l="1" a="1"/>
  <c r="X118" i="11" s="1"/>
  <c r="AE119" i="13" a="1"/>
  <c r="AO120" i="13" a="1"/>
  <c r="AG240" i="11" a="1"/>
  <c r="AG240" i="11" s="1"/>
  <c r="AV240" i="11" a="1"/>
  <c r="AV240" i="11" s="1"/>
  <c r="AQ240" i="11" a="1"/>
  <c r="AQ240" i="11" s="1"/>
  <c r="AL240" i="11" a="1"/>
  <c r="AL240" i="11" s="1"/>
  <c r="W242" i="11"/>
  <c r="AB241" i="11"/>
  <c r="Y118" i="11" l="1"/>
  <c r="AA118" i="11"/>
  <c r="Z118" i="11"/>
  <c r="AF119" i="13"/>
  <c r="AG119" i="13"/>
  <c r="AE119" i="13"/>
  <c r="AH119" i="13"/>
  <c r="AQ120" i="13"/>
  <c r="AP120" i="13"/>
  <c r="AO120" i="13"/>
  <c r="AR120" i="13"/>
  <c r="W243" i="11"/>
  <c r="AB242" i="11"/>
  <c r="AG241" i="11" a="1"/>
  <c r="AG241" i="11" s="1"/>
  <c r="AV241" i="11" a="1"/>
  <c r="AV241" i="11" s="1"/>
  <c r="AL241" i="11" a="1"/>
  <c r="AL241" i="11" s="1"/>
  <c r="AQ241" i="11" a="1"/>
  <c r="AQ241" i="11" s="1"/>
  <c r="AE120" i="13" l="1" a="1"/>
  <c r="AO121" i="13" a="1"/>
  <c r="X119" i="11" a="1"/>
  <c r="AL242" i="11" a="1"/>
  <c r="AL242" i="11" s="1"/>
  <c r="AQ242" i="11" a="1"/>
  <c r="AQ242" i="11" s="1"/>
  <c r="AV242" i="11" a="1"/>
  <c r="AV242" i="11" s="1"/>
  <c r="AG242" i="11" a="1"/>
  <c r="AG242" i="11" s="1"/>
  <c r="AB243" i="11"/>
  <c r="W244" i="11"/>
  <c r="Z119" i="11" l="1"/>
  <c r="AA119" i="11"/>
  <c r="X119" i="11"/>
  <c r="Y119" i="11"/>
  <c r="AO121" i="13"/>
  <c r="AP121" i="13"/>
  <c r="AR121" i="13"/>
  <c r="AQ121" i="13"/>
  <c r="AF120" i="13"/>
  <c r="AG120" i="13"/>
  <c r="AE120" i="13"/>
  <c r="AH120" i="13"/>
  <c r="AB244" i="11"/>
  <c r="W245" i="11"/>
  <c r="AL243" i="11" a="1"/>
  <c r="AL243" i="11" s="1"/>
  <c r="AQ243" i="11" a="1"/>
  <c r="AQ243" i="11" s="1"/>
  <c r="AV243" i="11" a="1"/>
  <c r="AV243" i="11" s="1"/>
  <c r="AG243" i="11" a="1"/>
  <c r="AG243" i="11" s="1"/>
  <c r="X120" i="11" l="1" a="1"/>
  <c r="Z120" i="11" s="1"/>
  <c r="AO122" i="13" a="1"/>
  <c r="AE121" i="13" a="1"/>
  <c r="W246" i="11"/>
  <c r="AB245" i="11"/>
  <c r="AL244" i="11" a="1"/>
  <c r="AL244" i="11" s="1"/>
  <c r="AG244" i="11" a="1"/>
  <c r="AG244" i="11" s="1"/>
  <c r="AV244" i="11" a="1"/>
  <c r="AV244" i="11" s="1"/>
  <c r="AQ244" i="11" a="1"/>
  <c r="AQ244" i="11" s="1"/>
  <c r="X120" i="11" l="1"/>
  <c r="Y120" i="11"/>
  <c r="AA120" i="11"/>
  <c r="AG121" i="13"/>
  <c r="AE121" i="13"/>
  <c r="AF121" i="13"/>
  <c r="AH121" i="13"/>
  <c r="AO122" i="13"/>
  <c r="AR122" i="13"/>
  <c r="AP122" i="13"/>
  <c r="AQ122" i="13"/>
  <c r="AQ245" i="11" a="1"/>
  <c r="AQ245" i="11" s="1"/>
  <c r="AV245" i="11" a="1"/>
  <c r="AV245" i="11" s="1"/>
  <c r="AG245" i="11" a="1"/>
  <c r="AG245" i="11" s="1"/>
  <c r="AL245" i="11" a="1"/>
  <c r="AL245" i="11" s="1"/>
  <c r="AB246" i="11"/>
  <c r="W247" i="11"/>
  <c r="AO123" i="13" l="1" a="1"/>
  <c r="AE122" i="13" a="1"/>
  <c r="X121" i="11" a="1"/>
  <c r="AV246" i="11" a="1"/>
  <c r="AV246" i="11" s="1"/>
  <c r="AG246" i="11" a="1"/>
  <c r="AG246" i="11" s="1"/>
  <c r="AL246" i="11" a="1"/>
  <c r="AL246" i="11" s="1"/>
  <c r="AQ246" i="11" a="1"/>
  <c r="AQ246" i="11" s="1"/>
  <c r="W248" i="11"/>
  <c r="AB247" i="11"/>
  <c r="Z121" i="11" l="1"/>
  <c r="AA121" i="11"/>
  <c r="Y121" i="11"/>
  <c r="X121" i="11"/>
  <c r="AE122" i="13"/>
  <c r="AF122" i="13"/>
  <c r="AH122" i="13"/>
  <c r="AG122" i="13"/>
  <c r="AQ123" i="13"/>
  <c r="AO123" i="13"/>
  <c r="AP123" i="13"/>
  <c r="AR123" i="13"/>
  <c r="AL247" i="11" a="1"/>
  <c r="AL247" i="11" s="1"/>
  <c r="AV247" i="11" a="1"/>
  <c r="AV247" i="11" s="1"/>
  <c r="AG247" i="11" a="1"/>
  <c r="AG247" i="11" s="1"/>
  <c r="AQ247" i="11" a="1"/>
  <c r="AQ247" i="11" s="1"/>
  <c r="W249" i="11"/>
  <c r="AB248" i="11"/>
  <c r="AO124" i="13" l="1" a="1"/>
  <c r="AE123" i="13" a="1"/>
  <c r="X122" i="11" a="1"/>
  <c r="AG248" i="11" a="1"/>
  <c r="AG248" i="11" s="1"/>
  <c r="AV248" i="11" a="1"/>
  <c r="AV248" i="11" s="1"/>
  <c r="AQ248" i="11" a="1"/>
  <c r="AQ248" i="11" s="1"/>
  <c r="AL248" i="11" a="1"/>
  <c r="AL248" i="11" s="1"/>
  <c r="AB249" i="11"/>
  <c r="W250" i="11"/>
  <c r="AA122" i="11" l="1"/>
  <c r="X122" i="11"/>
  <c r="Z122" i="11"/>
  <c r="Y122" i="11"/>
  <c r="AH123" i="13"/>
  <c r="AG123" i="13"/>
  <c r="AF123" i="13"/>
  <c r="AE123" i="13"/>
  <c r="X123" i="11" s="1" a="1"/>
  <c r="AO124" i="13"/>
  <c r="AR124" i="13"/>
  <c r="AQ124" i="13"/>
  <c r="AP124" i="13"/>
  <c r="W251" i="11"/>
  <c r="AB250" i="11"/>
  <c r="AL249" i="11" a="1"/>
  <c r="AL249" i="11" s="1"/>
  <c r="AQ249" i="11" a="1"/>
  <c r="AQ249" i="11" s="1"/>
  <c r="AV249" i="11" a="1"/>
  <c r="AV249" i="11" s="1"/>
  <c r="AG249" i="11" a="1"/>
  <c r="AG249" i="11" s="1"/>
  <c r="Z123" i="11" l="1"/>
  <c r="X123" i="11"/>
  <c r="AA123" i="11"/>
  <c r="Y123" i="11"/>
  <c r="AE124" i="13" a="1"/>
  <c r="AO125" i="13" a="1"/>
  <c r="AB251" i="11"/>
  <c r="W252" i="11"/>
  <c r="AQ250" i="11" a="1"/>
  <c r="AQ250" i="11" s="1"/>
  <c r="AV250" i="11" a="1"/>
  <c r="AV250" i="11" s="1"/>
  <c r="AL250" i="11" a="1"/>
  <c r="AL250" i="11" s="1"/>
  <c r="AG250" i="11" a="1"/>
  <c r="AG250" i="11" s="1"/>
  <c r="AE124" i="13" l="1"/>
  <c r="AG124" i="13"/>
  <c r="AF124" i="13"/>
  <c r="AH124" i="13"/>
  <c r="AR125" i="13"/>
  <c r="AP125" i="13"/>
  <c r="AQ125" i="13"/>
  <c r="AO125" i="13"/>
  <c r="AB252" i="11"/>
  <c r="W253" i="11"/>
  <c r="AV251" i="11" a="1"/>
  <c r="AV251" i="11" s="1"/>
  <c r="AG251" i="11" a="1"/>
  <c r="AG251" i="11" s="1"/>
  <c r="AQ251" i="11" a="1"/>
  <c r="AQ251" i="11" s="1"/>
  <c r="AL251" i="11" a="1"/>
  <c r="AL251" i="11" s="1"/>
  <c r="AE125" i="13" l="1" a="1"/>
  <c r="AO126" i="13" a="1"/>
  <c r="X124" i="11" a="1"/>
  <c r="AL252" i="11" a="1"/>
  <c r="AL252" i="11" s="1"/>
  <c r="AV252" i="11" a="1"/>
  <c r="AV252" i="11" s="1"/>
  <c r="AG252" i="11" a="1"/>
  <c r="AG252" i="11" s="1"/>
  <c r="AQ252" i="11" a="1"/>
  <c r="AQ252" i="11" s="1"/>
  <c r="AB253" i="11"/>
  <c r="W254" i="11"/>
  <c r="AA124" i="11" l="1"/>
  <c r="Y124" i="11"/>
  <c r="Z124" i="11"/>
  <c r="X124" i="11"/>
  <c r="AR126" i="13"/>
  <c r="AQ126" i="13"/>
  <c r="AP126" i="13"/>
  <c r="AO126" i="13"/>
  <c r="AH125" i="13"/>
  <c r="AG125" i="13"/>
  <c r="AF125" i="13"/>
  <c r="AE125" i="13"/>
  <c r="AB254" i="11"/>
  <c r="W255" i="11"/>
  <c r="AV253" i="11" a="1"/>
  <c r="AV253" i="11" s="1"/>
  <c r="AQ253" i="11" a="1"/>
  <c r="AQ253" i="11" s="1"/>
  <c r="AG253" i="11" a="1"/>
  <c r="AG253" i="11" s="1"/>
  <c r="AL253" i="11" a="1"/>
  <c r="AL253" i="11" s="1"/>
  <c r="X125" i="11" l="1" a="1"/>
  <c r="AO127" i="13" a="1"/>
  <c r="AE126" i="13" a="1"/>
  <c r="Y125" i="11"/>
  <c r="X125" i="11"/>
  <c r="AA125" i="11"/>
  <c r="Z125" i="11"/>
  <c r="W256" i="11"/>
  <c r="AB255" i="11"/>
  <c r="AG254" i="11" a="1"/>
  <c r="AG254" i="11" s="1"/>
  <c r="AL254" i="11" a="1"/>
  <c r="AL254" i="11" s="1"/>
  <c r="AQ254" i="11" a="1"/>
  <c r="AQ254" i="11" s="1"/>
  <c r="AV254" i="11" a="1"/>
  <c r="AV254" i="11" s="1"/>
  <c r="AG126" i="13" l="1"/>
  <c r="AE126" i="13"/>
  <c r="AF126" i="13"/>
  <c r="AH126" i="13"/>
  <c r="AP127" i="13"/>
  <c r="AR127" i="13"/>
  <c r="AQ127" i="13"/>
  <c r="AO127" i="13"/>
  <c r="AQ255" i="11" a="1"/>
  <c r="AQ255" i="11" s="1"/>
  <c r="AV255" i="11" a="1"/>
  <c r="AV255" i="11" s="1"/>
  <c r="AL255" i="11" a="1"/>
  <c r="AL255" i="11" s="1"/>
  <c r="AG255" i="11" a="1"/>
  <c r="AG255" i="11" s="1"/>
  <c r="AB256" i="11"/>
  <c r="W257" i="11"/>
  <c r="X126" i="11" l="1" a="1"/>
  <c r="AO128" i="13" a="1"/>
  <c r="AE127" i="13" a="1"/>
  <c r="Y126" i="11"/>
  <c r="X126" i="11"/>
  <c r="Z126" i="11"/>
  <c r="AA126" i="11"/>
  <c r="W258" i="11"/>
  <c r="AB257" i="11"/>
  <c r="AL256" i="11" a="1"/>
  <c r="AL256" i="11" s="1"/>
  <c r="AG256" i="11" a="1"/>
  <c r="AG256" i="11" s="1"/>
  <c r="AQ256" i="11" a="1"/>
  <c r="AQ256" i="11" s="1"/>
  <c r="AV256" i="11" a="1"/>
  <c r="AV256" i="11" s="1"/>
  <c r="AG127" i="13" l="1"/>
  <c r="AH127" i="13"/>
  <c r="AF127" i="13"/>
  <c r="AE127" i="13"/>
  <c r="AQ128" i="13"/>
  <c r="AP128" i="13"/>
  <c r="AR128" i="13"/>
  <c r="AO128" i="13"/>
  <c r="AV257" i="11" a="1"/>
  <c r="AV257" i="11" s="1"/>
  <c r="AG257" i="11" a="1"/>
  <c r="AG257" i="11" s="1"/>
  <c r="AQ257" i="11" a="1"/>
  <c r="AQ257" i="11" s="1"/>
  <c r="AL257" i="11" a="1"/>
  <c r="AL257" i="11" s="1"/>
  <c r="AB258" i="11"/>
  <c r="W259" i="11"/>
  <c r="X127" i="11" l="1" a="1"/>
  <c r="AA127" i="11" s="1"/>
  <c r="AO129" i="13" a="1"/>
  <c r="AE128" i="13" a="1"/>
  <c r="W260" i="11"/>
  <c r="AB259" i="11"/>
  <c r="AG258" i="11" a="1"/>
  <c r="AG258" i="11" s="1"/>
  <c r="AL258" i="11" a="1"/>
  <c r="AL258" i="11" s="1"/>
  <c r="AQ258" i="11" a="1"/>
  <c r="AQ258" i="11" s="1"/>
  <c r="AV258" i="11" a="1"/>
  <c r="AV258" i="11" s="1"/>
  <c r="Z127" i="11" l="1"/>
  <c r="Y127" i="11"/>
  <c r="X127" i="11"/>
  <c r="AO129" i="13"/>
  <c r="AQ129" i="13"/>
  <c r="AR129" i="13"/>
  <c r="AP129" i="13"/>
  <c r="AF128" i="13"/>
  <c r="AG128" i="13"/>
  <c r="AH128" i="13"/>
  <c r="AE128" i="13"/>
  <c r="AL259" i="11" a="1"/>
  <c r="AL259" i="11" s="1"/>
  <c r="AV259" i="11" a="1"/>
  <c r="AV259" i="11" s="1"/>
  <c r="AG259" i="11" a="1"/>
  <c r="AG259" i="11" s="1"/>
  <c r="AQ259" i="11" a="1"/>
  <c r="AQ259" i="11" s="1"/>
  <c r="W261" i="11"/>
  <c r="AB260" i="11"/>
  <c r="X128" i="11" l="1" a="1"/>
  <c r="AA128" i="11" s="1"/>
  <c r="Y128" i="11"/>
  <c r="X128" i="11"/>
  <c r="AE129" i="13" a="1"/>
  <c r="AO130" i="13" a="1"/>
  <c r="AQ260" i="11" a="1"/>
  <c r="AQ260" i="11" s="1"/>
  <c r="AL260" i="11" a="1"/>
  <c r="AL260" i="11" s="1"/>
  <c r="AV260" i="11" a="1"/>
  <c r="AV260" i="11" s="1"/>
  <c r="AG260" i="11" a="1"/>
  <c r="AG260" i="11" s="1"/>
  <c r="W262" i="11"/>
  <c r="AB261" i="11"/>
  <c r="Z128" i="11" l="1"/>
  <c r="AR130" i="13"/>
  <c r="AO130" i="13"/>
  <c r="AQ130" i="13"/>
  <c r="AP130" i="13"/>
  <c r="AF129" i="13"/>
  <c r="AH129" i="13"/>
  <c r="AG129" i="13"/>
  <c r="AE129" i="13"/>
  <c r="AQ261" i="11" a="1"/>
  <c r="AQ261" i="11" s="1"/>
  <c r="AL261" i="11" a="1"/>
  <c r="AL261" i="11" s="1"/>
  <c r="AG261" i="11" a="1"/>
  <c r="AG261" i="11" s="1"/>
  <c r="AV261" i="11" a="1"/>
  <c r="AV261" i="11" s="1"/>
  <c r="AB262" i="11"/>
  <c r="W263" i="11"/>
  <c r="X129" i="11" l="1" a="1"/>
  <c r="AA129" i="11" s="1"/>
  <c r="AE130" i="13" a="1"/>
  <c r="AO131" i="13" a="1"/>
  <c r="W264" i="11"/>
  <c r="AB263" i="11"/>
  <c r="AV262" i="11" a="1"/>
  <c r="AV262" i="11" s="1"/>
  <c r="AG262" i="11" a="1"/>
  <c r="AG262" i="11" s="1"/>
  <c r="AQ262" i="11" a="1"/>
  <c r="AQ262" i="11" s="1"/>
  <c r="AL262" i="11" a="1"/>
  <c r="AL262" i="11" s="1"/>
  <c r="Z129" i="11" l="1"/>
  <c r="Y129" i="11"/>
  <c r="X129" i="11"/>
  <c r="AH130" i="13"/>
  <c r="AG130" i="13"/>
  <c r="AF130" i="13"/>
  <c r="AE130" i="13"/>
  <c r="X130" i="11" s="1" a="1"/>
  <c r="AP131" i="13"/>
  <c r="AR131" i="13"/>
  <c r="AO131" i="13"/>
  <c r="AQ131" i="13"/>
  <c r="AB264" i="11"/>
  <c r="W265" i="11"/>
  <c r="AG263" i="11" a="1"/>
  <c r="AG263" i="11" s="1"/>
  <c r="AL263" i="11" a="1"/>
  <c r="AL263" i="11" s="1"/>
  <c r="AQ263" i="11" a="1"/>
  <c r="AQ263" i="11" s="1"/>
  <c r="AV263" i="11" a="1"/>
  <c r="AV263" i="11" s="1"/>
  <c r="AO132" i="13" l="1" a="1"/>
  <c r="AE131" i="13" a="1"/>
  <c r="Y130" i="11"/>
  <c r="AA130" i="11"/>
  <c r="Z130" i="11"/>
  <c r="X130" i="11"/>
  <c r="AL264" i="11" a="1"/>
  <c r="AL264" i="11" s="1"/>
  <c r="AQ264" i="11" a="1"/>
  <c r="AQ264" i="11" s="1"/>
  <c r="AG264" i="11" a="1"/>
  <c r="AG264" i="11" s="1"/>
  <c r="AV264" i="11" a="1"/>
  <c r="AV264" i="11" s="1"/>
  <c r="AB265" i="11"/>
  <c r="W266" i="11"/>
  <c r="AE131" i="13" l="1"/>
  <c r="AG131" i="13"/>
  <c r="AF131" i="13"/>
  <c r="AH131" i="13"/>
  <c r="AQ132" i="13"/>
  <c r="AO132" i="13"/>
  <c r="AR132" i="13"/>
  <c r="AP132" i="13"/>
  <c r="AB266" i="11"/>
  <c r="W267" i="11"/>
  <c r="AG265" i="11" a="1"/>
  <c r="AG265" i="11" s="1"/>
  <c r="AL265" i="11" a="1"/>
  <c r="AL265" i="11" s="1"/>
  <c r="AQ265" i="11" a="1"/>
  <c r="AQ265" i="11" s="1"/>
  <c r="AV265" i="11" a="1"/>
  <c r="AV265" i="11" s="1"/>
  <c r="AO133" i="13" l="1" a="1"/>
  <c r="AE132" i="13" a="1"/>
  <c r="X131" i="11" a="1"/>
  <c r="W268" i="11"/>
  <c r="AB267" i="11"/>
  <c r="AQ266" i="11" a="1"/>
  <c r="AQ266" i="11" s="1"/>
  <c r="AV266" i="11" a="1"/>
  <c r="AV266" i="11" s="1"/>
  <c r="AG266" i="11" a="1"/>
  <c r="AG266" i="11" s="1"/>
  <c r="AL266" i="11" a="1"/>
  <c r="AL266" i="11" s="1"/>
  <c r="AA131" i="11" l="1"/>
  <c r="X131" i="11"/>
  <c r="Y131" i="11"/>
  <c r="Z131" i="11"/>
  <c r="AG132" i="13"/>
  <c r="AH132" i="13"/>
  <c r="AF132" i="13"/>
  <c r="AE132" i="13"/>
  <c r="X132" i="11" s="1" a="1"/>
  <c r="AQ133" i="13"/>
  <c r="AO133" i="13"/>
  <c r="AR133" i="13"/>
  <c r="AP133" i="13"/>
  <c r="AB268" i="11"/>
  <c r="W269" i="11"/>
  <c r="AV267" i="11" a="1"/>
  <c r="AV267" i="11" s="1"/>
  <c r="AL267" i="11" a="1"/>
  <c r="AL267" i="11" s="1"/>
  <c r="AQ267" i="11" a="1"/>
  <c r="AQ267" i="11" s="1"/>
  <c r="AG267" i="11" a="1"/>
  <c r="AG267" i="11" s="1"/>
  <c r="AE133" i="13" l="1" a="1"/>
  <c r="AO134" i="13" a="1"/>
  <c r="Z132" i="11"/>
  <c r="Y132" i="11"/>
  <c r="AA132" i="11"/>
  <c r="X132" i="11"/>
  <c r="AQ268" i="11" a="1"/>
  <c r="AQ268" i="11" s="1"/>
  <c r="AG268" i="11" a="1"/>
  <c r="AG268" i="11" s="1"/>
  <c r="AL268" i="11" a="1"/>
  <c r="AL268" i="11" s="1"/>
  <c r="AV268" i="11" a="1"/>
  <c r="AV268" i="11" s="1"/>
  <c r="W270" i="11"/>
  <c r="AB269" i="11"/>
  <c r="AP134" i="13" l="1"/>
  <c r="AQ134" i="13"/>
  <c r="AR134" i="13"/>
  <c r="AO134" i="13"/>
  <c r="AH133" i="13"/>
  <c r="AF133" i="13"/>
  <c r="AG133" i="13"/>
  <c r="AE133" i="13"/>
  <c r="X133" i="11" s="1" a="1"/>
  <c r="AL269" i="11" a="1"/>
  <c r="AL269" i="11" s="1"/>
  <c r="AQ269" i="11" a="1"/>
  <c r="AQ269" i="11" s="1"/>
  <c r="AV269" i="11" a="1"/>
  <c r="AV269" i="11" s="1"/>
  <c r="AG269" i="11" a="1"/>
  <c r="AG269" i="11" s="1"/>
  <c r="AB270" i="11"/>
  <c r="W271" i="11"/>
  <c r="AE134" i="13" l="1" a="1"/>
  <c r="AO135" i="13" a="1"/>
  <c r="X133" i="11"/>
  <c r="AA133" i="11"/>
  <c r="Z133" i="11"/>
  <c r="Y133" i="11"/>
  <c r="AB271" i="11"/>
  <c r="W272" i="11"/>
  <c r="AL270" i="11" a="1"/>
  <c r="AL270" i="11" s="1"/>
  <c r="AG270" i="11" a="1"/>
  <c r="AG270" i="11" s="1"/>
  <c r="AV270" i="11" a="1"/>
  <c r="AV270" i="11" s="1"/>
  <c r="AQ270" i="11" a="1"/>
  <c r="AQ270" i="11" s="1"/>
  <c r="AQ135" i="13" l="1"/>
  <c r="AR135" i="13"/>
  <c r="AO135" i="13"/>
  <c r="AP135" i="13"/>
  <c r="AG134" i="13"/>
  <c r="AE134" i="13"/>
  <c r="AF134" i="13"/>
  <c r="AH134" i="13"/>
  <c r="AB272" i="11"/>
  <c r="W273" i="11"/>
  <c r="AV271" i="11" a="1"/>
  <c r="AV271" i="11" s="1"/>
  <c r="AQ271" i="11" a="1"/>
  <c r="AQ271" i="11" s="1"/>
  <c r="AL271" i="11" a="1"/>
  <c r="AL271" i="11" s="1"/>
  <c r="AG271" i="11" a="1"/>
  <c r="AG271" i="11" s="1"/>
  <c r="X134" i="11" l="1" a="1"/>
  <c r="AO136" i="13" a="1"/>
  <c r="AE135" i="13" a="1"/>
  <c r="Y134" i="11"/>
  <c r="AA134" i="11"/>
  <c r="Z134" i="11"/>
  <c r="X134" i="11"/>
  <c r="AL272" i="11" a="1"/>
  <c r="AL272" i="11" s="1"/>
  <c r="AG272" i="11" a="1"/>
  <c r="AG272" i="11" s="1"/>
  <c r="AQ272" i="11" a="1"/>
  <c r="AQ272" i="11" s="1"/>
  <c r="AV272" i="11" a="1"/>
  <c r="AV272" i="11" s="1"/>
  <c r="W274" i="11"/>
  <c r="AB273" i="11"/>
  <c r="AG135" i="13" l="1"/>
  <c r="AH135" i="13"/>
  <c r="AF135" i="13"/>
  <c r="AE135" i="13"/>
  <c r="AO136" i="13"/>
  <c r="AQ136" i="13"/>
  <c r="AP136" i="13"/>
  <c r="AR136" i="13"/>
  <c r="AV273" i="11" a="1"/>
  <c r="AV273" i="11" s="1"/>
  <c r="AQ273" i="11" a="1"/>
  <c r="AQ273" i="11" s="1"/>
  <c r="AL273" i="11" a="1"/>
  <c r="AL273" i="11" s="1"/>
  <c r="AG273" i="11" a="1"/>
  <c r="AG273" i="11" s="1"/>
  <c r="W275" i="11"/>
  <c r="AB274" i="11"/>
  <c r="AE136" i="13" l="1" a="1"/>
  <c r="AO137" i="13" a="1"/>
  <c r="X135" i="11" a="1"/>
  <c r="W276" i="11"/>
  <c r="AB275" i="11"/>
  <c r="AL274" i="11" a="1"/>
  <c r="AL274" i="11" s="1"/>
  <c r="AV274" i="11" a="1"/>
  <c r="AV274" i="11" s="1"/>
  <c r="AQ274" i="11" a="1"/>
  <c r="AQ274" i="11" s="1"/>
  <c r="AG274" i="11" a="1"/>
  <c r="AG274" i="11" s="1"/>
  <c r="X135" i="11" l="1"/>
  <c r="AA135" i="11"/>
  <c r="Z135" i="11"/>
  <c r="Y135" i="11"/>
  <c r="AQ137" i="13"/>
  <c r="AO137" i="13"/>
  <c r="AR137" i="13"/>
  <c r="AP137" i="13"/>
  <c r="AG136" i="13"/>
  <c r="AE136" i="13"/>
  <c r="AF136" i="13"/>
  <c r="AH136" i="13"/>
  <c r="AL275" i="11" a="1"/>
  <c r="AL275" i="11" s="1"/>
  <c r="AV275" i="11" a="1"/>
  <c r="AV275" i="11" s="1"/>
  <c r="AG275" i="11" a="1"/>
  <c r="AG275" i="11" s="1"/>
  <c r="AQ275" i="11" a="1"/>
  <c r="AQ275" i="11" s="1"/>
  <c r="W277" i="11"/>
  <c r="AB276" i="11"/>
  <c r="X136" i="11" l="1" a="1"/>
  <c r="X136" i="11" s="1"/>
  <c r="AE137" i="13" a="1"/>
  <c r="AO138" i="13" a="1"/>
  <c r="W278" i="11"/>
  <c r="AB277" i="11"/>
  <c r="AL276" i="11" a="1"/>
  <c r="AL276" i="11" s="1"/>
  <c r="AQ276" i="11" a="1"/>
  <c r="AQ276" i="11" s="1"/>
  <c r="AG276" i="11" a="1"/>
  <c r="AG276" i="11" s="1"/>
  <c r="AV276" i="11" a="1"/>
  <c r="AV276" i="11" s="1"/>
  <c r="Y136" i="11" l="1"/>
  <c r="AA136" i="11"/>
  <c r="Z136" i="11"/>
  <c r="AR138" i="13"/>
  <c r="AP138" i="13"/>
  <c r="AO138" i="13"/>
  <c r="AQ138" i="13"/>
  <c r="AG137" i="13"/>
  <c r="AF137" i="13"/>
  <c r="AH137" i="13"/>
  <c r="AE137" i="13"/>
  <c r="AV277" i="11" a="1"/>
  <c r="AV277" i="11" s="1"/>
  <c r="AG277" i="11" a="1"/>
  <c r="AG277" i="11" s="1"/>
  <c r="AL277" i="11" a="1"/>
  <c r="AL277" i="11" s="1"/>
  <c r="AQ277" i="11" a="1"/>
  <c r="AQ277" i="11" s="1"/>
  <c r="AB278" i="11"/>
  <c r="W279" i="11"/>
  <c r="X137" i="11" l="1" a="1"/>
  <c r="Z137" i="11" s="1"/>
  <c r="AO139" i="13" a="1"/>
  <c r="AE138" i="13" a="1"/>
  <c r="AB279" i="11"/>
  <c r="W280" i="11"/>
  <c r="AL278" i="11" a="1"/>
  <c r="AL278" i="11" s="1"/>
  <c r="AV278" i="11" a="1"/>
  <c r="AV278" i="11" s="1"/>
  <c r="AG278" i="11" a="1"/>
  <c r="AG278" i="11" s="1"/>
  <c r="AQ278" i="11" a="1"/>
  <c r="AQ278" i="11" s="1"/>
  <c r="Y137" i="11" l="1"/>
  <c r="X137" i="11"/>
  <c r="AA137" i="11"/>
  <c r="AF138" i="13"/>
  <c r="AH138" i="13"/>
  <c r="AG138" i="13"/>
  <c r="AE138" i="13"/>
  <c r="X138" i="11" s="1" a="1"/>
  <c r="AO139" i="13"/>
  <c r="AP139" i="13"/>
  <c r="AQ139" i="13"/>
  <c r="AR139" i="13"/>
  <c r="AB280" i="11"/>
  <c r="W281" i="11"/>
  <c r="AG279" i="11" a="1"/>
  <c r="AG279" i="11" s="1"/>
  <c r="AL279" i="11" a="1"/>
  <c r="AL279" i="11" s="1"/>
  <c r="AV279" i="11" a="1"/>
  <c r="AV279" i="11" s="1"/>
  <c r="AQ279" i="11" a="1"/>
  <c r="AQ279" i="11" s="1"/>
  <c r="X138" i="11" l="1"/>
  <c r="Y138" i="11"/>
  <c r="AA138" i="11"/>
  <c r="Z138" i="11"/>
  <c r="AE139" i="13" a="1"/>
  <c r="AO140" i="13" a="1"/>
  <c r="AV280" i="11" a="1"/>
  <c r="AV280" i="11" s="1"/>
  <c r="AG280" i="11" a="1"/>
  <c r="AG280" i="11" s="1"/>
  <c r="AQ280" i="11" a="1"/>
  <c r="AQ280" i="11" s="1"/>
  <c r="AL280" i="11" a="1"/>
  <c r="AL280" i="11" s="1"/>
  <c r="AB281" i="11"/>
  <c r="W282" i="11"/>
  <c r="AH139" i="13" l="1"/>
  <c r="AG139" i="13"/>
  <c r="AF139" i="13"/>
  <c r="AE139" i="13"/>
  <c r="X139" i="11" s="1" a="1"/>
  <c r="AR140" i="13"/>
  <c r="AQ140" i="13"/>
  <c r="AP140" i="13"/>
  <c r="AO140" i="13"/>
  <c r="AB282" i="11"/>
  <c r="W283" i="11"/>
  <c r="AQ281" i="11" a="1"/>
  <c r="AQ281" i="11" s="1"/>
  <c r="AL281" i="11" a="1"/>
  <c r="AL281" i="11" s="1"/>
  <c r="AV281" i="11" a="1"/>
  <c r="AV281" i="11" s="1"/>
  <c r="AG281" i="11" a="1"/>
  <c r="AG281" i="11" s="1"/>
  <c r="AA139" i="11" l="1"/>
  <c r="Y139" i="11"/>
  <c r="Z139" i="11"/>
  <c r="X139" i="11"/>
  <c r="AO141" i="13" a="1"/>
  <c r="AE140" i="13" a="1"/>
  <c r="W284" i="11"/>
  <c r="AB283" i="11"/>
  <c r="AG282" i="11" a="1"/>
  <c r="AG282" i="11" s="1"/>
  <c r="AQ282" i="11" a="1"/>
  <c r="AQ282" i="11" s="1"/>
  <c r="AV282" i="11" a="1"/>
  <c r="AV282" i="11" s="1"/>
  <c r="AL282" i="11" a="1"/>
  <c r="AL282" i="11" s="1"/>
  <c r="AR141" i="13" l="1"/>
  <c r="AP141" i="13"/>
  <c r="AQ141" i="13"/>
  <c r="AO141" i="13"/>
  <c r="AE140" i="13"/>
  <c r="AG140" i="13"/>
  <c r="AH140" i="13"/>
  <c r="AF140" i="13"/>
  <c r="AQ283" i="11" a="1"/>
  <c r="AQ283" i="11" s="1"/>
  <c r="AG283" i="11" a="1"/>
  <c r="AG283" i="11" s="1"/>
  <c r="AL283" i="11" a="1"/>
  <c r="AL283" i="11" s="1"/>
  <c r="AV283" i="11" a="1"/>
  <c r="AV283" i="11" s="1"/>
  <c r="W285" i="11"/>
  <c r="AB284" i="11"/>
  <c r="X140" i="11" l="1" a="1"/>
  <c r="AO142" i="13" a="1"/>
  <c r="AE141" i="13" a="1"/>
  <c r="AV284" i="11" a="1"/>
  <c r="AV284" i="11" s="1"/>
  <c r="AG284" i="11" a="1"/>
  <c r="AG284" i="11" s="1"/>
  <c r="AQ284" i="11" a="1"/>
  <c r="AQ284" i="11" s="1"/>
  <c r="AL284" i="11" a="1"/>
  <c r="AL284" i="11" s="1"/>
  <c r="AB285" i="11"/>
  <c r="W286" i="11"/>
  <c r="AG141" i="13" l="1"/>
  <c r="AE141" i="13"/>
  <c r="AH141" i="13"/>
  <c r="AF141" i="13"/>
  <c r="AQ142" i="13"/>
  <c r="AR142" i="13"/>
  <c r="AO142" i="13"/>
  <c r="AP142" i="13"/>
  <c r="Y140" i="11"/>
  <c r="AA140" i="11"/>
  <c r="Z140" i="11"/>
  <c r="X140" i="11"/>
  <c r="AB286" i="11"/>
  <c r="W287" i="11"/>
  <c r="AQ285" i="11" a="1"/>
  <c r="AQ285" i="11" s="1"/>
  <c r="AV285" i="11" a="1"/>
  <c r="AV285" i="11" s="1"/>
  <c r="AL285" i="11" a="1"/>
  <c r="AL285" i="11" s="1"/>
  <c r="AG285" i="11" a="1"/>
  <c r="AG285" i="11" s="1"/>
  <c r="AE142" i="13" l="1" a="1"/>
  <c r="AO143" i="13" a="1"/>
  <c r="X141" i="11" a="1"/>
  <c r="W288" i="11"/>
  <c r="AB287" i="11"/>
  <c r="AL286" i="11" a="1"/>
  <c r="AL286" i="11" s="1"/>
  <c r="AG286" i="11" a="1"/>
  <c r="AG286" i="11" s="1"/>
  <c r="AQ286" i="11" a="1"/>
  <c r="AQ286" i="11" s="1"/>
  <c r="AV286" i="11" a="1"/>
  <c r="AV286" i="11" s="1"/>
  <c r="X141" i="11" l="1"/>
  <c r="Z141" i="11"/>
  <c r="Y141" i="11"/>
  <c r="AA141" i="11"/>
  <c r="AR143" i="13"/>
  <c r="AQ143" i="13"/>
  <c r="AO143" i="13"/>
  <c r="AP143" i="13"/>
  <c r="AH142" i="13"/>
  <c r="AG142" i="13"/>
  <c r="AF142" i="13"/>
  <c r="AE142" i="13"/>
  <c r="AV287" i="11" a="1"/>
  <c r="AV287" i="11" s="1"/>
  <c r="AL287" i="11" a="1"/>
  <c r="AL287" i="11" s="1"/>
  <c r="AG287" i="11" a="1"/>
  <c r="AG287" i="11" s="1"/>
  <c r="AQ287" i="11" a="1"/>
  <c r="AQ287" i="11" s="1"/>
  <c r="W289" i="11"/>
  <c r="AB288" i="11"/>
  <c r="X142" i="11" l="1" a="1"/>
  <c r="AO144" i="13" a="1"/>
  <c r="AE143" i="13" a="1"/>
  <c r="Z142" i="11"/>
  <c r="X142" i="11"/>
  <c r="AA142" i="11"/>
  <c r="Y142" i="11"/>
  <c r="AV288" i="11" a="1"/>
  <c r="AV288" i="11" s="1"/>
  <c r="AL288" i="11" a="1"/>
  <c r="AL288" i="11" s="1"/>
  <c r="AG288" i="11" a="1"/>
  <c r="AG288" i="11" s="1"/>
  <c r="AQ288" i="11" a="1"/>
  <c r="AQ288" i="11" s="1"/>
  <c r="W290" i="11"/>
  <c r="AB289" i="11"/>
  <c r="AH143" i="13" l="1"/>
  <c r="AG143" i="13"/>
  <c r="AF143" i="13"/>
  <c r="AE143" i="13"/>
  <c r="X143" i="11" s="1" a="1"/>
  <c r="AQ144" i="13"/>
  <c r="AO144" i="13"/>
  <c r="AR144" i="13"/>
  <c r="AP144" i="13"/>
  <c r="AB290" i="11"/>
  <c r="W291" i="11"/>
  <c r="AQ289" i="11" a="1"/>
  <c r="AQ289" i="11" s="1"/>
  <c r="AV289" i="11" a="1"/>
  <c r="AV289" i="11" s="1"/>
  <c r="AG289" i="11" a="1"/>
  <c r="AG289" i="11" s="1"/>
  <c r="AL289" i="11" a="1"/>
  <c r="AL289" i="11" s="1"/>
  <c r="AE144" i="13" l="1" a="1"/>
  <c r="AO145" i="13" a="1"/>
  <c r="X143" i="11"/>
  <c r="AA143" i="11"/>
  <c r="Y143" i="11"/>
  <c r="Z143" i="11"/>
  <c r="W292" i="11"/>
  <c r="AB291" i="11"/>
  <c r="AQ290" i="11" a="1"/>
  <c r="AQ290" i="11" s="1"/>
  <c r="AL290" i="11" a="1"/>
  <c r="AL290" i="11" s="1"/>
  <c r="AG290" i="11" a="1"/>
  <c r="AG290" i="11" s="1"/>
  <c r="AV290" i="11" a="1"/>
  <c r="AV290" i="11" s="1"/>
  <c r="AP145" i="13" l="1"/>
  <c r="AR145" i="13"/>
  <c r="AQ145" i="13"/>
  <c r="AO145" i="13"/>
  <c r="AH144" i="13"/>
  <c r="AG144" i="13"/>
  <c r="AF144" i="13"/>
  <c r="AE144" i="13"/>
  <c r="X144" i="11" s="1" a="1"/>
  <c r="AG291" i="11" a="1"/>
  <c r="AG291" i="11" s="1"/>
  <c r="AL291" i="11" a="1"/>
  <c r="AL291" i="11" s="1"/>
  <c r="AQ291" i="11" a="1"/>
  <c r="AQ291" i="11" s="1"/>
  <c r="AV291" i="11" a="1"/>
  <c r="AV291" i="11" s="1"/>
  <c r="W293" i="11"/>
  <c r="AB292" i="11"/>
  <c r="AE145" i="13" l="1" a="1"/>
  <c r="AO146" i="13" a="1"/>
  <c r="X144" i="11"/>
  <c r="Z144" i="11"/>
  <c r="Y144" i="11"/>
  <c r="AA144" i="11"/>
  <c r="AG292" i="11" a="1"/>
  <c r="AG292" i="11" s="1"/>
  <c r="AL292" i="11" a="1"/>
  <c r="AL292" i="11" s="1"/>
  <c r="AV292" i="11" a="1"/>
  <c r="AV292" i="11" s="1"/>
  <c r="AQ292" i="11" a="1"/>
  <c r="AQ292" i="11" s="1"/>
  <c r="W294" i="11"/>
  <c r="AB293" i="11"/>
  <c r="AQ146" i="13" l="1"/>
  <c r="AO146" i="13"/>
  <c r="AR146" i="13"/>
  <c r="AP146" i="13"/>
  <c r="AG145" i="13"/>
  <c r="AE145" i="13"/>
  <c r="AH145" i="13"/>
  <c r="AF145" i="13"/>
  <c r="AQ293" i="11" a="1"/>
  <c r="AQ293" i="11" s="1"/>
  <c r="AL293" i="11" a="1"/>
  <c r="AL293" i="11" s="1"/>
  <c r="AV293" i="11" a="1"/>
  <c r="AV293" i="11" s="1"/>
  <c r="AG293" i="11" a="1"/>
  <c r="AG293" i="11" s="1"/>
  <c r="AB294" i="11"/>
  <c r="W295" i="11"/>
  <c r="X145" i="11" l="1" a="1"/>
  <c r="AE146" i="13" a="1"/>
  <c r="AO147" i="13" a="1"/>
  <c r="AB295" i="11"/>
  <c r="W296" i="11"/>
  <c r="AV294" i="11" a="1"/>
  <c r="AV294" i="11" s="1"/>
  <c r="AQ294" i="11" a="1"/>
  <c r="AQ294" i="11" s="1"/>
  <c r="AG294" i="11" a="1"/>
  <c r="AG294" i="11" s="1"/>
  <c r="AL294" i="11" a="1"/>
  <c r="AL294" i="11" s="1"/>
  <c r="AG146" i="13" l="1"/>
  <c r="AF146" i="13"/>
  <c r="AE146" i="13"/>
  <c r="AH146" i="13"/>
  <c r="AO147" i="13"/>
  <c r="AQ147" i="13"/>
  <c r="AR147" i="13"/>
  <c r="AP147" i="13"/>
  <c r="Z145" i="11"/>
  <c r="X145" i="11"/>
  <c r="Y145" i="11"/>
  <c r="AA145" i="11"/>
  <c r="W297" i="11"/>
  <c r="AB296" i="11"/>
  <c r="AG295" i="11" a="1"/>
  <c r="AG295" i="11" s="1"/>
  <c r="AL295" i="11" a="1"/>
  <c r="AL295" i="11" s="1"/>
  <c r="AV295" i="11" a="1"/>
  <c r="AV295" i="11" s="1"/>
  <c r="AQ295" i="11" a="1"/>
  <c r="AQ295" i="11" s="1"/>
  <c r="X146" i="11" l="1" a="1"/>
  <c r="AO148" i="13" a="1"/>
  <c r="AE147" i="13" a="1"/>
  <c r="Y146" i="11"/>
  <c r="X146" i="11"/>
  <c r="AA146" i="11"/>
  <c r="Z146" i="11"/>
  <c r="AV296" i="11" a="1"/>
  <c r="AV296" i="11" s="1"/>
  <c r="AG296" i="11" a="1"/>
  <c r="AG296" i="11" s="1"/>
  <c r="AQ296" i="11" a="1"/>
  <c r="AQ296" i="11" s="1"/>
  <c r="AL296" i="11" a="1"/>
  <c r="AL296" i="11" s="1"/>
  <c r="AB297" i="11"/>
  <c r="W298" i="11"/>
  <c r="AG147" i="13" l="1"/>
  <c r="AE147" i="13"/>
  <c r="AH147" i="13"/>
  <c r="AF147" i="13"/>
  <c r="AP148" i="13"/>
  <c r="AO148" i="13"/>
  <c r="AQ148" i="13"/>
  <c r="AR148" i="13"/>
  <c r="AV297" i="11" a="1"/>
  <c r="AV297" i="11" s="1"/>
  <c r="AG297" i="11" a="1"/>
  <c r="AG297" i="11" s="1"/>
  <c r="AL297" i="11" a="1"/>
  <c r="AL297" i="11" s="1"/>
  <c r="AQ297" i="11" a="1"/>
  <c r="AQ297" i="11" s="1"/>
  <c r="W299" i="11"/>
  <c r="AB298" i="11"/>
  <c r="AO149" i="13" l="1" a="1"/>
  <c r="AE148" i="13" a="1"/>
  <c r="X147" i="11" a="1"/>
  <c r="AQ298" i="11" a="1"/>
  <c r="AQ298" i="11" s="1"/>
  <c r="AV298" i="11" a="1"/>
  <c r="AV298" i="11" s="1"/>
  <c r="AG298" i="11" a="1"/>
  <c r="AG298" i="11" s="1"/>
  <c r="AL298" i="11" a="1"/>
  <c r="AL298" i="11" s="1"/>
  <c r="W300" i="11"/>
  <c r="AB299" i="11"/>
  <c r="Y147" i="11" l="1"/>
  <c r="X147" i="11"/>
  <c r="Z147" i="11"/>
  <c r="AA147" i="11"/>
  <c r="AE148" i="13"/>
  <c r="AG148" i="13"/>
  <c r="AF148" i="13"/>
  <c r="AH148" i="13"/>
  <c r="AR149" i="13"/>
  <c r="AQ149" i="13"/>
  <c r="AO149" i="13"/>
  <c r="AP149" i="13"/>
  <c r="AG299" i="11" a="1"/>
  <c r="AG299" i="11" s="1"/>
  <c r="AQ299" i="11" a="1"/>
  <c r="AQ299" i="11" s="1"/>
  <c r="AV299" i="11" a="1"/>
  <c r="AV299" i="11" s="1"/>
  <c r="AL299" i="11" a="1"/>
  <c r="AL299" i="11" s="1"/>
  <c r="AB300" i="11"/>
  <c r="W301" i="11"/>
  <c r="X148" i="11" l="1" a="1"/>
  <c r="AE149" i="13" a="1"/>
  <c r="AO150" i="13" a="1"/>
  <c r="AB301" i="11"/>
  <c r="W302" i="11"/>
  <c r="AV300" i="11" a="1"/>
  <c r="AV300" i="11" s="1"/>
  <c r="AQ300" i="11" a="1"/>
  <c r="AQ300" i="11" s="1"/>
  <c r="AG300" i="11" a="1"/>
  <c r="AG300" i="11" s="1"/>
  <c r="AL300" i="11" a="1"/>
  <c r="AL300" i="11" s="1"/>
  <c r="AQ150" i="13" l="1"/>
  <c r="AP150" i="13"/>
  <c r="AR150" i="13"/>
  <c r="AO150" i="13"/>
  <c r="AG149" i="13"/>
  <c r="AE149" i="13"/>
  <c r="AF149" i="13"/>
  <c r="AH149" i="13"/>
  <c r="X148" i="11"/>
  <c r="AA148" i="11"/>
  <c r="Y148" i="11"/>
  <c r="Z148" i="11"/>
  <c r="AB302" i="11"/>
  <c r="W303" i="11"/>
  <c r="AQ301" i="11" a="1"/>
  <c r="AQ301" i="11" s="1"/>
  <c r="AL301" i="11" a="1"/>
  <c r="AL301" i="11" s="1"/>
  <c r="AV301" i="11" a="1"/>
  <c r="AV301" i="11" s="1"/>
  <c r="AG301" i="11" a="1"/>
  <c r="AG301" i="11" s="1"/>
  <c r="X149" i="11" l="1" a="1"/>
  <c r="AE150" i="13" a="1"/>
  <c r="AO151" i="13" a="1"/>
  <c r="AB303" i="11"/>
  <c r="W304" i="11"/>
  <c r="AV302" i="11" a="1"/>
  <c r="AV302" i="11" s="1"/>
  <c r="AG302" i="11" a="1"/>
  <c r="AG302" i="11" s="1"/>
  <c r="AL302" i="11" a="1"/>
  <c r="AL302" i="11" s="1"/>
  <c r="AQ302" i="11" a="1"/>
  <c r="AQ302" i="11" s="1"/>
  <c r="AR151" i="13" l="1"/>
  <c r="AO151" i="13"/>
  <c r="AQ151" i="13"/>
  <c r="AP151" i="13"/>
  <c r="AH150" i="13"/>
  <c r="AE150" i="13"/>
  <c r="AF150" i="13"/>
  <c r="AG150" i="13"/>
  <c r="Y149" i="11"/>
  <c r="Z149" i="11"/>
  <c r="AA149" i="11"/>
  <c r="X149" i="11"/>
  <c r="AB304" i="11"/>
  <c r="W305" i="11"/>
  <c r="AV303" i="11" a="1"/>
  <c r="AV303" i="11" s="1"/>
  <c r="AG303" i="11" a="1"/>
  <c r="AG303" i="11" s="1"/>
  <c r="AL303" i="11" a="1"/>
  <c r="AL303" i="11" s="1"/>
  <c r="AQ303" i="11" a="1"/>
  <c r="AQ303" i="11" s="1"/>
  <c r="AE151" i="13" l="1" a="1"/>
  <c r="AO152" i="13" a="1"/>
  <c r="X150" i="11" a="1"/>
  <c r="AB305" i="11"/>
  <c r="W306" i="11"/>
  <c r="AL304" i="11" a="1"/>
  <c r="AL304" i="11" s="1"/>
  <c r="AQ304" i="11" a="1"/>
  <c r="AQ304" i="11" s="1"/>
  <c r="AV304" i="11" a="1"/>
  <c r="AV304" i="11" s="1"/>
  <c r="AG304" i="11" a="1"/>
  <c r="AG304" i="11" s="1"/>
  <c r="Z150" i="11" l="1"/>
  <c r="X150" i="11"/>
  <c r="AA150" i="11"/>
  <c r="Y150" i="11"/>
  <c r="AR152" i="13"/>
  <c r="AQ152" i="13"/>
  <c r="AO152" i="13"/>
  <c r="AP152" i="13"/>
  <c r="AF151" i="13"/>
  <c r="AH151" i="13"/>
  <c r="AE151" i="13"/>
  <c r="AG151" i="13"/>
  <c r="W307" i="11"/>
  <c r="AB306" i="11"/>
  <c r="AV305" i="11" a="1"/>
  <c r="AV305" i="11" s="1"/>
  <c r="AG305" i="11" a="1"/>
  <c r="AG305" i="11" s="1"/>
  <c r="AQ305" i="11" a="1"/>
  <c r="AQ305" i="11" s="1"/>
  <c r="AL305" i="11" a="1"/>
  <c r="AL305" i="11" s="1"/>
  <c r="AE152" i="13" l="1" a="1"/>
  <c r="AO153" i="13" a="1"/>
  <c r="X151" i="11" a="1"/>
  <c r="AV306" i="11" a="1"/>
  <c r="AV306" i="11" s="1"/>
  <c r="AQ306" i="11" a="1"/>
  <c r="AQ306" i="11" s="1"/>
  <c r="AG306" i="11" a="1"/>
  <c r="AG306" i="11" s="1"/>
  <c r="AL306" i="11" a="1"/>
  <c r="AL306" i="11" s="1"/>
  <c r="W308" i="11"/>
  <c r="AB307" i="11"/>
  <c r="AA151" i="11" l="1"/>
  <c r="X151" i="11"/>
  <c r="Y151" i="11"/>
  <c r="Z151" i="11"/>
  <c r="AP153" i="13"/>
  <c r="AQ153" i="13"/>
  <c r="AO153" i="13"/>
  <c r="AR153" i="13"/>
  <c r="AG152" i="13"/>
  <c r="AH152" i="13"/>
  <c r="AF152" i="13"/>
  <c r="AE152" i="13"/>
  <c r="X152" i="11" s="1" a="1"/>
  <c r="AG307" i="11" a="1"/>
  <c r="AG307" i="11" s="1"/>
  <c r="AQ307" i="11" a="1"/>
  <c r="AQ307" i="11" s="1"/>
  <c r="AV307" i="11" a="1"/>
  <c r="AV307" i="11" s="1"/>
  <c r="AL307" i="11" a="1"/>
  <c r="AL307" i="11" s="1"/>
  <c r="AB308" i="11"/>
  <c r="W309" i="11"/>
  <c r="AE153" i="13" l="1" a="1"/>
  <c r="AO154" i="13" a="1"/>
  <c r="AA152" i="11"/>
  <c r="Z152" i="11"/>
  <c r="Y152" i="11"/>
  <c r="X152" i="11"/>
  <c r="AB309" i="11"/>
  <c r="W310" i="11"/>
  <c r="AQ308" i="11" a="1"/>
  <c r="AQ308" i="11" s="1"/>
  <c r="AV308" i="11" a="1"/>
  <c r="AV308" i="11" s="1"/>
  <c r="AL308" i="11" a="1"/>
  <c r="AL308" i="11" s="1"/>
  <c r="AG308" i="11" a="1"/>
  <c r="AG308" i="11" s="1"/>
  <c r="AO154" i="13" l="1"/>
  <c r="AP154" i="13"/>
  <c r="AR154" i="13"/>
  <c r="AQ154" i="13"/>
  <c r="AH153" i="13"/>
  <c r="AG153" i="13"/>
  <c r="AE153" i="13"/>
  <c r="AF153" i="13"/>
  <c r="W311" i="11"/>
  <c r="AB310" i="11"/>
  <c r="AV309" i="11" a="1"/>
  <c r="AV309" i="11" s="1"/>
  <c r="AG309" i="11" a="1"/>
  <c r="AG309" i="11" s="1"/>
  <c r="AQ309" i="11" a="1"/>
  <c r="AQ309" i="11" s="1"/>
  <c r="AL309" i="11" a="1"/>
  <c r="AL309" i="11" s="1"/>
  <c r="X153" i="11" l="1" a="1"/>
  <c r="AO155" i="13" a="1"/>
  <c r="AE154" i="13" a="1"/>
  <c r="AQ310" i="11" a="1"/>
  <c r="AQ310" i="11" s="1"/>
  <c r="AV310" i="11" a="1"/>
  <c r="AV310" i="11" s="1"/>
  <c r="AG310" i="11" a="1"/>
  <c r="AG310" i="11" s="1"/>
  <c r="AL310" i="11" a="1"/>
  <c r="AL310" i="11" s="1"/>
  <c r="W312" i="11"/>
  <c r="AB311" i="11"/>
  <c r="AF154" i="13" l="1"/>
  <c r="AH154" i="13"/>
  <c r="AE154" i="13"/>
  <c r="AG154" i="13"/>
  <c r="AR155" i="13"/>
  <c r="AP155" i="13"/>
  <c r="AO155" i="13"/>
  <c r="AQ155" i="13"/>
  <c r="AA153" i="11"/>
  <c r="Y153" i="11"/>
  <c r="X153" i="11"/>
  <c r="Z153" i="11"/>
  <c r="AL311" i="11" a="1"/>
  <c r="AL311" i="11" s="1"/>
  <c r="AV311" i="11" a="1"/>
  <c r="AV311" i="11" s="1"/>
  <c r="AG311" i="11" a="1"/>
  <c r="AG311" i="11" s="1"/>
  <c r="AQ311" i="11" a="1"/>
  <c r="AQ311" i="11" s="1"/>
  <c r="AB312" i="11"/>
  <c r="W313" i="11"/>
  <c r="AO156" i="13" l="1" a="1"/>
  <c r="AE155" i="13" a="1"/>
  <c r="X154" i="11" a="1"/>
  <c r="AB313" i="11"/>
  <c r="W314" i="11"/>
  <c r="AQ312" i="11" a="1"/>
  <c r="AQ312" i="11" s="1"/>
  <c r="AV312" i="11" a="1"/>
  <c r="AV312" i="11" s="1"/>
  <c r="AG312" i="11" a="1"/>
  <c r="AG312" i="11" s="1"/>
  <c r="AL312" i="11" a="1"/>
  <c r="AL312" i="11" s="1"/>
  <c r="Y154" i="11" l="1"/>
  <c r="AA154" i="11"/>
  <c r="X154" i="11"/>
  <c r="Z154" i="11"/>
  <c r="AG155" i="13"/>
  <c r="AE155" i="13"/>
  <c r="AH155" i="13"/>
  <c r="AF155" i="13"/>
  <c r="AP156" i="13"/>
  <c r="AR156" i="13"/>
  <c r="AO156" i="13"/>
  <c r="AQ156" i="13"/>
  <c r="AL313" i="11" a="1"/>
  <c r="AL313" i="11" s="1"/>
  <c r="AQ313" i="11" a="1"/>
  <c r="AQ313" i="11" s="1"/>
  <c r="AG313" i="11" a="1"/>
  <c r="AG313" i="11" s="1"/>
  <c r="AV313" i="11" a="1"/>
  <c r="AV313" i="11" s="1"/>
  <c r="AB314" i="11"/>
  <c r="W315" i="11"/>
  <c r="X155" i="11" l="1" a="1"/>
  <c r="AE156" i="13" a="1"/>
  <c r="AO157" i="13" a="1"/>
  <c r="AL314" i="11" a="1"/>
  <c r="AL314" i="11" s="1"/>
  <c r="AV314" i="11" a="1"/>
  <c r="AV314" i="11" s="1"/>
  <c r="AG314" i="11" a="1"/>
  <c r="AG314" i="11" s="1"/>
  <c r="AQ314" i="11" a="1"/>
  <c r="AQ314" i="11" s="1"/>
  <c r="AB315" i="11"/>
  <c r="W316" i="11"/>
  <c r="AR157" i="13" l="1"/>
  <c r="AP157" i="13"/>
  <c r="AQ157" i="13"/>
  <c r="AO157" i="13"/>
  <c r="AG156" i="13"/>
  <c r="AH156" i="13"/>
  <c r="AF156" i="13"/>
  <c r="AE156" i="13"/>
  <c r="X156" i="11" s="1" a="1"/>
  <c r="AA155" i="11"/>
  <c r="Z155" i="11"/>
  <c r="Y155" i="11"/>
  <c r="X155" i="11"/>
  <c r="AB316" i="11"/>
  <c r="W317" i="11"/>
  <c r="AQ315" i="11" a="1"/>
  <c r="AQ315" i="11" s="1"/>
  <c r="AL315" i="11" a="1"/>
  <c r="AL315" i="11" s="1"/>
  <c r="AG315" i="11" a="1"/>
  <c r="AG315" i="11" s="1"/>
  <c r="AV315" i="11" a="1"/>
  <c r="AV315" i="11" s="1"/>
  <c r="Z156" i="11" l="1"/>
  <c r="X156" i="11"/>
  <c r="Y156" i="11"/>
  <c r="AA156" i="11"/>
  <c r="AO158" i="13" a="1"/>
  <c r="AE157" i="13" a="1"/>
  <c r="AB317" i="11"/>
  <c r="W318" i="11"/>
  <c r="AG316" i="11" a="1"/>
  <c r="AG316" i="11" s="1"/>
  <c r="AV316" i="11" a="1"/>
  <c r="AV316" i="11" s="1"/>
  <c r="AL316" i="11" a="1"/>
  <c r="AL316" i="11" s="1"/>
  <c r="AQ316" i="11" a="1"/>
  <c r="AQ316" i="11" s="1"/>
  <c r="AR158" i="13" l="1"/>
  <c r="AO158" i="13"/>
  <c r="AQ158" i="13"/>
  <c r="AP158" i="13"/>
  <c r="AH157" i="13"/>
  <c r="AG157" i="13"/>
  <c r="AF157" i="13"/>
  <c r="AE157" i="13"/>
  <c r="X157" i="11" s="1" a="1"/>
  <c r="AB318" i="11"/>
  <c r="W319" i="11"/>
  <c r="AL317" i="11" a="1"/>
  <c r="AL317" i="11" s="1"/>
  <c r="AQ317" i="11" a="1"/>
  <c r="AQ317" i="11" s="1"/>
  <c r="AG317" i="11" a="1"/>
  <c r="AG317" i="11" s="1"/>
  <c r="AV317" i="11" a="1"/>
  <c r="AV317" i="11" s="1"/>
  <c r="AA157" i="11" l="1"/>
  <c r="Y157" i="11"/>
  <c r="Z157" i="11"/>
  <c r="X157" i="11"/>
  <c r="AO159" i="13" a="1"/>
  <c r="AE158" i="13" a="1"/>
  <c r="AB319" i="11"/>
  <c r="W320" i="11"/>
  <c r="AG318" i="11" a="1"/>
  <c r="AG318" i="11" s="1"/>
  <c r="AQ318" i="11" a="1"/>
  <c r="AQ318" i="11" s="1"/>
  <c r="AL318" i="11" a="1"/>
  <c r="AL318" i="11" s="1"/>
  <c r="AV318" i="11" a="1"/>
  <c r="AV318" i="11" s="1"/>
  <c r="AH158" i="13" l="1"/>
  <c r="AG158" i="13"/>
  <c r="AE158" i="13"/>
  <c r="AF158" i="13"/>
  <c r="AQ159" i="13"/>
  <c r="AR159" i="13"/>
  <c r="AO159" i="13"/>
  <c r="AP159" i="13"/>
  <c r="W321" i="11"/>
  <c r="AB320" i="11"/>
  <c r="AL319" i="11" a="1"/>
  <c r="AL319" i="11" s="1"/>
  <c r="AG319" i="11" a="1"/>
  <c r="AG319" i="11" s="1"/>
  <c r="AV319" i="11" a="1"/>
  <c r="AV319" i="11" s="1"/>
  <c r="AQ319" i="11" a="1"/>
  <c r="AQ319" i="11" s="1"/>
  <c r="X158" i="11" l="1" a="1"/>
  <c r="Y158" i="11" s="1"/>
  <c r="AE159" i="13" a="1"/>
  <c r="AO160" i="13" a="1"/>
  <c r="AG320" i="11" a="1"/>
  <c r="AG320" i="11" s="1"/>
  <c r="AL320" i="11" a="1"/>
  <c r="AL320" i="11" s="1"/>
  <c r="AQ320" i="11" a="1"/>
  <c r="AQ320" i="11" s="1"/>
  <c r="AV320" i="11" a="1"/>
  <c r="AV320" i="11" s="1"/>
  <c r="W322" i="11"/>
  <c r="AB321" i="11"/>
  <c r="AA158" i="11" l="1"/>
  <c r="Z158" i="11"/>
  <c r="X158" i="11"/>
  <c r="AF159" i="13"/>
  <c r="AH159" i="13"/>
  <c r="AG159" i="13"/>
  <c r="AE159" i="13"/>
  <c r="X159" i="11" s="1" a="1"/>
  <c r="AR160" i="13"/>
  <c r="AQ160" i="13"/>
  <c r="AP160" i="13"/>
  <c r="AO160" i="13"/>
  <c r="AQ321" i="11" a="1"/>
  <c r="AQ321" i="11" s="1"/>
  <c r="AV321" i="11" a="1"/>
  <c r="AV321" i="11" s="1"/>
  <c r="AG321" i="11" a="1"/>
  <c r="AG321" i="11" s="1"/>
  <c r="AL321" i="11" a="1"/>
  <c r="AL321" i="11" s="1"/>
  <c r="AB322" i="11"/>
  <c r="W323" i="11"/>
  <c r="AO161" i="13" l="1" a="1"/>
  <c r="AE160" i="13" a="1"/>
  <c r="Y159" i="11"/>
  <c r="Z159" i="11"/>
  <c r="X159" i="11"/>
  <c r="AA159" i="11"/>
  <c r="AG322" i="11" a="1"/>
  <c r="AG322" i="11" s="1"/>
  <c r="AQ322" i="11" a="1"/>
  <c r="AQ322" i="11" s="1"/>
  <c r="AV322" i="11" a="1"/>
  <c r="AV322" i="11" s="1"/>
  <c r="AL322" i="11" a="1"/>
  <c r="AL322" i="11" s="1"/>
  <c r="W324" i="11"/>
  <c r="AB323" i="11"/>
  <c r="AG160" i="13" l="1"/>
  <c r="AE160" i="13"/>
  <c r="AF160" i="13"/>
  <c r="AH160" i="13"/>
  <c r="AR161" i="13"/>
  <c r="AP161" i="13"/>
  <c r="AO161" i="13"/>
  <c r="AQ161" i="13"/>
  <c r="AQ323" i="11" a="1"/>
  <c r="AQ323" i="11" s="1"/>
  <c r="AV323" i="11" a="1"/>
  <c r="AV323" i="11" s="1"/>
  <c r="AL323" i="11" a="1"/>
  <c r="AL323" i="11" s="1"/>
  <c r="AG323" i="11" a="1"/>
  <c r="AG323" i="11" s="1"/>
  <c r="AB324" i="11"/>
  <c r="W325" i="11"/>
  <c r="AO162" i="13" l="1" a="1"/>
  <c r="AE161" i="13" a="1"/>
  <c r="X160" i="11" a="1"/>
  <c r="AB325" i="11"/>
  <c r="W326" i="11"/>
  <c r="AV324" i="11" a="1"/>
  <c r="AV324" i="11" s="1"/>
  <c r="AL324" i="11" a="1"/>
  <c r="AL324" i="11" s="1"/>
  <c r="AG324" i="11" a="1"/>
  <c r="AG324" i="11" s="1"/>
  <c r="AQ324" i="11" a="1"/>
  <c r="AQ324" i="11" s="1"/>
  <c r="Z160" i="11" l="1"/>
  <c r="AA160" i="11"/>
  <c r="X160" i="11"/>
  <c r="Y160" i="11"/>
  <c r="AG161" i="13"/>
  <c r="AH161" i="13"/>
  <c r="AF161" i="13"/>
  <c r="AE161" i="13"/>
  <c r="X161" i="11" s="1" a="1"/>
  <c r="AR162" i="13"/>
  <c r="AP162" i="13"/>
  <c r="AO162" i="13"/>
  <c r="AQ162" i="13"/>
  <c r="W327" i="11"/>
  <c r="AB326" i="11"/>
  <c r="AQ325" i="11" a="1"/>
  <c r="AQ325" i="11" s="1"/>
  <c r="AV325" i="11" a="1"/>
  <c r="AV325" i="11" s="1"/>
  <c r="AG325" i="11" a="1"/>
  <c r="AG325" i="11" s="1"/>
  <c r="AL325" i="11" a="1"/>
  <c r="AL325" i="11" s="1"/>
  <c r="Z161" i="11" l="1"/>
  <c r="AA161" i="11"/>
  <c r="Y161" i="11"/>
  <c r="X161" i="11"/>
  <c r="AE162" i="13" a="1"/>
  <c r="AO163" i="13" a="1"/>
  <c r="AG326" i="11" a="1"/>
  <c r="AG326" i="11" s="1"/>
  <c r="AL326" i="11" a="1"/>
  <c r="AL326" i="11" s="1"/>
  <c r="AV326" i="11" a="1"/>
  <c r="AV326" i="11" s="1"/>
  <c r="AQ326" i="11" a="1"/>
  <c r="AQ326" i="11" s="1"/>
  <c r="AB327" i="11"/>
  <c r="W328" i="11"/>
  <c r="AP163" i="13" l="1"/>
  <c r="AQ163" i="13"/>
  <c r="AR163" i="13"/>
  <c r="AO163" i="13"/>
  <c r="AF162" i="13"/>
  <c r="AE162" i="13"/>
  <c r="AH162" i="13"/>
  <c r="AG162" i="13"/>
  <c r="AB328" i="11"/>
  <c r="W329" i="11"/>
  <c r="AQ327" i="11" a="1"/>
  <c r="AQ327" i="11" s="1"/>
  <c r="AL327" i="11" a="1"/>
  <c r="AL327" i="11" s="1"/>
  <c r="AG327" i="11" a="1"/>
  <c r="AG327" i="11" s="1"/>
  <c r="AV327" i="11" a="1"/>
  <c r="AV327" i="11" s="1"/>
  <c r="X162" i="11" l="1" a="1"/>
  <c r="Z162" i="11" s="1"/>
  <c r="AE163" i="13" a="1"/>
  <c r="AO164" i="13" a="1"/>
  <c r="AV328" i="11" a="1"/>
  <c r="AV328" i="11" s="1"/>
  <c r="AQ328" i="11" a="1"/>
  <c r="AQ328" i="11" s="1"/>
  <c r="AL328" i="11" a="1"/>
  <c r="AL328" i="11" s="1"/>
  <c r="AG328" i="11" a="1"/>
  <c r="AG328" i="11" s="1"/>
  <c r="W330" i="11"/>
  <c r="AB329" i="11"/>
  <c r="AA162" i="11" l="1"/>
  <c r="Y162" i="11"/>
  <c r="X162" i="11"/>
  <c r="AO164" i="13"/>
  <c r="AQ164" i="13"/>
  <c r="AP164" i="13"/>
  <c r="AR164" i="13"/>
  <c r="AF163" i="13"/>
  <c r="AG163" i="13"/>
  <c r="AH163" i="13"/>
  <c r="AE163" i="13"/>
  <c r="AQ329" i="11" a="1"/>
  <c r="AQ329" i="11" s="1"/>
  <c r="AV329" i="11" a="1"/>
  <c r="AV329" i="11" s="1"/>
  <c r="AG329" i="11" a="1"/>
  <c r="AG329" i="11" s="1"/>
  <c r="AL329" i="11" a="1"/>
  <c r="AL329" i="11" s="1"/>
  <c r="W331" i="11"/>
  <c r="AB330" i="11"/>
  <c r="X163" i="11" l="1" a="1"/>
  <c r="X163" i="11"/>
  <c r="AA163" i="11"/>
  <c r="Z163" i="11"/>
  <c r="Y163" i="11"/>
  <c r="AE164" i="13" a="1"/>
  <c r="AO165" i="13" a="1"/>
  <c r="AL330" i="11" a="1"/>
  <c r="AL330" i="11" s="1"/>
  <c r="AG330" i="11" a="1"/>
  <c r="AG330" i="11" s="1"/>
  <c r="AV330" i="11" a="1"/>
  <c r="AV330" i="11" s="1"/>
  <c r="AQ330" i="11" a="1"/>
  <c r="AQ330" i="11" s="1"/>
  <c r="AB331" i="11"/>
  <c r="W332" i="11"/>
  <c r="AE164" i="13" l="1"/>
  <c r="AF164" i="13"/>
  <c r="AG164" i="13"/>
  <c r="AH164" i="13"/>
  <c r="AO165" i="13"/>
  <c r="AQ165" i="13"/>
  <c r="AR165" i="13"/>
  <c r="AP165" i="13"/>
  <c r="AG331" i="11" a="1"/>
  <c r="AG331" i="11" s="1"/>
  <c r="AQ331" i="11" a="1"/>
  <c r="AQ331" i="11" s="1"/>
  <c r="AV331" i="11" a="1"/>
  <c r="AV331" i="11" s="1"/>
  <c r="AL331" i="11" a="1"/>
  <c r="AL331" i="11" s="1"/>
  <c r="AB332" i="11"/>
  <c r="W333" i="11"/>
  <c r="AE165" i="13" l="1" a="1"/>
  <c r="AO166" i="13" a="1"/>
  <c r="X164" i="11" a="1"/>
  <c r="W334" i="11"/>
  <c r="AB333" i="11"/>
  <c r="AV332" i="11" a="1"/>
  <c r="AV332" i="11" s="1"/>
  <c r="AL332" i="11" a="1"/>
  <c r="AL332" i="11" s="1"/>
  <c r="AQ332" i="11" a="1"/>
  <c r="AQ332" i="11" s="1"/>
  <c r="AG332" i="11" a="1"/>
  <c r="AG332" i="11" s="1"/>
  <c r="Z164" i="11" l="1"/>
  <c r="Y164" i="11"/>
  <c r="X164" i="11"/>
  <c r="AA164" i="11"/>
  <c r="AQ166" i="13"/>
  <c r="AP166" i="13"/>
  <c r="AR166" i="13"/>
  <c r="AO166" i="13"/>
  <c r="AE165" i="13"/>
  <c r="AG165" i="13"/>
  <c r="AH165" i="13"/>
  <c r="AF165" i="13"/>
  <c r="AV333" i="11" a="1"/>
  <c r="AV333" i="11" s="1"/>
  <c r="AQ333" i="11" a="1"/>
  <c r="AQ333" i="11" s="1"/>
  <c r="AG333" i="11" a="1"/>
  <c r="AG333" i="11" s="1"/>
  <c r="AL333" i="11" a="1"/>
  <c r="AL333" i="11" s="1"/>
  <c r="W335" i="11"/>
  <c r="AB334" i="11"/>
  <c r="AO167" i="13" l="1" a="1"/>
  <c r="AE166" i="13" a="1"/>
  <c r="X165" i="11" a="1"/>
  <c r="AQ334" i="11" a="1"/>
  <c r="AQ334" i="11" s="1"/>
  <c r="AL334" i="11" a="1"/>
  <c r="AL334" i="11" s="1"/>
  <c r="AG334" i="11" a="1"/>
  <c r="AG334" i="11" s="1"/>
  <c r="AV334" i="11" a="1"/>
  <c r="AV334" i="11" s="1"/>
  <c r="W336" i="11"/>
  <c r="AB335" i="11"/>
  <c r="X165" i="11" l="1"/>
  <c r="Z165" i="11"/>
  <c r="AA165" i="11"/>
  <c r="Y165" i="11"/>
  <c r="AF166" i="13"/>
  <c r="AH166" i="13"/>
  <c r="AE166" i="13"/>
  <c r="X166" i="11" s="1" a="1"/>
  <c r="AG166" i="13"/>
  <c r="AQ167" i="13"/>
  <c r="AP167" i="13"/>
  <c r="AR167" i="13"/>
  <c r="AO167" i="13"/>
  <c r="AG335" i="11" a="1"/>
  <c r="AG335" i="11" s="1"/>
  <c r="AV335" i="11" a="1"/>
  <c r="AV335" i="11" s="1"/>
  <c r="AQ335" i="11" a="1"/>
  <c r="AQ335" i="11" s="1"/>
  <c r="AL335" i="11" a="1"/>
  <c r="AL335" i="11" s="1"/>
  <c r="W337" i="11"/>
  <c r="AB336" i="11"/>
  <c r="AA166" i="11" l="1"/>
  <c r="Z166" i="11"/>
  <c r="X166" i="11"/>
  <c r="Y166" i="11"/>
  <c r="AO168" i="13" a="1"/>
  <c r="AE167" i="13" a="1"/>
  <c r="AG336" i="11" a="1"/>
  <c r="AG336" i="11" s="1"/>
  <c r="AV336" i="11" a="1"/>
  <c r="AV336" i="11" s="1"/>
  <c r="AQ336" i="11" a="1"/>
  <c r="AQ336" i="11" s="1"/>
  <c r="AL336" i="11" a="1"/>
  <c r="AL336" i="11" s="1"/>
  <c r="W338" i="11"/>
  <c r="AB337" i="11"/>
  <c r="AQ168" i="13" l="1"/>
  <c r="AR168" i="13"/>
  <c r="AO168" i="13"/>
  <c r="AP168" i="13"/>
  <c r="AH167" i="13"/>
  <c r="AF167" i="13"/>
  <c r="AE167" i="13"/>
  <c r="AG167" i="13"/>
  <c r="AB338" i="11"/>
  <c r="W339" i="11"/>
  <c r="AV337" i="11" a="1"/>
  <c r="AV337" i="11" s="1"/>
  <c r="AG337" i="11" a="1"/>
  <c r="AG337" i="11" s="1"/>
  <c r="AQ337" i="11" a="1"/>
  <c r="AQ337" i="11" s="1"/>
  <c r="AL337" i="11" a="1"/>
  <c r="AL337" i="11" s="1"/>
  <c r="X167" i="11" l="1" a="1"/>
  <c r="Z167" i="11" s="1"/>
  <c r="AO169" i="13" a="1"/>
  <c r="AE168" i="13" a="1"/>
  <c r="W340" i="11"/>
  <c r="AB339" i="11"/>
  <c r="AL338" i="11" a="1"/>
  <c r="AL338" i="11" s="1"/>
  <c r="AG338" i="11" a="1"/>
  <c r="AG338" i="11" s="1"/>
  <c r="AQ338" i="11" a="1"/>
  <c r="AQ338" i="11" s="1"/>
  <c r="AV338" i="11" a="1"/>
  <c r="AV338" i="11" s="1"/>
  <c r="AA167" i="11" l="1"/>
  <c r="Y167" i="11"/>
  <c r="X167" i="11"/>
  <c r="AE168" i="13"/>
  <c r="AH168" i="13"/>
  <c r="AF168" i="13"/>
  <c r="AG168" i="13"/>
  <c r="AR169" i="13"/>
  <c r="AQ169" i="13"/>
  <c r="AO169" i="13"/>
  <c r="AP169" i="13"/>
  <c r="AG339" i="11" a="1"/>
  <c r="AG339" i="11" s="1"/>
  <c r="AL339" i="11" a="1"/>
  <c r="AL339" i="11" s="1"/>
  <c r="AQ339" i="11" a="1"/>
  <c r="AQ339" i="11" s="1"/>
  <c r="AV339" i="11" a="1"/>
  <c r="AV339" i="11" s="1"/>
  <c r="W341" i="11"/>
  <c r="AB340" i="11"/>
  <c r="AO170" i="13" l="1" a="1"/>
  <c r="AE169" i="13" a="1"/>
  <c r="X168" i="11" a="1"/>
  <c r="AG340" i="11" a="1"/>
  <c r="AG340" i="11" s="1"/>
  <c r="AL340" i="11" a="1"/>
  <c r="AL340" i="11" s="1"/>
  <c r="AQ340" i="11" a="1"/>
  <c r="AQ340" i="11" s="1"/>
  <c r="AV340" i="11" a="1"/>
  <c r="AV340" i="11" s="1"/>
  <c r="W342" i="11"/>
  <c r="AB341" i="11"/>
  <c r="Z168" i="11" l="1"/>
  <c r="AA168" i="11"/>
  <c r="Y168" i="11"/>
  <c r="X168" i="11"/>
  <c r="AG169" i="13"/>
  <c r="AF169" i="13"/>
  <c r="AE169" i="13"/>
  <c r="X169" i="11" s="1" a="1"/>
  <c r="AH169" i="13"/>
  <c r="AP170" i="13"/>
  <c r="AQ170" i="13"/>
  <c r="AR170" i="13"/>
  <c r="AO170" i="13"/>
  <c r="AV341" i="11" a="1"/>
  <c r="AV341" i="11" s="1"/>
  <c r="AL341" i="11" a="1"/>
  <c r="AL341" i="11" s="1"/>
  <c r="AQ341" i="11" a="1"/>
  <c r="AQ341" i="11" s="1"/>
  <c r="AG341" i="11" a="1"/>
  <c r="AG341" i="11" s="1"/>
  <c r="W343" i="11"/>
  <c r="AB342" i="11"/>
  <c r="Y169" i="11" l="1"/>
  <c r="AA169" i="11"/>
  <c r="Z169" i="11"/>
  <c r="X169" i="11"/>
  <c r="AE170" i="13" a="1"/>
  <c r="AO171" i="13" a="1"/>
  <c r="AL342" i="11" a="1"/>
  <c r="AL342" i="11" s="1"/>
  <c r="AQ342" i="11" a="1"/>
  <c r="AQ342" i="11" s="1"/>
  <c r="AV342" i="11" a="1"/>
  <c r="AV342" i="11" s="1"/>
  <c r="AG342" i="11" a="1"/>
  <c r="AG342" i="11" s="1"/>
  <c r="AB343" i="11"/>
  <c r="W344" i="11"/>
  <c r="AF170" i="13" l="1"/>
  <c r="AE170" i="13"/>
  <c r="AH170" i="13"/>
  <c r="AG170" i="13"/>
  <c r="AR171" i="13"/>
  <c r="AQ171" i="13"/>
  <c r="AP171" i="13"/>
  <c r="AO171" i="13"/>
  <c r="AV343" i="11" a="1"/>
  <c r="AV343" i="11" s="1"/>
  <c r="AQ343" i="11" a="1"/>
  <c r="AQ343" i="11" s="1"/>
  <c r="AL343" i="11" a="1"/>
  <c r="AL343" i="11" s="1"/>
  <c r="AG343" i="11" a="1"/>
  <c r="AG343" i="11" s="1"/>
  <c r="AB344" i="11"/>
  <c r="W345" i="11"/>
  <c r="AO172" i="13" l="1" a="1"/>
  <c r="AE171" i="13" a="1"/>
  <c r="X170" i="11" a="1"/>
  <c r="AB345" i="11"/>
  <c r="W346" i="11"/>
  <c r="AL344" i="11" a="1"/>
  <c r="AL344" i="11" s="1"/>
  <c r="AQ344" i="11" a="1"/>
  <c r="AQ344" i="11" s="1"/>
  <c r="AV344" i="11" a="1"/>
  <c r="AV344" i="11" s="1"/>
  <c r="AG344" i="11" a="1"/>
  <c r="AG344" i="11" s="1"/>
  <c r="X170" i="11" l="1"/>
  <c r="Y170" i="11"/>
  <c r="Z170" i="11"/>
  <c r="AA170" i="11"/>
  <c r="AE171" i="13"/>
  <c r="AF171" i="13"/>
  <c r="AH171" i="13"/>
  <c r="AG171" i="13"/>
  <c r="AP172" i="13"/>
  <c r="AQ172" i="13"/>
  <c r="AO172" i="13"/>
  <c r="AR172" i="13"/>
  <c r="W347" i="11"/>
  <c r="AB346" i="11"/>
  <c r="AV345" i="11" a="1"/>
  <c r="AV345" i="11" s="1"/>
  <c r="AQ345" i="11" a="1"/>
  <c r="AQ345" i="11" s="1"/>
  <c r="AG345" i="11" a="1"/>
  <c r="AG345" i="11" s="1"/>
  <c r="AL345" i="11" a="1"/>
  <c r="AL345" i="11" s="1"/>
  <c r="X171" i="11" l="1" a="1"/>
  <c r="AE172" i="13" a="1"/>
  <c r="AO173" i="13" a="1"/>
  <c r="AQ346" i="11" a="1"/>
  <c r="AQ346" i="11" s="1"/>
  <c r="AL346" i="11" a="1"/>
  <c r="AL346" i="11" s="1"/>
  <c r="AG346" i="11" a="1"/>
  <c r="AG346" i="11" s="1"/>
  <c r="AV346" i="11" a="1"/>
  <c r="AV346" i="11" s="1"/>
  <c r="AB347" i="11"/>
  <c r="W348" i="11"/>
  <c r="AR173" i="13" l="1"/>
  <c r="AQ173" i="13"/>
  <c r="AP173" i="13"/>
  <c r="AO173" i="13"/>
  <c r="AH172" i="13"/>
  <c r="AF172" i="13"/>
  <c r="AE172" i="13"/>
  <c r="AG172" i="13"/>
  <c r="Z171" i="11"/>
  <c r="AA171" i="11"/>
  <c r="X171" i="11"/>
  <c r="Y171" i="11"/>
  <c r="W349" i="11"/>
  <c r="AB348" i="11"/>
  <c r="AG347" i="11" a="1"/>
  <c r="AG347" i="11" s="1"/>
  <c r="AL347" i="11" a="1"/>
  <c r="AL347" i="11" s="1"/>
  <c r="AQ347" i="11" a="1"/>
  <c r="AQ347" i="11" s="1"/>
  <c r="AV347" i="11" a="1"/>
  <c r="AV347" i="11" s="1"/>
  <c r="X172" i="11" l="1" a="1"/>
  <c r="AO174" i="13" a="1"/>
  <c r="AE173" i="13" a="1"/>
  <c r="AV348" i="11" a="1"/>
  <c r="AV348" i="11" s="1"/>
  <c r="AG348" i="11" a="1"/>
  <c r="AG348" i="11" s="1"/>
  <c r="AQ348" i="11" a="1"/>
  <c r="AQ348" i="11" s="1"/>
  <c r="AL348" i="11" a="1"/>
  <c r="AL348" i="11" s="1"/>
  <c r="AB349" i="11"/>
  <c r="W350" i="11"/>
  <c r="AG173" i="13" l="1"/>
  <c r="AE173" i="13"/>
  <c r="AF173" i="13"/>
  <c r="AH173" i="13"/>
  <c r="AP174" i="13"/>
  <c r="AQ174" i="13"/>
  <c r="AO174" i="13"/>
  <c r="AR174" i="13"/>
  <c r="X172" i="11"/>
  <c r="Z172" i="11"/>
  <c r="AA172" i="11"/>
  <c r="Y172" i="11"/>
  <c r="AB350" i="11"/>
  <c r="W351" i="11"/>
  <c r="AQ349" i="11" a="1"/>
  <c r="AQ349" i="11" s="1"/>
  <c r="AG349" i="11" a="1"/>
  <c r="AG349" i="11" s="1"/>
  <c r="AL349" i="11" a="1"/>
  <c r="AL349" i="11" s="1"/>
  <c r="AV349" i="11" a="1"/>
  <c r="AV349" i="11" s="1"/>
  <c r="AE174" i="13" l="1" a="1"/>
  <c r="AO175" i="13" a="1"/>
  <c r="X173" i="11" a="1"/>
  <c r="W352" i="11"/>
  <c r="AB351" i="11"/>
  <c r="AL350" i="11" a="1"/>
  <c r="AL350" i="11" s="1"/>
  <c r="AQ350" i="11" a="1"/>
  <c r="AQ350" i="11" s="1"/>
  <c r="AV350" i="11" a="1"/>
  <c r="AV350" i="11" s="1"/>
  <c r="AG350" i="11" a="1"/>
  <c r="AG350" i="11" s="1"/>
  <c r="Y173" i="11" l="1"/>
  <c r="AA173" i="11"/>
  <c r="X173" i="11"/>
  <c r="Z173" i="11"/>
  <c r="AR175" i="13"/>
  <c r="AO175" i="13"/>
  <c r="AP175" i="13"/>
  <c r="AQ175" i="13"/>
  <c r="AH174" i="13"/>
  <c r="AE174" i="13"/>
  <c r="AG174" i="13"/>
  <c r="AF174" i="13"/>
  <c r="AG351" i="11" a="1"/>
  <c r="AG351" i="11" s="1"/>
  <c r="AQ351" i="11" a="1"/>
  <c r="AQ351" i="11" s="1"/>
  <c r="AL351" i="11" a="1"/>
  <c r="AL351" i="11" s="1"/>
  <c r="AV351" i="11" a="1"/>
  <c r="AV351" i="11" s="1"/>
  <c r="AB352" i="11"/>
  <c r="W353" i="11"/>
  <c r="AO176" i="13" l="1" a="1"/>
  <c r="AE175" i="13" a="1"/>
  <c r="X174" i="11" a="1"/>
  <c r="AG352" i="11" a="1"/>
  <c r="AG352" i="11" s="1"/>
  <c r="AL352" i="11" a="1"/>
  <c r="AL352" i="11" s="1"/>
  <c r="AV352" i="11" a="1"/>
  <c r="AV352" i="11" s="1"/>
  <c r="AQ352" i="11" a="1"/>
  <c r="AQ352" i="11" s="1"/>
  <c r="W354" i="11"/>
  <c r="AB353" i="11"/>
  <c r="AA174" i="11" l="1"/>
  <c r="Z174" i="11"/>
  <c r="Y174" i="11"/>
  <c r="X174" i="11"/>
  <c r="AE175" i="13"/>
  <c r="AG175" i="13"/>
  <c r="AF175" i="13"/>
  <c r="AH175" i="13"/>
  <c r="AO176" i="13"/>
  <c r="AP176" i="13"/>
  <c r="AR176" i="13"/>
  <c r="AQ176" i="13"/>
  <c r="AB354" i="11"/>
  <c r="W355" i="11"/>
  <c r="AG353" i="11" a="1"/>
  <c r="AG353" i="11" s="1"/>
  <c r="AL353" i="11" a="1"/>
  <c r="AL353" i="11" s="1"/>
  <c r="AQ353" i="11" a="1"/>
  <c r="AQ353" i="11" s="1"/>
  <c r="AV353" i="11" a="1"/>
  <c r="AV353" i="11" s="1"/>
  <c r="X175" i="11" l="1" a="1"/>
  <c r="AE176" i="13" a="1"/>
  <c r="AO177" i="13" a="1"/>
  <c r="W356" i="11"/>
  <c r="AB355" i="11"/>
  <c r="AQ354" i="11" a="1"/>
  <c r="AQ354" i="11" s="1"/>
  <c r="AV354" i="11" a="1"/>
  <c r="AV354" i="11" s="1"/>
  <c r="AG354" i="11" a="1"/>
  <c r="AG354" i="11" s="1"/>
  <c r="AL354" i="11" a="1"/>
  <c r="AL354" i="11" s="1"/>
  <c r="AP177" i="13" l="1"/>
  <c r="AR177" i="13"/>
  <c r="AO177" i="13"/>
  <c r="AQ177" i="13"/>
  <c r="AH176" i="13"/>
  <c r="AG176" i="13"/>
  <c r="AE176" i="13"/>
  <c r="AF176" i="13"/>
  <c r="AA175" i="11"/>
  <c r="X175" i="11"/>
  <c r="Z175" i="11"/>
  <c r="Y175" i="11"/>
  <c r="AG355" i="11" a="1"/>
  <c r="AG355" i="11" s="1"/>
  <c r="AV355" i="11" a="1"/>
  <c r="AV355" i="11" s="1"/>
  <c r="AQ355" i="11" a="1"/>
  <c r="AQ355" i="11" s="1"/>
  <c r="AL355" i="11" a="1"/>
  <c r="AL355" i="11" s="1"/>
  <c r="W357" i="11"/>
  <c r="AB356" i="11"/>
  <c r="X176" i="11" l="1" a="1"/>
  <c r="AO178" i="13" a="1"/>
  <c r="AE177" i="13" a="1"/>
  <c r="W358" i="11"/>
  <c r="AB357" i="11"/>
  <c r="AV356" i="11" a="1"/>
  <c r="AV356" i="11" s="1"/>
  <c r="AQ356" i="11" a="1"/>
  <c r="AQ356" i="11" s="1"/>
  <c r="AG356" i="11" a="1"/>
  <c r="AG356" i="11" s="1"/>
  <c r="AL356" i="11" a="1"/>
  <c r="AL356" i="11" s="1"/>
  <c r="AQ178" i="13" l="1"/>
  <c r="AP178" i="13"/>
  <c r="AR178" i="13"/>
  <c r="AO178" i="13"/>
  <c r="AE177" i="13"/>
  <c r="AG177" i="13"/>
  <c r="AH177" i="13"/>
  <c r="AF177" i="13"/>
  <c r="Z176" i="11"/>
  <c r="Y176" i="11"/>
  <c r="AA176" i="11"/>
  <c r="X176" i="11"/>
  <c r="AG357" i="11" a="1"/>
  <c r="AG357" i="11" s="1"/>
  <c r="AL357" i="11" a="1"/>
  <c r="AL357" i="11" s="1"/>
  <c r="AV357" i="11" a="1"/>
  <c r="AV357" i="11" s="1"/>
  <c r="AQ357" i="11" a="1"/>
  <c r="AQ357" i="11" s="1"/>
  <c r="W359" i="11"/>
  <c r="AB358" i="11"/>
  <c r="X177" i="11" l="1" a="1"/>
  <c r="AO179" i="13" a="1"/>
  <c r="AE178" i="13" a="1"/>
  <c r="AV358" i="11" a="1"/>
  <c r="AV358" i="11" s="1"/>
  <c r="AQ358" i="11" a="1"/>
  <c r="AQ358" i="11" s="1"/>
  <c r="AL358" i="11" a="1"/>
  <c r="AL358" i="11" s="1"/>
  <c r="AG358" i="11" a="1"/>
  <c r="AG358" i="11" s="1"/>
  <c r="W360" i="11"/>
  <c r="AB359" i="11"/>
  <c r="AQ179" i="13" l="1"/>
  <c r="AP179" i="13"/>
  <c r="AO179" i="13"/>
  <c r="AR179" i="13"/>
  <c r="AH178" i="13"/>
  <c r="AF178" i="13"/>
  <c r="AG178" i="13"/>
  <c r="AE178" i="13"/>
  <c r="X178" i="11" s="1" a="1"/>
  <c r="X177" i="11"/>
  <c r="Y177" i="11"/>
  <c r="Z177" i="11"/>
  <c r="AA177" i="11"/>
  <c r="AQ359" i="11" a="1"/>
  <c r="AQ359" i="11" s="1"/>
  <c r="AL359" i="11" a="1"/>
  <c r="AL359" i="11" s="1"/>
  <c r="AG359" i="11" a="1"/>
  <c r="AG359" i="11" s="1"/>
  <c r="AV359" i="11" a="1"/>
  <c r="AV359" i="11" s="1"/>
  <c r="AB360" i="11"/>
  <c r="W361" i="11"/>
  <c r="X178" i="11" l="1"/>
  <c r="Z178" i="11"/>
  <c r="Y178" i="11"/>
  <c r="AA178" i="11"/>
  <c r="AE179" i="13" a="1"/>
  <c r="AO180" i="13" a="1"/>
  <c r="W362" i="11"/>
  <c r="AB361" i="11"/>
  <c r="AV360" i="11" a="1"/>
  <c r="AV360" i="11" s="1"/>
  <c r="AG360" i="11" a="1"/>
  <c r="AG360" i="11" s="1"/>
  <c r="AL360" i="11" a="1"/>
  <c r="AL360" i="11" s="1"/>
  <c r="AQ360" i="11" a="1"/>
  <c r="AQ360" i="11" s="1"/>
  <c r="AQ180" i="13" l="1"/>
  <c r="AO180" i="13"/>
  <c r="AR180" i="13"/>
  <c r="AP180" i="13"/>
  <c r="AF179" i="13"/>
  <c r="AG179" i="13"/>
  <c r="AE179" i="13"/>
  <c r="AH179" i="13"/>
  <c r="AL361" i="11" a="1"/>
  <c r="AL361" i="11" s="1"/>
  <c r="AG361" i="11" a="1"/>
  <c r="AG361" i="11" s="1"/>
  <c r="AQ361" i="11" a="1"/>
  <c r="AQ361" i="11" s="1"/>
  <c r="AV361" i="11" a="1"/>
  <c r="AV361" i="11" s="1"/>
  <c r="AB362" i="11"/>
  <c r="W363" i="11"/>
  <c r="X179" i="11" l="1" a="1"/>
  <c r="Y179" i="11" s="1"/>
  <c r="AE180" i="13" a="1"/>
  <c r="AO181" i="13" a="1"/>
  <c r="AB363" i="11"/>
  <c r="W364" i="11"/>
  <c r="AQ362" i="11" a="1"/>
  <c r="AQ362" i="11" s="1"/>
  <c r="AG362" i="11" a="1"/>
  <c r="AG362" i="11" s="1"/>
  <c r="AV362" i="11" a="1"/>
  <c r="AV362" i="11" s="1"/>
  <c r="AL362" i="11" a="1"/>
  <c r="AL362" i="11" s="1"/>
  <c r="Z179" i="11" l="1"/>
  <c r="AA179" i="11"/>
  <c r="X179" i="11"/>
  <c r="AO181" i="13"/>
  <c r="AP181" i="13"/>
  <c r="AR181" i="13"/>
  <c r="AQ181" i="13"/>
  <c r="AH180" i="13"/>
  <c r="AF180" i="13"/>
  <c r="AG180" i="13"/>
  <c r="AE180" i="13"/>
  <c r="AB364" i="11"/>
  <c r="W365" i="11"/>
  <c r="AL363" i="11" a="1"/>
  <c r="AL363" i="11" s="1"/>
  <c r="AV363" i="11" a="1"/>
  <c r="AV363" i="11" s="1"/>
  <c r="AQ363" i="11" a="1"/>
  <c r="AQ363" i="11" s="1"/>
  <c r="AG363" i="11" a="1"/>
  <c r="AG363" i="11" s="1"/>
  <c r="X180" i="11" l="1" a="1"/>
  <c r="Z180" i="11"/>
  <c r="AA180" i="11"/>
  <c r="X180" i="11"/>
  <c r="Y180" i="11"/>
  <c r="AE181" i="13" a="1"/>
  <c r="AO182" i="13" a="1"/>
  <c r="AB365" i="11"/>
  <c r="W366" i="11"/>
  <c r="AQ364" i="11" a="1"/>
  <c r="AQ364" i="11" s="1"/>
  <c r="AV364" i="11" a="1"/>
  <c r="AV364" i="11" s="1"/>
  <c r="AL364" i="11" a="1"/>
  <c r="AL364" i="11" s="1"/>
  <c r="AG364" i="11" a="1"/>
  <c r="AG364" i="11" s="1"/>
  <c r="AH181" i="13" l="1"/>
  <c r="AF181" i="13"/>
  <c r="AE181" i="13"/>
  <c r="AG181" i="13"/>
  <c r="AR182" i="13"/>
  <c r="AP182" i="13"/>
  <c r="AO182" i="13"/>
  <c r="AQ182" i="13"/>
  <c r="W367" i="11"/>
  <c r="AB366" i="11"/>
  <c r="AQ365" i="11" a="1"/>
  <c r="AQ365" i="11" s="1"/>
  <c r="AL365" i="11" a="1"/>
  <c r="AL365" i="11" s="1"/>
  <c r="AV365" i="11" a="1"/>
  <c r="AV365" i="11" s="1"/>
  <c r="AG365" i="11" a="1"/>
  <c r="AG365" i="11" s="1"/>
  <c r="AE182" i="13" l="1" a="1"/>
  <c r="AO183" i="13" a="1"/>
  <c r="X181" i="11" a="1"/>
  <c r="AL366" i="11" a="1"/>
  <c r="AL366" i="11" s="1"/>
  <c r="AV366" i="11" a="1"/>
  <c r="AV366" i="11" s="1"/>
  <c r="AG366" i="11" a="1"/>
  <c r="AG366" i="11" s="1"/>
  <c r="AQ366" i="11" a="1"/>
  <c r="AQ366" i="11" s="1"/>
  <c r="W368" i="11"/>
  <c r="AB367" i="11"/>
  <c r="AA181" i="11" l="1"/>
  <c r="Y181" i="11"/>
  <c r="Z181" i="11"/>
  <c r="X181" i="11"/>
  <c r="AR183" i="13"/>
  <c r="AO183" i="13"/>
  <c r="AQ183" i="13"/>
  <c r="AP183" i="13"/>
  <c r="AF182" i="13"/>
  <c r="AH182" i="13"/>
  <c r="AE182" i="13"/>
  <c r="AG182" i="13"/>
  <c r="AG367" i="11" a="1"/>
  <c r="AG367" i="11" s="1"/>
  <c r="AV367" i="11" a="1"/>
  <c r="AV367" i="11" s="1"/>
  <c r="AL367" i="11" a="1"/>
  <c r="AL367" i="11" s="1"/>
  <c r="AQ367" i="11" a="1"/>
  <c r="AQ367" i="11" s="1"/>
  <c r="W369" i="11"/>
  <c r="AB368" i="11"/>
  <c r="AO184" i="13" l="1" a="1"/>
  <c r="AE183" i="13" a="1"/>
  <c r="X182" i="11" a="1"/>
  <c r="AQ368" i="11" a="1"/>
  <c r="AQ368" i="11" s="1"/>
  <c r="AG368" i="11" a="1"/>
  <c r="AG368" i="11" s="1"/>
  <c r="AL368" i="11" a="1"/>
  <c r="AL368" i="11" s="1"/>
  <c r="AV368" i="11" a="1"/>
  <c r="AV368" i="11" s="1"/>
  <c r="AB369" i="11"/>
  <c r="W370" i="11"/>
  <c r="Y182" i="11" l="1"/>
  <c r="Z182" i="11"/>
  <c r="X182" i="11"/>
  <c r="AA182" i="11"/>
  <c r="AF183" i="13"/>
  <c r="AG183" i="13"/>
  <c r="AE183" i="13"/>
  <c r="AH183" i="13"/>
  <c r="AP184" i="13"/>
  <c r="AO184" i="13"/>
  <c r="AQ184" i="13"/>
  <c r="AR184" i="13"/>
  <c r="AB370" i="11"/>
  <c r="W371" i="11"/>
  <c r="AV369" i="11" a="1"/>
  <c r="AV369" i="11" s="1"/>
  <c r="AL369" i="11" a="1"/>
  <c r="AL369" i="11" s="1"/>
  <c r="AG369" i="11" a="1"/>
  <c r="AG369" i="11" s="1"/>
  <c r="AQ369" i="11" a="1"/>
  <c r="AQ369" i="11" s="1"/>
  <c r="X183" i="11" l="1" a="1"/>
  <c r="AO185" i="13" a="1"/>
  <c r="AE184" i="13" a="1"/>
  <c r="W372" i="11"/>
  <c r="AB371" i="11"/>
  <c r="AQ370" i="11" a="1"/>
  <c r="AQ370" i="11" s="1"/>
  <c r="AL370" i="11" a="1"/>
  <c r="AL370" i="11" s="1"/>
  <c r="AV370" i="11" a="1"/>
  <c r="AV370" i="11" s="1"/>
  <c r="AG370" i="11" a="1"/>
  <c r="AG370" i="11" s="1"/>
  <c r="AP185" i="13" l="1"/>
  <c r="AR185" i="13"/>
  <c r="AQ185" i="13"/>
  <c r="AO185" i="13"/>
  <c r="AF184" i="13"/>
  <c r="AH184" i="13"/>
  <c r="AG184" i="13"/>
  <c r="AE184" i="13"/>
  <c r="X184" i="11" s="1" a="1"/>
  <c r="Z183" i="11"/>
  <c r="AA183" i="11"/>
  <c r="X183" i="11"/>
  <c r="Y183" i="11"/>
  <c r="W373" i="11"/>
  <c r="AB372" i="11"/>
  <c r="AQ371" i="11" a="1"/>
  <c r="AQ371" i="11" s="1"/>
  <c r="AL371" i="11" a="1"/>
  <c r="AL371" i="11" s="1"/>
  <c r="AV371" i="11" a="1"/>
  <c r="AV371" i="11" s="1"/>
  <c r="AG371" i="11" a="1"/>
  <c r="AG371" i="11" s="1"/>
  <c r="Z184" i="11" l="1"/>
  <c r="Y184" i="11"/>
  <c r="X184" i="11"/>
  <c r="AA184" i="11"/>
  <c r="AE185" i="13" a="1"/>
  <c r="AO186" i="13" a="1"/>
  <c r="AQ372" i="11" a="1"/>
  <c r="AQ372" i="11" s="1"/>
  <c r="AG372" i="11" a="1"/>
  <c r="AG372" i="11" s="1"/>
  <c r="AL372" i="11" a="1"/>
  <c r="AL372" i="11" s="1"/>
  <c r="AV372" i="11" a="1"/>
  <c r="AV372" i="11" s="1"/>
  <c r="W374" i="11"/>
  <c r="AB373" i="11"/>
  <c r="AQ186" i="13" l="1"/>
  <c r="AR186" i="13"/>
  <c r="AP186" i="13"/>
  <c r="AO186" i="13"/>
  <c r="AH185" i="13"/>
  <c r="AE185" i="13"/>
  <c r="AG185" i="13"/>
  <c r="AF185" i="13"/>
  <c r="W375" i="11"/>
  <c r="AB374" i="11"/>
  <c r="AV373" i="11" a="1"/>
  <c r="AV373" i="11" s="1"/>
  <c r="AL373" i="11" a="1"/>
  <c r="AL373" i="11" s="1"/>
  <c r="AQ373" i="11" a="1"/>
  <c r="AQ373" i="11" s="1"/>
  <c r="AG373" i="11" a="1"/>
  <c r="AG373" i="11" s="1"/>
  <c r="X185" i="11" l="1" a="1"/>
  <c r="AA185" i="11"/>
  <c r="Y185" i="11"/>
  <c r="X185" i="11"/>
  <c r="Z185" i="11"/>
  <c r="AO187" i="13" a="1"/>
  <c r="AE186" i="13" a="1"/>
  <c r="AV374" i="11" a="1"/>
  <c r="AV374" i="11" s="1"/>
  <c r="AQ374" i="11" a="1"/>
  <c r="AQ374" i="11" s="1"/>
  <c r="AL374" i="11" a="1"/>
  <c r="AL374" i="11" s="1"/>
  <c r="AG374" i="11" a="1"/>
  <c r="AG374" i="11" s="1"/>
  <c r="AB375" i="11"/>
  <c r="W376" i="11"/>
  <c r="AO187" i="13" l="1"/>
  <c r="AP187" i="13"/>
  <c r="AQ187" i="13"/>
  <c r="AR187" i="13"/>
  <c r="AE186" i="13"/>
  <c r="AF186" i="13"/>
  <c r="AH186" i="13"/>
  <c r="AG186" i="13"/>
  <c r="AB376" i="11"/>
  <c r="W377" i="11"/>
  <c r="AL375" i="11" a="1"/>
  <c r="AL375" i="11" s="1"/>
  <c r="AV375" i="11" a="1"/>
  <c r="AV375" i="11" s="1"/>
  <c r="AG375" i="11" a="1"/>
  <c r="AG375" i="11" s="1"/>
  <c r="AQ375" i="11" a="1"/>
  <c r="AQ375" i="11" s="1"/>
  <c r="X186" i="11" l="1" a="1"/>
  <c r="AE187" i="13" a="1"/>
  <c r="AO188" i="13" a="1"/>
  <c r="W378" i="11"/>
  <c r="AB377" i="11"/>
  <c r="AL376" i="11" a="1"/>
  <c r="AL376" i="11" s="1"/>
  <c r="AG376" i="11" a="1"/>
  <c r="AG376" i="11" s="1"/>
  <c r="AV376" i="11" a="1"/>
  <c r="AV376" i="11" s="1"/>
  <c r="AQ376" i="11" a="1"/>
  <c r="AQ376" i="11" s="1"/>
  <c r="AE187" i="13" l="1"/>
  <c r="AF187" i="13"/>
  <c r="AH187" i="13"/>
  <c r="AG187" i="13"/>
  <c r="AO188" i="13"/>
  <c r="AP188" i="13"/>
  <c r="AR188" i="13"/>
  <c r="AQ188" i="13"/>
  <c r="X186" i="11"/>
  <c r="Z186" i="11"/>
  <c r="Y186" i="11"/>
  <c r="AA186" i="11"/>
  <c r="AQ377" i="11" a="1"/>
  <c r="AQ377" i="11" s="1"/>
  <c r="AG377" i="11" a="1"/>
  <c r="AG377" i="11" s="1"/>
  <c r="AL377" i="11" a="1"/>
  <c r="AL377" i="11" s="1"/>
  <c r="AV377" i="11" a="1"/>
  <c r="AV377" i="11" s="1"/>
  <c r="W379" i="11"/>
  <c r="AB378" i="11"/>
  <c r="AE188" i="13" l="1" a="1"/>
  <c r="AO189" i="13" a="1"/>
  <c r="X187" i="11" a="1"/>
  <c r="AL378" i="11" a="1"/>
  <c r="AL378" i="11" s="1"/>
  <c r="AG378" i="11" a="1"/>
  <c r="AG378" i="11" s="1"/>
  <c r="AV378" i="11" a="1"/>
  <c r="AV378" i="11" s="1"/>
  <c r="AQ378" i="11" a="1"/>
  <c r="AQ378" i="11" s="1"/>
  <c r="AB379" i="11"/>
  <c r="W380" i="11"/>
  <c r="X187" i="11" l="1"/>
  <c r="AA187" i="11"/>
  <c r="Z187" i="11"/>
  <c r="Y187" i="11"/>
  <c r="AR189" i="13"/>
  <c r="AQ189" i="13"/>
  <c r="AP189" i="13"/>
  <c r="AO189" i="13"/>
  <c r="AH188" i="13"/>
  <c r="AF188" i="13"/>
  <c r="AG188" i="13"/>
  <c r="AE188" i="13"/>
  <c r="AV379" i="11" a="1"/>
  <c r="AV379" i="11" s="1"/>
  <c r="AQ379" i="11" a="1"/>
  <c r="AQ379" i="11" s="1"/>
  <c r="AL379" i="11" a="1"/>
  <c r="AL379" i="11" s="1"/>
  <c r="AG379" i="11" a="1"/>
  <c r="AG379" i="11" s="1"/>
  <c r="AB380" i="11"/>
  <c r="W381" i="11"/>
  <c r="X188" i="11" l="1" a="1"/>
  <c r="Y188" i="11" s="1"/>
  <c r="AE189" i="13" a="1"/>
  <c r="AO190" i="13" a="1"/>
  <c r="AV380" i="11" a="1"/>
  <c r="AV380" i="11" s="1"/>
  <c r="AG380" i="11" a="1"/>
  <c r="AG380" i="11" s="1"/>
  <c r="AQ380" i="11" a="1"/>
  <c r="AQ380" i="11" s="1"/>
  <c r="AL380" i="11" a="1"/>
  <c r="AL380" i="11" s="1"/>
  <c r="AB381" i="11"/>
  <c r="W382" i="11"/>
  <c r="X188" i="11" l="1"/>
  <c r="Z188" i="11"/>
  <c r="AA188" i="11"/>
  <c r="AQ190" i="13"/>
  <c r="AR190" i="13"/>
  <c r="AP190" i="13"/>
  <c r="AO190" i="13"/>
  <c r="AH189" i="13"/>
  <c r="AG189" i="13"/>
  <c r="AE189" i="13"/>
  <c r="AF189" i="13"/>
  <c r="AL381" i="11" a="1"/>
  <c r="AL381" i="11" s="1"/>
  <c r="AQ381" i="11" a="1"/>
  <c r="AQ381" i="11" s="1"/>
  <c r="AV381" i="11" a="1"/>
  <c r="AV381" i="11" s="1"/>
  <c r="AG381" i="11" a="1"/>
  <c r="AG381" i="11" s="1"/>
  <c r="AB382" i="11"/>
  <c r="W383" i="11"/>
  <c r="X189" i="11" l="1" a="1"/>
  <c r="AE190" i="13" a="1"/>
  <c r="AO191" i="13" a="1"/>
  <c r="AQ382" i="11" a="1"/>
  <c r="AQ382" i="11" s="1"/>
  <c r="AV382" i="11" a="1"/>
  <c r="AV382" i="11" s="1"/>
  <c r="AL382" i="11" a="1"/>
  <c r="AL382" i="11" s="1"/>
  <c r="AG382" i="11" a="1"/>
  <c r="AG382" i="11" s="1"/>
  <c r="W384" i="11"/>
  <c r="AB383" i="11"/>
  <c r="AH190" i="13" l="1"/>
  <c r="AG190" i="13"/>
  <c r="AF190" i="13"/>
  <c r="AE190" i="13"/>
  <c r="AP191" i="13"/>
  <c r="AO191" i="13"/>
  <c r="AR191" i="13"/>
  <c r="AQ191" i="13"/>
  <c r="X189" i="11"/>
  <c r="Y189" i="11"/>
  <c r="Z189" i="11"/>
  <c r="AA189" i="11"/>
  <c r="AV383" i="11" a="1"/>
  <c r="AV383" i="11" s="1"/>
  <c r="AQ383" i="11" a="1"/>
  <c r="AQ383" i="11" s="1"/>
  <c r="AG383" i="11" a="1"/>
  <c r="AG383" i="11" s="1"/>
  <c r="AL383" i="11" a="1"/>
  <c r="AL383" i="11" s="1"/>
  <c r="AB384" i="11"/>
  <c r="W385" i="11"/>
  <c r="X190" i="11" l="1" a="1"/>
  <c r="X190" i="11" s="1"/>
  <c r="AO192" i="13" a="1"/>
  <c r="AE191" i="13" a="1"/>
  <c r="W386" i="11"/>
  <c r="AB385" i="11"/>
  <c r="AG384" i="11" a="1"/>
  <c r="AG384" i="11" s="1"/>
  <c r="AV384" i="11" a="1"/>
  <c r="AV384" i="11" s="1"/>
  <c r="AL384" i="11" a="1"/>
  <c r="AL384" i="11" s="1"/>
  <c r="AQ384" i="11" a="1"/>
  <c r="AQ384" i="11" s="1"/>
  <c r="Z190" i="11" l="1"/>
  <c r="AA190" i="11"/>
  <c r="Y190" i="11"/>
  <c r="AE191" i="13"/>
  <c r="AH191" i="13"/>
  <c r="AG191" i="13"/>
  <c r="AF191" i="13"/>
  <c r="AR192" i="13"/>
  <c r="AQ192" i="13"/>
  <c r="AP192" i="13"/>
  <c r="AO192" i="13"/>
  <c r="W387" i="11"/>
  <c r="AB386" i="11"/>
  <c r="AL385" i="11" a="1"/>
  <c r="AL385" i="11" s="1"/>
  <c r="AG385" i="11" a="1"/>
  <c r="AG385" i="11" s="1"/>
  <c r="AV385" i="11" a="1"/>
  <c r="AV385" i="11" s="1"/>
  <c r="AQ385" i="11" a="1"/>
  <c r="AQ385" i="11" s="1"/>
  <c r="AE192" i="13" l="1" a="1"/>
  <c r="AO193" i="13" a="1"/>
  <c r="X191" i="11" a="1"/>
  <c r="AQ386" i="11" a="1"/>
  <c r="AQ386" i="11" s="1"/>
  <c r="AV386" i="11" a="1"/>
  <c r="AV386" i="11" s="1"/>
  <c r="AL386" i="11" a="1"/>
  <c r="AL386" i="11" s="1"/>
  <c r="AG386" i="11" a="1"/>
  <c r="AG386" i="11" s="1"/>
  <c r="W388" i="11"/>
  <c r="AB387" i="11"/>
  <c r="X191" i="11" l="1"/>
  <c r="Z191" i="11"/>
  <c r="Y191" i="11"/>
  <c r="AA191" i="11"/>
  <c r="AP193" i="13"/>
  <c r="AQ193" i="13"/>
  <c r="AR193" i="13"/>
  <c r="AO193" i="13"/>
  <c r="AF192" i="13"/>
  <c r="AG192" i="13"/>
  <c r="AH192" i="13"/>
  <c r="AE192" i="13"/>
  <c r="AL387" i="11" a="1"/>
  <c r="AL387" i="11" s="1"/>
  <c r="AV387" i="11" a="1"/>
  <c r="AV387" i="11" s="1"/>
  <c r="AG387" i="11" a="1"/>
  <c r="AG387" i="11" s="1"/>
  <c r="AQ387" i="11" a="1"/>
  <c r="AQ387" i="11" s="1"/>
  <c r="AB388" i="11"/>
  <c r="W389" i="11"/>
  <c r="X192" i="11" l="1" a="1"/>
  <c r="Y192" i="11" s="1"/>
  <c r="AO194" i="13" a="1"/>
  <c r="AE193" i="13" a="1"/>
  <c r="AL388" i="11" a="1"/>
  <c r="AL388" i="11" s="1"/>
  <c r="AQ388" i="11" a="1"/>
  <c r="AQ388" i="11" s="1"/>
  <c r="AV388" i="11" a="1"/>
  <c r="AV388" i="11" s="1"/>
  <c r="AG388" i="11" a="1"/>
  <c r="AG388" i="11" s="1"/>
  <c r="W390" i="11"/>
  <c r="AB389" i="11"/>
  <c r="X192" i="11" l="1"/>
  <c r="Z192" i="11"/>
  <c r="AA192" i="11"/>
  <c r="AG193" i="13"/>
  <c r="AE193" i="13"/>
  <c r="AF193" i="13"/>
  <c r="AH193" i="13"/>
  <c r="AO194" i="13"/>
  <c r="AQ194" i="13"/>
  <c r="AR194" i="13"/>
  <c r="AP194" i="13"/>
  <c r="AQ389" i="11" a="1"/>
  <c r="AQ389" i="11" s="1"/>
  <c r="AV389" i="11" a="1"/>
  <c r="AV389" i="11" s="1"/>
  <c r="AG389" i="11" a="1"/>
  <c r="AG389" i="11" s="1"/>
  <c r="AL389" i="11" a="1"/>
  <c r="AL389" i="11" s="1"/>
  <c r="W391" i="11"/>
  <c r="AB390" i="11"/>
  <c r="AE194" i="13" l="1" a="1"/>
  <c r="AO195" i="13" a="1"/>
  <c r="X193" i="11" a="1"/>
  <c r="W392" i="11"/>
  <c r="AB391" i="11"/>
  <c r="AV390" i="11" a="1"/>
  <c r="AV390" i="11" s="1"/>
  <c r="AQ390" i="11" a="1"/>
  <c r="AQ390" i="11" s="1"/>
  <c r="AG390" i="11" a="1"/>
  <c r="AG390" i="11" s="1"/>
  <c r="AL390" i="11" a="1"/>
  <c r="AL390" i="11" s="1"/>
  <c r="AA193" i="11" l="1"/>
  <c r="X193" i="11"/>
  <c r="Y193" i="11"/>
  <c r="Z193" i="11"/>
  <c r="AQ195" i="13"/>
  <c r="AP195" i="13"/>
  <c r="AR195" i="13"/>
  <c r="AO195" i="13"/>
  <c r="AH194" i="13"/>
  <c r="AE194" i="13"/>
  <c r="AF194" i="13"/>
  <c r="AG194" i="13"/>
  <c r="AG391" i="11" a="1"/>
  <c r="AG391" i="11" s="1"/>
  <c r="AL391" i="11" a="1"/>
  <c r="AL391" i="11" s="1"/>
  <c r="AV391" i="11" a="1"/>
  <c r="AV391" i="11" s="1"/>
  <c r="AQ391" i="11" a="1"/>
  <c r="AQ391" i="11" s="1"/>
  <c r="AB392" i="11"/>
  <c r="W393" i="11"/>
  <c r="AE195" i="13" l="1" a="1"/>
  <c r="AO196" i="13" a="1"/>
  <c r="X194" i="11" a="1"/>
  <c r="W394" i="11"/>
  <c r="AB393" i="11"/>
  <c r="AQ392" i="11" a="1"/>
  <c r="AQ392" i="11" s="1"/>
  <c r="AV392" i="11" a="1"/>
  <c r="AV392" i="11" s="1"/>
  <c r="AG392" i="11" a="1"/>
  <c r="AG392" i="11" s="1"/>
  <c r="AL392" i="11" a="1"/>
  <c r="AL392" i="11" s="1"/>
  <c r="AA194" i="11" l="1"/>
  <c r="Y194" i="11"/>
  <c r="Z194" i="11"/>
  <c r="X194" i="11"/>
  <c r="AR196" i="13"/>
  <c r="AP196" i="13"/>
  <c r="AO196" i="13"/>
  <c r="AQ196" i="13"/>
  <c r="AH195" i="13"/>
  <c r="AG195" i="13"/>
  <c r="AF195" i="13"/>
  <c r="AE195" i="13"/>
  <c r="AV393" i="11" a="1"/>
  <c r="AV393" i="11" s="1"/>
  <c r="AL393" i="11" a="1"/>
  <c r="AL393" i="11" s="1"/>
  <c r="AQ393" i="11" a="1"/>
  <c r="AQ393" i="11" s="1"/>
  <c r="AG393" i="11" a="1"/>
  <c r="AG393" i="11" s="1"/>
  <c r="AB394" i="11"/>
  <c r="W395" i="11"/>
  <c r="X195" i="11" l="1" a="1"/>
  <c r="AA195" i="11" s="1"/>
  <c r="AO197" i="13" a="1"/>
  <c r="AE196" i="13" a="1"/>
  <c r="AB395" i="11"/>
  <c r="W396" i="11"/>
  <c r="AQ394" i="11" a="1"/>
  <c r="AQ394" i="11" s="1"/>
  <c r="AV394" i="11" a="1"/>
  <c r="AV394" i="11" s="1"/>
  <c r="AL394" i="11" a="1"/>
  <c r="AL394" i="11" s="1"/>
  <c r="AG394" i="11" a="1"/>
  <c r="AG394" i="11" s="1"/>
  <c r="Y195" i="11" l="1"/>
  <c r="X195" i="11"/>
  <c r="Z195" i="11"/>
  <c r="AG196" i="13"/>
  <c r="AF196" i="13"/>
  <c r="AH196" i="13"/>
  <c r="AE196" i="13"/>
  <c r="X196" i="11" s="1" a="1"/>
  <c r="AO197" i="13"/>
  <c r="AR197" i="13"/>
  <c r="AP197" i="13"/>
  <c r="AQ197" i="13"/>
  <c r="AB396" i="11"/>
  <c r="W397" i="11"/>
  <c r="AG395" i="11" a="1"/>
  <c r="AG395" i="11" s="1"/>
  <c r="AL395" i="11" a="1"/>
  <c r="AL395" i="11" s="1"/>
  <c r="AQ395" i="11" a="1"/>
  <c r="AQ395" i="11" s="1"/>
  <c r="AV395" i="11" a="1"/>
  <c r="AV395" i="11" s="1"/>
  <c r="AE197" i="13" l="1" a="1"/>
  <c r="AO198" i="13" a="1"/>
  <c r="AA196" i="11"/>
  <c r="X196" i="11"/>
  <c r="Z196" i="11"/>
  <c r="Y196" i="11"/>
  <c r="W398" i="11"/>
  <c r="AB397" i="11"/>
  <c r="AV396" i="11" a="1"/>
  <c r="AV396" i="11" s="1"/>
  <c r="AQ396" i="11" a="1"/>
  <c r="AQ396" i="11" s="1"/>
  <c r="AG396" i="11" a="1"/>
  <c r="AG396" i="11" s="1"/>
  <c r="AL396" i="11" a="1"/>
  <c r="AL396" i="11" s="1"/>
  <c r="AP198" i="13" l="1"/>
  <c r="AQ198" i="13"/>
  <c r="AR198" i="13"/>
  <c r="AO198" i="13"/>
  <c r="AG197" i="13"/>
  <c r="AE197" i="13"/>
  <c r="AH197" i="13"/>
  <c r="AF197" i="13"/>
  <c r="AQ397" i="11" a="1"/>
  <c r="AQ397" i="11" s="1"/>
  <c r="AG397" i="11" a="1"/>
  <c r="AG397" i="11" s="1"/>
  <c r="AL397" i="11" a="1"/>
  <c r="AL397" i="11" s="1"/>
  <c r="AV397" i="11" a="1"/>
  <c r="AV397" i="11" s="1"/>
  <c r="AB398" i="11"/>
  <c r="W399" i="11"/>
  <c r="X197" i="11" l="1" a="1"/>
  <c r="AO199" i="13" a="1"/>
  <c r="AE198" i="13" a="1"/>
  <c r="W400" i="11"/>
  <c r="AB399" i="11"/>
  <c r="AL398" i="11" a="1"/>
  <c r="AL398" i="11" s="1"/>
  <c r="AQ398" i="11" a="1"/>
  <c r="AQ398" i="11" s="1"/>
  <c r="AV398" i="11" a="1"/>
  <c r="AV398" i="11" s="1"/>
  <c r="AG398" i="11" a="1"/>
  <c r="AG398" i="11" s="1"/>
  <c r="AR199" i="13" l="1"/>
  <c r="AO199" i="13"/>
  <c r="AP199" i="13"/>
  <c r="AQ199" i="13"/>
  <c r="AH198" i="13"/>
  <c r="AF198" i="13"/>
  <c r="AG198" i="13"/>
  <c r="AE198" i="13"/>
  <c r="X198" i="11" s="1" a="1"/>
  <c r="Z197" i="11"/>
  <c r="X197" i="11"/>
  <c r="Y197" i="11"/>
  <c r="AA197" i="11"/>
  <c r="AV399" i="11" a="1"/>
  <c r="AV399" i="11" s="1"/>
  <c r="AQ399" i="11" a="1"/>
  <c r="AQ399" i="11" s="1"/>
  <c r="AG399" i="11" a="1"/>
  <c r="AG399" i="11" s="1"/>
  <c r="AL399" i="11" a="1"/>
  <c r="AL399" i="11" s="1"/>
  <c r="W401" i="11"/>
  <c r="AB400" i="11"/>
  <c r="Z198" i="11" l="1"/>
  <c r="AA198" i="11"/>
  <c r="Y198" i="11"/>
  <c r="X198" i="11"/>
  <c r="AO200" i="13" a="1"/>
  <c r="AE199" i="13" a="1"/>
  <c r="AB401" i="11"/>
  <c r="W402" i="11"/>
  <c r="AL400" i="11" a="1"/>
  <c r="AL400" i="11" s="1"/>
  <c r="AV400" i="11" a="1"/>
  <c r="AV400" i="11" s="1"/>
  <c r="AG400" i="11" a="1"/>
  <c r="AG400" i="11" s="1"/>
  <c r="AQ400" i="11" a="1"/>
  <c r="AQ400" i="11" s="1"/>
  <c r="AR200" i="13" l="1"/>
  <c r="AP200" i="13"/>
  <c r="AQ200" i="13"/>
  <c r="AO200" i="13"/>
  <c r="AG199" i="13"/>
  <c r="AH199" i="13"/>
  <c r="AE199" i="13"/>
  <c r="AF199" i="13"/>
  <c r="AQ401" i="11" a="1"/>
  <c r="AQ401" i="11" s="1"/>
  <c r="AL401" i="11" a="1"/>
  <c r="AL401" i="11" s="1"/>
  <c r="AV401" i="11" a="1"/>
  <c r="AV401" i="11" s="1"/>
  <c r="AG401" i="11" a="1"/>
  <c r="AG401" i="11" s="1"/>
  <c r="AB402" i="11"/>
  <c r="W403" i="11"/>
  <c r="X199" i="11" l="1" a="1"/>
  <c r="AE200" i="13" a="1"/>
  <c r="AO201" i="13" a="1"/>
  <c r="W404" i="11"/>
  <c r="AB403" i="11"/>
  <c r="AQ402" i="11" a="1"/>
  <c r="AQ402" i="11" s="1"/>
  <c r="AV402" i="11" a="1"/>
  <c r="AV402" i="11" s="1"/>
  <c r="AG402" i="11" a="1"/>
  <c r="AG402" i="11" s="1"/>
  <c r="AL402" i="11" a="1"/>
  <c r="AL402" i="11" s="1"/>
  <c r="AG200" i="13" l="1"/>
  <c r="AE200" i="13"/>
  <c r="AH200" i="13"/>
  <c r="AF200" i="13"/>
  <c r="AR201" i="13"/>
  <c r="AP201" i="13"/>
  <c r="AQ201" i="13"/>
  <c r="AO201" i="13"/>
  <c r="Y199" i="11"/>
  <c r="Z199" i="11"/>
  <c r="X199" i="11"/>
  <c r="AA199" i="11"/>
  <c r="AQ403" i="11" a="1"/>
  <c r="AQ403" i="11" s="1"/>
  <c r="AL403" i="11" a="1"/>
  <c r="AL403" i="11" s="1"/>
  <c r="AV403" i="11" a="1"/>
  <c r="AV403" i="11" s="1"/>
  <c r="AG403" i="11" a="1"/>
  <c r="AG403" i="11" s="1"/>
  <c r="AB404" i="11"/>
  <c r="W405" i="11"/>
  <c r="AE201" i="13" l="1" a="1"/>
  <c r="AO202" i="13" a="1"/>
  <c r="X200" i="11" a="1"/>
  <c r="AB405" i="11"/>
  <c r="W406" i="11"/>
  <c r="AQ404" i="11" a="1"/>
  <c r="AQ404" i="11" s="1"/>
  <c r="AG404" i="11" a="1"/>
  <c r="AG404" i="11" s="1"/>
  <c r="AV404" i="11" a="1"/>
  <c r="AV404" i="11" s="1"/>
  <c r="AL404" i="11" a="1"/>
  <c r="AL404" i="11" s="1"/>
  <c r="AO202" i="13" l="1"/>
  <c r="AR202" i="13"/>
  <c r="AP202" i="13"/>
  <c r="AQ202" i="13"/>
  <c r="Z200" i="11"/>
  <c r="X200" i="11"/>
  <c r="AA200" i="11"/>
  <c r="Y200" i="11"/>
  <c r="AH201" i="13"/>
  <c r="AF201" i="13"/>
  <c r="AE201" i="13"/>
  <c r="AG201" i="13"/>
  <c r="AB406" i="11"/>
  <c r="W407" i="11"/>
  <c r="AL405" i="11" a="1"/>
  <c r="AL405" i="11" s="1"/>
  <c r="AQ405" i="11" a="1"/>
  <c r="AQ405" i="11" s="1"/>
  <c r="AV405" i="11" a="1"/>
  <c r="AV405" i="11" s="1"/>
  <c r="AG405" i="11" a="1"/>
  <c r="AG405" i="11" s="1"/>
  <c r="X201" i="11" l="1" a="1"/>
  <c r="Y201" i="11" s="1"/>
  <c r="AO203" i="13" a="1"/>
  <c r="AE202" i="13" a="1"/>
  <c r="W408" i="11"/>
  <c r="AB407" i="11"/>
  <c r="AG406" i="11" a="1"/>
  <c r="AG406" i="11" s="1"/>
  <c r="AV406" i="11" a="1"/>
  <c r="AV406" i="11" s="1"/>
  <c r="AL406" i="11" a="1"/>
  <c r="AL406" i="11" s="1"/>
  <c r="AQ406" i="11" a="1"/>
  <c r="AQ406" i="11" s="1"/>
  <c r="Z201" i="11" l="1"/>
  <c r="X201" i="11"/>
  <c r="AA201" i="11"/>
  <c r="AG202" i="13"/>
  <c r="AE202" i="13"/>
  <c r="AF202" i="13"/>
  <c r="AH202" i="13"/>
  <c r="AR203" i="13"/>
  <c r="AO203" i="13"/>
  <c r="AP203" i="13"/>
  <c r="AQ203" i="13"/>
  <c r="AG407" i="11" a="1"/>
  <c r="AG407" i="11" s="1"/>
  <c r="AV407" i="11" a="1"/>
  <c r="AV407" i="11" s="1"/>
  <c r="AQ407" i="11" a="1"/>
  <c r="AQ407" i="11" s="1"/>
  <c r="AL407" i="11" a="1"/>
  <c r="AL407" i="11" s="1"/>
  <c r="AB408" i="11"/>
  <c r="W409" i="11"/>
  <c r="X202" i="11" l="1" a="1"/>
  <c r="AE203" i="13" a="1"/>
  <c r="AO204" i="13" a="1"/>
  <c r="AG408" i="11" a="1"/>
  <c r="AG408" i="11" s="1"/>
  <c r="AL408" i="11" a="1"/>
  <c r="AL408" i="11" s="1"/>
  <c r="AV408" i="11" a="1"/>
  <c r="AV408" i="11" s="1"/>
  <c r="AQ408" i="11" a="1"/>
  <c r="AQ408" i="11" s="1"/>
  <c r="W410" i="11"/>
  <c r="AB409" i="11"/>
  <c r="AQ204" i="13" l="1"/>
  <c r="AP204" i="13"/>
  <c r="AO204" i="13"/>
  <c r="AR204" i="13"/>
  <c r="AE203" i="13"/>
  <c r="AG203" i="13"/>
  <c r="AH203" i="13"/>
  <c r="AF203" i="13"/>
  <c r="X202" i="11"/>
  <c r="Z202" i="11"/>
  <c r="Y202" i="11"/>
  <c r="AA202" i="11"/>
  <c r="AQ409" i="11" a="1"/>
  <c r="AQ409" i="11" s="1"/>
  <c r="AG409" i="11" a="1"/>
  <c r="AG409" i="11" s="1"/>
  <c r="AV409" i="11" a="1"/>
  <c r="AV409" i="11" s="1"/>
  <c r="AL409" i="11" a="1"/>
  <c r="AL409" i="11" s="1"/>
  <c r="W411" i="11"/>
  <c r="AB410" i="11"/>
  <c r="AO205" i="13" l="1" a="1"/>
  <c r="AE204" i="13" a="1"/>
  <c r="X203" i="11" a="1"/>
  <c r="W412" i="11"/>
  <c r="AB411" i="11"/>
  <c r="AQ410" i="11" a="1"/>
  <c r="AQ410" i="11" s="1"/>
  <c r="AG410" i="11" a="1"/>
  <c r="AG410" i="11" s="1"/>
  <c r="AL410" i="11" a="1"/>
  <c r="AL410" i="11" s="1"/>
  <c r="AV410" i="11" a="1"/>
  <c r="AV410" i="11" s="1"/>
  <c r="X203" i="11" l="1"/>
  <c r="Z203" i="11"/>
  <c r="AA203" i="11"/>
  <c r="Y203" i="11"/>
  <c r="AF204" i="13"/>
  <c r="AH204" i="13"/>
  <c r="AE204" i="13"/>
  <c r="AG204" i="13"/>
  <c r="AR205" i="13"/>
  <c r="AP205" i="13"/>
  <c r="AO205" i="13"/>
  <c r="AQ205" i="13"/>
  <c r="AG411" i="11" a="1"/>
  <c r="AG411" i="11" s="1"/>
  <c r="AL411" i="11" a="1"/>
  <c r="AL411" i="11" s="1"/>
  <c r="AV411" i="11" a="1"/>
  <c r="AV411" i="11" s="1"/>
  <c r="AQ411" i="11" a="1"/>
  <c r="AQ411" i="11" s="1"/>
  <c r="W413" i="11"/>
  <c r="AB412" i="11"/>
  <c r="X204" i="11" l="1" a="1"/>
  <c r="AO206" i="13" a="1"/>
  <c r="AE205" i="13" a="1"/>
  <c r="AG412" i="11" a="1"/>
  <c r="AG412" i="11" s="1"/>
  <c r="AL412" i="11" a="1"/>
  <c r="AL412" i="11" s="1"/>
  <c r="AQ412" i="11" a="1"/>
  <c r="AQ412" i="11" s="1"/>
  <c r="AV412" i="11" a="1"/>
  <c r="AV412" i="11" s="1"/>
  <c r="W414" i="11"/>
  <c r="AB413" i="11"/>
  <c r="AP206" i="13" l="1"/>
  <c r="AO206" i="13"/>
  <c r="AQ206" i="13"/>
  <c r="AR206" i="13"/>
  <c r="AH205" i="13"/>
  <c r="AE205" i="13"/>
  <c r="AG205" i="13"/>
  <c r="AF205" i="13"/>
  <c r="Z204" i="11"/>
  <c r="AA204" i="11"/>
  <c r="X204" i="11"/>
  <c r="Y204" i="11"/>
  <c r="AG413" i="11" a="1"/>
  <c r="AG413" i="11" s="1"/>
  <c r="AV413" i="11" a="1"/>
  <c r="AV413" i="11" s="1"/>
  <c r="AQ413" i="11" a="1"/>
  <c r="AQ413" i="11" s="1"/>
  <c r="AL413" i="11" a="1"/>
  <c r="AL413" i="11" s="1"/>
  <c r="W415" i="11"/>
  <c r="AB414" i="11"/>
  <c r="X205" i="11" l="1" a="1"/>
  <c r="AE206" i="13" a="1"/>
  <c r="AO207" i="13" a="1"/>
  <c r="AB415" i="11"/>
  <c r="W416" i="11"/>
  <c r="AL414" i="11" a="1"/>
  <c r="AL414" i="11" s="1"/>
  <c r="AQ414" i="11" a="1"/>
  <c r="AQ414" i="11" s="1"/>
  <c r="AV414" i="11" a="1"/>
  <c r="AV414" i="11" s="1"/>
  <c r="AG414" i="11" a="1"/>
  <c r="AG414" i="11" s="1"/>
  <c r="AE206" i="13" l="1"/>
  <c r="AG206" i="13"/>
  <c r="AF206" i="13"/>
  <c r="AH206" i="13"/>
  <c r="AR207" i="13"/>
  <c r="AP207" i="13"/>
  <c r="AO207" i="13"/>
  <c r="AQ207" i="13"/>
  <c r="Z205" i="11"/>
  <c r="Y205" i="11"/>
  <c r="AA205" i="11"/>
  <c r="X205" i="11"/>
  <c r="AB416" i="11"/>
  <c r="W417" i="11"/>
  <c r="AG415" i="11" a="1"/>
  <c r="AG415" i="11" s="1"/>
  <c r="AL415" i="11" a="1"/>
  <c r="AL415" i="11" s="1"/>
  <c r="AQ415" i="11" a="1"/>
  <c r="AQ415" i="11" s="1"/>
  <c r="AV415" i="11" a="1"/>
  <c r="AV415" i="11" s="1"/>
  <c r="AE207" i="13" l="1" a="1"/>
  <c r="AO208" i="13" a="1"/>
  <c r="X206" i="11" a="1"/>
  <c r="W418" i="11"/>
  <c r="AB417" i="11"/>
  <c r="AG416" i="11" a="1"/>
  <c r="AG416" i="11" s="1"/>
  <c r="AL416" i="11" a="1"/>
  <c r="AL416" i="11" s="1"/>
  <c r="AQ416" i="11" a="1"/>
  <c r="AQ416" i="11" s="1"/>
  <c r="AV416" i="11" a="1"/>
  <c r="AV416" i="11" s="1"/>
  <c r="Z206" i="11" l="1"/>
  <c r="Y206" i="11"/>
  <c r="AA206" i="11"/>
  <c r="X206" i="11"/>
  <c r="AR208" i="13"/>
  <c r="AP208" i="13"/>
  <c r="AQ208" i="13"/>
  <c r="AO208" i="13"/>
  <c r="AE207" i="13"/>
  <c r="AF207" i="13"/>
  <c r="AH207" i="13"/>
  <c r="AG207" i="13"/>
  <c r="AL417" i="11" a="1"/>
  <c r="AL417" i="11" s="1"/>
  <c r="AG417" i="11" a="1"/>
  <c r="AG417" i="11" s="1"/>
  <c r="AQ417" i="11" a="1"/>
  <c r="AQ417" i="11" s="1"/>
  <c r="AV417" i="11" a="1"/>
  <c r="AV417" i="11" s="1"/>
  <c r="AB418" i="11"/>
  <c r="W419" i="11"/>
  <c r="AO209" i="13" l="1" a="1"/>
  <c r="AE208" i="13" a="1"/>
  <c r="X207" i="11" a="1"/>
  <c r="AV418" i="11" a="1"/>
  <c r="AV418" i="11" s="1"/>
  <c r="AQ418" i="11" a="1"/>
  <c r="AQ418" i="11" s="1"/>
  <c r="AL418" i="11" a="1"/>
  <c r="AL418" i="11" s="1"/>
  <c r="AG418" i="11" a="1"/>
  <c r="AG418" i="11" s="1"/>
  <c r="W420" i="11"/>
  <c r="AB419" i="11"/>
  <c r="AF208" i="13" l="1"/>
  <c r="AG208" i="13"/>
  <c r="AE208" i="13"/>
  <c r="AH208" i="13"/>
  <c r="Y207" i="11"/>
  <c r="Z207" i="11"/>
  <c r="AA207" i="11"/>
  <c r="X207" i="11"/>
  <c r="AP209" i="13"/>
  <c r="AR209" i="13"/>
  <c r="AQ209" i="13"/>
  <c r="AO209" i="13"/>
  <c r="AL419" i="11" a="1"/>
  <c r="AL419" i="11" s="1"/>
  <c r="AQ419" i="11" a="1"/>
  <c r="AQ419" i="11" s="1"/>
  <c r="AG419" i="11" a="1"/>
  <c r="AG419" i="11" s="1"/>
  <c r="AV419" i="11" a="1"/>
  <c r="AV419" i="11" s="1"/>
  <c r="AB420" i="11"/>
  <c r="W421" i="11"/>
  <c r="X208" i="11" l="1" a="1"/>
  <c r="AE209" i="13" a="1"/>
  <c r="AO210" i="13" a="1"/>
  <c r="X208" i="11"/>
  <c r="Y208" i="11"/>
  <c r="Z208" i="11"/>
  <c r="AA208" i="11"/>
  <c r="AL420" i="11" a="1"/>
  <c r="AL420" i="11" s="1"/>
  <c r="AQ420" i="11" a="1"/>
  <c r="AQ420" i="11" s="1"/>
  <c r="AV420" i="11" a="1"/>
  <c r="AV420" i="11" s="1"/>
  <c r="AG420" i="11" a="1"/>
  <c r="AG420" i="11" s="1"/>
  <c r="AB421" i="11"/>
  <c r="W422" i="11"/>
  <c r="AR210" i="13" l="1"/>
  <c r="AP210" i="13"/>
  <c r="AQ210" i="13"/>
  <c r="AO210" i="13"/>
  <c r="AH209" i="13"/>
  <c r="AE209" i="13"/>
  <c r="AG209" i="13"/>
  <c r="AF209" i="13"/>
  <c r="AB422" i="11"/>
  <c r="W423" i="11"/>
  <c r="AQ421" i="11" a="1"/>
  <c r="AQ421" i="11" s="1"/>
  <c r="AL421" i="11" a="1"/>
  <c r="AL421" i="11" s="1"/>
  <c r="AV421" i="11" a="1"/>
  <c r="AV421" i="11" s="1"/>
  <c r="AG421" i="11" a="1"/>
  <c r="AG421" i="11" s="1"/>
  <c r="X209" i="11" l="1" a="1"/>
  <c r="AO211" i="13" a="1"/>
  <c r="AE210" i="13" a="1"/>
  <c r="AB423" i="11"/>
  <c r="W424" i="11"/>
  <c r="AV422" i="11" a="1"/>
  <c r="AV422" i="11" s="1"/>
  <c r="AQ422" i="11" a="1"/>
  <c r="AQ422" i="11" s="1"/>
  <c r="AL422" i="11" a="1"/>
  <c r="AL422" i="11" s="1"/>
  <c r="AG422" i="11" a="1"/>
  <c r="AG422" i="11" s="1"/>
  <c r="AP211" i="13" l="1"/>
  <c r="AR211" i="13"/>
  <c r="AQ211" i="13"/>
  <c r="AO211" i="13"/>
  <c r="AH210" i="13"/>
  <c r="AG210" i="13"/>
  <c r="AF210" i="13"/>
  <c r="AE210" i="13"/>
  <c r="X210" i="11" s="1" a="1"/>
  <c r="Z209" i="11"/>
  <c r="X209" i="11"/>
  <c r="Y209" i="11"/>
  <c r="AA209" i="11"/>
  <c r="W425" i="11"/>
  <c r="AB424" i="11"/>
  <c r="AL423" i="11" a="1"/>
  <c r="AL423" i="11" s="1"/>
  <c r="AQ423" i="11" a="1"/>
  <c r="AQ423" i="11" s="1"/>
  <c r="AV423" i="11" a="1"/>
  <c r="AV423" i="11" s="1"/>
  <c r="AG423" i="11" a="1"/>
  <c r="AG423" i="11" s="1"/>
  <c r="AE211" i="13" l="1" a="1"/>
  <c r="AO212" i="13" a="1"/>
  <c r="AA210" i="11"/>
  <c r="X210" i="11"/>
  <c r="Z210" i="11"/>
  <c r="Y210" i="11"/>
  <c r="AV424" i="11" a="1"/>
  <c r="AV424" i="11" s="1"/>
  <c r="AG424" i="11" a="1"/>
  <c r="AG424" i="11" s="1"/>
  <c r="AQ424" i="11" a="1"/>
  <c r="AQ424" i="11" s="1"/>
  <c r="AL424" i="11" a="1"/>
  <c r="AL424" i="11" s="1"/>
  <c r="W426" i="11"/>
  <c r="AB425" i="11"/>
  <c r="AH211" i="13" l="1"/>
  <c r="AE211" i="13"/>
  <c r="AF211" i="13"/>
  <c r="AG211" i="13"/>
  <c r="AP212" i="13"/>
  <c r="AR212" i="13"/>
  <c r="AQ212" i="13"/>
  <c r="AO212" i="13"/>
  <c r="AV425" i="11" a="1"/>
  <c r="AV425" i="11" s="1"/>
  <c r="AG425" i="11" a="1"/>
  <c r="AG425" i="11" s="1"/>
  <c r="AQ425" i="11" a="1"/>
  <c r="AQ425" i="11" s="1"/>
  <c r="AL425" i="11" a="1"/>
  <c r="AL425" i="11" s="1"/>
  <c r="AB426" i="11"/>
  <c r="W427" i="11"/>
  <c r="X211" i="11" l="1" a="1"/>
  <c r="AE212" i="13" a="1"/>
  <c r="AO213" i="13" a="1"/>
  <c r="X211" i="11"/>
  <c r="AA211" i="11"/>
  <c r="Y211" i="11"/>
  <c r="Z211" i="11"/>
  <c r="W428" i="11"/>
  <c r="AB427" i="11"/>
  <c r="AG426" i="11" a="1"/>
  <c r="AG426" i="11" s="1"/>
  <c r="AL426" i="11" a="1"/>
  <c r="AL426" i="11" s="1"/>
  <c r="AV426" i="11" a="1"/>
  <c r="AV426" i="11" s="1"/>
  <c r="AQ426" i="11" a="1"/>
  <c r="AQ426" i="11" s="1"/>
  <c r="AP213" i="13" l="1"/>
  <c r="AR213" i="13"/>
  <c r="AQ213" i="13"/>
  <c r="AO213" i="13"/>
  <c r="AH212" i="13"/>
  <c r="AF212" i="13"/>
  <c r="AG212" i="13"/>
  <c r="AE212" i="13"/>
  <c r="X212" i="11" s="1" a="1"/>
  <c r="AQ427" i="11" a="1"/>
  <c r="AQ427" i="11" s="1"/>
  <c r="AV427" i="11" a="1"/>
  <c r="AV427" i="11" s="1"/>
  <c r="AG427" i="11" a="1"/>
  <c r="AG427" i="11" s="1"/>
  <c r="AL427" i="11" a="1"/>
  <c r="AL427" i="11" s="1"/>
  <c r="AB428" i="11"/>
  <c r="W429" i="11"/>
  <c r="AO214" i="13" l="1" a="1"/>
  <c r="AE213" i="13" a="1"/>
  <c r="Z212" i="11"/>
  <c r="Y212" i="11"/>
  <c r="AA212" i="11"/>
  <c r="X212" i="11"/>
  <c r="AB429" i="11"/>
  <c r="W430" i="11"/>
  <c r="AV428" i="11" a="1"/>
  <c r="AV428" i="11" s="1"/>
  <c r="AG428" i="11" a="1"/>
  <c r="AG428" i="11" s="1"/>
  <c r="AQ428" i="11" a="1"/>
  <c r="AQ428" i="11" s="1"/>
  <c r="AL428" i="11" a="1"/>
  <c r="AL428" i="11" s="1"/>
  <c r="AG213" i="13" l="1"/>
  <c r="AF213" i="13"/>
  <c r="AE213" i="13"/>
  <c r="AH213" i="13"/>
  <c r="AP214" i="13"/>
  <c r="AQ214" i="13"/>
  <c r="AR214" i="13"/>
  <c r="AO214" i="13"/>
  <c r="AL429" i="11" a="1"/>
  <c r="AL429" i="11" s="1"/>
  <c r="AQ429" i="11" a="1"/>
  <c r="AQ429" i="11" s="1"/>
  <c r="AG429" i="11" a="1"/>
  <c r="AG429" i="11" s="1"/>
  <c r="AV429" i="11" a="1"/>
  <c r="AV429" i="11" s="1"/>
  <c r="AB430" i="11"/>
  <c r="W431" i="11"/>
  <c r="AE214" i="13" l="1" a="1"/>
  <c r="AO215" i="13" a="1"/>
  <c r="X213" i="11" a="1"/>
  <c r="W432" i="11"/>
  <c r="AB431" i="11"/>
  <c r="AL430" i="11" a="1"/>
  <c r="AL430" i="11" s="1"/>
  <c r="AQ430" i="11" a="1"/>
  <c r="AQ430" i="11" s="1"/>
  <c r="AG430" i="11" a="1"/>
  <c r="AG430" i="11" s="1"/>
  <c r="AV430" i="11" a="1"/>
  <c r="AV430" i="11" s="1"/>
  <c r="AH214" i="13" l="1"/>
  <c r="AF214" i="13"/>
  <c r="AE214" i="13"/>
  <c r="AG214" i="13"/>
  <c r="Y213" i="11"/>
  <c r="Z213" i="11"/>
  <c r="AA213" i="11"/>
  <c r="X213" i="11"/>
  <c r="AP215" i="13"/>
  <c r="AR215" i="13"/>
  <c r="AO215" i="13"/>
  <c r="AQ215" i="13"/>
  <c r="AV431" i="11" a="1"/>
  <c r="AV431" i="11" s="1"/>
  <c r="AQ431" i="11" a="1"/>
  <c r="AQ431" i="11" s="1"/>
  <c r="AG431" i="11" a="1"/>
  <c r="AG431" i="11" s="1"/>
  <c r="AL431" i="11" a="1"/>
  <c r="AL431" i="11" s="1"/>
  <c r="W433" i="11"/>
  <c r="AB432" i="11"/>
  <c r="AE215" i="13" l="1" a="1"/>
  <c r="AO216" i="13" a="1"/>
  <c r="X214" i="11" a="1"/>
  <c r="AV432" i="11" a="1"/>
  <c r="AV432" i="11" s="1"/>
  <c r="AL432" i="11" a="1"/>
  <c r="AL432" i="11" s="1"/>
  <c r="AG432" i="11" a="1"/>
  <c r="AG432" i="11" s="1"/>
  <c r="AQ432" i="11" a="1"/>
  <c r="AQ432" i="11" s="1"/>
  <c r="W434" i="11"/>
  <c r="AB433" i="11"/>
  <c r="Y214" i="11" l="1"/>
  <c r="X214" i="11"/>
  <c r="Z214" i="11"/>
  <c r="AA214" i="11"/>
  <c r="AP216" i="13"/>
  <c r="AO216" i="13"/>
  <c r="AR216" i="13"/>
  <c r="AQ216" i="13"/>
  <c r="AH215" i="13"/>
  <c r="AF215" i="13"/>
  <c r="AE215" i="13"/>
  <c r="AG215" i="13"/>
  <c r="AL433" i="11" a="1"/>
  <c r="AL433" i="11" s="1"/>
  <c r="AV433" i="11" a="1"/>
  <c r="AV433" i="11" s="1"/>
  <c r="AG433" i="11" a="1"/>
  <c r="AG433" i="11" s="1"/>
  <c r="AQ433" i="11" a="1"/>
  <c r="AQ433" i="11" s="1"/>
  <c r="AB434" i="11"/>
  <c r="W435" i="11"/>
  <c r="AE216" i="13" l="1" a="1"/>
  <c r="AO217" i="13" a="1"/>
  <c r="X215" i="11" a="1"/>
  <c r="W436" i="11"/>
  <c r="AB435" i="11"/>
  <c r="AQ434" i="11" a="1"/>
  <c r="AQ434" i="11" s="1"/>
  <c r="AV434" i="11" a="1"/>
  <c r="AV434" i="11" s="1"/>
  <c r="AL434" i="11" a="1"/>
  <c r="AL434" i="11" s="1"/>
  <c r="AG434" i="11" a="1"/>
  <c r="AG434" i="11" s="1"/>
  <c r="Z215" i="11" l="1"/>
  <c r="AA215" i="11"/>
  <c r="X215" i="11"/>
  <c r="Y215" i="11"/>
  <c r="AR217" i="13"/>
  <c r="AP217" i="13"/>
  <c r="AO217" i="13"/>
  <c r="AQ217" i="13"/>
  <c r="AG216" i="13"/>
  <c r="AH216" i="13"/>
  <c r="AF216" i="13"/>
  <c r="AE216" i="13"/>
  <c r="AB436" i="11"/>
  <c r="W437" i="11"/>
  <c r="AQ435" i="11" a="1"/>
  <c r="AQ435" i="11" s="1"/>
  <c r="AV435" i="11" a="1"/>
  <c r="AV435" i="11" s="1"/>
  <c r="AG435" i="11" a="1"/>
  <c r="AG435" i="11" s="1"/>
  <c r="AL435" i="11" a="1"/>
  <c r="AL435" i="11" s="1"/>
  <c r="X216" i="11" l="1" a="1"/>
  <c r="Y216" i="11" s="1"/>
  <c r="AO218" i="13" a="1"/>
  <c r="AE217" i="13" a="1"/>
  <c r="AB437" i="11"/>
  <c r="W438" i="11"/>
  <c r="AL436" i="11" a="1"/>
  <c r="AL436" i="11" s="1"/>
  <c r="AQ436" i="11" a="1"/>
  <c r="AQ436" i="11" s="1"/>
  <c r="AG436" i="11" a="1"/>
  <c r="AG436" i="11" s="1"/>
  <c r="AV436" i="11" a="1"/>
  <c r="AV436" i="11" s="1"/>
  <c r="X216" i="11" l="1"/>
  <c r="AA216" i="11"/>
  <c r="Z216" i="11"/>
  <c r="AO218" i="13"/>
  <c r="AR218" i="13"/>
  <c r="AQ218" i="13"/>
  <c r="AP218" i="13"/>
  <c r="AH217" i="13"/>
  <c r="AG217" i="13"/>
  <c r="AE217" i="13"/>
  <c r="AF217" i="13"/>
  <c r="W439" i="11"/>
  <c r="AB438" i="11"/>
  <c r="AQ437" i="11" a="1"/>
  <c r="AQ437" i="11" s="1"/>
  <c r="AL437" i="11" a="1"/>
  <c r="AL437" i="11" s="1"/>
  <c r="AG437" i="11" a="1"/>
  <c r="AG437" i="11" s="1"/>
  <c r="AV437" i="11" a="1"/>
  <c r="AV437" i="11" s="1"/>
  <c r="X217" i="11" l="1" a="1"/>
  <c r="AE218" i="13" a="1"/>
  <c r="AO219" i="13" a="1"/>
  <c r="AV438" i="11" a="1"/>
  <c r="AV438" i="11" s="1"/>
  <c r="AG438" i="11" a="1"/>
  <c r="AG438" i="11" s="1"/>
  <c r="AQ438" i="11" a="1"/>
  <c r="AQ438" i="11" s="1"/>
  <c r="AL438" i="11" a="1"/>
  <c r="AL438" i="11" s="1"/>
  <c r="W440" i="11"/>
  <c r="AB439" i="11"/>
  <c r="AR219" i="13" l="1"/>
  <c r="AQ219" i="13"/>
  <c r="AP219" i="13"/>
  <c r="AO219" i="13"/>
  <c r="AH218" i="13"/>
  <c r="AE218" i="13"/>
  <c r="AF218" i="13"/>
  <c r="AG218" i="13"/>
  <c r="Z217" i="11"/>
  <c r="Y217" i="11"/>
  <c r="X217" i="11"/>
  <c r="AA217" i="11"/>
  <c r="AG439" i="11" a="1"/>
  <c r="AG439" i="11" s="1"/>
  <c r="AQ439" i="11" a="1"/>
  <c r="AQ439" i="11" s="1"/>
  <c r="AL439" i="11" a="1"/>
  <c r="AL439" i="11" s="1"/>
  <c r="AV439" i="11" a="1"/>
  <c r="AV439" i="11" s="1"/>
  <c r="W441" i="11"/>
  <c r="AB440" i="11"/>
  <c r="X218" i="11" l="1" a="1"/>
  <c r="AE219" i="13" a="1"/>
  <c r="AO220" i="13" a="1"/>
  <c r="AV440" i="11" a="1"/>
  <c r="AV440" i="11" s="1"/>
  <c r="AQ440" i="11" a="1"/>
  <c r="AQ440" i="11" s="1"/>
  <c r="AG440" i="11" a="1"/>
  <c r="AG440" i="11" s="1"/>
  <c r="AL440" i="11" a="1"/>
  <c r="AL440" i="11" s="1"/>
  <c r="W442" i="11"/>
  <c r="AB441" i="11"/>
  <c r="AE219" i="13" l="1"/>
  <c r="AH219" i="13"/>
  <c r="AG219" i="13"/>
  <c r="AF219" i="13"/>
  <c r="AP220" i="13"/>
  <c r="AQ220" i="13"/>
  <c r="AO220" i="13"/>
  <c r="AR220" i="13"/>
  <c r="AA218" i="11"/>
  <c r="X218" i="11"/>
  <c r="Y218" i="11"/>
  <c r="Z218" i="11"/>
  <c r="AL441" i="11" a="1"/>
  <c r="AL441" i="11" s="1"/>
  <c r="AQ441" i="11" a="1"/>
  <c r="AQ441" i="11" s="1"/>
  <c r="AV441" i="11" a="1"/>
  <c r="AV441" i="11" s="1"/>
  <c r="AG441" i="11" a="1"/>
  <c r="AG441" i="11" s="1"/>
  <c r="W443" i="11"/>
  <c r="AB442" i="11"/>
  <c r="AE220" i="13" l="1" a="1"/>
  <c r="AO221" i="13" a="1"/>
  <c r="X219" i="11" a="1"/>
  <c r="AV442" i="11" a="1"/>
  <c r="AV442" i="11" s="1"/>
  <c r="AG442" i="11" a="1"/>
  <c r="AG442" i="11" s="1"/>
  <c r="AQ442" i="11" a="1"/>
  <c r="AQ442" i="11" s="1"/>
  <c r="AL442" i="11" a="1"/>
  <c r="AL442" i="11" s="1"/>
  <c r="W444" i="11"/>
  <c r="AB443" i="11"/>
  <c r="Y219" i="11" l="1"/>
  <c r="X219" i="11"/>
  <c r="AA219" i="11"/>
  <c r="Z219" i="11"/>
  <c r="AP221" i="13"/>
  <c r="AQ221" i="13"/>
  <c r="AR221" i="13"/>
  <c r="AO221" i="13"/>
  <c r="AH220" i="13"/>
  <c r="AG220" i="13"/>
  <c r="AF220" i="13"/>
  <c r="AE220" i="13"/>
  <c r="W445" i="11"/>
  <c r="AB444" i="11"/>
  <c r="AG443" i="11" a="1"/>
  <c r="AG443" i="11" s="1"/>
  <c r="AL443" i="11" a="1"/>
  <c r="AL443" i="11" s="1"/>
  <c r="AQ443" i="11" a="1"/>
  <c r="AQ443" i="11" s="1"/>
  <c r="AV443" i="11" a="1"/>
  <c r="AV443" i="11" s="1"/>
  <c r="X220" i="11" l="1" a="1"/>
  <c r="AO222" i="13" a="1"/>
  <c r="AE221" i="13" a="1"/>
  <c r="Y220" i="11"/>
  <c r="X220" i="11"/>
  <c r="AA220" i="11"/>
  <c r="Z220" i="11"/>
  <c r="AV444" i="11" a="1"/>
  <c r="AV444" i="11" s="1"/>
  <c r="AQ444" i="11" a="1"/>
  <c r="AQ444" i="11" s="1"/>
  <c r="AL444" i="11" a="1"/>
  <c r="AL444" i="11" s="1"/>
  <c r="AG444" i="11" a="1"/>
  <c r="AG444" i="11" s="1"/>
  <c r="W446" i="11"/>
  <c r="AB445" i="11"/>
  <c r="AE221" i="13" l="1"/>
  <c r="AH221" i="13"/>
  <c r="AF221" i="13"/>
  <c r="AG221" i="13"/>
  <c r="AR222" i="13"/>
  <c r="AO222" i="13"/>
  <c r="AP222" i="13"/>
  <c r="AQ222" i="13"/>
  <c r="AQ445" i="11" a="1"/>
  <c r="AQ445" i="11" s="1"/>
  <c r="AG445" i="11" a="1"/>
  <c r="AG445" i="11" s="1"/>
  <c r="AL445" i="11" a="1"/>
  <c r="AL445" i="11" s="1"/>
  <c r="AV445" i="11" a="1"/>
  <c r="AV445" i="11" s="1"/>
  <c r="W447" i="11"/>
  <c r="AB446" i="11"/>
  <c r="AO223" i="13" l="1" a="1"/>
  <c r="AE222" i="13" a="1"/>
  <c r="X221" i="11" a="1"/>
  <c r="AL446" i="11" a="1"/>
  <c r="AL446" i="11" s="1"/>
  <c r="AQ446" i="11" a="1"/>
  <c r="AQ446" i="11" s="1"/>
  <c r="AG446" i="11" a="1"/>
  <c r="AG446" i="11" s="1"/>
  <c r="AV446" i="11" a="1"/>
  <c r="AV446" i="11" s="1"/>
  <c r="W448" i="11"/>
  <c r="AB447" i="11"/>
  <c r="Z221" i="11" l="1"/>
  <c r="X221" i="11"/>
  <c r="AA221" i="11"/>
  <c r="Y221" i="11"/>
  <c r="AE222" i="13"/>
  <c r="AH222" i="13"/>
  <c r="AF222" i="13"/>
  <c r="AG222" i="13"/>
  <c r="AP223" i="13"/>
  <c r="AR223" i="13"/>
  <c r="AO223" i="13"/>
  <c r="AQ223" i="13"/>
  <c r="AG447" i="11" a="1"/>
  <c r="AG447" i="11" s="1"/>
  <c r="AL447" i="11" a="1"/>
  <c r="AL447" i="11" s="1"/>
  <c r="AV447" i="11" a="1"/>
  <c r="AV447" i="11" s="1"/>
  <c r="AQ447" i="11" a="1"/>
  <c r="AQ447" i="11" s="1"/>
  <c r="AB448" i="11"/>
  <c r="W449" i="11"/>
  <c r="AO224" i="13" l="1" a="1"/>
  <c r="AE223" i="13" a="1"/>
  <c r="X222" i="11" a="1"/>
  <c r="W450" i="11"/>
  <c r="AB449" i="11"/>
  <c r="AL448" i="11" a="1"/>
  <c r="AL448" i="11" s="1"/>
  <c r="AV448" i="11" a="1"/>
  <c r="AV448" i="11" s="1"/>
  <c r="AG448" i="11" a="1"/>
  <c r="AG448" i="11" s="1"/>
  <c r="AQ448" i="11" a="1"/>
  <c r="AQ448" i="11" s="1"/>
  <c r="AA222" i="11" l="1"/>
  <c r="Y222" i="11"/>
  <c r="X222" i="11"/>
  <c r="Z222" i="11"/>
  <c r="AF223" i="13"/>
  <c r="AH223" i="13"/>
  <c r="AG223" i="13"/>
  <c r="AE223" i="13"/>
  <c r="X223" i="11" s="1" a="1"/>
  <c r="AQ224" i="13"/>
  <c r="AR224" i="13"/>
  <c r="AP224" i="13"/>
  <c r="AO224" i="13"/>
  <c r="AQ449" i="11" a="1"/>
  <c r="AQ449" i="11" s="1"/>
  <c r="AV449" i="11" a="1"/>
  <c r="AV449" i="11" s="1"/>
  <c r="AG449" i="11" a="1"/>
  <c r="AG449" i="11" s="1"/>
  <c r="AL449" i="11" a="1"/>
  <c r="AL449" i="11" s="1"/>
  <c r="W451" i="11"/>
  <c r="AB450" i="11"/>
  <c r="Y223" i="11" l="1"/>
  <c r="AA223" i="11"/>
  <c r="Z223" i="11"/>
  <c r="X223" i="11"/>
  <c r="AE224" i="13" a="1"/>
  <c r="AO225" i="13" a="1"/>
  <c r="AQ450" i="11" a="1"/>
  <c r="AQ450" i="11" s="1"/>
  <c r="AV450" i="11" a="1"/>
  <c r="AV450" i="11" s="1"/>
  <c r="AL450" i="11" a="1"/>
  <c r="AL450" i="11" s="1"/>
  <c r="AG450" i="11" a="1"/>
  <c r="AG450" i="11" s="1"/>
  <c r="W452" i="11"/>
  <c r="AB451" i="11"/>
  <c r="AO225" i="13" l="1"/>
  <c r="AQ225" i="13"/>
  <c r="AR225" i="13"/>
  <c r="AP225" i="13"/>
  <c r="AF224" i="13"/>
  <c r="AE224" i="13"/>
  <c r="AG224" i="13"/>
  <c r="AH224" i="13"/>
  <c r="AG451" i="11" a="1"/>
  <c r="AG451" i="11" s="1"/>
  <c r="AL451" i="11" a="1"/>
  <c r="AL451" i="11" s="1"/>
  <c r="AQ451" i="11" a="1"/>
  <c r="AQ451" i="11" s="1"/>
  <c r="AV451" i="11" a="1"/>
  <c r="AV451" i="11" s="1"/>
  <c r="AB452" i="11"/>
  <c r="W453" i="11"/>
  <c r="X224" i="11" l="1" a="1"/>
  <c r="AE225" i="13" a="1"/>
  <c r="AO226" i="13" a="1"/>
  <c r="AL452" i="11" a="1"/>
  <c r="AL452" i="11" s="1"/>
  <c r="AV452" i="11" a="1"/>
  <c r="AV452" i="11" s="1"/>
  <c r="AG452" i="11" a="1"/>
  <c r="AG452" i="11" s="1"/>
  <c r="AQ452" i="11" a="1"/>
  <c r="AQ452" i="11" s="1"/>
  <c r="AB453" i="11"/>
  <c r="W454" i="11"/>
  <c r="AP226" i="13" l="1"/>
  <c r="AQ226" i="13"/>
  <c r="AR226" i="13"/>
  <c r="AO226" i="13"/>
  <c r="AG225" i="13"/>
  <c r="AF225" i="13"/>
  <c r="AE225" i="13"/>
  <c r="AH225" i="13"/>
  <c r="Z224" i="11"/>
  <c r="X224" i="11"/>
  <c r="AA224" i="11"/>
  <c r="Y224" i="11"/>
  <c r="AQ453" i="11" a="1"/>
  <c r="AQ453" i="11" s="1"/>
  <c r="AG453" i="11" a="1"/>
  <c r="AG453" i="11" s="1"/>
  <c r="AL453" i="11" a="1"/>
  <c r="AL453" i="11" s="1"/>
  <c r="AV453" i="11" a="1"/>
  <c r="AV453" i="11" s="1"/>
  <c r="AB454" i="11"/>
  <c r="W455" i="11"/>
  <c r="X225" i="11" l="1" a="1"/>
  <c r="Y225" i="11" s="1"/>
  <c r="AE226" i="13" a="1"/>
  <c r="AO227" i="13" a="1"/>
  <c r="W456" i="11"/>
  <c r="AB455" i="11"/>
  <c r="AV454" i="11" a="1"/>
  <c r="AV454" i="11" s="1"/>
  <c r="AG454" i="11" a="1"/>
  <c r="AG454" i="11" s="1"/>
  <c r="AL454" i="11" a="1"/>
  <c r="AL454" i="11" s="1"/>
  <c r="AQ454" i="11" a="1"/>
  <c r="AQ454" i="11" s="1"/>
  <c r="Z225" i="11" l="1"/>
  <c r="AA225" i="11"/>
  <c r="X225" i="11"/>
  <c r="AP227" i="13"/>
  <c r="AQ227" i="13"/>
  <c r="AO227" i="13"/>
  <c r="AR227" i="13"/>
  <c r="AH226" i="13"/>
  <c r="AF226" i="13"/>
  <c r="AG226" i="13"/>
  <c r="AE226" i="13"/>
  <c r="AG455" i="11" a="1"/>
  <c r="AG455" i="11" s="1"/>
  <c r="AL455" i="11" a="1"/>
  <c r="AL455" i="11" s="1"/>
  <c r="AQ455" i="11" a="1"/>
  <c r="AQ455" i="11" s="1"/>
  <c r="AV455" i="11" a="1"/>
  <c r="AV455" i="11" s="1"/>
  <c r="AB456" i="11"/>
  <c r="W457" i="11"/>
  <c r="X226" i="11" l="1" a="1"/>
  <c r="X226" i="11" s="1"/>
  <c r="AE227" i="13" a="1"/>
  <c r="AO228" i="13" a="1"/>
  <c r="W458" i="11"/>
  <c r="AB457" i="11"/>
  <c r="AL456" i="11" a="1"/>
  <c r="AL456" i="11" s="1"/>
  <c r="AQ456" i="11" a="1"/>
  <c r="AQ456" i="11" s="1"/>
  <c r="AG456" i="11" a="1"/>
  <c r="AG456" i="11" s="1"/>
  <c r="AV456" i="11" a="1"/>
  <c r="AV456" i="11" s="1"/>
  <c r="Y226" i="11" l="1"/>
  <c r="AA226" i="11"/>
  <c r="Z226" i="11"/>
  <c r="AR228" i="13"/>
  <c r="AP228" i="13"/>
  <c r="AQ228" i="13"/>
  <c r="AO228" i="13"/>
  <c r="AH227" i="13"/>
  <c r="AG227" i="13"/>
  <c r="AF227" i="13"/>
  <c r="AE227" i="13"/>
  <c r="AL457" i="11" a="1"/>
  <c r="AL457" i="11" s="1"/>
  <c r="AV457" i="11" a="1"/>
  <c r="AV457" i="11" s="1"/>
  <c r="AG457" i="11" a="1"/>
  <c r="AG457" i="11" s="1"/>
  <c r="AQ457" i="11" a="1"/>
  <c r="AQ457" i="11" s="1"/>
  <c r="W459" i="11"/>
  <c r="AB458" i="11"/>
  <c r="X227" i="11" l="1" a="1"/>
  <c r="AO229" i="13" a="1"/>
  <c r="AE228" i="13" a="1"/>
  <c r="Z227" i="11"/>
  <c r="Y227" i="11"/>
  <c r="X227" i="11"/>
  <c r="AA227" i="11"/>
  <c r="AG458" i="11" a="1"/>
  <c r="AG458" i="11" s="1"/>
  <c r="AL458" i="11" a="1"/>
  <c r="AL458" i="11" s="1"/>
  <c r="AQ458" i="11" a="1"/>
  <c r="AQ458" i="11" s="1"/>
  <c r="AV458" i="11" a="1"/>
  <c r="AV458" i="11" s="1"/>
  <c r="W460" i="11"/>
  <c r="AB459" i="11"/>
  <c r="AE228" i="13" l="1"/>
  <c r="AG228" i="13"/>
  <c r="AH228" i="13"/>
  <c r="AF228" i="13"/>
  <c r="AP229" i="13"/>
  <c r="AQ229" i="13"/>
  <c r="AR229" i="13"/>
  <c r="AO229" i="13"/>
  <c r="AV459" i="11" a="1"/>
  <c r="AV459" i="11" s="1"/>
  <c r="AG459" i="11" a="1"/>
  <c r="AG459" i="11" s="1"/>
  <c r="AQ459" i="11" a="1"/>
  <c r="AQ459" i="11" s="1"/>
  <c r="AL459" i="11" a="1"/>
  <c r="AL459" i="11" s="1"/>
  <c r="W461" i="11"/>
  <c r="AB460" i="11"/>
  <c r="AO230" i="13" l="1" a="1"/>
  <c r="AE229" i="13" a="1"/>
  <c r="X228" i="11" a="1"/>
  <c r="AL460" i="11" a="1"/>
  <c r="AL460" i="11" s="1"/>
  <c r="AQ460" i="11" a="1"/>
  <c r="AQ460" i="11" s="1"/>
  <c r="AV460" i="11" a="1"/>
  <c r="AV460" i="11" s="1"/>
  <c r="AG460" i="11" a="1"/>
  <c r="AG460" i="11" s="1"/>
  <c r="AB461" i="11"/>
  <c r="W462" i="11"/>
  <c r="Z228" i="11" l="1"/>
  <c r="AA228" i="11"/>
  <c r="Y228" i="11"/>
  <c r="X228" i="11"/>
  <c r="AH229" i="13"/>
  <c r="AG229" i="13"/>
  <c r="AF229" i="13"/>
  <c r="AE229" i="13"/>
  <c r="X229" i="11" s="1" a="1"/>
  <c r="AR230" i="13"/>
  <c r="AO230" i="13"/>
  <c r="AQ230" i="13"/>
  <c r="AP230" i="13"/>
  <c r="W463" i="11"/>
  <c r="AB462" i="11"/>
  <c r="AL461" i="11" a="1"/>
  <c r="AL461" i="11" s="1"/>
  <c r="AQ461" i="11" a="1"/>
  <c r="AQ461" i="11" s="1"/>
  <c r="AG461" i="11" a="1"/>
  <c r="AG461" i="11" s="1"/>
  <c r="AV461" i="11" a="1"/>
  <c r="AV461" i="11" s="1"/>
  <c r="Z229" i="11" l="1"/>
  <c r="AA229" i="11"/>
  <c r="X229" i="11"/>
  <c r="Y229" i="11"/>
  <c r="AO231" i="13" a="1"/>
  <c r="AE230" i="13" a="1"/>
  <c r="AG462" i="11" a="1"/>
  <c r="AG462" i="11" s="1"/>
  <c r="AQ462" i="11" a="1"/>
  <c r="AQ462" i="11" s="1"/>
  <c r="AL462" i="11" a="1"/>
  <c r="AL462" i="11" s="1"/>
  <c r="AV462" i="11" a="1"/>
  <c r="AV462" i="11" s="1"/>
  <c r="W464" i="11"/>
  <c r="AB463" i="11"/>
  <c r="AP231" i="13" l="1"/>
  <c r="AO231" i="13"/>
  <c r="AQ231" i="13"/>
  <c r="AR231" i="13"/>
  <c r="AE230" i="13"/>
  <c r="AH230" i="13"/>
  <c r="AG230" i="13"/>
  <c r="AF230" i="13"/>
  <c r="W465" i="11"/>
  <c r="AB464" i="11"/>
  <c r="AL463" i="11" a="1"/>
  <c r="AL463" i="11" s="1"/>
  <c r="AQ463" i="11" a="1"/>
  <c r="AQ463" i="11" s="1"/>
  <c r="AV463" i="11" a="1"/>
  <c r="AV463" i="11" s="1"/>
  <c r="AG463" i="11" a="1"/>
  <c r="AG463" i="11" s="1"/>
  <c r="X230" i="11" l="1" a="1"/>
  <c r="AO232" i="13" a="1"/>
  <c r="AE231" i="13" a="1"/>
  <c r="AV464" i="11" a="1"/>
  <c r="AV464" i="11" s="1"/>
  <c r="AG464" i="11" a="1"/>
  <c r="AG464" i="11" s="1"/>
  <c r="AL464" i="11" a="1"/>
  <c r="AL464" i="11" s="1"/>
  <c r="AQ464" i="11" a="1"/>
  <c r="AQ464" i="11" s="1"/>
  <c r="W466" i="11"/>
  <c r="AB465" i="11"/>
  <c r="AH231" i="13" l="1"/>
  <c r="AE231" i="13"/>
  <c r="AG231" i="13"/>
  <c r="AF231" i="13"/>
  <c r="AQ232" i="13"/>
  <c r="AO232" i="13"/>
  <c r="AP232" i="13"/>
  <c r="AR232" i="13"/>
  <c r="X230" i="11"/>
  <c r="AA230" i="11"/>
  <c r="Y230" i="11"/>
  <c r="Z230" i="11"/>
  <c r="AG465" i="11" a="1"/>
  <c r="AG465" i="11" s="1"/>
  <c r="AL465" i="11" a="1"/>
  <c r="AL465" i="11" s="1"/>
  <c r="AQ465" i="11" a="1"/>
  <c r="AQ465" i="11" s="1"/>
  <c r="AV465" i="11" a="1"/>
  <c r="AV465" i="11" s="1"/>
  <c r="W467" i="11"/>
  <c r="AB466" i="11"/>
  <c r="X231" i="11" l="1" a="1"/>
  <c r="AO233" i="13" a="1"/>
  <c r="AE232" i="13" a="1"/>
  <c r="AL466" i="11" a="1"/>
  <c r="AL466" i="11" s="1"/>
  <c r="AV466" i="11" a="1"/>
  <c r="AV466" i="11" s="1"/>
  <c r="AQ466" i="11" a="1"/>
  <c r="AQ466" i="11" s="1"/>
  <c r="AG466" i="11" a="1"/>
  <c r="AG466" i="11" s="1"/>
  <c r="W468" i="11"/>
  <c r="AB467" i="11"/>
  <c r="AG232" i="13" l="1"/>
  <c r="AE232" i="13"/>
  <c r="AF232" i="13"/>
  <c r="AH232" i="13"/>
  <c r="AO233" i="13"/>
  <c r="AP233" i="13"/>
  <c r="AR233" i="13"/>
  <c r="AQ233" i="13"/>
  <c r="AA231" i="11"/>
  <c r="Y231" i="11"/>
  <c r="Z231" i="11"/>
  <c r="X231" i="11"/>
  <c r="AV467" i="11" a="1"/>
  <c r="AV467" i="11" s="1"/>
  <c r="AG467" i="11" a="1"/>
  <c r="AG467" i="11" s="1"/>
  <c r="AL467" i="11" a="1"/>
  <c r="AL467" i="11" s="1"/>
  <c r="AQ467" i="11" a="1"/>
  <c r="AQ467" i="11" s="1"/>
  <c r="W469" i="11"/>
  <c r="AB468" i="11"/>
  <c r="AE233" i="13" l="1" a="1"/>
  <c r="AO234" i="13" a="1"/>
  <c r="X232" i="11" a="1"/>
  <c r="AV468" i="11" a="1"/>
  <c r="AV468" i="11" s="1"/>
  <c r="AQ468" i="11" a="1"/>
  <c r="AQ468" i="11" s="1"/>
  <c r="AG468" i="11" a="1"/>
  <c r="AG468" i="11" s="1"/>
  <c r="AL468" i="11" a="1"/>
  <c r="AL468" i="11" s="1"/>
  <c r="AB469" i="11"/>
  <c r="W470" i="11"/>
  <c r="AA232" i="11" l="1"/>
  <c r="Y232" i="11"/>
  <c r="Z232" i="11"/>
  <c r="X232" i="11"/>
  <c r="AO234" i="13"/>
  <c r="AQ234" i="13"/>
  <c r="AR234" i="13"/>
  <c r="AP234" i="13"/>
  <c r="AH233" i="13"/>
  <c r="AF233" i="13"/>
  <c r="AE233" i="13"/>
  <c r="AG233" i="13"/>
  <c r="AL469" i="11" a="1"/>
  <c r="AL469" i="11" s="1"/>
  <c r="AQ469" i="11" a="1"/>
  <c r="AQ469" i="11" s="1"/>
  <c r="AV469" i="11" a="1"/>
  <c r="AV469" i="11" s="1"/>
  <c r="AG469" i="11" a="1"/>
  <c r="AG469" i="11" s="1"/>
  <c r="W471" i="11"/>
  <c r="AB470" i="11"/>
  <c r="X233" i="11" l="1" a="1"/>
  <c r="AE234" i="13" a="1"/>
  <c r="AO235" i="13" a="1"/>
  <c r="AV470" i="11" a="1"/>
  <c r="AV470" i="11" s="1"/>
  <c r="AG470" i="11" a="1"/>
  <c r="AG470" i="11" s="1"/>
  <c r="AL470" i="11" a="1"/>
  <c r="AL470" i="11" s="1"/>
  <c r="AQ470" i="11" a="1"/>
  <c r="AQ470" i="11" s="1"/>
  <c r="W472" i="11"/>
  <c r="AB471" i="11"/>
  <c r="AP235" i="13" l="1"/>
  <c r="AR235" i="13"/>
  <c r="AQ235" i="13"/>
  <c r="AO235" i="13"/>
  <c r="AF234" i="13"/>
  <c r="AE234" i="13"/>
  <c r="AG234" i="13"/>
  <c r="AH234" i="13"/>
  <c r="AA233" i="11"/>
  <c r="X233" i="11"/>
  <c r="Z233" i="11"/>
  <c r="Y233" i="11"/>
  <c r="AL471" i="11" a="1"/>
  <c r="AL471" i="11" s="1"/>
  <c r="AQ471" i="11" a="1"/>
  <c r="AQ471" i="11" s="1"/>
  <c r="AG471" i="11" a="1"/>
  <c r="AG471" i="11" s="1"/>
  <c r="AV471" i="11" a="1"/>
  <c r="AV471" i="11" s="1"/>
  <c r="AB472" i="11"/>
  <c r="W473" i="11"/>
  <c r="X234" i="11" l="1" a="1"/>
  <c r="AO236" i="13" a="1"/>
  <c r="AE235" i="13" a="1"/>
  <c r="AB473" i="11"/>
  <c r="W474" i="11"/>
  <c r="AQ472" i="11" a="1"/>
  <c r="AQ472" i="11" s="1"/>
  <c r="AV472" i="11" a="1"/>
  <c r="AV472" i="11" s="1"/>
  <c r="AG472" i="11" a="1"/>
  <c r="AG472" i="11" s="1"/>
  <c r="AL472" i="11" a="1"/>
  <c r="AL472" i="11" s="1"/>
  <c r="AF235" i="13" l="1"/>
  <c r="AG235" i="13"/>
  <c r="AE235" i="13"/>
  <c r="AH235" i="13"/>
  <c r="AR236" i="13"/>
  <c r="AP236" i="13"/>
  <c r="AO236" i="13"/>
  <c r="AQ236" i="13"/>
  <c r="Y234" i="11"/>
  <c r="AA234" i="11"/>
  <c r="Z234" i="11"/>
  <c r="X234" i="11"/>
  <c r="W475" i="11"/>
  <c r="AB474" i="11"/>
  <c r="AL473" i="11" a="1"/>
  <c r="AL473" i="11" s="1"/>
  <c r="AQ473" i="11" a="1"/>
  <c r="AQ473" i="11" s="1"/>
  <c r="AG473" i="11" a="1"/>
  <c r="AG473" i="11" s="1"/>
  <c r="AV473" i="11" a="1"/>
  <c r="AV473" i="11" s="1"/>
  <c r="X235" i="11" l="1" a="1"/>
  <c r="AE236" i="13" a="1"/>
  <c r="AO237" i="13" a="1"/>
  <c r="Y235" i="11"/>
  <c r="AA235" i="11"/>
  <c r="X235" i="11"/>
  <c r="Z235" i="11"/>
  <c r="AG474" i="11" a="1"/>
  <c r="AG474" i="11" s="1"/>
  <c r="AQ474" i="11" a="1"/>
  <c r="AQ474" i="11" s="1"/>
  <c r="AL474" i="11" a="1"/>
  <c r="AL474" i="11" s="1"/>
  <c r="AV474" i="11" a="1"/>
  <c r="AV474" i="11" s="1"/>
  <c r="W476" i="11"/>
  <c r="AB475" i="11"/>
  <c r="AO237" i="13" l="1"/>
  <c r="AQ237" i="13"/>
  <c r="AR237" i="13"/>
  <c r="AP237" i="13"/>
  <c r="AF236" i="13"/>
  <c r="AE236" i="13"/>
  <c r="AG236" i="13"/>
  <c r="AH236" i="13"/>
  <c r="AV475" i="11" a="1"/>
  <c r="AV475" i="11" s="1"/>
  <c r="AQ475" i="11" a="1"/>
  <c r="AQ475" i="11" s="1"/>
  <c r="AG475" i="11" a="1"/>
  <c r="AG475" i="11" s="1"/>
  <c r="AL475" i="11" a="1"/>
  <c r="AL475" i="11" s="1"/>
  <c r="W477" i="11"/>
  <c r="AB476" i="11"/>
  <c r="X236" i="11" l="1" a="1"/>
  <c r="AO238" i="13" a="1"/>
  <c r="AE237" i="13" a="1"/>
  <c r="AB477" i="11"/>
  <c r="W478" i="11"/>
  <c r="AG476" i="11" a="1"/>
  <c r="AG476" i="11" s="1"/>
  <c r="AV476" i="11" a="1"/>
  <c r="AV476" i="11" s="1"/>
  <c r="AL476" i="11" a="1"/>
  <c r="AL476" i="11" s="1"/>
  <c r="AQ476" i="11" a="1"/>
  <c r="AQ476" i="11" s="1"/>
  <c r="AP238" i="13" l="1"/>
  <c r="AQ238" i="13"/>
  <c r="AR238" i="13"/>
  <c r="AO238" i="13"/>
  <c r="AF237" i="13"/>
  <c r="AH237" i="13"/>
  <c r="AE237" i="13"/>
  <c r="AG237" i="13"/>
  <c r="Y236" i="11"/>
  <c r="Z236" i="11"/>
  <c r="AA236" i="11"/>
  <c r="X236" i="11"/>
  <c r="AB478" i="11"/>
  <c r="W479" i="11"/>
  <c r="AV477" i="11" a="1"/>
  <c r="AV477" i="11" s="1"/>
  <c r="AG477" i="11" a="1"/>
  <c r="AG477" i="11" s="1"/>
  <c r="AL477" i="11" a="1"/>
  <c r="AL477" i="11" s="1"/>
  <c r="AQ477" i="11" a="1"/>
  <c r="AQ477" i="11" s="1"/>
  <c r="X237" i="11" l="1" a="1"/>
  <c r="AA237" i="11" s="1"/>
  <c r="X237" i="11"/>
  <c r="Y237" i="11"/>
  <c r="Z237" i="11"/>
  <c r="AO239" i="13" a="1"/>
  <c r="AE238" i="13" a="1"/>
  <c r="W480" i="11"/>
  <c r="AB479" i="11"/>
  <c r="AQ478" i="11" a="1"/>
  <c r="AQ478" i="11" s="1"/>
  <c r="AL478" i="11" a="1"/>
  <c r="AL478" i="11" s="1"/>
  <c r="AV478" i="11" a="1"/>
  <c r="AV478" i="11" s="1"/>
  <c r="AG478" i="11" a="1"/>
  <c r="AG478" i="11" s="1"/>
  <c r="AQ239" i="13" l="1"/>
  <c r="AR239" i="13"/>
  <c r="AO239" i="13"/>
  <c r="AP239" i="13"/>
  <c r="AF238" i="13"/>
  <c r="AH238" i="13"/>
  <c r="AE238" i="13"/>
  <c r="AG238" i="13"/>
  <c r="AL479" i="11" a="1"/>
  <c r="AL479" i="11" s="1"/>
  <c r="AG479" i="11" a="1"/>
  <c r="AG479" i="11" s="1"/>
  <c r="AV479" i="11" a="1"/>
  <c r="AV479" i="11" s="1"/>
  <c r="AQ479" i="11" a="1"/>
  <c r="AQ479" i="11" s="1"/>
  <c r="AB480" i="11"/>
  <c r="W481" i="11"/>
  <c r="X238" i="11" l="1" a="1"/>
  <c r="X238" i="11" s="1"/>
  <c r="AO240" i="13" a="1"/>
  <c r="AE239" i="13" a="1"/>
  <c r="AG480" i="11" a="1"/>
  <c r="AG480" i="11" s="1"/>
  <c r="AQ480" i="11" a="1"/>
  <c r="AQ480" i="11" s="1"/>
  <c r="AV480" i="11" a="1"/>
  <c r="AV480" i="11" s="1"/>
  <c r="AL480" i="11" a="1"/>
  <c r="AL480" i="11" s="1"/>
  <c r="AB481" i="11"/>
  <c r="W482" i="11"/>
  <c r="Z238" i="11" l="1"/>
  <c r="AA238" i="11"/>
  <c r="Y238" i="11"/>
  <c r="AQ240" i="13"/>
  <c r="AO240" i="13"/>
  <c r="AP240" i="13"/>
  <c r="AR240" i="13"/>
  <c r="AF239" i="13"/>
  <c r="AG239" i="13"/>
  <c r="AH239" i="13"/>
  <c r="AE239" i="13"/>
  <c r="AB482" i="11"/>
  <c r="W483" i="11"/>
  <c r="AG481" i="11" a="1"/>
  <c r="AG481" i="11" s="1"/>
  <c r="AV481" i="11" a="1"/>
  <c r="AV481" i="11" s="1"/>
  <c r="AQ481" i="11" a="1"/>
  <c r="AQ481" i="11" s="1"/>
  <c r="AL481" i="11" a="1"/>
  <c r="AL481" i="11" s="1"/>
  <c r="X239" i="11" l="1" a="1"/>
  <c r="Z239" i="11" s="1"/>
  <c r="Y239" i="11"/>
  <c r="AO241" i="13" a="1"/>
  <c r="AE240" i="13" a="1"/>
  <c r="W484" i="11"/>
  <c r="AB483" i="11"/>
  <c r="AL482" i="11" a="1"/>
  <c r="AL482" i="11" s="1"/>
  <c r="AQ482" i="11" a="1"/>
  <c r="AQ482" i="11" s="1"/>
  <c r="AG482" i="11" a="1"/>
  <c r="AG482" i="11" s="1"/>
  <c r="AV482" i="11" a="1"/>
  <c r="AV482" i="11" s="1"/>
  <c r="AA239" i="11" l="1"/>
  <c r="X239" i="11"/>
  <c r="AO241" i="13"/>
  <c r="AP241" i="13"/>
  <c r="AQ241" i="13"/>
  <c r="AR241" i="13"/>
  <c r="AH240" i="13"/>
  <c r="AG240" i="13"/>
  <c r="AF240" i="13"/>
  <c r="AE240" i="13"/>
  <c r="AG483" i="11" a="1"/>
  <c r="AG483" i="11" s="1"/>
  <c r="AV483" i="11" a="1"/>
  <c r="AV483" i="11" s="1"/>
  <c r="AL483" i="11" a="1"/>
  <c r="AL483" i="11" s="1"/>
  <c r="AQ483" i="11" a="1"/>
  <c r="AQ483" i="11" s="1"/>
  <c r="W485" i="11"/>
  <c r="AB484" i="11"/>
  <c r="X240" i="11" l="1" a="1"/>
  <c r="Z240" i="11"/>
  <c r="Y240" i="11"/>
  <c r="AA240" i="11"/>
  <c r="X240" i="11"/>
  <c r="AE241" i="13" a="1"/>
  <c r="AO242" i="13" a="1"/>
  <c r="AV484" i="11" a="1"/>
  <c r="AV484" i="11" s="1"/>
  <c r="AQ484" i="11" a="1"/>
  <c r="AQ484" i="11" s="1"/>
  <c r="AG484" i="11" a="1"/>
  <c r="AG484" i="11" s="1"/>
  <c r="AL484" i="11" a="1"/>
  <c r="AL484" i="11" s="1"/>
  <c r="W486" i="11"/>
  <c r="AB485" i="11"/>
  <c r="AG241" i="13" l="1"/>
  <c r="AH241" i="13"/>
  <c r="AE241" i="13"/>
  <c r="AF241" i="13"/>
  <c r="AQ242" i="13"/>
  <c r="AO242" i="13"/>
  <c r="AP242" i="13"/>
  <c r="AR242" i="13"/>
  <c r="AV485" i="11" a="1"/>
  <c r="AV485" i="11" s="1"/>
  <c r="AG485" i="11" a="1"/>
  <c r="AG485" i="11" s="1"/>
  <c r="AL485" i="11" a="1"/>
  <c r="AL485" i="11" s="1"/>
  <c r="AQ485" i="11" a="1"/>
  <c r="AQ485" i="11" s="1"/>
  <c r="AB486" i="11"/>
  <c r="W487" i="11"/>
  <c r="AE242" i="13" l="1" a="1"/>
  <c r="AO243" i="13" a="1"/>
  <c r="X241" i="11" a="1"/>
  <c r="AV486" i="11" a="1"/>
  <c r="AV486" i="11" s="1"/>
  <c r="AG486" i="11" a="1"/>
  <c r="AG486" i="11" s="1"/>
  <c r="AL486" i="11" a="1"/>
  <c r="AL486" i="11" s="1"/>
  <c r="AQ486" i="11" a="1"/>
  <c r="AQ486" i="11" s="1"/>
  <c r="AB487" i="11"/>
  <c r="W488" i="11"/>
  <c r="AA241" i="11" l="1"/>
  <c r="Z241" i="11"/>
  <c r="Y241" i="11"/>
  <c r="X241" i="11"/>
  <c r="AQ243" i="13"/>
  <c r="AP243" i="13"/>
  <c r="AO243" i="13"/>
  <c r="AR243" i="13"/>
  <c r="AE242" i="13"/>
  <c r="AH242" i="13"/>
  <c r="AF242" i="13"/>
  <c r="AG242" i="13"/>
  <c r="AB488" i="11"/>
  <c r="W489" i="11"/>
  <c r="AL487" i="11" a="1"/>
  <c r="AL487" i="11" s="1"/>
  <c r="AG487" i="11" a="1"/>
  <c r="AG487" i="11" s="1"/>
  <c r="AV487" i="11" a="1"/>
  <c r="AV487" i="11" s="1"/>
  <c r="AQ487" i="11" a="1"/>
  <c r="AQ487" i="11" s="1"/>
  <c r="AE243" i="13" l="1" a="1"/>
  <c r="AO244" i="13" a="1"/>
  <c r="X242" i="11" a="1"/>
  <c r="AB489" i="11"/>
  <c r="W490" i="11"/>
  <c r="AV488" i="11" a="1"/>
  <c r="AV488" i="11" s="1"/>
  <c r="AG488" i="11" a="1"/>
  <c r="AG488" i="11" s="1"/>
  <c r="AQ488" i="11" a="1"/>
  <c r="AQ488" i="11" s="1"/>
  <c r="AL488" i="11" a="1"/>
  <c r="AL488" i="11" s="1"/>
  <c r="Y242" i="11" l="1"/>
  <c r="X242" i="11"/>
  <c r="Z242" i="11"/>
  <c r="AA242" i="11"/>
  <c r="AQ244" i="13"/>
  <c r="AP244" i="13"/>
  <c r="AO244" i="13"/>
  <c r="AR244" i="13"/>
  <c r="AG243" i="13"/>
  <c r="AE243" i="13"/>
  <c r="AH243" i="13"/>
  <c r="AF243" i="13"/>
  <c r="AB490" i="11"/>
  <c r="W491" i="11"/>
  <c r="AG489" i="11" a="1"/>
  <c r="AG489" i="11" s="1"/>
  <c r="AQ489" i="11" a="1"/>
  <c r="AQ489" i="11" s="1"/>
  <c r="AL489" i="11" a="1"/>
  <c r="AL489" i="11" s="1"/>
  <c r="AV489" i="11" a="1"/>
  <c r="AV489" i="11" s="1"/>
  <c r="AE244" i="13" l="1" a="1"/>
  <c r="AO245" i="13" a="1"/>
  <c r="X243" i="11" a="1"/>
  <c r="W492" i="11"/>
  <c r="AB491" i="11"/>
  <c r="AL490" i="11" a="1"/>
  <c r="AL490" i="11" s="1"/>
  <c r="AG490" i="11" a="1"/>
  <c r="AG490" i="11" s="1"/>
  <c r="AQ490" i="11" a="1"/>
  <c r="AQ490" i="11" s="1"/>
  <c r="AV490" i="11" a="1"/>
  <c r="AV490" i="11" s="1"/>
  <c r="X243" i="11" l="1"/>
  <c r="AA243" i="11"/>
  <c r="Z243" i="11"/>
  <c r="Y243" i="11"/>
  <c r="AR245" i="13"/>
  <c r="AP245" i="13"/>
  <c r="AQ245" i="13"/>
  <c r="AO245" i="13"/>
  <c r="AE244" i="13"/>
  <c r="AF244" i="13"/>
  <c r="AG244" i="13"/>
  <c r="AH244" i="13"/>
  <c r="AL491" i="11" a="1"/>
  <c r="AL491" i="11" s="1"/>
  <c r="AQ491" i="11" a="1"/>
  <c r="AQ491" i="11" s="1"/>
  <c r="AV491" i="11" a="1"/>
  <c r="AV491" i="11" s="1"/>
  <c r="AG491" i="11" a="1"/>
  <c r="AG491" i="11" s="1"/>
  <c r="AB492" i="11"/>
  <c r="W493" i="11"/>
  <c r="AE245" i="13" l="1" a="1"/>
  <c r="AO246" i="13" a="1"/>
  <c r="X244" i="11" a="1"/>
  <c r="AB493" i="11"/>
  <c r="W494" i="11"/>
  <c r="AG492" i="11" a="1"/>
  <c r="AG492" i="11" s="1"/>
  <c r="AL492" i="11" a="1"/>
  <c r="AL492" i="11" s="1"/>
  <c r="AQ492" i="11" a="1"/>
  <c r="AQ492" i="11" s="1"/>
  <c r="AV492" i="11" a="1"/>
  <c r="AV492" i="11" s="1"/>
  <c r="Y244" i="11" l="1"/>
  <c r="AA244" i="11"/>
  <c r="X244" i="11"/>
  <c r="Z244" i="11"/>
  <c r="AR246" i="13"/>
  <c r="AO246" i="13"/>
  <c r="AQ246" i="13"/>
  <c r="AP246" i="13"/>
  <c r="AG245" i="13"/>
  <c r="AE245" i="13"/>
  <c r="AH245" i="13"/>
  <c r="AF245" i="13"/>
  <c r="AB494" i="11"/>
  <c r="W495" i="11"/>
  <c r="AL493" i="11" a="1"/>
  <c r="AL493" i="11" s="1"/>
  <c r="AQ493" i="11" a="1"/>
  <c r="AQ493" i="11" s="1"/>
  <c r="AG493" i="11" a="1"/>
  <c r="AG493" i="11" s="1"/>
  <c r="AV493" i="11" a="1"/>
  <c r="AV493" i="11" s="1"/>
  <c r="AE246" i="13" l="1" a="1"/>
  <c r="AO247" i="13" a="1"/>
  <c r="X245" i="11" a="1"/>
  <c r="W496" i="11"/>
  <c r="AB495" i="11"/>
  <c r="AL494" i="11" a="1"/>
  <c r="AL494" i="11" s="1"/>
  <c r="AV494" i="11" a="1"/>
  <c r="AV494" i="11" s="1"/>
  <c r="AQ494" i="11" a="1"/>
  <c r="AQ494" i="11" s="1"/>
  <c r="AG494" i="11" a="1"/>
  <c r="AG494" i="11" s="1"/>
  <c r="Z245" i="11" l="1"/>
  <c r="X245" i="11"/>
  <c r="AA245" i="11"/>
  <c r="Y245" i="11"/>
  <c r="AR247" i="13"/>
  <c r="AP247" i="13"/>
  <c r="AQ247" i="13"/>
  <c r="AO247" i="13"/>
  <c r="AF246" i="13"/>
  <c r="AG246" i="13"/>
  <c r="AH246" i="13"/>
  <c r="AE246" i="13"/>
  <c r="X246" i="11" s="1" a="1"/>
  <c r="AG495" i="11" a="1"/>
  <c r="AG495" i="11" s="1"/>
  <c r="AV495" i="11" a="1"/>
  <c r="AV495" i="11" s="1"/>
  <c r="AL495" i="11" a="1"/>
  <c r="AL495" i="11" s="1"/>
  <c r="AQ495" i="11" a="1"/>
  <c r="AQ495" i="11" s="1"/>
  <c r="W497" i="11"/>
  <c r="AB496" i="11"/>
  <c r="AO248" i="13" l="1" a="1"/>
  <c r="AE247" i="13" a="1"/>
  <c r="Z246" i="11"/>
  <c r="Y246" i="11"/>
  <c r="AA246" i="11"/>
  <c r="X246" i="11"/>
  <c r="AV496" i="11" a="1"/>
  <c r="AV496" i="11" s="1"/>
  <c r="AL496" i="11" a="1"/>
  <c r="AL496" i="11" s="1"/>
  <c r="AG496" i="11" a="1"/>
  <c r="AG496" i="11" s="1"/>
  <c r="AQ496" i="11" a="1"/>
  <c r="AQ496" i="11" s="1"/>
  <c r="AB497" i="11"/>
  <c r="W498" i="11"/>
  <c r="AF247" i="13" l="1"/>
  <c r="AH247" i="13"/>
  <c r="AE247" i="13"/>
  <c r="AG247" i="13"/>
  <c r="AO248" i="13"/>
  <c r="AR248" i="13"/>
  <c r="AQ248" i="13"/>
  <c r="AP248" i="13"/>
  <c r="AV497" i="11" a="1"/>
  <c r="AV497" i="11" s="1"/>
  <c r="AL497" i="11" a="1"/>
  <c r="AL497" i="11" s="1"/>
  <c r="AG497" i="11" a="1"/>
  <c r="AG497" i="11" s="1"/>
  <c r="AQ497" i="11" a="1"/>
  <c r="AQ497" i="11" s="1"/>
  <c r="W499" i="11"/>
  <c r="AB498" i="11"/>
  <c r="AO249" i="13" l="1" a="1"/>
  <c r="AE248" i="13" a="1"/>
  <c r="X247" i="11" a="1"/>
  <c r="AQ498" i="11" a="1"/>
  <c r="AQ498" i="11" s="1"/>
  <c r="AL498" i="11" a="1"/>
  <c r="AL498" i="11" s="1"/>
  <c r="AG498" i="11" a="1"/>
  <c r="AG498" i="11" s="1"/>
  <c r="AV498" i="11" a="1"/>
  <c r="AV498" i="11" s="1"/>
  <c r="W500" i="11"/>
  <c r="AB499" i="11"/>
  <c r="AA247" i="11" l="1"/>
  <c r="Z247" i="11"/>
  <c r="Y247" i="11"/>
  <c r="X247" i="11"/>
  <c r="AF248" i="13"/>
  <c r="AH248" i="13"/>
  <c r="AG248" i="13"/>
  <c r="AE248" i="13"/>
  <c r="X248" i="11" s="1" a="1"/>
  <c r="AO249" i="13"/>
  <c r="AR249" i="13"/>
  <c r="AQ249" i="13"/>
  <c r="AP249" i="13"/>
  <c r="AB500" i="11"/>
  <c r="W501" i="11"/>
  <c r="AL499" i="11" a="1"/>
  <c r="AL499" i="11" s="1"/>
  <c r="AV499" i="11" a="1"/>
  <c r="AV499" i="11" s="1"/>
  <c r="AG499" i="11" a="1"/>
  <c r="AG499" i="11" s="1"/>
  <c r="AQ499" i="11" a="1"/>
  <c r="AQ499" i="11" s="1"/>
  <c r="Y248" i="11" l="1"/>
  <c r="Z248" i="11"/>
  <c r="AA248" i="11"/>
  <c r="X248" i="11"/>
  <c r="AE249" i="13" a="1"/>
  <c r="AO250" i="13" a="1"/>
  <c r="AB501" i="11"/>
  <c r="W502" i="11"/>
  <c r="AL500" i="11" a="1"/>
  <c r="AL500" i="11" s="1"/>
  <c r="AQ500" i="11" a="1"/>
  <c r="AQ500" i="11" s="1"/>
  <c r="AV500" i="11" a="1"/>
  <c r="AV500" i="11" s="1"/>
  <c r="AG500" i="11" a="1"/>
  <c r="AG500" i="11" s="1"/>
  <c r="AH249" i="13" l="1"/>
  <c r="AE249" i="13"/>
  <c r="AG249" i="13"/>
  <c r="AF249" i="13"/>
  <c r="AO250" i="13"/>
  <c r="AQ250" i="13"/>
  <c r="AR250" i="13"/>
  <c r="AP250" i="13"/>
  <c r="AB502" i="11"/>
  <c r="W503" i="11"/>
  <c r="AL501" i="11" a="1"/>
  <c r="AL501" i="11" s="1"/>
  <c r="AG501" i="11" a="1"/>
  <c r="AG501" i="11" s="1"/>
  <c r="AV501" i="11" a="1"/>
  <c r="AV501" i="11" s="1"/>
  <c r="AQ501" i="11" a="1"/>
  <c r="AQ501" i="11" s="1"/>
  <c r="AE250" i="13" l="1" a="1"/>
  <c r="AO251" i="13" a="1"/>
  <c r="X249" i="11" a="1"/>
  <c r="AB503" i="11"/>
  <c r="W504" i="11"/>
  <c r="AL502" i="11" a="1"/>
  <c r="AL502" i="11" s="1"/>
  <c r="AG502" i="11" a="1"/>
  <c r="AG502" i="11" s="1"/>
  <c r="AQ502" i="11" a="1"/>
  <c r="AQ502" i="11" s="1"/>
  <c r="AV502" i="11" a="1"/>
  <c r="AV502" i="11" s="1"/>
  <c r="AA249" i="11" l="1"/>
  <c r="Y249" i="11"/>
  <c r="Z249" i="11"/>
  <c r="X249" i="11"/>
  <c r="AO251" i="13"/>
  <c r="AQ251" i="13"/>
  <c r="AP251" i="13"/>
  <c r="AR251" i="13"/>
  <c r="AF250" i="13"/>
  <c r="AH250" i="13"/>
  <c r="AE250" i="13"/>
  <c r="AG250" i="13"/>
  <c r="AV503" i="11" a="1"/>
  <c r="AV503" i="11" s="1"/>
  <c r="AQ503" i="11" a="1"/>
  <c r="AQ503" i="11" s="1"/>
  <c r="AG503" i="11" a="1"/>
  <c r="AG503" i="11" s="1"/>
  <c r="AL503" i="11" a="1"/>
  <c r="AL503" i="11" s="1"/>
  <c r="W505" i="11"/>
  <c r="AB504" i="11"/>
  <c r="X250" i="11" l="1" a="1"/>
  <c r="Y250" i="11" s="1"/>
  <c r="X250" i="11"/>
  <c r="Z250" i="11"/>
  <c r="AA250" i="11"/>
  <c r="AO252" i="13" a="1"/>
  <c r="AE251" i="13" a="1"/>
  <c r="AG504" i="11" a="1"/>
  <c r="AG504" i="11" s="1"/>
  <c r="AQ504" i="11" a="1"/>
  <c r="AQ504" i="11" s="1"/>
  <c r="AL504" i="11" a="1"/>
  <c r="AL504" i="11" s="1"/>
  <c r="AV504" i="11" a="1"/>
  <c r="AV504" i="11" s="1"/>
  <c r="W506" i="11"/>
  <c r="AB505" i="11"/>
  <c r="AG251" i="13" l="1"/>
  <c r="AH251" i="13"/>
  <c r="AE251" i="13"/>
  <c r="AF251" i="13"/>
  <c r="AR252" i="13"/>
  <c r="AQ252" i="13"/>
  <c r="AO252" i="13"/>
  <c r="AP252" i="13"/>
  <c r="AB506" i="11"/>
  <c r="W507" i="11"/>
  <c r="AQ505" i="11" a="1"/>
  <c r="AQ505" i="11" s="1"/>
  <c r="AL505" i="11" a="1"/>
  <c r="AL505" i="11" s="1"/>
  <c r="AV505" i="11" a="1"/>
  <c r="AV505" i="11" s="1"/>
  <c r="AG505" i="11" a="1"/>
  <c r="AG505" i="11" s="1"/>
  <c r="X251" i="11" l="1" a="1"/>
  <c r="AE252" i="13" a="1"/>
  <c r="AO253" i="13" a="1"/>
  <c r="AB507" i="11"/>
  <c r="W508" i="11"/>
  <c r="AL506" i="11" a="1"/>
  <c r="AL506" i="11" s="1"/>
  <c r="AV506" i="11" a="1"/>
  <c r="AV506" i="11" s="1"/>
  <c r="AG506" i="11" a="1"/>
  <c r="AG506" i="11" s="1"/>
  <c r="AQ506" i="11" a="1"/>
  <c r="AQ506" i="11" s="1"/>
  <c r="AQ253" i="13" l="1"/>
  <c r="AO253" i="13"/>
  <c r="AR253" i="13"/>
  <c r="AP253" i="13"/>
  <c r="AG252" i="13"/>
  <c r="AF252" i="13"/>
  <c r="AE252" i="13"/>
  <c r="AH252" i="13"/>
  <c r="Y251" i="11"/>
  <c r="AA251" i="11"/>
  <c r="X251" i="11"/>
  <c r="Z251" i="11"/>
  <c r="AB508" i="11"/>
  <c r="W509" i="11"/>
  <c r="AL507" i="11" a="1"/>
  <c r="AL507" i="11" s="1"/>
  <c r="AQ507" i="11" a="1"/>
  <c r="AQ507" i="11" s="1"/>
  <c r="AV507" i="11" a="1"/>
  <c r="AV507" i="11" s="1"/>
  <c r="AG507" i="11" a="1"/>
  <c r="AG507" i="11" s="1"/>
  <c r="X252" i="11" l="1" a="1"/>
  <c r="Y252" i="11"/>
  <c r="AA252" i="11"/>
  <c r="Z252" i="11"/>
  <c r="X252" i="11"/>
  <c r="AO254" i="13" a="1"/>
  <c r="AE253" i="13" a="1"/>
  <c r="AB509" i="11"/>
  <c r="W510" i="11"/>
  <c r="AQ508" i="11" a="1"/>
  <c r="AQ508" i="11" s="1"/>
  <c r="AV508" i="11" a="1"/>
  <c r="AV508" i="11" s="1"/>
  <c r="AG508" i="11" a="1"/>
  <c r="AG508" i="11" s="1"/>
  <c r="AL508" i="11" a="1"/>
  <c r="AL508" i="11" s="1"/>
  <c r="AH253" i="13" l="1"/>
  <c r="AF253" i="13"/>
  <c r="AG253" i="13"/>
  <c r="AE253" i="13"/>
  <c r="X253" i="11" s="1" a="1"/>
  <c r="AR254" i="13"/>
  <c r="AP254" i="13"/>
  <c r="AQ254" i="13"/>
  <c r="AO254" i="13"/>
  <c r="AB510" i="11"/>
  <c r="W511" i="11"/>
  <c r="AG509" i="11" a="1"/>
  <c r="AG509" i="11" s="1"/>
  <c r="AL509" i="11" a="1"/>
  <c r="AL509" i="11" s="1"/>
  <c r="AV509" i="11" a="1"/>
  <c r="AV509" i="11" s="1"/>
  <c r="AQ509" i="11" a="1"/>
  <c r="AQ509" i="11" s="1"/>
  <c r="AE254" i="13" l="1" a="1"/>
  <c r="AO255" i="13" a="1"/>
  <c r="Y253" i="11"/>
  <c r="X253" i="11"/>
  <c r="AA253" i="11"/>
  <c r="Z253" i="11"/>
  <c r="AL510" i="11" a="1"/>
  <c r="AL510" i="11" s="1"/>
  <c r="AG510" i="11" a="1"/>
  <c r="AG510" i="11" s="1"/>
  <c r="AV510" i="11" a="1"/>
  <c r="AV510" i="11" s="1"/>
  <c r="AQ510" i="11" a="1"/>
  <c r="AQ510" i="11" s="1"/>
  <c r="AB511" i="11"/>
  <c r="W512" i="11"/>
  <c r="AR255" i="13" l="1"/>
  <c r="AQ255" i="13"/>
  <c r="AP255" i="13"/>
  <c r="AO255" i="13"/>
  <c r="AH254" i="13"/>
  <c r="AF254" i="13"/>
  <c r="AE254" i="13"/>
  <c r="AG254" i="13"/>
  <c r="AV511" i="11" a="1"/>
  <c r="AV511" i="11" s="1"/>
  <c r="AG511" i="11" a="1"/>
  <c r="AG511" i="11" s="1"/>
  <c r="AL511" i="11" a="1"/>
  <c r="AL511" i="11" s="1"/>
  <c r="AQ511" i="11" a="1"/>
  <c r="AQ511" i="11" s="1"/>
  <c r="W513" i="11"/>
  <c r="AB512" i="11"/>
  <c r="X254" i="11" l="1" a="1"/>
  <c r="Y254" i="11" s="1"/>
  <c r="AO256" i="13" a="1"/>
  <c r="AE255" i="13" a="1"/>
  <c r="W514" i="11"/>
  <c r="AB513" i="11"/>
  <c r="AV512" i="11" a="1"/>
  <c r="AV512" i="11" s="1"/>
  <c r="AG512" i="11" a="1"/>
  <c r="AG512" i="11" s="1"/>
  <c r="AQ512" i="11" a="1"/>
  <c r="AQ512" i="11" s="1"/>
  <c r="AL512" i="11" a="1"/>
  <c r="AL512" i="11" s="1"/>
  <c r="AA254" i="11" l="1"/>
  <c r="X254" i="11"/>
  <c r="Z254" i="11"/>
  <c r="AR256" i="13"/>
  <c r="AP256" i="13"/>
  <c r="AQ256" i="13"/>
  <c r="AO256" i="13"/>
  <c r="AF255" i="13"/>
  <c r="AE255" i="13"/>
  <c r="AH255" i="13"/>
  <c r="AG255" i="13"/>
  <c r="AL513" i="11" a="1"/>
  <c r="AL513" i="11" s="1"/>
  <c r="AV513" i="11" a="1"/>
  <c r="AV513" i="11" s="1"/>
  <c r="AG513" i="11" a="1"/>
  <c r="AG513" i="11" s="1"/>
  <c r="AQ513" i="11" a="1"/>
  <c r="AQ513" i="11" s="1"/>
  <c r="W515" i="11"/>
  <c r="AB514" i="11"/>
  <c r="X255" i="11" l="1" a="1"/>
  <c r="AE256" i="13" a="1"/>
  <c r="AO257" i="13" a="1"/>
  <c r="AG514" i="11" a="1"/>
  <c r="AG514" i="11" s="1"/>
  <c r="AQ514" i="11" a="1"/>
  <c r="AQ514" i="11" s="1"/>
  <c r="AL514" i="11" a="1"/>
  <c r="AL514" i="11" s="1"/>
  <c r="AV514" i="11" a="1"/>
  <c r="AV514" i="11" s="1"/>
  <c r="W516" i="11"/>
  <c r="AB515" i="11"/>
  <c r="AO257" i="13" l="1"/>
  <c r="AP257" i="13"/>
  <c r="AR257" i="13"/>
  <c r="AQ257" i="13"/>
  <c r="AG256" i="13"/>
  <c r="AF256" i="13"/>
  <c r="AE256" i="13"/>
  <c r="AH256" i="13"/>
  <c r="AA255" i="11"/>
  <c r="X255" i="11"/>
  <c r="Z255" i="11"/>
  <c r="Y255" i="11"/>
  <c r="AL515" i="11" a="1"/>
  <c r="AL515" i="11" s="1"/>
  <c r="AV515" i="11" a="1"/>
  <c r="AV515" i="11" s="1"/>
  <c r="AG515" i="11" a="1"/>
  <c r="AG515" i="11" s="1"/>
  <c r="AQ515" i="11" a="1"/>
  <c r="AQ515" i="11" s="1"/>
  <c r="AB516" i="11"/>
  <c r="W517" i="11"/>
  <c r="X256" i="11" l="1" a="1"/>
  <c r="Z256" i="11" s="1"/>
  <c r="AE257" i="13" a="1"/>
  <c r="AO258" i="13" a="1"/>
  <c r="AV516" i="11" a="1"/>
  <c r="AV516" i="11" s="1"/>
  <c r="AG516" i="11" a="1"/>
  <c r="AG516" i="11" s="1"/>
  <c r="AQ516" i="11" a="1"/>
  <c r="AQ516" i="11" s="1"/>
  <c r="AL516" i="11" a="1"/>
  <c r="AL516" i="11" s="1"/>
  <c r="AB517" i="11"/>
  <c r="W518" i="11"/>
  <c r="AA256" i="11" l="1"/>
  <c r="X256" i="11"/>
  <c r="Y256" i="11"/>
  <c r="AP258" i="13"/>
  <c r="AQ258" i="13"/>
  <c r="AR258" i="13"/>
  <c r="AO258" i="13"/>
  <c r="AG257" i="13"/>
  <c r="AE257" i="13"/>
  <c r="AH257" i="13"/>
  <c r="AF257" i="13"/>
  <c r="W519" i="11"/>
  <c r="AB518" i="11"/>
  <c r="AQ517" i="11" a="1"/>
  <c r="AQ517" i="11" s="1"/>
  <c r="AG517" i="11" a="1"/>
  <c r="AG517" i="11" s="1"/>
  <c r="AV517" i="11" a="1"/>
  <c r="AV517" i="11" s="1"/>
  <c r="AL517" i="11" a="1"/>
  <c r="AL517" i="11" s="1"/>
  <c r="X257" i="11" l="1" a="1"/>
  <c r="AA257" i="11" s="1"/>
  <c r="AO259" i="13" a="1"/>
  <c r="AE258" i="13" a="1"/>
  <c r="AL518" i="11" a="1"/>
  <c r="AL518" i="11" s="1"/>
  <c r="AV518" i="11" a="1"/>
  <c r="AV518" i="11" s="1"/>
  <c r="AG518" i="11" a="1"/>
  <c r="AG518" i="11" s="1"/>
  <c r="AQ518" i="11" a="1"/>
  <c r="AQ518" i="11" s="1"/>
  <c r="AB519" i="11"/>
  <c r="W520" i="11"/>
  <c r="X257" i="11" l="1"/>
  <c r="Z257" i="11"/>
  <c r="Y257" i="11"/>
  <c r="AQ259" i="13"/>
  <c r="AO259" i="13"/>
  <c r="AP259" i="13"/>
  <c r="AR259" i="13"/>
  <c r="AE258" i="13"/>
  <c r="AH258" i="13"/>
  <c r="AG258" i="13"/>
  <c r="AF258" i="13"/>
  <c r="AL519" i="11" a="1"/>
  <c r="AL519" i="11" s="1"/>
  <c r="AQ519" i="11" a="1"/>
  <c r="AQ519" i="11" s="1"/>
  <c r="AG519" i="11" a="1"/>
  <c r="AG519" i="11" s="1"/>
  <c r="AV519" i="11" a="1"/>
  <c r="AV519" i="11" s="1"/>
  <c r="W521" i="11"/>
  <c r="AB520" i="11"/>
  <c r="AE259" i="13" l="1" a="1"/>
  <c r="AO260" i="13" a="1"/>
  <c r="X258" i="11" a="1"/>
  <c r="W522" i="11"/>
  <c r="AB521" i="11"/>
  <c r="AV520" i="11" a="1"/>
  <c r="AV520" i="11" s="1"/>
  <c r="AG520" i="11" a="1"/>
  <c r="AG520" i="11" s="1"/>
  <c r="AL520" i="11" a="1"/>
  <c r="AL520" i="11" s="1"/>
  <c r="AQ520" i="11" a="1"/>
  <c r="AQ520" i="11" s="1"/>
  <c r="AA258" i="11" l="1"/>
  <c r="Y258" i="11"/>
  <c r="Z258" i="11"/>
  <c r="X258" i="11"/>
  <c r="AP260" i="13"/>
  <c r="AQ260" i="13"/>
  <c r="AR260" i="13"/>
  <c r="AO260" i="13"/>
  <c r="AF259" i="13"/>
  <c r="AG259" i="13"/>
  <c r="AE259" i="13"/>
  <c r="AH259" i="13"/>
  <c r="W523" i="11"/>
  <c r="AB522" i="11"/>
  <c r="AQ521" i="11" a="1"/>
  <c r="AQ521" i="11" s="1"/>
  <c r="AV521" i="11" a="1"/>
  <c r="AV521" i="11" s="1"/>
  <c r="AL521" i="11" a="1"/>
  <c r="AL521" i="11" s="1"/>
  <c r="AG521" i="11" a="1"/>
  <c r="AG521" i="11" s="1"/>
  <c r="AO261" i="13" l="1" a="1"/>
  <c r="AE260" i="13" a="1"/>
  <c r="X259" i="11" a="1"/>
  <c r="AL522" i="11" a="1"/>
  <c r="AL522" i="11" s="1"/>
  <c r="AG522" i="11" a="1"/>
  <c r="AG522" i="11" s="1"/>
  <c r="AQ522" i="11" a="1"/>
  <c r="AQ522" i="11" s="1"/>
  <c r="AV522" i="11" a="1"/>
  <c r="AV522" i="11" s="1"/>
  <c r="AB523" i="11"/>
  <c r="W524" i="11"/>
  <c r="Y259" i="11" l="1"/>
  <c r="Z259" i="11"/>
  <c r="X259" i="11"/>
  <c r="AA259" i="11"/>
  <c r="AE260" i="13"/>
  <c r="AH260" i="13"/>
  <c r="AF260" i="13"/>
  <c r="AG260" i="13"/>
  <c r="AR261" i="13"/>
  <c r="AQ261" i="13"/>
  <c r="AO261" i="13"/>
  <c r="AP261" i="13"/>
  <c r="AB524" i="11"/>
  <c r="W525" i="11"/>
  <c r="AL523" i="11" a="1"/>
  <c r="AL523" i="11" s="1"/>
  <c r="AV523" i="11" a="1"/>
  <c r="AV523" i="11" s="1"/>
  <c r="AQ523" i="11" a="1"/>
  <c r="AQ523" i="11" s="1"/>
  <c r="AG523" i="11" a="1"/>
  <c r="AG523" i="11" s="1"/>
  <c r="X260" i="11" l="1" a="1"/>
  <c r="AE261" i="13" a="1"/>
  <c r="AO262" i="13" a="1"/>
  <c r="AB525" i="11"/>
  <c r="W526" i="11"/>
  <c r="AL524" i="11" a="1"/>
  <c r="AL524" i="11" s="1"/>
  <c r="AG524" i="11" a="1"/>
  <c r="AG524" i="11" s="1"/>
  <c r="AV524" i="11" a="1"/>
  <c r="AV524" i="11" s="1"/>
  <c r="AQ524" i="11" a="1"/>
  <c r="AQ524" i="11" s="1"/>
  <c r="AP262" i="13" l="1"/>
  <c r="AO262" i="13"/>
  <c r="AQ262" i="13"/>
  <c r="AR262" i="13"/>
  <c r="AG261" i="13"/>
  <c r="AE261" i="13"/>
  <c r="AH261" i="13"/>
  <c r="AF261" i="13"/>
  <c r="Z260" i="11"/>
  <c r="Y260" i="11"/>
  <c r="AA260" i="11"/>
  <c r="X260" i="11"/>
  <c r="AB526" i="11"/>
  <c r="W527" i="11"/>
  <c r="AQ525" i="11" a="1"/>
  <c r="AQ525" i="11" s="1"/>
  <c r="AL525" i="11" a="1"/>
  <c r="AL525" i="11" s="1"/>
  <c r="AV525" i="11" a="1"/>
  <c r="AV525" i="11" s="1"/>
  <c r="AG525" i="11" a="1"/>
  <c r="AG525" i="11" s="1"/>
  <c r="X261" i="11" l="1" a="1"/>
  <c r="Y261" i="11" s="1"/>
  <c r="AO263" i="13" a="1"/>
  <c r="AE262" i="13" a="1"/>
  <c r="W528" i="11"/>
  <c r="AB527" i="11"/>
  <c r="AV526" i="11" a="1"/>
  <c r="AV526" i="11" s="1"/>
  <c r="AG526" i="11" a="1"/>
  <c r="AG526" i="11" s="1"/>
  <c r="AQ526" i="11" a="1"/>
  <c r="AQ526" i="11" s="1"/>
  <c r="AL526" i="11" a="1"/>
  <c r="AL526" i="11" s="1"/>
  <c r="AA261" i="11" l="1"/>
  <c r="Z261" i="11"/>
  <c r="X261" i="11"/>
  <c r="AG262" i="13"/>
  <c r="AF262" i="13"/>
  <c r="AE262" i="13"/>
  <c r="AH262" i="13"/>
  <c r="AP263" i="13"/>
  <c r="AO263" i="13"/>
  <c r="AQ263" i="13"/>
  <c r="AR263" i="13"/>
  <c r="AB528" i="11"/>
  <c r="W529" i="11"/>
  <c r="AG527" i="11" a="1"/>
  <c r="AG527" i="11" s="1"/>
  <c r="AV527" i="11" a="1"/>
  <c r="AV527" i="11" s="1"/>
  <c r="AL527" i="11" a="1"/>
  <c r="AL527" i="11" s="1"/>
  <c r="AQ527" i="11" a="1"/>
  <c r="AQ527" i="11" s="1"/>
  <c r="AO264" i="13" l="1" a="1"/>
  <c r="AE263" i="13" a="1"/>
  <c r="X262" i="11" a="1"/>
  <c r="W530" i="11"/>
  <c r="AB529" i="11"/>
  <c r="AL528" i="11" a="1"/>
  <c r="AL528" i="11" s="1"/>
  <c r="AV528" i="11" a="1"/>
  <c r="AV528" i="11" s="1"/>
  <c r="AQ528" i="11" a="1"/>
  <c r="AQ528" i="11" s="1"/>
  <c r="AG528" i="11" a="1"/>
  <c r="AG528" i="11" s="1"/>
  <c r="X262" i="11" l="1"/>
  <c r="Z262" i="11"/>
  <c r="Y262" i="11"/>
  <c r="AA262" i="11"/>
  <c r="AF263" i="13"/>
  <c r="AG263" i="13"/>
  <c r="AE263" i="13"/>
  <c r="AH263" i="13"/>
  <c r="AR264" i="13"/>
  <c r="AQ264" i="13"/>
  <c r="AP264" i="13"/>
  <c r="AO264" i="13"/>
  <c r="AL529" i="11" a="1"/>
  <c r="AL529" i="11" s="1"/>
  <c r="AQ529" i="11" a="1"/>
  <c r="AQ529" i="11" s="1"/>
  <c r="AG529" i="11" a="1"/>
  <c r="AG529" i="11" s="1"/>
  <c r="AV529" i="11" a="1"/>
  <c r="AV529" i="11" s="1"/>
  <c r="AB530" i="11"/>
  <c r="W531" i="11"/>
  <c r="X263" i="11" l="1" a="1"/>
  <c r="AE264" i="13" a="1"/>
  <c r="AO265" i="13" a="1"/>
  <c r="AV530" i="11" a="1"/>
  <c r="AV530" i="11" s="1"/>
  <c r="AQ530" i="11" a="1"/>
  <c r="AQ530" i="11" s="1"/>
  <c r="AL530" i="11" a="1"/>
  <c r="AL530" i="11" s="1"/>
  <c r="AG530" i="11" a="1"/>
  <c r="AG530" i="11" s="1"/>
  <c r="AB531" i="11"/>
  <c r="W532" i="11"/>
  <c r="AE264" i="13" l="1"/>
  <c r="AH264" i="13"/>
  <c r="AF264" i="13"/>
  <c r="AG264" i="13"/>
  <c r="AP265" i="13"/>
  <c r="AO265" i="13"/>
  <c r="AR265" i="13"/>
  <c r="AQ265" i="13"/>
  <c r="X263" i="11"/>
  <c r="AA263" i="11"/>
  <c r="Y263" i="11"/>
  <c r="Z263" i="11"/>
  <c r="AB532" i="11"/>
  <c r="W533" i="11"/>
  <c r="AV531" i="11" a="1"/>
  <c r="AV531" i="11" s="1"/>
  <c r="AL531" i="11" a="1"/>
  <c r="AL531" i="11" s="1"/>
  <c r="AG531" i="11" a="1"/>
  <c r="AG531" i="11" s="1"/>
  <c r="AQ531" i="11" a="1"/>
  <c r="AQ531" i="11" s="1"/>
  <c r="AE265" i="13" l="1" a="1"/>
  <c r="AO266" i="13" a="1"/>
  <c r="X264" i="11" a="1"/>
  <c r="AB533" i="11"/>
  <c r="W534" i="11"/>
  <c r="AQ532" i="11" a="1"/>
  <c r="AQ532" i="11" s="1"/>
  <c r="AV532" i="11" a="1"/>
  <c r="AV532" i="11" s="1"/>
  <c r="AG532" i="11" a="1"/>
  <c r="AG532" i="11" s="1"/>
  <c r="AL532" i="11" a="1"/>
  <c r="AL532" i="11" s="1"/>
  <c r="Y264" i="11" l="1"/>
  <c r="AA264" i="11"/>
  <c r="Z264" i="11"/>
  <c r="X264" i="11"/>
  <c r="AQ266" i="13"/>
  <c r="AR266" i="13"/>
  <c r="AP266" i="13"/>
  <c r="AO266" i="13"/>
  <c r="AG265" i="13"/>
  <c r="AF265" i="13"/>
  <c r="AH265" i="13"/>
  <c r="AE265" i="13"/>
  <c r="X265" i="11" s="1" a="1"/>
  <c r="AB534" i="11"/>
  <c r="W535" i="11"/>
  <c r="AL533" i="11" a="1"/>
  <c r="AL533" i="11" s="1"/>
  <c r="AQ533" i="11" a="1"/>
  <c r="AQ533" i="11" s="1"/>
  <c r="AV533" i="11" a="1"/>
  <c r="AV533" i="11" s="1"/>
  <c r="AG533" i="11" a="1"/>
  <c r="AG533" i="11" s="1"/>
  <c r="AE266" i="13" l="1" a="1"/>
  <c r="AO267" i="13" a="1"/>
  <c r="Z265" i="11"/>
  <c r="X265" i="11"/>
  <c r="AA265" i="11"/>
  <c r="Y265" i="11"/>
  <c r="AB535" i="11"/>
  <c r="W536" i="11"/>
  <c r="AQ534" i="11" a="1"/>
  <c r="AQ534" i="11" s="1"/>
  <c r="AL534" i="11" a="1"/>
  <c r="AL534" i="11" s="1"/>
  <c r="AG534" i="11" a="1"/>
  <c r="AG534" i="11" s="1"/>
  <c r="AV534" i="11" a="1"/>
  <c r="AV534" i="11" s="1"/>
  <c r="AP267" i="13" l="1"/>
  <c r="AQ267" i="13"/>
  <c r="AR267" i="13"/>
  <c r="AO267" i="13"/>
  <c r="AH266" i="13"/>
  <c r="AF266" i="13"/>
  <c r="AE266" i="13"/>
  <c r="AG266" i="13"/>
  <c r="W537" i="11"/>
  <c r="AB536" i="11"/>
  <c r="AV535" i="11" a="1"/>
  <c r="AV535" i="11" s="1"/>
  <c r="AL535" i="11" a="1"/>
  <c r="AL535" i="11" s="1"/>
  <c r="AQ535" i="11" a="1"/>
  <c r="AQ535" i="11" s="1"/>
  <c r="AG535" i="11" a="1"/>
  <c r="AG535" i="11" s="1"/>
  <c r="X266" i="11" l="1" a="1"/>
  <c r="Z266" i="11" s="1"/>
  <c r="AA266" i="11"/>
  <c r="AE267" i="13" a="1"/>
  <c r="AO268" i="13" a="1"/>
  <c r="AQ536" i="11" a="1"/>
  <c r="AQ536" i="11" s="1"/>
  <c r="AL536" i="11" a="1"/>
  <c r="AL536" i="11" s="1"/>
  <c r="AV536" i="11" a="1"/>
  <c r="AV536" i="11" s="1"/>
  <c r="AG536" i="11" a="1"/>
  <c r="AG536" i="11" s="1"/>
  <c r="W538" i="11"/>
  <c r="AB537" i="11"/>
  <c r="X266" i="11" l="1"/>
  <c r="Y266" i="11"/>
  <c r="AH267" i="13"/>
  <c r="AG267" i="13"/>
  <c r="AF267" i="13"/>
  <c r="AE267" i="13"/>
  <c r="X267" i="11" s="1" a="1"/>
  <c r="AP268" i="13"/>
  <c r="AR268" i="13"/>
  <c r="AO268" i="13"/>
  <c r="AQ268" i="13"/>
  <c r="AV537" i="11" a="1"/>
  <c r="AV537" i="11" s="1"/>
  <c r="AG537" i="11" a="1"/>
  <c r="AG537" i="11" s="1"/>
  <c r="AL537" i="11" a="1"/>
  <c r="AL537" i="11" s="1"/>
  <c r="AQ537" i="11" a="1"/>
  <c r="AQ537" i="11" s="1"/>
  <c r="W539" i="11"/>
  <c r="AB538" i="11"/>
  <c r="Y267" i="11" l="1"/>
  <c r="AA267" i="11"/>
  <c r="X267" i="11"/>
  <c r="Z267" i="11"/>
  <c r="AE268" i="13" a="1"/>
  <c r="AO269" i="13" a="1"/>
  <c r="W540" i="11"/>
  <c r="AB539" i="11"/>
  <c r="AG538" i="11" a="1"/>
  <c r="AG538" i="11" s="1"/>
  <c r="AQ538" i="11" a="1"/>
  <c r="AQ538" i="11" s="1"/>
  <c r="AV538" i="11" a="1"/>
  <c r="AV538" i="11" s="1"/>
  <c r="AL538" i="11" a="1"/>
  <c r="AL538" i="11" s="1"/>
  <c r="AF268" i="13" l="1"/>
  <c r="AG268" i="13"/>
  <c r="AE268" i="13"/>
  <c r="AH268" i="13"/>
  <c r="AP269" i="13"/>
  <c r="AR269" i="13"/>
  <c r="AQ269" i="13"/>
  <c r="AO269" i="13"/>
  <c r="AG539" i="11" a="1"/>
  <c r="AG539" i="11" s="1"/>
  <c r="AL539" i="11" a="1"/>
  <c r="AL539" i="11" s="1"/>
  <c r="AV539" i="11" a="1"/>
  <c r="AV539" i="11" s="1"/>
  <c r="AQ539" i="11" a="1"/>
  <c r="AQ539" i="11" s="1"/>
  <c r="W541" i="11"/>
  <c r="AB540" i="11"/>
  <c r="X268" i="11" l="1" a="1"/>
  <c r="AO270" i="13" a="1"/>
  <c r="AE269" i="13" a="1"/>
  <c r="X268" i="11"/>
  <c r="Z268" i="11"/>
  <c r="Y268" i="11"/>
  <c r="AA268" i="11"/>
  <c r="AL540" i="11" a="1"/>
  <c r="AL540" i="11" s="1"/>
  <c r="AQ540" i="11" a="1"/>
  <c r="AQ540" i="11" s="1"/>
  <c r="AG540" i="11" a="1"/>
  <c r="AG540" i="11" s="1"/>
  <c r="AV540" i="11" a="1"/>
  <c r="AV540" i="11" s="1"/>
  <c r="AB541" i="11"/>
  <c r="W542" i="11"/>
  <c r="AF269" i="13" l="1"/>
  <c r="AG269" i="13"/>
  <c r="AE269" i="13"/>
  <c r="AH269" i="13"/>
  <c r="AR270" i="13"/>
  <c r="AO270" i="13"/>
  <c r="AQ270" i="13"/>
  <c r="AP270" i="13"/>
  <c r="W543" i="11"/>
  <c r="AB542" i="11"/>
  <c r="AL541" i="11" a="1"/>
  <c r="AL541" i="11" s="1"/>
  <c r="AQ541" i="11" a="1"/>
  <c r="AQ541" i="11" s="1"/>
  <c r="AG541" i="11" a="1"/>
  <c r="AG541" i="11" s="1"/>
  <c r="AV541" i="11" a="1"/>
  <c r="AV541" i="11" s="1"/>
  <c r="AE270" i="13" l="1" a="1"/>
  <c r="AO271" i="13" a="1"/>
  <c r="X269" i="11" a="1"/>
  <c r="AG542" i="11" a="1"/>
  <c r="AG542" i="11" s="1"/>
  <c r="AQ542" i="11" a="1"/>
  <c r="AQ542" i="11" s="1"/>
  <c r="AV542" i="11" a="1"/>
  <c r="AV542" i="11" s="1"/>
  <c r="AL542" i="11" a="1"/>
  <c r="AL542" i="11" s="1"/>
  <c r="AB543" i="11"/>
  <c r="W544" i="11"/>
  <c r="Y269" i="11" l="1"/>
  <c r="AA269" i="11"/>
  <c r="X269" i="11"/>
  <c r="Z269" i="11"/>
  <c r="AP271" i="13"/>
  <c r="AR271" i="13"/>
  <c r="AO271" i="13"/>
  <c r="AQ271" i="13"/>
  <c r="AE270" i="13"/>
  <c r="AH270" i="13"/>
  <c r="AF270" i="13"/>
  <c r="AG270" i="13"/>
  <c r="AG543" i="11" a="1"/>
  <c r="AG543" i="11" s="1"/>
  <c r="AV543" i="11" a="1"/>
  <c r="AV543" i="11" s="1"/>
  <c r="AL543" i="11" a="1"/>
  <c r="AL543" i="11" s="1"/>
  <c r="AQ543" i="11" a="1"/>
  <c r="AQ543" i="11" s="1"/>
  <c r="W545" i="11"/>
  <c r="AB544" i="11"/>
  <c r="AE271" i="13" l="1" a="1"/>
  <c r="AO272" i="13" a="1"/>
  <c r="X270" i="11" a="1"/>
  <c r="AQ544" i="11" a="1"/>
  <c r="AQ544" i="11" s="1"/>
  <c r="AG544" i="11" a="1"/>
  <c r="AG544" i="11" s="1"/>
  <c r="AL544" i="11" a="1"/>
  <c r="AL544" i="11" s="1"/>
  <c r="AV544" i="11" a="1"/>
  <c r="AV544" i="11" s="1"/>
  <c r="AB545" i="11"/>
  <c r="W546" i="11"/>
  <c r="X270" i="11" l="1"/>
  <c r="Y270" i="11"/>
  <c r="AA270" i="11"/>
  <c r="Z270" i="11"/>
  <c r="AP272" i="13"/>
  <c r="AR272" i="13"/>
  <c r="AQ272" i="13"/>
  <c r="AO272" i="13"/>
  <c r="AF271" i="13"/>
  <c r="AE271" i="13"/>
  <c r="AH271" i="13"/>
  <c r="AG271" i="13"/>
  <c r="AL545" i="11" a="1"/>
  <c r="AL545" i="11" s="1"/>
  <c r="AQ545" i="11" a="1"/>
  <c r="AQ545" i="11" s="1"/>
  <c r="AV545" i="11" a="1"/>
  <c r="AV545" i="11" s="1"/>
  <c r="AG545" i="11" a="1"/>
  <c r="AG545" i="11" s="1"/>
  <c r="AB546" i="11"/>
  <c r="W547" i="11"/>
  <c r="AE272" i="13" l="1" a="1"/>
  <c r="AO273" i="13" a="1"/>
  <c r="X271" i="11" a="1"/>
  <c r="AB547" i="11"/>
  <c r="W548" i="11"/>
  <c r="AV546" i="11" a="1"/>
  <c r="AV546" i="11" s="1"/>
  <c r="AL546" i="11" a="1"/>
  <c r="AL546" i="11" s="1"/>
  <c r="AQ546" i="11" a="1"/>
  <c r="AQ546" i="11" s="1"/>
  <c r="AG546" i="11" a="1"/>
  <c r="AG546" i="11" s="1"/>
  <c r="Z271" i="11" l="1"/>
  <c r="Y271" i="11"/>
  <c r="X271" i="11"/>
  <c r="AA271" i="11"/>
  <c r="AQ273" i="13"/>
  <c r="AO273" i="13"/>
  <c r="AR273" i="13"/>
  <c r="AP273" i="13"/>
  <c r="AE272" i="13"/>
  <c r="AH272" i="13"/>
  <c r="AF272" i="13"/>
  <c r="AG272" i="13"/>
  <c r="AB548" i="11"/>
  <c r="W549" i="11"/>
  <c r="AQ547" i="11" a="1"/>
  <c r="AQ547" i="11" s="1"/>
  <c r="AL547" i="11" a="1"/>
  <c r="AL547" i="11" s="1"/>
  <c r="AG547" i="11" a="1"/>
  <c r="AG547" i="11" s="1"/>
  <c r="AV547" i="11" a="1"/>
  <c r="AV547" i="11" s="1"/>
  <c r="AE273" i="13" l="1" a="1"/>
  <c r="AO274" i="13" a="1"/>
  <c r="X272" i="11" a="1"/>
  <c r="AB549" i="11"/>
  <c r="W550" i="11"/>
  <c r="AV548" i="11" a="1"/>
  <c r="AV548" i="11" s="1"/>
  <c r="AG548" i="11" a="1"/>
  <c r="AG548" i="11" s="1"/>
  <c r="AL548" i="11" a="1"/>
  <c r="AL548" i="11" s="1"/>
  <c r="AQ548" i="11" a="1"/>
  <c r="AQ548" i="11" s="1"/>
  <c r="X272" i="11" l="1"/>
  <c r="Z272" i="11"/>
  <c r="Y272" i="11"/>
  <c r="AA272" i="11"/>
  <c r="AO274" i="13"/>
  <c r="AQ274" i="13"/>
  <c r="AR274" i="13"/>
  <c r="AP274" i="13"/>
  <c r="AE273" i="13"/>
  <c r="AF273" i="13"/>
  <c r="AH273" i="13"/>
  <c r="AG273" i="13"/>
  <c r="AB550" i="11"/>
  <c r="W551" i="11"/>
  <c r="AV549" i="11" a="1"/>
  <c r="AV549" i="11" s="1"/>
  <c r="AG549" i="11" a="1"/>
  <c r="AG549" i="11" s="1"/>
  <c r="AL549" i="11" a="1"/>
  <c r="AL549" i="11" s="1"/>
  <c r="AQ549" i="11" a="1"/>
  <c r="AQ549" i="11" s="1"/>
  <c r="AO275" i="13" l="1" a="1"/>
  <c r="AE274" i="13" a="1"/>
  <c r="X273" i="11" a="1"/>
  <c r="AB551" i="11"/>
  <c r="W552" i="11"/>
  <c r="AQ550" i="11" a="1"/>
  <c r="AQ550" i="11" s="1"/>
  <c r="AL550" i="11" a="1"/>
  <c r="AL550" i="11" s="1"/>
  <c r="AV550" i="11" a="1"/>
  <c r="AV550" i="11" s="1"/>
  <c r="AG550" i="11" a="1"/>
  <c r="AG550" i="11" s="1"/>
  <c r="Z273" i="11" l="1"/>
  <c r="Y273" i="11"/>
  <c r="X273" i="11"/>
  <c r="AA273" i="11"/>
  <c r="AG274" i="13"/>
  <c r="AF274" i="13"/>
  <c r="AH274" i="13"/>
  <c r="AE274" i="13"/>
  <c r="X274" i="11" s="1" a="1"/>
  <c r="AR275" i="13"/>
  <c r="AQ275" i="13"/>
  <c r="AO275" i="13"/>
  <c r="AP275" i="13"/>
  <c r="AB552" i="11"/>
  <c r="W553" i="11"/>
  <c r="AG551" i="11" a="1"/>
  <c r="AG551" i="11" s="1"/>
  <c r="AL551" i="11" a="1"/>
  <c r="AL551" i="11" s="1"/>
  <c r="AQ551" i="11" a="1"/>
  <c r="AQ551" i="11" s="1"/>
  <c r="AV551" i="11" a="1"/>
  <c r="AV551" i="11" s="1"/>
  <c r="AE275" i="13" l="1" a="1"/>
  <c r="AO276" i="13" a="1"/>
  <c r="X274" i="11"/>
  <c r="Y274" i="11"/>
  <c r="AA274" i="11"/>
  <c r="Z274" i="11"/>
  <c r="AB553" i="11"/>
  <c r="W554" i="11"/>
  <c r="AL552" i="11" a="1"/>
  <c r="AL552" i="11" s="1"/>
  <c r="AQ552" i="11" a="1"/>
  <c r="AQ552" i="11" s="1"/>
  <c r="AG552" i="11" a="1"/>
  <c r="AG552" i="11" s="1"/>
  <c r="AV552" i="11" a="1"/>
  <c r="AV552" i="11" s="1"/>
  <c r="AQ276" i="13" l="1"/>
  <c r="AR276" i="13"/>
  <c r="AO276" i="13"/>
  <c r="AP276" i="13"/>
  <c r="AF275" i="13"/>
  <c r="AH275" i="13"/>
  <c r="AG275" i="13"/>
  <c r="AE275" i="13"/>
  <c r="X275" i="11" s="1" a="1"/>
  <c r="AB554" i="11"/>
  <c r="W555" i="11"/>
  <c r="AG553" i="11" a="1"/>
  <c r="AG553" i="11" s="1"/>
  <c r="AQ553" i="11" a="1"/>
  <c r="AQ553" i="11" s="1"/>
  <c r="AV553" i="11" a="1"/>
  <c r="AV553" i="11" s="1"/>
  <c r="AL553" i="11" a="1"/>
  <c r="AL553" i="11" s="1"/>
  <c r="AE276" i="13" l="1" a="1"/>
  <c r="AO277" i="13" a="1"/>
  <c r="Z275" i="11"/>
  <c r="Y275" i="11"/>
  <c r="AA275" i="11"/>
  <c r="X275" i="11"/>
  <c r="W556" i="11"/>
  <c r="AB555" i="11"/>
  <c r="AV554" i="11" a="1"/>
  <c r="AV554" i="11" s="1"/>
  <c r="AQ554" i="11" a="1"/>
  <c r="AQ554" i="11" s="1"/>
  <c r="AG554" i="11" a="1"/>
  <c r="AG554" i="11" s="1"/>
  <c r="AL554" i="11" a="1"/>
  <c r="AL554" i="11" s="1"/>
  <c r="AO277" i="13" l="1"/>
  <c r="AR277" i="13"/>
  <c r="AP277" i="13"/>
  <c r="AQ277" i="13"/>
  <c r="AF276" i="13"/>
  <c r="AH276" i="13"/>
  <c r="AE276" i="13"/>
  <c r="AG276" i="13"/>
  <c r="AG555" i="11" a="1"/>
  <c r="AG555" i="11" s="1"/>
  <c r="AL555" i="11" a="1"/>
  <c r="AL555" i="11" s="1"/>
  <c r="AV555" i="11" a="1"/>
  <c r="AV555" i="11" s="1"/>
  <c r="AQ555" i="11" a="1"/>
  <c r="AQ555" i="11" s="1"/>
  <c r="AB556" i="11"/>
  <c r="W557" i="11"/>
  <c r="X276" i="11" l="1" a="1"/>
  <c r="X276" i="11" s="1"/>
  <c r="Z276" i="11"/>
  <c r="AE277" i="13" a="1"/>
  <c r="AO278" i="13" a="1"/>
  <c r="W558" i="11"/>
  <c r="AB557" i="11"/>
  <c r="AL556" i="11" a="1"/>
  <c r="AL556" i="11" s="1"/>
  <c r="AQ556" i="11" a="1"/>
  <c r="AQ556" i="11" s="1"/>
  <c r="AV556" i="11" a="1"/>
  <c r="AV556" i="11" s="1"/>
  <c r="AG556" i="11" a="1"/>
  <c r="AG556" i="11" s="1"/>
  <c r="AA276" i="11" l="1"/>
  <c r="Y276" i="11"/>
  <c r="AP278" i="13"/>
  <c r="AQ278" i="13"/>
  <c r="AR278" i="13"/>
  <c r="AO278" i="13"/>
  <c r="AF277" i="13"/>
  <c r="AE277" i="13"/>
  <c r="AG277" i="13"/>
  <c r="AH277" i="13"/>
  <c r="AB558" i="11"/>
  <c r="W559" i="11"/>
  <c r="AQ557" i="11" a="1"/>
  <c r="AQ557" i="11" s="1"/>
  <c r="AV557" i="11" a="1"/>
  <c r="AV557" i="11" s="1"/>
  <c r="AG557" i="11" a="1"/>
  <c r="AG557" i="11" s="1"/>
  <c r="AL557" i="11" a="1"/>
  <c r="AL557" i="11" s="1"/>
  <c r="X277" i="11" l="1" a="1"/>
  <c r="AO279" i="13" a="1"/>
  <c r="AE278" i="13" a="1"/>
  <c r="W560" i="11"/>
  <c r="AB559" i="11"/>
  <c r="AV558" i="11" a="1"/>
  <c r="AV558" i="11" s="1"/>
  <c r="AQ558" i="11" a="1"/>
  <c r="AQ558" i="11" s="1"/>
  <c r="AG558" i="11" a="1"/>
  <c r="AG558" i="11" s="1"/>
  <c r="AL558" i="11" a="1"/>
  <c r="AL558" i="11" s="1"/>
  <c r="AF278" i="13" l="1"/>
  <c r="AE278" i="13"/>
  <c r="AH278" i="13"/>
  <c r="AG278" i="13"/>
  <c r="AQ279" i="13"/>
  <c r="AP279" i="13"/>
  <c r="AO279" i="13"/>
  <c r="AR279" i="13"/>
  <c r="X277" i="11"/>
  <c r="Y277" i="11"/>
  <c r="Z277" i="11"/>
  <c r="AA277" i="11"/>
  <c r="AQ559" i="11" a="1"/>
  <c r="AQ559" i="11" s="1"/>
  <c r="AV559" i="11" a="1"/>
  <c r="AV559" i="11" s="1"/>
  <c r="AG559" i="11" a="1"/>
  <c r="AG559" i="11" s="1"/>
  <c r="AL559" i="11" a="1"/>
  <c r="AL559" i="11" s="1"/>
  <c r="AB560" i="11"/>
  <c r="W561" i="11"/>
  <c r="AO280" i="13" l="1" a="1"/>
  <c r="AE279" i="13" a="1"/>
  <c r="X278" i="11" a="1"/>
  <c r="AB561" i="11"/>
  <c r="W562" i="11"/>
  <c r="AG560" i="11" a="1"/>
  <c r="AG560" i="11" s="1"/>
  <c r="AV560" i="11" a="1"/>
  <c r="AV560" i="11" s="1"/>
  <c r="AL560" i="11" a="1"/>
  <c r="AL560" i="11" s="1"/>
  <c r="AQ560" i="11" a="1"/>
  <c r="AQ560" i="11" s="1"/>
  <c r="Y278" i="11" l="1"/>
  <c r="AA278" i="11"/>
  <c r="X278" i="11"/>
  <c r="Z278" i="11"/>
  <c r="AG279" i="13"/>
  <c r="AE279" i="13"/>
  <c r="AH279" i="13"/>
  <c r="AF279" i="13"/>
  <c r="AP280" i="13"/>
  <c r="AQ280" i="13"/>
  <c r="AR280" i="13"/>
  <c r="AO280" i="13"/>
  <c r="AB562" i="11"/>
  <c r="W563" i="11"/>
  <c r="AL561" i="11" a="1"/>
  <c r="AL561" i="11" s="1"/>
  <c r="AG561" i="11" a="1"/>
  <c r="AG561" i="11" s="1"/>
  <c r="AQ561" i="11" a="1"/>
  <c r="AQ561" i="11" s="1"/>
  <c r="AV561" i="11" a="1"/>
  <c r="AV561" i="11" s="1"/>
  <c r="AE280" i="13" l="1" a="1"/>
  <c r="AO281" i="13" a="1"/>
  <c r="X279" i="11" a="1"/>
  <c r="AB563" i="11"/>
  <c r="W564" i="11"/>
  <c r="AL562" i="11" a="1"/>
  <c r="AL562" i="11" s="1"/>
  <c r="AQ562" i="11" a="1"/>
  <c r="AQ562" i="11" s="1"/>
  <c r="AV562" i="11" a="1"/>
  <c r="AV562" i="11" s="1"/>
  <c r="AG562" i="11" a="1"/>
  <c r="AG562" i="11" s="1"/>
  <c r="Y279" i="11" l="1"/>
  <c r="X279" i="11"/>
  <c r="AA279" i="11"/>
  <c r="Z279" i="11"/>
  <c r="AQ281" i="13"/>
  <c r="AP281" i="13"/>
  <c r="AO281" i="13"/>
  <c r="AR281" i="13"/>
  <c r="AH280" i="13"/>
  <c r="AF280" i="13"/>
  <c r="AE280" i="13"/>
  <c r="AG280" i="13"/>
  <c r="AB564" i="11"/>
  <c r="W565" i="11"/>
  <c r="AL563" i="11" a="1"/>
  <c r="AL563" i="11" s="1"/>
  <c r="AQ563" i="11" a="1"/>
  <c r="AQ563" i="11" s="1"/>
  <c r="AV563" i="11" a="1"/>
  <c r="AV563" i="11" s="1"/>
  <c r="AG563" i="11" a="1"/>
  <c r="AG563" i="11" s="1"/>
  <c r="X280" i="11" l="1" a="1"/>
  <c r="AE281" i="13" a="1"/>
  <c r="AO282" i="13" a="1"/>
  <c r="Y280" i="11"/>
  <c r="X280" i="11"/>
  <c r="AA280" i="11"/>
  <c r="Z280" i="11"/>
  <c r="W566" i="11"/>
  <c r="AB565" i="11"/>
  <c r="AG564" i="11" a="1"/>
  <c r="AG564" i="11" s="1"/>
  <c r="AL564" i="11" a="1"/>
  <c r="AL564" i="11" s="1"/>
  <c r="AV564" i="11" a="1"/>
  <c r="AV564" i="11" s="1"/>
  <c r="AQ564" i="11" a="1"/>
  <c r="AQ564" i="11" s="1"/>
  <c r="AQ282" i="13" l="1"/>
  <c r="AP282" i="13"/>
  <c r="AO282" i="13"/>
  <c r="AR282" i="13"/>
  <c r="AE281" i="13"/>
  <c r="AF281" i="13"/>
  <c r="AH281" i="13"/>
  <c r="AG281" i="13"/>
  <c r="AQ565" i="11" a="1"/>
  <c r="AQ565" i="11" s="1"/>
  <c r="AL565" i="11" a="1"/>
  <c r="AL565" i="11" s="1"/>
  <c r="AV565" i="11" a="1"/>
  <c r="AV565" i="11" s="1"/>
  <c r="AG565" i="11" a="1"/>
  <c r="AG565" i="11" s="1"/>
  <c r="AB566" i="11"/>
  <c r="W567" i="11"/>
  <c r="X281" i="11" l="1" a="1"/>
  <c r="AO283" i="13" a="1"/>
  <c r="AE282" i="13" a="1"/>
  <c r="W568" i="11"/>
  <c r="AB567" i="11"/>
  <c r="AV566" i="11" a="1"/>
  <c r="AV566" i="11" s="1"/>
  <c r="AG566" i="11" a="1"/>
  <c r="AG566" i="11" s="1"/>
  <c r="AL566" i="11" a="1"/>
  <c r="AL566" i="11" s="1"/>
  <c r="AQ566" i="11" a="1"/>
  <c r="AQ566" i="11" s="1"/>
  <c r="AH282" i="13" l="1"/>
  <c r="AG282" i="13"/>
  <c r="AF282" i="13"/>
  <c r="AE282" i="13"/>
  <c r="AQ283" i="13"/>
  <c r="AP283" i="13"/>
  <c r="AO283" i="13"/>
  <c r="AR283" i="13"/>
  <c r="Z281" i="11"/>
  <c r="AA281" i="11"/>
  <c r="Y281" i="11"/>
  <c r="X281" i="11"/>
  <c r="AQ567" i="11" a="1"/>
  <c r="AQ567" i="11" s="1"/>
  <c r="AV567" i="11" a="1"/>
  <c r="AV567" i="11" s="1"/>
  <c r="AL567" i="11" a="1"/>
  <c r="AL567" i="11" s="1"/>
  <c r="AG567" i="11" a="1"/>
  <c r="AG567" i="11" s="1"/>
  <c r="W569" i="11"/>
  <c r="AB568" i="11"/>
  <c r="X282" i="11" l="1" a="1"/>
  <c r="AA282" i="11" s="1"/>
  <c r="AE283" i="13" a="1"/>
  <c r="AO284" i="13" a="1"/>
  <c r="AL568" i="11" a="1"/>
  <c r="AL568" i="11" s="1"/>
  <c r="AV568" i="11" a="1"/>
  <c r="AV568" i="11" s="1"/>
  <c r="AQ568" i="11" a="1"/>
  <c r="AQ568" i="11" s="1"/>
  <c r="AG568" i="11" a="1"/>
  <c r="AG568" i="11" s="1"/>
  <c r="W570" i="11"/>
  <c r="AB569" i="11"/>
  <c r="Y282" i="11" l="1"/>
  <c r="X282" i="11"/>
  <c r="Z282" i="11"/>
  <c r="AQ284" i="13"/>
  <c r="AO284" i="13"/>
  <c r="AR284" i="13"/>
  <c r="AP284" i="13"/>
  <c r="AH283" i="13"/>
  <c r="AF283" i="13"/>
  <c r="AG283" i="13"/>
  <c r="AE283" i="13"/>
  <c r="AB570" i="11"/>
  <c r="W571" i="11"/>
  <c r="AG569" i="11" a="1"/>
  <c r="AG569" i="11" s="1"/>
  <c r="AV569" i="11" a="1"/>
  <c r="AV569" i="11" s="1"/>
  <c r="AL569" i="11" a="1"/>
  <c r="AL569" i="11" s="1"/>
  <c r="AQ569" i="11" a="1"/>
  <c r="AQ569" i="11" s="1"/>
  <c r="X283" i="11" l="1" a="1"/>
  <c r="X283" i="11" s="1"/>
  <c r="AA283" i="11"/>
  <c r="Y283" i="11"/>
  <c r="Z283" i="11"/>
  <c r="AO285" i="13" a="1"/>
  <c r="AE284" i="13" a="1"/>
  <c r="AB571" i="11"/>
  <c r="W572" i="11"/>
  <c r="AV570" i="11" a="1"/>
  <c r="AV570" i="11" s="1"/>
  <c r="AG570" i="11" a="1"/>
  <c r="AG570" i="11" s="1"/>
  <c r="AL570" i="11" a="1"/>
  <c r="AL570" i="11" s="1"/>
  <c r="AQ570" i="11" a="1"/>
  <c r="AQ570" i="11" s="1"/>
  <c r="AH284" i="13" l="1"/>
  <c r="AF284" i="13"/>
  <c r="AE284" i="13"/>
  <c r="AG284" i="13"/>
  <c r="AP285" i="13"/>
  <c r="AO285" i="13"/>
  <c r="AR285" i="13"/>
  <c r="AQ285" i="13"/>
  <c r="AB572" i="11"/>
  <c r="W573" i="11"/>
  <c r="AQ571" i="11" a="1"/>
  <c r="AQ571" i="11" s="1"/>
  <c r="AL571" i="11" a="1"/>
  <c r="AL571" i="11" s="1"/>
  <c r="AV571" i="11" a="1"/>
  <c r="AV571" i="11" s="1"/>
  <c r="AG571" i="11" a="1"/>
  <c r="AG571" i="11" s="1"/>
  <c r="X284" i="11" l="1" a="1"/>
  <c r="AE285" i="13" a="1"/>
  <c r="AO286" i="13" a="1"/>
  <c r="W574" i="11"/>
  <c r="AB573" i="11"/>
  <c r="AG572" i="11" a="1"/>
  <c r="AG572" i="11" s="1"/>
  <c r="AV572" i="11" a="1"/>
  <c r="AV572" i="11" s="1"/>
  <c r="AL572" i="11" a="1"/>
  <c r="AL572" i="11" s="1"/>
  <c r="AQ572" i="11" a="1"/>
  <c r="AQ572" i="11" s="1"/>
  <c r="AQ286" i="13" l="1"/>
  <c r="AR286" i="13"/>
  <c r="AO286" i="13"/>
  <c r="AP286" i="13"/>
  <c r="AG285" i="13"/>
  <c r="AE285" i="13"/>
  <c r="AH285" i="13"/>
  <c r="AF285" i="13"/>
  <c r="AA284" i="11"/>
  <c r="Y284" i="11"/>
  <c r="X284" i="11"/>
  <c r="Z284" i="11"/>
  <c r="AG573" i="11" a="1"/>
  <c r="AG573" i="11" s="1"/>
  <c r="AL573" i="11" a="1"/>
  <c r="AL573" i="11" s="1"/>
  <c r="AQ573" i="11" a="1"/>
  <c r="AQ573" i="11" s="1"/>
  <c r="AV573" i="11" a="1"/>
  <c r="AV573" i="11" s="1"/>
  <c r="AB574" i="11"/>
  <c r="W575" i="11"/>
  <c r="X285" i="11" l="1" a="1"/>
  <c r="AO287" i="13" a="1"/>
  <c r="AE286" i="13" a="1"/>
  <c r="W576" i="11"/>
  <c r="AB575" i="11"/>
  <c r="AG574" i="11" a="1"/>
  <c r="AG574" i="11" s="1"/>
  <c r="AL574" i="11" a="1"/>
  <c r="AL574" i="11" s="1"/>
  <c r="AQ574" i="11" a="1"/>
  <c r="AQ574" i="11" s="1"/>
  <c r="AV574" i="11" a="1"/>
  <c r="AV574" i="11" s="1"/>
  <c r="AP287" i="13" l="1"/>
  <c r="AQ287" i="13"/>
  <c r="AO287" i="13"/>
  <c r="AR287" i="13"/>
  <c r="AE286" i="13"/>
  <c r="AF286" i="13"/>
  <c r="AG286" i="13"/>
  <c r="AH286" i="13"/>
  <c r="Z285" i="11"/>
  <c r="AA285" i="11"/>
  <c r="Y285" i="11"/>
  <c r="X285" i="11"/>
  <c r="AQ575" i="11" a="1"/>
  <c r="AQ575" i="11" s="1"/>
  <c r="AL575" i="11" a="1"/>
  <c r="AL575" i="11" s="1"/>
  <c r="AV575" i="11" a="1"/>
  <c r="AV575" i="11" s="1"/>
  <c r="AG575" i="11" a="1"/>
  <c r="AG575" i="11" s="1"/>
  <c r="W577" i="11"/>
  <c r="AB576" i="11"/>
  <c r="AO288" i="13" l="1" a="1"/>
  <c r="AE287" i="13" a="1"/>
  <c r="X286" i="11" a="1"/>
  <c r="AL576" i="11" a="1"/>
  <c r="AL576" i="11" s="1"/>
  <c r="AQ576" i="11" a="1"/>
  <c r="AQ576" i="11" s="1"/>
  <c r="AG576" i="11" a="1"/>
  <c r="AG576" i="11" s="1"/>
  <c r="AV576" i="11" a="1"/>
  <c r="AV576" i="11" s="1"/>
  <c r="W578" i="11"/>
  <c r="AB577" i="11"/>
  <c r="Y286" i="11" l="1"/>
  <c r="Z286" i="11"/>
  <c r="AA286" i="11"/>
  <c r="X286" i="11"/>
  <c r="AE287" i="13"/>
  <c r="AH287" i="13"/>
  <c r="AG287" i="13"/>
  <c r="AF287" i="13"/>
  <c r="AP288" i="13"/>
  <c r="AO288" i="13"/>
  <c r="AR288" i="13"/>
  <c r="AQ288" i="13"/>
  <c r="AV577" i="11" a="1"/>
  <c r="AV577" i="11" s="1"/>
  <c r="AQ577" i="11" a="1"/>
  <c r="AQ577" i="11" s="1"/>
  <c r="AL577" i="11" a="1"/>
  <c r="AL577" i="11" s="1"/>
  <c r="AG577" i="11" a="1"/>
  <c r="AG577" i="11" s="1"/>
  <c r="W579" i="11"/>
  <c r="AB578" i="11"/>
  <c r="X287" i="11" l="1" a="1"/>
  <c r="X287" i="11" s="1"/>
  <c r="AE288" i="13" a="1"/>
  <c r="AO289" i="13" a="1"/>
  <c r="AQ578" i="11" a="1"/>
  <c r="AQ578" i="11" s="1"/>
  <c r="AV578" i="11" a="1"/>
  <c r="AV578" i="11" s="1"/>
  <c r="AG578" i="11" a="1"/>
  <c r="AG578" i="11" s="1"/>
  <c r="AL578" i="11" a="1"/>
  <c r="AL578" i="11" s="1"/>
  <c r="W580" i="11"/>
  <c r="AB579" i="11"/>
  <c r="Z287" i="11" l="1"/>
  <c r="Y287" i="11"/>
  <c r="AA287" i="11"/>
  <c r="AP289" i="13"/>
  <c r="AO289" i="13"/>
  <c r="AQ289" i="13"/>
  <c r="AR289" i="13"/>
  <c r="AE288" i="13"/>
  <c r="AH288" i="13"/>
  <c r="AF288" i="13"/>
  <c r="AG288" i="13"/>
  <c r="AG579" i="11" a="1"/>
  <c r="AG579" i="11" s="1"/>
  <c r="AQ579" i="11" a="1"/>
  <c r="AQ579" i="11" s="1"/>
  <c r="AV579" i="11" a="1"/>
  <c r="AV579" i="11" s="1"/>
  <c r="AL579" i="11" a="1"/>
  <c r="AL579" i="11" s="1"/>
  <c r="AB580" i="11"/>
  <c r="W581" i="11"/>
  <c r="X288" i="11" l="1" a="1"/>
  <c r="AE289" i="13" a="1"/>
  <c r="AO290" i="13" a="1"/>
  <c r="AB581" i="11"/>
  <c r="W582" i="11"/>
  <c r="AV580" i="11" a="1"/>
  <c r="AV580" i="11" s="1"/>
  <c r="AG580" i="11" a="1"/>
  <c r="AG580" i="11" s="1"/>
  <c r="AL580" i="11" a="1"/>
  <c r="AL580" i="11" s="1"/>
  <c r="AQ580" i="11" a="1"/>
  <c r="AQ580" i="11" s="1"/>
  <c r="AF289" i="13" l="1"/>
  <c r="AE289" i="13"/>
  <c r="AH289" i="13"/>
  <c r="AG289" i="13"/>
  <c r="AP290" i="13"/>
  <c r="AQ290" i="13"/>
  <c r="AR290" i="13"/>
  <c r="AO290" i="13"/>
  <c r="AA288" i="11"/>
  <c r="Z288" i="11"/>
  <c r="Y288" i="11"/>
  <c r="X288" i="11"/>
  <c r="W583" i="11"/>
  <c r="AB582" i="11"/>
  <c r="AV581" i="11" a="1"/>
  <c r="AV581" i="11" s="1"/>
  <c r="AG581" i="11" a="1"/>
  <c r="AG581" i="11" s="1"/>
  <c r="AQ581" i="11" a="1"/>
  <c r="AQ581" i="11" s="1"/>
  <c r="AL581" i="11" a="1"/>
  <c r="AL581" i="11" s="1"/>
  <c r="X289" i="11" l="1" a="1"/>
  <c r="AE290" i="13" a="1"/>
  <c r="AO291" i="13" a="1"/>
  <c r="AB583" i="11"/>
  <c r="W584" i="11"/>
  <c r="AG582" i="11" a="1"/>
  <c r="AG582" i="11" s="1"/>
  <c r="AQ582" i="11" a="1"/>
  <c r="AQ582" i="11" s="1"/>
  <c r="AV582" i="11" a="1"/>
  <c r="AV582" i="11" s="1"/>
  <c r="AL582" i="11" a="1"/>
  <c r="AL582" i="11" s="1"/>
  <c r="AO291" i="13" l="1"/>
  <c r="AQ291" i="13"/>
  <c r="AR291" i="13"/>
  <c r="AP291" i="13"/>
  <c r="AG290" i="13"/>
  <c r="AH290" i="13"/>
  <c r="AE290" i="13"/>
  <c r="X290" i="11" s="1" a="1"/>
  <c r="AF290" i="13"/>
  <c r="AA289" i="11"/>
  <c r="Y289" i="11"/>
  <c r="Z289" i="11"/>
  <c r="X289" i="11"/>
  <c r="W585" i="11"/>
  <c r="AB584" i="11"/>
  <c r="AQ583" i="11" a="1"/>
  <c r="AQ583" i="11" s="1"/>
  <c r="AV583" i="11" a="1"/>
  <c r="AV583" i="11" s="1"/>
  <c r="AG583" i="11" a="1"/>
  <c r="AG583" i="11" s="1"/>
  <c r="AL583" i="11" a="1"/>
  <c r="AL583" i="11" s="1"/>
  <c r="Y290" i="11" l="1"/>
  <c r="AA290" i="11"/>
  <c r="X290" i="11"/>
  <c r="Z290" i="11"/>
  <c r="AO292" i="13" a="1"/>
  <c r="AE291" i="13" a="1"/>
  <c r="AG584" i="11" a="1"/>
  <c r="AG584" i="11" s="1"/>
  <c r="AL584" i="11" a="1"/>
  <c r="AL584" i="11" s="1"/>
  <c r="AV584" i="11" a="1"/>
  <c r="AV584" i="11" s="1"/>
  <c r="AQ584" i="11" a="1"/>
  <c r="AQ584" i="11" s="1"/>
  <c r="W586" i="11"/>
  <c r="AB585" i="11"/>
  <c r="AF291" i="13" l="1"/>
  <c r="AH291" i="13"/>
  <c r="AE291" i="13"/>
  <c r="AG291" i="13"/>
  <c r="AO292" i="13"/>
  <c r="AQ292" i="13"/>
  <c r="AR292" i="13"/>
  <c r="AP292" i="13"/>
  <c r="AL585" i="11" a="1"/>
  <c r="AL585" i="11" s="1"/>
  <c r="AV585" i="11" a="1"/>
  <c r="AV585" i="11" s="1"/>
  <c r="AQ585" i="11" a="1"/>
  <c r="AQ585" i="11" s="1"/>
  <c r="AG585" i="11" a="1"/>
  <c r="AG585" i="11" s="1"/>
  <c r="AB586" i="11"/>
  <c r="W587" i="11"/>
  <c r="X291" i="11" l="1" a="1"/>
  <c r="AA291" i="11" s="1"/>
  <c r="AO293" i="13" a="1"/>
  <c r="AE292" i="13" a="1"/>
  <c r="AV586" i="11" a="1"/>
  <c r="AV586" i="11" s="1"/>
  <c r="AG586" i="11" a="1"/>
  <c r="AG586" i="11" s="1"/>
  <c r="AL586" i="11" a="1"/>
  <c r="AL586" i="11" s="1"/>
  <c r="AQ586" i="11" a="1"/>
  <c r="AQ586" i="11" s="1"/>
  <c r="W588" i="11"/>
  <c r="AB587" i="11"/>
  <c r="X291" i="11" l="1"/>
  <c r="Z291" i="11"/>
  <c r="Y291" i="11"/>
  <c r="AP293" i="13"/>
  <c r="AO293" i="13"/>
  <c r="AR293" i="13"/>
  <c r="AQ293" i="13"/>
  <c r="AF292" i="13"/>
  <c r="AH292" i="13"/>
  <c r="AG292" i="13"/>
  <c r="AE292" i="13"/>
  <c r="AV587" i="11" a="1"/>
  <c r="AV587" i="11" s="1"/>
  <c r="AQ587" i="11" a="1"/>
  <c r="AQ587" i="11" s="1"/>
  <c r="AG587" i="11" a="1"/>
  <c r="AG587" i="11" s="1"/>
  <c r="AL587" i="11" a="1"/>
  <c r="AL587" i="11" s="1"/>
  <c r="W589" i="11"/>
  <c r="AB588" i="11"/>
  <c r="X292" i="11" l="1" a="1"/>
  <c r="Z292" i="11" s="1"/>
  <c r="AO294" i="13" a="1"/>
  <c r="AE293" i="13" a="1"/>
  <c r="AB589" i="11"/>
  <c r="W590" i="11"/>
  <c r="AL588" i="11" a="1"/>
  <c r="AL588" i="11" s="1"/>
  <c r="AQ588" i="11" a="1"/>
  <c r="AQ588" i="11" s="1"/>
  <c r="AV588" i="11" a="1"/>
  <c r="AV588" i="11" s="1"/>
  <c r="AG588" i="11" a="1"/>
  <c r="AG588" i="11" s="1"/>
  <c r="AA292" i="11" l="1"/>
  <c r="Y292" i="11"/>
  <c r="X292" i="11"/>
  <c r="AH293" i="13"/>
  <c r="AF293" i="13"/>
  <c r="AE293" i="13"/>
  <c r="AG293" i="13"/>
  <c r="AP294" i="13"/>
  <c r="AR294" i="13"/>
  <c r="AO294" i="13"/>
  <c r="AQ294" i="13"/>
  <c r="AB590" i="11"/>
  <c r="W591" i="11"/>
  <c r="AV589" i="11" a="1"/>
  <c r="AV589" i="11" s="1"/>
  <c r="AG589" i="11" a="1"/>
  <c r="AG589" i="11" s="1"/>
  <c r="AL589" i="11" a="1"/>
  <c r="AL589" i="11" s="1"/>
  <c r="AQ589" i="11" a="1"/>
  <c r="AQ589" i="11" s="1"/>
  <c r="AE294" i="13" l="1" a="1"/>
  <c r="AO295" i="13" a="1"/>
  <c r="X293" i="11" a="1"/>
  <c r="AB591" i="11"/>
  <c r="W592" i="11"/>
  <c r="AL590" i="11" a="1"/>
  <c r="AL590" i="11" s="1"/>
  <c r="AQ590" i="11" a="1"/>
  <c r="AQ590" i="11" s="1"/>
  <c r="AG590" i="11" a="1"/>
  <c r="AG590" i="11" s="1"/>
  <c r="AV590" i="11" a="1"/>
  <c r="AV590" i="11" s="1"/>
  <c r="AA293" i="11" l="1"/>
  <c r="X293" i="11"/>
  <c r="Y293" i="11"/>
  <c r="Z293" i="11"/>
  <c r="AP295" i="13"/>
  <c r="AQ295" i="13"/>
  <c r="AR295" i="13"/>
  <c r="AO295" i="13"/>
  <c r="AE294" i="13"/>
  <c r="AG294" i="13"/>
  <c r="AH294" i="13"/>
  <c r="AF294" i="13"/>
  <c r="W593" i="11"/>
  <c r="AB592" i="11"/>
  <c r="AG591" i="11" a="1"/>
  <c r="AG591" i="11" s="1"/>
  <c r="AQ591" i="11" a="1"/>
  <c r="AQ591" i="11" s="1"/>
  <c r="AV591" i="11" a="1"/>
  <c r="AV591" i="11" s="1"/>
  <c r="AL591" i="11" a="1"/>
  <c r="AL591" i="11" s="1"/>
  <c r="AE295" i="13" l="1" a="1"/>
  <c r="AO296" i="13" a="1"/>
  <c r="X294" i="11" a="1"/>
  <c r="AL592" i="11" a="1"/>
  <c r="AL592" i="11" s="1"/>
  <c r="AV592" i="11" a="1"/>
  <c r="AV592" i="11" s="1"/>
  <c r="AQ592" i="11" a="1"/>
  <c r="AQ592" i="11" s="1"/>
  <c r="AG592" i="11" a="1"/>
  <c r="AG592" i="11" s="1"/>
  <c r="W594" i="11"/>
  <c r="AB593" i="11"/>
  <c r="Z294" i="11" l="1"/>
  <c r="Y294" i="11"/>
  <c r="AA294" i="11"/>
  <c r="X294" i="11"/>
  <c r="AQ296" i="13"/>
  <c r="AO296" i="13"/>
  <c r="AP296" i="13"/>
  <c r="AR296" i="13"/>
  <c r="AF295" i="13"/>
  <c r="AH295" i="13"/>
  <c r="AG295" i="13"/>
  <c r="AE295" i="13"/>
  <c r="X295" i="11" s="1" a="1"/>
  <c r="AB594" i="11"/>
  <c r="W595" i="11"/>
  <c r="AV593" i="11" a="1"/>
  <c r="AV593" i="11" s="1"/>
  <c r="AG593" i="11" a="1"/>
  <c r="AG593" i="11" s="1"/>
  <c r="AL593" i="11" a="1"/>
  <c r="AL593" i="11" s="1"/>
  <c r="AQ593" i="11" a="1"/>
  <c r="AQ593" i="11" s="1"/>
  <c r="Z295" i="11" l="1"/>
  <c r="X295" i="11"/>
  <c r="Y295" i="11"/>
  <c r="AA295" i="11"/>
  <c r="AO297" i="13" a="1"/>
  <c r="AE296" i="13" a="1"/>
  <c r="AB595" i="11"/>
  <c r="W596" i="11"/>
  <c r="AL594" i="11" a="1"/>
  <c r="AL594" i="11" s="1"/>
  <c r="AQ594" i="11" a="1"/>
  <c r="AQ594" i="11" s="1"/>
  <c r="AV594" i="11" a="1"/>
  <c r="AV594" i="11" s="1"/>
  <c r="AG594" i="11" a="1"/>
  <c r="AG594" i="11" s="1"/>
  <c r="AP297" i="13" l="1"/>
  <c r="AO297" i="13"/>
  <c r="AQ297" i="13"/>
  <c r="AR297" i="13"/>
  <c r="AG296" i="13"/>
  <c r="AF296" i="13"/>
  <c r="AE296" i="13"/>
  <c r="AH296" i="13"/>
  <c r="AB596" i="11"/>
  <c r="W597" i="11"/>
  <c r="AG595" i="11" a="1"/>
  <c r="AG595" i="11" s="1"/>
  <c r="AL595" i="11" a="1"/>
  <c r="AL595" i="11" s="1"/>
  <c r="AV595" i="11" a="1"/>
  <c r="AV595" i="11" s="1"/>
  <c r="AQ595" i="11" a="1"/>
  <c r="AQ595" i="11" s="1"/>
  <c r="X296" i="11" l="1" a="1"/>
  <c r="Y296" i="11" s="1"/>
  <c r="X296" i="11"/>
  <c r="AA296" i="11"/>
  <c r="Z296" i="11"/>
  <c r="AE297" i="13" a="1"/>
  <c r="AO298" i="13" a="1"/>
  <c r="W598" i="11"/>
  <c r="AB597" i="11"/>
  <c r="AG596" i="11" a="1"/>
  <c r="AG596" i="11" s="1"/>
  <c r="AQ596" i="11" a="1"/>
  <c r="AQ596" i="11" s="1"/>
  <c r="AL596" i="11" a="1"/>
  <c r="AL596" i="11" s="1"/>
  <c r="AV596" i="11" a="1"/>
  <c r="AV596" i="11" s="1"/>
  <c r="AR298" i="13" l="1"/>
  <c r="AP298" i="13"/>
  <c r="AO298" i="13"/>
  <c r="AQ298" i="13"/>
  <c r="AF297" i="13"/>
  <c r="AG297" i="13"/>
  <c r="AE297" i="13"/>
  <c r="AH297" i="13"/>
  <c r="AV597" i="11" a="1"/>
  <c r="AV597" i="11" s="1"/>
  <c r="AQ597" i="11" a="1"/>
  <c r="AQ597" i="11" s="1"/>
  <c r="AG597" i="11" a="1"/>
  <c r="AG597" i="11" s="1"/>
  <c r="AL597" i="11" a="1"/>
  <c r="AL597" i="11" s="1"/>
  <c r="W599" i="11"/>
  <c r="AB598" i="11"/>
  <c r="X297" i="11" l="1" a="1"/>
  <c r="Z297" i="11" s="1"/>
  <c r="AA297" i="11"/>
  <c r="Y297" i="11"/>
  <c r="X297" i="11"/>
  <c r="AO299" i="13" a="1"/>
  <c r="AE298" i="13" a="1"/>
  <c r="AV598" i="11" a="1"/>
  <c r="AV598" i="11" s="1"/>
  <c r="AL598" i="11" a="1"/>
  <c r="AL598" i="11" s="1"/>
  <c r="AG598" i="11" a="1"/>
  <c r="AG598" i="11" s="1"/>
  <c r="AQ598" i="11" a="1"/>
  <c r="AQ598" i="11" s="1"/>
  <c r="W600" i="11"/>
  <c r="AB599" i="11"/>
  <c r="AR299" i="13" l="1"/>
  <c r="AO299" i="13"/>
  <c r="AQ299" i="13"/>
  <c r="AP299" i="13"/>
  <c r="AF298" i="13"/>
  <c r="AE298" i="13"/>
  <c r="AH298" i="13"/>
  <c r="AG298" i="13"/>
  <c r="AL599" i="11" a="1"/>
  <c r="AL599" i="11" s="1"/>
  <c r="AV599" i="11" a="1"/>
  <c r="AV599" i="11" s="1"/>
  <c r="AG599" i="11" a="1"/>
  <c r="AG599" i="11" s="1"/>
  <c r="AQ599" i="11" a="1"/>
  <c r="AQ599" i="11" s="1"/>
  <c r="AB600" i="11"/>
  <c r="W601" i="11"/>
  <c r="X298" i="11" l="1" a="1"/>
  <c r="AE299" i="13" a="1"/>
  <c r="AO300" i="13" a="1"/>
  <c r="W602" i="11"/>
  <c r="AB602" i="11" s="1"/>
  <c r="AB601" i="11"/>
  <c r="AV600" i="11" a="1"/>
  <c r="AV600" i="11" s="1"/>
  <c r="AQ600" i="11" a="1"/>
  <c r="AQ600" i="11" s="1"/>
  <c r="AG600" i="11" a="1"/>
  <c r="AG600" i="11" s="1"/>
  <c r="AL600" i="11" a="1"/>
  <c r="AL600" i="11" s="1"/>
  <c r="AO300" i="13" l="1"/>
  <c r="AP300" i="13"/>
  <c r="AR300" i="13"/>
  <c r="AQ300" i="13"/>
  <c r="AG299" i="13"/>
  <c r="AE299" i="13"/>
  <c r="AH299" i="13"/>
  <c r="AF299" i="13"/>
  <c r="Z298" i="11"/>
  <c r="AA298" i="11"/>
  <c r="X298" i="11"/>
  <c r="Y298" i="11"/>
  <c r="AV601" i="11" a="1"/>
  <c r="AV601" i="11" s="1"/>
  <c r="AG601" i="11" a="1"/>
  <c r="AG601" i="11" s="1"/>
  <c r="AQ601" i="11" a="1"/>
  <c r="AQ601" i="11" s="1"/>
  <c r="AL601" i="11" a="1"/>
  <c r="AL601" i="11" s="1"/>
  <c r="AG602" i="11" a="1"/>
  <c r="AG602" i="11" s="1"/>
  <c r="AV602" i="11" a="1"/>
  <c r="AV602" i="11" s="1"/>
  <c r="AQ602" i="11" a="1"/>
  <c r="AQ602" i="11" s="1"/>
  <c r="AL602" i="11" a="1"/>
  <c r="AL602" i="11" s="1"/>
  <c r="X299" i="11" l="1" a="1"/>
  <c r="AE300" i="13" a="1"/>
  <c r="AO301" i="13" a="1"/>
  <c r="AH300" i="13" l="1"/>
  <c r="AE300" i="13"/>
  <c r="AF300" i="13"/>
  <c r="AG300" i="13"/>
  <c r="AQ301" i="13"/>
  <c r="AR301" i="13"/>
  <c r="AO301" i="13"/>
  <c r="AP301" i="13"/>
  <c r="X299" i="11"/>
  <c r="Y299" i="11"/>
  <c r="AA299" i="11"/>
  <c r="Z299" i="11"/>
  <c r="X300" i="11" l="1" a="1"/>
  <c r="Z300" i="11" s="1"/>
  <c r="AO302" i="13" a="1"/>
  <c r="AE301" i="13" a="1"/>
  <c r="X300" i="11"/>
  <c r="AA300" i="11"/>
  <c r="Y300" i="11" l="1"/>
  <c r="AF301" i="13"/>
  <c r="AH301" i="13"/>
  <c r="AG301" i="13"/>
  <c r="AE301" i="13"/>
  <c r="AR302" i="13"/>
  <c r="AP302" i="13"/>
  <c r="AQ302" i="13"/>
  <c r="AO302" i="13"/>
  <c r="X301" i="11" l="1" a="1"/>
  <c r="AA301" i="11" s="1"/>
  <c r="Z301" i="11"/>
  <c r="X301" i="11"/>
  <c r="AE302" i="13" a="1"/>
  <c r="AO303" i="13" a="1"/>
  <c r="Y301" i="11" l="1"/>
  <c r="AO303" i="13"/>
  <c r="AR303" i="13"/>
  <c r="AP303" i="13"/>
  <c r="AQ303" i="13"/>
  <c r="AG302" i="13"/>
  <c r="AE302" i="13"/>
  <c r="AH302" i="13"/>
  <c r="AF302" i="13"/>
  <c r="X302" i="11" l="1" a="1"/>
  <c r="Z302" i="11" s="1"/>
  <c r="AA302" i="11"/>
  <c r="AO304" i="13" a="1"/>
  <c r="AE303" i="13" a="1"/>
  <c r="X302" i="11" l="1"/>
  <c r="Y302" i="11"/>
  <c r="AP304" i="13"/>
  <c r="AR304" i="13"/>
  <c r="AQ304" i="13"/>
  <c r="AO304" i="13"/>
  <c r="AH303" i="13"/>
  <c r="AG303" i="13"/>
  <c r="AF303" i="13"/>
  <c r="AE303" i="13"/>
  <c r="X303" i="11" l="1" a="1"/>
  <c r="Z303" i="11" s="1"/>
  <c r="AA303" i="11"/>
  <c r="X303" i="11"/>
  <c r="AE304" i="13" a="1"/>
  <c r="AO305" i="13" a="1"/>
  <c r="Y303" i="11" l="1"/>
  <c r="AE304" i="13"/>
  <c r="AG304" i="13"/>
  <c r="AF304" i="13"/>
  <c r="AH304" i="13"/>
  <c r="AR305" i="13"/>
  <c r="AQ305" i="13"/>
  <c r="AP305" i="13"/>
  <c r="AO305" i="13"/>
  <c r="AO306" i="13" l="1" a="1"/>
  <c r="AE305" i="13" a="1"/>
  <c r="X304" i="11" a="1"/>
  <c r="AA304" i="11" l="1"/>
  <c r="Z304" i="11"/>
  <c r="X304" i="11"/>
  <c r="Y304" i="11"/>
  <c r="AG305" i="13"/>
  <c r="AF305" i="13"/>
  <c r="AH305" i="13"/>
  <c r="AE305" i="13"/>
  <c r="X305" i="11" s="1" a="1"/>
  <c r="AO306" i="13"/>
  <c r="AR306" i="13"/>
  <c r="AQ306" i="13"/>
  <c r="AP306" i="13"/>
  <c r="X305" i="11" l="1"/>
  <c r="Z305" i="11"/>
  <c r="Y305" i="11"/>
  <c r="AA305" i="11"/>
  <c r="AE306" i="13" a="1"/>
  <c r="AO307" i="13" a="1"/>
  <c r="AF306" i="13" l="1"/>
  <c r="AG306" i="13"/>
  <c r="AE306" i="13"/>
  <c r="AH306" i="13"/>
  <c r="AQ307" i="13"/>
  <c r="AP307" i="13"/>
  <c r="AR307" i="13"/>
  <c r="AO307" i="13"/>
  <c r="AE307" i="13" l="1" a="1"/>
  <c r="AO308" i="13" a="1"/>
  <c r="X306" i="11" a="1"/>
  <c r="Z306" i="11" l="1"/>
  <c r="Y306" i="11"/>
  <c r="X306" i="11"/>
  <c r="AA306" i="11"/>
  <c r="AR308" i="13"/>
  <c r="AO308" i="13"/>
  <c r="AP308" i="13"/>
  <c r="AQ308" i="13"/>
  <c r="AF307" i="13"/>
  <c r="AE307" i="13"/>
  <c r="AG307" i="13"/>
  <c r="AH307" i="13"/>
  <c r="X307" i="11" l="1" a="1"/>
  <c r="Z307" i="11" s="1"/>
  <c r="AE308" i="13" a="1"/>
  <c r="AO309" i="13" a="1"/>
  <c r="Y307" i="11" l="1"/>
  <c r="AA307" i="11"/>
  <c r="X307" i="11"/>
  <c r="AQ309" i="13"/>
  <c r="AP309" i="13"/>
  <c r="AO309" i="13"/>
  <c r="AR309" i="13"/>
  <c r="AG308" i="13"/>
  <c r="AH308" i="13"/>
  <c r="AE308" i="13"/>
  <c r="AF308" i="13"/>
  <c r="AE309" i="13" l="1" a="1"/>
  <c r="AO310" i="13" a="1"/>
  <c r="X308" i="11" a="1"/>
  <c r="Z308" i="11" l="1"/>
  <c r="Y308" i="11"/>
  <c r="AA308" i="11"/>
  <c r="X308" i="11"/>
  <c r="AQ310" i="13"/>
  <c r="AP310" i="13"/>
  <c r="AR310" i="13"/>
  <c r="AO310" i="13"/>
  <c r="AE309" i="13"/>
  <c r="AG309" i="13"/>
  <c r="AH309" i="13"/>
  <c r="AF309" i="13"/>
  <c r="AE310" i="13" l="1" a="1"/>
  <c r="AO311" i="13" a="1"/>
  <c r="X309" i="11" a="1"/>
  <c r="X309" i="11" l="1"/>
  <c r="AA309" i="11"/>
  <c r="Z309" i="11"/>
  <c r="Y309" i="11"/>
  <c r="AR311" i="13"/>
  <c r="AP311" i="13"/>
  <c r="AO311" i="13"/>
  <c r="AQ311" i="13"/>
  <c r="AG310" i="13"/>
  <c r="AE310" i="13"/>
  <c r="AH310" i="13"/>
  <c r="AF310" i="13"/>
  <c r="AE311" i="13" l="1" a="1"/>
  <c r="AO312" i="13" a="1"/>
  <c r="X310" i="11" a="1"/>
  <c r="Z310" i="11" l="1"/>
  <c r="X310" i="11"/>
  <c r="Y310" i="11"/>
  <c r="AA310" i="11"/>
  <c r="AR312" i="13"/>
  <c r="AQ312" i="13"/>
  <c r="AO312" i="13"/>
  <c r="AP312" i="13"/>
  <c r="AH311" i="13"/>
  <c r="AG311" i="13"/>
  <c r="AE311" i="13"/>
  <c r="AF311" i="13"/>
  <c r="X311" i="11" l="1" a="1"/>
  <c r="Z311" i="11" s="1"/>
  <c r="AE312" i="13" a="1"/>
  <c r="AO313" i="13" a="1"/>
  <c r="Y311" i="11" l="1"/>
  <c r="AA311" i="11"/>
  <c r="X311" i="11"/>
  <c r="AO313" i="13"/>
  <c r="AQ313" i="13"/>
  <c r="AP313" i="13"/>
  <c r="AR313" i="13"/>
  <c r="AG312" i="13"/>
  <c r="AF312" i="13"/>
  <c r="AE312" i="13"/>
  <c r="AH312" i="13"/>
  <c r="X312" i="11" l="1" a="1"/>
  <c r="AO314" i="13" a="1"/>
  <c r="AE313" i="13" a="1"/>
  <c r="AH313" i="13" l="1"/>
  <c r="AG313" i="13"/>
  <c r="AE313" i="13"/>
  <c r="AF313" i="13"/>
  <c r="AP314" i="13"/>
  <c r="AQ314" i="13"/>
  <c r="AR314" i="13"/>
  <c r="AO314" i="13"/>
  <c r="X312" i="11"/>
  <c r="AA312" i="11"/>
  <c r="Z312" i="11"/>
  <c r="Y312" i="11"/>
  <c r="X313" i="11" l="1" a="1"/>
  <c r="AO315" i="13" a="1"/>
  <c r="AE314" i="13" a="1"/>
  <c r="Z313" i="11"/>
  <c r="X313" i="11"/>
  <c r="Y313" i="11"/>
  <c r="AA313" i="11"/>
  <c r="AE314" i="13" l="1"/>
  <c r="AH314" i="13"/>
  <c r="AF314" i="13"/>
  <c r="AG314" i="13"/>
  <c r="AO315" i="13"/>
  <c r="AR315" i="13"/>
  <c r="AQ315" i="13"/>
  <c r="AP315" i="13"/>
  <c r="AO316" i="13" l="1" a="1"/>
  <c r="AE315" i="13" a="1"/>
  <c r="X314" i="11" a="1"/>
  <c r="X314" i="11" l="1"/>
  <c r="Y314" i="11"/>
  <c r="Z314" i="11"/>
  <c r="AA314" i="11"/>
  <c r="AG315" i="13"/>
  <c r="AF315" i="13"/>
  <c r="AE315" i="13"/>
  <c r="AH315" i="13"/>
  <c r="AQ316" i="13"/>
  <c r="AO316" i="13"/>
  <c r="AR316" i="13"/>
  <c r="AP316" i="13"/>
  <c r="X315" i="11" l="1" a="1"/>
  <c r="AE316" i="13" a="1"/>
  <c r="AO317" i="13" a="1"/>
  <c r="AO317" i="13" l="1"/>
  <c r="AQ317" i="13"/>
  <c r="AR317" i="13"/>
  <c r="AP317" i="13"/>
  <c r="AG316" i="13"/>
  <c r="AE316" i="13"/>
  <c r="AF316" i="13"/>
  <c r="AH316" i="13"/>
  <c r="Z315" i="11"/>
  <c r="Y315" i="11"/>
  <c r="X315" i="11"/>
  <c r="AA315" i="11"/>
  <c r="X316" i="11" l="1" a="1"/>
  <c r="AO318" i="13" a="1"/>
  <c r="AE317" i="13" a="1"/>
  <c r="AF317" i="13" l="1"/>
  <c r="AE317" i="13"/>
  <c r="AH317" i="13"/>
  <c r="AG317" i="13"/>
  <c r="AR318" i="13"/>
  <c r="AQ318" i="13"/>
  <c r="AP318" i="13"/>
  <c r="AO318" i="13"/>
  <c r="Y316" i="11"/>
  <c r="X316" i="11"/>
  <c r="Z316" i="11"/>
  <c r="AA316" i="11"/>
  <c r="AO319" i="13" l="1" a="1"/>
  <c r="AE318" i="13" a="1"/>
  <c r="X317" i="11" a="1"/>
  <c r="Z317" i="11" l="1"/>
  <c r="Y317" i="11"/>
  <c r="AA317" i="11"/>
  <c r="X317" i="11"/>
  <c r="AF318" i="13"/>
  <c r="AE318" i="13"/>
  <c r="AG318" i="13"/>
  <c r="AH318" i="13"/>
  <c r="AO319" i="13"/>
  <c r="AP319" i="13"/>
  <c r="AQ319" i="13"/>
  <c r="AR319" i="13"/>
  <c r="X318" i="11" l="1" a="1"/>
  <c r="AO320" i="13" a="1"/>
  <c r="AE319" i="13" a="1"/>
  <c r="AG319" i="13" l="1"/>
  <c r="AH319" i="13"/>
  <c r="AF319" i="13"/>
  <c r="AE319" i="13"/>
  <c r="AR320" i="13"/>
  <c r="AQ320" i="13"/>
  <c r="AP320" i="13"/>
  <c r="AO320" i="13"/>
  <c r="AA318" i="11"/>
  <c r="Z318" i="11"/>
  <c r="X318" i="11"/>
  <c r="Y318" i="11"/>
  <c r="X319" i="11" l="1" a="1"/>
  <c r="AE320" i="13" a="1"/>
  <c r="AO321" i="13" a="1"/>
  <c r="X319" i="11"/>
  <c r="AA319" i="11"/>
  <c r="Y319" i="11"/>
  <c r="Z319" i="11"/>
  <c r="AO321" i="13" l="1"/>
  <c r="AQ321" i="13"/>
  <c r="AR321" i="13"/>
  <c r="AP321" i="13"/>
  <c r="AE320" i="13"/>
  <c r="AH320" i="13"/>
  <c r="AF320" i="13"/>
  <c r="AG320" i="13"/>
  <c r="X320" i="11" l="1" a="1"/>
  <c r="AO322" i="13" a="1"/>
  <c r="AE321" i="13" a="1"/>
  <c r="AF321" i="13" l="1"/>
  <c r="AE321" i="13"/>
  <c r="AH321" i="13"/>
  <c r="AG321" i="13"/>
  <c r="AQ322" i="13"/>
  <c r="AR322" i="13"/>
  <c r="AO322" i="13"/>
  <c r="AP322" i="13"/>
  <c r="X320" i="11"/>
  <c r="Z320" i="11"/>
  <c r="Y320" i="11"/>
  <c r="AA320" i="11"/>
  <c r="AE322" i="13" l="1" a="1"/>
  <c r="AO323" i="13" a="1"/>
  <c r="X321" i="11" a="1"/>
  <c r="AA321" i="11" l="1"/>
  <c r="Z321" i="11"/>
  <c r="X321" i="11"/>
  <c r="Y321" i="11"/>
  <c r="AQ323" i="13"/>
  <c r="AO323" i="13"/>
  <c r="AR323" i="13"/>
  <c r="AP323" i="13"/>
  <c r="AG322" i="13"/>
  <c r="AE322" i="13"/>
  <c r="AH322" i="13"/>
  <c r="AF322" i="13"/>
  <c r="AE323" i="13" l="1" a="1"/>
  <c r="AO324" i="13" a="1"/>
  <c r="X322" i="11" a="1"/>
  <c r="Y322" i="11" l="1"/>
  <c r="AA322" i="11"/>
  <c r="Z322" i="11"/>
  <c r="X322" i="11"/>
  <c r="AQ324" i="13"/>
  <c r="AR324" i="13"/>
  <c r="AP324" i="13"/>
  <c r="AO324" i="13"/>
  <c r="AG323" i="13"/>
  <c r="AH323" i="13"/>
  <c r="AF323" i="13"/>
  <c r="AE323" i="13"/>
  <c r="X323" i="11" l="1" a="1"/>
  <c r="AE324" i="13" a="1"/>
  <c r="AO325" i="13" a="1"/>
  <c r="Z323" i="11"/>
  <c r="Y323" i="11"/>
  <c r="AA323" i="11"/>
  <c r="X323" i="11"/>
  <c r="AP325" i="13" l="1"/>
  <c r="AO325" i="13"/>
  <c r="AR325" i="13"/>
  <c r="AQ325" i="13"/>
  <c r="AH324" i="13"/>
  <c r="AE324" i="13"/>
  <c r="AF324" i="13"/>
  <c r="AG324" i="13"/>
  <c r="X324" i="11" l="1" a="1"/>
  <c r="AO326" i="13" a="1"/>
  <c r="AE325" i="13" a="1"/>
  <c r="AE325" i="13" l="1"/>
  <c r="AG325" i="13"/>
  <c r="AF325" i="13"/>
  <c r="AH325" i="13"/>
  <c r="AR326" i="13"/>
  <c r="AO326" i="13"/>
  <c r="AQ326" i="13"/>
  <c r="AP326" i="13"/>
  <c r="AA324" i="11"/>
  <c r="X324" i="11"/>
  <c r="Z324" i="11"/>
  <c r="Y324" i="11"/>
  <c r="AO327" i="13" l="1" a="1"/>
  <c r="AE326" i="13" a="1"/>
  <c r="X325" i="11" a="1"/>
  <c r="X325" i="11" l="1"/>
  <c r="Y325" i="11"/>
  <c r="AA325" i="11"/>
  <c r="Z325" i="11"/>
  <c r="AF326" i="13"/>
  <c r="AE326" i="13"/>
  <c r="AG326" i="13"/>
  <c r="AH326" i="13"/>
  <c r="AP327" i="13"/>
  <c r="AO327" i="13"/>
  <c r="AR327" i="13"/>
  <c r="AQ327" i="13"/>
  <c r="X326" i="11" l="1" a="1"/>
  <c r="AE327" i="13" a="1"/>
  <c r="AO328" i="13" a="1"/>
  <c r="AQ328" i="13" l="1"/>
  <c r="AR328" i="13"/>
  <c r="AP328" i="13"/>
  <c r="AO328" i="13"/>
  <c r="AF327" i="13"/>
  <c r="AH327" i="13"/>
  <c r="AG327" i="13"/>
  <c r="AE327" i="13"/>
  <c r="X327" i="11" s="1" a="1"/>
  <c r="Z326" i="11"/>
  <c r="X326" i="11"/>
  <c r="AA326" i="11"/>
  <c r="Y326" i="11"/>
  <c r="X327" i="11" l="1"/>
  <c r="AA327" i="11"/>
  <c r="Z327" i="11"/>
  <c r="Y327" i="11"/>
  <c r="AE328" i="13" a="1"/>
  <c r="AO329" i="13" a="1"/>
  <c r="AG328" i="13" l="1"/>
  <c r="AH328" i="13"/>
  <c r="AF328" i="13"/>
  <c r="AE328" i="13"/>
  <c r="X328" i="11" s="1" a="1"/>
  <c r="AR329" i="13"/>
  <c r="AP329" i="13"/>
  <c r="AO329" i="13"/>
  <c r="AQ329" i="13"/>
  <c r="AE329" i="13" l="1" a="1"/>
  <c r="AO330" i="13" a="1"/>
  <c r="Y328" i="11"/>
  <c r="AA328" i="11"/>
  <c r="X328" i="11"/>
  <c r="Z328" i="11"/>
  <c r="AO330" i="13" l="1"/>
  <c r="AR330" i="13"/>
  <c r="AP330" i="13"/>
  <c r="AQ330" i="13"/>
  <c r="AG329" i="13"/>
  <c r="AF329" i="13"/>
  <c r="AH329" i="13"/>
  <c r="AE329" i="13"/>
  <c r="X329" i="11" s="1" a="1"/>
  <c r="Y329" i="11" l="1"/>
  <c r="AA329" i="11"/>
  <c r="Z329" i="11"/>
  <c r="X329" i="11"/>
  <c r="AE330" i="13" a="1"/>
  <c r="AO331" i="13" a="1"/>
  <c r="AQ331" i="13" l="1"/>
  <c r="AP331" i="13"/>
  <c r="AO331" i="13"/>
  <c r="AR331" i="13"/>
  <c r="AF330" i="13"/>
  <c r="AH330" i="13"/>
  <c r="AG330" i="13"/>
  <c r="AE330" i="13"/>
  <c r="X330" i="11" s="1" a="1"/>
  <c r="AA330" i="11" l="1"/>
  <c r="X330" i="11"/>
  <c r="Z330" i="11"/>
  <c r="Y330" i="11"/>
  <c r="AO332" i="13" a="1"/>
  <c r="AE331" i="13" a="1"/>
  <c r="AG331" i="13" l="1"/>
  <c r="AF331" i="13"/>
  <c r="AH331" i="13"/>
  <c r="AE331" i="13"/>
  <c r="X331" i="11" s="1" a="1"/>
  <c r="AO332" i="13"/>
  <c r="AP332" i="13"/>
  <c r="AQ332" i="13"/>
  <c r="AR332" i="13"/>
  <c r="AE332" i="13" l="1" a="1"/>
  <c r="AO333" i="13" a="1"/>
  <c r="Y331" i="11"/>
  <c r="X331" i="11"/>
  <c r="AA331" i="11"/>
  <c r="Z331" i="11"/>
  <c r="AO333" i="13" l="1"/>
  <c r="AR333" i="13"/>
  <c r="AQ333" i="13"/>
  <c r="AP333" i="13"/>
  <c r="AF332" i="13"/>
  <c r="AE332" i="13"/>
  <c r="AG332" i="13"/>
  <c r="AH332" i="13"/>
  <c r="X332" i="11" l="1" a="1"/>
  <c r="AO334" i="13" a="1"/>
  <c r="AE333" i="13" a="1"/>
  <c r="AP334" i="13" l="1"/>
  <c r="AQ334" i="13"/>
  <c r="AO334" i="13"/>
  <c r="AR334" i="13"/>
  <c r="AE333" i="13"/>
  <c r="AH333" i="13"/>
  <c r="AF333" i="13"/>
  <c r="AG333" i="13"/>
  <c r="Y332" i="11"/>
  <c r="Z332" i="11"/>
  <c r="AA332" i="11"/>
  <c r="X332" i="11"/>
  <c r="X333" i="11" l="1" a="1"/>
  <c r="AO335" i="13" a="1"/>
  <c r="AE334" i="13" a="1"/>
  <c r="AR335" i="13" l="1"/>
  <c r="AQ335" i="13"/>
  <c r="AP335" i="13"/>
  <c r="AO335" i="13"/>
  <c r="AE334" i="13"/>
  <c r="AH334" i="13"/>
  <c r="AG334" i="13"/>
  <c r="AF334" i="13"/>
  <c r="Y333" i="11"/>
  <c r="X333" i="11"/>
  <c r="Z333" i="11"/>
  <c r="AA333" i="11"/>
  <c r="X334" i="11" l="1" a="1"/>
  <c r="AO336" i="13" a="1"/>
  <c r="AE335" i="13" a="1"/>
  <c r="AR336" i="13" l="1"/>
  <c r="AQ336" i="13"/>
  <c r="AO336" i="13"/>
  <c r="AP336" i="13"/>
  <c r="AE335" i="13"/>
  <c r="AH335" i="13"/>
  <c r="AF335" i="13"/>
  <c r="AG335" i="13"/>
  <c r="AA334" i="11"/>
  <c r="Z334" i="11"/>
  <c r="X334" i="11"/>
  <c r="Y334" i="11"/>
  <c r="X335" i="11" l="1" a="1"/>
  <c r="AE336" i="13" a="1"/>
  <c r="AO337" i="13" a="1"/>
  <c r="AH336" i="13" l="1"/>
  <c r="AF336" i="13"/>
  <c r="AE336" i="13"/>
  <c r="AG336" i="13"/>
  <c r="AQ337" i="13"/>
  <c r="AR337" i="13"/>
  <c r="AP337" i="13"/>
  <c r="AO337" i="13"/>
  <c r="Y335" i="11"/>
  <c r="Z335" i="11"/>
  <c r="AA335" i="11"/>
  <c r="X335" i="11"/>
  <c r="AE337" i="13" l="1" a="1"/>
  <c r="AO338" i="13" a="1"/>
  <c r="X336" i="11" a="1"/>
  <c r="Z336" i="11" l="1"/>
  <c r="Y336" i="11"/>
  <c r="X336" i="11"/>
  <c r="AA336" i="11"/>
  <c r="AQ338" i="13"/>
  <c r="AP338" i="13"/>
  <c r="AO338" i="13"/>
  <c r="AR338" i="13"/>
  <c r="AE337" i="13"/>
  <c r="AH337" i="13"/>
  <c r="AF337" i="13"/>
  <c r="AG337" i="13"/>
  <c r="AE338" i="13" l="1" a="1"/>
  <c r="AO339" i="13" a="1"/>
  <c r="X337" i="11" a="1"/>
  <c r="Z337" i="11" l="1"/>
  <c r="X337" i="11"/>
  <c r="Y337" i="11"/>
  <c r="AA337" i="11"/>
  <c r="AQ339" i="13"/>
  <c r="AR339" i="13"/>
  <c r="AO339" i="13"/>
  <c r="AP339" i="13"/>
  <c r="AE338" i="13"/>
  <c r="AH338" i="13"/>
  <c r="AG338" i="13"/>
  <c r="AF338" i="13"/>
  <c r="AO340" i="13" l="1" a="1"/>
  <c r="AE339" i="13" a="1"/>
  <c r="X338" i="11" a="1"/>
  <c r="Y338" i="11" l="1"/>
  <c r="AA338" i="11"/>
  <c r="X338" i="11"/>
  <c r="Z338" i="11"/>
  <c r="AH339" i="13"/>
  <c r="AF339" i="13"/>
  <c r="AG339" i="13"/>
  <c r="AE339" i="13"/>
  <c r="X339" i="11" s="1" a="1"/>
  <c r="AO340" i="13"/>
  <c r="AP340" i="13"/>
  <c r="AR340" i="13"/>
  <c r="AQ340" i="13"/>
  <c r="Y339" i="11" l="1"/>
  <c r="Z339" i="11"/>
  <c r="X339" i="11"/>
  <c r="AA339" i="11"/>
  <c r="AO341" i="13" a="1"/>
  <c r="AE340" i="13" a="1"/>
  <c r="AH340" i="13" l="1"/>
  <c r="AE340" i="13"/>
  <c r="AG340" i="13"/>
  <c r="AF340" i="13"/>
  <c r="AO341" i="13"/>
  <c r="AP341" i="13"/>
  <c r="AQ341" i="13"/>
  <c r="AR341" i="13"/>
  <c r="X340" i="11" l="1" a="1"/>
  <c r="AA340" i="11" s="1"/>
  <c r="AE341" i="13" a="1"/>
  <c r="AO342" i="13" a="1"/>
  <c r="X340" i="11" l="1"/>
  <c r="Z340" i="11"/>
  <c r="Y340" i="11"/>
  <c r="AR342" i="13"/>
  <c r="AO342" i="13"/>
  <c r="AQ342" i="13"/>
  <c r="AP342" i="13"/>
  <c r="AG341" i="13"/>
  <c r="AE341" i="13"/>
  <c r="AH341" i="13"/>
  <c r="AF341" i="13"/>
  <c r="X341" i="11" l="1" a="1"/>
  <c r="AO343" i="13" a="1"/>
  <c r="AE342" i="13" a="1"/>
  <c r="Z341" i="11"/>
  <c r="Y341" i="11"/>
  <c r="X341" i="11"/>
  <c r="AA341" i="11"/>
  <c r="AF342" i="13" l="1"/>
  <c r="AE342" i="13"/>
  <c r="AG342" i="13"/>
  <c r="AH342" i="13"/>
  <c r="AR343" i="13"/>
  <c r="AQ343" i="13"/>
  <c r="AO343" i="13"/>
  <c r="AP343" i="13"/>
  <c r="AO344" i="13" l="1" a="1"/>
  <c r="AE343" i="13" a="1"/>
  <c r="X342" i="11" a="1"/>
  <c r="AH343" i="13" l="1"/>
  <c r="AG343" i="13"/>
  <c r="AF343" i="13"/>
  <c r="AE343" i="13"/>
  <c r="X343" i="11" s="1" a="1"/>
  <c r="AA342" i="11"/>
  <c r="Y342" i="11"/>
  <c r="X342" i="11"/>
  <c r="Z342" i="11"/>
  <c r="AQ344" i="13"/>
  <c r="AP344" i="13"/>
  <c r="AO344" i="13"/>
  <c r="AR344" i="13"/>
  <c r="AA343" i="11" l="1"/>
  <c r="Y343" i="11"/>
  <c r="Z343" i="11"/>
  <c r="X343" i="11"/>
  <c r="AO345" i="13" a="1"/>
  <c r="AE344" i="13" a="1"/>
  <c r="AG344" i="13" l="1"/>
  <c r="AF344" i="13"/>
  <c r="AH344" i="13"/>
  <c r="AE344" i="13"/>
  <c r="AO345" i="13"/>
  <c r="AQ345" i="13"/>
  <c r="AP345" i="13"/>
  <c r="AR345" i="13"/>
  <c r="AO346" i="13" l="1" a="1"/>
  <c r="AE345" i="13" a="1"/>
  <c r="X344" i="11" a="1"/>
  <c r="X344" i="11" l="1"/>
  <c r="AA344" i="11"/>
  <c r="Z344" i="11"/>
  <c r="Y344" i="11"/>
  <c r="AF345" i="13"/>
  <c r="AE345" i="13"/>
  <c r="AG345" i="13"/>
  <c r="AH345" i="13"/>
  <c r="AP346" i="13"/>
  <c r="AR346" i="13"/>
  <c r="AO346" i="13"/>
  <c r="AQ346" i="13"/>
  <c r="X345" i="11" l="1" a="1"/>
  <c r="AO347" i="13" a="1"/>
  <c r="AE346" i="13" a="1"/>
  <c r="AF346" i="13" l="1"/>
  <c r="AH346" i="13"/>
  <c r="AG346" i="13"/>
  <c r="AE346" i="13"/>
  <c r="X346" i="11" s="1" a="1"/>
  <c r="AQ347" i="13"/>
  <c r="AP347" i="13"/>
  <c r="AO347" i="13"/>
  <c r="AR347" i="13"/>
  <c r="Z345" i="11"/>
  <c r="AA345" i="11"/>
  <c r="Y345" i="11"/>
  <c r="X345" i="11"/>
  <c r="AE347" i="13" l="1" a="1"/>
  <c r="AO348" i="13" a="1"/>
  <c r="AA346" i="11"/>
  <c r="Z346" i="11"/>
  <c r="Y346" i="11"/>
  <c r="X346" i="11"/>
  <c r="AR348" i="13" l="1"/>
  <c r="AP348" i="13"/>
  <c r="AO348" i="13"/>
  <c r="AQ348" i="13"/>
  <c r="AF347" i="13"/>
  <c r="AE347" i="13"/>
  <c r="AH347" i="13"/>
  <c r="AG347" i="13"/>
  <c r="X347" i="11" l="1" a="1"/>
  <c r="AE348" i="13" a="1"/>
  <c r="AO349" i="13" a="1"/>
  <c r="AQ349" i="13" l="1"/>
  <c r="AR349" i="13"/>
  <c r="AP349" i="13"/>
  <c r="AO349" i="13"/>
  <c r="AG348" i="13"/>
  <c r="AH348" i="13"/>
  <c r="AF348" i="13"/>
  <c r="AE348" i="13"/>
  <c r="X348" i="11" s="1" a="1"/>
  <c r="Z347" i="11"/>
  <c r="Y347" i="11"/>
  <c r="AA347" i="11"/>
  <c r="X347" i="11"/>
  <c r="AA348" i="11" l="1"/>
  <c r="Z348" i="11"/>
  <c r="Y348" i="11"/>
  <c r="X348" i="11"/>
  <c r="AO350" i="13" a="1"/>
  <c r="AE349" i="13" a="1"/>
  <c r="AE349" i="13" l="1"/>
  <c r="AG349" i="13"/>
  <c r="AH349" i="13"/>
  <c r="AF349" i="13"/>
  <c r="AQ350" i="13"/>
  <c r="AR350" i="13"/>
  <c r="AP350" i="13"/>
  <c r="AO350" i="13"/>
  <c r="AE350" i="13" l="1" a="1"/>
  <c r="AO351" i="13" a="1"/>
  <c r="X349" i="11" a="1"/>
  <c r="AQ351" i="13" l="1"/>
  <c r="AO351" i="13"/>
  <c r="AP351" i="13"/>
  <c r="AR351" i="13"/>
  <c r="AA349" i="11"/>
  <c r="X349" i="11"/>
  <c r="Z349" i="11"/>
  <c r="Y349" i="11"/>
  <c r="AG350" i="13"/>
  <c r="AH350" i="13"/>
  <c r="AF350" i="13"/>
  <c r="AE350" i="13"/>
  <c r="X350" i="11" s="1" a="1"/>
  <c r="Z350" i="11" l="1"/>
  <c r="X350" i="11"/>
  <c r="Y350" i="11"/>
  <c r="AA350" i="11"/>
  <c r="AE351" i="13" a="1"/>
  <c r="AO352" i="13" a="1"/>
  <c r="AR352" i="13" l="1"/>
  <c r="AP352" i="13"/>
  <c r="AQ352" i="13"/>
  <c r="AO352" i="13"/>
  <c r="AH351" i="13"/>
  <c r="AF351" i="13"/>
  <c r="AE351" i="13"/>
  <c r="AG351" i="13"/>
  <c r="X351" i="11" l="1" a="1"/>
  <c r="Z351" i="11" s="1"/>
  <c r="AE352" i="13" a="1"/>
  <c r="AO353" i="13" a="1"/>
  <c r="AA351" i="11" l="1"/>
  <c r="X351" i="11"/>
  <c r="Y351" i="11"/>
  <c r="AR353" i="13"/>
  <c r="AO353" i="13"/>
  <c r="AQ353" i="13"/>
  <c r="AP353" i="13"/>
  <c r="AH352" i="13"/>
  <c r="AF352" i="13"/>
  <c r="AG352" i="13"/>
  <c r="AE352" i="13"/>
  <c r="X352" i="11" l="1" a="1"/>
  <c r="Z352" i="11" s="1"/>
  <c r="AO354" i="13" a="1"/>
  <c r="AE353" i="13" a="1"/>
  <c r="AA352" i="11" l="1"/>
  <c r="X352" i="11"/>
  <c r="Y352" i="11"/>
  <c r="AF353" i="13"/>
  <c r="AE353" i="13"/>
  <c r="AH353" i="13"/>
  <c r="AG353" i="13"/>
  <c r="AQ354" i="13"/>
  <c r="AP354" i="13"/>
  <c r="AO354" i="13"/>
  <c r="AR354" i="13"/>
  <c r="AE354" i="13" l="1" a="1"/>
  <c r="AO355" i="13" a="1"/>
  <c r="X353" i="11" a="1"/>
  <c r="X353" i="11" l="1"/>
  <c r="AA353" i="11"/>
  <c r="Y353" i="11"/>
  <c r="Z353" i="11"/>
  <c r="AQ355" i="13"/>
  <c r="AO355" i="13"/>
  <c r="AR355" i="13"/>
  <c r="AP355" i="13"/>
  <c r="AH354" i="13"/>
  <c r="AF354" i="13"/>
  <c r="AG354" i="13"/>
  <c r="AE354" i="13"/>
  <c r="X354" i="11" l="1" a="1"/>
  <c r="AO356" i="13" a="1"/>
  <c r="AE355" i="13" a="1"/>
  <c r="X354" i="11"/>
  <c r="Y354" i="11"/>
  <c r="AA354" i="11"/>
  <c r="Z354" i="11"/>
  <c r="AH355" i="13" l="1"/>
  <c r="AF355" i="13"/>
  <c r="AG355" i="13"/>
  <c r="AE355" i="13"/>
  <c r="X355" i="11" s="1" a="1"/>
  <c r="AP356" i="13"/>
  <c r="AR356" i="13"/>
  <c r="AO356" i="13"/>
  <c r="AQ356" i="13"/>
  <c r="AA355" i="11" l="1"/>
  <c r="X355" i="11"/>
  <c r="Y355" i="11"/>
  <c r="Z355" i="11"/>
  <c r="AO357" i="13" a="1"/>
  <c r="AE356" i="13" a="1"/>
  <c r="AE356" i="13" l="1"/>
  <c r="AG356" i="13"/>
  <c r="AF356" i="13"/>
  <c r="AH356" i="13"/>
  <c r="AQ357" i="13"/>
  <c r="AO357" i="13"/>
  <c r="AR357" i="13"/>
  <c r="AP357" i="13"/>
  <c r="AO358" i="13" l="1" a="1"/>
  <c r="AE357" i="13" a="1"/>
  <c r="X356" i="11" a="1"/>
  <c r="AA356" i="11" l="1"/>
  <c r="X356" i="11"/>
  <c r="Y356" i="11"/>
  <c r="Z356" i="11"/>
  <c r="AE357" i="13"/>
  <c r="AH357" i="13"/>
  <c r="AG357" i="13"/>
  <c r="AF357" i="13"/>
  <c r="AQ358" i="13"/>
  <c r="AP358" i="13"/>
  <c r="AO358" i="13"/>
  <c r="AR358" i="13"/>
  <c r="X357" i="11" l="1" a="1"/>
  <c r="AE358" i="13" a="1"/>
  <c r="AO359" i="13" a="1"/>
  <c r="AP359" i="13" l="1"/>
  <c r="AQ359" i="13"/>
  <c r="AR359" i="13"/>
  <c r="AO359" i="13"/>
  <c r="AG358" i="13"/>
  <c r="AE358" i="13"/>
  <c r="AH358" i="13"/>
  <c r="AF358" i="13"/>
  <c r="X357" i="11"/>
  <c r="Z357" i="11"/>
  <c r="Y357" i="11"/>
  <c r="AA357" i="11"/>
  <c r="X358" i="11" l="1" a="1"/>
  <c r="AE359" i="13" a="1"/>
  <c r="AO360" i="13" a="1"/>
  <c r="Y358" i="11"/>
  <c r="AA358" i="11"/>
  <c r="Z358" i="11"/>
  <c r="X358" i="11"/>
  <c r="AR360" i="13" l="1"/>
  <c r="AO360" i="13"/>
  <c r="AQ360" i="13"/>
  <c r="AP360" i="13"/>
  <c r="AH359" i="13"/>
  <c r="AG359" i="13"/>
  <c r="AF359" i="13"/>
  <c r="AE359" i="13"/>
  <c r="X359" i="11" s="1" a="1"/>
  <c r="Y359" i="11" l="1"/>
  <c r="Z359" i="11"/>
  <c r="X359" i="11"/>
  <c r="AA359" i="11"/>
  <c r="AO361" i="13" a="1"/>
  <c r="AE360" i="13" a="1"/>
  <c r="AF360" i="13" l="1"/>
  <c r="AE360" i="13"/>
  <c r="AH360" i="13"/>
  <c r="AG360" i="13"/>
  <c r="AQ361" i="13"/>
  <c r="AP361" i="13"/>
  <c r="AO361" i="13"/>
  <c r="AR361" i="13"/>
  <c r="AE361" i="13" l="1" a="1"/>
  <c r="AO362" i="13" a="1"/>
  <c r="X360" i="11" a="1"/>
  <c r="AA360" i="11" l="1"/>
  <c r="Z360" i="11"/>
  <c r="X360" i="11"/>
  <c r="Y360" i="11"/>
  <c r="AO362" i="13"/>
  <c r="AQ362" i="13"/>
  <c r="AP362" i="13"/>
  <c r="AR362" i="13"/>
  <c r="AE361" i="13"/>
  <c r="AF361" i="13"/>
  <c r="AH361" i="13"/>
  <c r="AG361" i="13"/>
  <c r="AE362" i="13" l="1" a="1"/>
  <c r="AO363" i="13" a="1"/>
  <c r="X361" i="11" a="1"/>
  <c r="Z361" i="11" l="1"/>
  <c r="X361" i="11"/>
  <c r="AA361" i="11"/>
  <c r="Y361" i="11"/>
  <c r="AP363" i="13"/>
  <c r="AO363" i="13"/>
  <c r="AQ363" i="13"/>
  <c r="AR363" i="13"/>
  <c r="AH362" i="13"/>
  <c r="AE362" i="13"/>
  <c r="AG362" i="13"/>
  <c r="AF362" i="13"/>
  <c r="AE363" i="13" l="1" a="1"/>
  <c r="AO364" i="13" a="1"/>
  <c r="X362" i="11" a="1"/>
  <c r="AA362" i="11" l="1"/>
  <c r="Z362" i="11"/>
  <c r="Y362" i="11"/>
  <c r="X362" i="11"/>
  <c r="AP364" i="13"/>
  <c r="AO364" i="13"/>
  <c r="AR364" i="13"/>
  <c r="AQ364" i="13"/>
  <c r="AG363" i="13"/>
  <c r="AE363" i="13"/>
  <c r="AH363" i="13"/>
  <c r="AF363" i="13"/>
  <c r="AE364" i="13" l="1" a="1"/>
  <c r="AO365" i="13" a="1"/>
  <c r="X363" i="11" a="1"/>
  <c r="Y363" i="11" l="1"/>
  <c r="AA363" i="11"/>
  <c r="Z363" i="11"/>
  <c r="X363" i="11"/>
  <c r="AO365" i="13"/>
  <c r="AR365" i="13"/>
  <c r="AQ365" i="13"/>
  <c r="AP365" i="13"/>
  <c r="AH364" i="13"/>
  <c r="AG364" i="13"/>
  <c r="AE364" i="13"/>
  <c r="AF364" i="13"/>
  <c r="X364" i="11" l="1" a="1"/>
  <c r="AO366" i="13" a="1"/>
  <c r="AE365" i="13" a="1"/>
  <c r="AA364" i="11"/>
  <c r="X364" i="11"/>
  <c r="Z364" i="11"/>
  <c r="Y364" i="11"/>
  <c r="AF365" i="13" l="1"/>
  <c r="AG365" i="13"/>
  <c r="AH365" i="13"/>
  <c r="AE365" i="13"/>
  <c r="X365" i="11" s="1" a="1"/>
  <c r="AP366" i="13"/>
  <c r="AO366" i="13"/>
  <c r="AR366" i="13"/>
  <c r="AQ366" i="13"/>
  <c r="AO367" i="13" l="1" a="1"/>
  <c r="AE366" i="13" a="1"/>
  <c r="AA365" i="11"/>
  <c r="Y365" i="11"/>
  <c r="X365" i="11"/>
  <c r="Z365" i="11"/>
  <c r="AH366" i="13" l="1"/>
  <c r="AF366" i="13"/>
  <c r="AG366" i="13"/>
  <c r="AE366" i="13"/>
  <c r="X366" i="11" s="1" a="1"/>
  <c r="AR367" i="13"/>
  <c r="AQ367" i="13"/>
  <c r="AP367" i="13"/>
  <c r="AO367" i="13"/>
  <c r="Y366" i="11" l="1"/>
  <c r="AA366" i="11"/>
  <c r="Z366" i="11"/>
  <c r="X366" i="11"/>
  <c r="AO368" i="13" a="1"/>
  <c r="AE367" i="13" a="1"/>
  <c r="AQ368" i="13" l="1"/>
  <c r="AR368" i="13"/>
  <c r="AP368" i="13"/>
  <c r="AO368" i="13"/>
  <c r="AH367" i="13"/>
  <c r="AE367" i="13"/>
  <c r="AF367" i="13"/>
  <c r="AG367" i="13"/>
  <c r="X367" i="11" l="1" a="1"/>
  <c r="Y367" i="11" s="1"/>
  <c r="X367" i="11"/>
  <c r="AE368" i="13" a="1"/>
  <c r="AO369" i="13" a="1"/>
  <c r="Z367" i="11" l="1"/>
  <c r="AA367" i="11"/>
  <c r="AH368" i="13"/>
  <c r="AF368" i="13"/>
  <c r="AG368" i="13"/>
  <c r="AE368" i="13"/>
  <c r="AQ369" i="13"/>
  <c r="AP369" i="13"/>
  <c r="AR369" i="13"/>
  <c r="AO369" i="13"/>
  <c r="AE369" i="13" l="1" a="1"/>
  <c r="AO370" i="13" a="1"/>
  <c r="X368" i="11" a="1"/>
  <c r="AA368" i="11" l="1"/>
  <c r="X368" i="11"/>
  <c r="Y368" i="11"/>
  <c r="Z368" i="11"/>
  <c r="AO370" i="13"/>
  <c r="AP370" i="13"/>
  <c r="AQ370" i="13"/>
  <c r="AR370" i="13"/>
  <c r="AH369" i="13"/>
  <c r="AF369" i="13"/>
  <c r="AG369" i="13"/>
  <c r="AE369" i="13"/>
  <c r="X369" i="11" l="1" a="1"/>
  <c r="AA369" i="11" s="1"/>
  <c r="AO371" i="13" a="1"/>
  <c r="AE370" i="13" a="1"/>
  <c r="Z369" i="11" l="1"/>
  <c r="Y369" i="11"/>
  <c r="X369" i="11"/>
  <c r="AH370" i="13"/>
  <c r="AF370" i="13"/>
  <c r="AE370" i="13"/>
  <c r="AG370" i="13"/>
  <c r="AQ371" i="13"/>
  <c r="AR371" i="13"/>
  <c r="AP371" i="13"/>
  <c r="AO371" i="13"/>
  <c r="AE371" i="13" l="1" a="1"/>
  <c r="AO372" i="13" a="1"/>
  <c r="X370" i="11" a="1"/>
  <c r="Y370" i="11" l="1"/>
  <c r="X370" i="11"/>
  <c r="Z370" i="11"/>
  <c r="AA370" i="11"/>
  <c r="AR372" i="13"/>
  <c r="AP372" i="13"/>
  <c r="AO372" i="13"/>
  <c r="AQ372" i="13"/>
  <c r="AH371" i="13"/>
  <c r="AF371" i="13"/>
  <c r="AG371" i="13"/>
  <c r="AE371" i="13"/>
  <c r="X371" i="11" s="1" a="1"/>
  <c r="AO373" i="13" l="1" a="1"/>
  <c r="AE372" i="13" a="1"/>
  <c r="Z371" i="11"/>
  <c r="X371" i="11"/>
  <c r="AA371" i="11"/>
  <c r="Y371" i="11"/>
  <c r="AE372" i="13" l="1"/>
  <c r="AF372" i="13"/>
  <c r="AG372" i="13"/>
  <c r="AH372" i="13"/>
  <c r="AO373" i="13"/>
  <c r="AR373" i="13"/>
  <c r="AQ373" i="13"/>
  <c r="AP373" i="13"/>
  <c r="AO374" i="13" l="1" a="1"/>
  <c r="AE373" i="13" a="1"/>
  <c r="X372" i="11" a="1"/>
  <c r="X372" i="11" l="1"/>
  <c r="AA372" i="11"/>
  <c r="Z372" i="11"/>
  <c r="Y372" i="11"/>
  <c r="AE373" i="13"/>
  <c r="AG373" i="13"/>
  <c r="AF373" i="13"/>
  <c r="AH373" i="13"/>
  <c r="AO374" i="13"/>
  <c r="AQ374" i="13"/>
  <c r="AR374" i="13"/>
  <c r="AP374" i="13"/>
  <c r="X373" i="11" l="1" a="1"/>
  <c r="AE374" i="13" a="1"/>
  <c r="AO375" i="13" a="1"/>
  <c r="AF374" i="13" l="1"/>
  <c r="AH374" i="13"/>
  <c r="AG374" i="13"/>
  <c r="AE374" i="13"/>
  <c r="X374" i="11" s="1" a="1"/>
  <c r="AQ375" i="13"/>
  <c r="AO375" i="13"/>
  <c r="AP375" i="13"/>
  <c r="AR375" i="13"/>
  <c r="Z373" i="11"/>
  <c r="Y373" i="11"/>
  <c r="AA373" i="11"/>
  <c r="X373" i="11"/>
  <c r="AE375" i="13" l="1" a="1"/>
  <c r="AO376" i="13" a="1"/>
  <c r="X374" i="11"/>
  <c r="AA374" i="11"/>
  <c r="Y374" i="11"/>
  <c r="Z374" i="11"/>
  <c r="AO376" i="13" l="1"/>
  <c r="AQ376" i="13"/>
  <c r="AP376" i="13"/>
  <c r="AR376" i="13"/>
  <c r="AH375" i="13"/>
  <c r="AF375" i="13"/>
  <c r="AE375" i="13"/>
  <c r="AG375" i="13"/>
  <c r="X375" i="11" l="1" a="1"/>
  <c r="AE376" i="13" a="1"/>
  <c r="AO377" i="13" a="1"/>
  <c r="AQ377" i="13" l="1"/>
  <c r="AP377" i="13"/>
  <c r="AO377" i="13"/>
  <c r="AR377" i="13"/>
  <c r="AE376" i="13"/>
  <c r="AF376" i="13"/>
  <c r="AH376" i="13"/>
  <c r="AG376" i="13"/>
  <c r="X375" i="11"/>
  <c r="Z375" i="11"/>
  <c r="Y375" i="11"/>
  <c r="AA375" i="11"/>
  <c r="X376" i="11" l="1" a="1"/>
  <c r="AE377" i="13" a="1"/>
  <c r="AO378" i="13" a="1"/>
  <c r="AR378" i="13" l="1"/>
  <c r="AP378" i="13"/>
  <c r="AQ378" i="13"/>
  <c r="AO378" i="13"/>
  <c r="AE377" i="13"/>
  <c r="AH377" i="13"/>
  <c r="AG377" i="13"/>
  <c r="AF377" i="13"/>
  <c r="Y376" i="11"/>
  <c r="X376" i="11"/>
  <c r="Z376" i="11"/>
  <c r="AA376" i="11"/>
  <c r="X377" i="11" l="1" a="1"/>
  <c r="AE378" i="13" a="1"/>
  <c r="AO379" i="13" a="1"/>
  <c r="AP379" i="13" l="1"/>
  <c r="AR379" i="13"/>
  <c r="AO379" i="13"/>
  <c r="AQ379" i="13"/>
  <c r="AG378" i="13"/>
  <c r="AF378" i="13"/>
  <c r="AH378" i="13"/>
  <c r="AE378" i="13"/>
  <c r="X378" i="11" s="1" a="1"/>
  <c r="AA377" i="11"/>
  <c r="Z377" i="11"/>
  <c r="Y377" i="11"/>
  <c r="X377" i="11"/>
  <c r="AA378" i="11" l="1"/>
  <c r="Y378" i="11"/>
  <c r="X378" i="11"/>
  <c r="Z378" i="11"/>
  <c r="AO380" i="13" a="1"/>
  <c r="AE379" i="13" a="1"/>
  <c r="AO380" i="13" l="1"/>
  <c r="AR380" i="13"/>
  <c r="AQ380" i="13"/>
  <c r="AP380" i="13"/>
  <c r="AE379" i="13"/>
  <c r="AF379" i="13"/>
  <c r="AG379" i="13"/>
  <c r="AH379" i="13"/>
  <c r="X379" i="11" l="1" a="1"/>
  <c r="AE380" i="13" a="1"/>
  <c r="AO381" i="13" a="1"/>
  <c r="AP381" i="13" l="1"/>
  <c r="AO381" i="13"/>
  <c r="AQ381" i="13"/>
  <c r="AR381" i="13"/>
  <c r="AF380" i="13"/>
  <c r="AH380" i="13"/>
  <c r="AE380" i="13"/>
  <c r="AG380" i="13"/>
  <c r="Z379" i="11"/>
  <c r="Y379" i="11"/>
  <c r="AA379" i="11"/>
  <c r="X379" i="11"/>
  <c r="X380" i="11" l="1" a="1"/>
  <c r="Z380" i="11"/>
  <c r="Y380" i="11"/>
  <c r="X380" i="11"/>
  <c r="AA380" i="11"/>
  <c r="AO382" i="13" a="1"/>
  <c r="AE381" i="13" a="1"/>
  <c r="AH381" i="13" l="1"/>
  <c r="AG381" i="13"/>
  <c r="AF381" i="13"/>
  <c r="AE381" i="13"/>
  <c r="X381" i="11" s="1" a="1"/>
  <c r="AO382" i="13"/>
  <c r="AR382" i="13"/>
  <c r="AQ382" i="13"/>
  <c r="AP382" i="13"/>
  <c r="AE382" i="13" l="1" a="1"/>
  <c r="AO383" i="13" a="1"/>
  <c r="X381" i="11"/>
  <c r="Z381" i="11"/>
  <c r="Y381" i="11"/>
  <c r="AA381" i="11"/>
  <c r="AR383" i="13" l="1"/>
  <c r="AP383" i="13"/>
  <c r="AO383" i="13"/>
  <c r="AQ383" i="13"/>
  <c r="AE382" i="13"/>
  <c r="AG382" i="13"/>
  <c r="AF382" i="13"/>
  <c r="AH382" i="13"/>
  <c r="X382" i="11" l="1" a="1"/>
  <c r="AO384" i="13" a="1"/>
  <c r="AE383" i="13" a="1"/>
  <c r="AE383" i="13" l="1"/>
  <c r="AG383" i="13"/>
  <c r="AH383" i="13"/>
  <c r="AF383" i="13"/>
  <c r="AP384" i="13"/>
  <c r="AQ384" i="13"/>
  <c r="AO384" i="13"/>
  <c r="AR384" i="13"/>
  <c r="AA382" i="11"/>
  <c r="Z382" i="11"/>
  <c r="X382" i="11"/>
  <c r="Y382" i="11"/>
  <c r="AO385" i="13" l="1" a="1"/>
  <c r="AE384" i="13" a="1"/>
  <c r="X383" i="11" a="1"/>
  <c r="X383" i="11" l="1"/>
  <c r="AA383" i="11"/>
  <c r="Z383" i="11"/>
  <c r="Y383" i="11"/>
  <c r="AG384" i="13"/>
  <c r="AF384" i="13"/>
  <c r="AE384" i="13"/>
  <c r="AH384" i="13"/>
  <c r="AP385" i="13"/>
  <c r="AR385" i="13"/>
  <c r="AQ385" i="13"/>
  <c r="AO385" i="13"/>
  <c r="AE385" i="13" l="1" a="1"/>
  <c r="AO386" i="13" a="1"/>
  <c r="X384" i="11" a="1"/>
  <c r="Z384" i="11" l="1"/>
  <c r="AA384" i="11"/>
  <c r="Y384" i="11"/>
  <c r="X384" i="11"/>
  <c r="AO386" i="13"/>
  <c r="AR386" i="13"/>
  <c r="AP386" i="13"/>
  <c r="AQ386" i="13"/>
  <c r="AG385" i="13"/>
  <c r="AE385" i="13"/>
  <c r="AH385" i="13"/>
  <c r="AF385" i="13"/>
  <c r="AE386" i="13" l="1" a="1"/>
  <c r="AO387" i="13" a="1"/>
  <c r="X385" i="11" a="1"/>
  <c r="X385" i="11" l="1"/>
  <c r="AA385" i="11"/>
  <c r="Z385" i="11"/>
  <c r="Y385" i="11"/>
  <c r="AR387" i="13"/>
  <c r="AQ387" i="13"/>
  <c r="AP387" i="13"/>
  <c r="AO387" i="13"/>
  <c r="AH386" i="13"/>
  <c r="AE386" i="13"/>
  <c r="AG386" i="13"/>
  <c r="AF386" i="13"/>
  <c r="AE387" i="13" l="1" a="1"/>
  <c r="AO388" i="13" a="1"/>
  <c r="X386" i="11" a="1"/>
  <c r="AA386" i="11" l="1"/>
  <c r="Z386" i="11"/>
  <c r="X386" i="11"/>
  <c r="Y386" i="11"/>
  <c r="AO388" i="13"/>
  <c r="AR388" i="13"/>
  <c r="AQ388" i="13"/>
  <c r="AP388" i="13"/>
  <c r="AG387" i="13"/>
  <c r="AE387" i="13"/>
  <c r="AH387" i="13"/>
  <c r="AF387" i="13"/>
  <c r="AO389" i="13" l="1" a="1"/>
  <c r="AE388" i="13" a="1"/>
  <c r="X387" i="11" a="1"/>
  <c r="Y387" i="11" l="1"/>
  <c r="X387" i="11"/>
  <c r="AA387" i="11"/>
  <c r="Z387" i="11"/>
  <c r="AF388" i="13"/>
  <c r="AE388" i="13"/>
  <c r="AH388" i="13"/>
  <c r="AG388" i="13"/>
  <c r="AP389" i="13"/>
  <c r="AO389" i="13"/>
  <c r="AR389" i="13"/>
  <c r="AQ389" i="13"/>
  <c r="X388" i="11" l="1" a="1"/>
  <c r="AO390" i="13" a="1"/>
  <c r="AE389" i="13" a="1"/>
  <c r="AO390" i="13" l="1"/>
  <c r="AP390" i="13"/>
  <c r="AR390" i="13"/>
  <c r="AQ390" i="13"/>
  <c r="AE389" i="13"/>
  <c r="AF389" i="13"/>
  <c r="AH389" i="13"/>
  <c r="AG389" i="13"/>
  <c r="Y388" i="11"/>
  <c r="X388" i="11"/>
  <c r="AA388" i="11"/>
  <c r="Z388" i="11"/>
  <c r="X389" i="11" l="1" a="1"/>
  <c r="AE390" i="13" a="1"/>
  <c r="AO391" i="13" a="1"/>
  <c r="AH390" i="13" l="1"/>
  <c r="AG390" i="13"/>
  <c r="AE390" i="13"/>
  <c r="AF390" i="13"/>
  <c r="AR391" i="13"/>
  <c r="AQ391" i="13"/>
  <c r="AP391" i="13"/>
  <c r="AO391" i="13"/>
  <c r="AA389" i="11"/>
  <c r="Z389" i="11"/>
  <c r="Y389" i="11"/>
  <c r="X389" i="11"/>
  <c r="X390" i="11" l="1" a="1"/>
  <c r="AE391" i="13" a="1"/>
  <c r="AO392" i="13" a="1"/>
  <c r="Y390" i="11"/>
  <c r="Z390" i="11"/>
  <c r="X390" i="11"/>
  <c r="AA390" i="11"/>
  <c r="AO392" i="13" l="1"/>
  <c r="AP392" i="13"/>
  <c r="AR392" i="13"/>
  <c r="AQ392" i="13"/>
  <c r="AH391" i="13"/>
  <c r="AE391" i="13"/>
  <c r="AF391" i="13"/>
  <c r="AG391" i="13"/>
  <c r="X391" i="11" l="1" a="1"/>
  <c r="Y391" i="11" s="1"/>
  <c r="AO393" i="13" a="1"/>
  <c r="AE392" i="13" a="1"/>
  <c r="X391" i="11" l="1"/>
  <c r="Z391" i="11"/>
  <c r="AA391" i="11"/>
  <c r="AG392" i="13"/>
  <c r="AE392" i="13"/>
  <c r="AH392" i="13"/>
  <c r="AF392" i="13"/>
  <c r="AR393" i="13"/>
  <c r="AQ393" i="13"/>
  <c r="AO393" i="13"/>
  <c r="AP393" i="13"/>
  <c r="X392" i="11" l="1" a="1"/>
  <c r="AO394" i="13" a="1"/>
  <c r="AE393" i="13" a="1"/>
  <c r="AH393" i="13" l="1"/>
  <c r="AG393" i="13"/>
  <c r="AE393" i="13"/>
  <c r="AF393" i="13"/>
  <c r="AO394" i="13"/>
  <c r="AR394" i="13"/>
  <c r="AQ394" i="13"/>
  <c r="AP394" i="13"/>
  <c r="Y392" i="11"/>
  <c r="X392" i="11"/>
  <c r="Z392" i="11"/>
  <c r="AA392" i="11"/>
  <c r="X393" i="11" l="1" a="1"/>
  <c r="AA393" i="11" s="1"/>
  <c r="AO395" i="13" a="1"/>
  <c r="AE394" i="13" a="1"/>
  <c r="Y393" i="11" l="1"/>
  <c r="X393" i="11"/>
  <c r="Z393" i="11"/>
  <c r="AF394" i="13"/>
  <c r="AH394" i="13"/>
  <c r="AG394" i="13"/>
  <c r="AE394" i="13"/>
  <c r="X394" i="11" s="1" a="1"/>
  <c r="AO395" i="13"/>
  <c r="AR395" i="13"/>
  <c r="AQ395" i="13"/>
  <c r="AP395" i="13"/>
  <c r="Z394" i="11" l="1"/>
  <c r="Y394" i="11"/>
  <c r="AA394" i="11"/>
  <c r="X394" i="11"/>
  <c r="AE395" i="13" a="1"/>
  <c r="AO396" i="13" a="1"/>
  <c r="AF395" i="13" l="1"/>
  <c r="AH395" i="13"/>
  <c r="AG395" i="13"/>
  <c r="AE395" i="13"/>
  <c r="AP396" i="13"/>
  <c r="AQ396" i="13"/>
  <c r="AO396" i="13"/>
  <c r="AR396" i="13"/>
  <c r="X395" i="11" l="1" a="1"/>
  <c r="AA395" i="11" s="1"/>
  <c r="AO397" i="13" a="1"/>
  <c r="AE396" i="13" a="1"/>
  <c r="X395" i="11" l="1"/>
  <c r="Y395" i="11"/>
  <c r="Z395" i="11"/>
  <c r="AO397" i="13"/>
  <c r="AR397" i="13"/>
  <c r="AQ397" i="13"/>
  <c r="AP397" i="13"/>
  <c r="AH396" i="13"/>
  <c r="AG396" i="13"/>
  <c r="AE396" i="13"/>
  <c r="AF396" i="13"/>
  <c r="X396" i="11" l="1" a="1"/>
  <c r="X396" i="11" s="1"/>
  <c r="AE397" i="13" a="1"/>
  <c r="AO398" i="13" a="1"/>
  <c r="Y396" i="11" l="1"/>
  <c r="Z396" i="11"/>
  <c r="AA396" i="11"/>
  <c r="AE397" i="13"/>
  <c r="AG397" i="13"/>
  <c r="AH397" i="13"/>
  <c r="AF397" i="13"/>
  <c r="AO398" i="13"/>
  <c r="AR398" i="13"/>
  <c r="AQ398" i="13"/>
  <c r="AP398" i="13"/>
  <c r="AO399" i="13" l="1" a="1"/>
  <c r="AE398" i="13" a="1"/>
  <c r="X397" i="11" a="1"/>
  <c r="Y397" i="11" l="1"/>
  <c r="X397" i="11"/>
  <c r="AA397" i="11"/>
  <c r="Z397" i="11"/>
  <c r="AE398" i="13"/>
  <c r="AF398" i="13"/>
  <c r="AG398" i="13"/>
  <c r="AH398" i="13"/>
  <c r="AP399" i="13"/>
  <c r="AQ399" i="13"/>
  <c r="AO399" i="13"/>
  <c r="AR399" i="13"/>
  <c r="X398" i="11" l="1" a="1"/>
  <c r="AE399" i="13" a="1"/>
  <c r="AO400" i="13" a="1"/>
  <c r="AH399" i="13" l="1"/>
  <c r="AF399" i="13"/>
  <c r="AG399" i="13"/>
  <c r="AE399" i="13"/>
  <c r="AO400" i="13"/>
  <c r="AR400" i="13"/>
  <c r="AP400" i="13"/>
  <c r="AQ400" i="13"/>
  <c r="Y398" i="11"/>
  <c r="Z398" i="11"/>
  <c r="AA398" i="11"/>
  <c r="X398" i="11"/>
  <c r="X399" i="11" l="1" a="1"/>
  <c r="Y399" i="11" s="1"/>
  <c r="AO401" i="13" a="1"/>
  <c r="AE400" i="13" a="1"/>
  <c r="AA399" i="11"/>
  <c r="Z399" i="11"/>
  <c r="X399" i="11" l="1"/>
  <c r="AG400" i="13"/>
  <c r="AF400" i="13"/>
  <c r="AE400" i="13"/>
  <c r="AH400" i="13"/>
  <c r="AQ401" i="13"/>
  <c r="AO401" i="13"/>
  <c r="AP401" i="13"/>
  <c r="AR401" i="13"/>
  <c r="AO402" i="13" l="1" a="1"/>
  <c r="AE401" i="13" a="1"/>
  <c r="X400" i="11" a="1"/>
  <c r="Z400" i="11" l="1"/>
  <c r="X400" i="11"/>
  <c r="Y400" i="11"/>
  <c r="AA400" i="11"/>
  <c r="AH401" i="13"/>
  <c r="AE401" i="13"/>
  <c r="AG401" i="13"/>
  <c r="AF401" i="13"/>
  <c r="AQ402" i="13"/>
  <c r="AP402" i="13"/>
  <c r="AO402" i="13"/>
  <c r="AR402" i="13"/>
  <c r="AE402" i="13" l="1" a="1"/>
  <c r="AO403" i="13" a="1"/>
  <c r="X401" i="11" a="1"/>
  <c r="Y401" i="11" l="1"/>
  <c r="Z401" i="11"/>
  <c r="AA401" i="11"/>
  <c r="X401" i="11"/>
  <c r="AO403" i="13"/>
  <c r="AQ403" i="13"/>
  <c r="AP403" i="13"/>
  <c r="AR403" i="13"/>
  <c r="AG402" i="13"/>
  <c r="AH402" i="13"/>
  <c r="AF402" i="13"/>
  <c r="AE402" i="13"/>
  <c r="X402" i="11" l="1" a="1"/>
  <c r="Y402" i="11" s="1"/>
  <c r="AE403" i="13" a="1"/>
  <c r="AO404" i="13" a="1"/>
  <c r="X402" i="11"/>
  <c r="Z402" i="11"/>
  <c r="AA402" i="11" l="1"/>
  <c r="AR404" i="13"/>
  <c r="AQ404" i="13"/>
  <c r="AP404" i="13"/>
  <c r="AO404" i="13"/>
  <c r="AF403" i="13"/>
  <c r="AG403" i="13"/>
  <c r="AE403" i="13"/>
  <c r="AH403" i="13"/>
  <c r="AE404" i="13" l="1" a="1"/>
  <c r="AO405" i="13" a="1"/>
  <c r="X403" i="11" a="1"/>
  <c r="X403" i="11" l="1"/>
  <c r="Y403" i="11"/>
  <c r="AA403" i="11"/>
  <c r="Z403" i="11"/>
  <c r="AR405" i="13"/>
  <c r="AQ405" i="13"/>
  <c r="AO405" i="13"/>
  <c r="AP405" i="13"/>
  <c r="AG404" i="13"/>
  <c r="AH404" i="13"/>
  <c r="AF404" i="13"/>
  <c r="AE404" i="13"/>
  <c r="X404" i="11" l="1" a="1"/>
  <c r="Z404" i="11" s="1"/>
  <c r="AO406" i="13" a="1"/>
  <c r="AE405" i="13" a="1"/>
  <c r="Y404" i="11"/>
  <c r="X404" i="11"/>
  <c r="AA404" i="11" l="1"/>
  <c r="AH405" i="13"/>
  <c r="AF405" i="13"/>
  <c r="AE405" i="13"/>
  <c r="AG405" i="13"/>
  <c r="AR406" i="13"/>
  <c r="AQ406" i="13"/>
  <c r="AP406" i="13"/>
  <c r="AO406" i="13"/>
  <c r="AO407" i="13" l="1" a="1"/>
  <c r="AE406" i="13" a="1"/>
  <c r="X405" i="11" a="1"/>
  <c r="AA405" i="11" l="1"/>
  <c r="Z405" i="11"/>
  <c r="Y405" i="11"/>
  <c r="X405" i="11"/>
  <c r="AF406" i="13"/>
  <c r="AH406" i="13"/>
  <c r="AG406" i="13"/>
  <c r="AE406" i="13"/>
  <c r="X406" i="11" s="1" a="1"/>
  <c r="AO407" i="13"/>
  <c r="AR407" i="13"/>
  <c r="AQ407" i="13"/>
  <c r="AP407" i="13"/>
  <c r="X406" i="11" l="1"/>
  <c r="Z406" i="11"/>
  <c r="Y406" i="11"/>
  <c r="AA406" i="11"/>
  <c r="AO408" i="13" a="1"/>
  <c r="AE407" i="13" a="1"/>
  <c r="AH407" i="13" l="1"/>
  <c r="AG407" i="13"/>
  <c r="AF407" i="13"/>
  <c r="AE407" i="13"/>
  <c r="X407" i="11" s="1" a="1"/>
  <c r="AO408" i="13"/>
  <c r="AQ408" i="13"/>
  <c r="AR408" i="13"/>
  <c r="AP408" i="13"/>
  <c r="X407" i="11" l="1"/>
  <c r="Y407" i="11"/>
  <c r="AA407" i="11"/>
  <c r="Z407" i="11"/>
  <c r="AE408" i="13" a="1"/>
  <c r="AO409" i="13" a="1"/>
  <c r="AP409" i="13" l="1"/>
  <c r="AO409" i="13"/>
  <c r="AR409" i="13"/>
  <c r="AQ409" i="13"/>
  <c r="AH408" i="13"/>
  <c r="AG408" i="13"/>
  <c r="AE408" i="13"/>
  <c r="AF408" i="13"/>
  <c r="X408" i="11" l="1" a="1"/>
  <c r="AA408" i="11"/>
  <c r="Y408" i="11"/>
  <c r="Z408" i="11"/>
  <c r="X408" i="11"/>
  <c r="AO410" i="13" a="1"/>
  <c r="AE409" i="13" a="1"/>
  <c r="AR410" i="13" l="1"/>
  <c r="AQ410" i="13"/>
  <c r="AO410" i="13"/>
  <c r="AP410" i="13"/>
  <c r="AH409" i="13"/>
  <c r="AG409" i="13"/>
  <c r="AE409" i="13"/>
  <c r="AF409" i="13"/>
  <c r="X409" i="11" l="1" a="1"/>
  <c r="AE410" i="13" a="1"/>
  <c r="AO411" i="13" a="1"/>
  <c r="Y409" i="11"/>
  <c r="X409" i="11"/>
  <c r="AA409" i="11"/>
  <c r="Z409" i="11"/>
  <c r="AO411" i="13" l="1"/>
  <c r="AP411" i="13"/>
  <c r="AR411" i="13"/>
  <c r="AQ411" i="13"/>
  <c r="AH410" i="13"/>
  <c r="AG410" i="13"/>
  <c r="AE410" i="13"/>
  <c r="AF410" i="13"/>
  <c r="X410" i="11" l="1" a="1"/>
  <c r="X410" i="11"/>
  <c r="Z410" i="11"/>
  <c r="AA410" i="11"/>
  <c r="Y410" i="11"/>
  <c r="AE411" i="13" a="1"/>
  <c r="AO412" i="13" a="1"/>
  <c r="AQ412" i="13" l="1"/>
  <c r="AO412" i="13"/>
  <c r="AR412" i="13"/>
  <c r="AP412" i="13"/>
  <c r="AG411" i="13"/>
  <c r="AF411" i="13"/>
  <c r="AE411" i="13"/>
  <c r="AH411" i="13"/>
  <c r="X411" i="11" l="1" a="1"/>
  <c r="X411" i="11"/>
  <c r="Y411" i="11"/>
  <c r="AA411" i="11"/>
  <c r="Z411" i="11"/>
  <c r="AE412" i="13" a="1"/>
  <c r="AO413" i="13" a="1"/>
  <c r="AR413" i="13" l="1"/>
  <c r="AQ413" i="13"/>
  <c r="AO413" i="13"/>
  <c r="AP413" i="13"/>
  <c r="AH412" i="13"/>
  <c r="AG412" i="13"/>
  <c r="AE412" i="13"/>
  <c r="AF412" i="13"/>
  <c r="X412" i="11" l="1" a="1"/>
  <c r="AA412" i="11" s="1"/>
  <c r="Y412" i="11"/>
  <c r="Z412" i="11"/>
  <c r="X412" i="11"/>
  <c r="AE413" i="13" a="1"/>
  <c r="AO414" i="13" a="1"/>
  <c r="AR414" i="13" l="1"/>
  <c r="AQ414" i="13"/>
  <c r="AO414" i="13"/>
  <c r="AP414" i="13"/>
  <c r="AE413" i="13"/>
  <c r="AF413" i="13"/>
  <c r="AH413" i="13"/>
  <c r="AG413" i="13"/>
  <c r="X413" i="11" l="1" a="1"/>
  <c r="X413" i="11" s="1"/>
  <c r="Y413" i="11"/>
  <c r="Z413" i="11"/>
  <c r="AE414" i="13" a="1"/>
  <c r="AO415" i="13" a="1"/>
  <c r="AA413" i="11" l="1"/>
  <c r="AP415" i="13"/>
  <c r="AO415" i="13"/>
  <c r="AR415" i="13"/>
  <c r="AQ415" i="13"/>
  <c r="AE414" i="13"/>
  <c r="AF414" i="13"/>
  <c r="AH414" i="13"/>
  <c r="AG414" i="13"/>
  <c r="X414" i="11" l="1" a="1"/>
  <c r="AO416" i="13" a="1"/>
  <c r="AE415" i="13" a="1"/>
  <c r="AP416" i="13" l="1"/>
  <c r="AQ416" i="13"/>
  <c r="AO416" i="13"/>
  <c r="AR416" i="13"/>
  <c r="AG415" i="13"/>
  <c r="AE415" i="13"/>
  <c r="AF415" i="13"/>
  <c r="AH415" i="13"/>
  <c r="Z414" i="11"/>
  <c r="X414" i="11"/>
  <c r="Y414" i="11"/>
  <c r="AA414" i="11"/>
  <c r="X415" i="11" l="1" a="1"/>
  <c r="AO417" i="13" a="1"/>
  <c r="AE416" i="13" a="1"/>
  <c r="AO417" i="13" l="1"/>
  <c r="AP417" i="13"/>
  <c r="AR417" i="13"/>
  <c r="AQ417" i="13"/>
  <c r="AG416" i="13"/>
  <c r="AE416" i="13"/>
  <c r="AF416" i="13"/>
  <c r="AH416" i="13"/>
  <c r="Z415" i="11"/>
  <c r="Y415" i="11"/>
  <c r="X415" i="11"/>
  <c r="AA415" i="11"/>
  <c r="X416" i="11" l="1" a="1"/>
  <c r="AO418" i="13" a="1"/>
  <c r="AE417" i="13" a="1"/>
  <c r="AR418" i="13" l="1"/>
  <c r="AQ418" i="13"/>
  <c r="AP418" i="13"/>
  <c r="AO418" i="13"/>
  <c r="AG417" i="13"/>
  <c r="AF417" i="13"/>
  <c r="AE417" i="13"/>
  <c r="AH417" i="13"/>
  <c r="X416" i="11"/>
  <c r="Z416" i="11"/>
  <c r="AA416" i="11"/>
  <c r="Y416" i="11"/>
  <c r="X417" i="11" l="1" a="1"/>
  <c r="Y417" i="11"/>
  <c r="X417" i="11"/>
  <c r="AA417" i="11"/>
  <c r="Z417" i="11"/>
  <c r="AE418" i="13" a="1"/>
  <c r="AO419" i="13" a="1"/>
  <c r="AO419" i="13" l="1"/>
  <c r="AR419" i="13"/>
  <c r="AQ419" i="13"/>
  <c r="AP419" i="13"/>
  <c r="AH418" i="13"/>
  <c r="AG418" i="13"/>
  <c r="AF418" i="13"/>
  <c r="AE418" i="13"/>
  <c r="X418" i="11" s="1" a="1"/>
  <c r="AA418" i="11" l="1"/>
  <c r="X418" i="11"/>
  <c r="Z418" i="11"/>
  <c r="Y418" i="11"/>
  <c r="AE419" i="13" a="1"/>
  <c r="AO420" i="13" a="1"/>
  <c r="AP420" i="13" l="1"/>
  <c r="AQ420" i="13"/>
  <c r="AR420" i="13"/>
  <c r="AO420" i="13"/>
  <c r="AE419" i="13"/>
  <c r="AG419" i="13"/>
  <c r="AH419" i="13"/>
  <c r="AF419" i="13"/>
  <c r="AO421" i="13" l="1" a="1"/>
  <c r="AE420" i="13" a="1"/>
  <c r="X419" i="11" a="1"/>
  <c r="AA419" i="11" l="1"/>
  <c r="Z419" i="11"/>
  <c r="Y419" i="11"/>
  <c r="X419" i="11"/>
  <c r="AH420" i="13"/>
  <c r="AG420" i="13"/>
  <c r="AF420" i="13"/>
  <c r="AE420" i="13"/>
  <c r="X420" i="11" s="1" a="1"/>
  <c r="AO421" i="13"/>
  <c r="AQ421" i="13"/>
  <c r="AP421" i="13"/>
  <c r="AR421" i="13"/>
  <c r="AA420" i="11" l="1"/>
  <c r="Z420" i="11"/>
  <c r="X420" i="11"/>
  <c r="Y420" i="11"/>
  <c r="AO422" i="13" a="1"/>
  <c r="AE421" i="13" a="1"/>
  <c r="AO422" i="13" l="1"/>
  <c r="AR422" i="13"/>
  <c r="AP422" i="13"/>
  <c r="AQ422" i="13"/>
  <c r="AE421" i="13"/>
  <c r="AF421" i="13"/>
  <c r="AH421" i="13"/>
  <c r="AG421" i="13"/>
  <c r="X421" i="11" l="1" a="1"/>
  <c r="AO423" i="13" a="1"/>
  <c r="AE422" i="13" a="1"/>
  <c r="AQ423" i="13" l="1"/>
  <c r="AP423" i="13"/>
  <c r="AO423" i="13"/>
  <c r="AR423" i="13"/>
  <c r="AE422" i="13"/>
  <c r="AF422" i="13"/>
  <c r="AH422" i="13"/>
  <c r="AG422" i="13"/>
  <c r="Y421" i="11"/>
  <c r="X421" i="11"/>
  <c r="AA421" i="11"/>
  <c r="Z421" i="11"/>
  <c r="X422" i="11" l="1" a="1"/>
  <c r="AE423" i="13" a="1"/>
  <c r="AO424" i="13" a="1"/>
  <c r="AE423" i="13" l="1"/>
  <c r="AH423" i="13"/>
  <c r="AF423" i="13"/>
  <c r="AG423" i="13"/>
  <c r="AO424" i="13"/>
  <c r="AR424" i="13"/>
  <c r="AQ424" i="13"/>
  <c r="AP424" i="13"/>
  <c r="X422" i="11"/>
  <c r="AA422" i="11"/>
  <c r="Z422" i="11"/>
  <c r="Y422" i="11"/>
  <c r="AO425" i="13" l="1" a="1"/>
  <c r="AE424" i="13" a="1"/>
  <c r="X423" i="11" a="1"/>
  <c r="Z423" i="11" l="1"/>
  <c r="AA423" i="11"/>
  <c r="Y423" i="11"/>
  <c r="X423" i="11"/>
  <c r="AG424" i="13"/>
  <c r="AE424" i="13"/>
  <c r="AF424" i="13"/>
  <c r="AH424" i="13"/>
  <c r="AO425" i="13"/>
  <c r="AR425" i="13"/>
  <c r="AP425" i="13"/>
  <c r="AQ425" i="13"/>
  <c r="X424" i="11" l="1" a="1"/>
  <c r="AE425" i="13" a="1"/>
  <c r="AO426" i="13" a="1"/>
  <c r="AH425" i="13" l="1"/>
  <c r="AF425" i="13"/>
  <c r="AG425" i="13"/>
  <c r="AE425" i="13"/>
  <c r="AR426" i="13"/>
  <c r="AQ426" i="13"/>
  <c r="AO426" i="13"/>
  <c r="AP426" i="13"/>
  <c r="Y424" i="11"/>
  <c r="Z424" i="11"/>
  <c r="X424" i="11"/>
  <c r="AA424" i="11"/>
  <c r="X425" i="11" l="1" a="1"/>
  <c r="AO427" i="13" a="1"/>
  <c r="AE426" i="13" a="1"/>
  <c r="X425" i="11"/>
  <c r="Z425" i="11"/>
  <c r="AA425" i="11"/>
  <c r="Y425" i="11"/>
  <c r="AH426" i="13" l="1"/>
  <c r="AG426" i="13"/>
  <c r="AE426" i="13"/>
  <c r="AF426" i="13"/>
  <c r="AQ427" i="13"/>
  <c r="AP427" i="13"/>
  <c r="AR427" i="13"/>
  <c r="AO427" i="13"/>
  <c r="AO428" i="13" l="1" a="1"/>
  <c r="AE427" i="13" a="1"/>
  <c r="X426" i="11" a="1"/>
  <c r="AA426" i="11" l="1"/>
  <c r="X426" i="11"/>
  <c r="Z426" i="11"/>
  <c r="Y426" i="11"/>
  <c r="AG427" i="13"/>
  <c r="AE427" i="13"/>
  <c r="AH427" i="13"/>
  <c r="AF427" i="13"/>
  <c r="AP428" i="13"/>
  <c r="AQ428" i="13"/>
  <c r="AO428" i="13"/>
  <c r="AR428" i="13"/>
  <c r="X427" i="11" l="1" a="1"/>
  <c r="AE428" i="13" a="1"/>
  <c r="AO429" i="13" a="1"/>
  <c r="AF428" i="13" l="1"/>
  <c r="AE428" i="13"/>
  <c r="AH428" i="13"/>
  <c r="AG428" i="13"/>
  <c r="AR429" i="13"/>
  <c r="AP429" i="13"/>
  <c r="AO429" i="13"/>
  <c r="AQ429" i="13"/>
  <c r="Z427" i="11"/>
  <c r="Y427" i="11"/>
  <c r="AA427" i="11"/>
  <c r="X427" i="11"/>
  <c r="X428" i="11" l="1" a="1"/>
  <c r="AA428" i="11" s="1"/>
  <c r="AO430" i="13" a="1"/>
  <c r="AE429" i="13" a="1"/>
  <c r="X428" i="11" l="1"/>
  <c r="Y428" i="11"/>
  <c r="Z428" i="11"/>
  <c r="AE429" i="13"/>
  <c r="AH429" i="13"/>
  <c r="AF429" i="13"/>
  <c r="AG429" i="13"/>
  <c r="AQ430" i="13"/>
  <c r="AO430" i="13"/>
  <c r="AP430" i="13"/>
  <c r="AR430" i="13"/>
  <c r="AO431" i="13" l="1" a="1"/>
  <c r="AE430" i="13" a="1"/>
  <c r="X429" i="11" a="1"/>
  <c r="Y429" i="11" l="1"/>
  <c r="X429" i="11"/>
  <c r="AA429" i="11"/>
  <c r="Z429" i="11"/>
  <c r="AE430" i="13"/>
  <c r="AH430" i="13"/>
  <c r="AG430" i="13"/>
  <c r="AF430" i="13"/>
  <c r="AR431" i="13"/>
  <c r="AO431" i="13"/>
  <c r="AQ431" i="13"/>
  <c r="AP431" i="13"/>
  <c r="X430" i="11" l="1" a="1"/>
  <c r="AE431" i="13" a="1"/>
  <c r="AO432" i="13" a="1"/>
  <c r="AF431" i="13" l="1"/>
  <c r="AH431" i="13"/>
  <c r="AG431" i="13"/>
  <c r="AE431" i="13"/>
  <c r="X431" i="11" s="1" a="1"/>
  <c r="AQ432" i="13"/>
  <c r="AP432" i="13"/>
  <c r="AR432" i="13"/>
  <c r="AO432" i="13"/>
  <c r="X430" i="11"/>
  <c r="AA430" i="11"/>
  <c r="Z430" i="11"/>
  <c r="Y430" i="11"/>
  <c r="AE432" i="13" l="1" a="1"/>
  <c r="AO433" i="13" a="1"/>
  <c r="Z431" i="11"/>
  <c r="AA431" i="11"/>
  <c r="Y431" i="11"/>
  <c r="X431" i="11"/>
  <c r="AQ433" i="13" l="1"/>
  <c r="AO433" i="13"/>
  <c r="AP433" i="13"/>
  <c r="AR433" i="13"/>
  <c r="AE432" i="13"/>
  <c r="AH432" i="13"/>
  <c r="AF432" i="13"/>
  <c r="AG432" i="13"/>
  <c r="X432" i="11" l="1" a="1"/>
  <c r="AO434" i="13" a="1"/>
  <c r="AE433" i="13" a="1"/>
  <c r="AO434" i="13" l="1"/>
  <c r="AP434" i="13"/>
  <c r="AQ434" i="13"/>
  <c r="AR434" i="13"/>
  <c r="AH433" i="13"/>
  <c r="AF433" i="13"/>
  <c r="AE433" i="13"/>
  <c r="AG433" i="13"/>
  <c r="Z432" i="11"/>
  <c r="X432" i="11"/>
  <c r="AA432" i="11"/>
  <c r="Y432" i="11"/>
  <c r="X433" i="11" l="1" a="1"/>
  <c r="X433" i="11"/>
  <c r="Y433" i="11"/>
  <c r="Z433" i="11"/>
  <c r="AA433" i="11"/>
  <c r="AE434" i="13" a="1"/>
  <c r="AO435" i="13" a="1"/>
  <c r="AR435" i="13" l="1"/>
  <c r="AQ435" i="13"/>
  <c r="AO435" i="13"/>
  <c r="AP435" i="13"/>
  <c r="AH434" i="13"/>
  <c r="AE434" i="13"/>
  <c r="AG434" i="13"/>
  <c r="AF434" i="13"/>
  <c r="X434" i="11" l="1" a="1"/>
  <c r="AO436" i="13" a="1"/>
  <c r="AE435" i="13" a="1"/>
  <c r="AO436" i="13" l="1"/>
  <c r="AR436" i="13"/>
  <c r="AP436" i="13"/>
  <c r="AQ436" i="13"/>
  <c r="AH435" i="13"/>
  <c r="AF435" i="13"/>
  <c r="AG435" i="13"/>
  <c r="AE435" i="13"/>
  <c r="X435" i="11" s="1" a="1"/>
  <c r="AA434" i="11"/>
  <c r="Y434" i="11"/>
  <c r="X434" i="11"/>
  <c r="Z434" i="11"/>
  <c r="Y435" i="11" l="1"/>
  <c r="X435" i="11"/>
  <c r="AA435" i="11"/>
  <c r="Z435" i="11"/>
  <c r="AE436" i="13" a="1"/>
  <c r="AO437" i="13" a="1"/>
  <c r="AF436" i="13" l="1"/>
  <c r="AE436" i="13"/>
  <c r="AH436" i="13"/>
  <c r="AG436" i="13"/>
  <c r="AQ437" i="13"/>
  <c r="AO437" i="13"/>
  <c r="AP437" i="13"/>
  <c r="AR437" i="13"/>
  <c r="X436" i="11" l="1" a="1"/>
  <c r="AO438" i="13" a="1"/>
  <c r="AE437" i="13" a="1"/>
  <c r="Z436" i="11"/>
  <c r="AA436" i="11"/>
  <c r="Y436" i="11"/>
  <c r="X436" i="11"/>
  <c r="AH437" i="13" l="1"/>
  <c r="AG437" i="13"/>
  <c r="AF437" i="13"/>
  <c r="AE437" i="13"/>
  <c r="X437" i="11" s="1" a="1"/>
  <c r="AQ438" i="13"/>
  <c r="AP438" i="13"/>
  <c r="AO438" i="13"/>
  <c r="AR438" i="13"/>
  <c r="AO439" i="13" l="1" a="1"/>
  <c r="AE438" i="13" a="1"/>
  <c r="X437" i="11"/>
  <c r="Y437" i="11"/>
  <c r="AA437" i="11"/>
  <c r="Z437" i="11"/>
  <c r="AE438" i="13" l="1"/>
  <c r="AH438" i="13"/>
  <c r="AG438" i="13"/>
  <c r="AF438" i="13"/>
  <c r="AR439" i="13"/>
  <c r="AQ439" i="13"/>
  <c r="AO439" i="13"/>
  <c r="AP439" i="13"/>
  <c r="AO440" i="13" l="1" a="1"/>
  <c r="AE439" i="13" a="1"/>
  <c r="X438" i="11" a="1"/>
  <c r="AQ440" i="13" l="1"/>
  <c r="AP440" i="13"/>
  <c r="AO440" i="13"/>
  <c r="AR440" i="13"/>
  <c r="X438" i="11"/>
  <c r="Z438" i="11"/>
  <c r="AA438" i="11"/>
  <c r="Y438" i="11"/>
  <c r="AH439" i="13"/>
  <c r="AE439" i="13"/>
  <c r="AG439" i="13"/>
  <c r="AF439" i="13"/>
  <c r="AE440" i="13" l="1" a="1"/>
  <c r="AO441" i="13" a="1"/>
  <c r="X439" i="11" a="1"/>
  <c r="AA439" i="11" l="1"/>
  <c r="Z439" i="11"/>
  <c r="X439" i="11"/>
  <c r="Y439" i="11"/>
  <c r="AO441" i="13"/>
  <c r="AP441" i="13"/>
  <c r="AQ441" i="13"/>
  <c r="AR441" i="13"/>
  <c r="AF440" i="13"/>
  <c r="AE440" i="13"/>
  <c r="AG440" i="13"/>
  <c r="AH440" i="13"/>
  <c r="AE441" i="13" l="1" a="1"/>
  <c r="AO442" i="13" a="1"/>
  <c r="X440" i="11" a="1"/>
  <c r="Y440" i="11" l="1"/>
  <c r="X440" i="11"/>
  <c r="Z440" i="11"/>
  <c r="AA440" i="11"/>
  <c r="AO442" i="13"/>
  <c r="AP442" i="13"/>
  <c r="AR442" i="13"/>
  <c r="AQ442" i="13"/>
  <c r="AE441" i="13"/>
  <c r="AH441" i="13"/>
  <c r="AG441" i="13"/>
  <c r="AF441" i="13"/>
  <c r="AO443" i="13" l="1" a="1"/>
  <c r="AE442" i="13" a="1"/>
  <c r="X441" i="11" a="1"/>
  <c r="Z441" i="11" l="1"/>
  <c r="X441" i="11"/>
  <c r="AA441" i="11"/>
  <c r="Y441" i="11"/>
  <c r="AE442" i="13"/>
  <c r="AH442" i="13"/>
  <c r="AG442" i="13"/>
  <c r="AF442" i="13"/>
  <c r="AQ443" i="13"/>
  <c r="AP443" i="13"/>
  <c r="AO443" i="13"/>
  <c r="AR443" i="13"/>
  <c r="X442" i="11" l="1" a="1"/>
  <c r="AE443" i="13" a="1"/>
  <c r="AO444" i="13" a="1"/>
  <c r="AP444" i="13" l="1"/>
  <c r="AR444" i="13"/>
  <c r="AQ444" i="13"/>
  <c r="AO444" i="13"/>
  <c r="AH443" i="13"/>
  <c r="AG443" i="13"/>
  <c r="AF443" i="13"/>
  <c r="AE443" i="13"/>
  <c r="X443" i="11" s="1" a="1"/>
  <c r="Z442" i="11"/>
  <c r="Y442" i="11"/>
  <c r="AA442" i="11"/>
  <c r="X442" i="11"/>
  <c r="AA443" i="11" l="1"/>
  <c r="Z443" i="11"/>
  <c r="Y443" i="11"/>
  <c r="X443" i="11"/>
  <c r="AO445" i="13" a="1"/>
  <c r="AE444" i="13" a="1"/>
  <c r="AG444" i="13" l="1"/>
  <c r="AE444" i="13"/>
  <c r="AF444" i="13"/>
  <c r="AH444" i="13"/>
  <c r="AR445" i="13"/>
  <c r="AQ445" i="13"/>
  <c r="AP445" i="13"/>
  <c r="AO445" i="13"/>
  <c r="X444" i="11" l="1" a="1"/>
  <c r="AE445" i="13" a="1"/>
  <c r="AO446" i="13" a="1"/>
  <c r="AO446" i="13" l="1"/>
  <c r="AP446" i="13"/>
  <c r="AR446" i="13"/>
  <c r="AQ446" i="13"/>
  <c r="AE445" i="13"/>
  <c r="AG445" i="13"/>
  <c r="AF445" i="13"/>
  <c r="AH445" i="13"/>
  <c r="X444" i="11"/>
  <c r="Z444" i="11"/>
  <c r="AA444" i="11"/>
  <c r="Y444" i="11"/>
  <c r="X445" i="11" l="1" a="1"/>
  <c r="AO447" i="13" a="1"/>
  <c r="AE446" i="13" a="1"/>
  <c r="AH446" i="13" l="1"/>
  <c r="AG446" i="13"/>
  <c r="AE446" i="13"/>
  <c r="AF446" i="13"/>
  <c r="AQ447" i="13"/>
  <c r="AP447" i="13"/>
  <c r="AO447" i="13"/>
  <c r="AR447" i="13"/>
  <c r="Y445" i="11"/>
  <c r="X445" i="11"/>
  <c r="AA445" i="11"/>
  <c r="Z445" i="11"/>
  <c r="X446" i="11" l="1" a="1"/>
  <c r="AE447" i="13" a="1"/>
  <c r="AO448" i="13" a="1"/>
  <c r="AA446" i="11"/>
  <c r="Y446" i="11"/>
  <c r="X446" i="11"/>
  <c r="Z446" i="11"/>
  <c r="AR448" i="13" l="1"/>
  <c r="AQ448" i="13"/>
  <c r="AP448" i="13"/>
  <c r="AO448" i="13"/>
  <c r="AH447" i="13"/>
  <c r="AF447" i="13"/>
  <c r="AE447" i="13"/>
  <c r="AG447" i="13"/>
  <c r="X447" i="11" l="1" a="1"/>
  <c r="AA447" i="11" s="1"/>
  <c r="X447" i="11"/>
  <c r="AO449" i="13" a="1"/>
  <c r="AE448" i="13" a="1"/>
  <c r="Y447" i="11" l="1"/>
  <c r="Z447" i="11"/>
  <c r="AO449" i="13"/>
  <c r="AR449" i="13"/>
  <c r="AQ449" i="13"/>
  <c r="AP449" i="13"/>
  <c r="AH448" i="13"/>
  <c r="AG448" i="13"/>
  <c r="AE448" i="13"/>
  <c r="AF448" i="13"/>
  <c r="X448" i="11" l="1" a="1"/>
  <c r="X448" i="11"/>
  <c r="Y448" i="11"/>
  <c r="AA448" i="11"/>
  <c r="Z448" i="11"/>
  <c r="AE449" i="13" a="1"/>
  <c r="AO450" i="13" a="1"/>
  <c r="AQ450" i="13" l="1"/>
  <c r="AP450" i="13"/>
  <c r="AO450" i="13"/>
  <c r="AR450" i="13"/>
  <c r="AE449" i="13"/>
  <c r="AG449" i="13"/>
  <c r="AH449" i="13"/>
  <c r="AF449" i="13"/>
  <c r="X449" i="11" l="1" a="1"/>
  <c r="AE450" i="13" a="1"/>
  <c r="AO451" i="13" a="1"/>
  <c r="Y449" i="11"/>
  <c r="X449" i="11"/>
  <c r="Z449" i="11"/>
  <c r="AA449" i="11"/>
  <c r="AP451" i="13" l="1"/>
  <c r="AO451" i="13"/>
  <c r="AR451" i="13"/>
  <c r="AQ451" i="13"/>
  <c r="AE450" i="13"/>
  <c r="AH450" i="13"/>
  <c r="AG450" i="13"/>
  <c r="AF450" i="13"/>
  <c r="X450" i="11" l="1" a="1"/>
  <c r="AO452" i="13" a="1"/>
  <c r="AE451" i="13" a="1"/>
  <c r="AR452" i="13" l="1"/>
  <c r="AQ452" i="13"/>
  <c r="AP452" i="13"/>
  <c r="AO452" i="13"/>
  <c r="AG451" i="13"/>
  <c r="AE451" i="13"/>
  <c r="AH451" i="13"/>
  <c r="AF451" i="13"/>
  <c r="AA450" i="11"/>
  <c r="Z450" i="11"/>
  <c r="X450" i="11"/>
  <c r="Y450" i="11"/>
  <c r="X451" i="11" l="1" a="1"/>
  <c r="AE452" i="13" a="1"/>
  <c r="AO453" i="13" a="1"/>
  <c r="AR453" i="13" l="1"/>
  <c r="AP453" i="13"/>
  <c r="AQ453" i="13"/>
  <c r="AO453" i="13"/>
  <c r="AE452" i="13"/>
  <c r="AG452" i="13"/>
  <c r="AF452" i="13"/>
  <c r="AH452" i="13"/>
  <c r="Y451" i="11"/>
  <c r="Z451" i="11"/>
  <c r="X451" i="11"/>
  <c r="AA451" i="11"/>
  <c r="X452" i="11" l="1" a="1"/>
  <c r="AE453" i="13" a="1"/>
  <c r="AO454" i="13" a="1"/>
  <c r="AG453" i="13" l="1"/>
  <c r="AF453" i="13"/>
  <c r="AH453" i="13"/>
  <c r="AE453" i="13"/>
  <c r="X453" i="11" s="1" a="1"/>
  <c r="AO454" i="13"/>
  <c r="AR454" i="13"/>
  <c r="AQ454" i="13"/>
  <c r="AP454" i="13"/>
  <c r="Y452" i="11"/>
  <c r="Z452" i="11"/>
  <c r="X452" i="11"/>
  <c r="AA452" i="11"/>
  <c r="AE454" i="13" l="1" a="1"/>
  <c r="AO455" i="13" a="1"/>
  <c r="Y453" i="11"/>
  <c r="X453" i="11"/>
  <c r="Z453" i="11"/>
  <c r="AA453" i="11"/>
  <c r="AO455" i="13" l="1"/>
  <c r="AR455" i="13"/>
  <c r="AQ455" i="13"/>
  <c r="AP455" i="13"/>
  <c r="AF454" i="13"/>
  <c r="AG454" i="13"/>
  <c r="AE454" i="13"/>
  <c r="AH454" i="13"/>
  <c r="X454" i="11" l="1" a="1"/>
  <c r="Z454" i="11" s="1"/>
  <c r="Y454" i="11"/>
  <c r="AE455" i="13" a="1"/>
  <c r="AO456" i="13" a="1"/>
  <c r="AA454" i="11" l="1"/>
  <c r="X454" i="11"/>
  <c r="AH455" i="13"/>
  <c r="AE455" i="13"/>
  <c r="AG455" i="13"/>
  <c r="AF455" i="13"/>
  <c r="AO456" i="13"/>
  <c r="AR456" i="13"/>
  <c r="AQ456" i="13"/>
  <c r="AP456" i="13"/>
  <c r="X455" i="11" l="1" a="1"/>
  <c r="AO457" i="13" a="1"/>
  <c r="AE456" i="13" a="1"/>
  <c r="AR457" i="13" l="1"/>
  <c r="AQ457" i="13"/>
  <c r="AP457" i="13"/>
  <c r="AO457" i="13"/>
  <c r="AE456" i="13"/>
  <c r="AF456" i="13"/>
  <c r="AG456" i="13"/>
  <c r="AH456" i="13"/>
  <c r="AA455" i="11"/>
  <c r="Y455" i="11"/>
  <c r="Z455" i="11"/>
  <c r="X455" i="11"/>
  <c r="X456" i="11" l="1" a="1"/>
  <c r="AE457" i="13" a="1"/>
  <c r="AO458" i="13" a="1"/>
  <c r="AG457" i="13" l="1"/>
  <c r="AE457" i="13"/>
  <c r="AF457" i="13"/>
  <c r="AH457" i="13"/>
  <c r="AO458" i="13"/>
  <c r="AP458" i="13"/>
  <c r="AR458" i="13"/>
  <c r="AQ458" i="13"/>
  <c r="Z456" i="11"/>
  <c r="Y456" i="11"/>
  <c r="X456" i="11"/>
  <c r="AA456" i="11"/>
  <c r="AE458" i="13" l="1" a="1"/>
  <c r="AO459" i="13" a="1"/>
  <c r="X457" i="11" a="1"/>
  <c r="AA457" i="11" l="1"/>
  <c r="Z457" i="11"/>
  <c r="X457" i="11"/>
  <c r="Y457" i="11"/>
  <c r="AP459" i="13"/>
  <c r="AR459" i="13"/>
  <c r="AQ459" i="13"/>
  <c r="AO459" i="13"/>
  <c r="AE458" i="13"/>
  <c r="AH458" i="13"/>
  <c r="AF458" i="13"/>
  <c r="AG458" i="13"/>
  <c r="AE459" i="13" l="1" a="1"/>
  <c r="AO460" i="13" a="1"/>
  <c r="X458" i="11" a="1"/>
  <c r="Z458" i="11" l="1"/>
  <c r="AA458" i="11"/>
  <c r="X458" i="11"/>
  <c r="Y458" i="11"/>
  <c r="AO460" i="13"/>
  <c r="AR460" i="13"/>
  <c r="AP460" i="13"/>
  <c r="AQ460" i="13"/>
  <c r="AH459" i="13"/>
  <c r="AG459" i="13"/>
  <c r="AE459" i="13"/>
  <c r="AF459" i="13"/>
  <c r="X459" i="11" l="1" a="1"/>
  <c r="AO461" i="13" a="1"/>
  <c r="AE460" i="13" a="1"/>
  <c r="X459" i="11"/>
  <c r="Y459" i="11"/>
  <c r="AA459" i="11"/>
  <c r="Z459" i="11"/>
  <c r="AG460" i="13" l="1"/>
  <c r="AF460" i="13"/>
  <c r="AE460" i="13"/>
  <c r="AH460" i="13"/>
  <c r="AQ461" i="13"/>
  <c r="AO461" i="13"/>
  <c r="AR461" i="13"/>
  <c r="AP461" i="13"/>
  <c r="X460" i="11" l="1" a="1"/>
  <c r="AE461" i="13" a="1"/>
  <c r="AO462" i="13" a="1"/>
  <c r="Y460" i="11"/>
  <c r="X460" i="11"/>
  <c r="AA460" i="11"/>
  <c r="Z460" i="11"/>
  <c r="AO462" i="13" l="1"/>
  <c r="AR462" i="13"/>
  <c r="AQ462" i="13"/>
  <c r="AP462" i="13"/>
  <c r="AG461" i="13"/>
  <c r="AF461" i="13"/>
  <c r="AE461" i="13"/>
  <c r="AH461" i="13"/>
  <c r="X461" i="11" l="1" a="1"/>
  <c r="Y461" i="11" s="1"/>
  <c r="AO463" i="13" a="1"/>
  <c r="AE462" i="13" a="1"/>
  <c r="X461" i="11" l="1"/>
  <c r="Z461" i="11"/>
  <c r="AA461" i="11"/>
  <c r="AH462" i="13"/>
  <c r="AG462" i="13"/>
  <c r="AF462" i="13"/>
  <c r="AE462" i="13"/>
  <c r="AR463" i="13"/>
  <c r="AQ463" i="13"/>
  <c r="AP463" i="13"/>
  <c r="AO463" i="13"/>
  <c r="AE463" i="13" l="1" a="1"/>
  <c r="AO464" i="13" a="1"/>
  <c r="X462" i="11" a="1"/>
  <c r="X462" i="11" l="1"/>
  <c r="Z462" i="11"/>
  <c r="Y462" i="11"/>
  <c r="AA462" i="11"/>
  <c r="AP464" i="13"/>
  <c r="AO464" i="13"/>
  <c r="AR464" i="13"/>
  <c r="AQ464" i="13"/>
  <c r="AH463" i="13"/>
  <c r="AE463" i="13"/>
  <c r="AG463" i="13"/>
  <c r="AF463" i="13"/>
  <c r="AO465" i="13" l="1" a="1"/>
  <c r="AE464" i="13" a="1"/>
  <c r="X463" i="11" a="1"/>
  <c r="Z463" i="11" l="1"/>
  <c r="X463" i="11"/>
  <c r="Y463" i="11"/>
  <c r="AA463" i="11"/>
  <c r="AH464" i="13"/>
  <c r="AF464" i="13"/>
  <c r="AE464" i="13"/>
  <c r="AG464" i="13"/>
  <c r="AO465" i="13"/>
  <c r="AR465" i="13"/>
  <c r="AQ465" i="13"/>
  <c r="AP465" i="13"/>
  <c r="X464" i="11" l="1" a="1"/>
  <c r="AO466" i="13" a="1"/>
  <c r="AE465" i="13" a="1"/>
  <c r="AO466" i="13" l="1"/>
  <c r="AQ466" i="13"/>
  <c r="AR466" i="13"/>
  <c r="AP466" i="13"/>
  <c r="AF465" i="13"/>
  <c r="AE465" i="13"/>
  <c r="AH465" i="13"/>
  <c r="AG465" i="13"/>
  <c r="Z464" i="11"/>
  <c r="X464" i="11"/>
  <c r="AA464" i="11"/>
  <c r="Y464" i="11"/>
  <c r="X465" i="11" l="1" a="1"/>
  <c r="AO467" i="13" a="1"/>
  <c r="AE466" i="13" a="1"/>
  <c r="AO467" i="13" l="1"/>
  <c r="AP467" i="13"/>
  <c r="AQ467" i="13"/>
  <c r="AR467" i="13"/>
  <c r="AF466" i="13"/>
  <c r="AG466" i="13"/>
  <c r="AH466" i="13"/>
  <c r="AE466" i="13"/>
  <c r="X466" i="11" s="1" a="1"/>
  <c r="AA465" i="11"/>
  <c r="Z465" i="11"/>
  <c r="Y465" i="11"/>
  <c r="X465" i="11"/>
  <c r="Y466" i="11" l="1"/>
  <c r="Z466" i="11"/>
  <c r="AA466" i="11"/>
  <c r="X466" i="11"/>
  <c r="AO468" i="13" a="1"/>
  <c r="AE467" i="13" a="1"/>
  <c r="AR468" i="13" l="1"/>
  <c r="AP468" i="13"/>
  <c r="AQ468" i="13"/>
  <c r="AO468" i="13"/>
  <c r="AG467" i="13"/>
  <c r="AE467" i="13"/>
  <c r="AF467" i="13"/>
  <c r="AH467" i="13"/>
  <c r="X467" i="11" l="1" a="1"/>
  <c r="AE468" i="13" a="1"/>
  <c r="AO469" i="13" a="1"/>
  <c r="AH468" i="13" l="1"/>
  <c r="AE468" i="13"/>
  <c r="AG468" i="13"/>
  <c r="AF468" i="13"/>
  <c r="AQ469" i="13"/>
  <c r="AP469" i="13"/>
  <c r="AR469" i="13"/>
  <c r="AO469" i="13"/>
  <c r="Z467" i="11"/>
  <c r="AA467" i="11"/>
  <c r="Y467" i="11"/>
  <c r="X467" i="11"/>
  <c r="AE469" i="13" l="1" a="1"/>
  <c r="AO470" i="13" a="1"/>
  <c r="X468" i="11" a="1"/>
  <c r="X468" i="11" l="1"/>
  <c r="Z468" i="11"/>
  <c r="AA468" i="11"/>
  <c r="Y468" i="11"/>
  <c r="AR470" i="13"/>
  <c r="AQ470" i="13"/>
  <c r="AP470" i="13"/>
  <c r="AO470" i="13"/>
  <c r="AH469" i="13"/>
  <c r="AF469" i="13"/>
  <c r="AG469" i="13"/>
  <c r="AE469" i="13"/>
  <c r="X469" i="11" s="1" a="1"/>
  <c r="AO471" i="13" l="1" a="1"/>
  <c r="AE470" i="13" a="1"/>
  <c r="AA469" i="11"/>
  <c r="Z469" i="11"/>
  <c r="Y469" i="11"/>
  <c r="X469" i="11"/>
  <c r="AF470" i="13" l="1"/>
  <c r="AE470" i="13"/>
  <c r="AH470" i="13"/>
  <c r="AG470" i="13"/>
  <c r="AR471" i="13"/>
  <c r="AQ471" i="13"/>
  <c r="AP471" i="13"/>
  <c r="AO471" i="13"/>
  <c r="AO472" i="13" l="1" a="1"/>
  <c r="AE471" i="13" a="1"/>
  <c r="X470" i="11" a="1"/>
  <c r="Z470" i="11" l="1"/>
  <c r="Y470" i="11"/>
  <c r="AA470" i="11"/>
  <c r="X470" i="11"/>
  <c r="AG471" i="13"/>
  <c r="AE471" i="13"/>
  <c r="AH471" i="13"/>
  <c r="AF471" i="13"/>
  <c r="AO472" i="13"/>
  <c r="AR472" i="13"/>
  <c r="AQ472" i="13"/>
  <c r="AP472" i="13"/>
  <c r="X471" i="11" l="1" a="1"/>
  <c r="X471" i="11" s="1"/>
  <c r="AE472" i="13" a="1"/>
  <c r="AO473" i="13" a="1"/>
  <c r="Y471" i="11" l="1"/>
  <c r="Z471" i="11"/>
  <c r="AA471" i="11"/>
  <c r="AO473" i="13"/>
  <c r="AP473" i="13"/>
  <c r="AR473" i="13"/>
  <c r="AQ473" i="13"/>
  <c r="AH472" i="13"/>
  <c r="AF472" i="13"/>
  <c r="AG472" i="13"/>
  <c r="AE472" i="13"/>
  <c r="X472" i="11" l="1" a="1"/>
  <c r="X472" i="11"/>
  <c r="Y472" i="11"/>
  <c r="Z472" i="11"/>
  <c r="AA472" i="11"/>
  <c r="AO474" i="13" a="1"/>
  <c r="AE473" i="13" a="1"/>
  <c r="AE473" i="13" l="1"/>
  <c r="AF473" i="13"/>
  <c r="AH473" i="13"/>
  <c r="AG473" i="13"/>
  <c r="AO474" i="13"/>
  <c r="AR474" i="13"/>
  <c r="AQ474" i="13"/>
  <c r="AP474" i="13"/>
  <c r="AO475" i="13" l="1" a="1"/>
  <c r="AE474" i="13" a="1"/>
  <c r="X473" i="11" a="1"/>
  <c r="AA473" i="11" l="1"/>
  <c r="X473" i="11"/>
  <c r="Y473" i="11"/>
  <c r="Z473" i="11"/>
  <c r="AF474" i="13"/>
  <c r="AH474" i="13"/>
  <c r="AE474" i="13"/>
  <c r="AG474" i="13"/>
  <c r="AR475" i="13"/>
  <c r="AQ475" i="13"/>
  <c r="AP475" i="13"/>
  <c r="AO475" i="13"/>
  <c r="X474" i="11" l="1" a="1"/>
  <c r="AE475" i="13" a="1"/>
  <c r="AO476" i="13" a="1"/>
  <c r="Y474" i="11"/>
  <c r="AA474" i="11"/>
  <c r="Z474" i="11"/>
  <c r="X474" i="11"/>
  <c r="AP476" i="13" l="1"/>
  <c r="AO476" i="13"/>
  <c r="AR476" i="13"/>
  <c r="AQ476" i="13"/>
  <c r="AH475" i="13"/>
  <c r="AF475" i="13"/>
  <c r="AG475" i="13"/>
  <c r="AE475" i="13"/>
  <c r="X475" i="11" s="1" a="1"/>
  <c r="Y475" i="11" l="1"/>
  <c r="Z475" i="11"/>
  <c r="X475" i="11"/>
  <c r="AA475" i="11"/>
  <c r="AE476" i="13" a="1"/>
  <c r="AO477" i="13" a="1"/>
  <c r="AO477" i="13" l="1"/>
  <c r="AP477" i="13"/>
  <c r="AR477" i="13"/>
  <c r="AQ477" i="13"/>
  <c r="AH476" i="13"/>
  <c r="AG476" i="13"/>
  <c r="AE476" i="13"/>
  <c r="AF476" i="13"/>
  <c r="X476" i="11" l="1" a="1"/>
  <c r="Z476" i="11"/>
  <c r="AA476" i="11"/>
  <c r="Y476" i="11"/>
  <c r="X476" i="11"/>
  <c r="AE477" i="13" a="1"/>
  <c r="AO478" i="13" a="1"/>
  <c r="AP478" i="13" l="1"/>
  <c r="AQ478" i="13"/>
  <c r="AO478" i="13"/>
  <c r="AR478" i="13"/>
  <c r="AE477" i="13"/>
  <c r="AH477" i="13"/>
  <c r="AG477" i="13"/>
  <c r="AF477" i="13"/>
  <c r="X477" i="11" l="1" a="1"/>
  <c r="AO479" i="13" a="1"/>
  <c r="AE478" i="13" a="1"/>
  <c r="AO479" i="13" l="1"/>
  <c r="AR479" i="13"/>
  <c r="AP479" i="13"/>
  <c r="AQ479" i="13"/>
  <c r="AH478" i="13"/>
  <c r="AG478" i="13"/>
  <c r="AE478" i="13"/>
  <c r="AF478" i="13"/>
  <c r="AA477" i="11"/>
  <c r="Y477" i="11"/>
  <c r="X477" i="11"/>
  <c r="Z477" i="11"/>
  <c r="X478" i="11" l="1" a="1"/>
  <c r="X478" i="11"/>
  <c r="Y478" i="11"/>
  <c r="AA478" i="11"/>
  <c r="Z478" i="11"/>
  <c r="AE479" i="13" a="1"/>
  <c r="AO480" i="13" a="1"/>
  <c r="AR480" i="13" l="1"/>
  <c r="AP480" i="13"/>
  <c r="AQ480" i="13"/>
  <c r="AO480" i="13"/>
  <c r="AG479" i="13"/>
  <c r="AE479" i="13"/>
  <c r="AF479" i="13"/>
  <c r="AH479" i="13"/>
  <c r="X479" i="11" l="1" a="1"/>
  <c r="AE480" i="13" a="1"/>
  <c r="AO481" i="13" a="1"/>
  <c r="AH480" i="13" l="1"/>
  <c r="AG480" i="13"/>
  <c r="AE480" i="13"/>
  <c r="AF480" i="13"/>
  <c r="AQ481" i="13"/>
  <c r="AR481" i="13"/>
  <c r="AO481" i="13"/>
  <c r="AP481" i="13"/>
  <c r="AA479" i="11"/>
  <c r="Z479" i="11"/>
  <c r="X479" i="11"/>
  <c r="Y479" i="11"/>
  <c r="AO482" i="13" l="1" a="1"/>
  <c r="AE481" i="13" a="1"/>
  <c r="X480" i="11" a="1"/>
  <c r="Y480" i="11" l="1"/>
  <c r="AA480" i="11"/>
  <c r="Z480" i="11"/>
  <c r="X480" i="11"/>
  <c r="AF481" i="13"/>
  <c r="AE481" i="13"/>
  <c r="AG481" i="13"/>
  <c r="AH481" i="13"/>
  <c r="AR482" i="13"/>
  <c r="AQ482" i="13"/>
  <c r="AP482" i="13"/>
  <c r="AO482" i="13"/>
  <c r="X481" i="11" l="1" a="1"/>
  <c r="Y481" i="11"/>
  <c r="X481" i="11"/>
  <c r="Z481" i="11"/>
  <c r="AA481" i="11"/>
  <c r="AO483" i="13" a="1"/>
  <c r="AE482" i="13" a="1"/>
  <c r="AE482" i="13" l="1"/>
  <c r="AH482" i="13"/>
  <c r="AG482" i="13"/>
  <c r="AF482" i="13"/>
  <c r="AO483" i="13"/>
  <c r="AR483" i="13"/>
  <c r="AQ483" i="13"/>
  <c r="AP483" i="13"/>
  <c r="AE483" i="13" l="1" a="1"/>
  <c r="AO484" i="13" a="1"/>
  <c r="X482" i="11" a="1"/>
  <c r="Z482" i="11" l="1"/>
  <c r="Y482" i="11"/>
  <c r="AA482" i="11"/>
  <c r="X482" i="11"/>
  <c r="AP484" i="13"/>
  <c r="AQ484" i="13"/>
  <c r="AO484" i="13"/>
  <c r="AR484" i="13"/>
  <c r="AE483" i="13"/>
  <c r="AG483" i="13"/>
  <c r="AH483" i="13"/>
  <c r="AF483" i="13"/>
  <c r="AE484" i="13" l="1" a="1"/>
  <c r="AO485" i="13" a="1"/>
  <c r="X483" i="11" a="1"/>
  <c r="X483" i="11" l="1"/>
  <c r="AA483" i="11"/>
  <c r="Z483" i="11"/>
  <c r="Y483" i="11"/>
  <c r="AO485" i="13"/>
  <c r="AP485" i="13"/>
  <c r="AR485" i="13"/>
  <c r="AQ485" i="13"/>
  <c r="AH484" i="13"/>
  <c r="AG484" i="13"/>
  <c r="AF484" i="13"/>
  <c r="AE484" i="13"/>
  <c r="X484" i="11" s="1" a="1"/>
  <c r="AO486" i="13" l="1" a="1"/>
  <c r="AE485" i="13" a="1"/>
  <c r="AA484" i="11"/>
  <c r="Y484" i="11"/>
  <c r="X484" i="11"/>
  <c r="Z484" i="11"/>
  <c r="AG485" i="13" l="1"/>
  <c r="AE485" i="13"/>
  <c r="AH485" i="13"/>
  <c r="AF485" i="13"/>
  <c r="AO486" i="13"/>
  <c r="AP486" i="13"/>
  <c r="AR486" i="13"/>
  <c r="AQ486" i="13"/>
  <c r="AO487" i="13" l="1" a="1"/>
  <c r="AE486" i="13" a="1"/>
  <c r="X485" i="11" a="1"/>
  <c r="Y485" i="11" l="1"/>
  <c r="X485" i="11"/>
  <c r="AA485" i="11"/>
  <c r="Z485" i="11"/>
  <c r="AE486" i="13"/>
  <c r="AH486" i="13"/>
  <c r="AF486" i="13"/>
  <c r="AG486" i="13"/>
  <c r="AR487" i="13"/>
  <c r="AQ487" i="13"/>
  <c r="AP487" i="13"/>
  <c r="AO487" i="13"/>
  <c r="X486" i="11" l="1" a="1"/>
  <c r="AO488" i="13" a="1"/>
  <c r="AE487" i="13" a="1"/>
  <c r="AP488" i="13" l="1"/>
  <c r="AO488" i="13"/>
  <c r="AR488" i="13"/>
  <c r="AQ488" i="13"/>
  <c r="AG487" i="13"/>
  <c r="AH487" i="13"/>
  <c r="AF487" i="13"/>
  <c r="AE487" i="13"/>
  <c r="X487" i="11" s="1" a="1"/>
  <c r="X486" i="11"/>
  <c r="Y486" i="11"/>
  <c r="AA486" i="11"/>
  <c r="Z486" i="11"/>
  <c r="AA487" i="11" l="1"/>
  <c r="Z487" i="11"/>
  <c r="Y487" i="11"/>
  <c r="X487" i="11"/>
  <c r="AO489" i="13" a="1"/>
  <c r="AE488" i="13" a="1"/>
  <c r="AH488" i="13" l="1"/>
  <c r="AG488" i="13"/>
  <c r="AF488" i="13"/>
  <c r="AE488" i="13"/>
  <c r="X488" i="11" s="1" a="1"/>
  <c r="AQ489" i="13"/>
  <c r="AO489" i="13"/>
  <c r="AP489" i="13"/>
  <c r="AR489" i="13"/>
  <c r="Y488" i="11" l="1"/>
  <c r="Z488" i="11"/>
  <c r="AA488" i="11"/>
  <c r="X488" i="11"/>
  <c r="AO490" i="13" a="1"/>
  <c r="AE489" i="13" a="1"/>
  <c r="AE489" i="13" l="1"/>
  <c r="AF489" i="13"/>
  <c r="AH489" i="13"/>
  <c r="AG489" i="13"/>
  <c r="AO490" i="13"/>
  <c r="AR490" i="13"/>
  <c r="AQ490" i="13"/>
  <c r="AP490" i="13"/>
  <c r="AE490" i="13" l="1" a="1"/>
  <c r="AO491" i="13" a="1"/>
  <c r="X489" i="11" a="1"/>
  <c r="AG490" i="13" l="1"/>
  <c r="AF490" i="13"/>
  <c r="AE490" i="13"/>
  <c r="AH490" i="13"/>
  <c r="Y489" i="11"/>
  <c r="Z489" i="11"/>
  <c r="X489" i="11"/>
  <c r="AA489" i="11"/>
  <c r="AP491" i="13"/>
  <c r="AR491" i="13"/>
  <c r="AQ491" i="13"/>
  <c r="AO491" i="13"/>
  <c r="X490" i="11" l="1" a="1"/>
  <c r="AE491" i="13" a="1"/>
  <c r="AO492" i="13" a="1"/>
  <c r="Z490" i="11"/>
  <c r="AA490" i="11"/>
  <c r="Y490" i="11"/>
  <c r="X490" i="11"/>
  <c r="AP492" i="13" l="1"/>
  <c r="AQ492" i="13"/>
  <c r="AO492" i="13"/>
  <c r="AR492" i="13"/>
  <c r="AE491" i="13"/>
  <c r="AG491" i="13"/>
  <c r="AF491" i="13"/>
  <c r="AH491" i="13"/>
  <c r="X491" i="11" l="1" a="1"/>
  <c r="AA491" i="11"/>
  <c r="Z491" i="11"/>
  <c r="X491" i="11"/>
  <c r="Y491" i="11"/>
  <c r="AE492" i="13" a="1"/>
  <c r="AO493" i="13" a="1"/>
  <c r="AR493" i="13" l="1"/>
  <c r="AQ493" i="13"/>
  <c r="AO493" i="13"/>
  <c r="AP493" i="13"/>
  <c r="AF492" i="13"/>
  <c r="AH492" i="13"/>
  <c r="AG492" i="13"/>
  <c r="AE492" i="13"/>
  <c r="X492" i="11" s="1" a="1"/>
  <c r="Y492" i="11" l="1"/>
  <c r="X492" i="11"/>
  <c r="AA492" i="11"/>
  <c r="Z492" i="11"/>
  <c r="AO494" i="13" a="1"/>
  <c r="AE493" i="13" a="1"/>
  <c r="AE493" i="13" l="1"/>
  <c r="AF493" i="13"/>
  <c r="AH493" i="13"/>
  <c r="AG493" i="13"/>
  <c r="AO494" i="13"/>
  <c r="AR494" i="13"/>
  <c r="AQ494" i="13"/>
  <c r="AP494" i="13"/>
  <c r="AE494" i="13" l="1" a="1"/>
  <c r="AO495" i="13" a="1"/>
  <c r="X493" i="11" a="1"/>
  <c r="AA493" i="11" l="1"/>
  <c r="X493" i="11"/>
  <c r="Y493" i="11"/>
  <c r="Z493" i="11"/>
  <c r="AR495" i="13"/>
  <c r="AQ495" i="13"/>
  <c r="AP495" i="13"/>
  <c r="AO495" i="13"/>
  <c r="AG494" i="13"/>
  <c r="AF494" i="13"/>
  <c r="AE494" i="13"/>
  <c r="AH494" i="13"/>
  <c r="X494" i="11" l="1" a="1"/>
  <c r="AE495" i="13" a="1"/>
  <c r="AO496" i="13" a="1"/>
  <c r="X494" i="11"/>
  <c r="AA494" i="11"/>
  <c r="Y494" i="11"/>
  <c r="Z494" i="11"/>
  <c r="AR496" i="13" l="1"/>
  <c r="AQ496" i="13"/>
  <c r="AP496" i="13"/>
  <c r="AO496" i="13"/>
  <c r="AG495" i="13"/>
  <c r="AF495" i="13"/>
  <c r="AH495" i="13"/>
  <c r="AE495" i="13"/>
  <c r="X495" i="11" s="1" a="1"/>
  <c r="AO497" i="13" l="1" a="1"/>
  <c r="AE496" i="13" a="1"/>
  <c r="Y495" i="11"/>
  <c r="X495" i="11"/>
  <c r="AA495" i="11"/>
  <c r="Z495" i="11"/>
  <c r="AF496" i="13" l="1"/>
  <c r="AE496" i="13"/>
  <c r="AH496" i="13"/>
  <c r="AG496" i="13"/>
  <c r="AR497" i="13"/>
  <c r="AQ497" i="13"/>
  <c r="AP497" i="13"/>
  <c r="AO497" i="13"/>
  <c r="X496" i="11" l="1" a="1"/>
  <c r="AE497" i="13" a="1"/>
  <c r="AO498" i="13" a="1"/>
  <c r="Z496" i="11"/>
  <c r="Y496" i="11"/>
  <c r="X496" i="11"/>
  <c r="AA496" i="11"/>
  <c r="AP498" i="13" l="1"/>
  <c r="AQ498" i="13"/>
  <c r="AO498" i="13"/>
  <c r="AR498" i="13"/>
  <c r="AG497" i="13"/>
  <c r="AH497" i="13"/>
  <c r="AF497" i="13"/>
  <c r="AE497" i="13"/>
  <c r="X497" i="11" s="1" a="1"/>
  <c r="X497" i="11" l="1"/>
  <c r="Y497" i="11"/>
  <c r="AA497" i="11"/>
  <c r="Z497" i="11"/>
  <c r="AE498" i="13" a="1"/>
  <c r="AO499" i="13" a="1"/>
  <c r="AH498" i="13" l="1"/>
  <c r="AF498" i="13"/>
  <c r="AE498" i="13"/>
  <c r="AG498" i="13"/>
  <c r="AQ499" i="13"/>
  <c r="AO499" i="13"/>
  <c r="AP499" i="13"/>
  <c r="AR499" i="13"/>
  <c r="X498" i="11" l="1" a="1"/>
  <c r="AO500" i="13" a="1"/>
  <c r="AE499" i="13" a="1"/>
  <c r="AE499" i="13" l="1"/>
  <c r="AF499" i="13"/>
  <c r="AG499" i="13"/>
  <c r="AH499" i="13"/>
  <c r="AO500" i="13"/>
  <c r="AP500" i="13"/>
  <c r="AQ500" i="13"/>
  <c r="AR500" i="13"/>
  <c r="AA498" i="11"/>
  <c r="Y498" i="11"/>
  <c r="Z498" i="11"/>
  <c r="X498" i="11"/>
  <c r="AO501" i="13" l="1" a="1"/>
  <c r="AE500" i="13" a="1"/>
  <c r="X499" i="11" a="1"/>
  <c r="Y499" i="11" l="1"/>
  <c r="Z499" i="11"/>
  <c r="X499" i="11"/>
  <c r="AA499" i="11"/>
  <c r="AG500" i="13"/>
  <c r="AF500" i="13"/>
  <c r="AE500" i="13"/>
  <c r="AH500" i="13"/>
  <c r="AP501" i="13"/>
  <c r="AQ501" i="13"/>
  <c r="AO501" i="13"/>
  <c r="AR501" i="13"/>
  <c r="X500" i="11" l="1" a="1"/>
  <c r="Y500" i="11"/>
  <c r="X500" i="11"/>
  <c r="AA500" i="11"/>
  <c r="Z500" i="11"/>
  <c r="AE501" i="13" a="1"/>
  <c r="AO502" i="13" a="1"/>
  <c r="AQ502" i="13" l="1"/>
  <c r="AO502" i="13"/>
  <c r="AR502" i="13"/>
  <c r="AP502" i="13"/>
  <c r="AF501" i="13"/>
  <c r="AE501" i="13"/>
  <c r="AH501" i="13"/>
  <c r="AG501" i="13"/>
  <c r="X501" i="11" l="1" a="1"/>
  <c r="AA501" i="11" s="1"/>
  <c r="Y501" i="11"/>
  <c r="AE502" i="13" a="1"/>
  <c r="AO503" i="13" a="1"/>
  <c r="X501" i="11" l="1"/>
  <c r="Z501" i="11"/>
  <c r="AF502" i="13"/>
  <c r="AE502" i="13"/>
  <c r="AH502" i="13"/>
  <c r="AG502" i="13"/>
  <c r="AP503" i="13"/>
  <c r="AO503" i="13"/>
  <c r="AR503" i="13"/>
  <c r="AQ503" i="13"/>
  <c r="X502" i="11" l="1" a="1"/>
  <c r="AO504" i="13" a="1"/>
  <c r="AE503" i="13" a="1"/>
  <c r="AA502" i="11"/>
  <c r="Z502" i="11"/>
  <c r="Y502" i="11"/>
  <c r="X502" i="11"/>
  <c r="AE503" i="13" l="1"/>
  <c r="AF503" i="13"/>
  <c r="AH503" i="13"/>
  <c r="AG503" i="13"/>
  <c r="AR504" i="13"/>
  <c r="AP504" i="13"/>
  <c r="AQ504" i="13"/>
  <c r="AO504" i="13"/>
  <c r="AO505" i="13" l="1" a="1"/>
  <c r="AE504" i="13" a="1"/>
  <c r="X503" i="11" a="1"/>
  <c r="Y503" i="11" l="1"/>
  <c r="X503" i="11"/>
  <c r="Z503" i="11"/>
  <c r="AA503" i="11"/>
  <c r="AG504" i="13"/>
  <c r="AF504" i="13"/>
  <c r="AE504" i="13"/>
  <c r="AH504" i="13"/>
  <c r="AR505" i="13"/>
  <c r="AQ505" i="13"/>
  <c r="AP505" i="13"/>
  <c r="AO505" i="13"/>
  <c r="X504" i="11" l="1" a="1"/>
  <c r="AO506" i="13" a="1"/>
  <c r="AE505" i="13" a="1"/>
  <c r="AQ506" i="13" l="1"/>
  <c r="AP506" i="13"/>
  <c r="AO506" i="13"/>
  <c r="AR506" i="13"/>
  <c r="AH505" i="13"/>
  <c r="AE505" i="13"/>
  <c r="AF505" i="13"/>
  <c r="AG505" i="13"/>
  <c r="Z504" i="11"/>
  <c r="AA504" i="11"/>
  <c r="Y504" i="11"/>
  <c r="X504" i="11"/>
  <c r="X505" i="11" l="1" a="1"/>
  <c r="AO507" i="13" a="1"/>
  <c r="AE506" i="13" a="1"/>
  <c r="AG506" i="13" l="1"/>
  <c r="AF506" i="13"/>
  <c r="AH506" i="13"/>
  <c r="AE506" i="13"/>
  <c r="X506" i="11" s="1" a="1"/>
  <c r="AP507" i="13"/>
  <c r="AO507" i="13"/>
  <c r="AR507" i="13"/>
  <c r="AQ507" i="13"/>
  <c r="AA505" i="11"/>
  <c r="X505" i="11"/>
  <c r="Z505" i="11"/>
  <c r="Y505" i="11"/>
  <c r="X506" i="11" l="1"/>
  <c r="AA506" i="11"/>
  <c r="Z506" i="11"/>
  <c r="Y506" i="11"/>
  <c r="AO508" i="13" a="1"/>
  <c r="AE507" i="13" a="1"/>
  <c r="AR508" i="13" l="1"/>
  <c r="AP508" i="13"/>
  <c r="AQ508" i="13"/>
  <c r="AO508" i="13"/>
  <c r="AE507" i="13"/>
  <c r="AH507" i="13"/>
  <c r="AF507" i="13"/>
  <c r="AG507" i="13"/>
  <c r="X507" i="11" l="1" a="1"/>
  <c r="AE508" i="13" a="1"/>
  <c r="AO509" i="13" a="1"/>
  <c r="AF508" i="13" l="1"/>
  <c r="AE508" i="13"/>
  <c r="AG508" i="13"/>
  <c r="AH508" i="13"/>
  <c r="AP509" i="13"/>
  <c r="AO509" i="13"/>
  <c r="AR509" i="13"/>
  <c r="AQ509" i="13"/>
  <c r="Z507" i="11"/>
  <c r="AA507" i="11"/>
  <c r="X507" i="11"/>
  <c r="Y507" i="11"/>
  <c r="X508" i="11" l="1" a="1"/>
  <c r="AE509" i="13" a="1"/>
  <c r="AO510" i="13" a="1"/>
  <c r="X508" i="11"/>
  <c r="AA508" i="11"/>
  <c r="Z508" i="11"/>
  <c r="Y508" i="11"/>
  <c r="AQ510" i="13" l="1"/>
  <c r="AO510" i="13"/>
  <c r="AR510" i="13"/>
  <c r="AP510" i="13"/>
  <c r="AG509" i="13"/>
  <c r="AE509" i="13"/>
  <c r="AF509" i="13"/>
  <c r="AH509" i="13"/>
  <c r="AO511" i="13" l="1" a="1"/>
  <c r="AE510" i="13" a="1"/>
  <c r="X509" i="11" a="1"/>
  <c r="Z509" i="11" l="1"/>
  <c r="X509" i="11"/>
  <c r="Y509" i="11"/>
  <c r="AA509" i="11"/>
  <c r="AG510" i="13"/>
  <c r="AH510" i="13"/>
  <c r="AE510" i="13"/>
  <c r="AF510" i="13"/>
  <c r="AP511" i="13"/>
  <c r="AQ511" i="13"/>
  <c r="AO511" i="13"/>
  <c r="AR511" i="13"/>
  <c r="AO512" i="13" l="1" a="1"/>
  <c r="AE511" i="13" a="1"/>
  <c r="X510" i="11" a="1"/>
  <c r="AA510" i="11" l="1"/>
  <c r="X510" i="11"/>
  <c r="Z510" i="11"/>
  <c r="Y510" i="11"/>
  <c r="AG511" i="13"/>
  <c r="AF511" i="13"/>
  <c r="AE511" i="13"/>
  <c r="AH511" i="13"/>
  <c r="AQ512" i="13"/>
  <c r="AR512" i="13"/>
  <c r="AP512" i="13"/>
  <c r="AO512" i="13"/>
  <c r="X511" i="11" l="1" a="1"/>
  <c r="AO513" i="13" a="1"/>
  <c r="AE512" i="13" a="1"/>
  <c r="AP513" i="13" l="1"/>
  <c r="AQ513" i="13"/>
  <c r="AR513" i="13"/>
  <c r="AO513" i="13"/>
  <c r="AH512" i="13"/>
  <c r="AF512" i="13"/>
  <c r="AE512" i="13"/>
  <c r="AG512" i="13"/>
  <c r="Y511" i="11"/>
  <c r="Z511" i="11"/>
  <c r="AA511" i="11"/>
  <c r="X511" i="11"/>
  <c r="X512" i="11" l="1" a="1"/>
  <c r="AE513" i="13" a="1"/>
  <c r="AO514" i="13" a="1"/>
  <c r="AE513" i="13" l="1"/>
  <c r="AH513" i="13"/>
  <c r="AF513" i="13"/>
  <c r="AG513" i="13"/>
  <c r="AQ514" i="13"/>
  <c r="AO514" i="13"/>
  <c r="AP514" i="13"/>
  <c r="AR514" i="13"/>
  <c r="Z512" i="11"/>
  <c r="AA512" i="11"/>
  <c r="X512" i="11"/>
  <c r="Y512" i="11"/>
  <c r="AO515" i="13" l="1" a="1"/>
  <c r="AE514" i="13" a="1"/>
  <c r="X513" i="11" a="1"/>
  <c r="AA513" i="11" l="1"/>
  <c r="Z513" i="11"/>
  <c r="X513" i="11"/>
  <c r="Y513" i="11"/>
  <c r="AE514" i="13"/>
  <c r="AH514" i="13"/>
  <c r="AF514" i="13"/>
  <c r="AG514" i="13"/>
  <c r="AQ515" i="13"/>
  <c r="AO515" i="13"/>
  <c r="AR515" i="13"/>
  <c r="AP515" i="13"/>
  <c r="X514" i="11" l="1" a="1"/>
  <c r="AE515" i="13" a="1"/>
  <c r="AO516" i="13" a="1"/>
  <c r="AR516" i="13" l="1"/>
  <c r="AQ516" i="13"/>
  <c r="AP516" i="13"/>
  <c r="AO516" i="13"/>
  <c r="AF515" i="13"/>
  <c r="AH515" i="13"/>
  <c r="AG515" i="13"/>
  <c r="AE515" i="13"/>
  <c r="X515" i="11" s="1" a="1"/>
  <c r="Z514" i="11"/>
  <c r="AA514" i="11"/>
  <c r="Y514" i="11"/>
  <c r="X514" i="11"/>
  <c r="Y515" i="11" l="1"/>
  <c r="X515" i="11"/>
  <c r="Z515" i="11"/>
  <c r="AA515" i="11"/>
  <c r="AO517" i="13" a="1"/>
  <c r="AE516" i="13" a="1"/>
  <c r="AO517" i="13" l="1"/>
  <c r="AQ517" i="13"/>
  <c r="AP517" i="13"/>
  <c r="AR517" i="13"/>
  <c r="AH516" i="13"/>
  <c r="AG516" i="13"/>
  <c r="AF516" i="13"/>
  <c r="AE516" i="13"/>
  <c r="X516" i="11" s="1" a="1"/>
  <c r="Y516" i="11" l="1"/>
  <c r="AA516" i="11"/>
  <c r="Z516" i="11"/>
  <c r="X516" i="11"/>
  <c r="AE517" i="13" a="1"/>
  <c r="AO518" i="13" a="1"/>
  <c r="AR518" i="13" l="1"/>
  <c r="AP518" i="13"/>
  <c r="AQ518" i="13"/>
  <c r="AO518" i="13"/>
  <c r="AE517" i="13"/>
  <c r="AH517" i="13"/>
  <c r="AG517" i="13"/>
  <c r="AF517" i="13"/>
  <c r="X517" i="11" l="1" a="1"/>
  <c r="AO519" i="13" a="1"/>
  <c r="AE518" i="13" a="1"/>
  <c r="AH518" i="13" l="1"/>
  <c r="AE518" i="13"/>
  <c r="AG518" i="13"/>
  <c r="AF518" i="13"/>
  <c r="AP519" i="13"/>
  <c r="AR519" i="13"/>
  <c r="AO519" i="13"/>
  <c r="AQ519" i="13"/>
  <c r="Y517" i="11"/>
  <c r="AA517" i="11"/>
  <c r="X517" i="11"/>
  <c r="Z517" i="11"/>
  <c r="AE519" i="13" l="1" a="1"/>
  <c r="AO520" i="13" a="1"/>
  <c r="X518" i="11" a="1"/>
  <c r="Y518" i="11" l="1"/>
  <c r="Z518" i="11"/>
  <c r="X518" i="11"/>
  <c r="AA518" i="11"/>
  <c r="AQ520" i="13"/>
  <c r="AP520" i="13"/>
  <c r="AO520" i="13"/>
  <c r="AR520" i="13"/>
  <c r="AF519" i="13"/>
  <c r="AG519" i="13"/>
  <c r="AE519" i="13"/>
  <c r="AH519" i="13"/>
  <c r="X519" i="11" l="1" a="1"/>
  <c r="AO521" i="13" a="1"/>
  <c r="AE520" i="13" a="1"/>
  <c r="Y519" i="11"/>
  <c r="Z519" i="11"/>
  <c r="X519" i="11"/>
  <c r="AA519" i="11"/>
  <c r="AG520" i="13" l="1"/>
  <c r="AE520" i="13"/>
  <c r="AH520" i="13"/>
  <c r="AF520" i="13"/>
  <c r="AP521" i="13"/>
  <c r="AR521" i="13"/>
  <c r="AQ521" i="13"/>
  <c r="AO521" i="13"/>
  <c r="AE521" i="13" l="1" a="1"/>
  <c r="AO522" i="13" a="1"/>
  <c r="X520" i="11" a="1"/>
  <c r="Z520" i="11" l="1"/>
  <c r="Y520" i="11"/>
  <c r="AA520" i="11"/>
  <c r="X520" i="11"/>
  <c r="AR522" i="13"/>
  <c r="AQ522" i="13"/>
  <c r="AP522" i="13"/>
  <c r="AO522" i="13"/>
  <c r="AG521" i="13"/>
  <c r="AE521" i="13"/>
  <c r="AH521" i="13"/>
  <c r="AF521" i="13"/>
  <c r="X521" i="11" l="1" a="1"/>
  <c r="AO523" i="13" a="1"/>
  <c r="AE522" i="13" a="1"/>
  <c r="Z521" i="11"/>
  <c r="Y521" i="11"/>
  <c r="AA521" i="11"/>
  <c r="X521" i="11"/>
  <c r="AG522" i="13" l="1"/>
  <c r="AF522" i="13"/>
  <c r="AE522" i="13"/>
  <c r="AH522" i="13"/>
  <c r="AP523" i="13"/>
  <c r="AO523" i="13"/>
  <c r="AR523" i="13"/>
  <c r="AQ523" i="13"/>
  <c r="X522" i="11" l="1" a="1"/>
  <c r="AE523" i="13" a="1"/>
  <c r="AO524" i="13" a="1"/>
  <c r="AQ524" i="13" l="1"/>
  <c r="AP524" i="13"/>
  <c r="AO524" i="13"/>
  <c r="AR524" i="13"/>
  <c r="AH523" i="13"/>
  <c r="AF523" i="13"/>
  <c r="AE523" i="13"/>
  <c r="AG523" i="13"/>
  <c r="Z522" i="11"/>
  <c r="AA522" i="11"/>
  <c r="X522" i="11"/>
  <c r="Y522" i="11"/>
  <c r="AE524" i="13" l="1" a="1"/>
  <c r="AO525" i="13" a="1"/>
  <c r="X523" i="11" a="1"/>
  <c r="Z523" i="11" l="1"/>
  <c r="AA523" i="11"/>
  <c r="X523" i="11"/>
  <c r="Y523" i="11"/>
  <c r="AO525" i="13"/>
  <c r="AR525" i="13"/>
  <c r="AP525" i="13"/>
  <c r="AQ525" i="13"/>
  <c r="AH524" i="13"/>
  <c r="AE524" i="13"/>
  <c r="AG524" i="13"/>
  <c r="AF524" i="13"/>
  <c r="X524" i="11" l="1" a="1"/>
  <c r="Z524" i="11" s="1"/>
  <c r="Y524" i="11"/>
  <c r="X524" i="11"/>
  <c r="AO526" i="13" a="1"/>
  <c r="AE525" i="13" a="1"/>
  <c r="AA524" i="11" l="1"/>
  <c r="AG525" i="13"/>
  <c r="AH525" i="13"/>
  <c r="AF525" i="13"/>
  <c r="AE525" i="13"/>
  <c r="X525" i="11" s="1" a="1"/>
  <c r="AO526" i="13"/>
  <c r="AR526" i="13"/>
  <c r="AQ526" i="13"/>
  <c r="AP526" i="13"/>
  <c r="AE526" i="13" l="1" a="1"/>
  <c r="AO527" i="13" a="1"/>
  <c r="Z525" i="11"/>
  <c r="X525" i="11"/>
  <c r="Y525" i="11"/>
  <c r="AA525" i="11"/>
  <c r="AO527" i="13" l="1"/>
  <c r="AQ527" i="13"/>
  <c r="AR527" i="13"/>
  <c r="AP527" i="13"/>
  <c r="AG526" i="13"/>
  <c r="AE526" i="13"/>
  <c r="AF526" i="13"/>
  <c r="AH526" i="13"/>
  <c r="X526" i="11" l="1" a="1"/>
  <c r="Y526" i="11"/>
  <c r="AA526" i="11"/>
  <c r="X526" i="11"/>
  <c r="Z526" i="11"/>
  <c r="AE527" i="13" a="1"/>
  <c r="AO528" i="13" a="1"/>
  <c r="AH527" i="13" l="1"/>
  <c r="AE527" i="13"/>
  <c r="AG527" i="13"/>
  <c r="AF527" i="13"/>
  <c r="AR528" i="13"/>
  <c r="AO528" i="13"/>
  <c r="AQ528" i="13"/>
  <c r="AP528" i="13"/>
  <c r="AE528" i="13" l="1" a="1"/>
  <c r="AO529" i="13" a="1"/>
  <c r="X527" i="11" a="1"/>
  <c r="Z527" i="11" l="1"/>
  <c r="AA527" i="11"/>
  <c r="Y527" i="11"/>
  <c r="X527" i="11"/>
  <c r="AO529" i="13"/>
  <c r="AR529" i="13"/>
  <c r="AQ529" i="13"/>
  <c r="AP529" i="13"/>
  <c r="AE528" i="13"/>
  <c r="AH528" i="13"/>
  <c r="AG528" i="13"/>
  <c r="AF528" i="13"/>
  <c r="AE529" i="13" l="1" a="1"/>
  <c r="AO530" i="13" a="1"/>
  <c r="X528" i="11" a="1"/>
  <c r="X528" i="11" l="1"/>
  <c r="Z528" i="11"/>
  <c r="Y528" i="11"/>
  <c r="AA528" i="11"/>
  <c r="AP530" i="13"/>
  <c r="AO530" i="13"/>
  <c r="AR530" i="13"/>
  <c r="AQ530" i="13"/>
  <c r="AH529" i="13"/>
  <c r="AE529" i="13"/>
  <c r="AF529" i="13"/>
  <c r="AG529" i="13"/>
  <c r="AE530" i="13" l="1" a="1"/>
  <c r="AO531" i="13" a="1"/>
  <c r="X529" i="11" a="1"/>
  <c r="Z529" i="11" l="1"/>
  <c r="Y529" i="11"/>
  <c r="X529" i="11"/>
  <c r="AA529" i="11"/>
  <c r="AQ531" i="13"/>
  <c r="AP531" i="13"/>
  <c r="AO531" i="13"/>
  <c r="AR531" i="13"/>
  <c r="AH530" i="13"/>
  <c r="AG530" i="13"/>
  <c r="AE530" i="13"/>
  <c r="AF530" i="13"/>
  <c r="AE531" i="13" l="1" a="1"/>
  <c r="AO532" i="13" a="1"/>
  <c r="X530" i="11" a="1"/>
  <c r="Y530" i="11" l="1"/>
  <c r="X530" i="11"/>
  <c r="Z530" i="11"/>
  <c r="AA530" i="11"/>
  <c r="AP532" i="13"/>
  <c r="AO532" i="13"/>
  <c r="AR532" i="13"/>
  <c r="AQ532" i="13"/>
  <c r="AG531" i="13"/>
  <c r="AF531" i="13"/>
  <c r="AH531" i="13"/>
  <c r="AE531" i="13"/>
  <c r="X531" i="11" l="1" a="1"/>
  <c r="AO533" i="13" a="1"/>
  <c r="AE532" i="13" a="1"/>
  <c r="X531" i="11"/>
  <c r="Y531" i="11"/>
  <c r="AA531" i="11"/>
  <c r="Z531" i="11"/>
  <c r="AH532" i="13" l="1"/>
  <c r="AG532" i="13"/>
  <c r="AF532" i="13"/>
  <c r="AE532" i="13"/>
  <c r="AQ533" i="13"/>
  <c r="AP533" i="13"/>
  <c r="AO533" i="13"/>
  <c r="AR533" i="13"/>
  <c r="AO534" i="13" l="1" a="1"/>
  <c r="AE533" i="13" a="1"/>
  <c r="X532" i="11" a="1"/>
  <c r="Y532" i="11" l="1"/>
  <c r="Z532" i="11"/>
  <c r="X532" i="11"/>
  <c r="AA532" i="11"/>
  <c r="AG533" i="13"/>
  <c r="AF533" i="13"/>
  <c r="AE533" i="13"/>
  <c r="AH533" i="13"/>
  <c r="AR534" i="13"/>
  <c r="AP534" i="13"/>
  <c r="AO534" i="13"/>
  <c r="AQ534" i="13"/>
  <c r="AO535" i="13" l="1" a="1"/>
  <c r="AE534" i="13" a="1"/>
  <c r="X533" i="11" a="1"/>
  <c r="AG534" i="13" l="1"/>
  <c r="AF534" i="13"/>
  <c r="AE534" i="13"/>
  <c r="AH534" i="13"/>
  <c r="X533" i="11"/>
  <c r="AA533" i="11"/>
  <c r="Y533" i="11"/>
  <c r="Z533" i="11"/>
  <c r="AQ535" i="13"/>
  <c r="AR535" i="13"/>
  <c r="AP535" i="13"/>
  <c r="AO535" i="13"/>
  <c r="X534" i="11" l="1" a="1"/>
  <c r="AE535" i="13" a="1"/>
  <c r="AO536" i="13" a="1"/>
  <c r="AG535" i="13" l="1"/>
  <c r="AH535" i="13"/>
  <c r="AF535" i="13"/>
  <c r="AE535" i="13"/>
  <c r="X535" i="11" s="1" a="1"/>
  <c r="AO536" i="13"/>
  <c r="AQ536" i="13"/>
  <c r="AR536" i="13"/>
  <c r="AP536" i="13"/>
  <c r="Z534" i="11"/>
  <c r="AA534" i="11"/>
  <c r="X534" i="11"/>
  <c r="Y534" i="11"/>
  <c r="AA535" i="11" l="1"/>
  <c r="Z535" i="11"/>
  <c r="Y535" i="11"/>
  <c r="X535" i="11"/>
  <c r="AO537" i="13" a="1"/>
  <c r="AE536" i="13" a="1"/>
  <c r="AR537" i="13" l="1"/>
  <c r="AP537" i="13"/>
  <c r="AQ537" i="13"/>
  <c r="AO537" i="13"/>
  <c r="AE536" i="13"/>
  <c r="AF536" i="13"/>
  <c r="AH536" i="13"/>
  <c r="AG536" i="13"/>
  <c r="X536" i="11" l="1" a="1"/>
  <c r="AE537" i="13" a="1"/>
  <c r="AO538" i="13" a="1"/>
  <c r="Z536" i="11"/>
  <c r="Y536" i="11"/>
  <c r="X536" i="11"/>
  <c r="AA536" i="11"/>
  <c r="AP538" i="13" l="1"/>
  <c r="AR538" i="13"/>
  <c r="AO538" i="13"/>
  <c r="AQ538" i="13"/>
  <c r="AE537" i="13"/>
  <c r="AH537" i="13"/>
  <c r="AG537" i="13"/>
  <c r="AF537" i="13"/>
  <c r="X537" i="11" l="1" a="1"/>
  <c r="AO539" i="13" a="1"/>
  <c r="AE538" i="13" a="1"/>
  <c r="AG538" i="13" l="1"/>
  <c r="AH538" i="13"/>
  <c r="AE538" i="13"/>
  <c r="AF538" i="13"/>
  <c r="AR539" i="13"/>
  <c r="AP539" i="13"/>
  <c r="AO539" i="13"/>
  <c r="AQ539" i="13"/>
  <c r="Y537" i="11"/>
  <c r="AA537" i="11"/>
  <c r="X537" i="11"/>
  <c r="Z537" i="11"/>
  <c r="X538" i="11" l="1" a="1"/>
  <c r="AE539" i="13" a="1"/>
  <c r="AO540" i="13" a="1"/>
  <c r="X538" i="11"/>
  <c r="AA538" i="11"/>
  <c r="Z538" i="11"/>
  <c r="Y538" i="11"/>
  <c r="AO540" i="13" l="1"/>
  <c r="AP540" i="13"/>
  <c r="AQ540" i="13"/>
  <c r="AR540" i="13"/>
  <c r="AE539" i="13"/>
  <c r="AH539" i="13"/>
  <c r="AG539" i="13"/>
  <c r="AF539" i="13"/>
  <c r="X539" i="11" l="1" a="1"/>
  <c r="AO541" i="13" a="1"/>
  <c r="AE540" i="13" a="1"/>
  <c r="AE540" i="13" l="1"/>
  <c r="AH540" i="13"/>
  <c r="AG540" i="13"/>
  <c r="AF540" i="13"/>
  <c r="AP541" i="13"/>
  <c r="AO541" i="13"/>
  <c r="AQ541" i="13"/>
  <c r="AR541" i="13"/>
  <c r="Z539" i="11"/>
  <c r="Y539" i="11"/>
  <c r="X539" i="11"/>
  <c r="AA539" i="11"/>
  <c r="AE541" i="13" l="1" a="1"/>
  <c r="AO542" i="13" a="1"/>
  <c r="X540" i="11" a="1"/>
  <c r="Y540" i="11" l="1"/>
  <c r="AA540" i="11"/>
  <c r="X540" i="11"/>
  <c r="Z540" i="11"/>
  <c r="AQ542" i="13"/>
  <c r="AP542" i="13"/>
  <c r="AO542" i="13"/>
  <c r="AR542" i="13"/>
  <c r="AH541" i="13"/>
  <c r="AG541" i="13"/>
  <c r="AF541" i="13"/>
  <c r="AE541" i="13"/>
  <c r="X541" i="11" l="1" a="1"/>
  <c r="AA541" i="11" s="1"/>
  <c r="AE542" i="13" a="1"/>
  <c r="AO543" i="13" a="1"/>
  <c r="X541" i="11" l="1"/>
  <c r="Z541" i="11"/>
  <c r="Y541" i="11"/>
  <c r="AQ543" i="13"/>
  <c r="AR543" i="13"/>
  <c r="AP543" i="13"/>
  <c r="AO543" i="13"/>
  <c r="AG542" i="13"/>
  <c r="AF542" i="13"/>
  <c r="AE542" i="13"/>
  <c r="AH542" i="13"/>
  <c r="X542" i="11" l="1" a="1"/>
  <c r="AE543" i="13" a="1"/>
  <c r="AO544" i="13" a="1"/>
  <c r="AP544" i="13" l="1"/>
  <c r="AO544" i="13"/>
  <c r="AR544" i="13"/>
  <c r="AQ544" i="13"/>
  <c r="AH543" i="13"/>
  <c r="AG543" i="13"/>
  <c r="AE543" i="13"/>
  <c r="AF543" i="13"/>
  <c r="AA542" i="11"/>
  <c r="X542" i="11"/>
  <c r="Z542" i="11"/>
  <c r="Y542" i="11"/>
  <c r="X543" i="11" l="1" a="1"/>
  <c r="AO545" i="13" a="1"/>
  <c r="AE544" i="13" a="1"/>
  <c r="AR545" i="13" l="1"/>
  <c r="AQ545" i="13"/>
  <c r="AP545" i="13"/>
  <c r="AO545" i="13"/>
  <c r="AE544" i="13"/>
  <c r="AH544" i="13"/>
  <c r="AG544" i="13"/>
  <c r="AF544" i="13"/>
  <c r="Y543" i="11"/>
  <c r="X543" i="11"/>
  <c r="AA543" i="11"/>
  <c r="Z543" i="11"/>
  <c r="X544" i="11" l="1" a="1"/>
  <c r="AO546" i="13" a="1"/>
  <c r="AE545" i="13" a="1"/>
  <c r="AH545" i="13" l="1"/>
  <c r="AE545" i="13"/>
  <c r="AF545" i="13"/>
  <c r="AG545" i="13"/>
  <c r="AR546" i="13"/>
  <c r="AQ546" i="13"/>
  <c r="AP546" i="13"/>
  <c r="AO546" i="13"/>
  <c r="Z544" i="11"/>
  <c r="AA544" i="11"/>
  <c r="X544" i="11"/>
  <c r="Y544" i="11"/>
  <c r="AE546" i="13" l="1" a="1"/>
  <c r="AO547" i="13" a="1"/>
  <c r="X545" i="11" a="1"/>
  <c r="X545" i="11" l="1"/>
  <c r="Y545" i="11"/>
  <c r="Z545" i="11"/>
  <c r="AA545" i="11"/>
  <c r="AQ547" i="13"/>
  <c r="AO547" i="13"/>
  <c r="AR547" i="13"/>
  <c r="AP547" i="13"/>
  <c r="AF546" i="13"/>
  <c r="AE546" i="13"/>
  <c r="AH546" i="13"/>
  <c r="AG546" i="13"/>
  <c r="X546" i="11" l="1" a="1"/>
  <c r="AO548" i="13" a="1"/>
  <c r="AE547" i="13" a="1"/>
  <c r="Y546" i="11"/>
  <c r="X546" i="11"/>
  <c r="AA546" i="11"/>
  <c r="Z546" i="11"/>
  <c r="AH547" i="13" l="1"/>
  <c r="AG547" i="13"/>
  <c r="AF547" i="13"/>
  <c r="AE547" i="13"/>
  <c r="X547" i="11" s="1" a="1"/>
  <c r="AP548" i="13"/>
  <c r="AO548" i="13"/>
  <c r="AR548" i="13"/>
  <c r="AQ548" i="13"/>
  <c r="X547" i="11" l="1"/>
  <c r="AA547" i="11"/>
  <c r="Z547" i="11"/>
  <c r="Y547" i="11"/>
  <c r="AO549" i="13" a="1"/>
  <c r="AE548" i="13" a="1"/>
  <c r="AR549" i="13" l="1"/>
  <c r="AP549" i="13"/>
  <c r="AO549" i="13"/>
  <c r="AQ549" i="13"/>
  <c r="AH548" i="13"/>
  <c r="AG548" i="13"/>
  <c r="AF548" i="13"/>
  <c r="AE548" i="13"/>
  <c r="X548" i="11" s="1" a="1"/>
  <c r="X548" i="11" l="1"/>
  <c r="Z548" i="11"/>
  <c r="Y548" i="11"/>
  <c r="AA548" i="11"/>
  <c r="AO550" i="13" a="1"/>
  <c r="AE549" i="13" a="1"/>
  <c r="AE549" i="13" l="1"/>
  <c r="AH549" i="13"/>
  <c r="AG549" i="13"/>
  <c r="AF549" i="13"/>
  <c r="AP550" i="13"/>
  <c r="AQ550" i="13"/>
  <c r="AO550" i="13"/>
  <c r="AR550" i="13"/>
  <c r="AE550" i="13" l="1" a="1"/>
  <c r="AO551" i="13" a="1"/>
  <c r="X549" i="11" a="1"/>
  <c r="AA549" i="11" l="1"/>
  <c r="X549" i="11"/>
  <c r="Z549" i="11"/>
  <c r="Y549" i="11"/>
  <c r="AQ551" i="13"/>
  <c r="AP551" i="13"/>
  <c r="AO551" i="13"/>
  <c r="AR551" i="13"/>
  <c r="AG550" i="13"/>
  <c r="AH550" i="13"/>
  <c r="AF550" i="13"/>
  <c r="AE550" i="13"/>
  <c r="X550" i="11" s="1" a="1"/>
  <c r="Z550" i="11" l="1"/>
  <c r="X550" i="11"/>
  <c r="AA550" i="11"/>
  <c r="Y550" i="11"/>
  <c r="AE551" i="13" a="1"/>
  <c r="AO552" i="13" a="1"/>
  <c r="AG551" i="13" l="1"/>
  <c r="AH551" i="13"/>
  <c r="AF551" i="13"/>
  <c r="AE551" i="13"/>
  <c r="X551" i="11" s="1" a="1"/>
  <c r="AR552" i="13"/>
  <c r="AQ552" i="13"/>
  <c r="AP552" i="13"/>
  <c r="AO552" i="13"/>
  <c r="AO553" i="13" l="1" a="1"/>
  <c r="AE552" i="13" a="1"/>
  <c r="Y551" i="11"/>
  <c r="X551" i="11"/>
  <c r="AA551" i="11"/>
  <c r="Z551" i="11"/>
  <c r="AG552" i="13" l="1"/>
  <c r="AH552" i="13"/>
  <c r="AF552" i="13"/>
  <c r="AE552" i="13"/>
  <c r="X552" i="11" s="1" a="1"/>
  <c r="AP553" i="13"/>
  <c r="AO553" i="13"/>
  <c r="AR553" i="13"/>
  <c r="AQ553" i="13"/>
  <c r="AE553" i="13" l="1" a="1"/>
  <c r="AO554" i="13" a="1"/>
  <c r="Z552" i="11"/>
  <c r="X552" i="11"/>
  <c r="AA552" i="11"/>
  <c r="Y552" i="11"/>
  <c r="AP554" i="13" l="1"/>
  <c r="AO554" i="13"/>
  <c r="AR554" i="13"/>
  <c r="AQ554" i="13"/>
  <c r="AF553" i="13"/>
  <c r="AH553" i="13"/>
  <c r="AG553" i="13"/>
  <c r="AE553" i="13"/>
  <c r="X553" i="11" s="1" a="1"/>
  <c r="Z553" i="11" l="1"/>
  <c r="Y553" i="11"/>
  <c r="X553" i="11"/>
  <c r="AA553" i="11"/>
  <c r="AE554" i="13" a="1"/>
  <c r="AO555" i="13" a="1"/>
  <c r="AP555" i="13" l="1"/>
  <c r="AO555" i="13"/>
  <c r="AR555" i="13"/>
  <c r="AQ555" i="13"/>
  <c r="AE554" i="13"/>
  <c r="AH554" i="13"/>
  <c r="AG554" i="13"/>
  <c r="AF554" i="13"/>
  <c r="X554" i="11" l="1" a="1"/>
  <c r="X554" i="11" s="1"/>
  <c r="AO556" i="13" a="1"/>
  <c r="AE555" i="13" a="1"/>
  <c r="AA554" i="11" l="1"/>
  <c r="Y554" i="11"/>
  <c r="Z554" i="11"/>
  <c r="AH555" i="13"/>
  <c r="AF555" i="13"/>
  <c r="AE555" i="13"/>
  <c r="AG555" i="13"/>
  <c r="AO556" i="13"/>
  <c r="AR556" i="13"/>
  <c r="AQ556" i="13"/>
  <c r="AP556" i="13"/>
  <c r="X555" i="11" l="1" a="1"/>
  <c r="X555" i="11"/>
  <c r="AA555" i="11"/>
  <c r="Z555" i="11"/>
  <c r="Y555" i="11"/>
  <c r="AO557" i="13" a="1"/>
  <c r="AE556" i="13" a="1"/>
  <c r="AO557" i="13" l="1"/>
  <c r="AR557" i="13"/>
  <c r="AQ557" i="13"/>
  <c r="AP557" i="13"/>
  <c r="AH556" i="13"/>
  <c r="AE556" i="13"/>
  <c r="AG556" i="13"/>
  <c r="AF556" i="13"/>
  <c r="X556" i="11" l="1" a="1"/>
  <c r="AE557" i="13" a="1"/>
  <c r="AO558" i="13" a="1"/>
  <c r="AG557" i="13" l="1"/>
  <c r="AF557" i="13"/>
  <c r="AE557" i="13"/>
  <c r="AH557" i="13"/>
  <c r="AQ558" i="13"/>
  <c r="AP558" i="13"/>
  <c r="AO558" i="13"/>
  <c r="AR558" i="13"/>
  <c r="Y556" i="11"/>
  <c r="AA556" i="11"/>
  <c r="Z556" i="11"/>
  <c r="X556" i="11"/>
  <c r="AE558" i="13" l="1" a="1"/>
  <c r="AO559" i="13" a="1"/>
  <c r="X557" i="11" a="1"/>
  <c r="AR559" i="13" l="1"/>
  <c r="AO559" i="13"/>
  <c r="AP559" i="13"/>
  <c r="AQ559" i="13"/>
  <c r="Z557" i="11"/>
  <c r="Y557" i="11"/>
  <c r="X557" i="11"/>
  <c r="AA557" i="11"/>
  <c r="AG558" i="13"/>
  <c r="AF558" i="13"/>
  <c r="AE558" i="13"/>
  <c r="AH558" i="13"/>
  <c r="X558" i="11" l="1" a="1"/>
  <c r="AO560" i="13" a="1"/>
  <c r="AE559" i="13" a="1"/>
  <c r="AE559" i="13" l="1"/>
  <c r="AF559" i="13"/>
  <c r="AH559" i="13"/>
  <c r="AG559" i="13"/>
  <c r="AP560" i="13"/>
  <c r="AO560" i="13"/>
  <c r="AR560" i="13"/>
  <c r="AQ560" i="13"/>
  <c r="Y558" i="11"/>
  <c r="X558" i="11"/>
  <c r="Z558" i="11"/>
  <c r="AA558" i="11"/>
  <c r="AO561" i="13" l="1" a="1"/>
  <c r="AE560" i="13" a="1"/>
  <c r="X559" i="11" a="1"/>
  <c r="AH560" i="13" l="1"/>
  <c r="AG560" i="13"/>
  <c r="AF560" i="13"/>
  <c r="AE560" i="13"/>
  <c r="X560" i="11" s="1" a="1"/>
  <c r="X559" i="11"/>
  <c r="AA559" i="11"/>
  <c r="Z559" i="11"/>
  <c r="Y559" i="11"/>
  <c r="AO561" i="13"/>
  <c r="AP561" i="13"/>
  <c r="AR561" i="13"/>
  <c r="AQ561" i="13"/>
  <c r="AA560" i="11" l="1"/>
  <c r="Z560" i="11"/>
  <c r="X560" i="11"/>
  <c r="Y560" i="11"/>
  <c r="AE561" i="13" a="1"/>
  <c r="AO562" i="13" a="1"/>
  <c r="AP562" i="13" l="1"/>
  <c r="AO562" i="13"/>
  <c r="AR562" i="13"/>
  <c r="AQ562" i="13"/>
  <c r="AF561" i="13"/>
  <c r="AG561" i="13"/>
  <c r="AE561" i="13"/>
  <c r="AH561" i="13"/>
  <c r="X561" i="11" l="1" a="1"/>
  <c r="X561" i="11" s="1"/>
  <c r="Z561" i="11"/>
  <c r="Y561" i="11"/>
  <c r="AA561" i="11"/>
  <c r="AO563" i="13" a="1"/>
  <c r="AE562" i="13" a="1"/>
  <c r="AG562" i="13" l="1"/>
  <c r="AF562" i="13"/>
  <c r="AE562" i="13"/>
  <c r="AH562" i="13"/>
  <c r="AR563" i="13"/>
  <c r="AQ563" i="13"/>
  <c r="AP563" i="13"/>
  <c r="AO563" i="13"/>
  <c r="AE563" i="13" l="1" a="1"/>
  <c r="AO564" i="13" a="1"/>
  <c r="X562" i="11" a="1"/>
  <c r="AO564" i="13" l="1"/>
  <c r="AR564" i="13"/>
  <c r="AQ564" i="13"/>
  <c r="AP564" i="13"/>
  <c r="Y562" i="11"/>
  <c r="X562" i="11"/>
  <c r="Z562" i="11"/>
  <c r="AA562" i="11"/>
  <c r="AF563" i="13"/>
  <c r="AE563" i="13"/>
  <c r="AH563" i="13"/>
  <c r="AG563" i="13"/>
  <c r="X563" i="11" l="1" a="1"/>
  <c r="Z563" i="11" s="1"/>
  <c r="Y563" i="11"/>
  <c r="AA563" i="11"/>
  <c r="AE564" i="13" a="1"/>
  <c r="AO565" i="13" a="1"/>
  <c r="X563" i="11" l="1"/>
  <c r="AQ565" i="13"/>
  <c r="AP565" i="13"/>
  <c r="AO565" i="13"/>
  <c r="AR565" i="13"/>
  <c r="AF564" i="13"/>
  <c r="AE564" i="13"/>
  <c r="AH564" i="13"/>
  <c r="AG564" i="13"/>
  <c r="X564" i="11" l="1" a="1"/>
  <c r="AO566" i="13" a="1"/>
  <c r="AE565" i="13" a="1"/>
  <c r="AG565" i="13" l="1"/>
  <c r="AF565" i="13"/>
  <c r="AE565" i="13"/>
  <c r="AH565" i="13"/>
  <c r="AQ566" i="13"/>
  <c r="AP566" i="13"/>
  <c r="AR566" i="13"/>
  <c r="AO566" i="13"/>
  <c r="X564" i="11"/>
  <c r="AA564" i="11"/>
  <c r="Z564" i="11"/>
  <c r="Y564" i="11"/>
  <c r="X565" i="11" l="1" a="1"/>
  <c r="AO567" i="13" a="1"/>
  <c r="AE566" i="13" a="1"/>
  <c r="AE566" i="13" l="1"/>
  <c r="AF566" i="13"/>
  <c r="AH566" i="13"/>
  <c r="AG566" i="13"/>
  <c r="AP567" i="13"/>
  <c r="AO567" i="13"/>
  <c r="AQ567" i="13"/>
  <c r="AR567" i="13"/>
  <c r="X565" i="11"/>
  <c r="AA565" i="11"/>
  <c r="Z565" i="11"/>
  <c r="Y565" i="11"/>
  <c r="AO568" i="13" l="1" a="1"/>
  <c r="AE567" i="13" a="1"/>
  <c r="X566" i="11" a="1"/>
  <c r="Y566" i="11" l="1"/>
  <c r="X566" i="11"/>
  <c r="Z566" i="11"/>
  <c r="AA566" i="11"/>
  <c r="AE567" i="13"/>
  <c r="AG567" i="13"/>
  <c r="AH567" i="13"/>
  <c r="AF567" i="13"/>
  <c r="AO568" i="13"/>
  <c r="AR568" i="13"/>
  <c r="AP568" i="13"/>
  <c r="AQ568" i="13"/>
  <c r="X567" i="11" l="1" a="1"/>
  <c r="AO569" i="13" a="1"/>
  <c r="AE568" i="13" a="1"/>
  <c r="AH568" i="13" l="1"/>
  <c r="AG568" i="13"/>
  <c r="AF568" i="13"/>
  <c r="AE568" i="13"/>
  <c r="X568" i="11" s="1" a="1"/>
  <c r="AR569" i="13"/>
  <c r="AQ569" i="13"/>
  <c r="AO569" i="13"/>
  <c r="AP569" i="13"/>
  <c r="Y567" i="11"/>
  <c r="X567" i="11"/>
  <c r="AA567" i="11"/>
  <c r="Z567" i="11"/>
  <c r="X568" i="11" l="1"/>
  <c r="AA568" i="11"/>
  <c r="Z568" i="11"/>
  <c r="Y568" i="11"/>
  <c r="AO570" i="13" a="1"/>
  <c r="AE569" i="13" a="1"/>
  <c r="AE569" i="13" l="1"/>
  <c r="AG569" i="13"/>
  <c r="AH569" i="13"/>
  <c r="AF569" i="13"/>
  <c r="AO570" i="13"/>
  <c r="AQ570" i="13"/>
  <c r="AR570" i="13"/>
  <c r="AP570" i="13"/>
  <c r="AO571" i="13" l="1" a="1"/>
  <c r="AE570" i="13" a="1"/>
  <c r="X569" i="11" a="1"/>
  <c r="X569" i="11" l="1"/>
  <c r="AA569" i="11"/>
  <c r="Z569" i="11"/>
  <c r="Y569" i="11"/>
  <c r="AH570" i="13"/>
  <c r="AF570" i="13"/>
  <c r="AE570" i="13"/>
  <c r="AG570" i="13"/>
  <c r="AQ571" i="13"/>
  <c r="AO571" i="13"/>
  <c r="AP571" i="13"/>
  <c r="AR571" i="13"/>
  <c r="X570" i="11" l="1" a="1"/>
  <c r="Z570" i="11" s="1"/>
  <c r="AE571" i="13" a="1"/>
  <c r="AO572" i="13" a="1"/>
  <c r="AA570" i="11" l="1"/>
  <c r="Y570" i="11"/>
  <c r="X570" i="11"/>
  <c r="AR572" i="13"/>
  <c r="AQ572" i="13"/>
  <c r="AO572" i="13"/>
  <c r="AP572" i="13"/>
  <c r="AG571" i="13"/>
  <c r="AF571" i="13"/>
  <c r="AE571" i="13"/>
  <c r="AH571" i="13"/>
  <c r="AO573" i="13" l="1" a="1"/>
  <c r="AE572" i="13" a="1"/>
  <c r="X571" i="11" a="1"/>
  <c r="Z571" i="11" l="1"/>
  <c r="Y571" i="11"/>
  <c r="X571" i="11"/>
  <c r="AA571" i="11"/>
  <c r="AF572" i="13"/>
  <c r="AH572" i="13"/>
  <c r="AG572" i="13"/>
  <c r="AE572" i="13"/>
  <c r="X572" i="11" s="1" a="1"/>
  <c r="AQ573" i="13"/>
  <c r="AR573" i="13"/>
  <c r="AO573" i="13"/>
  <c r="AP573" i="13"/>
  <c r="Z572" i="11" l="1"/>
  <c r="Y572" i="11"/>
  <c r="X572" i="11"/>
  <c r="AA572" i="11"/>
  <c r="AE573" i="13" a="1"/>
  <c r="AO574" i="13" a="1"/>
  <c r="AH573" i="13" l="1"/>
  <c r="AE573" i="13"/>
  <c r="AG573" i="13"/>
  <c r="AF573" i="13"/>
  <c r="AP574" i="13"/>
  <c r="AO574" i="13"/>
  <c r="AQ574" i="13"/>
  <c r="AR574" i="13"/>
  <c r="X573" i="11" l="1" a="1"/>
  <c r="AO575" i="13" a="1"/>
  <c r="AE574" i="13" a="1"/>
  <c r="X573" i="11"/>
  <c r="AA573" i="11"/>
  <c r="Z573" i="11"/>
  <c r="Y573" i="11"/>
  <c r="AE574" i="13" l="1"/>
  <c r="AH574" i="13"/>
  <c r="AG574" i="13"/>
  <c r="AF574" i="13"/>
  <c r="AQ575" i="13"/>
  <c r="AO575" i="13"/>
  <c r="AP575" i="13"/>
  <c r="AR575" i="13"/>
  <c r="AO576" i="13" l="1" a="1"/>
  <c r="AE575" i="13" a="1"/>
  <c r="X574" i="11" a="1"/>
  <c r="Z574" i="11" l="1"/>
  <c r="Y574" i="11"/>
  <c r="X574" i="11"/>
  <c r="AA574" i="11"/>
  <c r="AE575" i="13"/>
  <c r="AH575" i="13"/>
  <c r="AF575" i="13"/>
  <c r="AG575" i="13"/>
  <c r="AR576" i="13"/>
  <c r="AP576" i="13"/>
  <c r="AQ576" i="13"/>
  <c r="AO576" i="13"/>
  <c r="X575" i="11" l="1" a="1"/>
  <c r="AE576" i="13" a="1"/>
  <c r="AO577" i="13" a="1"/>
  <c r="AQ577" i="13" l="1"/>
  <c r="AO577" i="13"/>
  <c r="AR577" i="13"/>
  <c r="AP577" i="13"/>
  <c r="AH576" i="13"/>
  <c r="AG576" i="13"/>
  <c r="AE576" i="13"/>
  <c r="AF576" i="13"/>
  <c r="Z575" i="11"/>
  <c r="AA575" i="11"/>
  <c r="X575" i="11"/>
  <c r="Y575" i="11"/>
  <c r="X576" i="11" l="1" a="1"/>
  <c r="Z576" i="11"/>
  <c r="Y576" i="11"/>
  <c r="X576" i="11"/>
  <c r="AA576" i="11"/>
  <c r="AO578" i="13" a="1"/>
  <c r="AE577" i="13" a="1"/>
  <c r="AP578" i="13" l="1"/>
  <c r="AQ578" i="13"/>
  <c r="AO578" i="13"/>
  <c r="AR578" i="13"/>
  <c r="AG577" i="13"/>
  <c r="AF577" i="13"/>
  <c r="AH577" i="13"/>
  <c r="AE577" i="13"/>
  <c r="X577" i="11" s="1" a="1"/>
  <c r="AO579" i="13" l="1" a="1"/>
  <c r="AE578" i="13" a="1"/>
  <c r="Y577" i="11"/>
  <c r="AA577" i="11"/>
  <c r="X577" i="11"/>
  <c r="Z577" i="11"/>
  <c r="AG578" i="13" l="1"/>
  <c r="AE578" i="13"/>
  <c r="AH578" i="13"/>
  <c r="AF578" i="13"/>
  <c r="AQ579" i="13"/>
  <c r="AO579" i="13"/>
  <c r="AP579" i="13"/>
  <c r="AR579" i="13"/>
  <c r="AE579" i="13" l="1" a="1"/>
  <c r="AO580" i="13" a="1"/>
  <c r="X578" i="11" a="1"/>
  <c r="X578" i="11" l="1"/>
  <c r="AA578" i="11"/>
  <c r="Z578" i="11"/>
  <c r="Y578" i="11"/>
  <c r="AP580" i="13"/>
  <c r="AR580" i="13"/>
  <c r="AO580" i="13"/>
  <c r="AQ580" i="13"/>
  <c r="AE579" i="13"/>
  <c r="AF579" i="13"/>
  <c r="AH579" i="13"/>
  <c r="AG579" i="13"/>
  <c r="AE580" i="13" l="1" a="1"/>
  <c r="AO581" i="13" a="1"/>
  <c r="X579" i="11" a="1"/>
  <c r="X579" i="11" l="1"/>
  <c r="Z579" i="11"/>
  <c r="AA579" i="11"/>
  <c r="Y579" i="11"/>
  <c r="AQ581" i="13"/>
  <c r="AO581" i="13"/>
  <c r="AR581" i="13"/>
  <c r="AP581" i="13"/>
  <c r="AH580" i="13"/>
  <c r="AG580" i="13"/>
  <c r="AE580" i="13"/>
  <c r="AF580" i="13"/>
  <c r="X580" i="11" l="1" a="1"/>
  <c r="AE581" i="13" a="1"/>
  <c r="AO582" i="13" a="1"/>
  <c r="Y580" i="11"/>
  <c r="X580" i="11"/>
  <c r="AA580" i="11"/>
  <c r="Z580" i="11"/>
  <c r="AP582" i="13" l="1"/>
  <c r="AQ582" i="13"/>
  <c r="AR582" i="13"/>
  <c r="AO582" i="13"/>
  <c r="AF581" i="13"/>
  <c r="AE581" i="13"/>
  <c r="AG581" i="13"/>
  <c r="AH581" i="13"/>
  <c r="X581" i="11" l="1" a="1"/>
  <c r="AO583" i="13" a="1"/>
  <c r="AE582" i="13" a="1"/>
  <c r="AF582" i="13" l="1"/>
  <c r="AH582" i="13"/>
  <c r="AE582" i="13"/>
  <c r="AG582" i="13"/>
  <c r="AQ583" i="13"/>
  <c r="AP583" i="13"/>
  <c r="AR583" i="13"/>
  <c r="AO583" i="13"/>
  <c r="Z581" i="11"/>
  <c r="AA581" i="11"/>
  <c r="Y581" i="11"/>
  <c r="X581" i="11"/>
  <c r="X582" i="11" l="1" a="1"/>
  <c r="AE583" i="13" a="1"/>
  <c r="AO584" i="13" a="1"/>
  <c r="AR584" i="13" l="1"/>
  <c r="AP584" i="13"/>
  <c r="AQ584" i="13"/>
  <c r="AO584" i="13"/>
  <c r="AH583" i="13"/>
  <c r="AE583" i="13"/>
  <c r="AF583" i="13"/>
  <c r="AG583" i="13"/>
  <c r="Y582" i="11"/>
  <c r="X582" i="11"/>
  <c r="AA582" i="11"/>
  <c r="Z582" i="11"/>
  <c r="X583" i="11" l="1" a="1"/>
  <c r="AE584" i="13" a="1"/>
  <c r="AO585" i="13" a="1"/>
  <c r="AO585" i="13" l="1"/>
  <c r="AR585" i="13"/>
  <c r="AP585" i="13"/>
  <c r="AQ585" i="13"/>
  <c r="AH584" i="13"/>
  <c r="AG584" i="13"/>
  <c r="AF584" i="13"/>
  <c r="AE584" i="13"/>
  <c r="X584" i="11" s="1" a="1"/>
  <c r="X583" i="11"/>
  <c r="AA583" i="11"/>
  <c r="Z583" i="11"/>
  <c r="Y583" i="11"/>
  <c r="Z584" i="11" l="1"/>
  <c r="Y584" i="11"/>
  <c r="X584" i="11"/>
  <c r="AA584" i="11"/>
  <c r="AE585" i="13" a="1"/>
  <c r="AO586" i="13" a="1"/>
  <c r="AR586" i="13" l="1"/>
  <c r="AO586" i="13"/>
  <c r="AQ586" i="13"/>
  <c r="AP586" i="13"/>
  <c r="AE585" i="13"/>
  <c r="AG585" i="13"/>
  <c r="AH585" i="13"/>
  <c r="AF585" i="13"/>
  <c r="X585" i="11" l="1" a="1"/>
  <c r="AO587" i="13" a="1"/>
  <c r="AE586" i="13" a="1"/>
  <c r="AG586" i="13" l="1"/>
  <c r="AE586" i="13"/>
  <c r="AF586" i="13"/>
  <c r="AH586" i="13"/>
  <c r="AQ587" i="13"/>
  <c r="AR587" i="13"/>
  <c r="AO587" i="13"/>
  <c r="AP587" i="13"/>
  <c r="Y585" i="11"/>
  <c r="Z585" i="11"/>
  <c r="X585" i="11"/>
  <c r="AA585" i="11"/>
  <c r="X586" i="11" l="1" a="1"/>
  <c r="AO588" i="13" a="1"/>
  <c r="AE587" i="13" a="1"/>
  <c r="X586" i="11"/>
  <c r="AA586" i="11"/>
  <c r="Z586" i="11"/>
  <c r="Y586" i="11"/>
  <c r="AE587" i="13" l="1"/>
  <c r="AF587" i="13"/>
  <c r="AH587" i="13"/>
  <c r="AG587" i="13"/>
  <c r="AR588" i="13"/>
  <c r="AO588" i="13"/>
  <c r="AP588" i="13"/>
  <c r="AQ588" i="13"/>
  <c r="AE588" i="13" l="1" a="1"/>
  <c r="AO589" i="13" a="1"/>
  <c r="X587" i="11" a="1"/>
  <c r="AA587" i="11" l="1"/>
  <c r="Z587" i="11"/>
  <c r="Y587" i="11"/>
  <c r="X587" i="11"/>
  <c r="AQ589" i="13"/>
  <c r="AO589" i="13"/>
  <c r="AR589" i="13"/>
  <c r="AP589" i="13"/>
  <c r="AH588" i="13"/>
  <c r="AE588" i="13"/>
  <c r="AF588" i="13"/>
  <c r="AG588" i="13"/>
  <c r="AO590" i="13" l="1" a="1"/>
  <c r="AE589" i="13" a="1"/>
  <c r="X588" i="11" a="1"/>
  <c r="Z588" i="11" l="1"/>
  <c r="X588" i="11"/>
  <c r="AA588" i="11"/>
  <c r="Y588" i="11"/>
  <c r="AF589" i="13"/>
  <c r="AH589" i="13"/>
  <c r="AE589" i="13"/>
  <c r="AG589" i="13"/>
  <c r="AR590" i="13"/>
  <c r="AO590" i="13"/>
  <c r="AQ590" i="13"/>
  <c r="AP590" i="13"/>
  <c r="X589" i="11" l="1" a="1"/>
  <c r="AE590" i="13" a="1"/>
  <c r="AO591" i="13" a="1"/>
  <c r="AO591" i="13" l="1"/>
  <c r="AQ591" i="13"/>
  <c r="AP591" i="13"/>
  <c r="AR591" i="13"/>
  <c r="AF590" i="13"/>
  <c r="AH590" i="13"/>
  <c r="AE590" i="13"/>
  <c r="AG590" i="13"/>
  <c r="AA589" i="11"/>
  <c r="X589" i="11"/>
  <c r="Z589" i="11"/>
  <c r="Y589" i="11"/>
  <c r="X590" i="11" l="1" a="1"/>
  <c r="AE591" i="13" a="1"/>
  <c r="AO592" i="13" a="1"/>
  <c r="AQ592" i="13" l="1"/>
  <c r="AO592" i="13"/>
  <c r="AR592" i="13"/>
  <c r="AP592" i="13"/>
  <c r="AH591" i="13"/>
  <c r="AF591" i="13"/>
  <c r="AG591" i="13"/>
  <c r="AE591" i="13"/>
  <c r="X591" i="11" s="1" a="1"/>
  <c r="Z590" i="11"/>
  <c r="X590" i="11"/>
  <c r="AA590" i="11"/>
  <c r="Y590" i="11"/>
  <c r="Y591" i="11" l="1"/>
  <c r="Z591" i="11"/>
  <c r="AA591" i="11"/>
  <c r="X591" i="11"/>
  <c r="AE592" i="13" a="1"/>
  <c r="AO593" i="13" a="1"/>
  <c r="AP593" i="13" l="1"/>
  <c r="AQ593" i="13"/>
  <c r="AO593" i="13"/>
  <c r="AR593" i="13"/>
  <c r="AG592" i="13"/>
  <c r="AE592" i="13"/>
  <c r="AF592" i="13"/>
  <c r="AH592" i="13"/>
  <c r="X592" i="11" l="1" a="1"/>
  <c r="AE593" i="13" a="1"/>
  <c r="AO594" i="13" a="1"/>
  <c r="Y592" i="11"/>
  <c r="Z592" i="11"/>
  <c r="X592" i="11"/>
  <c r="AA592" i="11"/>
  <c r="AO594" i="13" l="1"/>
  <c r="AQ594" i="13"/>
  <c r="AP594" i="13"/>
  <c r="AR594" i="13"/>
  <c r="AG593" i="13"/>
  <c r="AE593" i="13"/>
  <c r="AH593" i="13"/>
  <c r="AF593" i="13"/>
  <c r="X593" i="11" l="1" a="1"/>
  <c r="AE594" i="13" a="1"/>
  <c r="AO595" i="13" a="1"/>
  <c r="AF594" i="13" l="1"/>
  <c r="AH594" i="13"/>
  <c r="AG594" i="13"/>
  <c r="AE594" i="13"/>
  <c r="AR595" i="13"/>
  <c r="AO595" i="13"/>
  <c r="AQ595" i="13"/>
  <c r="AP595" i="13"/>
  <c r="Y593" i="11"/>
  <c r="X593" i="11"/>
  <c r="Z593" i="11"/>
  <c r="AA593" i="11"/>
  <c r="X594" i="11" l="1" a="1"/>
  <c r="Y594" i="11" s="1"/>
  <c r="AE595" i="13" a="1"/>
  <c r="AO596" i="13" a="1"/>
  <c r="Z594" i="11" l="1"/>
  <c r="X594" i="11"/>
  <c r="AA594" i="11"/>
  <c r="AQ596" i="13"/>
  <c r="AO596" i="13"/>
  <c r="AR596" i="13"/>
  <c r="AP596" i="13"/>
  <c r="AF595" i="13"/>
  <c r="AG595" i="13"/>
  <c r="AH595" i="13"/>
  <c r="AE595" i="13"/>
  <c r="X595" i="11" l="1" a="1"/>
  <c r="AA595" i="11" s="1"/>
  <c r="AE596" i="13" a="1"/>
  <c r="AO597" i="13" a="1"/>
  <c r="Z595" i="11" l="1"/>
  <c r="X595" i="11"/>
  <c r="Y595" i="11"/>
  <c r="AO597" i="13"/>
  <c r="AR597" i="13"/>
  <c r="AP597" i="13"/>
  <c r="AQ597" i="13"/>
  <c r="AE596" i="13"/>
  <c r="AG596" i="13"/>
  <c r="AH596" i="13"/>
  <c r="AF596" i="13"/>
  <c r="X596" i="11" l="1" a="1"/>
  <c r="X596" i="11" s="1"/>
  <c r="AO598" i="13" a="1"/>
  <c r="AE597" i="13" a="1"/>
  <c r="Z596" i="11" l="1"/>
  <c r="Y596" i="11"/>
  <c r="AA596" i="11"/>
  <c r="AH597" i="13"/>
  <c r="AE597" i="13"/>
  <c r="AF597" i="13"/>
  <c r="AG597" i="13"/>
  <c r="AR598" i="13"/>
  <c r="AP598" i="13"/>
  <c r="AO598" i="13"/>
  <c r="AQ598" i="13"/>
  <c r="X597" i="11" l="1" a="1"/>
  <c r="AE598" i="13" a="1"/>
  <c r="AO599" i="13" a="1"/>
  <c r="AE598" i="13" l="1"/>
  <c r="AG598" i="13"/>
  <c r="AF598" i="13"/>
  <c r="AH598" i="13"/>
  <c r="AR599" i="13"/>
  <c r="AQ599" i="13"/>
  <c r="AP599" i="13"/>
  <c r="AO599" i="13"/>
  <c r="Y597" i="11"/>
  <c r="X597" i="11"/>
  <c r="AA597" i="11"/>
  <c r="Z597" i="11"/>
  <c r="AO600" i="13" l="1" a="1"/>
  <c r="AE599" i="13" a="1"/>
  <c r="X598" i="11" a="1"/>
  <c r="X598" i="11" l="1"/>
  <c r="AA598" i="11"/>
  <c r="Z598" i="11"/>
  <c r="Y598" i="11"/>
  <c r="AE599" i="13"/>
  <c r="AF599" i="13"/>
  <c r="AH599" i="13"/>
  <c r="AG599" i="13"/>
  <c r="AQ600" i="13"/>
  <c r="AO600" i="13"/>
  <c r="AP600" i="13"/>
  <c r="AR600" i="13"/>
  <c r="X599" i="11" l="1" a="1"/>
  <c r="AE600" i="13" a="1"/>
  <c r="AO601" i="13" a="1"/>
  <c r="AO601" i="13" l="1"/>
  <c r="AR601" i="13"/>
  <c r="AQ601" i="13"/>
  <c r="AP601" i="13"/>
  <c r="AE600" i="13"/>
  <c r="AG600" i="13"/>
  <c r="AH600" i="13"/>
  <c r="AF600" i="13"/>
  <c r="AA599" i="11"/>
  <c r="X599" i="11"/>
  <c r="Y599" i="11"/>
  <c r="Z599" i="11"/>
  <c r="X600" i="11" l="1" a="1"/>
  <c r="AE601" i="13" a="1"/>
  <c r="AO602" i="13" a="1"/>
  <c r="AH601" i="13" l="1"/>
  <c r="AE601" i="13"/>
  <c r="AG601" i="13"/>
  <c r="AF601" i="13"/>
  <c r="AP602" i="13"/>
  <c r="AR602" i="13"/>
  <c r="AO602" i="13"/>
  <c r="AE602" i="13" s="1" a="1"/>
  <c r="AQ602" i="13"/>
  <c r="AA600" i="11"/>
  <c r="X600" i="11"/>
  <c r="Z600" i="11"/>
  <c r="Y600" i="11"/>
  <c r="X601" i="11" l="1" a="1"/>
  <c r="AF602" i="13"/>
  <c r="AG602" i="13"/>
  <c r="AH602" i="13"/>
  <c r="AE602" i="13"/>
  <c r="Y601" i="11"/>
  <c r="AA601" i="11"/>
  <c r="Z601" i="11"/>
  <c r="X601" i="11"/>
  <c r="X602" i="11" l="1" a="1"/>
  <c r="AG4" i="11" a="1"/>
  <c r="Z602" i="11" l="1"/>
  <c r="Y602" i="11"/>
  <c r="X602" i="11"/>
  <c r="AA602" i="11"/>
  <c r="AG4" i="11"/>
  <c r="AL4" i="11" a="1"/>
  <c r="AL4" i="11" l="1"/>
  <c r="AQ4" i="11" a="1"/>
  <c r="AW4" i="11" a="1"/>
  <c r="AW4" i="11" l="1"/>
  <c r="AQ4" i="11"/>
  <c r="AV4" i="11" a="1"/>
  <c r="AR4" i="11" a="1"/>
  <c r="AV4" i="11" l="1"/>
  <c r="AU4" i="11"/>
  <c r="AR4" i="11"/>
  <c r="AT4" i="11"/>
  <c r="AS4" i="11"/>
  <c r="AC5" i="11" s="1" a="1"/>
  <c r="AD5" i="11" s="1"/>
  <c r="AG5" i="11" a="1"/>
  <c r="AG5" i="11" l="1"/>
  <c r="AC5" i="11"/>
  <c r="AF5" i="11"/>
  <c r="AE5" i="11"/>
  <c r="AL5" i="11" a="1"/>
  <c r="AL5" i="11" l="1"/>
  <c r="AH5" i="11" a="1"/>
  <c r="AQ5" i="11" a="1"/>
  <c r="AQ5" i="11" l="1"/>
  <c r="AH5" i="11"/>
  <c r="AJ5" i="11"/>
  <c r="AI5" i="11"/>
  <c r="AK5" i="11"/>
  <c r="AV5" i="11" a="1"/>
  <c r="AV5" i="11" l="1"/>
  <c r="AM5" i="11" a="1"/>
  <c r="AG6" i="11" a="1"/>
  <c r="AG6" i="11" l="1"/>
  <c r="AO5" i="11"/>
  <c r="AP5" i="11"/>
  <c r="AM5" i="11"/>
  <c r="AN5" i="11"/>
  <c r="AL6" i="11" a="1"/>
  <c r="AW5" i="11" a="1"/>
  <c r="AL6" i="11" l="1"/>
  <c r="AW5" i="11"/>
  <c r="AQ6" i="11" a="1"/>
  <c r="AR5" i="11" a="1"/>
  <c r="AQ6" i="11" l="1"/>
  <c r="AR5" i="11"/>
  <c r="AR6" i="11" a="1"/>
  <c r="AM7" i="11" a="1"/>
  <c r="AU5" i="11"/>
  <c r="AT5" i="11"/>
  <c r="AS5" i="11"/>
  <c r="AV6" i="11" a="1"/>
  <c r="AC6" i="11" l="1" a="1"/>
  <c r="AE6" i="11" s="1"/>
  <c r="AV6" i="11"/>
  <c r="AM8" i="11" a="1"/>
  <c r="AG7" i="11" a="1"/>
  <c r="AC6" i="11" l="1"/>
  <c r="AF6" i="11"/>
  <c r="AD6" i="11"/>
  <c r="AG7" i="11"/>
  <c r="AH6" i="11" a="1"/>
  <c r="AL7" i="11" a="1"/>
  <c r="AL7" i="11" l="1"/>
  <c r="AK6" i="11"/>
  <c r="AI6" i="11"/>
  <c r="AJ6" i="11"/>
  <c r="AH6" i="11"/>
  <c r="AM6" i="11" s="1" a="1"/>
  <c r="AM10" i="11" a="1"/>
  <c r="AQ7" i="11" a="1"/>
  <c r="AQ7" i="11" l="1"/>
  <c r="AP6" i="11"/>
  <c r="AM6" i="11"/>
  <c r="AO6" i="11"/>
  <c r="AN6" i="11"/>
  <c r="AM11" i="11" a="1"/>
  <c r="AV7" i="11" a="1"/>
  <c r="AV7" i="11" l="1"/>
  <c r="AM12" i="11" a="1"/>
  <c r="AG8" i="11" a="1"/>
  <c r="AG8" i="11" l="1"/>
  <c r="AL8" i="11" a="1"/>
  <c r="AL8" i="11" l="1"/>
  <c r="AQ8" i="11" a="1"/>
  <c r="AQ8" i="11" l="1"/>
  <c r="AM15" i="11" a="1"/>
  <c r="AV8" i="11" a="1"/>
  <c r="AV8" i="11" l="1"/>
  <c r="AG9" i="11" a="1"/>
  <c r="AG9" i="11" l="1"/>
  <c r="AM17" i="11" a="1"/>
  <c r="AL9" i="11" a="1"/>
  <c r="AL9" i="11" l="1"/>
  <c r="AQ9" i="11" a="1"/>
  <c r="AQ9" i="11" l="1"/>
  <c r="AM19" i="11" a="1"/>
  <c r="AV9" i="11" a="1"/>
  <c r="AV9" i="11" l="1"/>
  <c r="AM20" i="11" a="1"/>
  <c r="AG10" i="11" a="1"/>
  <c r="AG10" i="11" l="1"/>
  <c r="AM21" i="11" a="1"/>
  <c r="AL10" i="11" a="1"/>
  <c r="AL10" i="11" l="1"/>
  <c r="AM22" i="11" a="1"/>
  <c r="AQ10" i="11" a="1"/>
  <c r="AQ10" i="11" l="1"/>
  <c r="AM23" i="11" a="1"/>
  <c r="AV10" i="11" a="1"/>
  <c r="AV10" i="11" l="1"/>
  <c r="AM24" i="11" a="1"/>
  <c r="AG11" i="11" a="1"/>
  <c r="AW6" i="11" a="1"/>
  <c r="AG11" i="11" l="1"/>
  <c r="AW6" i="11"/>
  <c r="AL11" i="11" a="1"/>
  <c r="AL11" i="11" l="1"/>
  <c r="AQ11" i="11" a="1"/>
  <c r="AQ11" i="11" l="1"/>
  <c r="AV11" i="11" a="1"/>
  <c r="AV11" i="11" l="1"/>
  <c r="AG12" i="11" a="1"/>
  <c r="AG12" i="11" l="1"/>
  <c r="AL12" i="11" a="1"/>
  <c r="AL12" i="11" l="1"/>
  <c r="AQ12" i="11" a="1"/>
  <c r="AQ12" i="11" l="1"/>
  <c r="AV12" i="11" a="1"/>
  <c r="AV12" i="11" l="1"/>
  <c r="AG13" i="11" a="1"/>
  <c r="AG13" i="11" l="1"/>
  <c r="AL13" i="11" a="1"/>
  <c r="AL13" i="11" l="1"/>
  <c r="AQ13" i="11" a="1"/>
  <c r="AQ13" i="11" l="1"/>
  <c r="AV13" i="11" a="1"/>
  <c r="AV13" i="11" l="1"/>
  <c r="AG14" i="11" a="1"/>
  <c r="AG14" i="11" l="1"/>
  <c r="AL14" i="11" a="1"/>
  <c r="AL14" i="11" l="1"/>
  <c r="AQ14" i="11" a="1"/>
  <c r="AQ14" i="11" l="1"/>
  <c r="AV14" i="11" a="1"/>
  <c r="AV14" i="11" l="1"/>
  <c r="AG15" i="11" a="1"/>
  <c r="AG15" i="11" l="1"/>
  <c r="AL15" i="11" a="1"/>
  <c r="AL15" i="11" l="1"/>
  <c r="AQ15" i="11" a="1"/>
  <c r="AQ15" i="11" l="1"/>
  <c r="AV15" i="11" a="1"/>
  <c r="AV15" i="11" l="1"/>
  <c r="AG16" i="11" a="1"/>
  <c r="AG16" i="11" l="1"/>
  <c r="AL16" i="11" a="1"/>
  <c r="AL16" i="11" l="1"/>
  <c r="AQ16" i="11" a="1"/>
  <c r="AQ16" i="11" l="1"/>
  <c r="AV16" i="11" a="1"/>
  <c r="AV16" i="11" l="1"/>
  <c r="AG17" i="11" a="1"/>
  <c r="AG17" i="11" l="1"/>
  <c r="AL17" i="11" a="1"/>
  <c r="AL17" i="11" l="1"/>
  <c r="AQ17" i="11" a="1"/>
  <c r="AQ17" i="11" l="1"/>
  <c r="AV17" i="11" a="1"/>
  <c r="AV17" i="11" l="1"/>
  <c r="AG18" i="11" a="1"/>
  <c r="AG18" i="11" l="1"/>
  <c r="AL18" i="11" a="1"/>
  <c r="AL18" i="11" l="1"/>
  <c r="AQ18" i="11" a="1"/>
  <c r="AQ18" i="11" l="1"/>
  <c r="AV18" i="11" a="1"/>
  <c r="AV18" i="11" l="1"/>
  <c r="AG19" i="11" a="1"/>
  <c r="AG19" i="11" l="1"/>
  <c r="AL19" i="11" a="1"/>
  <c r="AL19" i="11" l="1"/>
  <c r="AQ19" i="11" a="1"/>
  <c r="AQ19" i="11" l="1"/>
  <c r="AV19" i="11" a="1"/>
  <c r="AV19" i="11" l="1"/>
  <c r="AG20" i="11" a="1"/>
  <c r="AG20" i="11" l="1"/>
  <c r="AL20" i="11" a="1"/>
  <c r="AL20" i="11" l="1"/>
  <c r="AQ20" i="11" a="1"/>
  <c r="AQ20" i="11" l="1"/>
  <c r="AV20" i="11" a="1"/>
  <c r="AV20" i="11" l="1"/>
  <c r="AG21" i="11" a="1"/>
  <c r="AG21" i="11" l="1"/>
  <c r="AL21" i="11" a="1"/>
  <c r="AL21" i="11" l="1"/>
  <c r="AQ21" i="11" a="1"/>
  <c r="AQ21" i="11" l="1"/>
  <c r="AV21" i="11" a="1"/>
  <c r="AV21" i="11" l="1"/>
  <c r="AG22" i="11" a="1"/>
  <c r="AG22" i="11" l="1"/>
  <c r="AL22" i="11" a="1"/>
  <c r="AL22" i="11" l="1"/>
  <c r="E54" i="11"/>
  <c r="AQ22" i="11" a="1"/>
  <c r="B55" i="11" a="1"/>
  <c r="D57" i="11" l="1"/>
  <c r="B57" i="11"/>
  <c r="E57" i="11"/>
  <c r="D58" i="11"/>
  <c r="E58" i="11"/>
  <c r="C57" i="11"/>
  <c r="B58" i="11"/>
  <c r="C55" i="11"/>
  <c r="D56" i="11"/>
  <c r="E55" i="11"/>
  <c r="C56" i="11"/>
  <c r="C58" i="11"/>
  <c r="E56" i="11"/>
  <c r="B56" i="11"/>
  <c r="B55" i="11"/>
  <c r="D55" i="11"/>
  <c r="AQ22" i="11"/>
  <c r="J54" i="11"/>
  <c r="AV22" i="11" a="1"/>
  <c r="G55" i="11" a="1"/>
  <c r="I58" i="11" l="1"/>
  <c r="H55" i="11"/>
  <c r="I55" i="11"/>
  <c r="G56" i="11"/>
  <c r="J58" i="11"/>
  <c r="H57" i="11"/>
  <c r="H56" i="11"/>
  <c r="I57" i="11"/>
  <c r="I56" i="11"/>
  <c r="J57" i="11"/>
  <c r="G58" i="11"/>
  <c r="G55" i="11"/>
  <c r="J55" i="11"/>
  <c r="J56" i="11"/>
  <c r="H58" i="11"/>
  <c r="G57" i="11"/>
  <c r="AV22" i="11"/>
  <c r="O54" i="11"/>
  <c r="AG23" i="11" a="1"/>
  <c r="L55" i="11" a="1"/>
  <c r="O56" i="11" l="1"/>
  <c r="L55" i="11"/>
  <c r="M58" i="11"/>
  <c r="L58" i="11"/>
  <c r="N58" i="11"/>
  <c r="O58" i="11"/>
  <c r="M55" i="11"/>
  <c r="L57" i="11"/>
  <c r="L56" i="11"/>
  <c r="N56" i="11"/>
  <c r="N57" i="11"/>
  <c r="O55" i="11"/>
  <c r="M56" i="11"/>
  <c r="M57" i="11"/>
  <c r="N55" i="11"/>
  <c r="O57" i="11"/>
  <c r="AG23" i="11"/>
  <c r="T54" i="11"/>
  <c r="AL23" i="11" a="1"/>
  <c r="Q55" i="11" a="1"/>
  <c r="R55" i="11" l="1"/>
  <c r="R58" i="11"/>
  <c r="R57" i="11"/>
  <c r="S58" i="11"/>
  <c r="S55" i="11"/>
  <c r="S57" i="11"/>
  <c r="T58" i="11"/>
  <c r="Q57" i="11"/>
  <c r="S56" i="11"/>
  <c r="Q55" i="11"/>
  <c r="T56" i="11"/>
  <c r="R56" i="11"/>
  <c r="T57" i="11"/>
  <c r="Q56" i="11"/>
  <c r="Q58" i="11"/>
  <c r="T55" i="11"/>
  <c r="AL23" i="11"/>
  <c r="E60" i="11"/>
  <c r="AQ23" i="11" a="1"/>
  <c r="B61" i="11" a="1"/>
  <c r="D61" i="11" l="1"/>
  <c r="E63" i="11"/>
  <c r="B64" i="11"/>
  <c r="C61" i="11"/>
  <c r="E64" i="11"/>
  <c r="B63" i="11"/>
  <c r="D63" i="11"/>
  <c r="B62" i="11"/>
  <c r="E62" i="11"/>
  <c r="C63" i="11"/>
  <c r="D64" i="11"/>
  <c r="D62" i="11"/>
  <c r="B61" i="11"/>
  <c r="C64" i="11"/>
  <c r="E61" i="11"/>
  <c r="C62" i="11"/>
  <c r="AQ23" i="11"/>
  <c r="J60" i="11"/>
  <c r="AV23" i="11" a="1"/>
  <c r="G61" i="11" a="1"/>
  <c r="G62" i="11" l="1"/>
  <c r="I62" i="11"/>
  <c r="J63" i="11"/>
  <c r="G61" i="11"/>
  <c r="H62" i="11"/>
  <c r="J61" i="11"/>
  <c r="H64" i="11"/>
  <c r="J64" i="11"/>
  <c r="I61" i="11"/>
  <c r="J62" i="11"/>
  <c r="G64" i="11"/>
  <c r="H63" i="11"/>
  <c r="I64" i="11"/>
  <c r="I63" i="11"/>
  <c r="H61" i="11"/>
  <c r="G63" i="11"/>
  <c r="AV23" i="11"/>
  <c r="T60" i="11" s="1"/>
  <c r="O60" i="11"/>
  <c r="Q61" i="11" a="1"/>
  <c r="L61" i="11" a="1"/>
  <c r="J65" i="11" l="1"/>
  <c r="N63" i="11"/>
  <c r="M62" i="11"/>
  <c r="L63" i="11"/>
  <c r="N62" i="11"/>
  <c r="O63" i="11"/>
  <c r="M64" i="11"/>
  <c r="M63" i="11"/>
  <c r="N61" i="11"/>
  <c r="O61" i="11"/>
  <c r="O62" i="11"/>
  <c r="M61" i="11"/>
  <c r="L64" i="11"/>
  <c r="N64" i="11"/>
  <c r="L61" i="11"/>
  <c r="O64" i="11"/>
  <c r="L62" i="11"/>
  <c r="S62" i="11"/>
  <c r="T61" i="11"/>
  <c r="Q62" i="11"/>
  <c r="R63" i="11"/>
  <c r="S63" i="11"/>
  <c r="T63" i="11"/>
  <c r="S64" i="11"/>
  <c r="R62" i="11"/>
  <c r="Q61" i="11"/>
  <c r="Q63" i="11"/>
  <c r="T64" i="11"/>
  <c r="Q64" i="11"/>
  <c r="S61" i="11"/>
  <c r="R64" i="11"/>
  <c r="T62" i="11"/>
  <c r="R61" i="11"/>
  <c r="AT6" i="11"/>
  <c r="AS6" i="11"/>
  <c r="AU6" i="11"/>
  <c r="AR6" i="11"/>
  <c r="D52" i="11" l="1" a="1"/>
  <c r="D52" i="11" s="1"/>
  <c r="AC7" i="11" a="1"/>
  <c r="AD7" i="11" s="1"/>
  <c r="AC7" i="11" l="1"/>
  <c r="AF7" i="11"/>
  <c r="AH7" i="11" a="1"/>
  <c r="AE7" i="11"/>
  <c r="AK7" i="11" l="1"/>
  <c r="AP7" i="11" s="1"/>
  <c r="AH7" i="11"/>
  <c r="AM7" i="11" s="1"/>
  <c r="AJ7" i="11"/>
  <c r="AO7" i="11" s="1"/>
  <c r="AI7" i="11"/>
  <c r="AN7" i="11" s="1"/>
  <c r="AW7" i="11" a="1"/>
  <c r="AW7" i="11"/>
  <c r="AR7" i="11" a="1"/>
  <c r="AR7" i="11"/>
  <c r="AS7" i="11"/>
  <c r="AT7" i="11"/>
  <c r="AU7" i="11"/>
  <c r="AC8" i="11" a="1"/>
  <c r="AD8" i="11" s="1"/>
  <c r="AC8" i="11" l="1"/>
  <c r="AE8" i="11"/>
  <c r="AF8" i="11"/>
  <c r="AH8" i="11" l="1" a="1"/>
  <c r="AH8" i="11" s="1"/>
  <c r="AM8" i="11" s="1"/>
  <c r="AI8" i="11"/>
  <c r="AN8" i="11" s="1"/>
  <c r="AK8" i="11"/>
  <c r="AP8" i="11" s="1"/>
  <c r="AJ8" i="11" l="1"/>
  <c r="AO8" i="11" s="1"/>
  <c r="AR8" i="11" a="1"/>
  <c r="AT8" i="11" l="1"/>
  <c r="AR8" i="11"/>
  <c r="AU8" i="11"/>
  <c r="AS8" i="11"/>
  <c r="AC9" i="11" l="1" a="1"/>
  <c r="AE9" i="11" l="1"/>
  <c r="AF9" i="11"/>
  <c r="AC9" i="11"/>
  <c r="AH9" i="11" s="1" a="1"/>
  <c r="AJ9" i="11" s="1"/>
  <c r="AD9" i="11"/>
  <c r="AI9" i="11" l="1"/>
  <c r="AH9" i="11"/>
  <c r="AK9" i="11"/>
  <c r="AM9" i="11" a="1"/>
  <c r="AM9" i="11" l="1"/>
  <c r="AP9" i="11"/>
  <c r="AO9" i="11"/>
  <c r="AN9" i="11"/>
  <c r="AW8" i="11" a="1"/>
  <c r="AW8" i="11"/>
  <c r="AW9" i="11" a="1"/>
  <c r="AW9" i="11"/>
  <c r="AR9" i="11" a="1"/>
  <c r="AS9" i="11"/>
  <c r="AT9" i="11"/>
  <c r="AU9" i="11"/>
  <c r="AR9" i="11"/>
  <c r="AC10" i="11" a="1"/>
  <c r="AC10" i="11" s="1"/>
  <c r="AE10" i="11" l="1"/>
  <c r="AD10" i="11"/>
  <c r="AF10" i="11"/>
  <c r="AH10" i="11" l="1" a="1"/>
  <c r="AK10" i="11" s="1"/>
  <c r="AP10" i="11" s="1"/>
  <c r="AI10" i="11" l="1"/>
  <c r="AN10" i="11" s="1"/>
  <c r="AJ10" i="11"/>
  <c r="AO10" i="11" s="1"/>
  <c r="AH10" i="11"/>
  <c r="AM10" i="11" s="1"/>
  <c r="AW10" i="11" a="1"/>
  <c r="AR10" i="11" a="1"/>
  <c r="AW10" i="11" l="1"/>
  <c r="AR10" i="11"/>
  <c r="AS10" i="11"/>
  <c r="AT10" i="11"/>
  <c r="AU10" i="11"/>
  <c r="AC11" i="11" a="1"/>
  <c r="AE11" i="11" s="1"/>
  <c r="AC11" i="11" l="1"/>
  <c r="AH11" i="11" s="1" a="1"/>
  <c r="AF11" i="11"/>
  <c r="AD11" i="11"/>
  <c r="AJ11" i="11" l="1"/>
  <c r="AO11" i="11" s="1"/>
  <c r="AH11" i="11"/>
  <c r="AM11" i="11" s="1"/>
  <c r="AK11" i="11"/>
  <c r="AP11" i="11" s="1"/>
  <c r="AI11" i="11"/>
  <c r="AN11" i="11" s="1"/>
  <c r="AW11" i="11" a="1"/>
  <c r="AW11" i="11"/>
  <c r="AR11" i="11" a="1"/>
  <c r="AU11" i="11"/>
  <c r="AR11" i="11"/>
  <c r="AS11" i="11"/>
  <c r="AT11" i="11"/>
  <c r="AC12" i="11" a="1"/>
  <c r="AC12" i="11"/>
  <c r="AD12" i="11"/>
  <c r="AE12" i="11"/>
  <c r="AF12" i="11"/>
  <c r="AH12" i="11" a="1"/>
  <c r="AH12" i="11"/>
  <c r="AM12" i="11"/>
  <c r="AI12" i="11"/>
  <c r="AN12" i="11"/>
  <c r="AJ12" i="11"/>
  <c r="AO12" i="11"/>
  <c r="AK12" i="11"/>
  <c r="AP12" i="11"/>
  <c r="AR12" i="11" a="1"/>
  <c r="AU12" i="11"/>
  <c r="AR12" i="11"/>
  <c r="AS12" i="11"/>
  <c r="AT12" i="11"/>
  <c r="AC13" i="11" a="1"/>
  <c r="AC13" i="11"/>
  <c r="AD13" i="11"/>
  <c r="AE13" i="11"/>
  <c r="AF13" i="11"/>
  <c r="AH13" i="11" a="1"/>
  <c r="AH13" i="11"/>
  <c r="AM13" i="11" a="1"/>
  <c r="AK13" i="11"/>
  <c r="AP13" i="11"/>
  <c r="AI13" i="11"/>
  <c r="AN13" i="11"/>
  <c r="AJ13" i="11"/>
  <c r="AO13" i="11"/>
  <c r="AM13" i="11"/>
  <c r="AW12" i="11" a="1"/>
  <c r="AW12" i="11"/>
  <c r="AW13" i="11" a="1"/>
  <c r="AR13" i="11" a="1"/>
  <c r="AT13" i="11"/>
  <c r="AS13" i="11"/>
  <c r="AR13" i="11"/>
  <c r="AU13" i="11"/>
  <c r="AC14" i="11" a="1"/>
  <c r="AD14" i="11"/>
  <c r="AF14" i="11"/>
  <c r="AE14" i="11"/>
  <c r="AW13" i="11"/>
  <c r="AC14" i="11"/>
  <c r="AH14" i="11" a="1"/>
  <c r="AH14" i="11"/>
  <c r="AK14" i="11"/>
  <c r="AJ14" i="11"/>
  <c r="AI14" i="11"/>
  <c r="AM14" i="11" a="1"/>
  <c r="AP14" i="11"/>
  <c r="AO14" i="11"/>
  <c r="AM14" i="11"/>
  <c r="AN14" i="11"/>
  <c r="AW14" i="11" a="1"/>
  <c r="AW14" i="11"/>
  <c r="AR14" i="11" a="1"/>
  <c r="AR14" i="11"/>
  <c r="AT14" i="11"/>
  <c r="AS14" i="11"/>
  <c r="AU14" i="11"/>
  <c r="AC15" i="11" a="1"/>
  <c r="AC15" i="11"/>
  <c r="AE15" i="11"/>
  <c r="AD15" i="11"/>
  <c r="AF15" i="11"/>
  <c r="AH15" i="11" a="1"/>
  <c r="AK15" i="11"/>
  <c r="AP15" i="11"/>
  <c r="AH15" i="11"/>
  <c r="AM15" i="11"/>
  <c r="AJ15" i="11"/>
  <c r="AO15" i="11"/>
  <c r="AI15" i="11"/>
  <c r="AN15" i="11"/>
  <c r="AR15" i="11" a="1"/>
  <c r="AR15" i="11"/>
  <c r="AS15" i="11"/>
  <c r="AT15" i="11"/>
  <c r="AU15" i="11"/>
  <c r="AC16" i="11" a="1"/>
  <c r="AE16" i="11"/>
  <c r="AC16" i="11"/>
  <c r="AD16" i="11"/>
  <c r="AF16" i="11"/>
  <c r="AH16" i="11" a="1"/>
  <c r="AH16" i="11"/>
  <c r="AK16" i="11"/>
  <c r="AI16" i="11"/>
  <c r="AJ16" i="11"/>
  <c r="AM16" i="11" a="1"/>
  <c r="AM16" i="11"/>
  <c r="AN16" i="11"/>
  <c r="AP16" i="11"/>
  <c r="AO16" i="11"/>
  <c r="AW16" i="11" a="1"/>
  <c r="AW16" i="11"/>
  <c r="AR16" i="11" a="1"/>
  <c r="AT16" i="11"/>
  <c r="AU16" i="11"/>
  <c r="AS16" i="11"/>
  <c r="AR16" i="11"/>
  <c r="AC17" i="11" a="1"/>
  <c r="AE17" i="11"/>
  <c r="AF17" i="11"/>
  <c r="AD17" i="11"/>
  <c r="AC17" i="11"/>
  <c r="AH17" i="11" a="1"/>
  <c r="AH17" i="11"/>
  <c r="AM17" i="11"/>
  <c r="AK17" i="11"/>
  <c r="AP17" i="11"/>
  <c r="AJ17" i="11"/>
  <c r="AO17" i="11"/>
  <c r="AI17" i="11"/>
  <c r="AN17" i="11"/>
  <c r="AW17" i="11" a="1"/>
  <c r="AW17" i="11"/>
  <c r="AW15" i="11" a="1"/>
  <c r="AW15" i="11"/>
  <c r="AR17" i="11" a="1"/>
  <c r="AU17" i="11"/>
  <c r="AT17" i="11"/>
  <c r="AR17" i="11"/>
  <c r="AS17" i="11"/>
  <c r="AC18" i="11" a="1"/>
  <c r="AC18" i="11"/>
  <c r="AF18" i="11"/>
  <c r="AD18" i="11"/>
  <c r="AE18" i="11"/>
  <c r="AH18" i="11" a="1"/>
  <c r="AH18" i="11"/>
  <c r="AJ18" i="11"/>
  <c r="AK18" i="11"/>
  <c r="AI18" i="11"/>
  <c r="AM18" i="11" a="1"/>
  <c r="AP18" i="11"/>
  <c r="AM18" i="11"/>
  <c r="AO18" i="11"/>
  <c r="AN18" i="11"/>
  <c r="AR18" i="11" a="1"/>
  <c r="AS18" i="11"/>
  <c r="AT18" i="11"/>
  <c r="AU18" i="11"/>
  <c r="AR18" i="11"/>
  <c r="AC19" i="11" a="1"/>
  <c r="AC19" i="11"/>
  <c r="AE19" i="11"/>
  <c r="AD19" i="11"/>
  <c r="AF19" i="11"/>
  <c r="AH19" i="11" a="1"/>
  <c r="AI19" i="11"/>
  <c r="AN19" i="11"/>
  <c r="AJ19" i="11"/>
  <c r="AO19" i="11"/>
  <c r="AH19" i="11"/>
  <c r="AM19" i="11"/>
  <c r="AK19" i="11"/>
  <c r="AP19" i="11"/>
  <c r="AW19" i="11" a="1"/>
  <c r="AW19" i="11"/>
  <c r="AR19" i="11" a="1"/>
  <c r="AU19" i="11"/>
  <c r="AT19" i="11"/>
  <c r="AR19" i="11"/>
  <c r="AS19" i="11"/>
  <c r="AC20" i="11" a="1"/>
  <c r="AE20" i="11"/>
  <c r="AC20" i="11"/>
  <c r="AF20" i="11"/>
  <c r="AD20" i="11"/>
  <c r="AH20" i="11" a="1"/>
  <c r="AJ20" i="11"/>
  <c r="AO20" i="11"/>
  <c r="AI20" i="11"/>
  <c r="AN20" i="11"/>
  <c r="AK20" i="11"/>
  <c r="AP20" i="11"/>
  <c r="AH20" i="11"/>
  <c r="AM20" i="11"/>
  <c r="AW20" i="11" a="1"/>
  <c r="AW20" i="11"/>
  <c r="AR20" i="11" a="1"/>
  <c r="AU20" i="11"/>
  <c r="AT20" i="11"/>
  <c r="AR20" i="11"/>
  <c r="AS20" i="11"/>
  <c r="AC21" i="11" a="1"/>
  <c r="AF21" i="11"/>
  <c r="AD21" i="11"/>
  <c r="AC21" i="11"/>
  <c r="AE21" i="11"/>
  <c r="AH21" i="11" a="1"/>
  <c r="AK21" i="11"/>
  <c r="AP21" i="11"/>
  <c r="AI21" i="11"/>
  <c r="AN21" i="11"/>
  <c r="AJ21" i="11"/>
  <c r="AO21" i="11"/>
  <c r="AH21" i="11"/>
  <c r="AM21" i="11"/>
  <c r="AW21" i="11" a="1"/>
  <c r="AW21" i="11"/>
  <c r="AW18" i="11" a="1"/>
  <c r="AW18" i="11"/>
  <c r="AR21" i="11" a="1"/>
  <c r="AR21" i="11"/>
  <c r="AU21" i="11"/>
  <c r="AT21" i="11"/>
  <c r="AS21" i="11"/>
  <c r="AC22" i="11" a="1"/>
  <c r="AF22" i="11"/>
  <c r="AD22" i="11"/>
  <c r="AC22" i="11"/>
  <c r="AE22" i="11"/>
  <c r="AH22" i="11" a="1"/>
  <c r="AH22" i="11"/>
  <c r="AM22" i="11"/>
  <c r="AJ22" i="11"/>
  <c r="AO22" i="11"/>
  <c r="AK22" i="11"/>
  <c r="AP22" i="11"/>
  <c r="AI22" i="11"/>
  <c r="AN22" i="11"/>
  <c r="AR22" i="11" a="1"/>
  <c r="AT22" i="11"/>
  <c r="AS22" i="11"/>
  <c r="AU22" i="11"/>
  <c r="AR22" i="11"/>
  <c r="AC23" i="11" a="1"/>
  <c r="AE23" i="11"/>
  <c r="AD23" i="11"/>
  <c r="AC23" i="11"/>
  <c r="AF23" i="11"/>
  <c r="AH23" i="11" a="1"/>
  <c r="AJ23" i="11"/>
  <c r="AO23" i="11"/>
  <c r="AI23" i="11"/>
  <c r="AN23" i="11"/>
  <c r="AK23" i="11"/>
  <c r="AP23" i="11"/>
  <c r="AH23" i="11"/>
  <c r="AM23" i="11"/>
  <c r="AW23" i="11" a="1"/>
  <c r="AW23" i="11"/>
  <c r="AR23" i="11" a="1"/>
  <c r="AU23" i="11"/>
  <c r="AR23" i="11"/>
  <c r="AS23" i="11"/>
  <c r="AT23" i="11"/>
  <c r="AC24" i="11" a="1"/>
  <c r="AE24" i="11"/>
  <c r="AD24" i="11"/>
  <c r="AC24" i="11"/>
  <c r="AF24" i="11"/>
  <c r="AH24" i="11" a="1"/>
  <c r="AK24" i="11"/>
  <c r="AP24" i="11"/>
  <c r="AI24" i="11"/>
  <c r="AN24" i="11"/>
  <c r="AJ24" i="11"/>
  <c r="AH24" i="11"/>
  <c r="AM24" i="11"/>
  <c r="AO24" i="11"/>
  <c r="AR24" i="11" a="1"/>
  <c r="AU24" i="11"/>
  <c r="AR24" i="11"/>
  <c r="AS24" i="11"/>
  <c r="AT24" i="11"/>
  <c r="AC25" i="11" a="1"/>
  <c r="AD25" i="11"/>
  <c r="AE25" i="11"/>
  <c r="AC25" i="11"/>
  <c r="AF25" i="11"/>
  <c r="AH25" i="11" a="1"/>
  <c r="AI25" i="11"/>
  <c r="AH25" i="11"/>
  <c r="AJ25" i="11"/>
  <c r="AK25" i="11"/>
  <c r="AM25" i="11" a="1"/>
  <c r="AP25" i="11"/>
  <c r="AN25" i="11"/>
  <c r="AO25" i="11"/>
  <c r="AM25" i="11"/>
  <c r="AR25" i="11" a="1"/>
  <c r="AT25" i="11"/>
  <c r="AS25" i="11"/>
  <c r="AR25" i="11"/>
  <c r="AU25" i="11"/>
  <c r="AW25" i="11" a="1"/>
  <c r="AW25" i="11"/>
  <c r="AC26" i="11" a="1"/>
  <c r="AE26" i="11"/>
  <c r="AD26" i="11"/>
  <c r="AF26" i="11"/>
  <c r="AC26" i="11"/>
  <c r="AW24" i="11" a="1"/>
  <c r="AW24" i="11"/>
  <c r="AH26" i="11" a="1"/>
  <c r="AJ26" i="11"/>
  <c r="AI26" i="11"/>
  <c r="AH26" i="11"/>
  <c r="AK26" i="11"/>
  <c r="AM26" i="11" a="1"/>
  <c r="AN26" i="11"/>
  <c r="AM26" i="11"/>
  <c r="AO26" i="11"/>
  <c r="AP26" i="11"/>
  <c r="AW26" i="11" a="1"/>
  <c r="AW26" i="11"/>
  <c r="AW22" i="11" a="1"/>
  <c r="AW22" i="11"/>
  <c r="AR26" i="11" a="1"/>
  <c r="AR26" i="11"/>
  <c r="AU26" i="11"/>
  <c r="AT26" i="11"/>
  <c r="AS26" i="11"/>
  <c r="AC27" i="11" a="1"/>
  <c r="AD27" i="11"/>
  <c r="AE27" i="11"/>
  <c r="AF27" i="11"/>
  <c r="AC27" i="11"/>
  <c r="AH27" i="11" a="1"/>
  <c r="AJ27" i="11"/>
  <c r="AI27" i="11"/>
  <c r="AK27" i="11"/>
  <c r="AH27" i="11"/>
  <c r="AM27" i="11" a="1"/>
  <c r="AP27" i="11"/>
  <c r="AO27" i="11"/>
  <c r="AM27" i="11"/>
  <c r="AN27" i="11"/>
  <c r="AR27" i="11" a="1"/>
  <c r="AR27" i="11"/>
  <c r="AU27" i="11"/>
  <c r="AS27" i="11"/>
  <c r="AT27" i="11"/>
  <c r="AC28" i="11" a="1"/>
  <c r="AF28" i="11"/>
  <c r="AC28" i="11"/>
  <c r="AE28" i="11"/>
  <c r="AD28" i="11"/>
  <c r="AH28" i="11" a="1"/>
  <c r="AJ28" i="11"/>
  <c r="AI28" i="11"/>
  <c r="AH28" i="11"/>
  <c r="AK28" i="11"/>
  <c r="AM28" i="11" a="1"/>
  <c r="AM28" i="11"/>
  <c r="AO28" i="11"/>
  <c r="AN28" i="11"/>
  <c r="AP28" i="11"/>
  <c r="AW28" i="11" a="1"/>
  <c r="AW28" i="11"/>
  <c r="AW27" i="11" a="1"/>
  <c r="AW27" i="11"/>
  <c r="AR28" i="11" a="1"/>
  <c r="AU28" i="11"/>
  <c r="AR28" i="11"/>
  <c r="AS28" i="11"/>
  <c r="AT28" i="11"/>
  <c r="AC29" i="11" a="1"/>
  <c r="AC29" i="11"/>
  <c r="AF29" i="11"/>
  <c r="AE29" i="11"/>
  <c r="AD29" i="11"/>
  <c r="AH29" i="11" a="1"/>
  <c r="AI29" i="11"/>
  <c r="AK29" i="11"/>
  <c r="AH29" i="11"/>
  <c r="AJ29" i="11"/>
  <c r="AM29" i="11" a="1"/>
  <c r="AO29" i="11"/>
  <c r="AP29" i="11"/>
  <c r="AN29" i="11"/>
  <c r="AM29" i="11"/>
  <c r="AW29" i="11" a="1"/>
  <c r="AW29" i="11"/>
  <c r="AR29" i="11" a="1"/>
  <c r="AR29" i="11"/>
  <c r="AS29" i="11"/>
  <c r="AT29" i="11"/>
  <c r="AU29" i="11"/>
  <c r="AC30" i="11" a="1"/>
  <c r="AD30" i="11"/>
  <c r="AE30" i="11"/>
  <c r="AC30" i="11"/>
  <c r="AF30" i="11"/>
  <c r="AH30" i="11" a="1"/>
  <c r="AH30" i="11"/>
  <c r="AJ30" i="11"/>
  <c r="AK30" i="11"/>
  <c r="AI30" i="11"/>
  <c r="AM30" i="11" a="1"/>
  <c r="AM30" i="11"/>
  <c r="AO30" i="11"/>
  <c r="AN30" i="11"/>
  <c r="AP30" i="11"/>
  <c r="AR30" i="11" a="1"/>
  <c r="AT30" i="11"/>
  <c r="AR30" i="11"/>
  <c r="AS30" i="11"/>
  <c r="AU30" i="11"/>
  <c r="AC31" i="11" a="1"/>
  <c r="AE31" i="11"/>
  <c r="AD31" i="11"/>
  <c r="AF31" i="11"/>
  <c r="AC31" i="11"/>
  <c r="AH31" i="11" a="1"/>
  <c r="AI31" i="11"/>
  <c r="AJ31" i="11"/>
  <c r="AK31" i="11"/>
  <c r="AH31" i="11"/>
  <c r="AM31" i="11" a="1"/>
  <c r="AO31" i="11"/>
  <c r="AN31" i="11"/>
  <c r="AP31" i="11"/>
  <c r="AM31" i="11"/>
  <c r="AW31" i="11" a="1"/>
  <c r="AW31" i="11"/>
  <c r="AW30" i="11" a="1"/>
  <c r="AW30" i="11"/>
  <c r="AR31" i="11" a="1"/>
  <c r="AU31" i="11"/>
  <c r="AT31" i="11"/>
  <c r="AS31" i="11"/>
  <c r="AR31" i="11"/>
  <c r="AC32" i="11" a="1"/>
  <c r="AC32" i="11"/>
  <c r="AF32" i="11"/>
  <c r="AE32" i="11"/>
  <c r="AD32" i="11"/>
  <c r="AH32" i="11" a="1"/>
  <c r="AK32" i="11"/>
  <c r="AI32" i="11"/>
  <c r="AJ32" i="11"/>
  <c r="AH32" i="11"/>
  <c r="AM32" i="11" a="1"/>
  <c r="AO32" i="11"/>
  <c r="AN32" i="11"/>
  <c r="AP32" i="11"/>
  <c r="AM32" i="11"/>
  <c r="AW32" i="11" a="1"/>
  <c r="AW32" i="11"/>
  <c r="AR32" i="11" a="1"/>
  <c r="AR32" i="11"/>
  <c r="AS32" i="11"/>
  <c r="AT32" i="11"/>
  <c r="AU32" i="11"/>
  <c r="AC33" i="11" a="1"/>
  <c r="AD33" i="11"/>
  <c r="AC33" i="11"/>
  <c r="AF33" i="11"/>
  <c r="AE33" i="11"/>
  <c r="AH33" i="11" a="1"/>
  <c r="AK33" i="11"/>
  <c r="AH33" i="11"/>
  <c r="AI33" i="11"/>
  <c r="AJ33" i="11"/>
  <c r="AM33" i="11" a="1"/>
  <c r="AM33" i="11"/>
  <c r="AN33" i="11"/>
  <c r="AP33" i="11"/>
  <c r="AO33" i="11"/>
  <c r="AW33" i="11" a="1"/>
  <c r="AW33" i="11"/>
  <c r="AR33" i="11" a="1"/>
  <c r="AS33" i="11"/>
  <c r="AR33" i="11"/>
  <c r="AU33" i="11"/>
  <c r="AT33" i="11"/>
  <c r="AC34" i="11" a="1"/>
  <c r="AC34" i="11"/>
  <c r="AD34" i="11"/>
  <c r="AE34" i="11"/>
  <c r="AF34" i="11"/>
  <c r="AH34" i="11" a="1"/>
  <c r="AJ34" i="11"/>
  <c r="AI34" i="11"/>
  <c r="AK34" i="11"/>
  <c r="AH34" i="11"/>
  <c r="AM34" i="11" a="1"/>
  <c r="AM34" i="11"/>
  <c r="AP34" i="11"/>
  <c r="AO34" i="11"/>
  <c r="AN34" i="11"/>
  <c r="AW34" i="11" a="1"/>
  <c r="AW34" i="11"/>
  <c r="AR34" i="11" a="1"/>
  <c r="AS34" i="11"/>
  <c r="AU34" i="11"/>
  <c r="AR34" i="11"/>
  <c r="AT34" i="11"/>
  <c r="AC35" i="11" a="1"/>
  <c r="AD35" i="11"/>
  <c r="AC35" i="11"/>
  <c r="AF35" i="11"/>
  <c r="AE35" i="11"/>
  <c r="AH35" i="11" a="1"/>
  <c r="AJ35" i="11"/>
  <c r="AH35" i="11"/>
  <c r="AI35" i="11"/>
  <c r="AK35" i="11"/>
  <c r="AM35" i="11" a="1"/>
  <c r="AM35" i="11"/>
  <c r="AN35" i="11"/>
  <c r="AP35" i="11"/>
  <c r="AO35" i="11"/>
  <c r="AR35" i="11" a="1"/>
  <c r="AT35" i="11"/>
  <c r="AR35" i="11"/>
  <c r="AS35" i="11"/>
  <c r="AU35" i="11"/>
  <c r="AC36" i="11" a="1"/>
  <c r="AD36" i="11"/>
  <c r="AF36" i="11"/>
  <c r="AE36" i="11"/>
  <c r="AC36" i="11"/>
  <c r="AH36" i="11" a="1"/>
  <c r="AI36" i="11"/>
  <c r="AH36" i="11"/>
  <c r="AK36" i="11"/>
  <c r="AJ36" i="11"/>
  <c r="AM36" i="11" a="1"/>
  <c r="AP36" i="11"/>
  <c r="AO36" i="11"/>
  <c r="AN36" i="11"/>
  <c r="AM36" i="11"/>
  <c r="AW36" i="11" a="1"/>
  <c r="AW36" i="11"/>
  <c r="AR36" i="11" a="1"/>
  <c r="AR36" i="11"/>
  <c r="AS36" i="11"/>
  <c r="AT36" i="11"/>
  <c r="AU36" i="11"/>
  <c r="AC37" i="11" a="1"/>
  <c r="AD37" i="11"/>
  <c r="AE37" i="11"/>
  <c r="AF37" i="11"/>
  <c r="AC37" i="11"/>
  <c r="AH37" i="11" a="1"/>
  <c r="AH37" i="11"/>
  <c r="AK37" i="11"/>
  <c r="AI37" i="11"/>
  <c r="AJ37" i="11"/>
  <c r="AM37" i="11" a="1"/>
  <c r="AM37" i="11"/>
  <c r="AO37" i="11"/>
  <c r="AP37" i="11"/>
  <c r="AN37" i="11"/>
  <c r="AW37" i="11" a="1"/>
  <c r="AW37" i="11"/>
  <c r="AW35" i="11" a="1"/>
  <c r="AW35" i="11"/>
  <c r="AR37" i="11" a="1"/>
  <c r="AT37" i="11"/>
  <c r="AR37" i="11"/>
  <c r="AS37" i="11"/>
  <c r="AU37" i="11"/>
  <c r="AC38" i="11" a="1"/>
  <c r="AF38" i="11"/>
  <c r="AC38" i="11"/>
  <c r="AE38" i="11"/>
  <c r="AD38" i="11"/>
  <c r="AH38" i="11" a="1"/>
  <c r="AI38" i="11"/>
  <c r="AH38" i="11"/>
  <c r="AK38" i="11"/>
  <c r="AJ38" i="11"/>
  <c r="AM38" i="11" a="1"/>
  <c r="AN38" i="11"/>
  <c r="AO38" i="11"/>
  <c r="AP38" i="11"/>
  <c r="AM38" i="11"/>
  <c r="AW38" i="11" a="1"/>
  <c r="AW38" i="11"/>
  <c r="AR38" i="11" a="1"/>
  <c r="AU38" i="11"/>
  <c r="AR38" i="11"/>
  <c r="AS38" i="11"/>
  <c r="AT38" i="11"/>
  <c r="AC39" i="11" a="1"/>
  <c r="AF39" i="11"/>
  <c r="AC39" i="11"/>
  <c r="AD39" i="11"/>
  <c r="AE39" i="11"/>
  <c r="AH39" i="11" a="1"/>
  <c r="AJ39" i="11"/>
  <c r="AK39" i="11"/>
  <c r="AI39" i="11"/>
  <c r="AH39" i="11"/>
  <c r="AM39" i="11" a="1"/>
  <c r="AN39" i="11"/>
  <c r="AM39" i="11"/>
  <c r="AP39" i="11"/>
  <c r="AO39" i="11"/>
  <c r="AR39" i="11" a="1"/>
  <c r="AS39" i="11"/>
  <c r="AU39" i="11"/>
  <c r="AR39" i="11"/>
  <c r="AT39" i="11"/>
  <c r="AC40" i="11" a="1"/>
  <c r="AC40" i="11"/>
  <c r="AE40" i="11"/>
  <c r="AF40" i="11"/>
  <c r="AD40" i="11"/>
  <c r="AH40" i="11" a="1"/>
  <c r="AI40" i="11"/>
  <c r="AH40" i="11"/>
  <c r="AK40" i="11"/>
  <c r="AJ40" i="11"/>
  <c r="AM40" i="11" a="1"/>
  <c r="AN40" i="11"/>
  <c r="AO40" i="11"/>
  <c r="AP40" i="11"/>
  <c r="AM40" i="11"/>
  <c r="AW40" i="11" a="1"/>
  <c r="AW40" i="11"/>
  <c r="AR40" i="11" a="1"/>
  <c r="AU40" i="11"/>
  <c r="AT40" i="11"/>
  <c r="AS40" i="11"/>
  <c r="AR40" i="11"/>
  <c r="AC41" i="11" a="1"/>
  <c r="AF41" i="11"/>
  <c r="AD41" i="11"/>
  <c r="AC41" i="11"/>
  <c r="AE41" i="11"/>
  <c r="AH41" i="11" a="1"/>
  <c r="AI41" i="11"/>
  <c r="AH41" i="11"/>
  <c r="AJ41" i="11"/>
  <c r="AK41" i="11"/>
  <c r="AM41" i="11" a="1"/>
  <c r="AP41" i="11"/>
  <c r="AO41" i="11"/>
  <c r="AM41" i="11"/>
  <c r="AN41" i="11"/>
  <c r="AW41" i="11" a="1"/>
  <c r="AW41" i="11"/>
  <c r="AR41" i="11" a="1"/>
  <c r="AR41" i="11"/>
  <c r="AS41" i="11"/>
  <c r="AT41" i="11"/>
  <c r="AU41" i="11"/>
  <c r="AC42" i="11" a="1"/>
  <c r="AC42" i="11"/>
  <c r="AF42" i="11"/>
  <c r="AD42" i="11"/>
  <c r="AE42" i="11"/>
  <c r="AH42" i="11" a="1"/>
  <c r="AI42" i="11"/>
  <c r="AJ42" i="11"/>
  <c r="AH42" i="11"/>
  <c r="AK42" i="11"/>
  <c r="AM42" i="11" a="1"/>
  <c r="AO42" i="11"/>
  <c r="AN42" i="11"/>
  <c r="AP42" i="11"/>
  <c r="AM42" i="11"/>
  <c r="AW42" i="11" a="1"/>
  <c r="AW42" i="11"/>
  <c r="AR42" i="11" a="1"/>
  <c r="AS42" i="11"/>
  <c r="AT42" i="11"/>
  <c r="AU42" i="11"/>
  <c r="AR42" i="11"/>
  <c r="AC43" i="11" a="1"/>
  <c r="AD43" i="11"/>
  <c r="AF43" i="11"/>
  <c r="AC43" i="11"/>
  <c r="AE43" i="11"/>
  <c r="AH43" i="11" a="1"/>
  <c r="AK43" i="11"/>
  <c r="AJ43" i="11"/>
  <c r="AH43" i="11"/>
  <c r="AI43" i="11"/>
  <c r="AM43" i="11" a="1"/>
  <c r="AM43" i="11"/>
  <c r="AN43" i="11"/>
  <c r="AP43" i="11"/>
  <c r="AO43" i="11"/>
  <c r="AW43" i="11" a="1"/>
  <c r="AW43" i="11"/>
  <c r="AW39" i="11" a="1"/>
  <c r="AW39" i="11"/>
  <c r="AR43" i="11" a="1"/>
  <c r="AS43" i="11"/>
  <c r="AT43" i="11"/>
  <c r="AU43" i="11"/>
  <c r="AR43" i="11"/>
  <c r="AC44" i="11" a="1"/>
  <c r="AF44" i="11"/>
  <c r="AC44" i="11"/>
  <c r="AE44" i="11"/>
  <c r="AD44" i="11"/>
  <c r="AH44" i="11" a="1"/>
  <c r="AK44" i="11"/>
  <c r="AI44" i="11"/>
  <c r="AH44" i="11"/>
  <c r="AJ44" i="11"/>
  <c r="AM44" i="11" a="1"/>
  <c r="AP44" i="11"/>
  <c r="AO44" i="11"/>
  <c r="AM44" i="11"/>
  <c r="AN44" i="11"/>
  <c r="AW44" i="11" a="1"/>
  <c r="AW44" i="11"/>
  <c r="AR44" i="11" a="1"/>
  <c r="AS44" i="11"/>
  <c r="AR44" i="11"/>
  <c r="AU44" i="11"/>
  <c r="AT44" i="11"/>
  <c r="AC45" i="11" a="1"/>
  <c r="AE45" i="11"/>
  <c r="AC45" i="11"/>
  <c r="AF45" i="11"/>
  <c r="AD45" i="11"/>
  <c r="AH45" i="11" a="1"/>
  <c r="AJ45" i="11"/>
  <c r="AH45" i="11"/>
  <c r="AK45" i="11"/>
  <c r="AI45" i="11"/>
  <c r="AM45" i="11" a="1"/>
  <c r="AN45" i="11"/>
  <c r="AM45" i="11"/>
  <c r="AO45" i="11"/>
  <c r="AP45" i="11"/>
  <c r="AW45" i="11" a="1"/>
  <c r="AW45" i="11"/>
  <c r="AR45" i="11" a="1"/>
  <c r="AS45" i="11"/>
  <c r="AR45" i="11"/>
  <c r="AU45" i="11"/>
  <c r="AT45" i="11"/>
  <c r="AC46" i="11" a="1"/>
  <c r="AD46" i="11"/>
  <c r="AE46" i="11"/>
  <c r="AF46" i="11"/>
  <c r="AC46" i="11"/>
  <c r="AH46" i="11" a="1"/>
  <c r="AK46" i="11"/>
  <c r="AI46" i="11"/>
  <c r="AJ46" i="11"/>
  <c r="AH46" i="11"/>
  <c r="AM46" i="11" a="1"/>
  <c r="AN46" i="11"/>
  <c r="AM46" i="11"/>
  <c r="AO46" i="11"/>
  <c r="AP46" i="11"/>
  <c r="AR46" i="11" a="1"/>
  <c r="AU46" i="11"/>
  <c r="AS46" i="11"/>
  <c r="AT46" i="11"/>
  <c r="AR46" i="11"/>
  <c r="AC47" i="11" a="1"/>
  <c r="AD47" i="11"/>
  <c r="AF47" i="11"/>
  <c r="AE47" i="11"/>
  <c r="AC47" i="11"/>
  <c r="AH47" i="11" a="1"/>
  <c r="AK47" i="11"/>
  <c r="AJ47" i="11"/>
  <c r="AH47" i="11"/>
  <c r="AI47" i="11"/>
  <c r="AM47" i="11" a="1"/>
  <c r="AO47" i="11"/>
  <c r="AP47" i="11"/>
  <c r="AN47" i="11"/>
  <c r="AM47" i="11"/>
  <c r="AW47" i="11" a="1"/>
  <c r="AW47" i="11"/>
  <c r="AR47" i="11" a="1"/>
  <c r="AS47" i="11"/>
  <c r="AT47" i="11"/>
  <c r="AU47" i="11"/>
  <c r="AR47" i="11"/>
  <c r="AC48" i="11" a="1"/>
  <c r="AF48" i="11"/>
  <c r="AC48" i="11"/>
  <c r="AD48" i="11"/>
  <c r="AE48" i="11"/>
  <c r="AH48" i="11" a="1"/>
  <c r="AK48" i="11"/>
  <c r="AH48" i="11"/>
  <c r="AI48" i="11"/>
  <c r="AJ48" i="11"/>
  <c r="AM48" i="11" a="1"/>
  <c r="AN48" i="11"/>
  <c r="AP48" i="11"/>
  <c r="AM48" i="11"/>
  <c r="AO48" i="11"/>
  <c r="AW48" i="11" a="1"/>
  <c r="AW48" i="11"/>
  <c r="AW46" i="11" a="1"/>
  <c r="AW46" i="11"/>
  <c r="AR48" i="11" a="1"/>
  <c r="AT48" i="11"/>
  <c r="AU48" i="11"/>
  <c r="AR48" i="11"/>
  <c r="AS48" i="11"/>
  <c r="AC49" i="11" a="1"/>
  <c r="AD49" i="11"/>
  <c r="AC49" i="11"/>
  <c r="AF49" i="11"/>
  <c r="AE49" i="11"/>
  <c r="AH49" i="11" a="1"/>
  <c r="AJ49" i="11"/>
  <c r="AH49" i="11"/>
  <c r="AI49" i="11"/>
  <c r="AK49" i="11"/>
  <c r="AM49" i="11" a="1"/>
  <c r="AO49" i="11"/>
  <c r="AP49" i="11"/>
  <c r="AN49" i="11"/>
  <c r="AM49" i="11"/>
  <c r="AR49" i="11" a="1"/>
  <c r="AU49" i="11"/>
  <c r="AR49" i="11"/>
  <c r="AS49" i="11"/>
  <c r="AT49" i="11"/>
  <c r="AC50" i="11" a="1"/>
  <c r="AC50" i="11"/>
  <c r="AD50" i="11"/>
  <c r="AF50" i="11"/>
  <c r="AE50" i="11"/>
  <c r="AH50" i="11" a="1"/>
  <c r="AH50" i="11"/>
  <c r="AK50" i="11"/>
  <c r="AI50" i="11"/>
  <c r="AJ50" i="11"/>
  <c r="AM50" i="11" a="1"/>
  <c r="AO50" i="11"/>
  <c r="AP50" i="11"/>
  <c r="AM50" i="11"/>
  <c r="AN50" i="11"/>
  <c r="AW50" i="11" a="1"/>
  <c r="AW50" i="11"/>
  <c r="AR50" i="11" a="1"/>
  <c r="AT50" i="11"/>
  <c r="AS50" i="11"/>
  <c r="AR50" i="11"/>
  <c r="AU50" i="11"/>
  <c r="AC51" i="11" a="1"/>
  <c r="AE51" i="11"/>
  <c r="AC51" i="11"/>
  <c r="AD51" i="11"/>
  <c r="AF51" i="11"/>
  <c r="AH51" i="11" a="1"/>
  <c r="AJ51" i="11"/>
  <c r="AH51" i="11"/>
  <c r="AI51" i="11"/>
  <c r="AK51" i="11"/>
  <c r="AM51" i="11" a="1"/>
  <c r="AN51" i="11"/>
  <c r="AO51" i="11"/>
  <c r="AM51" i="11"/>
  <c r="AP51" i="11"/>
  <c r="AW51" i="11" a="1"/>
  <c r="AW51" i="11"/>
  <c r="AR51" i="11" a="1"/>
  <c r="AR51" i="11"/>
  <c r="AT51" i="11"/>
  <c r="AS51" i="11"/>
  <c r="AU51" i="11"/>
  <c r="AC52" i="11" a="1"/>
  <c r="AD52" i="11"/>
  <c r="AC52" i="11"/>
  <c r="AF52" i="11"/>
  <c r="AE52" i="11"/>
  <c r="AH52" i="11" a="1"/>
  <c r="AH52" i="11"/>
  <c r="AK52" i="11"/>
  <c r="AJ52" i="11"/>
  <c r="AI52" i="11"/>
  <c r="AM52" i="11" a="1"/>
  <c r="AP52" i="11"/>
  <c r="AN52" i="11"/>
  <c r="AO52" i="11"/>
  <c r="AM52" i="11"/>
  <c r="AW52" i="11" a="1"/>
  <c r="AW52" i="11"/>
  <c r="AW49" i="11" a="1"/>
  <c r="AW49" i="11"/>
  <c r="AR52" i="11" a="1"/>
  <c r="AS52" i="11"/>
  <c r="AR52" i="11"/>
  <c r="AT52" i="11"/>
  <c r="AU52" i="11"/>
  <c r="AC53" i="11" a="1"/>
  <c r="AE53" i="11"/>
  <c r="AF53" i="11"/>
  <c r="AC53" i="11"/>
  <c r="AD53" i="11"/>
  <c r="AH53" i="11" a="1"/>
  <c r="AH53" i="11"/>
  <c r="AK53" i="11"/>
  <c r="AJ53" i="11"/>
  <c r="AI53" i="11"/>
  <c r="AM53" i="11" a="1"/>
  <c r="AM53" i="11"/>
  <c r="AN53" i="11"/>
  <c r="AP53" i="11"/>
  <c r="AO53" i="11"/>
  <c r="AW53" i="11" a="1"/>
  <c r="AW53" i="11"/>
  <c r="AR53" i="11" a="1"/>
  <c r="AT53" i="11"/>
  <c r="AR53" i="11"/>
  <c r="AS53" i="11"/>
  <c r="AU53" i="11"/>
  <c r="AC54" i="11" a="1"/>
  <c r="AC54" i="11"/>
  <c r="AF54" i="11"/>
  <c r="AE54" i="11"/>
  <c r="AD54" i="11"/>
  <c r="AH54" i="11" a="1"/>
  <c r="AJ54" i="11"/>
  <c r="AH54" i="11"/>
  <c r="AK54" i="11"/>
  <c r="AI54" i="11"/>
  <c r="AM54" i="11" a="1"/>
  <c r="AP54" i="11"/>
  <c r="AN54" i="11"/>
  <c r="AM54" i="11"/>
  <c r="AO54" i="11"/>
  <c r="AW54" i="11" a="1"/>
  <c r="AW54" i="11"/>
  <c r="AR54" i="11" a="1"/>
  <c r="AT54" i="11"/>
  <c r="AU54" i="11"/>
  <c r="AR54" i="11"/>
  <c r="AS54" i="11"/>
  <c r="AC55" i="11" a="1"/>
  <c r="AC55" i="11"/>
  <c r="AE55" i="11"/>
  <c r="AD55" i="11"/>
  <c r="AF55" i="11"/>
  <c r="AH55" i="11" a="1"/>
  <c r="AJ55" i="11"/>
  <c r="AI55" i="11"/>
  <c r="AH55" i="11"/>
  <c r="AK55" i="11"/>
  <c r="AM55" i="11" a="1"/>
  <c r="AP55" i="11"/>
  <c r="AN55" i="11"/>
  <c r="AO55" i="11"/>
  <c r="AM55" i="11"/>
  <c r="AW55" i="11" a="1"/>
  <c r="AW55" i="11"/>
  <c r="AR55" i="11" a="1"/>
  <c r="AU55" i="11"/>
  <c r="AR55" i="11"/>
  <c r="AS55" i="11"/>
  <c r="AT55" i="11"/>
  <c r="AC56" i="11" a="1"/>
  <c r="AC56" i="11"/>
  <c r="AE56" i="11"/>
  <c r="AF56" i="11"/>
  <c r="AD56" i="11"/>
  <c r="AH56" i="11" a="1"/>
  <c r="AK56" i="11"/>
  <c r="AH56" i="11"/>
  <c r="AJ56" i="11"/>
  <c r="AI56" i="11"/>
  <c r="AM56" i="11" a="1"/>
  <c r="AP56" i="11"/>
  <c r="AN56" i="11"/>
  <c r="AO56" i="11"/>
  <c r="AM56" i="11"/>
  <c r="AR56" i="11" a="1"/>
  <c r="AU56" i="11"/>
  <c r="AR56" i="11"/>
  <c r="AT56" i="11"/>
  <c r="AS56" i="11"/>
  <c r="AC57" i="11" a="1"/>
  <c r="AF57" i="11"/>
  <c r="AC57" i="11"/>
  <c r="AE57" i="11"/>
  <c r="AD57" i="11"/>
  <c r="AH57" i="11" a="1"/>
  <c r="AH57" i="11"/>
  <c r="AI57" i="11"/>
  <c r="AK57" i="11"/>
  <c r="AJ57" i="11"/>
  <c r="AM57" i="11" a="1"/>
  <c r="AM57" i="11"/>
  <c r="AP57" i="11"/>
  <c r="AO57" i="11"/>
  <c r="AN57" i="11"/>
  <c r="AW57" i="11" a="1"/>
  <c r="AW57" i="11"/>
  <c r="AW56" i="11" a="1"/>
  <c r="AW56" i="11"/>
  <c r="AR57" i="11" a="1"/>
  <c r="AT57" i="11"/>
  <c r="AR57" i="11"/>
  <c r="AU57" i="11"/>
  <c r="AS57" i="11"/>
  <c r="AC58" i="11" a="1"/>
  <c r="AC58" i="11"/>
  <c r="AE58" i="11"/>
  <c r="AD58" i="11"/>
  <c r="AF58" i="11"/>
  <c r="AH58" i="11" a="1"/>
  <c r="AI58" i="11"/>
  <c r="AJ58" i="11"/>
  <c r="AK58" i="11"/>
  <c r="AH58" i="11"/>
  <c r="AM58" i="11" a="1"/>
  <c r="AP58" i="11"/>
  <c r="AM58" i="11"/>
  <c r="AN58" i="11"/>
  <c r="AO58" i="11"/>
  <c r="AW58" i="11" a="1"/>
  <c r="AW58" i="11"/>
  <c r="AR58" i="11" a="1"/>
  <c r="AS58" i="11"/>
  <c r="AU58" i="11"/>
  <c r="AR58" i="11"/>
  <c r="AT58" i="11"/>
  <c r="AC59" i="11" a="1"/>
  <c r="AC59" i="11"/>
  <c r="AF59" i="11"/>
  <c r="AE59" i="11"/>
  <c r="AD59" i="11"/>
  <c r="AH59" i="11" a="1"/>
  <c r="AH59" i="11"/>
  <c r="AK59" i="11"/>
  <c r="AJ59" i="11"/>
  <c r="AI59" i="11"/>
  <c r="AM59" i="11" a="1"/>
  <c r="AM59" i="11"/>
  <c r="AN59" i="11"/>
  <c r="AP59" i="11"/>
  <c r="AO59" i="11"/>
  <c r="AW59" i="11" a="1"/>
  <c r="AW59" i="11"/>
  <c r="AR59" i="11" a="1"/>
  <c r="AT59" i="11"/>
  <c r="AR59" i="11"/>
  <c r="AS59" i="11"/>
  <c r="AU59" i="11"/>
  <c r="AC60" i="11" a="1"/>
  <c r="AF60" i="11"/>
  <c r="AE60" i="11"/>
  <c r="AC60" i="11"/>
  <c r="AD60" i="11"/>
  <c r="AH60" i="11" a="1"/>
  <c r="AI60" i="11"/>
  <c r="AK60" i="11"/>
  <c r="AJ60" i="11"/>
  <c r="AH60" i="11"/>
  <c r="AM60" i="11" a="1"/>
  <c r="AP60" i="11"/>
  <c r="AO60" i="11"/>
  <c r="AM60" i="11"/>
  <c r="AN60" i="11"/>
  <c r="AR60" i="11" a="1"/>
  <c r="AT60" i="11"/>
  <c r="AU60" i="11"/>
  <c r="AR60" i="11"/>
  <c r="AS60" i="11"/>
  <c r="AC61" i="11" a="1"/>
  <c r="AF61" i="11"/>
  <c r="AC61" i="11"/>
  <c r="AE61" i="11"/>
  <c r="AD61" i="11"/>
  <c r="AH61" i="11" a="1"/>
  <c r="AJ61" i="11"/>
  <c r="AI61" i="11"/>
  <c r="AH61" i="11"/>
  <c r="AK61" i="11"/>
  <c r="AM61" i="11" a="1"/>
  <c r="AM61" i="11"/>
  <c r="AN61" i="11"/>
  <c r="AP61" i="11"/>
  <c r="AO61" i="11"/>
  <c r="AW61" i="11" a="1"/>
  <c r="AW61" i="11"/>
  <c r="AR61" i="11" a="1"/>
  <c r="AT61" i="11"/>
  <c r="AU61" i="11"/>
  <c r="AR61" i="11"/>
  <c r="AS61" i="11"/>
  <c r="AC62" i="11" a="1"/>
  <c r="AF62" i="11"/>
  <c r="AD62" i="11"/>
  <c r="AC62" i="11"/>
  <c r="AE62" i="11"/>
  <c r="AH62" i="11" a="1"/>
  <c r="AI62" i="11"/>
  <c r="AK62" i="11"/>
  <c r="AJ62" i="11"/>
  <c r="AH62" i="11"/>
  <c r="AM62" i="11" a="1"/>
  <c r="AO62" i="11"/>
  <c r="AM62" i="11"/>
  <c r="AN62" i="11"/>
  <c r="AP62" i="11"/>
  <c r="AW62" i="11" a="1"/>
  <c r="AW62" i="11"/>
  <c r="AW60" i="11" a="1"/>
  <c r="AW60" i="11"/>
  <c r="AR62" i="11" a="1"/>
  <c r="AU62" i="11"/>
  <c r="AR62" i="11"/>
  <c r="AS62" i="11"/>
  <c r="AT62" i="11"/>
  <c r="AC63" i="11" a="1"/>
  <c r="AC63" i="11"/>
  <c r="AD63" i="11"/>
  <c r="AE63" i="11"/>
  <c r="AF63" i="11"/>
  <c r="AH63" i="11" a="1"/>
  <c r="AI63" i="11"/>
  <c r="AH63" i="11"/>
  <c r="AJ63" i="11"/>
  <c r="AK63" i="11"/>
  <c r="AM63" i="11" a="1"/>
  <c r="AP63" i="11"/>
  <c r="AM63" i="11"/>
  <c r="AO63" i="11"/>
  <c r="AN63" i="11"/>
  <c r="AW63" i="11" a="1"/>
  <c r="AW63" i="11"/>
  <c r="AR63" i="11" a="1"/>
  <c r="AS63" i="11"/>
  <c r="AU63" i="11"/>
  <c r="AT63" i="11"/>
  <c r="AR63" i="11"/>
  <c r="AC64" i="11" a="1"/>
  <c r="AC64" i="11"/>
  <c r="AF64" i="11"/>
  <c r="AD64" i="11"/>
  <c r="AE64" i="11"/>
  <c r="AH64" i="11" a="1"/>
  <c r="AH64" i="11"/>
  <c r="AJ64" i="11"/>
  <c r="AI64" i="11"/>
  <c r="AK64" i="11"/>
  <c r="AM64" i="11" a="1"/>
  <c r="AO64" i="11"/>
  <c r="AM64" i="11"/>
  <c r="AP64" i="11"/>
  <c r="AN64" i="11"/>
  <c r="AR64" i="11" a="1"/>
  <c r="AR64" i="11"/>
  <c r="AU64" i="11"/>
  <c r="AT64" i="11"/>
  <c r="AS64" i="11"/>
  <c r="AC65" i="11" a="1"/>
  <c r="AF65" i="11"/>
  <c r="AC65" i="11"/>
  <c r="AD65" i="11"/>
  <c r="AE65" i="11"/>
  <c r="AH65" i="11" a="1"/>
  <c r="AJ65" i="11"/>
  <c r="AK65" i="11"/>
  <c r="AH65" i="11"/>
  <c r="AI65" i="11"/>
  <c r="AM65" i="11" a="1"/>
  <c r="AP65" i="11"/>
  <c r="AN65" i="11"/>
  <c r="AO65" i="11"/>
  <c r="AM65" i="11"/>
  <c r="AW65" i="11" a="1"/>
  <c r="AW65" i="11"/>
  <c r="AW64" i="11" a="1"/>
  <c r="AW64" i="11"/>
  <c r="AR65" i="11" a="1"/>
  <c r="AS65" i="11"/>
  <c r="AT65" i="11"/>
  <c r="AU65" i="11"/>
  <c r="AR65" i="11"/>
  <c r="AC66" i="11" a="1"/>
  <c r="AE66" i="11"/>
  <c r="AC66" i="11"/>
  <c r="AF66" i="11"/>
  <c r="AD66" i="11"/>
  <c r="AH66" i="11" a="1"/>
  <c r="AK66" i="11"/>
  <c r="AI66" i="11"/>
  <c r="AH66" i="11"/>
  <c r="AJ66" i="11"/>
  <c r="AM66" i="11" a="1"/>
  <c r="AP66" i="11"/>
  <c r="AO66" i="11"/>
  <c r="AN66" i="11"/>
  <c r="AM66" i="11"/>
  <c r="AW66" i="11" a="1"/>
  <c r="AW66" i="11"/>
  <c r="AR66" i="11" a="1"/>
  <c r="AT66" i="11"/>
  <c r="AS66" i="11"/>
  <c r="AU66" i="11"/>
  <c r="AR66" i="11"/>
  <c r="AC67" i="11" a="1"/>
  <c r="AF67" i="11"/>
  <c r="AC67" i="11"/>
  <c r="AE67" i="11"/>
  <c r="AD67" i="11"/>
  <c r="AH67" i="11" a="1"/>
  <c r="AJ67" i="11"/>
  <c r="AI67" i="11"/>
  <c r="AH67" i="11"/>
  <c r="AK67" i="11"/>
  <c r="AM67" i="11" a="1"/>
  <c r="AN67" i="11"/>
  <c r="AP67" i="11"/>
  <c r="AO67" i="11"/>
  <c r="AM67" i="11"/>
  <c r="AW67" i="11" a="1"/>
  <c r="AW67" i="11"/>
  <c r="AR67" i="11" a="1"/>
  <c r="AS67" i="11"/>
  <c r="AR67" i="11"/>
  <c r="AU67" i="11"/>
  <c r="AT67" i="11"/>
  <c r="AC68" i="11" a="1"/>
  <c r="AE68" i="11"/>
  <c r="AC68" i="11"/>
  <c r="AF68" i="11"/>
  <c r="AD68" i="11"/>
  <c r="AH68" i="11" a="1"/>
  <c r="AK68" i="11"/>
  <c r="AI68" i="11"/>
  <c r="AH68" i="11"/>
  <c r="AJ68" i="11"/>
  <c r="AM68" i="11" a="1"/>
  <c r="AN68" i="11"/>
  <c r="AO68" i="11"/>
  <c r="AP68" i="11"/>
  <c r="AM68" i="11"/>
  <c r="AR68" i="11" a="1"/>
  <c r="AU68" i="11"/>
  <c r="AR68" i="11"/>
  <c r="AS68" i="11"/>
  <c r="AT68" i="11"/>
  <c r="AC69" i="11" a="1"/>
  <c r="AC69" i="11"/>
  <c r="AE69" i="11"/>
  <c r="AD69" i="11"/>
  <c r="AF69" i="11"/>
  <c r="AH69" i="11" a="1"/>
  <c r="AH69" i="11"/>
  <c r="AJ69" i="11"/>
  <c r="AI69" i="11"/>
  <c r="AK69" i="11"/>
  <c r="AM69" i="11" a="1"/>
  <c r="AN69" i="11"/>
  <c r="AM69" i="11"/>
  <c r="AP69" i="11"/>
  <c r="AO69" i="11"/>
  <c r="AW69" i="11" a="1"/>
  <c r="AW69" i="11"/>
  <c r="AR69" i="11" a="1"/>
  <c r="AU69" i="11"/>
  <c r="AS69" i="11"/>
  <c r="AT69" i="11"/>
  <c r="AR69" i="11"/>
  <c r="AC70" i="11" a="1"/>
  <c r="AF70" i="11"/>
  <c r="AC70" i="11"/>
  <c r="AD70" i="11"/>
  <c r="AE70" i="11"/>
  <c r="AH70" i="11" a="1"/>
  <c r="AJ70" i="11"/>
  <c r="AH70" i="11"/>
  <c r="AK70" i="11"/>
  <c r="AI70" i="11"/>
  <c r="AM70" i="11" a="1"/>
  <c r="AM70" i="11"/>
  <c r="AO70" i="11"/>
  <c r="AP70" i="11"/>
  <c r="AN70" i="11"/>
  <c r="AW70" i="11" a="1"/>
  <c r="AW70" i="11"/>
  <c r="AR70" i="11" a="1"/>
  <c r="AS70" i="11"/>
  <c r="AR70" i="11"/>
  <c r="AT70" i="11"/>
  <c r="AU70" i="11"/>
  <c r="AC71" i="11" a="1"/>
  <c r="AE71" i="11"/>
  <c r="AD71" i="11"/>
  <c r="AC71" i="11"/>
  <c r="AF71" i="11"/>
  <c r="AH71" i="11" a="1"/>
  <c r="AK71" i="11"/>
  <c r="AH71" i="11"/>
  <c r="AJ71" i="11"/>
  <c r="AI71" i="11"/>
  <c r="AM71" i="11" a="1"/>
  <c r="AO71" i="11"/>
  <c r="AM71" i="11"/>
  <c r="AN71" i="11"/>
  <c r="AP71" i="11"/>
  <c r="AW71" i="11" a="1"/>
  <c r="AW71" i="11"/>
  <c r="AR71" i="11" a="1"/>
  <c r="AR71" i="11"/>
  <c r="AS71" i="11"/>
  <c r="AT71" i="11"/>
  <c r="AU71" i="11"/>
  <c r="AC72" i="11" a="1"/>
  <c r="AD72" i="11"/>
  <c r="AE72" i="11"/>
  <c r="AC72" i="11"/>
  <c r="AF72" i="11"/>
  <c r="AH72" i="11" a="1"/>
  <c r="AH72" i="11"/>
  <c r="AK72" i="11"/>
  <c r="AI72" i="11"/>
  <c r="AJ72" i="11"/>
  <c r="AM72" i="11" a="1"/>
  <c r="AM72" i="11"/>
  <c r="AO72" i="11"/>
  <c r="AN72" i="11"/>
  <c r="AP72" i="11"/>
  <c r="AW72" i="11" a="1"/>
  <c r="AW72" i="11"/>
  <c r="AR72" i="11" a="1"/>
  <c r="AR72" i="11"/>
  <c r="AT72" i="11"/>
  <c r="AU72" i="11"/>
  <c r="AS72" i="11"/>
  <c r="AC73" i="11" a="1"/>
  <c r="AE73" i="11"/>
  <c r="AD73" i="11"/>
  <c r="AF73" i="11"/>
  <c r="AC73" i="11"/>
  <c r="AH73" i="11" a="1"/>
  <c r="AI73" i="11"/>
  <c r="AK73" i="11"/>
  <c r="AH73" i="11"/>
  <c r="AJ73" i="11"/>
  <c r="AM73" i="11" a="1"/>
  <c r="AM73" i="11"/>
  <c r="AN73" i="11"/>
  <c r="AP73" i="11"/>
  <c r="AO73" i="11"/>
  <c r="AW73" i="11" a="1"/>
  <c r="AW73" i="11"/>
  <c r="AW68" i="11" a="1"/>
  <c r="AW68" i="11"/>
  <c r="AR73" i="11" a="1"/>
  <c r="AR73" i="11"/>
  <c r="AS73" i="11"/>
  <c r="AT73" i="11"/>
  <c r="AU73" i="11"/>
  <c r="AC74" i="11" a="1"/>
  <c r="AE74" i="11"/>
  <c r="AD74" i="11"/>
  <c r="AF74" i="11"/>
  <c r="AC74" i="11"/>
  <c r="AH74" i="11" a="1"/>
  <c r="AK74" i="11"/>
  <c r="AH74" i="11"/>
  <c r="AI74" i="11"/>
  <c r="AJ74" i="11"/>
  <c r="AM74" i="11" a="1"/>
  <c r="AP74" i="11"/>
  <c r="AN74" i="11"/>
  <c r="AM74" i="11"/>
  <c r="AO74" i="11"/>
  <c r="AR74" i="11" a="1"/>
  <c r="AS74" i="11"/>
  <c r="AU74" i="11"/>
  <c r="AT74" i="11"/>
  <c r="AR74" i="11"/>
  <c r="AC75" i="11" a="1"/>
  <c r="AF75" i="11"/>
  <c r="AD75" i="11"/>
  <c r="AE75" i="11"/>
  <c r="AC75" i="11"/>
  <c r="AH75" i="11" a="1"/>
  <c r="AH75" i="11"/>
  <c r="AJ75" i="11"/>
  <c r="AI75" i="11"/>
  <c r="AK75" i="11"/>
  <c r="AM75" i="11" a="1"/>
  <c r="AM75" i="11"/>
  <c r="AP75" i="11"/>
  <c r="AO75" i="11"/>
  <c r="AN75" i="11"/>
  <c r="AW75" i="11" a="1"/>
  <c r="AW75" i="11"/>
  <c r="AR75" i="11" a="1"/>
  <c r="AU75" i="11"/>
  <c r="AR75" i="11"/>
  <c r="AT75" i="11"/>
  <c r="AS75" i="11"/>
  <c r="AC76" i="11" a="1"/>
  <c r="AF76" i="11"/>
  <c r="AD76" i="11"/>
  <c r="AC76" i="11"/>
  <c r="AE76" i="11"/>
  <c r="AH76" i="11" a="1"/>
  <c r="AI76" i="11"/>
  <c r="AH76" i="11"/>
  <c r="AJ76" i="11"/>
  <c r="AK76" i="11"/>
  <c r="AM76" i="11" a="1"/>
  <c r="AO76" i="11"/>
  <c r="AN76" i="11"/>
  <c r="AM76" i="11"/>
  <c r="AP76" i="11"/>
  <c r="AW76" i="11" a="1"/>
  <c r="AW76" i="11"/>
  <c r="AW74" i="11" a="1"/>
  <c r="AW74" i="11"/>
  <c r="AR76" i="11" a="1"/>
  <c r="AR76" i="11"/>
  <c r="AU76" i="11"/>
  <c r="AS76" i="11"/>
  <c r="AT76" i="11"/>
  <c r="AC77" i="11" a="1"/>
  <c r="AD77" i="11"/>
  <c r="AF77" i="11"/>
  <c r="AE77" i="11"/>
  <c r="AC77" i="11"/>
  <c r="AH77" i="11" a="1"/>
  <c r="AJ77" i="11"/>
  <c r="AK77" i="11"/>
  <c r="AI77" i="11"/>
  <c r="AH77" i="11"/>
  <c r="AM77" i="11" a="1"/>
  <c r="AO77" i="11"/>
  <c r="AN77" i="11"/>
  <c r="AM77" i="11"/>
  <c r="AP77" i="11"/>
  <c r="AW77" i="11" a="1"/>
  <c r="AW77" i="11"/>
  <c r="AR77" i="11" a="1"/>
  <c r="AR77" i="11"/>
  <c r="AT77" i="11"/>
  <c r="AS77" i="11"/>
  <c r="AU77" i="11"/>
  <c r="AC78" i="11" a="1"/>
  <c r="AD78" i="11"/>
  <c r="AF78" i="11"/>
  <c r="AC78" i="11"/>
  <c r="AE78" i="11"/>
  <c r="AH78" i="11" a="1"/>
  <c r="AI78" i="11"/>
  <c r="AH78" i="11"/>
  <c r="AJ78" i="11"/>
  <c r="AK78" i="11"/>
  <c r="AM78" i="11" a="1"/>
  <c r="AO78" i="11"/>
  <c r="AM78" i="11"/>
  <c r="AN78" i="11"/>
  <c r="AP78" i="11"/>
  <c r="AW78" i="11" a="1"/>
  <c r="AW78" i="11"/>
  <c r="AR78" i="11" a="1"/>
  <c r="AR78" i="11"/>
  <c r="AT78" i="11"/>
  <c r="AU78" i="11"/>
  <c r="AS78" i="11"/>
  <c r="AC79" i="11" a="1"/>
  <c r="AE79" i="11"/>
  <c r="AD79" i="11"/>
  <c r="AF79" i="11"/>
  <c r="AC79" i="11"/>
  <c r="AH79" i="11" a="1"/>
  <c r="AK79" i="11"/>
  <c r="AJ79" i="11"/>
  <c r="AI79" i="11"/>
  <c r="AH79" i="11"/>
  <c r="AM79" i="11" a="1"/>
  <c r="AO79" i="11"/>
  <c r="AP79" i="11"/>
  <c r="AN79" i="11"/>
  <c r="AM79" i="11"/>
  <c r="AR79" i="11" a="1"/>
  <c r="AT79" i="11"/>
  <c r="AS79" i="11"/>
  <c r="AR79" i="11"/>
  <c r="AU79" i="11"/>
  <c r="AC80" i="11" a="1"/>
  <c r="AF80" i="11"/>
  <c r="AC80" i="11"/>
  <c r="AE80" i="11"/>
  <c r="AD80" i="11"/>
  <c r="AH80" i="11" a="1"/>
  <c r="AK80" i="11"/>
  <c r="AI80" i="11"/>
  <c r="AH80" i="11"/>
  <c r="AJ80" i="11"/>
  <c r="AM80" i="11" a="1"/>
  <c r="AO80" i="11"/>
  <c r="AP80" i="11"/>
  <c r="AM80" i="11"/>
  <c r="AN80" i="11"/>
  <c r="AW80" i="11" a="1"/>
  <c r="AW80" i="11"/>
  <c r="AR80" i="11" a="1"/>
  <c r="AR80" i="11"/>
  <c r="AU80" i="11"/>
  <c r="AT80" i="11"/>
  <c r="AS80" i="11"/>
  <c r="AC81" i="11" a="1"/>
  <c r="AD81" i="11"/>
  <c r="AC81" i="11"/>
  <c r="AF81" i="11"/>
  <c r="AE81" i="11"/>
  <c r="AH81" i="11" a="1"/>
  <c r="AH81" i="11"/>
  <c r="AJ81" i="11"/>
  <c r="AK81" i="11"/>
  <c r="AI81" i="11"/>
  <c r="AM81" i="11" a="1"/>
  <c r="AP81" i="11"/>
  <c r="AM81" i="11"/>
  <c r="AN81" i="11"/>
  <c r="AO81" i="11"/>
  <c r="AW81" i="11" a="1"/>
  <c r="AW81" i="11"/>
  <c r="AR81" i="11" a="1"/>
  <c r="AT81" i="11"/>
  <c r="AS81" i="11"/>
  <c r="AU81" i="11"/>
  <c r="AR81" i="11"/>
  <c r="AC82" i="11" a="1"/>
  <c r="AF82" i="11"/>
  <c r="AD82" i="11"/>
  <c r="AE82" i="11"/>
  <c r="AC82" i="11"/>
  <c r="AH82" i="11" a="1"/>
  <c r="AI82" i="11"/>
  <c r="AK82" i="11"/>
  <c r="AJ82" i="11"/>
  <c r="AH82" i="11"/>
  <c r="AM82" i="11" a="1"/>
  <c r="AN82" i="11"/>
  <c r="AP82" i="11"/>
  <c r="AM82" i="11"/>
  <c r="AO82" i="11"/>
  <c r="AW82" i="11" a="1"/>
  <c r="AW82" i="11"/>
  <c r="AR82" i="11" a="1"/>
  <c r="AT82" i="11"/>
  <c r="AU82" i="11"/>
  <c r="AS82" i="11"/>
  <c r="AR82" i="11"/>
  <c r="AC83" i="11" a="1"/>
  <c r="AF83" i="11"/>
  <c r="AD83" i="11"/>
  <c r="AC83" i="11"/>
  <c r="AE83" i="11"/>
  <c r="AH83" i="11" a="1"/>
  <c r="AI83" i="11"/>
  <c r="AJ83" i="11"/>
  <c r="AK83" i="11"/>
  <c r="AH83" i="11"/>
  <c r="AM83" i="11" a="1"/>
  <c r="AP83" i="11"/>
  <c r="AM83" i="11"/>
  <c r="AO83" i="11"/>
  <c r="AN83" i="11"/>
  <c r="AW83" i="11" a="1"/>
  <c r="AW83" i="11"/>
  <c r="AR83" i="11" a="1"/>
  <c r="AT83" i="11"/>
  <c r="AS83" i="11"/>
  <c r="AR83" i="11"/>
  <c r="AU83" i="11"/>
  <c r="AC84" i="11" a="1"/>
  <c r="AE84" i="11"/>
  <c r="AC84" i="11"/>
  <c r="AF84" i="11"/>
  <c r="AD84" i="11"/>
  <c r="AH84" i="11" a="1"/>
  <c r="AK84" i="11"/>
  <c r="AI84" i="11"/>
  <c r="AH84" i="11"/>
  <c r="AJ84" i="11"/>
  <c r="AM84" i="11" a="1"/>
  <c r="AM84" i="11"/>
  <c r="AP84" i="11"/>
  <c r="AO84" i="11"/>
  <c r="AN84" i="11"/>
  <c r="AW84" i="11" a="1"/>
  <c r="AW84" i="11"/>
  <c r="AR84" i="11" a="1"/>
  <c r="AT84" i="11"/>
  <c r="AS84" i="11"/>
  <c r="AR84" i="11"/>
  <c r="AU84" i="11"/>
  <c r="AC85" i="11" a="1"/>
  <c r="AD85" i="11"/>
  <c r="AF85" i="11"/>
  <c r="AC85" i="11"/>
  <c r="AE85" i="11"/>
  <c r="AH85" i="11" a="1"/>
  <c r="AK85" i="11"/>
  <c r="AI85" i="11"/>
  <c r="AH85" i="11"/>
  <c r="AJ85" i="11"/>
  <c r="AM85" i="11" a="1"/>
  <c r="AM85" i="11"/>
  <c r="AP85" i="11"/>
  <c r="AN85" i="11"/>
  <c r="AO85" i="11"/>
  <c r="AW85" i="11" a="1"/>
  <c r="AW85" i="11"/>
  <c r="AW79" i="11" a="1"/>
  <c r="AW79" i="11"/>
  <c r="AR85" i="11" a="1"/>
  <c r="AR85" i="11"/>
  <c r="AS85" i="11"/>
  <c r="AU85" i="11"/>
  <c r="AT85" i="11"/>
  <c r="AC86" i="11" a="1"/>
  <c r="AE86" i="11"/>
  <c r="AD86" i="11"/>
  <c r="AF86" i="11"/>
  <c r="AC86" i="11"/>
  <c r="AH86" i="11" a="1"/>
  <c r="AH86" i="11"/>
  <c r="AI86" i="11"/>
  <c r="AK86" i="11"/>
  <c r="AJ86" i="11"/>
  <c r="AM86" i="11" a="1"/>
  <c r="AP86" i="11"/>
  <c r="AO86" i="11"/>
  <c r="AM86" i="11"/>
  <c r="AN86" i="11"/>
  <c r="AW86" i="11" a="1"/>
  <c r="AW86" i="11"/>
  <c r="AR86" i="11" a="1"/>
  <c r="AR86" i="11"/>
  <c r="AS86" i="11"/>
  <c r="AU86" i="11"/>
  <c r="AT86" i="11"/>
  <c r="AC87" i="11" a="1"/>
  <c r="AC87" i="11"/>
  <c r="AF87" i="11"/>
  <c r="AE87" i="11"/>
  <c r="AD87" i="11"/>
  <c r="AH87" i="11" a="1"/>
  <c r="AK87" i="11"/>
  <c r="AH87" i="11"/>
  <c r="AI87" i="11"/>
  <c r="AJ87" i="11"/>
  <c r="AM87" i="11" a="1"/>
  <c r="AM87" i="11"/>
  <c r="AP87" i="11"/>
  <c r="AO87" i="11"/>
  <c r="AN87" i="11"/>
  <c r="AR87" i="11" a="1"/>
  <c r="AU87" i="11"/>
  <c r="AR87" i="11"/>
  <c r="AT87" i="11"/>
  <c r="AS87" i="11"/>
  <c r="AC88" i="11" a="1"/>
  <c r="AC88" i="11"/>
  <c r="AF88" i="11"/>
  <c r="AE88" i="11"/>
  <c r="AD88" i="11"/>
  <c r="AH88" i="11" a="1"/>
  <c r="AJ88" i="11"/>
  <c r="AH88" i="11"/>
  <c r="AK88" i="11"/>
  <c r="AI88" i="11"/>
  <c r="AM88" i="11" a="1"/>
  <c r="AN88" i="11"/>
  <c r="AM88" i="11"/>
  <c r="AP88" i="11"/>
  <c r="AO88" i="11"/>
  <c r="AW88" i="11" a="1"/>
  <c r="AW88" i="11"/>
  <c r="AW87" i="11" a="1"/>
  <c r="AW87" i="11"/>
  <c r="AR88" i="11" a="1"/>
  <c r="AT88" i="11"/>
  <c r="AS88" i="11"/>
  <c r="AR88" i="11"/>
  <c r="AU88" i="11"/>
  <c r="AC89" i="11" a="1"/>
  <c r="AE89" i="11"/>
  <c r="AF89" i="11"/>
  <c r="AD89" i="11"/>
  <c r="AC89" i="11"/>
  <c r="AH89" i="11" a="1"/>
  <c r="AI89" i="11"/>
  <c r="AK89" i="11"/>
  <c r="AJ89" i="11"/>
  <c r="AH89" i="11"/>
  <c r="AM89" i="11" a="1"/>
  <c r="AM89" i="11"/>
  <c r="AN89" i="11"/>
  <c r="AO89" i="11"/>
  <c r="AP89" i="11"/>
  <c r="AW89" i="11" a="1"/>
  <c r="AW89" i="11"/>
  <c r="AR89" i="11" a="1"/>
  <c r="AR89" i="11"/>
  <c r="AS89" i="11"/>
  <c r="AT89" i="11"/>
  <c r="AU89" i="11"/>
  <c r="AC90" i="11" a="1"/>
  <c r="AC90" i="11"/>
  <c r="AD90" i="11"/>
  <c r="AE90" i="11"/>
  <c r="AF90" i="11"/>
  <c r="AH90" i="11" a="1"/>
  <c r="AH90" i="11"/>
  <c r="AK90" i="11"/>
  <c r="AJ90" i="11"/>
  <c r="AI90" i="11"/>
  <c r="AM90" i="11" a="1"/>
  <c r="AO90" i="11"/>
  <c r="AP90" i="11"/>
  <c r="AM90" i="11"/>
  <c r="AN90" i="11"/>
  <c r="AW90" i="11" a="1"/>
  <c r="AW90" i="11"/>
  <c r="AR90" i="11" a="1"/>
  <c r="AR90" i="11"/>
  <c r="AS90" i="11"/>
  <c r="AU90" i="11"/>
  <c r="AT90" i="11"/>
  <c r="AC91" i="11" a="1"/>
  <c r="AE91" i="11"/>
  <c r="AD91" i="11"/>
  <c r="AC91" i="11"/>
  <c r="AF91" i="11"/>
  <c r="AH91" i="11" a="1"/>
  <c r="AH91" i="11"/>
  <c r="AK91" i="11"/>
  <c r="AI91" i="11"/>
  <c r="AJ91" i="11"/>
  <c r="AM91" i="11" a="1"/>
  <c r="AN91" i="11"/>
  <c r="AM91" i="11"/>
  <c r="AP91" i="11"/>
  <c r="AO91" i="11"/>
  <c r="AR91" i="11" a="1"/>
  <c r="AS91" i="11"/>
  <c r="AT91" i="11"/>
  <c r="AU91" i="11"/>
  <c r="AR91" i="11"/>
  <c r="AC92" i="11" a="1"/>
  <c r="AF92" i="11"/>
  <c r="AE92" i="11"/>
  <c r="AD92" i="11"/>
  <c r="AC92" i="11"/>
  <c r="AH92" i="11" a="1"/>
  <c r="AJ92" i="11"/>
  <c r="AI92" i="11"/>
  <c r="AH92" i="11"/>
  <c r="AK92" i="11"/>
  <c r="AM92" i="11" a="1"/>
  <c r="AP92" i="11"/>
  <c r="AO92" i="11"/>
  <c r="AN92" i="11"/>
  <c r="AM92" i="11"/>
  <c r="AW92" i="11" a="1"/>
  <c r="AW92" i="11"/>
  <c r="AR92" i="11" a="1"/>
  <c r="AU92" i="11"/>
  <c r="AR92" i="11"/>
  <c r="AS92" i="11"/>
  <c r="AT92" i="11"/>
  <c r="AC93" i="11" a="1"/>
  <c r="AE93" i="11"/>
  <c r="AF93" i="11"/>
  <c r="AD93" i="11"/>
  <c r="AC93" i="11"/>
  <c r="AH93" i="11" a="1"/>
  <c r="AK93" i="11"/>
  <c r="AI93" i="11"/>
  <c r="AH93" i="11"/>
  <c r="AJ93" i="11"/>
  <c r="AM93" i="11" a="1"/>
  <c r="AN93" i="11"/>
  <c r="AP93" i="11"/>
  <c r="AO93" i="11"/>
  <c r="AM93" i="11"/>
  <c r="AW93" i="11" a="1"/>
  <c r="AW93" i="11"/>
  <c r="AW91" i="11" a="1"/>
  <c r="AW91" i="11"/>
  <c r="AR93" i="11" a="1"/>
  <c r="AR93" i="11"/>
  <c r="AU93" i="11"/>
  <c r="AS93" i="11"/>
  <c r="AT93" i="11"/>
  <c r="AC94" i="11" a="1"/>
  <c r="AF94" i="11"/>
  <c r="AE94" i="11"/>
  <c r="AD94" i="11"/>
  <c r="AC94" i="11"/>
  <c r="AH94" i="11" a="1"/>
  <c r="AJ94" i="11"/>
  <c r="AH94" i="11"/>
  <c r="AK94" i="11"/>
  <c r="AI94" i="11"/>
  <c r="AM94" i="11" a="1"/>
  <c r="AO94" i="11"/>
  <c r="AP94" i="11"/>
  <c r="AN94" i="11"/>
  <c r="AM94" i="11"/>
  <c r="AW94" i="11" a="1"/>
  <c r="AW94" i="11"/>
  <c r="AR94" i="11" a="1"/>
  <c r="AT94" i="11"/>
  <c r="AR94" i="11"/>
  <c r="AS94" i="11"/>
  <c r="AU94" i="11"/>
  <c r="AC95" i="11" a="1"/>
  <c r="AE95" i="11"/>
  <c r="AD95" i="11"/>
  <c r="AC95" i="11"/>
  <c r="AF95" i="11"/>
  <c r="AH95" i="11" a="1"/>
  <c r="AI95" i="11"/>
  <c r="AJ95" i="11"/>
  <c r="AK95" i="11"/>
  <c r="AH95" i="11"/>
  <c r="AM95" i="11" a="1"/>
  <c r="AO95" i="11"/>
  <c r="AN95" i="11"/>
  <c r="AM95" i="11"/>
  <c r="AP95" i="11"/>
  <c r="AR95" i="11" a="1"/>
  <c r="AR95" i="11"/>
  <c r="AT95" i="11"/>
  <c r="AS95" i="11"/>
  <c r="AU95" i="11"/>
  <c r="AC96" i="11" a="1"/>
  <c r="AD96" i="11"/>
  <c r="AC96" i="11"/>
  <c r="AE96" i="11"/>
  <c r="AF96" i="11"/>
  <c r="AH96" i="11" a="1"/>
  <c r="AJ96" i="11"/>
  <c r="AK96" i="11"/>
  <c r="AH96" i="11"/>
  <c r="AI96" i="11"/>
  <c r="AM96" i="11" a="1"/>
  <c r="AN96" i="11"/>
  <c r="AM96" i="11"/>
  <c r="AO96" i="11"/>
  <c r="AP96" i="11"/>
  <c r="AW96" i="11" a="1"/>
  <c r="AW96" i="11"/>
  <c r="AR96" i="11" a="1"/>
  <c r="AS96" i="11"/>
  <c r="AR96" i="11"/>
  <c r="AT96" i="11"/>
  <c r="AU96" i="11"/>
  <c r="AC97" i="11" a="1"/>
  <c r="AE97" i="11"/>
  <c r="AD97" i="11"/>
  <c r="AF97" i="11"/>
  <c r="AC97" i="11"/>
  <c r="AH97" i="11" a="1"/>
  <c r="AK97" i="11"/>
  <c r="AJ97" i="11"/>
  <c r="AH97" i="11"/>
  <c r="AI97" i="11"/>
  <c r="AM97" i="11" a="1"/>
  <c r="AM97" i="11"/>
  <c r="AP97" i="11"/>
  <c r="AO97" i="11"/>
  <c r="AN97" i="11"/>
  <c r="AW97" i="11" a="1"/>
  <c r="AW97" i="11"/>
  <c r="AW95" i="11" a="1"/>
  <c r="AW95" i="11"/>
  <c r="AR97" i="11" a="1"/>
  <c r="AT97" i="11"/>
  <c r="AR97" i="11"/>
  <c r="AU97" i="11"/>
  <c r="AS97" i="11"/>
  <c r="AC98" i="11" a="1"/>
  <c r="AD98" i="11"/>
  <c r="AF98" i="11"/>
  <c r="AC98" i="11"/>
  <c r="AE98" i="11"/>
  <c r="AH98" i="11" a="1"/>
  <c r="AH98" i="11"/>
  <c r="AI98" i="11"/>
  <c r="AK98" i="11"/>
  <c r="AJ98" i="11"/>
  <c r="AM98" i="11" a="1"/>
  <c r="AO98" i="11"/>
  <c r="AM98" i="11"/>
  <c r="AP98" i="11"/>
  <c r="AN98" i="11"/>
  <c r="AW98" i="11" a="1"/>
  <c r="AW98" i="11"/>
  <c r="AR98" i="11" a="1"/>
  <c r="AR98" i="11"/>
  <c r="AT98" i="11"/>
  <c r="AU98" i="11"/>
  <c r="AS98" i="11"/>
  <c r="AC99" i="11" a="1"/>
  <c r="AD99" i="11"/>
  <c r="AE99" i="11"/>
  <c r="AC99" i="11"/>
  <c r="AF99" i="11"/>
  <c r="AH99" i="11" a="1"/>
  <c r="AI99" i="11"/>
  <c r="AH99" i="11"/>
  <c r="AK99" i="11"/>
  <c r="AJ99" i="11"/>
  <c r="AM99" i="11" a="1"/>
  <c r="AN99" i="11"/>
  <c r="AO99" i="11"/>
  <c r="AM99" i="11"/>
  <c r="AP99" i="11"/>
  <c r="AR99" i="11" a="1"/>
  <c r="AS99" i="11"/>
  <c r="AR99" i="11"/>
  <c r="AT99" i="11"/>
  <c r="AU99" i="11"/>
  <c r="AC100" i="11" a="1"/>
  <c r="AC100" i="11"/>
  <c r="AD100" i="11"/>
  <c r="AE100" i="11"/>
  <c r="AF100" i="11"/>
  <c r="AH100" i="11" a="1"/>
  <c r="AJ100" i="11"/>
  <c r="AH100" i="11"/>
  <c r="AK100" i="11"/>
  <c r="AI100" i="11"/>
  <c r="AM100" i="11" a="1"/>
  <c r="AM100" i="11"/>
  <c r="AN100" i="11"/>
  <c r="AO100" i="11"/>
  <c r="AP100" i="11"/>
  <c r="AW100" i="11" a="1"/>
  <c r="AW100" i="11"/>
  <c r="AR100" i="11" a="1"/>
  <c r="AS100" i="11"/>
  <c r="AR100" i="11"/>
  <c r="AT100" i="11"/>
  <c r="AU100" i="11"/>
  <c r="AC101" i="11" a="1"/>
  <c r="AE101" i="11"/>
  <c r="AF101" i="11"/>
  <c r="AD101" i="11"/>
  <c r="AC101" i="11"/>
  <c r="AH101" i="11" a="1"/>
  <c r="AH101" i="11"/>
  <c r="AK101" i="11"/>
  <c r="AJ101" i="11"/>
  <c r="AI101" i="11"/>
  <c r="AM101" i="11" a="1"/>
  <c r="AM101" i="11"/>
  <c r="AO101" i="11"/>
  <c r="AN101" i="11"/>
  <c r="AP101" i="11"/>
  <c r="AW101" i="11" a="1"/>
  <c r="AW101" i="11"/>
  <c r="AR101" i="11" a="1"/>
  <c r="AT101" i="11"/>
  <c r="AR101" i="11"/>
  <c r="AU101" i="11"/>
  <c r="AS101" i="11"/>
  <c r="AC102" i="11" a="1"/>
  <c r="AF102" i="11"/>
  <c r="AD102" i="11"/>
  <c r="AE102" i="11"/>
  <c r="AC102" i="11"/>
  <c r="AH102" i="11" a="1"/>
  <c r="AI102" i="11"/>
  <c r="AK102" i="11"/>
  <c r="AH102" i="11"/>
  <c r="AJ102" i="11"/>
  <c r="AM102" i="11" a="1"/>
  <c r="AP102" i="11"/>
  <c r="AO102" i="11"/>
  <c r="AN102" i="11"/>
  <c r="AM102" i="11"/>
  <c r="AW102" i="11" a="1"/>
  <c r="AW102" i="11"/>
  <c r="AR102" i="11" a="1"/>
  <c r="AR102" i="11"/>
  <c r="AT102" i="11"/>
  <c r="AU102" i="11"/>
  <c r="AS102" i="11"/>
  <c r="AC103" i="11" a="1"/>
  <c r="AD103" i="11"/>
  <c r="AC103" i="11"/>
  <c r="AF103" i="11"/>
  <c r="AE103" i="11"/>
  <c r="AH103" i="11" a="1"/>
  <c r="AH103" i="11"/>
  <c r="AJ103" i="11"/>
  <c r="AK103" i="11"/>
  <c r="AI103" i="11"/>
  <c r="AM103" i="11" a="1"/>
  <c r="AO103" i="11"/>
  <c r="AN103" i="11"/>
  <c r="AM103" i="11"/>
  <c r="AP103" i="11"/>
  <c r="AW103" i="11" a="1"/>
  <c r="AW103" i="11"/>
  <c r="AR103" i="11" a="1"/>
  <c r="AU103" i="11"/>
  <c r="AT103" i="11"/>
  <c r="AS103" i="11"/>
  <c r="AR103" i="11"/>
  <c r="AC104" i="11" a="1"/>
  <c r="AC104" i="11"/>
  <c r="AF104" i="11"/>
  <c r="AD104" i="11"/>
  <c r="AE104" i="11"/>
  <c r="AH104" i="11" a="1"/>
  <c r="AK104" i="11"/>
  <c r="AJ104" i="11"/>
  <c r="AI104" i="11"/>
  <c r="AH104" i="11"/>
  <c r="AM104" i="11" a="1"/>
  <c r="AO104" i="11"/>
  <c r="AN104" i="11"/>
  <c r="AM104" i="11"/>
  <c r="AP104" i="11"/>
  <c r="AW104" i="11" a="1"/>
  <c r="AW104" i="11"/>
  <c r="AW99" i="11" a="1"/>
  <c r="AW99" i="11"/>
  <c r="AR104" i="11" a="1"/>
  <c r="AT104" i="11"/>
  <c r="AS104" i="11"/>
  <c r="AR104" i="11"/>
  <c r="AU104" i="11"/>
  <c r="AC105" i="11" a="1"/>
  <c r="AD105" i="11"/>
  <c r="AE105" i="11"/>
  <c r="AF105" i="11"/>
  <c r="AC105" i="11"/>
  <c r="AH105" i="11" a="1"/>
  <c r="AK105" i="11"/>
  <c r="AJ105" i="11"/>
  <c r="AI105" i="11"/>
  <c r="AH105" i="11"/>
  <c r="AM105" i="11" a="1"/>
  <c r="AN105" i="11"/>
  <c r="AP105" i="11"/>
  <c r="AO105" i="11"/>
  <c r="AM105" i="11"/>
  <c r="AW105" i="11" a="1"/>
  <c r="AW105" i="11"/>
  <c r="AR105" i="11" a="1"/>
  <c r="AR105" i="11"/>
  <c r="AT105" i="11"/>
  <c r="AU105" i="11"/>
  <c r="AS105" i="11"/>
  <c r="AC106" i="11" a="1"/>
  <c r="AC106" i="11"/>
  <c r="AD106" i="11"/>
  <c r="AF106" i="11"/>
  <c r="AE106" i="11"/>
  <c r="AH106" i="11" a="1"/>
  <c r="AK106" i="11"/>
  <c r="AJ106" i="11"/>
  <c r="AH106" i="11"/>
  <c r="AI106" i="11"/>
  <c r="AM106" i="11" a="1"/>
  <c r="AM106" i="11"/>
  <c r="AP106" i="11"/>
  <c r="AO106" i="11"/>
  <c r="AN106" i="11"/>
  <c r="AW106" i="11" a="1"/>
  <c r="AW106" i="11"/>
  <c r="AR106" i="11" a="1"/>
  <c r="AR106" i="11"/>
  <c r="AT106" i="11"/>
  <c r="AS106" i="11"/>
  <c r="AU106" i="11"/>
  <c r="AC107" i="11" a="1"/>
  <c r="AC107" i="11"/>
  <c r="AF107" i="11"/>
  <c r="AD107" i="11"/>
  <c r="AE107" i="11"/>
  <c r="AH107" i="11" a="1"/>
  <c r="AH107" i="11"/>
  <c r="AI107" i="11"/>
  <c r="AJ107" i="11"/>
  <c r="AK107" i="11"/>
  <c r="AM107" i="11" a="1"/>
  <c r="AN107" i="11"/>
  <c r="AO107" i="11"/>
  <c r="AP107" i="11"/>
  <c r="AM107" i="11"/>
  <c r="AW107" i="11" a="1"/>
  <c r="AW107" i="11"/>
  <c r="AR107" i="11" a="1"/>
  <c r="AT107" i="11"/>
  <c r="AR107" i="11"/>
  <c r="AS107" i="11"/>
  <c r="AU107" i="11"/>
  <c r="AC108" i="11" a="1"/>
  <c r="AE108" i="11"/>
  <c r="AF108" i="11"/>
  <c r="AD108" i="11"/>
  <c r="AC108" i="11"/>
  <c r="AH108" i="11" a="1"/>
  <c r="AK108" i="11"/>
  <c r="AI108" i="11"/>
  <c r="AJ108" i="11"/>
  <c r="AH108" i="11"/>
  <c r="AM108" i="11" a="1"/>
  <c r="AN108" i="11"/>
  <c r="AO108" i="11"/>
  <c r="AP108" i="11"/>
  <c r="AM108" i="11"/>
  <c r="AW108" i="11" a="1"/>
  <c r="AW108" i="11"/>
  <c r="AR108" i="11" a="1"/>
  <c r="AS108" i="11"/>
  <c r="AU108" i="11"/>
  <c r="AT108" i="11"/>
  <c r="AR108" i="11"/>
  <c r="AC109" i="11" a="1"/>
  <c r="AC109" i="11"/>
  <c r="AE109" i="11"/>
  <c r="AF109" i="11"/>
  <c r="AD109" i="11"/>
  <c r="AH109" i="11" a="1"/>
  <c r="AK109" i="11"/>
  <c r="AI109" i="11"/>
  <c r="AH109" i="11"/>
  <c r="AJ109" i="11"/>
  <c r="AM109" i="11" a="1"/>
  <c r="AP109" i="11"/>
  <c r="AM109" i="11"/>
  <c r="AN109" i="11"/>
  <c r="AO109" i="11"/>
  <c r="AW109" i="11" a="1"/>
  <c r="AW109" i="11"/>
  <c r="AR109" i="11" a="1"/>
  <c r="AS109" i="11"/>
  <c r="AT109" i="11"/>
  <c r="AU109" i="11"/>
  <c r="AR109" i="11"/>
  <c r="AC110" i="11" a="1"/>
  <c r="AD110" i="11"/>
  <c r="AF110" i="11"/>
  <c r="AC110" i="11"/>
  <c r="AE110" i="11"/>
  <c r="AH110" i="11" a="1"/>
  <c r="AJ110" i="11"/>
  <c r="AH110" i="11"/>
  <c r="AK110" i="11"/>
  <c r="AI110" i="11"/>
  <c r="AM110" i="11" a="1"/>
  <c r="AP110" i="11"/>
  <c r="AN110" i="11"/>
  <c r="AO110" i="11"/>
  <c r="AM110" i="11"/>
  <c r="AW110" i="11" a="1"/>
  <c r="AW110" i="11"/>
  <c r="AR110" i="11" a="1"/>
  <c r="AR110" i="11"/>
  <c r="AS110" i="11"/>
  <c r="AU110" i="11"/>
  <c r="AT110" i="11"/>
  <c r="AC111" i="11" a="1"/>
  <c r="AF111" i="11"/>
  <c r="AD111" i="11"/>
  <c r="AC111" i="11"/>
  <c r="AE111" i="11"/>
  <c r="AH111" i="11" a="1"/>
  <c r="AI111" i="11"/>
  <c r="AK111" i="11"/>
  <c r="AJ111" i="11"/>
  <c r="AH111" i="11"/>
  <c r="AM111" i="11" a="1"/>
  <c r="AN111" i="11"/>
  <c r="AM111" i="11"/>
  <c r="AP111" i="11"/>
  <c r="AO111" i="11"/>
  <c r="AW111" i="11" a="1"/>
  <c r="AW111" i="11"/>
  <c r="AR111" i="11" a="1"/>
  <c r="AR111" i="11"/>
  <c r="AS111" i="11"/>
  <c r="AT111" i="11"/>
  <c r="AU111" i="11"/>
  <c r="AC112" i="11" a="1"/>
  <c r="AF112" i="11"/>
  <c r="AD112" i="11"/>
  <c r="AE112" i="11"/>
  <c r="AC112" i="11"/>
  <c r="AH112" i="11" a="1"/>
  <c r="AK112" i="11"/>
  <c r="AJ112" i="11"/>
  <c r="AI112" i="11"/>
  <c r="AH112" i="11"/>
  <c r="AM112" i="11" a="1"/>
  <c r="AN112" i="11"/>
  <c r="AP112" i="11"/>
  <c r="AM112" i="11"/>
  <c r="AO112" i="11"/>
  <c r="AW112" i="11" a="1"/>
  <c r="AW112" i="11"/>
  <c r="AR112" i="11" a="1"/>
  <c r="AU112" i="11"/>
  <c r="AT112" i="11"/>
  <c r="AR112" i="11"/>
  <c r="AS112" i="11"/>
  <c r="AC113" i="11" a="1"/>
  <c r="AC113" i="11"/>
  <c r="AD113" i="11"/>
  <c r="AF113" i="11"/>
  <c r="AE113" i="11"/>
  <c r="AH113" i="11" a="1"/>
  <c r="AI113" i="11"/>
  <c r="AJ113" i="11"/>
  <c r="AK113" i="11"/>
  <c r="AH113" i="11"/>
  <c r="AM113" i="11" a="1"/>
  <c r="AN113" i="11"/>
  <c r="AP113" i="11"/>
  <c r="AM113" i="11"/>
  <c r="AO113" i="11"/>
  <c r="AR113" i="11" a="1"/>
  <c r="AS113" i="11"/>
  <c r="AR113" i="11"/>
  <c r="AT113" i="11"/>
  <c r="AU113" i="11"/>
  <c r="AC114" i="11" a="1"/>
  <c r="AF114" i="11"/>
  <c r="AE114" i="11"/>
  <c r="AC114" i="11"/>
  <c r="AD114" i="11"/>
  <c r="AH114" i="11" a="1"/>
  <c r="AH114" i="11"/>
  <c r="AJ114" i="11"/>
  <c r="AK114" i="11"/>
  <c r="AI114" i="11"/>
  <c r="AM114" i="11" a="1"/>
  <c r="AM114" i="11"/>
  <c r="AO114" i="11"/>
  <c r="AP114" i="11"/>
  <c r="AN114" i="11"/>
  <c r="AW114" i="11" a="1"/>
  <c r="AW114" i="11"/>
  <c r="AR114" i="11" a="1"/>
  <c r="AS114" i="11"/>
  <c r="AU114" i="11"/>
  <c r="AR114" i="11"/>
  <c r="AT114" i="11"/>
  <c r="AC115" i="11" a="1"/>
  <c r="AD115" i="11"/>
  <c r="AC115" i="11"/>
  <c r="AF115" i="11"/>
  <c r="AE115" i="11"/>
  <c r="AH115" i="11" a="1"/>
  <c r="AH115" i="11"/>
  <c r="AK115" i="11"/>
  <c r="AI115" i="11"/>
  <c r="AJ115" i="11"/>
  <c r="AM115" i="11" a="1"/>
  <c r="AN115" i="11"/>
  <c r="AM115" i="11"/>
  <c r="AP115" i="11"/>
  <c r="AO115" i="11"/>
  <c r="AW115" i="11" a="1"/>
  <c r="AW115" i="11"/>
  <c r="AR115" i="11" a="1"/>
  <c r="AS115" i="11"/>
  <c r="AR115" i="11"/>
  <c r="AT115" i="11"/>
  <c r="AU115" i="11"/>
  <c r="AC116" i="11" a="1"/>
  <c r="AD116" i="11"/>
  <c r="AE116" i="11"/>
  <c r="AF116" i="11"/>
  <c r="AC116" i="11"/>
  <c r="AH116" i="11" a="1"/>
  <c r="AJ116" i="11"/>
  <c r="AI116" i="11"/>
  <c r="AK116" i="11"/>
  <c r="AH116" i="11"/>
  <c r="AM116" i="11" a="1"/>
  <c r="AM116" i="11"/>
  <c r="AN116" i="11"/>
  <c r="AP116" i="11"/>
  <c r="AO116" i="11"/>
  <c r="AW116" i="11" a="1"/>
  <c r="AW116" i="11"/>
  <c r="AR116" i="11" a="1"/>
  <c r="AU116" i="11"/>
  <c r="AS116" i="11"/>
  <c r="AR116" i="11"/>
  <c r="AT116" i="11"/>
  <c r="AC117" i="11" a="1"/>
  <c r="AE117" i="11"/>
  <c r="AF117" i="11"/>
  <c r="AC117" i="11"/>
  <c r="AD117" i="11"/>
  <c r="AH117" i="11" a="1"/>
  <c r="AK117" i="11"/>
  <c r="AI117" i="11"/>
  <c r="AJ117" i="11"/>
  <c r="AH117" i="11"/>
  <c r="AM117" i="11" a="1"/>
  <c r="AO117" i="11"/>
  <c r="AP117" i="11"/>
  <c r="AM117" i="11"/>
  <c r="AN117" i="11"/>
  <c r="AW117" i="11" a="1"/>
  <c r="AW117" i="11"/>
  <c r="AW113" i="11" a="1"/>
  <c r="AW113" i="11"/>
  <c r="AR117" i="11" a="1"/>
  <c r="AS117" i="11"/>
  <c r="AU117" i="11"/>
  <c r="AR117" i="11"/>
  <c r="AT117" i="11"/>
  <c r="AC118" i="11" a="1"/>
  <c r="AD118" i="11"/>
  <c r="AF118" i="11"/>
  <c r="AE118" i="11"/>
  <c r="AC118" i="11"/>
  <c r="AH118" i="11" a="1"/>
  <c r="AH118" i="11"/>
  <c r="AJ118" i="11"/>
  <c r="AK118" i="11"/>
  <c r="AI118" i="11"/>
  <c r="AM118" i="11" a="1"/>
  <c r="AN118" i="11"/>
  <c r="AO118" i="11"/>
  <c r="AP118" i="11"/>
  <c r="AM118" i="11"/>
  <c r="AR118" i="11" a="1"/>
  <c r="AT118" i="11"/>
  <c r="AR118" i="11"/>
  <c r="AU118" i="11"/>
  <c r="AS118" i="11"/>
  <c r="AC119" i="11" a="1"/>
  <c r="AE119" i="11"/>
  <c r="AF119" i="11"/>
  <c r="AD119" i="11"/>
  <c r="AC119" i="11"/>
  <c r="AH119" i="11" a="1"/>
  <c r="AH119" i="11"/>
  <c r="AJ119" i="11"/>
  <c r="AI119" i="11"/>
  <c r="AK119" i="11"/>
  <c r="AM119" i="11" a="1"/>
  <c r="AO119" i="11"/>
  <c r="AN119" i="11"/>
  <c r="AP119" i="11"/>
  <c r="AM119" i="11"/>
  <c r="AW119" i="11" a="1"/>
  <c r="AW119" i="11"/>
  <c r="AR119" i="11" a="1"/>
  <c r="AU119" i="11"/>
  <c r="AR119" i="11"/>
  <c r="AS119" i="11"/>
  <c r="AT119" i="11"/>
  <c r="AC120" i="11" a="1"/>
  <c r="AD120" i="11"/>
  <c r="AF120" i="11"/>
  <c r="AE120" i="11"/>
  <c r="AC120" i="11"/>
  <c r="AH120" i="11" a="1"/>
  <c r="AH120" i="11"/>
  <c r="AI120" i="11"/>
  <c r="AK120" i="11"/>
  <c r="AJ120" i="11"/>
  <c r="AM120" i="11" a="1"/>
  <c r="AN120" i="11"/>
  <c r="AM120" i="11"/>
  <c r="AP120" i="11"/>
  <c r="AO120" i="11"/>
  <c r="AW120" i="11" a="1"/>
  <c r="AW120" i="11"/>
  <c r="AW118" i="11" a="1"/>
  <c r="AW118" i="11"/>
  <c r="AR120" i="11" a="1"/>
  <c r="AS120" i="11"/>
  <c r="AT120" i="11"/>
  <c r="AU120" i="11"/>
  <c r="AR120" i="11"/>
  <c r="AC121" i="11" a="1"/>
  <c r="AE121" i="11"/>
  <c r="AC121" i="11"/>
  <c r="AF121" i="11"/>
  <c r="AD121" i="11"/>
  <c r="AH121" i="11" a="1"/>
  <c r="AJ121" i="11"/>
  <c r="AI121" i="11"/>
  <c r="AK121" i="11"/>
  <c r="AH121" i="11"/>
  <c r="AM121" i="11" a="1"/>
  <c r="AO121" i="11"/>
  <c r="AM121" i="11"/>
  <c r="AN121" i="11"/>
  <c r="AP121" i="11"/>
  <c r="AW121" i="11" a="1"/>
  <c r="AW121" i="11"/>
  <c r="AR121" i="11" a="1"/>
  <c r="AR121" i="11"/>
  <c r="AT121" i="11"/>
  <c r="AU121" i="11"/>
  <c r="AS121" i="11"/>
  <c r="AC122" i="11" a="1"/>
  <c r="AC122" i="11"/>
  <c r="AE122" i="11"/>
  <c r="AF122" i="11"/>
  <c r="AD122" i="11"/>
  <c r="AH122" i="11" a="1"/>
  <c r="AH122" i="11"/>
  <c r="AJ122" i="11"/>
  <c r="AK122" i="11"/>
  <c r="AI122" i="11"/>
  <c r="AM122" i="11" a="1"/>
  <c r="AM122" i="11"/>
  <c r="AO122" i="11"/>
  <c r="AP122" i="11"/>
  <c r="AN122" i="11"/>
  <c r="AR122" i="11" a="1"/>
  <c r="AS122" i="11"/>
  <c r="AT122" i="11"/>
  <c r="AR122" i="11"/>
  <c r="AU122" i="11"/>
  <c r="AC123" i="11" a="1"/>
  <c r="AD123" i="11"/>
  <c r="AE123" i="11"/>
  <c r="AC123" i="11"/>
  <c r="AF123" i="11"/>
  <c r="AH123" i="11" a="1"/>
  <c r="AJ123" i="11"/>
  <c r="AK123" i="11"/>
  <c r="AI123" i="11"/>
  <c r="AH123" i="11"/>
  <c r="AM123" i="11" a="1"/>
  <c r="AM123" i="11"/>
  <c r="AP123" i="11"/>
  <c r="AO123" i="11"/>
  <c r="AN123" i="11"/>
  <c r="AW123" i="11" a="1"/>
  <c r="AW123" i="11"/>
  <c r="AR123" i="11" a="1"/>
  <c r="AS123" i="11"/>
  <c r="AU123" i="11"/>
  <c r="AT123" i="11"/>
  <c r="AR123" i="11"/>
  <c r="AC124" i="11" a="1"/>
  <c r="AF124" i="11"/>
  <c r="AE124" i="11"/>
  <c r="AC124" i="11"/>
  <c r="AD124" i="11"/>
  <c r="AH124" i="11" a="1"/>
  <c r="AH124" i="11"/>
  <c r="AI124" i="11"/>
  <c r="AK124" i="11"/>
  <c r="AJ124" i="11"/>
  <c r="AM124" i="11" a="1"/>
  <c r="AO124" i="11"/>
  <c r="AP124" i="11"/>
  <c r="AM124" i="11"/>
  <c r="AN124" i="11"/>
  <c r="AW124" i="11" a="1"/>
  <c r="AW124" i="11"/>
  <c r="AW122" i="11" a="1"/>
  <c r="AW122" i="11"/>
  <c r="AR124" i="11" a="1"/>
  <c r="AR124" i="11"/>
  <c r="AT124" i="11"/>
  <c r="AU124" i="11"/>
  <c r="AS124" i="11"/>
  <c r="AC125" i="11" a="1"/>
  <c r="AE125" i="11"/>
  <c r="AD125" i="11"/>
  <c r="AF125" i="11"/>
  <c r="AC125" i="11"/>
  <c r="AH125" i="11" a="1"/>
  <c r="AI125" i="11"/>
  <c r="AH125" i="11"/>
  <c r="AJ125" i="11"/>
  <c r="AK125" i="11"/>
  <c r="AM125" i="11" a="1"/>
  <c r="AO125" i="11"/>
  <c r="AM125" i="11"/>
  <c r="AN125" i="11"/>
  <c r="AP125" i="11"/>
  <c r="AW125" i="11" a="1"/>
  <c r="AW125" i="11"/>
  <c r="AR125" i="11" a="1"/>
  <c r="AR125" i="11"/>
  <c r="AU125" i="11"/>
  <c r="AS125" i="11"/>
  <c r="AT125" i="11"/>
  <c r="AC126" i="11" a="1"/>
  <c r="AF126" i="11"/>
  <c r="AE126" i="11"/>
  <c r="AC126" i="11"/>
  <c r="AD126" i="11"/>
  <c r="AH126" i="11" a="1"/>
  <c r="AH126" i="11"/>
  <c r="AI126" i="11"/>
  <c r="AJ126" i="11"/>
  <c r="AK126" i="11"/>
  <c r="AM126" i="11" a="1"/>
  <c r="AN126" i="11"/>
  <c r="AO126" i="11"/>
  <c r="AM126" i="11"/>
  <c r="AP126" i="11"/>
  <c r="AR126" i="11" a="1"/>
  <c r="AR126" i="11"/>
  <c r="AS126" i="11"/>
  <c r="AU126" i="11"/>
  <c r="AT126" i="11"/>
  <c r="AC127" i="11" a="1"/>
  <c r="AE127" i="11"/>
  <c r="AD127" i="11"/>
  <c r="AC127" i="11"/>
  <c r="AF127" i="11"/>
  <c r="AH127" i="11" a="1"/>
  <c r="AH127" i="11"/>
  <c r="AJ127" i="11"/>
  <c r="AI127" i="11"/>
  <c r="AK127" i="11"/>
  <c r="AM127" i="11" a="1"/>
  <c r="AO127" i="11"/>
  <c r="AP127" i="11"/>
  <c r="AM127" i="11"/>
  <c r="AN127" i="11"/>
  <c r="AW127" i="11" a="1"/>
  <c r="AW127" i="11"/>
  <c r="AW126" i="11" a="1"/>
  <c r="AW126" i="11"/>
  <c r="AR127" i="11" a="1"/>
  <c r="AS127" i="11"/>
  <c r="AU127" i="11"/>
  <c r="AR127" i="11"/>
  <c r="AT127" i="11"/>
  <c r="AC128" i="11" a="1"/>
  <c r="AF128" i="11"/>
  <c r="AC128" i="11"/>
  <c r="AD128" i="11"/>
  <c r="AE128" i="11"/>
  <c r="AH128" i="11" a="1"/>
  <c r="AI128" i="11"/>
  <c r="AH128" i="11"/>
  <c r="AJ128" i="11"/>
  <c r="AK128" i="11"/>
  <c r="AM128" i="11" a="1"/>
  <c r="AN128" i="11"/>
  <c r="AM128" i="11"/>
  <c r="AP128" i="11"/>
  <c r="AO128" i="11"/>
  <c r="AR128" i="11" a="1"/>
  <c r="AU128" i="11"/>
  <c r="AS128" i="11"/>
  <c r="AT128" i="11"/>
  <c r="AR128" i="11"/>
  <c r="AC129" i="11" a="1"/>
  <c r="AD129" i="11"/>
  <c r="AE129" i="11"/>
  <c r="AC129" i="11"/>
  <c r="AF129" i="11"/>
  <c r="AH129" i="11" a="1"/>
  <c r="AI129" i="11"/>
  <c r="AK129" i="11"/>
  <c r="AJ129" i="11"/>
  <c r="AH129" i="11"/>
  <c r="AM129" i="11" a="1"/>
  <c r="AM129" i="11"/>
  <c r="AO129" i="11"/>
  <c r="AP129" i="11"/>
  <c r="AN129" i="11"/>
  <c r="AW129" i="11" a="1"/>
  <c r="AW129" i="11"/>
  <c r="AR129" i="11" a="1"/>
  <c r="AU129" i="11"/>
  <c r="AR129" i="11"/>
  <c r="AS129" i="11"/>
  <c r="AT129" i="11"/>
  <c r="AC130" i="11" a="1"/>
  <c r="AF130" i="11"/>
  <c r="AE130" i="11"/>
  <c r="AC130" i="11"/>
  <c r="AD130" i="11"/>
  <c r="AH130" i="11" a="1"/>
  <c r="AH130" i="11"/>
  <c r="AJ130" i="11"/>
  <c r="AI130" i="11"/>
  <c r="AK130" i="11"/>
  <c r="AM130" i="11" a="1"/>
  <c r="AN130" i="11"/>
  <c r="AM130" i="11"/>
  <c r="AP130" i="11"/>
  <c r="AO130" i="11"/>
  <c r="AW130" i="11" a="1"/>
  <c r="AW130" i="11"/>
  <c r="AW128" i="11" a="1"/>
  <c r="AW128" i="11"/>
  <c r="AR130" i="11" a="1"/>
  <c r="AR130" i="11"/>
  <c r="AU130" i="11"/>
  <c r="AT130" i="11"/>
  <c r="AS130" i="11"/>
  <c r="AC131" i="11" a="1"/>
  <c r="AC131" i="11"/>
  <c r="AE131" i="11"/>
  <c r="AD131" i="11"/>
  <c r="AF131" i="11"/>
  <c r="AH131" i="11" a="1"/>
  <c r="AH131" i="11"/>
  <c r="AK131" i="11"/>
  <c r="AI131" i="11"/>
  <c r="AJ131" i="11"/>
  <c r="AM131" i="11" a="1"/>
  <c r="AO131" i="11"/>
  <c r="AN131" i="11"/>
  <c r="AP131" i="11"/>
  <c r="AM131" i="11"/>
  <c r="AR131" i="11" a="1"/>
  <c r="AU131" i="11"/>
  <c r="AR131" i="11"/>
  <c r="AT131" i="11"/>
  <c r="AS131" i="11"/>
  <c r="AC132" i="11" a="1"/>
  <c r="AE132" i="11"/>
  <c r="AF132" i="11"/>
  <c r="AC132" i="11"/>
  <c r="AD132" i="11"/>
  <c r="AH132" i="11" a="1"/>
  <c r="AI132" i="11"/>
  <c r="AJ132" i="11"/>
  <c r="AH132" i="11"/>
  <c r="AK132" i="11"/>
  <c r="AM132" i="11" a="1"/>
  <c r="AN132" i="11"/>
  <c r="AP132" i="11"/>
  <c r="AO132" i="11"/>
  <c r="AM132" i="11"/>
  <c r="AW132" i="11" a="1"/>
  <c r="AW132" i="11"/>
  <c r="AW131" i="11" a="1"/>
  <c r="AW131" i="11"/>
  <c r="AR132" i="11" a="1"/>
  <c r="AS132" i="11"/>
  <c r="AT132" i="11"/>
  <c r="AR132" i="11"/>
  <c r="AU132" i="11"/>
  <c r="AC133" i="11" a="1"/>
  <c r="AF133" i="11"/>
  <c r="AD133" i="11"/>
  <c r="AE133" i="11"/>
  <c r="AC133" i="11"/>
  <c r="AH133" i="11" a="1"/>
  <c r="AI133" i="11"/>
  <c r="AK133" i="11"/>
  <c r="AH133" i="11"/>
  <c r="AJ133" i="11"/>
  <c r="AM133" i="11" a="1"/>
  <c r="AP133" i="11"/>
  <c r="AM133" i="11"/>
  <c r="AN133" i="11"/>
  <c r="AO133" i="11"/>
  <c r="AW133" i="11" a="1"/>
  <c r="AW133" i="11"/>
  <c r="AR133" i="11" a="1"/>
  <c r="AS133" i="11"/>
  <c r="AR133" i="11"/>
  <c r="AT133" i="11"/>
  <c r="AU133" i="11"/>
  <c r="AC134" i="11" a="1"/>
  <c r="AF134" i="11"/>
  <c r="AE134" i="11"/>
  <c r="AD134" i="11"/>
  <c r="AC134" i="11"/>
  <c r="AH134" i="11" a="1"/>
  <c r="AI134" i="11"/>
  <c r="AK134" i="11"/>
  <c r="AJ134" i="11"/>
  <c r="AH134" i="11"/>
  <c r="AM134" i="11" a="1"/>
  <c r="AN134" i="11"/>
  <c r="AP134" i="11"/>
  <c r="AO134" i="11"/>
  <c r="AM134" i="11"/>
  <c r="AR134" i="11" a="1"/>
  <c r="AR134" i="11"/>
  <c r="AU134" i="11"/>
  <c r="AT134" i="11"/>
  <c r="AS134" i="11"/>
  <c r="AC135" i="11" a="1"/>
  <c r="AD135" i="11"/>
  <c r="AC135" i="11"/>
  <c r="AF135" i="11"/>
  <c r="AE135" i="11"/>
  <c r="AH135" i="11" a="1"/>
  <c r="AJ135" i="11"/>
  <c r="AH135" i="11"/>
  <c r="AK135" i="11"/>
  <c r="AI135" i="11"/>
  <c r="AM135" i="11" a="1"/>
  <c r="AN135" i="11"/>
  <c r="AM135" i="11"/>
  <c r="AP135" i="11"/>
  <c r="AO135" i="11"/>
  <c r="AW135" i="11" a="1"/>
  <c r="AW135" i="11"/>
  <c r="AR135" i="11" a="1"/>
  <c r="AT135" i="11"/>
  <c r="AU135" i="11"/>
  <c r="AS135" i="11"/>
  <c r="AR135" i="11"/>
  <c r="AC136" i="11" a="1"/>
  <c r="AC136" i="11"/>
  <c r="AF136" i="11"/>
  <c r="AD136" i="11"/>
  <c r="AE136" i="11"/>
  <c r="AH136" i="11" a="1"/>
  <c r="AJ136" i="11"/>
  <c r="AK136" i="11"/>
  <c r="AI136" i="11"/>
  <c r="AH136" i="11"/>
  <c r="AM136" i="11" a="1"/>
  <c r="AN136" i="11"/>
  <c r="AM136" i="11"/>
  <c r="AP136" i="11"/>
  <c r="AO136" i="11"/>
  <c r="AW136" i="11" a="1"/>
  <c r="AW136" i="11"/>
  <c r="AW134" i="11" a="1"/>
  <c r="AW134" i="11"/>
  <c r="AR136" i="11" a="1"/>
  <c r="AT136" i="11"/>
  <c r="AR136" i="11"/>
  <c r="AS136" i="11"/>
  <c r="AU136" i="11"/>
  <c r="AC137" i="11" a="1"/>
  <c r="AC137" i="11"/>
  <c r="AF137" i="11"/>
  <c r="AD137" i="11"/>
  <c r="AE137" i="11"/>
  <c r="AH137" i="11" a="1"/>
  <c r="AJ137" i="11"/>
  <c r="AH137" i="11"/>
  <c r="AK137" i="11"/>
  <c r="AI137" i="11"/>
  <c r="AM137" i="11" a="1"/>
  <c r="AM137" i="11"/>
  <c r="AO137" i="11"/>
  <c r="AN137" i="11"/>
  <c r="AP137" i="11"/>
  <c r="AR137" i="11" a="1"/>
  <c r="AU137" i="11"/>
  <c r="AS137" i="11"/>
  <c r="AR137" i="11"/>
  <c r="AT137" i="11"/>
  <c r="AC138" i="11" a="1"/>
  <c r="AF138" i="11"/>
  <c r="AE138" i="11"/>
  <c r="AC138" i="11"/>
  <c r="AD138" i="11"/>
  <c r="AH138" i="11" a="1"/>
  <c r="AJ138" i="11"/>
  <c r="AI138" i="11"/>
  <c r="AH138" i="11"/>
  <c r="AK138" i="11"/>
  <c r="AM138" i="11" a="1"/>
  <c r="AO138" i="11"/>
  <c r="AN138" i="11"/>
  <c r="AP138" i="11"/>
  <c r="AM138" i="11"/>
  <c r="AW138" i="11" a="1"/>
  <c r="AW138" i="11"/>
  <c r="AR138" i="11" a="1"/>
  <c r="AU138" i="11"/>
  <c r="AS138" i="11"/>
  <c r="AT138" i="11"/>
  <c r="AR138" i="11"/>
  <c r="AC139" i="11" a="1"/>
  <c r="AD139" i="11"/>
  <c r="AF139" i="11"/>
  <c r="AE139" i="11"/>
  <c r="AC139" i="11"/>
  <c r="AH139" i="11" a="1"/>
  <c r="AK139" i="11"/>
  <c r="AH139" i="11"/>
  <c r="AI139" i="11"/>
  <c r="AJ139" i="11"/>
  <c r="AM139" i="11" a="1"/>
  <c r="AP139" i="11"/>
  <c r="AN139" i="11"/>
  <c r="AO139" i="11"/>
  <c r="AM139" i="11"/>
  <c r="AW139" i="11" a="1"/>
  <c r="AW139" i="11"/>
  <c r="AW137" i="11" a="1"/>
  <c r="AW137" i="11"/>
  <c r="AR139" i="11" a="1"/>
  <c r="AR139" i="11"/>
  <c r="AT139" i="11"/>
  <c r="AU139" i="11"/>
  <c r="AS139" i="11"/>
  <c r="AC140" i="11" a="1"/>
  <c r="AE140" i="11"/>
  <c r="AD140" i="11"/>
  <c r="AC140" i="11"/>
  <c r="AF140" i="11"/>
  <c r="AH140" i="11" a="1"/>
  <c r="AK140" i="11"/>
  <c r="AH140" i="11"/>
  <c r="AI140" i="11"/>
  <c r="AJ140" i="11"/>
  <c r="AM140" i="11" a="1"/>
  <c r="AP140" i="11"/>
  <c r="AM140" i="11"/>
  <c r="AO140" i="11"/>
  <c r="AN140" i="11"/>
  <c r="AW140" i="11" a="1"/>
  <c r="AW140" i="11"/>
  <c r="AR140" i="11" a="1"/>
  <c r="AU140" i="11"/>
  <c r="AS140" i="11"/>
  <c r="AR140" i="11"/>
  <c r="AT140" i="11"/>
  <c r="AC141" i="11" a="1"/>
  <c r="AC141" i="11"/>
  <c r="AD141" i="11"/>
  <c r="AF141" i="11"/>
  <c r="AE141" i="11"/>
  <c r="AH141" i="11" a="1"/>
  <c r="AK141" i="11"/>
  <c r="AI141" i="11"/>
  <c r="AH141" i="11"/>
  <c r="AJ141" i="11"/>
  <c r="AM141" i="11" a="1"/>
  <c r="AO141" i="11"/>
  <c r="AM141" i="11"/>
  <c r="AN141" i="11"/>
  <c r="AP141" i="11"/>
  <c r="AW141" i="11" a="1"/>
  <c r="AW141" i="11"/>
  <c r="AR141" i="11" a="1"/>
  <c r="AR141" i="11"/>
  <c r="AU141" i="11"/>
  <c r="AS141" i="11"/>
  <c r="AT141" i="11"/>
  <c r="AC142" i="11" a="1"/>
  <c r="AD142" i="11"/>
  <c r="AC142" i="11"/>
  <c r="AE142" i="11"/>
  <c r="AF142" i="11"/>
  <c r="AH142" i="11" a="1"/>
  <c r="AJ142" i="11"/>
  <c r="AK142" i="11"/>
  <c r="AH142" i="11"/>
  <c r="AI142" i="11"/>
  <c r="AM142" i="11" a="1"/>
  <c r="AP142" i="11"/>
  <c r="AN142" i="11"/>
  <c r="AM142" i="11"/>
  <c r="AO142" i="11"/>
  <c r="AR142" i="11" a="1"/>
  <c r="AR142" i="11"/>
  <c r="AU142" i="11"/>
  <c r="AS142" i="11"/>
  <c r="AT142" i="11"/>
  <c r="AC143" i="11" a="1"/>
  <c r="AC143" i="11"/>
  <c r="AD143" i="11"/>
  <c r="AF143" i="11"/>
  <c r="AE143" i="11"/>
  <c r="AH143" i="11" a="1"/>
  <c r="AJ143" i="11"/>
  <c r="AH143" i="11"/>
  <c r="AI143" i="11"/>
  <c r="AK143" i="11"/>
  <c r="AM143" i="11" a="1"/>
  <c r="AM143" i="11"/>
  <c r="AP143" i="11"/>
  <c r="AN143" i="11"/>
  <c r="AO143" i="11"/>
  <c r="AW143" i="11" a="1"/>
  <c r="AW143" i="11"/>
  <c r="AR143" i="11" a="1"/>
  <c r="AR143" i="11"/>
  <c r="AS143" i="11"/>
  <c r="AT143" i="11"/>
  <c r="AU143" i="11"/>
  <c r="AC144" i="11" a="1"/>
  <c r="AF144" i="11"/>
  <c r="AE144" i="11"/>
  <c r="AD144" i="11"/>
  <c r="AC144" i="11"/>
  <c r="AH144" i="11" a="1"/>
  <c r="AH144" i="11"/>
  <c r="AI144" i="11"/>
  <c r="AK144" i="11"/>
  <c r="AJ144" i="11"/>
  <c r="AM144" i="11" a="1"/>
  <c r="AO144" i="11"/>
  <c r="AN144" i="11"/>
  <c r="AM144" i="11"/>
  <c r="AP144" i="11"/>
  <c r="AW144" i="11" a="1"/>
  <c r="AW144" i="11"/>
  <c r="AR144" i="11" a="1"/>
  <c r="AS144" i="11"/>
  <c r="AT144" i="11"/>
  <c r="AU144" i="11"/>
  <c r="AR144" i="11"/>
  <c r="AC145" i="11" a="1"/>
  <c r="AE145" i="11"/>
  <c r="AF145" i="11"/>
  <c r="AC145" i="11"/>
  <c r="AD145" i="11"/>
  <c r="AH145" i="11" a="1"/>
  <c r="AJ145" i="11"/>
  <c r="AH145" i="11"/>
  <c r="AI145" i="11"/>
  <c r="AK145" i="11"/>
  <c r="AM145" i="11" a="1"/>
  <c r="AP145" i="11"/>
  <c r="AO145" i="11"/>
  <c r="AN145" i="11"/>
  <c r="AM145" i="11"/>
  <c r="AW145" i="11" a="1"/>
  <c r="AW145" i="11"/>
  <c r="AW142" i="11" a="1"/>
  <c r="AW142" i="11"/>
  <c r="AR145" i="11" a="1"/>
  <c r="AR145" i="11"/>
  <c r="AU145" i="11"/>
  <c r="AT145" i="11"/>
  <c r="AS145" i="11"/>
  <c r="AC146" i="11" a="1"/>
  <c r="AF146" i="11"/>
  <c r="AD146" i="11"/>
  <c r="AC146" i="11"/>
  <c r="AE146" i="11"/>
  <c r="AH146" i="11" a="1"/>
  <c r="AI146" i="11"/>
  <c r="AH146" i="11"/>
  <c r="AJ146" i="11"/>
  <c r="AK146" i="11"/>
  <c r="AM146" i="11" a="1"/>
  <c r="AP146" i="11"/>
  <c r="AN146" i="11"/>
  <c r="AM146" i="11"/>
  <c r="AO146" i="11"/>
  <c r="AW146" i="11" a="1"/>
  <c r="AW146" i="11"/>
  <c r="AR146" i="11" a="1"/>
  <c r="AR146" i="11"/>
  <c r="AT146" i="11"/>
  <c r="AS146" i="11"/>
  <c r="AU146" i="11"/>
  <c r="AC147" i="11" a="1"/>
  <c r="AD147" i="11"/>
  <c r="AC147" i="11"/>
  <c r="AE147" i="11"/>
  <c r="AF147" i="11"/>
  <c r="AH147" i="11" a="1"/>
  <c r="AK147" i="11"/>
  <c r="AH147" i="11"/>
  <c r="AI147" i="11"/>
  <c r="AJ147" i="11"/>
  <c r="AM147" i="11" a="1"/>
  <c r="AM147" i="11"/>
  <c r="AP147" i="11"/>
  <c r="AO147" i="11"/>
  <c r="AN147" i="11"/>
  <c r="AW147" i="11" a="1"/>
  <c r="AW147" i="11"/>
  <c r="AR147" i="11" a="1"/>
  <c r="AU147" i="11"/>
  <c r="AT147" i="11"/>
  <c r="AS147" i="11"/>
  <c r="AR147" i="11"/>
  <c r="AC148" i="11" a="1"/>
  <c r="AE148" i="11"/>
  <c r="AC148" i="11"/>
  <c r="AF148" i="11"/>
  <c r="AD148" i="11"/>
  <c r="AH148" i="11" a="1"/>
  <c r="AH148" i="11"/>
  <c r="AI148" i="11"/>
  <c r="AK148" i="11"/>
  <c r="AJ148" i="11"/>
  <c r="AM148" i="11" a="1"/>
  <c r="AO148" i="11"/>
  <c r="AN148" i="11"/>
  <c r="AP148" i="11"/>
  <c r="AM148" i="11"/>
  <c r="AW148" i="11" a="1"/>
  <c r="AW148" i="11"/>
  <c r="AR148" i="11" a="1"/>
  <c r="AS148" i="11"/>
  <c r="AU148" i="11"/>
  <c r="AR148" i="11"/>
  <c r="AT148" i="11"/>
  <c r="AC149" i="11" a="1"/>
  <c r="AF149" i="11"/>
  <c r="AD149" i="11"/>
  <c r="AC149" i="11"/>
  <c r="AE149" i="11"/>
  <c r="AH149" i="11" a="1"/>
  <c r="AH149" i="11"/>
  <c r="AI149" i="11"/>
  <c r="AK149" i="11"/>
  <c r="AJ149" i="11"/>
  <c r="AM149" i="11" a="1"/>
  <c r="AN149" i="11"/>
  <c r="AM149" i="11"/>
  <c r="AP149" i="11"/>
  <c r="AO149" i="11"/>
  <c r="AR149" i="11" a="1"/>
  <c r="AU149" i="11"/>
  <c r="AR149" i="11"/>
  <c r="AS149" i="11"/>
  <c r="AT149" i="11"/>
  <c r="AC150" i="11" a="1"/>
  <c r="AE150" i="11"/>
  <c r="AD150" i="11"/>
  <c r="AC150" i="11"/>
  <c r="AF150" i="11"/>
  <c r="AH150" i="11" a="1"/>
  <c r="AJ150" i="11"/>
  <c r="AK150" i="11"/>
  <c r="AI150" i="11"/>
  <c r="AH150" i="11"/>
  <c r="AM150" i="11" a="1"/>
  <c r="AP150" i="11"/>
  <c r="AN150" i="11"/>
  <c r="AM150" i="11"/>
  <c r="AO150" i="11"/>
  <c r="AW150" i="11" a="1"/>
  <c r="AW150" i="11"/>
  <c r="AW149" i="11" a="1"/>
  <c r="AW149" i="11"/>
  <c r="AR150" i="11" a="1"/>
  <c r="AU150" i="11"/>
  <c r="AT150" i="11"/>
  <c r="AR150" i="11"/>
  <c r="AS150" i="11"/>
  <c r="AC151" i="11" a="1"/>
  <c r="AE151" i="11"/>
  <c r="AF151" i="11"/>
  <c r="AC151" i="11"/>
  <c r="AD151" i="11"/>
  <c r="AH151" i="11" a="1"/>
  <c r="AH151" i="11"/>
  <c r="AK151" i="11"/>
  <c r="AI151" i="11"/>
  <c r="AJ151" i="11"/>
  <c r="AM151" i="11" a="1"/>
  <c r="AN151" i="11"/>
  <c r="AO151" i="11"/>
  <c r="AP151" i="11"/>
  <c r="AM151" i="11"/>
  <c r="AW151" i="11" a="1"/>
  <c r="AW151" i="11"/>
  <c r="AR151" i="11" a="1"/>
  <c r="AS151" i="11"/>
  <c r="AU151" i="11"/>
  <c r="AT151" i="11"/>
  <c r="AR151" i="11"/>
  <c r="AC152" i="11" a="1"/>
  <c r="AE152" i="11"/>
  <c r="AD152" i="11"/>
  <c r="AC152" i="11"/>
  <c r="AF152" i="11"/>
  <c r="AH152" i="11" a="1"/>
  <c r="AI152" i="11"/>
  <c r="AK152" i="11"/>
  <c r="AJ152" i="11"/>
  <c r="AH152" i="11"/>
  <c r="AM152" i="11" a="1"/>
  <c r="AN152" i="11"/>
  <c r="AM152" i="11"/>
  <c r="AO152" i="11"/>
  <c r="AP152" i="11"/>
  <c r="AR152" i="11" a="1"/>
  <c r="AU152" i="11"/>
  <c r="AT152" i="11"/>
  <c r="AS152" i="11"/>
  <c r="AR152" i="11"/>
  <c r="AC153" i="11" a="1"/>
  <c r="AD153" i="11"/>
  <c r="AC153" i="11"/>
  <c r="AE153" i="11"/>
  <c r="AF153" i="11"/>
  <c r="AH153" i="11" a="1"/>
  <c r="AH153" i="11"/>
  <c r="AI153" i="11"/>
  <c r="AK153" i="11"/>
  <c r="AJ153" i="11"/>
  <c r="AM153" i="11" a="1"/>
  <c r="AO153" i="11"/>
  <c r="AP153" i="11"/>
  <c r="AN153" i="11"/>
  <c r="AM153" i="11"/>
  <c r="AW153" i="11" a="1"/>
  <c r="AW153" i="11"/>
  <c r="AR153" i="11" a="1"/>
  <c r="AT153" i="11"/>
  <c r="AU153" i="11"/>
  <c r="AS153" i="11"/>
  <c r="AR153" i="11"/>
  <c r="AC154" i="11" a="1"/>
  <c r="AD154" i="11"/>
  <c r="AE154" i="11"/>
  <c r="AC154" i="11"/>
  <c r="AF154" i="11"/>
  <c r="AH154" i="11" a="1"/>
  <c r="AH154" i="11"/>
  <c r="AK154" i="11"/>
  <c r="AI154" i="11"/>
  <c r="AJ154" i="11"/>
  <c r="AM154" i="11" a="1"/>
  <c r="AP154" i="11"/>
  <c r="AN154" i="11"/>
  <c r="AM154" i="11"/>
  <c r="AO154" i="11"/>
  <c r="AW154" i="11" a="1"/>
  <c r="AW154" i="11"/>
  <c r="AW152" i="11" a="1"/>
  <c r="AW152" i="11"/>
  <c r="AR154" i="11" a="1"/>
  <c r="AS154" i="11"/>
  <c r="AU154" i="11"/>
  <c r="AT154" i="11"/>
  <c r="AR154" i="11"/>
  <c r="AC155" i="11" a="1"/>
  <c r="AD155" i="11"/>
  <c r="AE155" i="11"/>
  <c r="AC155" i="11"/>
  <c r="AF155" i="11"/>
  <c r="AH155" i="11" a="1"/>
  <c r="AK155" i="11"/>
  <c r="AH155" i="11"/>
  <c r="AJ155" i="11"/>
  <c r="AI155" i="11"/>
  <c r="AM155" i="11" a="1"/>
  <c r="AO155" i="11"/>
  <c r="AM155" i="11"/>
  <c r="AN155" i="11"/>
  <c r="AP155" i="11"/>
  <c r="AW155" i="11" a="1"/>
  <c r="AW155" i="11"/>
  <c r="AR155" i="11" a="1"/>
  <c r="AT155" i="11"/>
  <c r="AU155" i="11"/>
  <c r="AS155" i="11"/>
  <c r="AR155" i="11"/>
  <c r="AC156" i="11" a="1"/>
  <c r="AC156" i="11"/>
  <c r="AF156" i="11"/>
  <c r="AE156" i="11"/>
  <c r="AD156" i="11"/>
  <c r="AH156" i="11" a="1"/>
  <c r="AK156" i="11"/>
  <c r="AI156" i="11"/>
  <c r="AH156" i="11"/>
  <c r="AJ156" i="11"/>
  <c r="AM156" i="11" a="1"/>
  <c r="AO156" i="11"/>
  <c r="AM156" i="11"/>
  <c r="AN156" i="11"/>
  <c r="AP156" i="11"/>
  <c r="AR156" i="11" a="1"/>
  <c r="AS156" i="11"/>
  <c r="AR156" i="11"/>
  <c r="AT156" i="11"/>
  <c r="AU156" i="11"/>
  <c r="AC157" i="11" a="1"/>
  <c r="AE157" i="11"/>
  <c r="AC157" i="11"/>
  <c r="AD157" i="11"/>
  <c r="AF157" i="11"/>
  <c r="AH157" i="11" a="1"/>
  <c r="AK157" i="11"/>
  <c r="AI157" i="11"/>
  <c r="AH157" i="11"/>
  <c r="AJ157" i="11"/>
  <c r="AM157" i="11" a="1"/>
  <c r="AP157" i="11"/>
  <c r="AO157" i="11"/>
  <c r="AN157" i="11"/>
  <c r="AM157" i="11"/>
  <c r="AR157" i="11" a="1"/>
  <c r="AT157" i="11"/>
  <c r="AS157" i="11"/>
  <c r="AU157" i="11"/>
  <c r="AR157" i="11"/>
  <c r="AC158" i="11" a="1"/>
  <c r="AE158" i="11"/>
  <c r="AD158" i="11"/>
  <c r="AF158" i="11"/>
  <c r="AC158" i="11"/>
  <c r="AH158" i="11" a="1"/>
  <c r="AJ158" i="11"/>
  <c r="AK158" i="11"/>
  <c r="AI158" i="11"/>
  <c r="AH158" i="11"/>
  <c r="AM158" i="11" a="1"/>
  <c r="AN158" i="11"/>
  <c r="AM158" i="11"/>
  <c r="AP158" i="11"/>
  <c r="AO158" i="11"/>
  <c r="AW158" i="11" a="1"/>
  <c r="AW158" i="11"/>
  <c r="AW157" i="11" a="1"/>
  <c r="AW157" i="11"/>
  <c r="AW156" i="11" a="1"/>
  <c r="AW156" i="11"/>
  <c r="AR158" i="11" a="1"/>
  <c r="AR158" i="11"/>
  <c r="AU158" i="11"/>
  <c r="AT158" i="11"/>
  <c r="AS158" i="11"/>
  <c r="AC159" i="11" a="1"/>
  <c r="AF159" i="11"/>
  <c r="AE159" i="11"/>
  <c r="AC159" i="11"/>
  <c r="AD159" i="11"/>
  <c r="AH159" i="11" a="1"/>
  <c r="AH159" i="11"/>
  <c r="AI159" i="11"/>
  <c r="AJ159" i="11"/>
  <c r="AK159" i="11"/>
  <c r="AM159" i="11" a="1"/>
  <c r="AP159" i="11"/>
  <c r="AM159" i="11"/>
  <c r="AO159" i="11"/>
  <c r="AN159" i="11"/>
  <c r="AW159" i="11" a="1"/>
  <c r="AW159" i="11"/>
  <c r="AR159" i="11" a="1"/>
  <c r="AT159" i="11"/>
  <c r="AU159" i="11"/>
  <c r="AR159" i="11"/>
  <c r="AS159" i="11"/>
  <c r="AC160" i="11" a="1"/>
  <c r="AF160" i="11"/>
  <c r="AC160" i="11"/>
  <c r="AD160" i="11"/>
  <c r="AE160" i="11"/>
  <c r="AH160" i="11" a="1"/>
  <c r="AK160" i="11"/>
  <c r="AJ160" i="11"/>
  <c r="AH160" i="11"/>
  <c r="AI160" i="11"/>
  <c r="AM160" i="11" a="1"/>
  <c r="AP160" i="11"/>
  <c r="AO160" i="11"/>
  <c r="AM160" i="11"/>
  <c r="AN160" i="11"/>
  <c r="AW160" i="11" a="1"/>
  <c r="AW160" i="11"/>
  <c r="AR160" i="11" a="1"/>
  <c r="AR160" i="11"/>
  <c r="AS160" i="11"/>
  <c r="AU160" i="11"/>
  <c r="AT160" i="11"/>
  <c r="AC161" i="11" a="1"/>
  <c r="AD161" i="11"/>
  <c r="AF161" i="11"/>
  <c r="AE161" i="11"/>
  <c r="AC161" i="11"/>
  <c r="AH161" i="11" a="1"/>
  <c r="AK161" i="11"/>
  <c r="AJ161" i="11"/>
  <c r="AH161" i="11"/>
  <c r="AI161" i="11"/>
  <c r="AM161" i="11" a="1"/>
  <c r="AP161" i="11"/>
  <c r="AO161" i="11"/>
  <c r="AM161" i="11"/>
  <c r="AN161" i="11"/>
  <c r="AR161" i="11" a="1"/>
  <c r="AU161" i="11"/>
  <c r="AT161" i="11"/>
  <c r="AR161" i="11"/>
  <c r="AS161" i="11"/>
  <c r="AC162" i="11" a="1"/>
  <c r="AF162" i="11"/>
  <c r="AE162" i="11"/>
  <c r="AD162" i="11"/>
  <c r="AC162" i="11"/>
  <c r="AH162" i="11" a="1"/>
  <c r="AJ162" i="11"/>
  <c r="AH162" i="11"/>
  <c r="AK162" i="11"/>
  <c r="AI162" i="11"/>
  <c r="AM162" i="11" a="1"/>
  <c r="AO162" i="11"/>
  <c r="AM162" i="11"/>
  <c r="AN162" i="11"/>
  <c r="AP162" i="11"/>
  <c r="AW162" i="11" a="1"/>
  <c r="AW162" i="11"/>
  <c r="AW161" i="11" a="1"/>
  <c r="AW161" i="11"/>
  <c r="AR162" i="11" a="1"/>
  <c r="AT162" i="11"/>
  <c r="AS162" i="11"/>
  <c r="AU162" i="11"/>
  <c r="AR162" i="11"/>
  <c r="AC163" i="11" a="1"/>
  <c r="AE163" i="11"/>
  <c r="AD163" i="11"/>
  <c r="AC163" i="11"/>
  <c r="AF163" i="11"/>
  <c r="AH163" i="11" a="1"/>
  <c r="AI163" i="11"/>
  <c r="AH163" i="11"/>
  <c r="AJ163" i="11"/>
  <c r="AK163" i="11"/>
  <c r="AM163" i="11" a="1"/>
  <c r="AM163" i="11"/>
  <c r="AO163" i="11"/>
  <c r="AN163" i="11"/>
  <c r="AP163" i="11"/>
  <c r="AW163" i="11" a="1"/>
  <c r="AW163" i="11"/>
  <c r="AR163" i="11" a="1"/>
  <c r="AS163" i="11"/>
  <c r="AR163" i="11"/>
  <c r="AU163" i="11"/>
  <c r="AT163" i="11"/>
  <c r="AC164" i="11" a="1"/>
  <c r="AC164" i="11"/>
  <c r="AE164" i="11"/>
  <c r="AF164" i="11"/>
  <c r="AD164" i="11"/>
  <c r="AH164" i="11" a="1"/>
  <c r="AI164" i="11"/>
  <c r="AH164" i="11"/>
  <c r="AJ164" i="11"/>
  <c r="AK164" i="11"/>
  <c r="AM164" i="11" a="1"/>
  <c r="AM164" i="11"/>
  <c r="AO164" i="11"/>
  <c r="AP164" i="11"/>
  <c r="AN164" i="11"/>
  <c r="AW164" i="11" a="1"/>
  <c r="AW164" i="11"/>
  <c r="AR164" i="11" a="1"/>
  <c r="AR164" i="11"/>
  <c r="AU164" i="11"/>
  <c r="AT164" i="11"/>
  <c r="AS164" i="11"/>
  <c r="AC165" i="11" a="1"/>
  <c r="AF165" i="11"/>
  <c r="AE165" i="11"/>
  <c r="AD165" i="11"/>
  <c r="AC165" i="11"/>
  <c r="AH165" i="11" a="1"/>
  <c r="AH165" i="11"/>
  <c r="AI165" i="11"/>
  <c r="AK165" i="11"/>
  <c r="AJ165" i="11"/>
  <c r="AM165" i="11" a="1"/>
  <c r="AM165" i="11"/>
  <c r="AP165" i="11"/>
  <c r="AN165" i="11"/>
  <c r="AO165" i="11"/>
  <c r="AR165" i="11" a="1"/>
  <c r="AU165" i="11"/>
  <c r="AS165" i="11"/>
  <c r="AR165" i="11"/>
  <c r="AT165" i="11"/>
  <c r="AC166" i="11" a="1"/>
  <c r="AC166" i="11"/>
  <c r="AD166" i="11"/>
  <c r="AF166" i="11"/>
  <c r="AE166" i="11"/>
  <c r="AH166" i="11" a="1"/>
  <c r="AJ166" i="11"/>
  <c r="AH166" i="11"/>
  <c r="AK166" i="11"/>
  <c r="AI166" i="11"/>
  <c r="AM166" i="11" a="1"/>
  <c r="AN166" i="11"/>
  <c r="AO166" i="11"/>
  <c r="AP166" i="11"/>
  <c r="AM166" i="11"/>
  <c r="AW166" i="11" a="1"/>
  <c r="AW166" i="11"/>
  <c r="AW165" i="11" a="1"/>
  <c r="AW165" i="11"/>
  <c r="AR166" i="11" a="1"/>
  <c r="AT166" i="11"/>
  <c r="AR166" i="11"/>
  <c r="AS166" i="11"/>
  <c r="AU166" i="11"/>
  <c r="AC167" i="11" a="1"/>
  <c r="AE167" i="11"/>
  <c r="AF167" i="11"/>
  <c r="AD167" i="11"/>
  <c r="AC167" i="11"/>
  <c r="AH167" i="11" a="1"/>
  <c r="AI167" i="11"/>
  <c r="AJ167" i="11"/>
  <c r="AH167" i="11"/>
  <c r="AK167" i="11"/>
  <c r="AM167" i="11" a="1"/>
  <c r="AN167" i="11"/>
  <c r="AO167" i="11"/>
  <c r="AM167" i="11"/>
  <c r="AP167" i="11"/>
  <c r="AW167" i="11" a="1"/>
  <c r="AW167" i="11"/>
  <c r="AR167" i="11" a="1"/>
  <c r="AT167" i="11"/>
  <c r="AU167" i="11"/>
  <c r="AS167" i="11"/>
  <c r="AR167" i="11"/>
  <c r="AC168" i="11" a="1"/>
  <c r="AC168" i="11"/>
  <c r="AD168" i="11"/>
  <c r="AF168" i="11"/>
  <c r="AE168" i="11"/>
  <c r="AH168" i="11" a="1"/>
  <c r="AK168" i="11"/>
  <c r="AH168" i="11"/>
  <c r="AI168" i="11"/>
  <c r="AJ168" i="11"/>
  <c r="AM168" i="11" a="1"/>
  <c r="AO168" i="11"/>
  <c r="AP168" i="11"/>
  <c r="AM168" i="11"/>
  <c r="AN168" i="11"/>
  <c r="AW168" i="11" a="1"/>
  <c r="AW168" i="11"/>
  <c r="AR168" i="11" a="1"/>
  <c r="AS168" i="11"/>
  <c r="AR168" i="11"/>
  <c r="AU168" i="11"/>
  <c r="AT168" i="11"/>
  <c r="AC169" i="11" a="1"/>
  <c r="AE169" i="11"/>
  <c r="AF169" i="11"/>
  <c r="AC169" i="11"/>
  <c r="AD169" i="11"/>
  <c r="AH169" i="11" a="1"/>
  <c r="AI169" i="11"/>
  <c r="AK169" i="11"/>
  <c r="AJ169" i="11"/>
  <c r="AH169" i="11"/>
  <c r="AM169" i="11" a="1"/>
  <c r="AM169" i="11"/>
  <c r="AN169" i="11"/>
  <c r="AP169" i="11"/>
  <c r="AO169" i="11"/>
  <c r="AR169" i="11" a="1"/>
  <c r="AR169" i="11"/>
  <c r="AT169" i="11"/>
  <c r="AS169" i="11"/>
  <c r="AU169" i="11"/>
  <c r="AC170" i="11" a="1"/>
  <c r="AC170" i="11"/>
  <c r="AD170" i="11"/>
  <c r="AF170" i="11"/>
  <c r="AE170" i="11"/>
  <c r="AH170" i="11" a="1"/>
  <c r="AH170" i="11"/>
  <c r="AI170" i="11"/>
  <c r="AJ170" i="11"/>
  <c r="AK170" i="11"/>
  <c r="AM170" i="11" a="1"/>
  <c r="AO170" i="11"/>
  <c r="AM170" i="11"/>
  <c r="AN170" i="11"/>
  <c r="AP170" i="11"/>
  <c r="AW170" i="11" a="1"/>
  <c r="AW170" i="11"/>
  <c r="AW169" i="11" a="1"/>
  <c r="AW169" i="11"/>
  <c r="AR170" i="11" a="1"/>
  <c r="AS170" i="11"/>
  <c r="AU170" i="11"/>
  <c r="AR170" i="11"/>
  <c r="AT170" i="11"/>
  <c r="AC171" i="11" a="1"/>
  <c r="AD171" i="11"/>
  <c r="AF171" i="11"/>
  <c r="AC171" i="11"/>
  <c r="AE171" i="11"/>
  <c r="AH171" i="11" a="1"/>
  <c r="AK171" i="11"/>
  <c r="AH171" i="11"/>
  <c r="AJ171" i="11"/>
  <c r="AI171" i="11"/>
  <c r="AM171" i="11" a="1"/>
  <c r="AP171" i="11"/>
  <c r="AM171" i="11"/>
  <c r="AO171" i="11"/>
  <c r="AN171" i="11"/>
  <c r="AW171" i="11" a="1"/>
  <c r="AW171" i="11"/>
  <c r="AR171" i="11" a="1"/>
  <c r="AS171" i="11"/>
  <c r="AT171" i="11"/>
  <c r="AU171" i="11"/>
  <c r="AR171" i="11"/>
  <c r="AC172" i="11" a="1"/>
  <c r="AF172" i="11"/>
  <c r="AC172" i="11"/>
  <c r="AE172" i="11"/>
  <c r="AD172" i="11"/>
  <c r="AH172" i="11" a="1"/>
  <c r="AH172" i="11"/>
  <c r="AJ172" i="11"/>
  <c r="AK172" i="11"/>
  <c r="AI172" i="11"/>
  <c r="AM172" i="11" a="1"/>
  <c r="AO172" i="11"/>
  <c r="AM172" i="11"/>
  <c r="AP172" i="11"/>
  <c r="AN172" i="11"/>
  <c r="AW172" i="11" a="1"/>
  <c r="AW172" i="11"/>
  <c r="AR172" i="11" a="1"/>
  <c r="AT172" i="11"/>
  <c r="AS172" i="11"/>
  <c r="AR172" i="11"/>
  <c r="AU172" i="11"/>
  <c r="AC173" i="11" a="1"/>
  <c r="AF173" i="11"/>
  <c r="AD173" i="11"/>
  <c r="AE173" i="11"/>
  <c r="AC173" i="11"/>
  <c r="AH173" i="11" a="1"/>
  <c r="AK173" i="11"/>
  <c r="AJ173" i="11"/>
  <c r="AH173" i="11"/>
  <c r="AI173" i="11"/>
  <c r="AM173" i="11" a="1"/>
  <c r="AP173" i="11"/>
  <c r="AO173" i="11"/>
  <c r="AN173" i="11"/>
  <c r="AM173" i="11"/>
  <c r="AW173" i="11" a="1"/>
  <c r="AW173" i="11"/>
  <c r="AR173" i="11" a="1"/>
  <c r="AT173" i="11"/>
  <c r="AU173" i="11"/>
  <c r="AS173" i="11"/>
  <c r="AR173" i="11"/>
  <c r="AC174" i="11" a="1"/>
  <c r="AD174" i="11"/>
  <c r="AF174" i="11"/>
  <c r="AE174" i="11"/>
  <c r="AC174" i="11"/>
  <c r="AH174" i="11" a="1"/>
  <c r="AH174" i="11"/>
  <c r="AJ174" i="11"/>
  <c r="AI174" i="11"/>
  <c r="AK174" i="11"/>
  <c r="AM174" i="11" a="1"/>
  <c r="AP174" i="11"/>
  <c r="AN174" i="11"/>
  <c r="AM174" i="11"/>
  <c r="AO174" i="11"/>
  <c r="AR174" i="11" a="1"/>
  <c r="AT174" i="11"/>
  <c r="AU174" i="11"/>
  <c r="AS174" i="11"/>
  <c r="AR174" i="11"/>
  <c r="AC175" i="11" a="1"/>
  <c r="AD175" i="11"/>
  <c r="AC175" i="11"/>
  <c r="AF175" i="11"/>
  <c r="AE175" i="11"/>
  <c r="AH175" i="11" a="1"/>
  <c r="AI175" i="11"/>
  <c r="AJ175" i="11"/>
  <c r="AK175" i="11"/>
  <c r="AH175" i="11"/>
  <c r="AM175" i="11" a="1"/>
  <c r="AM175" i="11"/>
  <c r="AO175" i="11"/>
  <c r="AP175" i="11"/>
  <c r="AN175" i="11"/>
  <c r="AW175" i="11" a="1"/>
  <c r="AW175" i="11"/>
  <c r="AR175" i="11" a="1"/>
  <c r="AS175" i="11"/>
  <c r="AR175" i="11"/>
  <c r="AT175" i="11"/>
  <c r="AU175" i="11"/>
  <c r="AC176" i="11" a="1"/>
  <c r="AC176" i="11"/>
  <c r="AF176" i="11"/>
  <c r="AD176" i="11"/>
  <c r="AE176" i="11"/>
  <c r="AH176" i="11" a="1"/>
  <c r="AJ176" i="11"/>
  <c r="AK176" i="11"/>
  <c r="AI176" i="11"/>
  <c r="AH176" i="11"/>
  <c r="AM176" i="11" a="1"/>
  <c r="AP176" i="11"/>
  <c r="AM176" i="11"/>
  <c r="AO176" i="11"/>
  <c r="AN176" i="11"/>
  <c r="AW176" i="11" a="1"/>
  <c r="AW176" i="11"/>
  <c r="AW174" i="11" a="1"/>
  <c r="AW174" i="11"/>
  <c r="AR176" i="11" a="1"/>
  <c r="AS176" i="11"/>
  <c r="AU176" i="11"/>
  <c r="AT176" i="11"/>
  <c r="AR176" i="11"/>
  <c r="AC177" i="11" a="1"/>
  <c r="AC177" i="11"/>
  <c r="AD177" i="11"/>
  <c r="AE177" i="11"/>
  <c r="AF177" i="11"/>
  <c r="AH177" i="11" a="1"/>
  <c r="AH177" i="11"/>
  <c r="AK177" i="11"/>
  <c r="AJ177" i="11"/>
  <c r="AI177" i="11"/>
  <c r="AM177" i="11" a="1"/>
  <c r="AO177" i="11"/>
  <c r="AM177" i="11"/>
  <c r="AN177" i="11"/>
  <c r="AP177" i="11"/>
  <c r="AR177" i="11" a="1"/>
  <c r="AT177" i="11"/>
  <c r="AU177" i="11"/>
  <c r="AR177" i="11"/>
  <c r="AS177" i="11"/>
  <c r="AC178" i="11" a="1"/>
  <c r="AE178" i="11"/>
  <c r="AD178" i="11"/>
  <c r="AF178" i="11"/>
  <c r="AC178" i="11"/>
  <c r="AH178" i="11" a="1"/>
  <c r="AK178" i="11"/>
  <c r="AH178" i="11"/>
  <c r="AJ178" i="11"/>
  <c r="AI178" i="11"/>
  <c r="AM178" i="11" a="1"/>
  <c r="AP178" i="11"/>
  <c r="AM178" i="11"/>
  <c r="AN178" i="11"/>
  <c r="AO178" i="11"/>
  <c r="AW178" i="11" a="1"/>
  <c r="AW178" i="11"/>
  <c r="AW177" i="11" a="1"/>
  <c r="AW177" i="11"/>
  <c r="AR178" i="11" a="1"/>
  <c r="AU178" i="11"/>
  <c r="AS178" i="11"/>
  <c r="AT178" i="11"/>
  <c r="AR178" i="11"/>
  <c r="AC179" i="11" a="1"/>
  <c r="AE179" i="11"/>
  <c r="AF179" i="11"/>
  <c r="AD179" i="11"/>
  <c r="AC179" i="11"/>
  <c r="AH179" i="11" a="1"/>
  <c r="AK179" i="11"/>
  <c r="AJ179" i="11"/>
  <c r="AH179" i="11"/>
  <c r="AI179" i="11"/>
  <c r="AM179" i="11" a="1"/>
  <c r="AO179" i="11"/>
  <c r="AN179" i="11"/>
  <c r="AM179" i="11"/>
  <c r="AP179" i="11"/>
  <c r="AR179" i="11" a="1"/>
  <c r="AU179" i="11"/>
  <c r="AT179" i="11"/>
  <c r="AS179" i="11"/>
  <c r="AR179" i="11"/>
  <c r="AC180" i="11" a="1"/>
  <c r="AE180" i="11"/>
  <c r="AD180" i="11"/>
  <c r="AC180" i="11"/>
  <c r="AF180" i="11"/>
  <c r="AH180" i="11" a="1"/>
  <c r="AI180" i="11"/>
  <c r="AK180" i="11"/>
  <c r="AH180" i="11"/>
  <c r="AJ180" i="11"/>
  <c r="AM180" i="11" a="1"/>
  <c r="AO180" i="11"/>
  <c r="AM180" i="11"/>
  <c r="AP180" i="11"/>
  <c r="AN180" i="11"/>
  <c r="AW180" i="11" a="1"/>
  <c r="AW180" i="11"/>
  <c r="AR180" i="11" a="1"/>
  <c r="AS180" i="11"/>
  <c r="AU180" i="11"/>
  <c r="AT180" i="11"/>
  <c r="AR180" i="11"/>
  <c r="AC181" i="11" a="1"/>
  <c r="AD181" i="11"/>
  <c r="AE181" i="11"/>
  <c r="AC181" i="11"/>
  <c r="AF181" i="11"/>
  <c r="AH181" i="11" a="1"/>
  <c r="AK181" i="11"/>
  <c r="AH181" i="11"/>
  <c r="AI181" i="11"/>
  <c r="AJ181" i="11"/>
  <c r="AM181" i="11" a="1"/>
  <c r="AP181" i="11"/>
  <c r="AO181" i="11"/>
  <c r="AM181" i="11"/>
  <c r="AN181" i="11"/>
  <c r="AW181" i="11" a="1"/>
  <c r="AW181" i="11"/>
  <c r="AW179" i="11" a="1"/>
  <c r="AW179" i="11"/>
  <c r="AR181" i="11" a="1"/>
  <c r="AT181" i="11"/>
  <c r="AU181" i="11"/>
  <c r="AR181" i="11"/>
  <c r="AS181" i="11"/>
  <c r="AC182" i="11" a="1"/>
  <c r="AE182" i="11"/>
  <c r="AC182" i="11"/>
  <c r="AD182" i="11"/>
  <c r="AF182" i="11"/>
  <c r="AH182" i="11" a="1"/>
  <c r="AJ182" i="11"/>
  <c r="AH182" i="11"/>
  <c r="AI182" i="11"/>
  <c r="AK182" i="11"/>
  <c r="AM182" i="11" a="1"/>
  <c r="AM182" i="11"/>
  <c r="AP182" i="11"/>
  <c r="AN182" i="11"/>
  <c r="AO182" i="11"/>
  <c r="AW182" i="11" a="1"/>
  <c r="AW182" i="11"/>
  <c r="AR182" i="11" a="1"/>
  <c r="AS182" i="11"/>
  <c r="AR182" i="11"/>
  <c r="AT182" i="11"/>
  <c r="AU182" i="11"/>
  <c r="AC183" i="11" a="1"/>
  <c r="AD183" i="11"/>
  <c r="AF183" i="11"/>
  <c r="AC183" i="11"/>
  <c r="AE183" i="11"/>
  <c r="AH183" i="11" a="1"/>
  <c r="AJ183" i="11"/>
  <c r="AH183" i="11"/>
  <c r="AI183" i="11"/>
  <c r="AK183" i="11"/>
  <c r="AM183" i="11" a="1"/>
  <c r="AM183" i="11"/>
  <c r="AN183" i="11"/>
  <c r="AO183" i="11"/>
  <c r="AP183" i="11"/>
  <c r="AR183" i="11" a="1"/>
  <c r="AU183" i="11"/>
  <c r="AS183" i="11"/>
  <c r="AR183" i="11"/>
  <c r="AT183" i="11"/>
  <c r="AC184" i="11" a="1"/>
  <c r="AC184" i="11"/>
  <c r="AE184" i="11"/>
  <c r="AF184" i="11"/>
  <c r="AD184" i="11"/>
  <c r="AH184" i="11" a="1"/>
  <c r="AH184" i="11"/>
  <c r="AK184" i="11"/>
  <c r="AI184" i="11"/>
  <c r="AJ184" i="11"/>
  <c r="AM184" i="11" a="1"/>
  <c r="AM184" i="11"/>
  <c r="AP184" i="11"/>
  <c r="AO184" i="11"/>
  <c r="AN184" i="11"/>
  <c r="AW184" i="11" a="1"/>
  <c r="AW184" i="11"/>
  <c r="AR184" i="11" a="1"/>
  <c r="AT184" i="11"/>
  <c r="AU184" i="11"/>
  <c r="AR184" i="11"/>
  <c r="AS184" i="11"/>
  <c r="AC185" i="11" a="1"/>
  <c r="AF185" i="11"/>
  <c r="AE185" i="11"/>
  <c r="AC185" i="11"/>
  <c r="AD185" i="11"/>
  <c r="AH185" i="11" a="1"/>
  <c r="AH185" i="11"/>
  <c r="AI185" i="11"/>
  <c r="AK185" i="11"/>
  <c r="AJ185" i="11"/>
  <c r="AM185" i="11" a="1"/>
  <c r="AM185" i="11"/>
  <c r="AN185" i="11"/>
  <c r="AO185" i="11"/>
  <c r="AP185" i="11"/>
  <c r="AW185" i="11" a="1"/>
  <c r="AW185" i="11"/>
  <c r="AR185" i="11" a="1"/>
  <c r="AT185" i="11"/>
  <c r="AS185" i="11"/>
  <c r="AR185" i="11"/>
  <c r="AU185" i="11"/>
  <c r="AC186" i="11" a="1"/>
  <c r="AF186" i="11"/>
  <c r="AD186" i="11"/>
  <c r="AC186" i="11"/>
  <c r="AE186" i="11"/>
  <c r="AH186" i="11" a="1"/>
  <c r="AJ186" i="11"/>
  <c r="AI186" i="11"/>
  <c r="AK186" i="11"/>
  <c r="AH186" i="11"/>
  <c r="AM186" i="11" a="1"/>
  <c r="AO186" i="11"/>
  <c r="AM186" i="11"/>
  <c r="AP186" i="11"/>
  <c r="AN186" i="11"/>
  <c r="AW186" i="11" a="1"/>
  <c r="AW186" i="11"/>
  <c r="AW183" i="11" a="1"/>
  <c r="AW183" i="11"/>
  <c r="AR186" i="11" a="1"/>
  <c r="AT186" i="11"/>
  <c r="AR186" i="11"/>
  <c r="AU186" i="11"/>
  <c r="AS186" i="11"/>
  <c r="AC187" i="11" a="1"/>
  <c r="AC187" i="11"/>
  <c r="AD187" i="11"/>
  <c r="AE187" i="11"/>
  <c r="AF187" i="11"/>
  <c r="AH187" i="11" a="1"/>
  <c r="AK187" i="11"/>
  <c r="AH187" i="11"/>
  <c r="AJ187" i="11"/>
  <c r="AI187" i="11"/>
  <c r="AM187" i="11" a="1"/>
  <c r="AO187" i="11"/>
  <c r="AM187" i="11"/>
  <c r="AN187" i="11"/>
  <c r="AP187" i="11"/>
  <c r="AW187" i="11" a="1"/>
  <c r="AW187" i="11"/>
  <c r="AR187" i="11" a="1"/>
  <c r="AR187" i="11"/>
  <c r="AS187" i="11"/>
  <c r="AU187" i="11"/>
  <c r="AT187" i="11"/>
  <c r="AC188" i="11" a="1"/>
  <c r="AF188" i="11"/>
  <c r="AD188" i="11"/>
  <c r="AE188" i="11"/>
  <c r="AC188" i="11"/>
  <c r="AH188" i="11" a="1"/>
  <c r="AK188" i="11"/>
  <c r="AI188" i="11"/>
  <c r="AJ188" i="11"/>
  <c r="AH188" i="11"/>
  <c r="AM188" i="11" a="1"/>
  <c r="AN188" i="11"/>
  <c r="AO188" i="11"/>
  <c r="AP188" i="11"/>
  <c r="AM188" i="11"/>
  <c r="AR188" i="11" a="1"/>
  <c r="AT188" i="11"/>
  <c r="AS188" i="11"/>
  <c r="AR188" i="11"/>
  <c r="AU188" i="11"/>
  <c r="AC189" i="11" a="1"/>
  <c r="AC189" i="11"/>
  <c r="AF189" i="11"/>
  <c r="AE189" i="11"/>
  <c r="AD189" i="11"/>
  <c r="AH189" i="11" a="1"/>
  <c r="AI189" i="11"/>
  <c r="AJ189" i="11"/>
  <c r="AK189" i="11"/>
  <c r="AH189" i="11"/>
  <c r="AM189" i="11" a="1"/>
  <c r="AO189" i="11"/>
  <c r="AP189" i="11"/>
  <c r="AM189" i="11"/>
  <c r="AN189" i="11"/>
  <c r="AW189" i="11" a="1"/>
  <c r="AW189" i="11"/>
  <c r="AW188" i="11" a="1"/>
  <c r="AW188" i="11"/>
  <c r="AR189" i="11" a="1"/>
  <c r="AU189" i="11"/>
  <c r="AR189" i="11"/>
  <c r="AT189" i="11"/>
  <c r="AS189" i="11"/>
  <c r="AC190" i="11" a="1"/>
  <c r="AF190" i="11"/>
  <c r="AE190" i="11"/>
  <c r="AD190" i="11"/>
  <c r="AC190" i="11"/>
  <c r="AH190" i="11" a="1"/>
  <c r="AK190" i="11"/>
  <c r="AI190" i="11"/>
  <c r="AJ190" i="11"/>
  <c r="AH190" i="11"/>
  <c r="AM190" i="11" a="1"/>
  <c r="AO190" i="11"/>
  <c r="AN190" i="11"/>
  <c r="AM190" i="11"/>
  <c r="AP190" i="11"/>
  <c r="AR190" i="11" a="1"/>
  <c r="AR190" i="11"/>
  <c r="AU190" i="11"/>
  <c r="AT190" i="11"/>
  <c r="AS190" i="11"/>
  <c r="AC191" i="11" a="1"/>
  <c r="AE191" i="11"/>
  <c r="AC191" i="11"/>
  <c r="AD191" i="11"/>
  <c r="AF191" i="11"/>
  <c r="AH191" i="11" a="1"/>
  <c r="AJ191" i="11"/>
  <c r="AH191" i="11"/>
  <c r="AK191" i="11"/>
  <c r="AI191" i="11"/>
  <c r="AM191" i="11" a="1"/>
  <c r="AP191" i="11"/>
  <c r="AN191" i="11"/>
  <c r="AM191" i="11"/>
  <c r="AO191" i="11"/>
  <c r="AW191" i="11" a="1"/>
  <c r="AW191" i="11"/>
  <c r="AW190" i="11" a="1"/>
  <c r="AW190" i="11"/>
  <c r="AR191" i="11" a="1"/>
  <c r="AT191" i="11"/>
  <c r="AS191" i="11"/>
  <c r="AR191" i="11"/>
  <c r="AU191" i="11"/>
  <c r="AC192" i="11" a="1"/>
  <c r="AE192" i="11"/>
  <c r="AD192" i="11"/>
  <c r="AC192" i="11"/>
  <c r="AF192" i="11"/>
  <c r="AH192" i="11" a="1"/>
  <c r="AJ192" i="11"/>
  <c r="AH192" i="11"/>
  <c r="AI192" i="11"/>
  <c r="AK192" i="11"/>
  <c r="AM192" i="11" a="1"/>
  <c r="AP192" i="11"/>
  <c r="AM192" i="11"/>
  <c r="AO192" i="11"/>
  <c r="AN192" i="11"/>
  <c r="AR192" i="11" a="1"/>
  <c r="AT192" i="11"/>
  <c r="AR192" i="11"/>
  <c r="AU192" i="11"/>
  <c r="AS192" i="11"/>
  <c r="AC193" i="11" a="1"/>
  <c r="AF193" i="11"/>
  <c r="AC193" i="11"/>
  <c r="AE193" i="11"/>
  <c r="AD193" i="11"/>
  <c r="AH193" i="11" a="1"/>
  <c r="AH193" i="11"/>
  <c r="AI193" i="11"/>
  <c r="AK193" i="11"/>
  <c r="AJ193" i="11"/>
  <c r="AM193" i="11" a="1"/>
  <c r="AP193" i="11"/>
  <c r="AO193" i="11"/>
  <c r="AM193" i="11"/>
  <c r="AN193" i="11"/>
  <c r="AW193" i="11" a="1"/>
  <c r="AW193" i="11"/>
  <c r="AR193" i="11" a="1"/>
  <c r="AR193" i="11"/>
  <c r="AU193" i="11"/>
  <c r="AS193" i="11"/>
  <c r="AT193" i="11"/>
  <c r="AC194" i="11" a="1"/>
  <c r="AE194" i="11"/>
  <c r="AF194" i="11"/>
  <c r="AD194" i="11"/>
  <c r="AC194" i="11"/>
  <c r="AH194" i="11" a="1"/>
  <c r="AI194" i="11"/>
  <c r="AK194" i="11"/>
  <c r="AJ194" i="11"/>
  <c r="AH194" i="11"/>
  <c r="AM194" i="11" a="1"/>
  <c r="AO194" i="11"/>
  <c r="AM194" i="11"/>
  <c r="AN194" i="11"/>
  <c r="AP194" i="11"/>
  <c r="AW194" i="11" a="1"/>
  <c r="AW194" i="11"/>
  <c r="AW192" i="11" a="1"/>
  <c r="AW192" i="11"/>
  <c r="AR194" i="11" a="1"/>
  <c r="AT194" i="11"/>
  <c r="AU194" i="11"/>
  <c r="AR194" i="11"/>
  <c r="AS194" i="11"/>
  <c r="AC195" i="11" a="1"/>
  <c r="AC195" i="11"/>
  <c r="AF195" i="11"/>
  <c r="AE195" i="11"/>
  <c r="AD195" i="11"/>
  <c r="AH195" i="11" a="1"/>
  <c r="AJ195" i="11"/>
  <c r="AI195" i="11"/>
  <c r="AK195" i="11"/>
  <c r="AH195" i="11"/>
  <c r="AM195" i="11" a="1"/>
  <c r="AM195" i="11"/>
  <c r="AP195" i="11"/>
  <c r="AO195" i="11"/>
  <c r="AN195" i="11"/>
  <c r="AW195" i="11" a="1"/>
  <c r="AW195" i="11"/>
  <c r="AR195" i="11" a="1"/>
  <c r="AU195" i="11"/>
  <c r="AR195" i="11"/>
  <c r="AT195" i="11"/>
  <c r="AS195" i="11"/>
  <c r="AC196" i="11" a="1"/>
  <c r="AD196" i="11"/>
  <c r="AF196" i="11"/>
  <c r="AC196" i="11"/>
  <c r="AE196" i="11"/>
  <c r="AH196" i="11" a="1"/>
  <c r="AJ196" i="11"/>
  <c r="AK196" i="11"/>
  <c r="AH196" i="11"/>
  <c r="AI196" i="11"/>
  <c r="AM196" i="11" a="1"/>
  <c r="AM196" i="11"/>
  <c r="AP196" i="11"/>
  <c r="AN196" i="11"/>
  <c r="AO196" i="11"/>
  <c r="AR196" i="11" a="1"/>
  <c r="AT196" i="11"/>
  <c r="AS196" i="11"/>
  <c r="AU196" i="11"/>
  <c r="AR196" i="11"/>
  <c r="AC197" i="11" a="1"/>
  <c r="AC197" i="11"/>
  <c r="AD197" i="11"/>
  <c r="AE197" i="11"/>
  <c r="AF197" i="11"/>
  <c r="AH197" i="11" a="1"/>
  <c r="AH197" i="11"/>
  <c r="AI197" i="11"/>
  <c r="AK197" i="11"/>
  <c r="AJ197" i="11"/>
  <c r="AM197" i="11" a="1"/>
  <c r="AM197" i="11"/>
  <c r="AN197" i="11"/>
  <c r="AO197" i="11"/>
  <c r="AP197" i="11"/>
  <c r="AW197" i="11" a="1"/>
  <c r="AW197" i="11"/>
  <c r="AW196" i="11" a="1"/>
  <c r="AW196" i="11"/>
  <c r="AR197" i="11" a="1"/>
  <c r="AR197" i="11"/>
  <c r="AU197" i="11"/>
  <c r="AS197" i="11"/>
  <c r="AT197" i="11"/>
  <c r="AC198" i="11" a="1"/>
  <c r="AD198" i="11"/>
  <c r="AE198" i="11"/>
  <c r="AC198" i="11"/>
  <c r="AF198" i="11"/>
  <c r="AH198" i="11" a="1"/>
  <c r="AK198" i="11"/>
  <c r="AJ198" i="11"/>
  <c r="AH198" i="11"/>
  <c r="AI198" i="11"/>
  <c r="AM198" i="11" a="1"/>
  <c r="AM198" i="11"/>
  <c r="AN198" i="11"/>
  <c r="AO198" i="11"/>
  <c r="AP198" i="11"/>
  <c r="AW198" i="11" a="1"/>
  <c r="AW198" i="11"/>
  <c r="AR198" i="11" a="1"/>
  <c r="AU198" i="11"/>
  <c r="AS198" i="11"/>
  <c r="AR198" i="11"/>
  <c r="AT198" i="11"/>
  <c r="AC199" i="11" a="1"/>
  <c r="AD199" i="11"/>
  <c r="AC199" i="11"/>
  <c r="AE199" i="11"/>
  <c r="AF199" i="11"/>
  <c r="AH199" i="11" a="1"/>
  <c r="AH199" i="11"/>
  <c r="AJ199" i="11"/>
  <c r="AI199" i="11"/>
  <c r="AK199" i="11"/>
  <c r="AM199" i="11" a="1"/>
  <c r="AP199" i="11"/>
  <c r="AO199" i="11"/>
  <c r="AN199" i="11"/>
  <c r="AM199" i="11"/>
  <c r="AW199" i="11" a="1"/>
  <c r="AW199" i="11"/>
  <c r="AR199" i="11" a="1"/>
  <c r="AS199" i="11"/>
  <c r="AR199" i="11"/>
  <c r="AT199" i="11"/>
  <c r="AU199" i="11"/>
  <c r="AC200" i="11" a="1"/>
  <c r="AD200" i="11"/>
  <c r="AF200" i="11"/>
  <c r="AE200" i="11"/>
  <c r="AC200" i="11"/>
  <c r="AH200" i="11" a="1"/>
  <c r="AJ200" i="11"/>
  <c r="AK200" i="11"/>
  <c r="AI200" i="11"/>
  <c r="AH200" i="11"/>
  <c r="AM200" i="11" a="1"/>
  <c r="AP200" i="11"/>
  <c r="AM200" i="11"/>
  <c r="AN200" i="11"/>
  <c r="AO200" i="11"/>
  <c r="AR200" i="11" a="1"/>
  <c r="AT200" i="11"/>
  <c r="AU200" i="11"/>
  <c r="AR200" i="11"/>
  <c r="AS200" i="11"/>
  <c r="AC201" i="11" a="1"/>
  <c r="AC201" i="11"/>
  <c r="AD201" i="11"/>
  <c r="AF201" i="11"/>
  <c r="AE201" i="11"/>
  <c r="AH201" i="11" a="1"/>
  <c r="AK201" i="11"/>
  <c r="AJ201" i="11"/>
  <c r="AH201" i="11"/>
  <c r="AI201" i="11"/>
  <c r="AM201" i="11" a="1"/>
  <c r="AO201" i="11"/>
  <c r="AM201" i="11"/>
  <c r="AP201" i="11"/>
  <c r="AN201" i="11"/>
  <c r="AW201" i="11" a="1"/>
  <c r="AW201" i="11"/>
  <c r="AR201" i="11" a="1"/>
  <c r="AT201" i="11"/>
  <c r="AU201" i="11"/>
  <c r="AR201" i="11"/>
  <c r="AS201" i="11"/>
  <c r="AC202" i="11" a="1"/>
  <c r="AC202" i="11"/>
  <c r="AD202" i="11"/>
  <c r="AF202" i="11"/>
  <c r="AE202" i="11"/>
  <c r="AH202" i="11" a="1"/>
  <c r="AH202" i="11"/>
  <c r="AK202" i="11"/>
  <c r="AI202" i="11"/>
  <c r="AJ202" i="11"/>
  <c r="AM202" i="11" a="1"/>
  <c r="AP202" i="11"/>
  <c r="AO202" i="11"/>
  <c r="AN202" i="11"/>
  <c r="AM202" i="11"/>
  <c r="AW202" i="11" a="1"/>
  <c r="AW202" i="11"/>
  <c r="AW200" i="11" a="1"/>
  <c r="AW200" i="11"/>
  <c r="AR202" i="11" a="1"/>
  <c r="AU202" i="11"/>
  <c r="AT202" i="11"/>
  <c r="AS202" i="11"/>
  <c r="AR202" i="11"/>
  <c r="AC203" i="11" a="1"/>
  <c r="AC203" i="11"/>
  <c r="AD203" i="11"/>
  <c r="AE203" i="11"/>
  <c r="AF203" i="11"/>
  <c r="AH203" i="11" a="1"/>
  <c r="AK203" i="11"/>
  <c r="AJ203" i="11"/>
  <c r="AH203" i="11"/>
  <c r="AI203" i="11"/>
  <c r="AM203" i="11" a="1"/>
  <c r="AO203" i="11"/>
  <c r="AM203" i="11"/>
  <c r="AP203" i="11"/>
  <c r="AN203" i="11"/>
  <c r="AR203" i="11" a="1"/>
  <c r="AR203" i="11"/>
  <c r="AU203" i="11"/>
  <c r="AT203" i="11"/>
  <c r="AS203" i="11"/>
  <c r="AC204" i="11" a="1"/>
  <c r="AE204" i="11"/>
  <c r="AF204" i="11"/>
  <c r="AD204" i="11"/>
  <c r="AC204" i="11"/>
  <c r="AH204" i="11" a="1"/>
  <c r="AJ204" i="11"/>
  <c r="AK204" i="11"/>
  <c r="AI204" i="11"/>
  <c r="AH204" i="11"/>
  <c r="AM204" i="11" a="1"/>
  <c r="AN204" i="11"/>
  <c r="AO204" i="11"/>
  <c r="AP204" i="11"/>
  <c r="AM204" i="11"/>
  <c r="AW204" i="11" a="1"/>
  <c r="AW204" i="11"/>
  <c r="AW203" i="11" a="1"/>
  <c r="AW203" i="11"/>
  <c r="AR204" i="11" a="1"/>
  <c r="AS204" i="11"/>
  <c r="AU204" i="11"/>
  <c r="AR204" i="11"/>
  <c r="AT204" i="11"/>
  <c r="AC205" i="11" a="1"/>
  <c r="AE205" i="11"/>
  <c r="AD205" i="11"/>
  <c r="AF205" i="11"/>
  <c r="AC205" i="11"/>
  <c r="AH205" i="11" a="1"/>
  <c r="AJ205" i="11"/>
  <c r="AI205" i="11"/>
  <c r="AK205" i="11"/>
  <c r="AH205" i="11"/>
  <c r="AM205" i="11" a="1"/>
  <c r="AP205" i="11"/>
  <c r="AO205" i="11"/>
  <c r="AN205" i="11"/>
  <c r="AM205" i="11"/>
  <c r="AR205" i="11" a="1"/>
  <c r="AR205" i="11"/>
  <c r="AU205" i="11"/>
  <c r="AT205" i="11"/>
  <c r="AS205" i="11"/>
  <c r="AC206" i="11" a="1"/>
  <c r="AF206" i="11"/>
  <c r="AD206" i="11"/>
  <c r="AC206" i="11"/>
  <c r="AE206" i="11"/>
  <c r="AH206" i="11" a="1"/>
  <c r="AI206" i="11"/>
  <c r="AK206" i="11"/>
  <c r="AJ206" i="11"/>
  <c r="AH206" i="11"/>
  <c r="AM206" i="11" a="1"/>
  <c r="AM206" i="11"/>
  <c r="AP206" i="11"/>
  <c r="AO206" i="11"/>
  <c r="AN206" i="11"/>
  <c r="AW206" i="11" a="1"/>
  <c r="AW206" i="11"/>
  <c r="AR206" i="11" a="1"/>
  <c r="AS206" i="11"/>
  <c r="AR206" i="11"/>
  <c r="AU206" i="11"/>
  <c r="AT206" i="11"/>
  <c r="AC207" i="11" a="1"/>
  <c r="AD207" i="11"/>
  <c r="AC207" i="11"/>
  <c r="AE207" i="11"/>
  <c r="AF207" i="11"/>
  <c r="AH207" i="11" a="1"/>
  <c r="AK207" i="11"/>
  <c r="AH207" i="11"/>
  <c r="AI207" i="11"/>
  <c r="AJ207" i="11"/>
  <c r="AM207" i="11" a="1"/>
  <c r="AO207" i="11"/>
  <c r="AN207" i="11"/>
  <c r="AM207" i="11"/>
  <c r="AP207" i="11"/>
  <c r="AW207" i="11" a="1"/>
  <c r="AW207" i="11"/>
  <c r="AR207" i="11" a="1"/>
  <c r="AU207" i="11"/>
  <c r="AR207" i="11"/>
  <c r="AT207" i="11"/>
  <c r="AS207" i="11"/>
  <c r="AC208" i="11" a="1"/>
  <c r="AC208" i="11"/>
  <c r="AF208" i="11"/>
  <c r="AE208" i="11"/>
  <c r="AD208" i="11"/>
  <c r="AH208" i="11" a="1"/>
  <c r="AH208" i="11"/>
  <c r="AK208" i="11"/>
  <c r="AJ208" i="11"/>
  <c r="AI208" i="11"/>
  <c r="AM208" i="11" a="1"/>
  <c r="AP208" i="11"/>
  <c r="AO208" i="11"/>
  <c r="AM208" i="11"/>
  <c r="AN208" i="11"/>
  <c r="AW208" i="11" a="1"/>
  <c r="AW208" i="11"/>
  <c r="AW205" i="11" a="1"/>
  <c r="AW205" i="11"/>
  <c r="AR208" i="11" a="1"/>
  <c r="AT208" i="11"/>
  <c r="AU208" i="11"/>
  <c r="AR208" i="11"/>
  <c r="AS208" i="11"/>
  <c r="AC209" i="11" a="1"/>
  <c r="AE209" i="11"/>
  <c r="AC209" i="11"/>
  <c r="AD209" i="11"/>
  <c r="AF209" i="11"/>
  <c r="AH209" i="11" a="1"/>
  <c r="AI209" i="11"/>
  <c r="AK209" i="11"/>
  <c r="AH209" i="11"/>
  <c r="AJ209" i="11"/>
  <c r="AM209" i="11" a="1"/>
  <c r="AP209" i="11"/>
  <c r="AO209" i="11"/>
  <c r="AM209" i="11"/>
  <c r="AN209" i="11"/>
  <c r="AR209" i="11" a="1"/>
  <c r="AT209" i="11"/>
  <c r="AU209" i="11"/>
  <c r="AR209" i="11"/>
  <c r="AS209" i="11"/>
  <c r="AC210" i="11" a="1"/>
  <c r="AC210" i="11"/>
  <c r="AD210" i="11"/>
  <c r="AE210" i="11"/>
  <c r="AF210" i="11"/>
  <c r="AH210" i="11" a="1"/>
  <c r="AH210" i="11"/>
  <c r="AK210" i="11"/>
  <c r="AI210" i="11"/>
  <c r="AJ210" i="11"/>
  <c r="AM210" i="11" a="1"/>
  <c r="AO210" i="11"/>
  <c r="AM210" i="11"/>
  <c r="AN210" i="11"/>
  <c r="AP210" i="11"/>
  <c r="AW210" i="11" a="1"/>
  <c r="AW210" i="11"/>
  <c r="AR210" i="11" a="1"/>
  <c r="AS210" i="11"/>
  <c r="AT210" i="11"/>
  <c r="AU210" i="11"/>
  <c r="AR210" i="11"/>
  <c r="AC211" i="11" a="1"/>
  <c r="AF211" i="11"/>
  <c r="AD211" i="11"/>
  <c r="AC211" i="11"/>
  <c r="AE211" i="11"/>
  <c r="AH211" i="11" a="1"/>
  <c r="AI211" i="11"/>
  <c r="AH211" i="11"/>
  <c r="AK211" i="11"/>
  <c r="AJ211" i="11"/>
  <c r="AM211" i="11" a="1"/>
  <c r="AM211" i="11"/>
  <c r="AO211" i="11"/>
  <c r="AP211" i="11"/>
  <c r="AN211" i="11"/>
  <c r="AW211" i="11" a="1"/>
  <c r="AW211" i="11"/>
  <c r="AW209" i="11" a="1"/>
  <c r="AW209" i="11"/>
  <c r="AR211" i="11" a="1"/>
  <c r="AU211" i="11"/>
  <c r="AT211" i="11"/>
  <c r="AS211" i="11"/>
  <c r="AR211" i="11"/>
  <c r="AC212" i="11" a="1"/>
  <c r="AF212" i="11"/>
  <c r="AD212" i="11"/>
  <c r="AC212" i="11"/>
  <c r="AE212" i="11"/>
  <c r="AH212" i="11" a="1"/>
  <c r="AI212" i="11"/>
  <c r="AH212" i="11"/>
  <c r="AK212" i="11"/>
  <c r="AJ212" i="11"/>
  <c r="AM212" i="11" a="1"/>
  <c r="AP212" i="11"/>
  <c r="AO212" i="11"/>
  <c r="AN212" i="11"/>
  <c r="AM212" i="11"/>
  <c r="AW212" i="11" a="1"/>
  <c r="AW212" i="11"/>
  <c r="AR212" i="11" a="1"/>
  <c r="AT212" i="11"/>
  <c r="AS212" i="11"/>
  <c r="AR212" i="11"/>
  <c r="AU212" i="11"/>
  <c r="AC213" i="11" a="1"/>
  <c r="AC213" i="11"/>
  <c r="AD213" i="11"/>
  <c r="AF213" i="11"/>
  <c r="AE213" i="11"/>
  <c r="AH213" i="11" a="1"/>
  <c r="AK213" i="11"/>
  <c r="AH213" i="11"/>
  <c r="AI213" i="11"/>
  <c r="AJ213" i="11"/>
  <c r="AM213" i="11" a="1"/>
  <c r="AN213" i="11"/>
  <c r="AM213" i="11"/>
  <c r="AP213" i="11"/>
  <c r="AO213" i="11"/>
  <c r="AW213" i="11" a="1"/>
  <c r="AW213" i="11"/>
  <c r="AR213" i="11" a="1"/>
  <c r="AT213" i="11"/>
  <c r="AR213" i="11"/>
  <c r="AU213" i="11"/>
  <c r="AS213" i="11"/>
  <c r="AC214" i="11" a="1"/>
  <c r="AE214" i="11"/>
  <c r="AF214" i="11"/>
  <c r="AD214" i="11"/>
  <c r="AC214" i="11"/>
  <c r="AH214" i="11" a="1"/>
  <c r="AK214" i="11"/>
  <c r="AH214" i="11"/>
  <c r="AI214" i="11"/>
  <c r="AJ214" i="11"/>
  <c r="AM214" i="11" a="1"/>
  <c r="AM214" i="11"/>
  <c r="AO214" i="11"/>
  <c r="AP214" i="11"/>
  <c r="AN214" i="11"/>
  <c r="AR214" i="11" a="1"/>
  <c r="AR214" i="11"/>
  <c r="AT214" i="11"/>
  <c r="AS214" i="11"/>
  <c r="AU214" i="11"/>
  <c r="AC215" i="11" a="1"/>
  <c r="AD215" i="11"/>
  <c r="AF215" i="11"/>
  <c r="AE215" i="11"/>
  <c r="AC215" i="11"/>
  <c r="AH215" i="11" a="1"/>
  <c r="AK215" i="11"/>
  <c r="AH215" i="11"/>
  <c r="AJ215" i="11"/>
  <c r="AI215" i="11"/>
  <c r="AM215" i="11" a="1"/>
  <c r="AN215" i="11"/>
  <c r="AP215" i="11"/>
  <c r="AM215" i="11"/>
  <c r="AO215" i="11"/>
  <c r="AW215" i="11" a="1"/>
  <c r="AW215" i="11"/>
  <c r="AR215" i="11" a="1"/>
  <c r="AU215" i="11"/>
  <c r="AT215" i="11"/>
  <c r="AS215" i="11"/>
  <c r="AR215" i="11"/>
  <c r="AC216" i="11" a="1"/>
  <c r="AD216" i="11"/>
  <c r="AF216" i="11"/>
  <c r="AE216" i="11"/>
  <c r="AC216" i="11"/>
  <c r="AH216" i="11" a="1"/>
  <c r="AK216" i="11"/>
  <c r="AJ216" i="11"/>
  <c r="AH216" i="11"/>
  <c r="AI216" i="11"/>
  <c r="AM216" i="11" a="1"/>
  <c r="AM216" i="11"/>
  <c r="AO216" i="11"/>
  <c r="AP216" i="11"/>
  <c r="AN216" i="11"/>
  <c r="AW216" i="11" a="1"/>
  <c r="AW216" i="11"/>
  <c r="AR216" i="11" a="1"/>
  <c r="AT216" i="11"/>
  <c r="AR216" i="11"/>
  <c r="AS216" i="11"/>
  <c r="AU216" i="11"/>
  <c r="AC217" i="11" a="1"/>
  <c r="AC217" i="11"/>
  <c r="AE217" i="11"/>
  <c r="AF217" i="11"/>
  <c r="AD217" i="11"/>
  <c r="AH217" i="11" a="1"/>
  <c r="AJ217" i="11"/>
  <c r="AH217" i="11"/>
  <c r="AI217" i="11"/>
  <c r="AK217" i="11"/>
  <c r="AM217" i="11" a="1"/>
  <c r="AM217" i="11"/>
  <c r="AO217" i="11"/>
  <c r="AP217" i="11"/>
  <c r="AN217" i="11"/>
  <c r="AW217" i="11" a="1"/>
  <c r="AW217" i="11"/>
  <c r="AR217" i="11" a="1"/>
  <c r="AR217" i="11"/>
  <c r="AS217" i="11"/>
  <c r="AU217" i="11"/>
  <c r="AT217" i="11"/>
  <c r="AC218" i="11" a="1"/>
  <c r="AE218" i="11"/>
  <c r="AD218" i="11"/>
  <c r="AC218" i="11"/>
  <c r="AF218" i="11"/>
  <c r="AH218" i="11" a="1"/>
  <c r="AH218" i="11"/>
  <c r="AI218" i="11"/>
  <c r="AK218" i="11"/>
  <c r="AJ218" i="11"/>
  <c r="AM218" i="11" a="1"/>
  <c r="AM218" i="11"/>
  <c r="AP218" i="11"/>
  <c r="AN218" i="11"/>
  <c r="AO218" i="11"/>
  <c r="AW218" i="11" a="1"/>
  <c r="AW218" i="11"/>
  <c r="AR218" i="11" a="1"/>
  <c r="AR218" i="11"/>
  <c r="AT218" i="11"/>
  <c r="AS218" i="11"/>
  <c r="AU218" i="11"/>
  <c r="AC219" i="11" a="1"/>
  <c r="AC219" i="11"/>
  <c r="AE219" i="11"/>
  <c r="AF219" i="11"/>
  <c r="AD219" i="11"/>
  <c r="AH219" i="11" a="1"/>
  <c r="AK219" i="11"/>
  <c r="AH219" i="11"/>
  <c r="AJ219" i="11"/>
  <c r="AI219" i="11"/>
  <c r="AM219" i="11" a="1"/>
  <c r="AP219" i="11"/>
  <c r="AO219" i="11"/>
  <c r="AN219" i="11"/>
  <c r="AM219" i="11"/>
  <c r="AW219" i="11" a="1"/>
  <c r="AW219" i="11"/>
  <c r="AW214" i="11" a="1"/>
  <c r="AW214" i="11"/>
  <c r="AR219" i="11" a="1"/>
  <c r="AT219" i="11"/>
  <c r="AU219" i="11"/>
  <c r="AR219" i="11"/>
  <c r="AS219" i="11"/>
  <c r="AC220" i="11" a="1"/>
  <c r="AF220" i="11"/>
  <c r="AE220" i="11"/>
  <c r="AC220" i="11"/>
  <c r="AD220" i="11"/>
  <c r="AH220" i="11" a="1"/>
  <c r="AK220" i="11"/>
  <c r="AH220" i="11"/>
  <c r="AJ220" i="11"/>
  <c r="AI220" i="11"/>
  <c r="AM220" i="11" a="1"/>
  <c r="AP220" i="11"/>
  <c r="AO220" i="11"/>
  <c r="AN220" i="11"/>
  <c r="AM220" i="11"/>
  <c r="AW220" i="11" a="1"/>
  <c r="AW220" i="11"/>
  <c r="AR220" i="11" a="1"/>
  <c r="AT220" i="11"/>
  <c r="AU220" i="11"/>
  <c r="AS220" i="11"/>
  <c r="AR220" i="11"/>
  <c r="AC221" i="11" a="1"/>
  <c r="AF221" i="11"/>
  <c r="AE221" i="11"/>
  <c r="AD221" i="11"/>
  <c r="AC221" i="11"/>
  <c r="AH221" i="11" a="1"/>
  <c r="AK221" i="11"/>
  <c r="AH221" i="11"/>
  <c r="AJ221" i="11"/>
  <c r="AI221" i="11"/>
  <c r="AM221" i="11" a="1"/>
  <c r="AM221" i="11"/>
  <c r="AP221" i="11"/>
  <c r="AN221" i="11"/>
  <c r="AO221" i="11"/>
  <c r="AW221" i="11" a="1"/>
  <c r="AW221" i="11"/>
  <c r="AR221" i="11" a="1"/>
  <c r="AU221" i="11"/>
  <c r="AS221" i="11"/>
  <c r="AR221" i="11"/>
  <c r="AT221" i="11"/>
  <c r="AC222" i="11" a="1"/>
  <c r="AF222" i="11"/>
  <c r="AC222" i="11"/>
  <c r="AD222" i="11"/>
  <c r="AE222" i="11"/>
  <c r="AH222" i="11" a="1"/>
  <c r="AH222" i="11"/>
  <c r="AJ222" i="11"/>
  <c r="AK222" i="11"/>
  <c r="AI222" i="11"/>
  <c r="AM222" i="11" a="1"/>
  <c r="AO222" i="11"/>
  <c r="AP222" i="11"/>
  <c r="AN222" i="11"/>
  <c r="AM222" i="11"/>
  <c r="AR222" i="11" a="1"/>
  <c r="AR222" i="11"/>
  <c r="AT222" i="11"/>
  <c r="AU222" i="11"/>
  <c r="AS222" i="11"/>
  <c r="AC223" i="11" a="1"/>
  <c r="AD223" i="11"/>
  <c r="AF223" i="11"/>
  <c r="AE223" i="11"/>
  <c r="AC223" i="11"/>
  <c r="AH223" i="11" a="1"/>
  <c r="AK223" i="11"/>
  <c r="AH223" i="11"/>
  <c r="AJ223" i="11"/>
  <c r="AI223" i="11"/>
  <c r="AM223" i="11" a="1"/>
  <c r="AP223" i="11"/>
  <c r="AM223" i="11"/>
  <c r="AO223" i="11"/>
  <c r="AN223" i="11"/>
  <c r="AW223" i="11" a="1"/>
  <c r="AW223" i="11"/>
  <c r="AR223" i="11" a="1"/>
  <c r="AU223" i="11"/>
  <c r="AT223" i="11"/>
  <c r="AS223" i="11"/>
  <c r="AR223" i="11"/>
  <c r="AC224" i="11" a="1"/>
  <c r="AD224" i="11"/>
  <c r="AC224" i="11"/>
  <c r="AE224" i="11"/>
  <c r="AF224" i="11"/>
  <c r="AH224" i="11" a="1"/>
  <c r="AK224" i="11"/>
  <c r="AH224" i="11"/>
  <c r="AI224" i="11"/>
  <c r="AJ224" i="11"/>
  <c r="AM224" i="11" a="1"/>
  <c r="AN224" i="11"/>
  <c r="AM224" i="11"/>
  <c r="AP224" i="11"/>
  <c r="AO224" i="11"/>
  <c r="AW224" i="11" a="1"/>
  <c r="AW224" i="11"/>
  <c r="AR224" i="11" a="1"/>
  <c r="AR224" i="11"/>
  <c r="AT224" i="11"/>
  <c r="AU224" i="11"/>
  <c r="AS224" i="11"/>
  <c r="AC225" i="11" a="1"/>
  <c r="AD225" i="11"/>
  <c r="AC225" i="11"/>
  <c r="AE225" i="11"/>
  <c r="AF225" i="11"/>
  <c r="AH225" i="11" a="1"/>
  <c r="AH225" i="11"/>
  <c r="AI225" i="11"/>
  <c r="AK225" i="11"/>
  <c r="AJ225" i="11"/>
  <c r="AM225" i="11" a="1"/>
  <c r="AM225" i="11"/>
  <c r="AO225" i="11"/>
  <c r="AN225" i="11"/>
  <c r="AP225" i="11"/>
  <c r="AW225" i="11" a="1"/>
  <c r="AW225" i="11"/>
  <c r="AW222" i="11" a="1"/>
  <c r="AW222" i="11"/>
  <c r="AR225" i="11" a="1"/>
  <c r="AS225" i="11"/>
  <c r="AR225" i="11"/>
  <c r="AT225" i="11"/>
  <c r="AU225" i="11"/>
  <c r="AC226" i="11" a="1"/>
  <c r="AF226" i="11"/>
  <c r="AE226" i="11"/>
  <c r="AC226" i="11"/>
  <c r="AD226" i="11"/>
  <c r="AH226" i="11" a="1"/>
  <c r="AK226" i="11"/>
  <c r="AI226" i="11"/>
  <c r="AJ226" i="11"/>
  <c r="AH226" i="11"/>
  <c r="AM226" i="11" a="1"/>
  <c r="AM226" i="11"/>
  <c r="AP226" i="11"/>
  <c r="AO226" i="11"/>
  <c r="AN226" i="11"/>
  <c r="AR226" i="11" a="1"/>
  <c r="AT226" i="11"/>
  <c r="AS226" i="11"/>
  <c r="AU226" i="11"/>
  <c r="AR226" i="11"/>
  <c r="AC227" i="11" a="1"/>
  <c r="AD227" i="11"/>
  <c r="AC227" i="11"/>
  <c r="AE227" i="11"/>
  <c r="AF227" i="11"/>
  <c r="AH227" i="11" a="1"/>
  <c r="AK227" i="11"/>
  <c r="AH227" i="11"/>
  <c r="AJ227" i="11"/>
  <c r="AI227" i="11"/>
  <c r="AM227" i="11" a="1"/>
  <c r="AN227" i="11"/>
  <c r="AO227" i="11"/>
  <c r="AM227" i="11"/>
  <c r="AP227" i="11"/>
  <c r="AW227" i="11" a="1"/>
  <c r="AW227" i="11"/>
  <c r="AW226" i="11" a="1"/>
  <c r="AW226" i="11"/>
  <c r="AR227" i="11" a="1"/>
  <c r="AS227" i="11"/>
  <c r="AR227" i="11"/>
  <c r="AU227" i="11"/>
  <c r="AT227" i="11"/>
  <c r="AC228" i="11" a="1"/>
  <c r="AF228" i="11"/>
  <c r="AD228" i="11"/>
  <c r="AE228" i="11"/>
  <c r="AC228" i="11"/>
  <c r="AH228" i="11" a="1"/>
  <c r="AJ228" i="11"/>
  <c r="AI228" i="11"/>
  <c r="AK228" i="11"/>
  <c r="AH228" i="11"/>
  <c r="AM228" i="11" a="1"/>
  <c r="AN228" i="11"/>
  <c r="AO228" i="11"/>
  <c r="AM228" i="11"/>
  <c r="AP228" i="11"/>
  <c r="AW228" i="11" a="1"/>
  <c r="AW228" i="11"/>
  <c r="AR228" i="11" a="1"/>
  <c r="AS228" i="11"/>
  <c r="AU228" i="11"/>
  <c r="AT228" i="11"/>
  <c r="AR228" i="11"/>
  <c r="AC229" i="11" a="1"/>
  <c r="AF229" i="11"/>
  <c r="AE229" i="11"/>
  <c r="AC229" i="11"/>
  <c r="AD229" i="11"/>
  <c r="AH229" i="11" a="1"/>
  <c r="AI229" i="11"/>
  <c r="AK229" i="11"/>
  <c r="AH229" i="11"/>
  <c r="AJ229" i="11"/>
  <c r="AM229" i="11" a="1"/>
  <c r="AP229" i="11"/>
  <c r="AO229" i="11"/>
  <c r="AM229" i="11"/>
  <c r="AN229" i="11"/>
  <c r="AR229" i="11" a="1"/>
  <c r="AR229" i="11"/>
  <c r="AU229" i="11"/>
  <c r="AS229" i="11"/>
  <c r="AT229" i="11"/>
  <c r="AC230" i="11" a="1"/>
  <c r="AC230" i="11"/>
  <c r="AF230" i="11"/>
  <c r="AE230" i="11"/>
  <c r="AD230" i="11"/>
  <c r="AH230" i="11" a="1"/>
  <c r="AH230" i="11"/>
  <c r="AJ230" i="11"/>
  <c r="AK230" i="11"/>
  <c r="AI230" i="11"/>
  <c r="AM230" i="11" a="1"/>
  <c r="AO230" i="11"/>
  <c r="AM230" i="11"/>
  <c r="AP230" i="11"/>
  <c r="AN230" i="11"/>
  <c r="AW230" i="11" a="1"/>
  <c r="AW230" i="11"/>
  <c r="AR230" i="11" a="1"/>
  <c r="AR230" i="11"/>
  <c r="AT230" i="11"/>
  <c r="AU230" i="11"/>
  <c r="AS230" i="11"/>
  <c r="AC231" i="11" a="1"/>
  <c r="AD231" i="11"/>
  <c r="AE231" i="11"/>
  <c r="AF231" i="11"/>
  <c r="AC231" i="11"/>
  <c r="AH231" i="11" a="1"/>
  <c r="AJ231" i="11"/>
  <c r="AH231" i="11"/>
  <c r="AI231" i="11"/>
  <c r="AK231" i="11"/>
  <c r="AM231" i="11" a="1"/>
  <c r="AP231" i="11"/>
  <c r="AM231" i="11"/>
  <c r="AN231" i="11"/>
  <c r="AO231" i="11"/>
  <c r="AW231" i="11" a="1"/>
  <c r="AW231" i="11"/>
  <c r="AR231" i="11" a="1"/>
  <c r="AT231" i="11"/>
  <c r="AR231" i="11"/>
  <c r="AS231" i="11"/>
  <c r="AU231" i="11"/>
  <c r="AC232" i="11" a="1"/>
  <c r="AF232" i="11"/>
  <c r="AD232" i="11"/>
  <c r="AE232" i="11"/>
  <c r="AC232" i="11"/>
  <c r="AH232" i="11" a="1"/>
  <c r="AI232" i="11"/>
  <c r="AK232" i="11"/>
  <c r="AH232" i="11"/>
  <c r="AJ232" i="11"/>
  <c r="AM232" i="11" a="1"/>
  <c r="AO232" i="11"/>
  <c r="AN232" i="11"/>
  <c r="AM232" i="11"/>
  <c r="AP232" i="11"/>
  <c r="AW232" i="11" a="1"/>
  <c r="AW232" i="11"/>
  <c r="AW229" i="11" a="1"/>
  <c r="AW229" i="11"/>
  <c r="AR232" i="11" a="1"/>
  <c r="AS232" i="11"/>
  <c r="AR232" i="11"/>
  <c r="AT232" i="11"/>
  <c r="AU232" i="11"/>
  <c r="AC233" i="11" a="1"/>
  <c r="AD233" i="11"/>
  <c r="AF233" i="11"/>
  <c r="AC233" i="11"/>
  <c r="AE233" i="11"/>
  <c r="AH233" i="11" a="1"/>
  <c r="AK233" i="11"/>
  <c r="AH233" i="11"/>
  <c r="AJ233" i="11"/>
  <c r="AI233" i="11"/>
  <c r="AM233" i="11" a="1"/>
  <c r="AM233" i="11"/>
  <c r="AP233" i="11"/>
  <c r="AO233" i="11"/>
  <c r="AN233" i="11"/>
  <c r="AW233" i="11" a="1"/>
  <c r="AW233" i="11"/>
  <c r="AR233" i="11" a="1"/>
  <c r="AR233" i="11"/>
  <c r="AT233" i="11"/>
  <c r="AS233" i="11"/>
  <c r="AU233" i="11"/>
  <c r="AC234" i="11" a="1"/>
  <c r="AD234" i="11"/>
  <c r="AE234" i="11"/>
  <c r="AC234" i="11"/>
  <c r="AF234" i="11"/>
  <c r="AH234" i="11" a="1"/>
  <c r="AI234" i="11"/>
  <c r="AH234" i="11"/>
  <c r="AJ234" i="11"/>
  <c r="AK234" i="11"/>
  <c r="AM234" i="11" a="1"/>
  <c r="AP234" i="11"/>
  <c r="AM234" i="11"/>
  <c r="AN234" i="11"/>
  <c r="AO234" i="11"/>
  <c r="AR234" i="11" a="1"/>
  <c r="AR234" i="11"/>
  <c r="AS234" i="11"/>
  <c r="AT234" i="11"/>
  <c r="AU234" i="11"/>
  <c r="AC235" i="11" a="1"/>
  <c r="AC235" i="11"/>
  <c r="AE235" i="11"/>
  <c r="AF235" i="11"/>
  <c r="AD235" i="11"/>
  <c r="AH235" i="11" a="1"/>
  <c r="AK235" i="11"/>
  <c r="AJ235" i="11"/>
  <c r="AH235" i="11"/>
  <c r="AI235" i="11"/>
  <c r="AM235" i="11" a="1"/>
  <c r="AM235" i="11"/>
  <c r="AN235" i="11"/>
  <c r="AO235" i="11"/>
  <c r="AP235" i="11"/>
  <c r="AW235" i="11" a="1"/>
  <c r="AW235" i="11"/>
  <c r="AR235" i="11" a="1"/>
  <c r="AT235" i="11"/>
  <c r="AR235" i="11"/>
  <c r="AU235" i="11"/>
  <c r="AS235" i="11"/>
  <c r="AC236" i="11" a="1"/>
  <c r="AE236" i="11"/>
  <c r="AC236" i="11"/>
  <c r="AD236" i="11"/>
  <c r="AF236" i="11"/>
  <c r="AH236" i="11" a="1"/>
  <c r="AK236" i="11"/>
  <c r="AJ236" i="11"/>
  <c r="AI236" i="11"/>
  <c r="AH236" i="11"/>
  <c r="AM236" i="11" a="1"/>
  <c r="AO236" i="11"/>
  <c r="AP236" i="11"/>
  <c r="AM236" i="11"/>
  <c r="AN236" i="11"/>
  <c r="AW236" i="11" a="1"/>
  <c r="AW236" i="11"/>
  <c r="AW234" i="11" a="1"/>
  <c r="AW234" i="11"/>
  <c r="AR236" i="11" a="1"/>
  <c r="AR236" i="11"/>
  <c r="AS236" i="11"/>
  <c r="AT236" i="11"/>
  <c r="AU236" i="11"/>
  <c r="AC237" i="11" a="1"/>
  <c r="AD237" i="11"/>
  <c r="AE237" i="11"/>
  <c r="AC237" i="11"/>
  <c r="AF237" i="11"/>
  <c r="AH237" i="11" a="1"/>
  <c r="AI237" i="11"/>
  <c r="AK237" i="11"/>
  <c r="AJ237" i="11"/>
  <c r="AH237" i="11"/>
  <c r="AM237" i="11" a="1"/>
  <c r="AM237" i="11"/>
  <c r="AP237" i="11"/>
  <c r="AO237" i="11"/>
  <c r="AN237" i="11"/>
  <c r="AW237" i="11" a="1"/>
  <c r="AW237" i="11"/>
  <c r="AR237" i="11" a="1"/>
  <c r="AT237" i="11"/>
  <c r="AS237" i="11"/>
  <c r="AU237" i="11"/>
  <c r="AR237" i="11"/>
  <c r="AC238" i="11" a="1"/>
  <c r="AE238" i="11"/>
  <c r="AC238" i="11"/>
  <c r="AD238" i="11"/>
  <c r="AF238" i="11"/>
  <c r="AH238" i="11" a="1"/>
  <c r="AJ238" i="11"/>
  <c r="AK238" i="11"/>
  <c r="AH238" i="11"/>
  <c r="AI238" i="11"/>
  <c r="AM238" i="11" a="1"/>
  <c r="AN238" i="11"/>
  <c r="AP238" i="11"/>
  <c r="AO238" i="11"/>
  <c r="AM238" i="11"/>
  <c r="AW238" i="11" a="1"/>
  <c r="AW238" i="11"/>
  <c r="AR238" i="11" a="1"/>
  <c r="AS238" i="11"/>
  <c r="AR238" i="11"/>
  <c r="AT238" i="11"/>
  <c r="AU238" i="11"/>
  <c r="AC239" i="11" a="1"/>
  <c r="AE239" i="11"/>
  <c r="AD239" i="11"/>
  <c r="AC239" i="11"/>
  <c r="AF239" i="11"/>
  <c r="AH239" i="11" a="1"/>
  <c r="AJ239" i="11"/>
  <c r="AK239" i="11"/>
  <c r="AI239" i="11"/>
  <c r="AH239" i="11"/>
  <c r="AM239" i="11" a="1"/>
  <c r="AP239" i="11"/>
  <c r="AM239" i="11"/>
  <c r="AN239" i="11"/>
  <c r="AO239" i="11"/>
  <c r="AR239" i="11" a="1"/>
  <c r="AR239" i="11"/>
  <c r="AS239" i="11"/>
  <c r="AU239" i="11"/>
  <c r="AT239" i="11"/>
  <c r="AW239" i="11" a="1"/>
  <c r="AW239" i="11"/>
  <c r="AC240" i="11" a="1"/>
  <c r="AD240" i="11"/>
  <c r="AE240" i="11"/>
  <c r="AF240" i="11"/>
  <c r="AC240" i="11"/>
  <c r="AH240" i="11" a="1"/>
  <c r="AK240" i="11"/>
  <c r="AI240" i="11"/>
  <c r="AJ240" i="11"/>
  <c r="AH240" i="11"/>
  <c r="AM240" i="11" a="1"/>
  <c r="AN240" i="11"/>
  <c r="AP240" i="11"/>
  <c r="AO240" i="11"/>
  <c r="AM240" i="11"/>
  <c r="AR240" i="11" a="1"/>
  <c r="AS240" i="11"/>
  <c r="AR240" i="11"/>
  <c r="AT240" i="11"/>
  <c r="AU240" i="11"/>
  <c r="AW240" i="11" a="1"/>
  <c r="AW240" i="11"/>
  <c r="AC241" i="11" a="1"/>
  <c r="AD241" i="11"/>
  <c r="AE241" i="11"/>
  <c r="AC241" i="11"/>
  <c r="AF241" i="11"/>
  <c r="AH241" i="11" a="1"/>
  <c r="AK241" i="11"/>
  <c r="AI241" i="11"/>
  <c r="AJ241" i="11"/>
  <c r="AH241" i="11"/>
  <c r="AM241" i="11" a="1"/>
  <c r="AN241" i="11"/>
  <c r="AO241" i="11"/>
  <c r="AM241" i="11"/>
  <c r="AP241" i="11"/>
  <c r="AR241" i="11" a="1"/>
  <c r="AR241" i="11"/>
  <c r="AT241" i="11"/>
  <c r="AU241" i="11"/>
  <c r="AS241" i="11"/>
  <c r="AW241" i="11" a="1"/>
  <c r="AW241" i="11"/>
  <c r="AC242" i="11" a="1"/>
  <c r="AF242" i="11"/>
  <c r="AE242" i="11"/>
  <c r="AD242" i="11"/>
  <c r="AC242" i="11"/>
  <c r="AH242" i="11" a="1"/>
  <c r="AK242" i="11"/>
  <c r="AI242" i="11"/>
  <c r="AH242" i="11"/>
  <c r="AJ242" i="11"/>
  <c r="AM242" i="11" a="1"/>
  <c r="AN242" i="11"/>
  <c r="AP242" i="11"/>
  <c r="AO242" i="11"/>
  <c r="AM242" i="11"/>
  <c r="AR242" i="11" a="1"/>
  <c r="AS242" i="11"/>
  <c r="AT242" i="11"/>
  <c r="AR242" i="11"/>
  <c r="AU242" i="11"/>
  <c r="AW242" i="11" a="1"/>
  <c r="AW242" i="11"/>
  <c r="AC243" i="11" a="1"/>
  <c r="AE243" i="11"/>
  <c r="AC243" i="11"/>
  <c r="AD243" i="11"/>
  <c r="AF243" i="11"/>
  <c r="AH243" i="11" a="1"/>
  <c r="AH243" i="11"/>
  <c r="AK243" i="11"/>
  <c r="AJ243" i="11"/>
  <c r="AI243" i="11"/>
  <c r="AM243" i="11" a="1"/>
  <c r="AN243" i="11"/>
  <c r="AO243" i="11"/>
  <c r="AM243" i="11"/>
  <c r="AP243" i="11"/>
  <c r="AR243" i="11" a="1"/>
  <c r="AT243" i="11"/>
  <c r="AR243" i="11"/>
  <c r="AS243" i="11"/>
  <c r="AU243" i="11"/>
  <c r="AC244" i="11" a="1"/>
  <c r="AD244" i="11"/>
  <c r="AC244" i="11"/>
  <c r="AF244" i="11"/>
  <c r="AE244" i="11"/>
  <c r="AH244" i="11" a="1"/>
  <c r="AK244" i="11"/>
  <c r="AI244" i="11"/>
  <c r="AH244" i="11"/>
  <c r="AJ244" i="11"/>
  <c r="AM244" i="11" a="1"/>
  <c r="AN244" i="11"/>
  <c r="AO244" i="11"/>
  <c r="AP244" i="11"/>
  <c r="AM244" i="11"/>
  <c r="AW244" i="11" a="1"/>
  <c r="AW244" i="11"/>
  <c r="AR244" i="11" a="1"/>
  <c r="AR244" i="11"/>
  <c r="AU244" i="11"/>
  <c r="AS244" i="11"/>
  <c r="AT244" i="11"/>
  <c r="AW243" i="11" a="1"/>
  <c r="AW243" i="11"/>
  <c r="AC245" i="11" a="1"/>
  <c r="AF245" i="11"/>
  <c r="AE245" i="11"/>
  <c r="AC245" i="11"/>
  <c r="AD245" i="11"/>
  <c r="AH245" i="11" a="1"/>
  <c r="AI245" i="11"/>
  <c r="AK245" i="11"/>
  <c r="AJ245" i="11"/>
  <c r="AH245" i="11"/>
  <c r="AM245" i="11" a="1"/>
  <c r="AO245" i="11"/>
  <c r="AN245" i="11"/>
  <c r="AP245" i="11"/>
  <c r="AM245" i="11"/>
  <c r="AR245" i="11" a="1"/>
  <c r="AR245" i="11"/>
  <c r="AS245" i="11"/>
  <c r="AU245" i="11"/>
  <c r="AT245" i="11"/>
  <c r="AW245" i="11" a="1"/>
  <c r="AW245" i="11"/>
  <c r="AC246" i="11" a="1"/>
  <c r="AE246" i="11"/>
  <c r="AC246" i="11"/>
  <c r="AD246" i="11"/>
  <c r="AF246" i="11"/>
  <c r="AH246" i="11" a="1"/>
  <c r="AI246" i="11"/>
  <c r="AJ246" i="11"/>
  <c r="AK246" i="11"/>
  <c r="AH246" i="11"/>
  <c r="AM246" i="11" a="1"/>
  <c r="AN246" i="11"/>
  <c r="AM246" i="11"/>
  <c r="AP246" i="11"/>
  <c r="AO246" i="11"/>
  <c r="AR246" i="11" a="1"/>
  <c r="AU246" i="11"/>
  <c r="AR246" i="11"/>
  <c r="AS246" i="11"/>
  <c r="AT246" i="11"/>
  <c r="AW246" i="11" a="1"/>
  <c r="AW246" i="11"/>
  <c r="AC247" i="11" a="1"/>
  <c r="AE247" i="11"/>
  <c r="AD247" i="11"/>
  <c r="AC247" i="11"/>
  <c r="AF247" i="11"/>
  <c r="AH247" i="11" a="1"/>
  <c r="AH247" i="11"/>
  <c r="AJ247" i="11"/>
  <c r="AI247" i="11"/>
  <c r="AK247" i="11"/>
  <c r="AM247" i="11" a="1"/>
  <c r="AM247" i="11"/>
  <c r="AN247" i="11"/>
  <c r="AO247" i="11"/>
  <c r="AP247" i="11"/>
  <c r="AR247" i="11" a="1"/>
  <c r="AS247" i="11"/>
  <c r="AU247" i="11"/>
  <c r="AT247" i="11"/>
  <c r="AR247" i="11"/>
  <c r="AC248" i="11" a="1"/>
  <c r="AC248" i="11"/>
  <c r="AF248" i="11"/>
  <c r="AE248" i="11"/>
  <c r="AD248" i="11"/>
  <c r="AH248" i="11" a="1"/>
  <c r="AI248" i="11"/>
  <c r="AH248" i="11"/>
  <c r="AK248" i="11"/>
  <c r="AJ248" i="11"/>
  <c r="AM248" i="11" a="1"/>
  <c r="AP248" i="11"/>
  <c r="AN248" i="11"/>
  <c r="AO248" i="11"/>
  <c r="AM248" i="11"/>
  <c r="AW248" i="11" a="1"/>
  <c r="AW248" i="11"/>
  <c r="AR248" i="11" a="1"/>
  <c r="AU248" i="11"/>
  <c r="AT248" i="11"/>
  <c r="AR248" i="11"/>
  <c r="AS248" i="11"/>
  <c r="AW247" i="11" a="1"/>
  <c r="AW247" i="11"/>
  <c r="AC249" i="11" a="1"/>
  <c r="AD249" i="11"/>
  <c r="AE249" i="11"/>
  <c r="AC249" i="11"/>
  <c r="AF249" i="11"/>
  <c r="AH249" i="11" a="1"/>
  <c r="AI249" i="11"/>
  <c r="AK249" i="11"/>
  <c r="AH249" i="11"/>
  <c r="AJ249" i="11"/>
  <c r="AM249" i="11" a="1"/>
  <c r="AO249" i="11"/>
  <c r="AP249" i="11"/>
  <c r="AM249" i="11"/>
  <c r="AN249" i="11"/>
  <c r="AR249" i="11" a="1"/>
  <c r="AR249" i="11"/>
  <c r="AU249" i="11"/>
  <c r="AT249" i="11"/>
  <c r="AS249" i="11"/>
  <c r="AW249" i="11" a="1"/>
  <c r="AW249" i="11"/>
  <c r="AC250" i="11" a="1"/>
  <c r="AD250" i="11"/>
  <c r="AE250" i="11"/>
  <c r="AC250" i="11"/>
  <c r="AF250" i="11"/>
  <c r="AH250" i="11" a="1"/>
  <c r="AK250" i="11"/>
  <c r="AI250" i="11"/>
  <c r="AH250" i="11"/>
  <c r="AJ250" i="11"/>
  <c r="AM250" i="11" a="1"/>
  <c r="AO250" i="11"/>
  <c r="AP250" i="11"/>
  <c r="AM250" i="11"/>
  <c r="AN250" i="11"/>
  <c r="AR250" i="11" a="1"/>
  <c r="AS250" i="11"/>
  <c r="AU250" i="11"/>
  <c r="AR250" i="11"/>
  <c r="AT250" i="11"/>
  <c r="AW250" i="11" a="1"/>
  <c r="AW250" i="11"/>
  <c r="AC251" i="11" a="1"/>
  <c r="AC251" i="11"/>
  <c r="AF251" i="11"/>
  <c r="AE251" i="11"/>
  <c r="AD251" i="11"/>
  <c r="AH251" i="11" a="1"/>
  <c r="AI251" i="11"/>
  <c r="AK251" i="11"/>
  <c r="AJ251" i="11"/>
  <c r="AH251" i="11"/>
  <c r="AM251" i="11" a="1"/>
  <c r="AO251" i="11"/>
  <c r="AM251" i="11"/>
  <c r="AP251" i="11"/>
  <c r="AN251" i="11"/>
  <c r="AR251" i="11" a="1"/>
  <c r="AT251" i="11"/>
  <c r="AS251" i="11"/>
  <c r="AR251" i="11"/>
  <c r="AU251" i="11"/>
  <c r="AC252" i="11" a="1"/>
  <c r="AC252" i="11"/>
  <c r="AD252" i="11"/>
  <c r="AE252" i="11"/>
  <c r="AF252" i="11"/>
  <c r="AH252" i="11" a="1"/>
  <c r="AK252" i="11"/>
  <c r="AJ252" i="11"/>
  <c r="AH252" i="11"/>
  <c r="AI252" i="11"/>
  <c r="AM252" i="11" a="1"/>
  <c r="AO252" i="11"/>
  <c r="AP252" i="11"/>
  <c r="AN252" i="11"/>
  <c r="AM252" i="11"/>
  <c r="AW252" i="11" a="1"/>
  <c r="AW252" i="11"/>
  <c r="AR252" i="11" a="1"/>
  <c r="AT252" i="11"/>
  <c r="AU252" i="11"/>
  <c r="AS252" i="11"/>
  <c r="AR252" i="11"/>
  <c r="AW251" i="11" a="1"/>
  <c r="AW251" i="11"/>
  <c r="AC253" i="11" a="1"/>
  <c r="AD253" i="11"/>
  <c r="AF253" i="11"/>
  <c r="AC253" i="11"/>
  <c r="AE253" i="11"/>
  <c r="AH253" i="11" a="1"/>
  <c r="AH253" i="11"/>
  <c r="AJ253" i="11"/>
  <c r="AI253" i="11"/>
  <c r="AK253" i="11"/>
  <c r="AM253" i="11" a="1"/>
  <c r="AP253" i="11"/>
  <c r="AM253" i="11"/>
  <c r="AO253" i="11"/>
  <c r="AN253" i="11"/>
  <c r="AR253" i="11" a="1"/>
  <c r="AT253" i="11"/>
  <c r="AU253" i="11"/>
  <c r="AR253" i="11"/>
  <c r="AS253" i="11"/>
  <c r="AW253" i="11" a="1"/>
  <c r="AW253" i="11"/>
  <c r="AC254" i="11" a="1"/>
  <c r="AF254" i="11"/>
  <c r="AD254" i="11"/>
  <c r="AC254" i="11"/>
  <c r="AE254" i="11"/>
  <c r="AH254" i="11" a="1"/>
  <c r="AK254" i="11"/>
  <c r="AI254" i="11"/>
  <c r="AH254" i="11"/>
  <c r="AJ254" i="11"/>
  <c r="AM254" i="11" a="1"/>
  <c r="AM254" i="11"/>
  <c r="AN254" i="11"/>
  <c r="AP254" i="11"/>
  <c r="AO254" i="11"/>
  <c r="AR254" i="11" a="1"/>
  <c r="AS254" i="11"/>
  <c r="AT254" i="11"/>
  <c r="AU254" i="11"/>
  <c r="AR254" i="11"/>
  <c r="AW254" i="11" a="1"/>
  <c r="AW254" i="11"/>
  <c r="AC255" i="11" a="1"/>
  <c r="AF255" i="11"/>
  <c r="AC255" i="11"/>
  <c r="AE255" i="11"/>
  <c r="AD255" i="11"/>
  <c r="AH255" i="11" a="1"/>
  <c r="AH255" i="11"/>
  <c r="AK255" i="11"/>
  <c r="AJ255" i="11"/>
  <c r="AI255" i="11"/>
  <c r="AM255" i="11" a="1"/>
  <c r="AP255" i="11"/>
  <c r="AM255" i="11"/>
  <c r="AN255" i="11"/>
  <c r="AO255" i="11"/>
  <c r="AR255" i="11" a="1"/>
  <c r="AU255" i="11"/>
  <c r="AS255" i="11"/>
  <c r="AT255" i="11"/>
  <c r="AR255" i="11"/>
  <c r="AC256" i="11" a="1"/>
  <c r="AF256" i="11"/>
  <c r="AE256" i="11"/>
  <c r="AD256" i="11"/>
  <c r="AC256" i="11"/>
  <c r="AH256" i="11" a="1"/>
  <c r="AK256" i="11"/>
  <c r="AI256" i="11"/>
  <c r="AJ256" i="11"/>
  <c r="AH256" i="11"/>
  <c r="AM256" i="11" a="1"/>
  <c r="AP256" i="11"/>
  <c r="AO256" i="11"/>
  <c r="AM256" i="11"/>
  <c r="AN256" i="11"/>
  <c r="AW256" i="11" a="1"/>
  <c r="AW256" i="11"/>
  <c r="AR256" i="11" a="1"/>
  <c r="AS256" i="11"/>
  <c r="AT256" i="11"/>
  <c r="AU256" i="11"/>
  <c r="AR256" i="11"/>
  <c r="AW255" i="11" a="1"/>
  <c r="AW255" i="11"/>
  <c r="AC257" i="11" a="1"/>
  <c r="AC257" i="11"/>
  <c r="AD257" i="11"/>
  <c r="AE257" i="11"/>
  <c r="AF257" i="11"/>
  <c r="AH257" i="11" a="1"/>
  <c r="AH257" i="11"/>
  <c r="AK257" i="11"/>
  <c r="AJ257" i="11"/>
  <c r="AI257" i="11"/>
  <c r="AM257" i="11" a="1"/>
  <c r="AM257" i="11"/>
  <c r="AP257" i="11"/>
  <c r="AO257" i="11"/>
  <c r="AN257" i="11"/>
  <c r="AR257" i="11" a="1"/>
  <c r="AU257" i="11"/>
  <c r="AT257" i="11"/>
  <c r="AS257" i="11"/>
  <c r="AR257" i="11"/>
  <c r="AW257" i="11" a="1"/>
  <c r="AW257" i="11"/>
  <c r="AC258" i="11" a="1"/>
  <c r="AD258" i="11"/>
  <c r="AC258" i="11"/>
  <c r="AE258" i="11"/>
  <c r="AF258" i="11"/>
  <c r="AH258" i="11" a="1"/>
  <c r="AI258" i="11"/>
  <c r="AJ258" i="11"/>
  <c r="AH258" i="11"/>
  <c r="AK258" i="11"/>
  <c r="AM258" i="11" a="1"/>
  <c r="AO258" i="11"/>
  <c r="AN258" i="11"/>
  <c r="AP258" i="11"/>
  <c r="AM258" i="11"/>
  <c r="AR258" i="11" a="1"/>
  <c r="AU258" i="11"/>
  <c r="AT258" i="11"/>
  <c r="AS258" i="11"/>
  <c r="AR258" i="11"/>
  <c r="AW258" i="11" a="1"/>
  <c r="AW258" i="11"/>
  <c r="AC259" i="11" a="1"/>
  <c r="AD259" i="11"/>
  <c r="AC259" i="11"/>
  <c r="AF259" i="11"/>
  <c r="AE259" i="11"/>
  <c r="AH259" i="11" a="1"/>
  <c r="AH259" i="11"/>
  <c r="AJ259" i="11"/>
  <c r="AK259" i="11"/>
  <c r="AI259" i="11"/>
  <c r="AM259" i="11" a="1"/>
  <c r="AP259" i="11"/>
  <c r="AN259" i="11"/>
  <c r="AM259" i="11"/>
  <c r="AO259" i="11"/>
  <c r="AR259" i="11" a="1"/>
  <c r="AT259" i="11"/>
  <c r="AR259" i="11"/>
  <c r="AS259" i="11"/>
  <c r="AU259" i="11"/>
  <c r="AC260" i="11" a="1"/>
  <c r="AD260" i="11"/>
  <c r="AE260" i="11"/>
  <c r="AC260" i="11"/>
  <c r="AF260" i="11"/>
  <c r="AH260" i="11" a="1"/>
  <c r="AK260" i="11"/>
  <c r="AI260" i="11"/>
  <c r="AJ260" i="11"/>
  <c r="AH260" i="11"/>
  <c r="AM260" i="11" a="1"/>
  <c r="AP260" i="11"/>
  <c r="AM260" i="11"/>
  <c r="AN260" i="11"/>
  <c r="AO260" i="11"/>
  <c r="AW260" i="11" a="1"/>
  <c r="AW260" i="11"/>
  <c r="AR260" i="11" a="1"/>
  <c r="AU260" i="11"/>
  <c r="AT260" i="11"/>
  <c r="AR260" i="11"/>
  <c r="AS260" i="11"/>
  <c r="AW259" i="11" a="1"/>
  <c r="AW259" i="11"/>
  <c r="AC261" i="11" a="1"/>
  <c r="AD261" i="11"/>
  <c r="AE261" i="11"/>
  <c r="AF261" i="11"/>
  <c r="AC261" i="11"/>
  <c r="AH261" i="11" a="1"/>
  <c r="AH261" i="11"/>
  <c r="AJ261" i="11"/>
  <c r="AI261" i="11"/>
  <c r="AK261" i="11"/>
  <c r="AM261" i="11" a="1"/>
  <c r="AO261" i="11"/>
  <c r="AN261" i="11"/>
  <c r="AM261" i="11"/>
  <c r="AP261" i="11"/>
  <c r="AR261" i="11" a="1"/>
  <c r="AU261" i="11"/>
  <c r="AR261" i="11"/>
  <c r="AS261" i="11"/>
  <c r="AT261" i="11"/>
  <c r="AW261" i="11" a="1"/>
  <c r="AW261" i="11"/>
  <c r="AC262" i="11" a="1"/>
  <c r="AE262" i="11"/>
  <c r="AD262" i="11"/>
  <c r="AF262" i="11"/>
  <c r="AC262" i="11"/>
  <c r="AH262" i="11" a="1"/>
  <c r="AH262" i="11"/>
  <c r="AI262" i="11"/>
  <c r="AJ262" i="11"/>
  <c r="AK262" i="11"/>
  <c r="AM262" i="11" a="1"/>
  <c r="AN262" i="11"/>
  <c r="AM262" i="11"/>
  <c r="AO262" i="11"/>
  <c r="AP262" i="11"/>
  <c r="AR262" i="11" a="1"/>
  <c r="AR262" i="11"/>
  <c r="AU262" i="11"/>
  <c r="AT262" i="11"/>
  <c r="AS262" i="11"/>
  <c r="AC263" i="11" a="1"/>
  <c r="AD263" i="11"/>
  <c r="AC263" i="11"/>
  <c r="AE263" i="11"/>
  <c r="AF263" i="11"/>
  <c r="AH263" i="11" a="1"/>
  <c r="AJ263" i="11"/>
  <c r="AI263" i="11"/>
  <c r="AH263" i="11"/>
  <c r="AK263" i="11"/>
  <c r="AM263" i="11" a="1"/>
  <c r="AM263" i="11"/>
  <c r="AN263" i="11"/>
  <c r="AO263" i="11"/>
  <c r="AP263" i="11"/>
  <c r="AW263" i="11" a="1"/>
  <c r="AW263" i="11"/>
  <c r="AR263" i="11" a="1"/>
  <c r="AS263" i="11"/>
  <c r="AT263" i="11"/>
  <c r="AR263" i="11"/>
  <c r="AU263" i="11"/>
  <c r="AW262" i="11" a="1"/>
  <c r="AW262" i="11"/>
  <c r="AC264" i="11" a="1"/>
  <c r="AD264" i="11"/>
  <c r="AF264" i="11"/>
  <c r="AE264" i="11"/>
  <c r="AC264" i="11"/>
  <c r="AH264" i="11" a="1"/>
  <c r="AK264" i="11"/>
  <c r="AI264" i="11"/>
  <c r="AH264" i="11"/>
  <c r="AJ264" i="11"/>
  <c r="AM264" i="11" a="1"/>
  <c r="AO264" i="11"/>
  <c r="AN264" i="11"/>
  <c r="AM264" i="11"/>
  <c r="AP264" i="11"/>
  <c r="AR264" i="11" a="1"/>
  <c r="AR264" i="11"/>
  <c r="AU264" i="11"/>
  <c r="AT264" i="11"/>
  <c r="AS264" i="11"/>
  <c r="AW264" i="11" a="1"/>
  <c r="AW264" i="11"/>
  <c r="AC265" i="11" a="1"/>
  <c r="AC265" i="11"/>
  <c r="AE265" i="11"/>
  <c r="AD265" i="11"/>
  <c r="AF265" i="11"/>
  <c r="AH265" i="11" a="1"/>
  <c r="AH265" i="11"/>
  <c r="AI265" i="11"/>
  <c r="AK265" i="11"/>
  <c r="AJ265" i="11"/>
  <c r="AM265" i="11" a="1"/>
  <c r="AP265" i="11"/>
  <c r="AO265" i="11"/>
  <c r="AM265" i="11"/>
  <c r="AN265" i="11"/>
  <c r="AR265" i="11" a="1"/>
  <c r="AU265" i="11"/>
  <c r="AR265" i="11"/>
  <c r="AT265" i="11"/>
  <c r="AS265" i="11"/>
  <c r="AW265" i="11" a="1"/>
  <c r="AW265" i="11"/>
  <c r="AC266" i="11" a="1"/>
  <c r="AE266" i="11"/>
  <c r="AD266" i="11"/>
  <c r="AF266" i="11"/>
  <c r="AC266" i="11"/>
  <c r="AH266" i="11" a="1"/>
  <c r="AH266" i="11"/>
  <c r="AI266" i="11"/>
  <c r="AJ266" i="11"/>
  <c r="AK266" i="11"/>
  <c r="AM266" i="11" a="1"/>
  <c r="AN266" i="11"/>
  <c r="AO266" i="11"/>
  <c r="AP266" i="11"/>
  <c r="AM266" i="11"/>
  <c r="AR266" i="11" a="1"/>
  <c r="AS266" i="11"/>
  <c r="AT266" i="11"/>
  <c r="AU266" i="11"/>
  <c r="AR266" i="11"/>
  <c r="AC267" i="11" a="1"/>
  <c r="AD267" i="11"/>
  <c r="AF267" i="11"/>
  <c r="AE267" i="11"/>
  <c r="AC267" i="11"/>
  <c r="AH267" i="11" a="1"/>
  <c r="AI267" i="11"/>
  <c r="AH267" i="11"/>
  <c r="AJ267" i="11"/>
  <c r="AK267" i="11"/>
  <c r="AM267" i="11" a="1"/>
  <c r="AO267" i="11"/>
  <c r="AM267" i="11"/>
  <c r="AN267" i="11"/>
  <c r="AP267" i="11"/>
  <c r="AW267" i="11" a="1"/>
  <c r="AW267" i="11"/>
  <c r="AR267" i="11" a="1"/>
  <c r="AU267" i="11"/>
  <c r="AS267" i="11"/>
  <c r="AT267" i="11"/>
  <c r="AR267" i="11"/>
  <c r="AC268" i="11" a="1"/>
  <c r="AF268" i="11"/>
  <c r="AE268" i="11"/>
  <c r="AC268" i="11"/>
  <c r="AD268" i="11"/>
  <c r="AH268" i="11" a="1"/>
  <c r="AK268" i="11"/>
  <c r="AI268" i="11"/>
  <c r="AJ268" i="11"/>
  <c r="AH268" i="11"/>
  <c r="AM268" i="11" a="1"/>
  <c r="AM268" i="11"/>
  <c r="AP268" i="11"/>
  <c r="AO268" i="11"/>
  <c r="AN268" i="11"/>
  <c r="AW268" i="11" a="1"/>
  <c r="AW268" i="11"/>
  <c r="AR268" i="11" a="1"/>
  <c r="AU268" i="11"/>
  <c r="AS268" i="11"/>
  <c r="AR268" i="11"/>
  <c r="AT268" i="11"/>
  <c r="AW266" i="11" a="1"/>
  <c r="AW266" i="11"/>
  <c r="AC269" i="11" a="1"/>
  <c r="AC269" i="11"/>
  <c r="AE269" i="11"/>
  <c r="AD269" i="11"/>
  <c r="AF269" i="11"/>
  <c r="AH269" i="11" a="1"/>
  <c r="AJ269" i="11"/>
  <c r="AH269" i="11"/>
  <c r="AK269" i="11"/>
  <c r="AI269" i="11"/>
  <c r="AM269" i="11" a="1"/>
  <c r="AO269" i="11"/>
  <c r="AN269" i="11"/>
  <c r="AP269" i="11"/>
  <c r="AM269" i="11"/>
  <c r="AR269" i="11" a="1"/>
  <c r="AU269" i="11"/>
  <c r="AS269" i="11"/>
  <c r="AT269" i="11"/>
  <c r="AR269" i="11"/>
  <c r="AW269" i="11" a="1"/>
  <c r="AW269" i="11"/>
  <c r="AC270" i="11" a="1"/>
  <c r="AF270" i="11"/>
  <c r="AE270" i="11"/>
  <c r="AC270" i="11"/>
  <c r="AD270" i="11"/>
  <c r="AH270" i="11" a="1"/>
  <c r="AI270" i="11"/>
  <c r="AH270" i="11"/>
  <c r="AJ270" i="11"/>
  <c r="AK270" i="11"/>
  <c r="AM270" i="11" a="1"/>
  <c r="AM270" i="11"/>
  <c r="AO270" i="11"/>
  <c r="AN270" i="11"/>
  <c r="AP270" i="11"/>
  <c r="AR270" i="11" a="1"/>
  <c r="AT270" i="11"/>
  <c r="AS270" i="11"/>
  <c r="AU270" i="11"/>
  <c r="AR270" i="11"/>
  <c r="AC271" i="11" a="1"/>
  <c r="AE271" i="11"/>
  <c r="AD271" i="11"/>
  <c r="AF271" i="11"/>
  <c r="AC271" i="11"/>
  <c r="AH271" i="11" a="1"/>
  <c r="AJ271" i="11"/>
  <c r="AK271" i="11"/>
  <c r="AI271" i="11"/>
  <c r="AH271" i="11"/>
  <c r="AM271" i="11" a="1"/>
  <c r="AM271" i="11"/>
  <c r="AN271" i="11"/>
  <c r="AO271" i="11"/>
  <c r="AP271" i="11"/>
  <c r="AW271" i="11" a="1"/>
  <c r="AW271" i="11"/>
  <c r="AR271" i="11" a="1"/>
  <c r="AT271" i="11"/>
  <c r="AU271" i="11"/>
  <c r="AR271" i="11"/>
  <c r="AS271" i="11"/>
  <c r="AW270" i="11" a="1"/>
  <c r="AW270" i="11"/>
  <c r="AC272" i="11" a="1"/>
  <c r="AF272" i="11"/>
  <c r="AC272" i="11"/>
  <c r="AE272" i="11"/>
  <c r="AD272" i="11"/>
  <c r="AH272" i="11" a="1"/>
  <c r="AJ272" i="11"/>
  <c r="AK272" i="11"/>
  <c r="AH272" i="11"/>
  <c r="AI272" i="11"/>
  <c r="AM272" i="11" a="1"/>
  <c r="AM272" i="11"/>
  <c r="AN272" i="11"/>
  <c r="AP272" i="11"/>
  <c r="AO272" i="11"/>
  <c r="AR272" i="11" a="1"/>
  <c r="AT272" i="11"/>
  <c r="AR272" i="11"/>
  <c r="AU272" i="11"/>
  <c r="AS272" i="11"/>
  <c r="AW272" i="11" a="1"/>
  <c r="AW272" i="11"/>
  <c r="AC273" i="11" a="1"/>
  <c r="AE273" i="11"/>
  <c r="AC273" i="11"/>
  <c r="AD273" i="11"/>
  <c r="AF273" i="11"/>
  <c r="AH273" i="11" a="1"/>
  <c r="AH273" i="11"/>
  <c r="AJ273" i="11"/>
  <c r="AI273" i="11"/>
  <c r="AK273" i="11"/>
  <c r="AM273" i="11" a="1"/>
  <c r="AO273" i="11"/>
  <c r="AP273" i="11"/>
  <c r="AM273" i="11"/>
  <c r="AN273" i="11"/>
  <c r="AR273" i="11" a="1"/>
  <c r="AS273" i="11"/>
  <c r="AR273" i="11"/>
  <c r="AT273" i="11"/>
  <c r="AU273" i="11"/>
  <c r="AW273" i="11" a="1"/>
  <c r="AW273" i="11"/>
  <c r="AC274" i="11" a="1"/>
  <c r="AF274" i="11"/>
  <c r="AD274" i="11"/>
  <c r="AC274" i="11"/>
  <c r="AE274" i="11"/>
  <c r="AH274" i="11" a="1"/>
  <c r="AK274" i="11"/>
  <c r="AI274" i="11"/>
  <c r="AH274" i="11"/>
  <c r="AJ274" i="11"/>
  <c r="AM274" i="11" a="1"/>
  <c r="AP274" i="11"/>
  <c r="AO274" i="11"/>
  <c r="AM274" i="11"/>
  <c r="AN274" i="11"/>
  <c r="AR274" i="11" a="1"/>
  <c r="AS274" i="11"/>
  <c r="AR274" i="11"/>
  <c r="AU274" i="11"/>
  <c r="AT274" i="11"/>
  <c r="AC275" i="11" a="1"/>
  <c r="AE275" i="11"/>
  <c r="AC275" i="11"/>
  <c r="AF275" i="11"/>
  <c r="AD275" i="11"/>
  <c r="AH275" i="11" a="1"/>
  <c r="AH275" i="11"/>
  <c r="AK275" i="11"/>
  <c r="AI275" i="11"/>
  <c r="AJ275" i="11"/>
  <c r="AM275" i="11" a="1"/>
  <c r="AP275" i="11"/>
  <c r="AN275" i="11"/>
  <c r="AM275" i="11"/>
  <c r="AO275" i="11"/>
  <c r="AW275" i="11" a="1"/>
  <c r="AW275" i="11"/>
  <c r="AR275" i="11" a="1"/>
  <c r="AS275" i="11"/>
  <c r="AU275" i="11"/>
  <c r="AR275" i="11"/>
  <c r="AT275" i="11"/>
  <c r="AC276" i="11" a="1"/>
  <c r="AE276" i="11"/>
  <c r="AC276" i="11"/>
  <c r="AD276" i="11"/>
  <c r="AF276" i="11"/>
  <c r="AH276" i="11" a="1"/>
  <c r="AK276" i="11"/>
  <c r="AJ276" i="11"/>
  <c r="AI276" i="11"/>
  <c r="AH276" i="11"/>
  <c r="AM276" i="11" a="1"/>
  <c r="AM276" i="11"/>
  <c r="AN276" i="11"/>
  <c r="AP276" i="11"/>
  <c r="AO276" i="11"/>
  <c r="AW276" i="11" a="1"/>
  <c r="AW276" i="11"/>
  <c r="AR276" i="11" a="1"/>
  <c r="AU276" i="11"/>
  <c r="AR276" i="11"/>
  <c r="AT276" i="11"/>
  <c r="AS276" i="11"/>
  <c r="AW274" i="11" a="1"/>
  <c r="AW274" i="11"/>
  <c r="AC277" i="11" a="1"/>
  <c r="AE277" i="11"/>
  <c r="AC277" i="11"/>
  <c r="AD277" i="11"/>
  <c r="AF277" i="11"/>
  <c r="AH277" i="11" a="1"/>
  <c r="AI277" i="11"/>
  <c r="AH277" i="11"/>
  <c r="AJ277" i="11"/>
  <c r="AK277" i="11"/>
  <c r="AM277" i="11" a="1"/>
  <c r="AO277" i="11"/>
  <c r="AM277" i="11"/>
  <c r="AN277" i="11"/>
  <c r="AP277" i="11"/>
  <c r="AR277" i="11" a="1"/>
  <c r="AR277" i="11"/>
  <c r="AT277" i="11"/>
  <c r="AU277" i="11"/>
  <c r="AS277" i="11"/>
  <c r="AW277" i="11" a="1"/>
  <c r="AW277" i="11"/>
  <c r="AC278" i="11" a="1"/>
  <c r="AC278" i="11"/>
  <c r="AF278" i="11"/>
  <c r="AD278" i="11"/>
  <c r="AE278" i="11"/>
  <c r="AH278" i="11" a="1"/>
  <c r="AJ278" i="11"/>
  <c r="AI278" i="11"/>
  <c r="AK278" i="11"/>
  <c r="AH278" i="11"/>
  <c r="AM278" i="11" a="1"/>
  <c r="AP278" i="11"/>
  <c r="AM278" i="11"/>
  <c r="AN278" i="11"/>
  <c r="AO278" i="11"/>
  <c r="AR278" i="11" a="1"/>
  <c r="AR278" i="11"/>
  <c r="AS278" i="11"/>
  <c r="AU278" i="11"/>
  <c r="AT278" i="11"/>
  <c r="AC279" i="11" a="1"/>
  <c r="AD279" i="11"/>
  <c r="AF279" i="11"/>
  <c r="AC279" i="11"/>
  <c r="AE279" i="11"/>
  <c r="AH279" i="11" a="1"/>
  <c r="AI279" i="11"/>
  <c r="AH279" i="11"/>
  <c r="AK279" i="11"/>
  <c r="AJ279" i="11"/>
  <c r="AM279" i="11" a="1"/>
  <c r="AO279" i="11"/>
  <c r="AP279" i="11"/>
  <c r="AM279" i="11"/>
  <c r="AN279" i="11"/>
  <c r="AW279" i="11" a="1"/>
  <c r="AW279" i="11"/>
  <c r="AR279" i="11" a="1"/>
  <c r="AR279" i="11"/>
  <c r="AU279" i="11"/>
  <c r="AT279" i="11"/>
  <c r="AS279" i="11"/>
  <c r="AW278" i="11" a="1"/>
  <c r="AW278" i="11"/>
  <c r="AC280" i="11" a="1"/>
  <c r="AC280" i="11"/>
  <c r="AF280" i="11"/>
  <c r="AD280" i="11"/>
  <c r="AE280" i="11"/>
  <c r="AH280" i="11" a="1"/>
  <c r="AJ280" i="11"/>
  <c r="AK280" i="11"/>
  <c r="AH280" i="11"/>
  <c r="AI280" i="11"/>
  <c r="AM280" i="11" a="1"/>
  <c r="AM280" i="11"/>
  <c r="AP280" i="11"/>
  <c r="AN280" i="11"/>
  <c r="AO280" i="11"/>
  <c r="AR280" i="11" a="1"/>
  <c r="AU280" i="11"/>
  <c r="AT280" i="11"/>
  <c r="AS280" i="11"/>
  <c r="AR280" i="11"/>
  <c r="AW280" i="11" a="1"/>
  <c r="AW280" i="11"/>
  <c r="AC281" i="11" a="1"/>
  <c r="AF281" i="11"/>
  <c r="AC281" i="11"/>
  <c r="AE281" i="11"/>
  <c r="AD281" i="11"/>
  <c r="AH281" i="11" a="1"/>
  <c r="AJ281" i="11"/>
  <c r="AH281" i="11"/>
  <c r="AK281" i="11"/>
  <c r="AI281" i="11"/>
  <c r="AM281" i="11" a="1"/>
  <c r="AP281" i="11"/>
  <c r="AN281" i="11"/>
  <c r="AO281" i="11"/>
  <c r="AM281" i="11"/>
  <c r="AR281" i="11" a="1"/>
  <c r="AT281" i="11"/>
  <c r="AU281" i="11"/>
  <c r="AS281" i="11"/>
  <c r="AR281" i="11"/>
  <c r="AW281" i="11" a="1"/>
  <c r="AW281" i="11"/>
  <c r="AC282" i="11" a="1"/>
  <c r="AC282" i="11"/>
  <c r="AD282" i="11"/>
  <c r="AE282" i="11"/>
  <c r="AF282" i="11"/>
  <c r="AH282" i="11" a="1"/>
  <c r="AH282" i="11"/>
  <c r="AJ282" i="11"/>
  <c r="AI282" i="11"/>
  <c r="AK282" i="11"/>
  <c r="AM282" i="11" a="1"/>
  <c r="AP282" i="11"/>
  <c r="AN282" i="11"/>
  <c r="AO282" i="11"/>
  <c r="AM282" i="11"/>
  <c r="AR282" i="11" a="1"/>
  <c r="AS282" i="11"/>
  <c r="AT282" i="11"/>
  <c r="AU282" i="11"/>
  <c r="AR282" i="11"/>
  <c r="AC283" i="11" a="1"/>
  <c r="AE283" i="11"/>
  <c r="AF283" i="11"/>
  <c r="AC283" i="11"/>
  <c r="AD283" i="11"/>
  <c r="AH283" i="11" a="1"/>
  <c r="AK283" i="11"/>
  <c r="AI283" i="11"/>
  <c r="AJ283" i="11"/>
  <c r="AH283" i="11"/>
  <c r="AM283" i="11" a="1"/>
  <c r="AO283" i="11"/>
  <c r="AN283" i="11"/>
  <c r="AM283" i="11"/>
  <c r="AP283" i="11"/>
  <c r="AW283" i="11" a="1"/>
  <c r="AW283" i="11"/>
  <c r="AR283" i="11" a="1"/>
  <c r="AS283" i="11"/>
  <c r="AT283" i="11"/>
  <c r="AU283" i="11"/>
  <c r="AR283" i="11"/>
  <c r="AC284" i="11" a="1"/>
  <c r="AC284" i="11"/>
  <c r="AD284" i="11"/>
  <c r="AE284" i="11"/>
  <c r="AF284" i="11"/>
  <c r="AH284" i="11" a="1"/>
  <c r="AK284" i="11"/>
  <c r="AI284" i="11"/>
  <c r="AJ284" i="11"/>
  <c r="AH284" i="11"/>
  <c r="AM284" i="11" a="1"/>
  <c r="AP284" i="11"/>
  <c r="AN284" i="11"/>
  <c r="AO284" i="11"/>
  <c r="AM284" i="11"/>
  <c r="AW284" i="11" a="1"/>
  <c r="AW284" i="11"/>
  <c r="AR284" i="11" a="1"/>
  <c r="AR284" i="11"/>
  <c r="AU284" i="11"/>
  <c r="AS284" i="11"/>
  <c r="AT284" i="11"/>
  <c r="AW282" i="11" a="1"/>
  <c r="AW282" i="11"/>
  <c r="AC285" i="11" a="1"/>
  <c r="AD285" i="11"/>
  <c r="AC285" i="11"/>
  <c r="AF285" i="11"/>
  <c r="AE285" i="11"/>
  <c r="AH285" i="11" a="1"/>
  <c r="AJ285" i="11"/>
  <c r="AI285" i="11"/>
  <c r="AK285" i="11"/>
  <c r="AH285" i="11"/>
  <c r="AM285" i="11" a="1"/>
  <c r="AO285" i="11"/>
  <c r="AP285" i="11"/>
  <c r="AN285" i="11"/>
  <c r="AM285" i="11"/>
  <c r="AR285" i="11" a="1"/>
  <c r="AR285" i="11"/>
  <c r="AS285" i="11"/>
  <c r="AU285" i="11"/>
  <c r="AT285" i="11"/>
  <c r="AW285" i="11" a="1"/>
  <c r="AW285" i="11"/>
  <c r="AC286" i="11" a="1"/>
  <c r="AD286" i="11"/>
  <c r="AE286" i="11"/>
  <c r="AF286" i="11"/>
  <c r="AC286" i="11"/>
  <c r="AH286" i="11" a="1"/>
  <c r="AJ286" i="11"/>
  <c r="AK286" i="11"/>
  <c r="AI286" i="11"/>
  <c r="AH286" i="11"/>
  <c r="AM286" i="11" a="1"/>
  <c r="AN286" i="11"/>
  <c r="AO286" i="11"/>
  <c r="AP286" i="11"/>
  <c r="AM286" i="11"/>
  <c r="AR286" i="11" a="1"/>
  <c r="AR286" i="11"/>
  <c r="AT286" i="11"/>
  <c r="AU286" i="11"/>
  <c r="AS286" i="11"/>
  <c r="AC287" i="11" a="1"/>
  <c r="AC287" i="11"/>
  <c r="AE287" i="11"/>
  <c r="AD287" i="11"/>
  <c r="AF287" i="11"/>
  <c r="AH287" i="11" a="1"/>
  <c r="AI287" i="11"/>
  <c r="AK287" i="11"/>
  <c r="AH287" i="11"/>
  <c r="AJ287" i="11"/>
  <c r="AM287" i="11" a="1"/>
  <c r="AO287" i="11"/>
  <c r="AP287" i="11"/>
  <c r="AM287" i="11"/>
  <c r="AN287" i="11"/>
  <c r="AW287" i="11" a="1"/>
  <c r="AW287" i="11"/>
  <c r="AR287" i="11" a="1"/>
  <c r="AT287" i="11"/>
  <c r="AS287" i="11"/>
  <c r="AR287" i="11"/>
  <c r="AU287" i="11"/>
  <c r="AW286" i="11" a="1"/>
  <c r="AW286" i="11"/>
  <c r="AC288" i="11" a="1"/>
  <c r="AE288" i="11"/>
  <c r="AD288" i="11"/>
  <c r="AC288" i="11"/>
  <c r="AF288" i="11"/>
  <c r="AH288" i="11" a="1"/>
  <c r="AK288" i="11"/>
  <c r="AJ288" i="11"/>
  <c r="AI288" i="11"/>
  <c r="AH288" i="11"/>
  <c r="AM288" i="11" a="1"/>
  <c r="AM288" i="11"/>
  <c r="AN288" i="11"/>
  <c r="AO288" i="11"/>
  <c r="AP288" i="11"/>
  <c r="AR288" i="11" a="1"/>
  <c r="AR288" i="11"/>
  <c r="AS288" i="11"/>
  <c r="AU288" i="11"/>
  <c r="AT288" i="11"/>
  <c r="AW288" i="11" a="1"/>
  <c r="AW288" i="11"/>
  <c r="AC289" i="11" a="1"/>
  <c r="AE289" i="11"/>
  <c r="AC289" i="11"/>
  <c r="AF289" i="11"/>
  <c r="AD289" i="11"/>
  <c r="AH289" i="11" a="1"/>
  <c r="AH289" i="11"/>
  <c r="AI289" i="11"/>
  <c r="AJ289" i="11"/>
  <c r="AK289" i="11"/>
  <c r="AM289" i="11" a="1"/>
  <c r="AO289" i="11"/>
  <c r="AP289" i="11"/>
  <c r="AM289" i="11"/>
  <c r="AN289" i="11"/>
  <c r="AR289" i="11" a="1"/>
  <c r="AS289" i="11"/>
  <c r="AR289" i="11"/>
  <c r="AU289" i="11"/>
  <c r="AT289" i="11"/>
  <c r="AW289" i="11" a="1"/>
  <c r="AW289" i="11"/>
  <c r="AC290" i="11" a="1"/>
  <c r="AF290" i="11"/>
  <c r="AE290" i="11"/>
  <c r="AC290" i="11"/>
  <c r="AD290" i="11"/>
  <c r="AH290" i="11" a="1"/>
  <c r="AI290" i="11"/>
  <c r="AJ290" i="11"/>
  <c r="AH290" i="11"/>
  <c r="AK290" i="11"/>
  <c r="AM290" i="11" a="1"/>
  <c r="AP290" i="11"/>
  <c r="AN290" i="11"/>
  <c r="AM290" i="11"/>
  <c r="AO290" i="11"/>
  <c r="AR290" i="11" a="1"/>
  <c r="AS290" i="11"/>
  <c r="AU290" i="11"/>
  <c r="AR290" i="11"/>
  <c r="AT290" i="11"/>
  <c r="AC291" i="11" a="1"/>
  <c r="AC291" i="11"/>
  <c r="AD291" i="11"/>
  <c r="AF291" i="11"/>
  <c r="AE291" i="11"/>
  <c r="AH291" i="11" a="1"/>
  <c r="AK291" i="11"/>
  <c r="AJ291" i="11"/>
  <c r="AI291" i="11"/>
  <c r="AH291" i="11"/>
  <c r="AM291" i="11" a="1"/>
  <c r="AP291" i="11"/>
  <c r="AN291" i="11"/>
  <c r="AM291" i="11"/>
  <c r="AO291" i="11"/>
  <c r="AW291" i="11" a="1"/>
  <c r="AW291" i="11"/>
  <c r="AR291" i="11" a="1"/>
  <c r="AS291" i="11"/>
  <c r="AU291" i="11"/>
  <c r="AR291" i="11"/>
  <c r="AT291" i="11"/>
  <c r="AW290" i="11" a="1"/>
  <c r="AW290" i="11"/>
  <c r="AC292" i="11" a="1"/>
  <c r="AC292" i="11"/>
  <c r="AD292" i="11"/>
  <c r="AE292" i="11"/>
  <c r="AF292" i="11"/>
  <c r="AH292" i="11" a="1"/>
  <c r="AK292" i="11"/>
  <c r="AH292" i="11"/>
  <c r="AI292" i="11"/>
  <c r="AJ292" i="11"/>
  <c r="AM292" i="11" a="1"/>
  <c r="AO292" i="11"/>
  <c r="AP292" i="11"/>
  <c r="AN292" i="11"/>
  <c r="AM292" i="11"/>
  <c r="AR292" i="11" a="1"/>
  <c r="AR292" i="11"/>
  <c r="AS292" i="11"/>
  <c r="AT292" i="11"/>
  <c r="AU292" i="11"/>
  <c r="AW292" i="11" a="1"/>
  <c r="AW292" i="11"/>
  <c r="AC293" i="11" a="1"/>
  <c r="AF293" i="11"/>
  <c r="AC293" i="11"/>
  <c r="AE293" i="11"/>
  <c r="AD293" i="11"/>
  <c r="AH293" i="11" a="1"/>
  <c r="AK293" i="11"/>
  <c r="AI293" i="11"/>
  <c r="AJ293" i="11"/>
  <c r="AH293" i="11"/>
  <c r="AM293" i="11" a="1"/>
  <c r="AP293" i="11"/>
  <c r="AO293" i="11"/>
  <c r="AM293" i="11"/>
  <c r="AN293" i="11"/>
  <c r="AR293" i="11" a="1"/>
  <c r="AT293" i="11"/>
  <c r="AR293" i="11"/>
  <c r="AU293" i="11"/>
  <c r="AS293" i="11"/>
  <c r="AW293" i="11" a="1"/>
  <c r="AW293" i="11"/>
  <c r="AC294" i="11" a="1"/>
  <c r="AD294" i="11"/>
  <c r="AE294" i="11"/>
  <c r="AC294" i="11"/>
  <c r="AF294" i="11"/>
  <c r="AH294" i="11" a="1"/>
  <c r="AI294" i="11"/>
  <c r="AK294" i="11"/>
  <c r="AH294" i="11"/>
  <c r="AJ294" i="11"/>
  <c r="AM294" i="11" a="1"/>
  <c r="AM294" i="11"/>
  <c r="AP294" i="11"/>
  <c r="AO294" i="11"/>
  <c r="AN294" i="11"/>
  <c r="AR294" i="11" a="1"/>
  <c r="AR294" i="11"/>
  <c r="AU294" i="11"/>
  <c r="AS294" i="11"/>
  <c r="AT294" i="11"/>
  <c r="AC295" i="11" a="1"/>
  <c r="AE295" i="11"/>
  <c r="AC295" i="11"/>
  <c r="AF295" i="11"/>
  <c r="AD295" i="11"/>
  <c r="AH295" i="11" a="1"/>
  <c r="AI295" i="11"/>
  <c r="AK295" i="11"/>
  <c r="AJ295" i="11"/>
  <c r="AH295" i="11"/>
  <c r="AM295" i="11" a="1"/>
  <c r="AO295" i="11"/>
  <c r="AP295" i="11"/>
  <c r="AM295" i="11"/>
  <c r="AN295" i="11"/>
  <c r="AW295" i="11" a="1"/>
  <c r="AW295" i="11"/>
  <c r="AR295" i="11" a="1"/>
  <c r="AS295" i="11"/>
  <c r="AR295" i="11"/>
  <c r="AU295" i="11"/>
  <c r="AT295" i="11"/>
  <c r="AW294" i="11" a="1"/>
  <c r="AW294" i="11"/>
  <c r="AC296" i="11" a="1"/>
  <c r="AC296" i="11"/>
  <c r="AE296" i="11"/>
  <c r="AD296" i="11"/>
  <c r="AF296" i="11"/>
  <c r="AH296" i="11" a="1"/>
  <c r="AJ296" i="11"/>
  <c r="AI296" i="11"/>
  <c r="AH296" i="11"/>
  <c r="AK296" i="11"/>
  <c r="AM296" i="11" a="1"/>
  <c r="AM296" i="11"/>
  <c r="AO296" i="11"/>
  <c r="AN296" i="11"/>
  <c r="AP296" i="11"/>
  <c r="AR296" i="11" a="1"/>
  <c r="AT296" i="11"/>
  <c r="AS296" i="11"/>
  <c r="AU296" i="11"/>
  <c r="AR296" i="11"/>
  <c r="AW296" i="11" a="1"/>
  <c r="AW296" i="11"/>
  <c r="AC297" i="11" a="1"/>
  <c r="AD297" i="11"/>
  <c r="AE297" i="11"/>
  <c r="AF297" i="11"/>
  <c r="AC297" i="11"/>
  <c r="AH297" i="11" a="1"/>
  <c r="AH297" i="11"/>
  <c r="AJ297" i="11"/>
  <c r="AK297" i="11"/>
  <c r="AI297" i="11"/>
  <c r="AM297" i="11" a="1"/>
  <c r="AN297" i="11"/>
  <c r="AP297" i="11"/>
  <c r="AO297" i="11"/>
  <c r="AM297" i="11"/>
  <c r="AR297" i="11" a="1"/>
  <c r="AR297" i="11"/>
  <c r="AU297" i="11"/>
  <c r="AS297" i="11"/>
  <c r="AT297" i="11"/>
  <c r="AW297" i="11" a="1"/>
  <c r="AW297" i="11"/>
  <c r="AC298" i="11" a="1"/>
  <c r="AE298" i="11"/>
  <c r="AD298" i="11"/>
  <c r="AF298" i="11"/>
  <c r="AC298" i="11"/>
  <c r="AH298" i="11" a="1"/>
  <c r="AK298" i="11"/>
  <c r="AI298" i="11"/>
  <c r="AH298" i="11"/>
  <c r="AJ298" i="11"/>
  <c r="AM298" i="11" a="1"/>
  <c r="AN298" i="11"/>
  <c r="AP298" i="11"/>
  <c r="AM298" i="11"/>
  <c r="AO298" i="11"/>
  <c r="AR298" i="11" a="1"/>
  <c r="AS298" i="11"/>
  <c r="AT298" i="11"/>
  <c r="AU298" i="11"/>
  <c r="AR298" i="11"/>
  <c r="AC299" i="11" a="1"/>
  <c r="AF299" i="11"/>
  <c r="AE299" i="11"/>
  <c r="AD299" i="11"/>
  <c r="AC299" i="11"/>
  <c r="AH299" i="11" a="1"/>
  <c r="AH299" i="11"/>
  <c r="AK299" i="11"/>
  <c r="AI299" i="11"/>
  <c r="AJ299" i="11"/>
  <c r="AM299" i="11" a="1"/>
  <c r="AP299" i="11"/>
  <c r="AO299" i="11"/>
  <c r="AN299" i="11"/>
  <c r="AM299" i="11"/>
  <c r="AW299" i="11" a="1"/>
  <c r="AW299" i="11"/>
  <c r="AR299" i="11" a="1"/>
  <c r="AR299" i="11"/>
  <c r="AT299" i="11"/>
  <c r="AU299" i="11"/>
  <c r="AS299" i="11"/>
  <c r="AW298" i="11" a="1"/>
  <c r="AW298" i="11"/>
  <c r="AC300" i="11" a="1"/>
  <c r="AE300" i="11"/>
  <c r="AC300" i="11"/>
  <c r="AF300" i="11"/>
  <c r="AD300" i="11"/>
  <c r="AH300" i="11" a="1"/>
  <c r="AK300" i="11"/>
  <c r="AH300" i="11"/>
  <c r="AI300" i="11"/>
  <c r="AJ300" i="11"/>
  <c r="AM300" i="11" a="1"/>
  <c r="AP300" i="11"/>
  <c r="AN300" i="11"/>
  <c r="AM300" i="11"/>
  <c r="AO300" i="11"/>
  <c r="AR300" i="11" a="1"/>
  <c r="AT300" i="11"/>
  <c r="AU300" i="11"/>
  <c r="AS300" i="11"/>
  <c r="AR300" i="11"/>
  <c r="AW300" i="11" a="1"/>
  <c r="AW300" i="11"/>
  <c r="AC301" i="11" a="1"/>
  <c r="AD301" i="11"/>
  <c r="AC301" i="11"/>
  <c r="AF301" i="11"/>
  <c r="AE301" i="11"/>
  <c r="AH301" i="11" a="1"/>
  <c r="AK301" i="11"/>
  <c r="AJ301" i="11"/>
  <c r="AI301" i="11"/>
  <c r="AH301" i="11"/>
  <c r="AM301" i="11" a="1"/>
  <c r="AP301" i="11"/>
  <c r="AM301" i="11"/>
  <c r="AO301" i="11"/>
  <c r="AN301" i="11"/>
  <c r="AR301" i="11" a="1"/>
  <c r="AT301" i="11"/>
  <c r="AR301" i="11"/>
  <c r="AU301" i="11"/>
  <c r="AS301" i="11"/>
  <c r="AW301" i="11" a="1"/>
  <c r="AW301" i="11"/>
  <c r="AC302" i="11" a="1"/>
  <c r="AE302" i="11"/>
  <c r="AC302" i="11"/>
  <c r="AF302" i="11"/>
  <c r="AD302" i="11"/>
  <c r="AH302" i="11" a="1"/>
  <c r="AH302" i="11"/>
  <c r="AJ302" i="11"/>
  <c r="AK302" i="11"/>
  <c r="AI302" i="11"/>
  <c r="AM302" i="11" a="1"/>
  <c r="AO302" i="11"/>
  <c r="AN302" i="11"/>
  <c r="AP302" i="11"/>
  <c r="AM302" i="11"/>
  <c r="AR302" i="11" a="1"/>
  <c r="AU302" i="11"/>
  <c r="AT302" i="11"/>
  <c r="AR302" i="11"/>
  <c r="AS302" i="11"/>
  <c r="AC303" i="11" a="1"/>
  <c r="AC303" i="11"/>
  <c r="AD303" i="11"/>
  <c r="AE303" i="11"/>
  <c r="AF303" i="11"/>
  <c r="AH303" i="11" a="1"/>
  <c r="AH303" i="11"/>
  <c r="AK303" i="11"/>
  <c r="AJ303" i="11"/>
  <c r="AI303" i="11"/>
  <c r="AM303" i="11" a="1"/>
  <c r="AO303" i="11"/>
  <c r="AM303" i="11"/>
  <c r="AN303" i="11"/>
  <c r="AP303" i="11"/>
  <c r="AW303" i="11" a="1"/>
  <c r="AW303" i="11"/>
  <c r="AR303" i="11" a="1"/>
  <c r="AT303" i="11"/>
  <c r="AR303" i="11"/>
  <c r="AU303" i="11"/>
  <c r="AS303" i="11"/>
  <c r="AW302" i="11" a="1"/>
  <c r="AW302" i="11"/>
  <c r="AC304" i="11" a="1"/>
  <c r="AC304" i="11"/>
  <c r="AD304" i="11"/>
  <c r="AE304" i="11"/>
  <c r="AF304" i="11"/>
  <c r="AH304" i="11" a="1"/>
  <c r="AH304" i="11"/>
  <c r="AI304" i="11"/>
  <c r="AJ304" i="11"/>
  <c r="AK304" i="11"/>
  <c r="AM304" i="11" a="1"/>
  <c r="AO304" i="11"/>
  <c r="AN304" i="11"/>
  <c r="AP304" i="11"/>
  <c r="AM304" i="11"/>
  <c r="AR304" i="11" a="1"/>
  <c r="AU304" i="11"/>
  <c r="AR304" i="11"/>
  <c r="AS304" i="11"/>
  <c r="AT304" i="11"/>
  <c r="AW304" i="11" a="1"/>
  <c r="AW304" i="11"/>
  <c r="AC305" i="11" a="1"/>
  <c r="AE305" i="11"/>
  <c r="AF305" i="11"/>
  <c r="AD305" i="11"/>
  <c r="AC305" i="11"/>
  <c r="AH305" i="11" a="1"/>
  <c r="AI305" i="11"/>
  <c r="AH305" i="11"/>
  <c r="AJ305" i="11"/>
  <c r="AK305" i="11"/>
  <c r="AM305" i="11" a="1"/>
  <c r="AN305" i="11"/>
  <c r="AM305" i="11"/>
  <c r="AO305" i="11"/>
  <c r="AP305" i="11"/>
  <c r="AR305" i="11" a="1"/>
  <c r="AT305" i="11"/>
  <c r="AR305" i="11"/>
  <c r="AS305" i="11"/>
  <c r="AU305" i="11"/>
  <c r="AW305" i="11" a="1"/>
  <c r="AW305" i="11"/>
  <c r="AC306" i="11" a="1"/>
  <c r="AF306" i="11"/>
  <c r="AE306" i="11"/>
  <c r="AC306" i="11"/>
  <c r="AD306" i="11"/>
  <c r="AH306" i="11" a="1"/>
  <c r="AJ306" i="11"/>
  <c r="AI306" i="11"/>
  <c r="AK306" i="11"/>
  <c r="AH306" i="11"/>
  <c r="AM306" i="11" a="1"/>
  <c r="AO306" i="11"/>
  <c r="AP306" i="11"/>
  <c r="AN306" i="11"/>
  <c r="AM306" i="11"/>
  <c r="AR306" i="11" a="1"/>
  <c r="AU306" i="11"/>
  <c r="AS306" i="11"/>
  <c r="AT306" i="11"/>
  <c r="AR306" i="11"/>
  <c r="AC307" i="11" a="1"/>
  <c r="AE307" i="11"/>
  <c r="AD307" i="11"/>
  <c r="AC307" i="11"/>
  <c r="AF307" i="11"/>
  <c r="AH307" i="11" a="1"/>
  <c r="AH307" i="11"/>
  <c r="AK307" i="11"/>
  <c r="AI307" i="11"/>
  <c r="AJ307" i="11"/>
  <c r="AM307" i="11" a="1"/>
  <c r="AN307" i="11"/>
  <c r="AM307" i="11"/>
  <c r="AO307" i="11"/>
  <c r="AP307" i="11"/>
  <c r="AW307" i="11" a="1"/>
  <c r="AW307" i="11"/>
  <c r="AR307" i="11" a="1"/>
  <c r="AS307" i="11"/>
  <c r="AT307" i="11"/>
  <c r="AU307" i="11"/>
  <c r="AR307" i="11"/>
  <c r="AC308" i="11" a="1"/>
  <c r="AF308" i="11"/>
  <c r="AC308" i="11"/>
  <c r="AE308" i="11"/>
  <c r="AD308" i="11"/>
  <c r="AH308" i="11" a="1"/>
  <c r="AK308" i="11"/>
  <c r="AJ308" i="11"/>
  <c r="AI308" i="11"/>
  <c r="AH308" i="11"/>
  <c r="AM308" i="11" a="1"/>
  <c r="AO308" i="11"/>
  <c r="AN308" i="11"/>
  <c r="AM308" i="11"/>
  <c r="AP308" i="11"/>
  <c r="AW308" i="11" a="1"/>
  <c r="AW308" i="11"/>
  <c r="AR308" i="11" a="1"/>
  <c r="AT308" i="11"/>
  <c r="AS308" i="11"/>
  <c r="AU308" i="11"/>
  <c r="AR308" i="11"/>
  <c r="AW306" i="11" a="1"/>
  <c r="AW306" i="11"/>
  <c r="AC309" i="11" a="1"/>
  <c r="AE309" i="11"/>
  <c r="AD309" i="11"/>
  <c r="AC309" i="11"/>
  <c r="AF309" i="11"/>
  <c r="AH309" i="11" a="1"/>
  <c r="AJ309" i="11"/>
  <c r="AI309" i="11"/>
  <c r="AH309" i="11"/>
  <c r="AK309" i="11"/>
  <c r="AM309" i="11" a="1"/>
  <c r="AP309" i="11"/>
  <c r="AM309" i="11"/>
  <c r="AN309" i="11"/>
  <c r="AO309" i="11"/>
  <c r="AR309" i="11" a="1"/>
  <c r="AU309" i="11"/>
  <c r="AS309" i="11"/>
  <c r="AT309" i="11"/>
  <c r="AR309" i="11"/>
  <c r="AC310" i="11" a="1"/>
  <c r="AE310" i="11"/>
  <c r="AD310" i="11"/>
  <c r="AC310" i="11"/>
  <c r="AF310" i="11"/>
  <c r="AH310" i="11" a="1"/>
  <c r="AH310" i="11"/>
  <c r="AJ310" i="11"/>
  <c r="AK310" i="11"/>
  <c r="AI310" i="11"/>
  <c r="AM310" i="11" a="1"/>
  <c r="AM310" i="11"/>
  <c r="AN310" i="11"/>
  <c r="AO310" i="11"/>
  <c r="AP310" i="11"/>
  <c r="AW310" i="11" a="1"/>
  <c r="AW310" i="11"/>
  <c r="AR310" i="11" a="1"/>
  <c r="AR310" i="11"/>
  <c r="AS310" i="11"/>
  <c r="AT310" i="11"/>
  <c r="AU310" i="11"/>
  <c r="AC311" i="11" a="1"/>
  <c r="AF311" i="11"/>
  <c r="AE311" i="11"/>
  <c r="AD311" i="11"/>
  <c r="AC311" i="11"/>
  <c r="AH311" i="11" a="1"/>
  <c r="AK311" i="11"/>
  <c r="AJ311" i="11"/>
  <c r="AI311" i="11"/>
  <c r="AH311" i="11"/>
  <c r="AM311" i="11" a="1"/>
  <c r="AN311" i="11"/>
  <c r="AP311" i="11"/>
  <c r="AM311" i="11"/>
  <c r="AO311" i="11"/>
  <c r="AW311" i="11" a="1"/>
  <c r="AW311" i="11"/>
  <c r="AR311" i="11" a="1"/>
  <c r="AR311" i="11"/>
  <c r="AT311" i="11"/>
  <c r="AS311" i="11"/>
  <c r="AU311" i="11"/>
  <c r="AW309" i="11" a="1"/>
  <c r="AW309" i="11"/>
  <c r="AC312" i="11" a="1"/>
  <c r="AD312" i="11"/>
  <c r="AE312" i="11"/>
  <c r="AC312" i="11"/>
  <c r="AF312" i="11"/>
  <c r="AH312" i="11" a="1"/>
  <c r="AH312" i="11"/>
  <c r="AI312" i="11"/>
  <c r="AJ312" i="11"/>
  <c r="AK312" i="11"/>
  <c r="AM312" i="11" a="1"/>
  <c r="AN312" i="11"/>
  <c r="AM312" i="11"/>
  <c r="AO312" i="11"/>
  <c r="AP312" i="11"/>
  <c r="AR312" i="11" a="1"/>
  <c r="AR312" i="11"/>
  <c r="AU312" i="11"/>
  <c r="AS312" i="11"/>
  <c r="AT312" i="11"/>
  <c r="AW312" i="11" a="1"/>
  <c r="AW312" i="11"/>
  <c r="AC313" i="11" a="1"/>
  <c r="AF313" i="11"/>
  <c r="AC313" i="11"/>
  <c r="AE313" i="11"/>
  <c r="AD313" i="11"/>
  <c r="AH313" i="11" a="1"/>
  <c r="AJ313" i="11"/>
  <c r="AI313" i="11"/>
  <c r="AK313" i="11"/>
  <c r="AH313" i="11"/>
  <c r="AM313" i="11" a="1"/>
  <c r="AO313" i="11"/>
  <c r="AM313" i="11"/>
  <c r="AN313" i="11"/>
  <c r="AP313" i="11"/>
  <c r="AR313" i="11" a="1"/>
  <c r="AT313" i="11"/>
  <c r="AR313" i="11"/>
  <c r="AS313" i="11"/>
  <c r="AU313" i="11"/>
  <c r="AW313" i="11" a="1"/>
  <c r="AW313" i="11"/>
  <c r="AC314" i="11" a="1"/>
  <c r="AC314" i="11"/>
  <c r="AF314" i="11"/>
  <c r="AE314" i="11"/>
  <c r="AD314" i="11"/>
  <c r="AH314" i="11" a="1"/>
  <c r="AI314" i="11"/>
  <c r="AJ314" i="11"/>
  <c r="AK314" i="11"/>
  <c r="AH314" i="11"/>
  <c r="AM314" i="11" a="1"/>
  <c r="AN314" i="11"/>
  <c r="AM314" i="11"/>
  <c r="AP314" i="11"/>
  <c r="AO314" i="11"/>
  <c r="AR314" i="11" a="1"/>
  <c r="AS314" i="11"/>
  <c r="AR314" i="11"/>
  <c r="AU314" i="11"/>
  <c r="AT314" i="11"/>
  <c r="AC315" i="11" a="1"/>
  <c r="AC315" i="11"/>
  <c r="AD315" i="11"/>
  <c r="AE315" i="11"/>
  <c r="AF315" i="11"/>
  <c r="AH315" i="11" a="1"/>
  <c r="AH315" i="11"/>
  <c r="AI315" i="11"/>
  <c r="AJ315" i="11"/>
  <c r="AK315" i="11"/>
  <c r="AM315" i="11" a="1"/>
  <c r="AN315" i="11"/>
  <c r="AO315" i="11"/>
  <c r="AP315" i="11"/>
  <c r="AM315" i="11"/>
  <c r="AW315" i="11" a="1"/>
  <c r="AW315" i="11"/>
  <c r="AR315" i="11" a="1"/>
  <c r="AS315" i="11"/>
  <c r="AT315" i="11"/>
  <c r="AU315" i="11"/>
  <c r="AR315" i="11"/>
  <c r="AC316" i="11" a="1"/>
  <c r="AD316" i="11"/>
  <c r="AC316" i="11"/>
  <c r="AE316" i="11"/>
  <c r="AF316" i="11"/>
  <c r="AH316" i="11" a="1"/>
  <c r="AK316" i="11"/>
  <c r="AH316" i="11"/>
  <c r="AJ316" i="11"/>
  <c r="AI316" i="11"/>
  <c r="AM316" i="11" a="1"/>
  <c r="AP316" i="11"/>
  <c r="AO316" i="11"/>
  <c r="AM316" i="11"/>
  <c r="AN316" i="11"/>
  <c r="AW316" i="11" a="1"/>
  <c r="AW316" i="11"/>
  <c r="AR316" i="11" a="1"/>
  <c r="AU316" i="11"/>
  <c r="AT316" i="11"/>
  <c r="AR316" i="11"/>
  <c r="AS316" i="11"/>
  <c r="AW314" i="11" a="1"/>
  <c r="AW314" i="11"/>
  <c r="AC317" i="11" a="1"/>
  <c r="AC317" i="11"/>
  <c r="AF317" i="11"/>
  <c r="AD317" i="11"/>
  <c r="AE317" i="11"/>
  <c r="AH317" i="11" a="1"/>
  <c r="AI317" i="11"/>
  <c r="AJ317" i="11"/>
  <c r="AH317" i="11"/>
  <c r="AK317" i="11"/>
  <c r="AM317" i="11" a="1"/>
  <c r="AM317" i="11"/>
  <c r="AN317" i="11"/>
  <c r="AP317" i="11"/>
  <c r="AO317" i="11"/>
  <c r="AR317" i="11" a="1"/>
  <c r="AU317" i="11"/>
  <c r="AR317" i="11"/>
  <c r="AS317" i="11"/>
  <c r="AT317" i="11"/>
  <c r="AC318" i="11" a="1"/>
  <c r="AE318" i="11"/>
  <c r="AC318" i="11"/>
  <c r="AF318" i="11"/>
  <c r="AD318" i="11"/>
  <c r="AH318" i="11" a="1"/>
  <c r="AK318" i="11"/>
  <c r="AI318" i="11"/>
  <c r="AJ318" i="11"/>
  <c r="AH318" i="11"/>
  <c r="AM318" i="11" a="1"/>
  <c r="AP318" i="11"/>
  <c r="AM318" i="11"/>
  <c r="AO318" i="11"/>
  <c r="AN318" i="11"/>
  <c r="AW318" i="11" a="1"/>
  <c r="AW318" i="11"/>
  <c r="AR318" i="11" a="1"/>
  <c r="AT318" i="11"/>
  <c r="AU318" i="11"/>
  <c r="AS318" i="11"/>
  <c r="AR318" i="11"/>
  <c r="AC319" i="11" a="1"/>
  <c r="AE319" i="11"/>
  <c r="AF319" i="11"/>
  <c r="AD319" i="11"/>
  <c r="AC319" i="11"/>
  <c r="AH319" i="11" a="1"/>
  <c r="AH319" i="11"/>
  <c r="AK319" i="11"/>
  <c r="AJ319" i="11"/>
  <c r="AI319" i="11"/>
  <c r="AM319" i="11" a="1"/>
  <c r="AP319" i="11"/>
  <c r="AO319" i="11"/>
  <c r="AN319" i="11"/>
  <c r="AM319" i="11"/>
  <c r="AW319" i="11" a="1"/>
  <c r="AW319" i="11"/>
  <c r="AR319" i="11" a="1"/>
  <c r="AU319" i="11"/>
  <c r="AT319" i="11"/>
  <c r="AR319" i="11"/>
  <c r="AS319" i="11"/>
  <c r="AW317" i="11" a="1"/>
  <c r="AW317" i="11"/>
  <c r="AC320" i="11" a="1"/>
  <c r="AD320" i="11"/>
  <c r="AC320" i="11"/>
  <c r="AF320" i="11"/>
  <c r="AE320" i="11"/>
  <c r="AH320" i="11" a="1"/>
  <c r="AK320" i="11"/>
  <c r="AI320" i="11"/>
  <c r="AJ320" i="11"/>
  <c r="AH320" i="11"/>
  <c r="AM320" i="11" a="1"/>
  <c r="AP320" i="11"/>
  <c r="AN320" i="11"/>
  <c r="AM320" i="11"/>
  <c r="AO320" i="11"/>
  <c r="AR320" i="11" a="1"/>
  <c r="AR320" i="11"/>
  <c r="AT320" i="11"/>
  <c r="AS320" i="11"/>
  <c r="AU320" i="11"/>
  <c r="AW320" i="11" a="1"/>
  <c r="AW320" i="11"/>
  <c r="AC321" i="11" a="1"/>
  <c r="AC321" i="11"/>
  <c r="AD321" i="11"/>
  <c r="AE321" i="11"/>
  <c r="AF321" i="11"/>
  <c r="AH321" i="11" a="1"/>
  <c r="AJ321" i="11"/>
  <c r="AI321" i="11"/>
  <c r="AK321" i="11"/>
  <c r="AH321" i="11"/>
  <c r="AM321" i="11" a="1"/>
  <c r="AP321" i="11"/>
  <c r="AN321" i="11"/>
  <c r="AO321" i="11"/>
  <c r="AM321" i="11"/>
  <c r="AR321" i="11" a="1"/>
  <c r="AR321" i="11"/>
  <c r="AT321" i="11"/>
  <c r="AU321" i="11"/>
  <c r="AS321" i="11"/>
  <c r="AC322" i="11" a="1"/>
  <c r="AC322" i="11"/>
  <c r="AE322" i="11"/>
  <c r="AD322" i="11"/>
  <c r="AF322" i="11"/>
  <c r="AH322" i="11" a="1"/>
  <c r="AK322" i="11"/>
  <c r="AJ322" i="11"/>
  <c r="AI322" i="11"/>
  <c r="AH322" i="11"/>
  <c r="AM322" i="11" a="1"/>
  <c r="AO322" i="11"/>
  <c r="AP322" i="11"/>
  <c r="AM322" i="11"/>
  <c r="AN322" i="11"/>
  <c r="AW322" i="11" a="1"/>
  <c r="AW322" i="11"/>
  <c r="AR322" i="11" a="1"/>
  <c r="AS322" i="11"/>
  <c r="AT322" i="11"/>
  <c r="AU322" i="11"/>
  <c r="AR322" i="11"/>
  <c r="AC323" i="11" a="1"/>
  <c r="AF323" i="11"/>
  <c r="AD323" i="11"/>
  <c r="AC323" i="11"/>
  <c r="AE323" i="11"/>
  <c r="AH323" i="11" a="1"/>
  <c r="AH323" i="11"/>
  <c r="AJ323" i="11"/>
  <c r="AI323" i="11"/>
  <c r="AK323" i="11"/>
  <c r="AM323" i="11" a="1"/>
  <c r="AP323" i="11"/>
  <c r="AN323" i="11"/>
  <c r="AO323" i="11"/>
  <c r="AM323" i="11"/>
  <c r="AW323" i="11" a="1"/>
  <c r="AW323" i="11"/>
  <c r="AR323" i="11" a="1"/>
  <c r="AT323" i="11"/>
  <c r="AU323" i="11"/>
  <c r="AR323" i="11"/>
  <c r="AS323" i="11"/>
  <c r="AW321" i="11" a="1"/>
  <c r="AW321" i="11"/>
  <c r="AC324" i="11" a="1"/>
  <c r="AE324" i="11"/>
  <c r="AD324" i="11"/>
  <c r="AC324" i="11"/>
  <c r="AF324" i="11"/>
  <c r="AH324" i="11" a="1"/>
  <c r="AJ324" i="11"/>
  <c r="AH324" i="11"/>
  <c r="AI324" i="11"/>
  <c r="AK324" i="11"/>
  <c r="AM324" i="11" a="1"/>
  <c r="AM324" i="11"/>
  <c r="AP324" i="11"/>
  <c r="AN324" i="11"/>
  <c r="AO324" i="11"/>
  <c r="AR324" i="11" a="1"/>
  <c r="AR324" i="11"/>
  <c r="AU324" i="11"/>
  <c r="AS324" i="11"/>
  <c r="AT324" i="11"/>
  <c r="AW324" i="11" a="1"/>
  <c r="AW324" i="11"/>
  <c r="AC325" i="11" a="1"/>
  <c r="AF325" i="11"/>
  <c r="AE325" i="11"/>
  <c r="AD325" i="11"/>
  <c r="AC325" i="11"/>
  <c r="AH325" i="11" a="1"/>
  <c r="AK325" i="11"/>
  <c r="AH325" i="11"/>
  <c r="AI325" i="11"/>
  <c r="AJ325" i="11"/>
  <c r="AM325" i="11" a="1"/>
  <c r="AN325" i="11"/>
  <c r="AP325" i="11"/>
  <c r="AO325" i="11"/>
  <c r="AM325" i="11"/>
  <c r="AR325" i="11" a="1"/>
  <c r="AT325" i="11"/>
  <c r="AU325" i="11"/>
  <c r="AR325" i="11"/>
  <c r="AS325" i="11"/>
  <c r="AC326" i="11" a="1"/>
  <c r="AF326" i="11"/>
  <c r="AD326" i="11"/>
  <c r="AE326" i="11"/>
  <c r="AC326" i="11"/>
  <c r="AH326" i="11" a="1"/>
  <c r="AJ326" i="11"/>
  <c r="AI326" i="11"/>
  <c r="AH326" i="11"/>
  <c r="AK326" i="11"/>
  <c r="AM326" i="11" a="1"/>
  <c r="AM326" i="11"/>
  <c r="AN326" i="11"/>
  <c r="AP326" i="11"/>
  <c r="AO326" i="11"/>
  <c r="AW326" i="11" a="1"/>
  <c r="AW326" i="11"/>
  <c r="AR326" i="11" a="1"/>
  <c r="AS326" i="11"/>
  <c r="AR326" i="11"/>
  <c r="AU326" i="11"/>
  <c r="AT326" i="11"/>
  <c r="AC327" i="11" a="1"/>
  <c r="AF327" i="11"/>
  <c r="AC327" i="11"/>
  <c r="AD327" i="11"/>
  <c r="AE327" i="11"/>
  <c r="AH327" i="11" a="1"/>
  <c r="AK327" i="11"/>
  <c r="AH327" i="11"/>
  <c r="AI327" i="11"/>
  <c r="AJ327" i="11"/>
  <c r="AM327" i="11" a="1"/>
  <c r="AO327" i="11"/>
  <c r="AM327" i="11"/>
  <c r="AN327" i="11"/>
  <c r="AP327" i="11"/>
  <c r="AW327" i="11" a="1"/>
  <c r="AW327" i="11"/>
  <c r="AR327" i="11" a="1"/>
  <c r="AU327" i="11"/>
  <c r="AR327" i="11"/>
  <c r="AT327" i="11"/>
  <c r="AS327" i="11"/>
  <c r="AW325" i="11" a="1"/>
  <c r="AW325" i="11"/>
  <c r="AC328" i="11" a="1"/>
  <c r="AC328" i="11"/>
  <c r="AF328" i="11"/>
  <c r="AD328" i="11"/>
  <c r="AE328" i="11"/>
  <c r="AH328" i="11" a="1"/>
  <c r="AK328" i="11"/>
  <c r="AJ328" i="11"/>
  <c r="AH328" i="11"/>
  <c r="AI328" i="11"/>
  <c r="AM328" i="11" a="1"/>
  <c r="AO328" i="11"/>
  <c r="AN328" i="11"/>
  <c r="AM328" i="11"/>
  <c r="AP328" i="11"/>
  <c r="AR328" i="11" a="1"/>
  <c r="AS328" i="11"/>
  <c r="AT328" i="11"/>
  <c r="AR328" i="11"/>
  <c r="AU328" i="11"/>
  <c r="AW328" i="11" a="1"/>
  <c r="AW328" i="11"/>
  <c r="AC329" i="11" a="1"/>
  <c r="AE329" i="11"/>
  <c r="AD329" i="11"/>
  <c r="AF329" i="11"/>
  <c r="AC329" i="11"/>
  <c r="AH329" i="11" a="1"/>
  <c r="AI329" i="11"/>
  <c r="AK329" i="11"/>
  <c r="AH329" i="11"/>
  <c r="AJ329" i="11"/>
  <c r="AM329" i="11" a="1"/>
  <c r="AN329" i="11"/>
  <c r="AP329" i="11"/>
  <c r="AM329" i="11"/>
  <c r="AO329" i="11"/>
  <c r="AR329" i="11" a="1"/>
  <c r="AS329" i="11"/>
  <c r="AU329" i="11"/>
  <c r="AR329" i="11"/>
  <c r="AT329" i="11"/>
  <c r="AW329" i="11" a="1"/>
  <c r="AW329" i="11"/>
  <c r="AC330" i="11" a="1"/>
  <c r="AF330" i="11"/>
  <c r="AE330" i="11"/>
  <c r="AC330" i="11"/>
  <c r="AD330" i="11"/>
  <c r="AH330" i="11" a="1"/>
  <c r="AK330" i="11"/>
  <c r="AH330" i="11"/>
  <c r="AI330" i="11"/>
  <c r="AJ330" i="11"/>
  <c r="AM330" i="11" a="1"/>
  <c r="AM330" i="11"/>
  <c r="AP330" i="11"/>
  <c r="AN330" i="11"/>
  <c r="AO330" i="11"/>
  <c r="AR330" i="11" a="1"/>
  <c r="AU330" i="11"/>
  <c r="AR330" i="11"/>
  <c r="AS330" i="11"/>
  <c r="AT330" i="11"/>
  <c r="AC331" i="11" a="1"/>
  <c r="AD331" i="11"/>
  <c r="AF331" i="11"/>
  <c r="AC331" i="11"/>
  <c r="AE331" i="11"/>
  <c r="AH331" i="11" a="1"/>
  <c r="AI331" i="11"/>
  <c r="AK331" i="11"/>
  <c r="AJ331" i="11"/>
  <c r="AH331" i="11"/>
  <c r="AM331" i="11" a="1"/>
  <c r="AM331" i="11"/>
  <c r="AP331" i="11"/>
  <c r="AO331" i="11"/>
  <c r="AN331" i="11"/>
  <c r="AW331" i="11" a="1"/>
  <c r="AW331" i="11"/>
  <c r="AR331" i="11" a="1"/>
  <c r="AU331" i="11"/>
  <c r="AS331" i="11"/>
  <c r="AT331" i="11"/>
  <c r="AR331" i="11"/>
  <c r="AW330" i="11" a="1"/>
  <c r="AW330" i="11"/>
  <c r="AC332" i="11" a="1"/>
  <c r="AE332" i="11"/>
  <c r="AD332" i="11"/>
  <c r="AC332" i="11"/>
  <c r="AF332" i="11"/>
  <c r="AH332" i="11" a="1"/>
  <c r="AJ332" i="11"/>
  <c r="AI332" i="11"/>
  <c r="AH332" i="11"/>
  <c r="AK332" i="11"/>
  <c r="AM332" i="11" a="1"/>
  <c r="AN332" i="11"/>
  <c r="AP332" i="11"/>
  <c r="AO332" i="11"/>
  <c r="AM332" i="11"/>
  <c r="AR332" i="11" a="1"/>
  <c r="AR332" i="11"/>
  <c r="AT332" i="11"/>
  <c r="AS332" i="11"/>
  <c r="AU332" i="11"/>
  <c r="AW332" i="11" a="1"/>
  <c r="AW332" i="11"/>
  <c r="AC333" i="11" a="1"/>
  <c r="AF333" i="11"/>
  <c r="AE333" i="11"/>
  <c r="AD333" i="11"/>
  <c r="AC333" i="11"/>
  <c r="AH333" i="11" a="1"/>
  <c r="AH333" i="11"/>
  <c r="AI333" i="11"/>
  <c r="AJ333" i="11"/>
  <c r="AK333" i="11"/>
  <c r="AM333" i="11" a="1"/>
  <c r="AN333" i="11"/>
  <c r="AO333" i="11"/>
  <c r="AM333" i="11"/>
  <c r="AP333" i="11"/>
  <c r="AR333" i="11" a="1"/>
  <c r="AS333" i="11"/>
  <c r="AR333" i="11"/>
  <c r="AU333" i="11"/>
  <c r="AT333" i="11"/>
  <c r="AC334" i="11" a="1"/>
  <c r="AF334" i="11"/>
  <c r="AE334" i="11"/>
  <c r="AC334" i="11"/>
  <c r="AD334" i="11"/>
  <c r="AH334" i="11" a="1"/>
  <c r="AI334" i="11"/>
  <c r="AH334" i="11"/>
  <c r="AK334" i="11"/>
  <c r="AJ334" i="11"/>
  <c r="AM334" i="11" a="1"/>
  <c r="AN334" i="11"/>
  <c r="AO334" i="11"/>
  <c r="AM334" i="11"/>
  <c r="AP334" i="11"/>
  <c r="AW334" i="11" a="1"/>
  <c r="AW334" i="11"/>
  <c r="AR334" i="11" a="1"/>
  <c r="AU334" i="11"/>
  <c r="AS334" i="11"/>
  <c r="AR334" i="11"/>
  <c r="AT334" i="11"/>
  <c r="AC335" i="11" a="1"/>
  <c r="AD335" i="11"/>
  <c r="AE335" i="11"/>
  <c r="AC335" i="11"/>
  <c r="AF335" i="11"/>
  <c r="AH335" i="11" a="1"/>
  <c r="AK335" i="11"/>
  <c r="AH335" i="11"/>
  <c r="AI335" i="11"/>
  <c r="AJ335" i="11"/>
  <c r="AM335" i="11" a="1"/>
  <c r="AN335" i="11"/>
  <c r="AP335" i="11"/>
  <c r="AM335" i="11"/>
  <c r="AO335" i="11"/>
  <c r="AW335" i="11" a="1"/>
  <c r="AW335" i="11"/>
  <c r="AR335" i="11" a="1"/>
  <c r="AT335" i="11"/>
  <c r="AR335" i="11"/>
  <c r="AU335" i="11"/>
  <c r="AS335" i="11"/>
  <c r="AW333" i="11" a="1"/>
  <c r="AW333" i="11"/>
  <c r="AC336" i="11" a="1"/>
  <c r="AD336" i="11"/>
  <c r="AF336" i="11"/>
  <c r="AC336" i="11"/>
  <c r="AE336" i="11"/>
  <c r="AH336" i="11" a="1"/>
  <c r="AH336" i="11"/>
  <c r="AK336" i="11"/>
  <c r="AJ336" i="11"/>
  <c r="AI336" i="11"/>
  <c r="AM336" i="11" a="1"/>
  <c r="AO336" i="11"/>
  <c r="AN336" i="11"/>
  <c r="AM336" i="11"/>
  <c r="AP336" i="11"/>
  <c r="AR336" i="11" a="1"/>
  <c r="AR336" i="11"/>
  <c r="AU336" i="11"/>
  <c r="AT336" i="11"/>
  <c r="AS336" i="11"/>
  <c r="AW336" i="11" a="1"/>
  <c r="AW336" i="11"/>
  <c r="AC337" i="11" a="1"/>
  <c r="AE337" i="11"/>
  <c r="AD337" i="11"/>
  <c r="AF337" i="11"/>
  <c r="AC337" i="11"/>
  <c r="AH337" i="11" a="1"/>
  <c r="AH337" i="11"/>
  <c r="AJ337" i="11"/>
  <c r="AK337" i="11"/>
  <c r="AI337" i="11"/>
  <c r="AM337" i="11" a="1"/>
  <c r="AO337" i="11"/>
  <c r="AN337" i="11"/>
  <c r="AP337" i="11"/>
  <c r="AM337" i="11"/>
  <c r="AR337" i="11" a="1"/>
  <c r="AU337" i="11"/>
  <c r="AT337" i="11"/>
  <c r="AS337" i="11"/>
  <c r="AR337" i="11"/>
  <c r="AC338" i="11" a="1"/>
  <c r="AD338" i="11"/>
  <c r="AC338" i="11"/>
  <c r="AF338" i="11"/>
  <c r="AE338" i="11"/>
  <c r="AH338" i="11" a="1"/>
  <c r="AJ338" i="11"/>
  <c r="AH338" i="11"/>
  <c r="AK338" i="11"/>
  <c r="AI338" i="11"/>
  <c r="AM338" i="11" a="1"/>
  <c r="AO338" i="11"/>
  <c r="AM338" i="11"/>
  <c r="AP338" i="11"/>
  <c r="AN338" i="11"/>
  <c r="AW338" i="11" a="1"/>
  <c r="AW338" i="11"/>
  <c r="AR338" i="11" a="1"/>
  <c r="AR338" i="11"/>
  <c r="AS338" i="11"/>
  <c r="AT338" i="11"/>
  <c r="AU338" i="11"/>
  <c r="AC339" i="11" a="1"/>
  <c r="AC339" i="11"/>
  <c r="AD339" i="11"/>
  <c r="AE339" i="11"/>
  <c r="AF339" i="11"/>
  <c r="AH339" i="11" a="1"/>
  <c r="AH339" i="11"/>
  <c r="AK339" i="11"/>
  <c r="AJ339" i="11"/>
  <c r="AI339" i="11"/>
  <c r="AM339" i="11" a="1"/>
  <c r="AO339" i="11"/>
  <c r="AN339" i="11"/>
  <c r="AM339" i="11"/>
  <c r="AP339" i="11"/>
  <c r="AW339" i="11" a="1"/>
  <c r="AW339" i="11"/>
  <c r="AR339" i="11" a="1"/>
  <c r="AT339" i="11"/>
  <c r="AS339" i="11"/>
  <c r="AR339" i="11"/>
  <c r="AU339" i="11"/>
  <c r="AW337" i="11" a="1"/>
  <c r="AW337" i="11"/>
  <c r="AC340" i="11" a="1"/>
  <c r="AF340" i="11"/>
  <c r="AC340" i="11"/>
  <c r="AE340" i="11"/>
  <c r="AD340" i="11"/>
  <c r="AH340" i="11" a="1"/>
  <c r="AK340" i="11"/>
  <c r="AI340" i="11"/>
  <c r="AH340" i="11"/>
  <c r="AJ340" i="11"/>
  <c r="AM340" i="11" a="1"/>
  <c r="AN340" i="11"/>
  <c r="AP340" i="11"/>
  <c r="AM340" i="11"/>
  <c r="AO340" i="11"/>
  <c r="AR340" i="11" a="1"/>
  <c r="AT340" i="11"/>
  <c r="AU340" i="11"/>
  <c r="AR340" i="11"/>
  <c r="AS340" i="11"/>
  <c r="AW340" i="11" a="1"/>
  <c r="AW340" i="11"/>
  <c r="AC341" i="11" a="1"/>
  <c r="AE341" i="11"/>
  <c r="AD341" i="11"/>
  <c r="AF341" i="11"/>
  <c r="AC341" i="11"/>
  <c r="AH341" i="11" a="1"/>
  <c r="AJ341" i="11"/>
  <c r="AK341" i="11"/>
  <c r="AH341" i="11"/>
  <c r="AI341" i="11"/>
  <c r="AM341" i="11" a="1"/>
  <c r="AP341" i="11"/>
  <c r="AN341" i="11"/>
  <c r="AM341" i="11"/>
  <c r="AO341" i="11"/>
  <c r="AR341" i="11" a="1"/>
  <c r="AT341" i="11"/>
  <c r="AS341" i="11"/>
  <c r="AR341" i="11"/>
  <c r="AU341" i="11"/>
  <c r="AC342" i="11" a="1"/>
  <c r="AC342" i="11"/>
  <c r="AE342" i="11"/>
  <c r="AF342" i="11"/>
  <c r="AD342" i="11"/>
  <c r="AH342" i="11" a="1"/>
  <c r="AJ342" i="11"/>
  <c r="AI342" i="11"/>
  <c r="AH342" i="11"/>
  <c r="AK342" i="11"/>
  <c r="AM342" i="11" a="1"/>
  <c r="AO342" i="11"/>
  <c r="AN342" i="11"/>
  <c r="AP342" i="11"/>
  <c r="AM342" i="11"/>
  <c r="AW342" i="11" a="1"/>
  <c r="AW342" i="11"/>
  <c r="AR342" i="11" a="1"/>
  <c r="AU342" i="11"/>
  <c r="AT342" i="11"/>
  <c r="AR342" i="11"/>
  <c r="AS342" i="11"/>
  <c r="AC343" i="11" a="1"/>
  <c r="AC343" i="11"/>
  <c r="AE343" i="11"/>
  <c r="AF343" i="11"/>
  <c r="AD343" i="11"/>
  <c r="AH343" i="11" a="1"/>
  <c r="AH343" i="11"/>
  <c r="AK343" i="11"/>
  <c r="AJ343" i="11"/>
  <c r="AI343" i="11"/>
  <c r="AM343" i="11" a="1"/>
  <c r="AP343" i="11"/>
  <c r="AM343" i="11"/>
  <c r="AO343" i="11"/>
  <c r="AN343" i="11"/>
  <c r="AW343" i="11" a="1"/>
  <c r="AW343" i="11"/>
  <c r="AR343" i="11" a="1"/>
  <c r="AU343" i="11"/>
  <c r="AT343" i="11"/>
  <c r="AS343" i="11"/>
  <c r="AR343" i="11"/>
  <c r="AW341" i="11" a="1"/>
  <c r="AW341" i="11"/>
  <c r="AC344" i="11" a="1"/>
  <c r="AC344" i="11"/>
  <c r="AF344" i="11"/>
  <c r="AE344" i="11"/>
  <c r="AD344" i="11"/>
  <c r="AH344" i="11" a="1"/>
  <c r="AI344" i="11"/>
  <c r="AK344" i="11"/>
  <c r="AH344" i="11"/>
  <c r="AJ344" i="11"/>
  <c r="AM344" i="11" a="1"/>
  <c r="AN344" i="11"/>
  <c r="AP344" i="11"/>
  <c r="AO344" i="11"/>
  <c r="AM344" i="11"/>
  <c r="AR344" i="11" a="1"/>
  <c r="AU344" i="11"/>
  <c r="AR344" i="11"/>
  <c r="AS344" i="11"/>
  <c r="AT344" i="11"/>
  <c r="AW344" i="11" a="1"/>
  <c r="AW344" i="11"/>
  <c r="AC345" i="11" a="1"/>
  <c r="AD345" i="11"/>
  <c r="AE345" i="11"/>
  <c r="AC345" i="11"/>
  <c r="AF345" i="11"/>
  <c r="AH345" i="11" a="1"/>
  <c r="AJ345" i="11"/>
  <c r="AI345" i="11"/>
  <c r="AK345" i="11"/>
  <c r="AH345" i="11"/>
  <c r="AM345" i="11" a="1"/>
  <c r="AP345" i="11"/>
  <c r="AO345" i="11"/>
  <c r="AM345" i="11"/>
  <c r="AN345" i="11"/>
  <c r="AR345" i="11" a="1"/>
  <c r="AT345" i="11"/>
  <c r="AU345" i="11"/>
  <c r="AR345" i="11"/>
  <c r="AS345" i="11"/>
  <c r="AW345" i="11" a="1"/>
  <c r="AW345" i="11"/>
  <c r="AC346" i="11" a="1"/>
  <c r="AF346" i="11"/>
  <c r="AC346" i="11"/>
  <c r="AE346" i="11"/>
  <c r="AD346" i="11"/>
  <c r="AH346" i="11" a="1"/>
  <c r="AJ346" i="11"/>
  <c r="AH346" i="11"/>
  <c r="AK346" i="11"/>
  <c r="AI346" i="11"/>
  <c r="AM346" i="11" a="1"/>
  <c r="AN346" i="11"/>
  <c r="AM346" i="11"/>
  <c r="AP346" i="11"/>
  <c r="AO346" i="11"/>
  <c r="AR346" i="11" a="1"/>
  <c r="AR346" i="11"/>
  <c r="AT346" i="11"/>
  <c r="AU346" i="11"/>
  <c r="AS346" i="11"/>
  <c r="AC347" i="11" a="1"/>
  <c r="AE347" i="11"/>
  <c r="AF347" i="11"/>
  <c r="AD347" i="11"/>
  <c r="AC347" i="11"/>
  <c r="AH347" i="11" a="1"/>
  <c r="AJ347" i="11"/>
  <c r="AI347" i="11"/>
  <c r="AH347" i="11"/>
  <c r="AK347" i="11"/>
  <c r="AM347" i="11" a="1"/>
  <c r="AP347" i="11"/>
  <c r="AO347" i="11"/>
  <c r="AN347" i="11"/>
  <c r="AM347" i="11"/>
  <c r="AW347" i="11" a="1"/>
  <c r="AW347" i="11"/>
  <c r="AR347" i="11" a="1"/>
  <c r="AT347" i="11"/>
  <c r="AS347" i="11"/>
  <c r="AU347" i="11"/>
  <c r="AR347" i="11"/>
  <c r="AW346" i="11" a="1"/>
  <c r="AW346" i="11"/>
  <c r="AC348" i="11" a="1"/>
  <c r="AF348" i="11"/>
  <c r="AC348" i="11"/>
  <c r="AD348" i="11"/>
  <c r="AE348" i="11"/>
  <c r="AH348" i="11" a="1"/>
  <c r="AK348" i="11"/>
  <c r="AH348" i="11"/>
  <c r="AI348" i="11"/>
  <c r="AJ348" i="11"/>
  <c r="AM348" i="11" a="1"/>
  <c r="AP348" i="11"/>
  <c r="AN348" i="11"/>
  <c r="AO348" i="11"/>
  <c r="AM348" i="11"/>
  <c r="AR348" i="11" a="1"/>
  <c r="AS348" i="11"/>
  <c r="AU348" i="11"/>
  <c r="AR348" i="11"/>
  <c r="AT348" i="11"/>
  <c r="AW348" i="11" a="1"/>
  <c r="AW348" i="11"/>
  <c r="AC349" i="11" a="1"/>
  <c r="AE349" i="11"/>
  <c r="AF349" i="11"/>
  <c r="AC349" i="11"/>
  <c r="AD349" i="11"/>
  <c r="AH349" i="11" a="1"/>
  <c r="AJ349" i="11"/>
  <c r="AH349" i="11"/>
  <c r="AI349" i="11"/>
  <c r="AK349" i="11"/>
  <c r="AM349" i="11" a="1"/>
  <c r="AO349" i="11"/>
  <c r="AP349" i="11"/>
  <c r="AN349" i="11"/>
  <c r="AM349" i="11"/>
  <c r="AR349" i="11" a="1"/>
  <c r="AR349" i="11"/>
  <c r="AS349" i="11"/>
  <c r="AU349" i="11"/>
  <c r="AT349" i="11"/>
  <c r="AC350" i="11" a="1"/>
  <c r="AC350" i="11"/>
  <c r="AD350" i="11"/>
  <c r="AE350" i="11"/>
  <c r="AF350" i="11"/>
  <c r="AH350" i="11" a="1"/>
  <c r="AK350" i="11"/>
  <c r="AI350" i="11"/>
  <c r="AH350" i="11"/>
  <c r="AJ350" i="11"/>
  <c r="AM350" i="11" a="1"/>
  <c r="AM350" i="11"/>
  <c r="AP350" i="11"/>
  <c r="AN350" i="11"/>
  <c r="AO350" i="11"/>
  <c r="AW350" i="11" a="1"/>
  <c r="AW350" i="11"/>
  <c r="AR350" i="11" a="1"/>
  <c r="AT350" i="11"/>
  <c r="AU350" i="11"/>
  <c r="AR350" i="11"/>
  <c r="AS350" i="11"/>
  <c r="AC351" i="11" a="1"/>
  <c r="AE351" i="11"/>
  <c r="AD351" i="11"/>
  <c r="AF351" i="11"/>
  <c r="AC351" i="11"/>
  <c r="AH351" i="11" a="1"/>
  <c r="AH351" i="11"/>
  <c r="AK351" i="11"/>
  <c r="AI351" i="11"/>
  <c r="AJ351" i="11"/>
  <c r="AM351" i="11" a="1"/>
  <c r="AN351" i="11"/>
  <c r="AM351" i="11"/>
  <c r="AO351" i="11"/>
  <c r="AP351" i="11"/>
  <c r="AW351" i="11" a="1"/>
  <c r="AW351" i="11"/>
  <c r="AR351" i="11" a="1"/>
  <c r="AT351" i="11"/>
  <c r="AR351" i="11"/>
  <c r="AU351" i="11"/>
  <c r="AS351" i="11"/>
  <c r="AW349" i="11" a="1"/>
  <c r="AW349" i="11"/>
  <c r="AC352" i="11" a="1"/>
  <c r="AD352" i="11"/>
  <c r="AF352" i="11"/>
  <c r="AE352" i="11"/>
  <c r="AC352" i="11"/>
  <c r="AH352" i="11" a="1"/>
  <c r="AK352" i="11"/>
  <c r="AJ352" i="11"/>
  <c r="AI352" i="11"/>
  <c r="AH352" i="11"/>
  <c r="AM352" i="11" a="1"/>
  <c r="AM352" i="11"/>
  <c r="AO352" i="11"/>
  <c r="AN352" i="11"/>
  <c r="AP352" i="11"/>
  <c r="AR352" i="11" a="1"/>
  <c r="AU352" i="11"/>
  <c r="AT352" i="11"/>
  <c r="AR352" i="11"/>
  <c r="AS352" i="11"/>
  <c r="AC353" i="11" a="1"/>
  <c r="AC353" i="11"/>
  <c r="AE353" i="11"/>
  <c r="AD353" i="11"/>
  <c r="AF353" i="11"/>
  <c r="AH353" i="11" a="1"/>
  <c r="AH353" i="11"/>
  <c r="AK353" i="11"/>
  <c r="AJ353" i="11"/>
  <c r="AI353" i="11"/>
  <c r="AM353" i="11" a="1"/>
  <c r="AN353" i="11"/>
  <c r="AO353" i="11"/>
  <c r="AP353" i="11"/>
  <c r="AM353" i="11"/>
  <c r="AW353" i="11" a="1"/>
  <c r="AW353" i="11"/>
  <c r="AR353" i="11" a="1"/>
  <c r="AS353" i="11"/>
  <c r="AT353" i="11"/>
  <c r="AR353" i="11"/>
  <c r="AU353" i="11"/>
  <c r="AW352" i="11" a="1"/>
  <c r="AW352" i="11"/>
  <c r="AC354" i="11" a="1"/>
  <c r="AE354" i="11"/>
  <c r="AC354" i="11"/>
  <c r="AD354" i="11"/>
  <c r="AF354" i="11"/>
  <c r="AH354" i="11" a="1"/>
  <c r="AJ354" i="11"/>
  <c r="AH354" i="11"/>
  <c r="AI354" i="11"/>
  <c r="AK354" i="11"/>
  <c r="AM354" i="11" a="1"/>
  <c r="AP354" i="11"/>
  <c r="AM354" i="11"/>
  <c r="AO354" i="11"/>
  <c r="AN354" i="11"/>
  <c r="AR354" i="11" a="1"/>
  <c r="AT354" i="11"/>
  <c r="AU354" i="11"/>
  <c r="AR354" i="11"/>
  <c r="AS354" i="11"/>
  <c r="AC355" i="11" a="1"/>
  <c r="AD355" i="11"/>
  <c r="AE355" i="11"/>
  <c r="AC355" i="11"/>
  <c r="AF355" i="11"/>
  <c r="AH355" i="11" a="1"/>
  <c r="AI355" i="11"/>
  <c r="AJ355" i="11"/>
  <c r="AH355" i="11"/>
  <c r="AK355" i="11"/>
  <c r="AM355" i="11" a="1"/>
  <c r="AO355" i="11"/>
  <c r="AM355" i="11"/>
  <c r="AP355" i="11"/>
  <c r="AN355" i="11"/>
  <c r="AW355" i="11" a="1"/>
  <c r="AW355" i="11"/>
  <c r="AR355" i="11" a="1"/>
  <c r="AR355" i="11"/>
  <c r="AU355" i="11"/>
  <c r="AS355" i="11"/>
  <c r="AT355" i="11"/>
  <c r="AW354" i="11" a="1"/>
  <c r="AW354" i="11"/>
  <c r="AC356" i="11" a="1"/>
  <c r="AF356" i="11"/>
  <c r="AD356" i="11"/>
  <c r="AC356" i="11"/>
  <c r="AE356" i="11"/>
  <c r="AH356" i="11" a="1"/>
  <c r="AJ356" i="11"/>
  <c r="AI356" i="11"/>
  <c r="AK356" i="11"/>
  <c r="AH356" i="11"/>
  <c r="AM356" i="11" a="1"/>
  <c r="AM356" i="11"/>
  <c r="AN356" i="11"/>
  <c r="AP356" i="11"/>
  <c r="AO356" i="11"/>
  <c r="AR356" i="11" a="1"/>
  <c r="AU356" i="11"/>
  <c r="AR356" i="11"/>
  <c r="AS356" i="11"/>
  <c r="AT356" i="11"/>
  <c r="AW356" i="11" a="1"/>
  <c r="AW356" i="11"/>
  <c r="AC357" i="11" a="1"/>
  <c r="AF357" i="11"/>
  <c r="AC357" i="11"/>
  <c r="AE357" i="11"/>
  <c r="AD357" i="11"/>
  <c r="AH357" i="11" a="1"/>
  <c r="AJ357" i="11"/>
  <c r="AH357" i="11"/>
  <c r="AI357" i="11"/>
  <c r="AK357" i="11"/>
  <c r="AM357" i="11" a="1"/>
  <c r="AN357" i="11"/>
  <c r="AO357" i="11"/>
  <c r="AM357" i="11"/>
  <c r="AP357" i="11"/>
  <c r="AR357" i="11" a="1"/>
  <c r="AS357" i="11"/>
  <c r="AU357" i="11"/>
  <c r="AT357" i="11"/>
  <c r="AR357" i="11"/>
  <c r="AC358" i="11" a="1"/>
  <c r="AF358" i="11"/>
  <c r="AD358" i="11"/>
  <c r="AE358" i="11"/>
  <c r="AC358" i="11"/>
  <c r="AH358" i="11" a="1"/>
  <c r="AJ358" i="11"/>
  <c r="AK358" i="11"/>
  <c r="AI358" i="11"/>
  <c r="AH358" i="11"/>
  <c r="AM358" i="11" a="1"/>
  <c r="AO358" i="11"/>
  <c r="AP358" i="11"/>
  <c r="AN358" i="11"/>
  <c r="AM358" i="11"/>
  <c r="AW358" i="11" a="1"/>
  <c r="AW358" i="11"/>
  <c r="AR358" i="11" a="1"/>
  <c r="AS358" i="11"/>
  <c r="AR358" i="11"/>
  <c r="AT358" i="11"/>
  <c r="AU358" i="11"/>
  <c r="AC359" i="11" a="1"/>
  <c r="AC359" i="11"/>
  <c r="AE359" i="11"/>
  <c r="AF359" i="11"/>
  <c r="AD359" i="11"/>
  <c r="AH359" i="11" a="1"/>
  <c r="AJ359" i="11"/>
  <c r="AI359" i="11"/>
  <c r="AK359" i="11"/>
  <c r="AH359" i="11"/>
  <c r="AM359" i="11" a="1"/>
  <c r="AN359" i="11"/>
  <c r="AO359" i="11"/>
  <c r="AP359" i="11"/>
  <c r="AM359" i="11"/>
  <c r="AW359" i="11" a="1"/>
  <c r="AW359" i="11"/>
  <c r="AR359" i="11" a="1"/>
  <c r="AT359" i="11"/>
  <c r="AU359" i="11"/>
  <c r="AR359" i="11"/>
  <c r="AS359" i="11"/>
  <c r="AW357" i="11" a="1"/>
  <c r="AW357" i="11"/>
  <c r="AC360" i="11" a="1"/>
  <c r="AF360" i="11"/>
  <c r="AE360" i="11"/>
  <c r="AC360" i="11"/>
  <c r="AD360" i="11"/>
  <c r="AH360" i="11" a="1"/>
  <c r="AJ360" i="11"/>
  <c r="AH360" i="11"/>
  <c r="AI360" i="11"/>
  <c r="AK360" i="11"/>
  <c r="AM360" i="11" a="1"/>
  <c r="AP360" i="11"/>
  <c r="AN360" i="11"/>
  <c r="AM360" i="11"/>
  <c r="AO360" i="11"/>
  <c r="AR360" i="11" a="1"/>
  <c r="AS360" i="11"/>
  <c r="AR360" i="11"/>
  <c r="AT360" i="11"/>
  <c r="AU360" i="11"/>
  <c r="AW360" i="11" a="1"/>
  <c r="AW360" i="11"/>
  <c r="AC361" i="11" a="1"/>
  <c r="AF361" i="11"/>
  <c r="AE361" i="11"/>
  <c r="AD361" i="11"/>
  <c r="AC361" i="11"/>
  <c r="AH361" i="11" a="1"/>
  <c r="AK361" i="11"/>
  <c r="AH361" i="11"/>
  <c r="AI361" i="11"/>
  <c r="AJ361" i="11"/>
  <c r="AM361" i="11" a="1"/>
  <c r="AP361" i="11"/>
  <c r="AO361" i="11"/>
  <c r="AM361" i="11"/>
  <c r="AN361" i="11"/>
  <c r="AR361" i="11" a="1"/>
  <c r="AT361" i="11"/>
  <c r="AS361" i="11"/>
  <c r="AU361" i="11"/>
  <c r="AR361" i="11"/>
  <c r="AC362" i="11" a="1"/>
  <c r="AF362" i="11"/>
  <c r="AD362" i="11"/>
  <c r="AE362" i="11"/>
  <c r="AC362" i="11"/>
  <c r="AH362" i="11" a="1"/>
  <c r="AH362" i="11"/>
  <c r="AJ362" i="11"/>
  <c r="AK362" i="11"/>
  <c r="AI362" i="11"/>
  <c r="AM362" i="11" a="1"/>
  <c r="AP362" i="11"/>
  <c r="AO362" i="11"/>
  <c r="AM362" i="11"/>
  <c r="AN362" i="11"/>
  <c r="AW362" i="11" a="1"/>
  <c r="AW362" i="11"/>
  <c r="AR362" i="11" a="1"/>
  <c r="AS362" i="11"/>
  <c r="AT362" i="11"/>
  <c r="AU362" i="11"/>
  <c r="AR362" i="11"/>
  <c r="AC363" i="11" a="1"/>
  <c r="AD363" i="11"/>
  <c r="AE363" i="11"/>
  <c r="AC363" i="11"/>
  <c r="AF363" i="11"/>
  <c r="AH363" i="11" a="1"/>
  <c r="AI363" i="11"/>
  <c r="AH363" i="11"/>
  <c r="AK363" i="11"/>
  <c r="AJ363" i="11"/>
  <c r="AM363" i="11" a="1"/>
  <c r="AP363" i="11"/>
  <c r="AN363" i="11"/>
  <c r="AO363" i="11"/>
  <c r="AM363" i="11"/>
  <c r="AW363" i="11" a="1"/>
  <c r="AW363" i="11"/>
  <c r="AR363" i="11" a="1"/>
  <c r="AT363" i="11"/>
  <c r="AR363" i="11"/>
  <c r="AU363" i="11"/>
  <c r="AS363" i="11"/>
  <c r="AW361" i="11" a="1"/>
  <c r="AW361" i="11"/>
  <c r="AC364" i="11" a="1"/>
  <c r="AC364" i="11"/>
  <c r="AD364" i="11"/>
  <c r="AF364" i="11"/>
  <c r="AE364" i="11"/>
  <c r="AH364" i="11" a="1"/>
  <c r="AJ364" i="11"/>
  <c r="AI364" i="11"/>
  <c r="AH364" i="11"/>
  <c r="AK364" i="11"/>
  <c r="AM364" i="11" a="1"/>
  <c r="AO364" i="11"/>
  <c r="AP364" i="11"/>
  <c r="AN364" i="11"/>
  <c r="AM364" i="11"/>
  <c r="AR364" i="11" a="1"/>
  <c r="AR364" i="11"/>
  <c r="AT364" i="11"/>
  <c r="AS364" i="11"/>
  <c r="AU364" i="11"/>
  <c r="AW364" i="11" a="1"/>
  <c r="AW364" i="11"/>
  <c r="AC365" i="11" a="1"/>
  <c r="AC365" i="11"/>
  <c r="AE365" i="11"/>
  <c r="AD365" i="11"/>
  <c r="AF365" i="11"/>
  <c r="AH365" i="11" a="1"/>
  <c r="AJ365" i="11"/>
  <c r="AK365" i="11"/>
  <c r="AH365" i="11"/>
  <c r="AI365" i="11"/>
  <c r="AM365" i="11" a="1"/>
  <c r="AO365" i="11"/>
  <c r="AM365" i="11"/>
  <c r="AN365" i="11"/>
  <c r="AP365" i="11"/>
  <c r="AR365" i="11" a="1"/>
  <c r="AS365" i="11"/>
  <c r="AT365" i="11"/>
  <c r="AR365" i="11"/>
  <c r="AU365" i="11"/>
  <c r="AC366" i="11" a="1"/>
  <c r="AD366" i="11"/>
  <c r="AC366" i="11"/>
  <c r="AE366" i="11"/>
  <c r="AF366" i="11"/>
  <c r="AH366" i="11" a="1"/>
  <c r="AJ366" i="11"/>
  <c r="AK366" i="11"/>
  <c r="AH366" i="11"/>
  <c r="AI366" i="11"/>
  <c r="AM366" i="11" a="1"/>
  <c r="AP366" i="11"/>
  <c r="AO366" i="11"/>
  <c r="AN366" i="11"/>
  <c r="AM366" i="11"/>
  <c r="AW366" i="11" a="1"/>
  <c r="AW366" i="11"/>
  <c r="AR366" i="11" a="1"/>
  <c r="AU366" i="11"/>
  <c r="AS366" i="11"/>
  <c r="AR366" i="11"/>
  <c r="AT366" i="11"/>
  <c r="AC367" i="11" a="1"/>
  <c r="AC367" i="11"/>
  <c r="AF367" i="11"/>
  <c r="AD367" i="11"/>
  <c r="AE367" i="11"/>
  <c r="AH367" i="11" a="1"/>
  <c r="AK367" i="11"/>
  <c r="AJ367" i="11"/>
  <c r="AI367" i="11"/>
  <c r="AH367" i="11"/>
  <c r="AM367" i="11" a="1"/>
  <c r="AP367" i="11"/>
  <c r="AM367" i="11"/>
  <c r="AN367" i="11"/>
  <c r="AO367" i="11"/>
  <c r="AW367" i="11" a="1"/>
  <c r="AW367" i="11"/>
  <c r="AR367" i="11" a="1"/>
  <c r="AS367" i="11"/>
  <c r="AR367" i="11"/>
  <c r="AU367" i="11"/>
  <c r="AT367" i="11"/>
  <c r="AW365" i="11" a="1"/>
  <c r="AW365" i="11"/>
  <c r="AC368" i="11" a="1"/>
  <c r="AC368" i="11"/>
  <c r="AD368" i="11"/>
  <c r="AF368" i="11"/>
  <c r="AE368" i="11"/>
  <c r="AH368" i="11" a="1"/>
  <c r="AK368" i="11"/>
  <c r="AH368" i="11"/>
  <c r="AI368" i="11"/>
  <c r="AJ368" i="11"/>
  <c r="AM368" i="11" a="1"/>
  <c r="AM368" i="11"/>
  <c r="AP368" i="11"/>
  <c r="AN368" i="11"/>
  <c r="AO368" i="11"/>
  <c r="AR368" i="11" a="1"/>
  <c r="AT368" i="11"/>
  <c r="AR368" i="11"/>
  <c r="AU368" i="11"/>
  <c r="AS368" i="11"/>
  <c r="AW368" i="11" a="1"/>
  <c r="AW368" i="11"/>
  <c r="AC369" i="11" a="1"/>
  <c r="AE369" i="11"/>
  <c r="AD369" i="11"/>
  <c r="AF369" i="11"/>
  <c r="AC369" i="11"/>
  <c r="AH369" i="11" a="1"/>
  <c r="AH369" i="11"/>
  <c r="AJ369" i="11"/>
  <c r="AI369" i="11"/>
  <c r="AK369" i="11"/>
  <c r="AM369" i="11" a="1"/>
  <c r="AO369" i="11"/>
  <c r="AP369" i="11"/>
  <c r="AN369" i="11"/>
  <c r="AM369" i="11"/>
  <c r="AR369" i="11" a="1"/>
  <c r="AT369" i="11"/>
  <c r="AR369" i="11"/>
  <c r="AS369" i="11"/>
  <c r="AU369" i="11"/>
  <c r="AC370" i="11" a="1"/>
  <c r="AF370" i="11"/>
  <c r="AE370" i="11"/>
  <c r="AC370" i="11"/>
  <c r="AD370" i="11"/>
  <c r="AH370" i="11" a="1"/>
  <c r="AH370" i="11"/>
  <c r="AK370" i="11"/>
  <c r="AI370" i="11"/>
  <c r="AJ370" i="11"/>
  <c r="AM370" i="11" a="1"/>
  <c r="AN370" i="11"/>
  <c r="AO370" i="11"/>
  <c r="AM370" i="11"/>
  <c r="AP370" i="11"/>
  <c r="AW370" i="11" a="1"/>
  <c r="AW370" i="11"/>
  <c r="AR370" i="11" a="1"/>
  <c r="AR370" i="11"/>
  <c r="AU370" i="11"/>
  <c r="AS370" i="11"/>
  <c r="AT370" i="11"/>
  <c r="AC371" i="11" a="1"/>
  <c r="AE371" i="11"/>
  <c r="AD371" i="11"/>
  <c r="AF371" i="11"/>
  <c r="AC371" i="11"/>
  <c r="AH371" i="11" a="1"/>
  <c r="AH371" i="11"/>
  <c r="AJ371" i="11"/>
  <c r="AK371" i="11"/>
  <c r="AI371" i="11"/>
  <c r="AM371" i="11" a="1"/>
  <c r="AN371" i="11"/>
  <c r="AO371" i="11"/>
  <c r="AP371" i="11"/>
  <c r="AM371" i="11"/>
  <c r="AW371" i="11" a="1"/>
  <c r="AW371" i="11"/>
  <c r="AR371" i="11" a="1"/>
  <c r="AS371" i="11"/>
  <c r="AU371" i="11"/>
  <c r="AR371" i="11"/>
  <c r="AT371" i="11"/>
  <c r="AC372" i="11" a="1"/>
  <c r="AF372" i="11"/>
  <c r="AE372" i="11"/>
  <c r="AC372" i="11"/>
  <c r="AD372" i="11"/>
  <c r="AH372" i="11" a="1"/>
  <c r="AI372" i="11"/>
  <c r="AJ372" i="11"/>
  <c r="AK372" i="11"/>
  <c r="AH372" i="11"/>
  <c r="AM372" i="11" a="1"/>
  <c r="AP372" i="11"/>
  <c r="AN372" i="11"/>
  <c r="AM372" i="11"/>
  <c r="AO372" i="11"/>
  <c r="AW372" i="11" a="1"/>
  <c r="AW372" i="11"/>
  <c r="AR372" i="11" a="1"/>
  <c r="AU372" i="11"/>
  <c r="AR372" i="11"/>
  <c r="AT372" i="11"/>
  <c r="AS372" i="11"/>
  <c r="AC373" i="11" a="1"/>
  <c r="AD373" i="11"/>
  <c r="AE373" i="11"/>
  <c r="AF373" i="11"/>
  <c r="AC373" i="11"/>
  <c r="AH373" i="11" a="1"/>
  <c r="AJ373" i="11"/>
  <c r="AK373" i="11"/>
  <c r="AI373" i="11"/>
  <c r="AH373" i="11"/>
  <c r="AM373" i="11" a="1"/>
  <c r="AN373" i="11"/>
  <c r="AO373" i="11"/>
  <c r="AM373" i="11"/>
  <c r="AP373" i="11"/>
  <c r="AW373" i="11" a="1"/>
  <c r="AW373" i="11"/>
  <c r="AR373" i="11" a="1"/>
  <c r="AT373" i="11"/>
  <c r="AU373" i="11"/>
  <c r="AS373" i="11"/>
  <c r="AR373" i="11"/>
  <c r="AW369" i="11" a="1"/>
  <c r="AW369" i="11"/>
  <c r="AC374" i="11" a="1"/>
  <c r="AE374" i="11"/>
  <c r="AF374" i="11"/>
  <c r="AD374" i="11"/>
  <c r="AC374" i="11"/>
  <c r="AH374" i="11" a="1"/>
  <c r="AK374" i="11"/>
  <c r="AH374" i="11"/>
  <c r="AI374" i="11"/>
  <c r="AJ374" i="11"/>
  <c r="AM374" i="11" a="1"/>
  <c r="AP374" i="11"/>
  <c r="AN374" i="11"/>
  <c r="AO374" i="11"/>
  <c r="AM374" i="11"/>
  <c r="AR374" i="11" a="1"/>
  <c r="AU374" i="11"/>
  <c r="AS374" i="11"/>
  <c r="AT374" i="11"/>
  <c r="AR374" i="11"/>
  <c r="AC375" i="11" a="1"/>
  <c r="AE375" i="11"/>
  <c r="AD375" i="11"/>
  <c r="AF375" i="11"/>
  <c r="AC375" i="11"/>
  <c r="AH375" i="11" a="1"/>
  <c r="AK375" i="11"/>
  <c r="AJ375" i="11"/>
  <c r="AI375" i="11"/>
  <c r="AH375" i="11"/>
  <c r="AM375" i="11" a="1"/>
  <c r="AN375" i="11"/>
  <c r="AM375" i="11"/>
  <c r="AP375" i="11"/>
  <c r="AO375" i="11"/>
  <c r="AW375" i="11" a="1"/>
  <c r="AW375" i="11"/>
  <c r="AR375" i="11" a="1"/>
  <c r="AR375" i="11"/>
  <c r="AS375" i="11"/>
  <c r="AU375" i="11"/>
  <c r="AT375" i="11"/>
  <c r="AW374" i="11" a="1"/>
  <c r="AW374" i="11"/>
  <c r="AC376" i="11" a="1"/>
  <c r="AD376" i="11"/>
  <c r="AE376" i="11"/>
  <c r="AC376" i="11"/>
  <c r="AF376" i="11"/>
  <c r="AH376" i="11" a="1"/>
  <c r="AI376" i="11"/>
  <c r="AK376" i="11"/>
  <c r="AH376" i="11"/>
  <c r="AJ376" i="11"/>
  <c r="AM376" i="11" a="1"/>
  <c r="AN376" i="11"/>
  <c r="AO376" i="11"/>
  <c r="AM376" i="11"/>
  <c r="AP376" i="11"/>
  <c r="AR376" i="11" a="1"/>
  <c r="AU376" i="11"/>
  <c r="AR376" i="11"/>
  <c r="AT376" i="11"/>
  <c r="AS376" i="11"/>
  <c r="AC377" i="11" a="1"/>
  <c r="AC377" i="11"/>
  <c r="AD377" i="11"/>
  <c r="AE377" i="11"/>
  <c r="AF377" i="11"/>
  <c r="AH377" i="11" a="1"/>
  <c r="AH377" i="11"/>
  <c r="AK377" i="11"/>
  <c r="AI377" i="11"/>
  <c r="AJ377" i="11"/>
  <c r="AM377" i="11" a="1"/>
  <c r="AO377" i="11"/>
  <c r="AN377" i="11"/>
  <c r="AM377" i="11"/>
  <c r="AP377" i="11"/>
  <c r="AW377" i="11" a="1"/>
  <c r="AW377" i="11"/>
  <c r="AR377" i="11" a="1"/>
  <c r="AR377" i="11"/>
  <c r="AU377" i="11"/>
  <c r="AS377" i="11"/>
  <c r="AT377" i="11"/>
  <c r="AW376" i="11" a="1"/>
  <c r="AW376" i="11"/>
  <c r="AC378" i="11" a="1"/>
  <c r="AC378" i="11"/>
  <c r="AD378" i="11"/>
  <c r="AF378" i="11"/>
  <c r="AE378" i="11"/>
  <c r="AH378" i="11" a="1"/>
  <c r="AI378" i="11"/>
  <c r="AK378" i="11"/>
  <c r="AJ378" i="11"/>
  <c r="AH378" i="11"/>
  <c r="AM378" i="11" a="1"/>
  <c r="AM378" i="11"/>
  <c r="AO378" i="11"/>
  <c r="AN378" i="11"/>
  <c r="AP378" i="11"/>
  <c r="AR378" i="11" a="1"/>
  <c r="AR378" i="11"/>
  <c r="AS378" i="11"/>
  <c r="AU378" i="11"/>
  <c r="AT378" i="11"/>
  <c r="AC379" i="11" a="1"/>
  <c r="AF379" i="11"/>
  <c r="AD379" i="11"/>
  <c r="AE379" i="11"/>
  <c r="AC379" i="11"/>
  <c r="AH379" i="11" a="1"/>
  <c r="AI379" i="11"/>
  <c r="AJ379" i="11"/>
  <c r="AK379" i="11"/>
  <c r="AH379" i="11"/>
  <c r="AM379" i="11" a="1"/>
  <c r="AM379" i="11"/>
  <c r="AO379" i="11"/>
  <c r="AP379" i="11"/>
  <c r="AN379" i="11"/>
  <c r="AW379" i="11" a="1"/>
  <c r="AW379" i="11"/>
  <c r="AR379" i="11" a="1"/>
  <c r="AR379" i="11"/>
  <c r="AT379" i="11"/>
  <c r="AS379" i="11"/>
  <c r="AU379" i="11"/>
  <c r="AW378" i="11" a="1"/>
  <c r="AW378" i="11"/>
  <c r="AC380" i="11" a="1"/>
  <c r="AF380" i="11"/>
  <c r="AE380" i="11"/>
  <c r="AD380" i="11"/>
  <c r="AC380" i="11"/>
  <c r="AH380" i="11" a="1"/>
  <c r="AJ380" i="11"/>
  <c r="AH380" i="11"/>
  <c r="AK380" i="11"/>
  <c r="AI380" i="11"/>
  <c r="AM380" i="11" a="1"/>
  <c r="AP380" i="11"/>
  <c r="AM380" i="11"/>
  <c r="AN380" i="11"/>
  <c r="AO380" i="11"/>
  <c r="AR380" i="11" a="1"/>
  <c r="AU380" i="11"/>
  <c r="AT380" i="11"/>
  <c r="AR380" i="11"/>
  <c r="AS380" i="11"/>
  <c r="AW380" i="11" a="1"/>
  <c r="AW380" i="11"/>
  <c r="AC381" i="11" a="1"/>
  <c r="AF381" i="11"/>
  <c r="AE381" i="11"/>
  <c r="AD381" i="11"/>
  <c r="AC381" i="11"/>
  <c r="AH381" i="11" a="1"/>
  <c r="AK381" i="11"/>
  <c r="AH381" i="11"/>
  <c r="AJ381" i="11"/>
  <c r="AI381" i="11"/>
  <c r="AM381" i="11" a="1"/>
  <c r="AO381" i="11"/>
  <c r="AN381" i="11"/>
  <c r="AM381" i="11"/>
  <c r="AP381" i="11"/>
  <c r="AR381" i="11" a="1"/>
  <c r="AS381" i="11"/>
  <c r="AR381" i="11"/>
  <c r="AU381" i="11"/>
  <c r="AT381" i="11"/>
  <c r="AW381" i="11" a="1"/>
  <c r="AW381" i="11"/>
  <c r="AC382" i="11" a="1"/>
  <c r="AE382" i="11"/>
  <c r="AC382" i="11"/>
  <c r="AD382" i="11"/>
  <c r="AF382" i="11"/>
  <c r="AH382" i="11" a="1"/>
  <c r="AK382" i="11"/>
  <c r="AI382" i="11"/>
  <c r="AJ382" i="11"/>
  <c r="AH382" i="11"/>
  <c r="AM382" i="11" a="1"/>
  <c r="AN382" i="11"/>
  <c r="AO382" i="11"/>
  <c r="AM382" i="11"/>
  <c r="AP382" i="11"/>
  <c r="AR382" i="11" a="1"/>
  <c r="AR382" i="11"/>
  <c r="AU382" i="11"/>
  <c r="AT382" i="11"/>
  <c r="AS382" i="11"/>
  <c r="AC383" i="11" a="1"/>
  <c r="AD383" i="11"/>
  <c r="AE383" i="11"/>
  <c r="AF383" i="11"/>
  <c r="AC383" i="11"/>
  <c r="AH383" i="11" a="1"/>
  <c r="AH383" i="11"/>
  <c r="AI383" i="11"/>
  <c r="AJ383" i="11"/>
  <c r="AK383" i="11"/>
  <c r="AM383" i="11" a="1"/>
  <c r="AO383" i="11"/>
  <c r="AP383" i="11"/>
  <c r="AM383" i="11"/>
  <c r="AN383" i="11"/>
  <c r="AW383" i="11" a="1"/>
  <c r="AW383" i="11"/>
  <c r="AR383" i="11" a="1"/>
  <c r="AT383" i="11"/>
  <c r="AR383" i="11"/>
  <c r="AU383" i="11"/>
  <c r="AS383" i="11"/>
  <c r="AW382" i="11" a="1"/>
  <c r="AW382" i="11"/>
  <c r="AC384" i="11" a="1"/>
  <c r="AC384" i="11"/>
  <c r="AD384" i="11"/>
  <c r="AF384" i="11"/>
  <c r="AE384" i="11"/>
  <c r="AH384" i="11" a="1"/>
  <c r="AK384" i="11"/>
  <c r="AI384" i="11"/>
  <c r="AJ384" i="11"/>
  <c r="AH384" i="11"/>
  <c r="AM384" i="11" a="1"/>
  <c r="AP384" i="11"/>
  <c r="AM384" i="11"/>
  <c r="AN384" i="11"/>
  <c r="AO384" i="11"/>
  <c r="AR384" i="11" a="1"/>
  <c r="AS384" i="11"/>
  <c r="AR384" i="11"/>
  <c r="AU384" i="11"/>
  <c r="AT384" i="11"/>
  <c r="AW384" i="11" a="1"/>
  <c r="AW384" i="11"/>
  <c r="AC385" i="11" a="1"/>
  <c r="AC385" i="11"/>
  <c r="AD385" i="11"/>
  <c r="AF385" i="11"/>
  <c r="AE385" i="11"/>
  <c r="AH385" i="11" a="1"/>
  <c r="AK385" i="11"/>
  <c r="AI385" i="11"/>
  <c r="AH385" i="11"/>
  <c r="AJ385" i="11"/>
  <c r="AM385" i="11" a="1"/>
  <c r="AP385" i="11"/>
  <c r="AO385" i="11"/>
  <c r="AN385" i="11"/>
  <c r="AM385" i="11"/>
  <c r="AR385" i="11" a="1"/>
  <c r="AR385" i="11"/>
  <c r="AT385" i="11"/>
  <c r="AU385" i="11"/>
  <c r="AS385" i="11"/>
  <c r="AC386" i="11" a="1"/>
  <c r="AE386" i="11"/>
  <c r="AD386" i="11"/>
  <c r="AF386" i="11"/>
  <c r="AC386" i="11"/>
  <c r="AH386" i="11" a="1"/>
  <c r="AJ386" i="11"/>
  <c r="AK386" i="11"/>
  <c r="AI386" i="11"/>
  <c r="AH386" i="11"/>
  <c r="AM386" i="11" a="1"/>
  <c r="AM386" i="11"/>
  <c r="AP386" i="11"/>
  <c r="AO386" i="11"/>
  <c r="AN386" i="11"/>
  <c r="AW386" i="11" a="1"/>
  <c r="AW386" i="11"/>
  <c r="AR386" i="11" a="1"/>
  <c r="AS386" i="11"/>
  <c r="AU386" i="11"/>
  <c r="AT386" i="11"/>
  <c r="AR386" i="11"/>
  <c r="AC387" i="11" a="1"/>
  <c r="AF387" i="11"/>
  <c r="AD387" i="11"/>
  <c r="AC387" i="11"/>
  <c r="AE387" i="11"/>
  <c r="AH387" i="11" a="1"/>
  <c r="AI387" i="11"/>
  <c r="AH387" i="11"/>
  <c r="AJ387" i="11"/>
  <c r="AK387" i="11"/>
  <c r="AM387" i="11" a="1"/>
  <c r="AM387" i="11"/>
  <c r="AP387" i="11"/>
  <c r="AO387" i="11"/>
  <c r="AN387" i="11"/>
  <c r="AW387" i="11" a="1"/>
  <c r="AW387" i="11"/>
  <c r="AR387" i="11" a="1"/>
  <c r="AT387" i="11"/>
  <c r="AS387" i="11"/>
  <c r="AU387" i="11"/>
  <c r="AR387" i="11"/>
  <c r="AW385" i="11" a="1"/>
  <c r="AW385" i="11"/>
  <c r="AC388" i="11" a="1"/>
  <c r="AC388" i="11"/>
  <c r="AD388" i="11"/>
  <c r="AF388" i="11"/>
  <c r="AE388" i="11"/>
  <c r="AH388" i="11" a="1"/>
  <c r="AJ388" i="11"/>
  <c r="AI388" i="11"/>
  <c r="AH388" i="11"/>
  <c r="AK388" i="11"/>
  <c r="AM388" i="11" a="1"/>
  <c r="AN388" i="11"/>
  <c r="AM388" i="11"/>
  <c r="AO388" i="11"/>
  <c r="AP388" i="11"/>
  <c r="AR388" i="11" a="1"/>
  <c r="AU388" i="11"/>
  <c r="AS388" i="11"/>
  <c r="AT388" i="11"/>
  <c r="AR388" i="11"/>
  <c r="AW388" i="11" a="1"/>
  <c r="AW388" i="11"/>
  <c r="AC389" i="11" a="1"/>
  <c r="AC389" i="11"/>
  <c r="AE389" i="11"/>
  <c r="AF389" i="11"/>
  <c r="AD389" i="11"/>
  <c r="AH389" i="11" a="1"/>
  <c r="AJ389" i="11"/>
  <c r="AH389" i="11"/>
  <c r="AI389" i="11"/>
  <c r="AK389" i="11"/>
  <c r="AM389" i="11" a="1"/>
  <c r="AM389" i="11"/>
  <c r="AO389" i="11"/>
  <c r="AP389" i="11"/>
  <c r="AN389" i="11"/>
  <c r="AR389" i="11" a="1"/>
  <c r="AS389" i="11"/>
  <c r="AT389" i="11"/>
  <c r="AU389" i="11"/>
  <c r="AR389" i="11"/>
  <c r="AW389" i="11" a="1"/>
  <c r="AW389" i="11"/>
  <c r="AC390" i="11" a="1"/>
  <c r="AD390" i="11"/>
  <c r="AF390" i="11"/>
  <c r="AE390" i="11"/>
  <c r="AC390" i="11"/>
  <c r="AH390" i="11" a="1"/>
  <c r="AK390" i="11"/>
  <c r="AI390" i="11"/>
  <c r="AH390" i="11"/>
  <c r="AJ390" i="11"/>
  <c r="AM390" i="11" a="1"/>
  <c r="AN390" i="11"/>
  <c r="AP390" i="11"/>
  <c r="AM390" i="11"/>
  <c r="AO390" i="11"/>
  <c r="AR390" i="11" a="1"/>
  <c r="AS390" i="11"/>
  <c r="AT390" i="11"/>
  <c r="AU390" i="11"/>
  <c r="AR390" i="11"/>
  <c r="AC391" i="11" a="1"/>
  <c r="AF391" i="11"/>
  <c r="AC391" i="11"/>
  <c r="AE391" i="11"/>
  <c r="AD391" i="11"/>
  <c r="AH391" i="11" a="1"/>
  <c r="AJ391" i="11"/>
  <c r="AK391" i="11"/>
  <c r="AH391" i="11"/>
  <c r="AI391" i="11"/>
  <c r="AM391" i="11" a="1"/>
  <c r="AN391" i="11"/>
  <c r="AP391" i="11"/>
  <c r="AO391" i="11"/>
  <c r="AM391" i="11"/>
  <c r="AW391" i="11" a="1"/>
  <c r="AW391" i="11"/>
  <c r="AR391" i="11" a="1"/>
  <c r="AR391" i="11"/>
  <c r="AU391" i="11"/>
  <c r="AS391" i="11"/>
  <c r="AT391" i="11"/>
  <c r="AW390" i="11" a="1"/>
  <c r="AW390" i="11"/>
  <c r="AC392" i="11" a="1"/>
  <c r="AD392" i="11"/>
  <c r="AC392" i="11"/>
  <c r="AF392" i="11"/>
  <c r="AE392" i="11"/>
  <c r="AH392" i="11" a="1"/>
  <c r="AJ392" i="11"/>
  <c r="AI392" i="11"/>
  <c r="AK392" i="11"/>
  <c r="AH392" i="11"/>
  <c r="AM392" i="11" a="1"/>
  <c r="AO392" i="11"/>
  <c r="AN392" i="11"/>
  <c r="AM392" i="11"/>
  <c r="AP392" i="11"/>
  <c r="AR392" i="11" a="1"/>
  <c r="AR392" i="11"/>
  <c r="AS392" i="11"/>
  <c r="AU392" i="11"/>
  <c r="AT392" i="11"/>
  <c r="AC393" i="11" a="1"/>
  <c r="AC393" i="11"/>
  <c r="AF393" i="11"/>
  <c r="AD393" i="11"/>
  <c r="AE393" i="11"/>
  <c r="AH393" i="11" a="1"/>
  <c r="AK393" i="11"/>
  <c r="AI393" i="11"/>
  <c r="AH393" i="11"/>
  <c r="AJ393" i="11"/>
  <c r="AM393" i="11" a="1"/>
  <c r="AN393" i="11"/>
  <c r="AM393" i="11"/>
  <c r="AP393" i="11"/>
  <c r="AO393" i="11"/>
  <c r="AW393" i="11" a="1"/>
  <c r="AW393" i="11"/>
  <c r="AR393" i="11" a="1"/>
  <c r="AT393" i="11"/>
  <c r="AU393" i="11"/>
  <c r="AR393" i="11"/>
  <c r="AS393" i="11"/>
  <c r="AW392" i="11" a="1"/>
  <c r="AW392" i="11"/>
  <c r="AC394" i="11" a="1"/>
  <c r="AE394" i="11"/>
  <c r="AF394" i="11"/>
  <c r="AD394" i="11"/>
  <c r="AC394" i="11"/>
  <c r="AH394" i="11" a="1"/>
  <c r="AH394" i="11"/>
  <c r="AK394" i="11"/>
  <c r="AJ394" i="11"/>
  <c r="AI394" i="11"/>
  <c r="AM394" i="11" a="1"/>
  <c r="AM394" i="11"/>
  <c r="AN394" i="11"/>
  <c r="AO394" i="11"/>
  <c r="AP394" i="11"/>
  <c r="AR394" i="11" a="1"/>
  <c r="AT394" i="11"/>
  <c r="AR394" i="11"/>
  <c r="AU394" i="11"/>
  <c r="AS394" i="11"/>
  <c r="AC395" i="11" a="1"/>
  <c r="AD395" i="11"/>
  <c r="AE395" i="11"/>
  <c r="AC395" i="11"/>
  <c r="AF395" i="11"/>
  <c r="AH395" i="11" a="1"/>
  <c r="AI395" i="11"/>
  <c r="AK395" i="11"/>
  <c r="AJ395" i="11"/>
  <c r="AH395" i="11"/>
  <c r="AM395" i="11" a="1"/>
  <c r="AP395" i="11"/>
  <c r="AM395" i="11"/>
  <c r="AN395" i="11"/>
  <c r="AO395" i="11"/>
  <c r="AW395" i="11" a="1"/>
  <c r="AW395" i="11"/>
  <c r="AR395" i="11" a="1"/>
  <c r="AR395" i="11"/>
  <c r="AU395" i="11"/>
  <c r="AT395" i="11"/>
  <c r="AS395" i="11"/>
  <c r="AC396" i="11" a="1"/>
  <c r="AC396" i="11"/>
  <c r="AD396" i="11"/>
  <c r="AE396" i="11"/>
  <c r="AF396" i="11"/>
  <c r="AH396" i="11" a="1"/>
  <c r="AK396" i="11"/>
  <c r="AJ396" i="11"/>
  <c r="AI396" i="11"/>
  <c r="AH396" i="11"/>
  <c r="AM396" i="11" a="1"/>
  <c r="AO396" i="11"/>
  <c r="AP396" i="11"/>
  <c r="AM396" i="11"/>
  <c r="AN396" i="11"/>
  <c r="AW396" i="11" a="1"/>
  <c r="AW396" i="11"/>
  <c r="AR396" i="11" a="1"/>
  <c r="AR396" i="11"/>
  <c r="AS396" i="11"/>
  <c r="AT396" i="11"/>
  <c r="AU396" i="11"/>
  <c r="AC397" i="11" a="1"/>
  <c r="AC397" i="11"/>
  <c r="AF397" i="11"/>
  <c r="AD397" i="11"/>
  <c r="AE397" i="11"/>
  <c r="AH397" i="11" a="1"/>
  <c r="AJ397" i="11"/>
  <c r="AK397" i="11"/>
  <c r="AI397" i="11"/>
  <c r="AH397" i="11"/>
  <c r="AM397" i="11" a="1"/>
  <c r="AP397" i="11"/>
  <c r="AO397" i="11"/>
  <c r="AM397" i="11"/>
  <c r="AN397" i="11"/>
  <c r="AW397" i="11" a="1"/>
  <c r="AW397" i="11"/>
  <c r="AR397" i="11" a="1"/>
  <c r="AU397" i="11"/>
  <c r="AT397" i="11"/>
  <c r="AS397" i="11"/>
  <c r="AR397" i="11"/>
  <c r="AW394" i="11" a="1"/>
  <c r="AW394" i="11"/>
  <c r="AC398" i="11" a="1"/>
  <c r="AE398" i="11"/>
  <c r="AD398" i="11"/>
  <c r="AF398" i="11"/>
  <c r="AC398" i="11"/>
  <c r="AH398" i="11" a="1"/>
  <c r="AJ398" i="11"/>
  <c r="AK398" i="11"/>
  <c r="AH398" i="11"/>
  <c r="AI398" i="11"/>
  <c r="AM398" i="11" a="1"/>
  <c r="AN398" i="11"/>
  <c r="AM398" i="11"/>
  <c r="AO398" i="11"/>
  <c r="AP398" i="11"/>
  <c r="AR398" i="11" a="1"/>
  <c r="AU398" i="11"/>
  <c r="AT398" i="11"/>
  <c r="AR398" i="11"/>
  <c r="AS398" i="11"/>
  <c r="AC399" i="11" a="1"/>
  <c r="AC399" i="11"/>
  <c r="AF399" i="11"/>
  <c r="AE399" i="11"/>
  <c r="AD399" i="11"/>
  <c r="AH399" i="11" a="1"/>
  <c r="AH399" i="11"/>
  <c r="AJ399" i="11"/>
  <c r="AI399" i="11"/>
  <c r="AK399" i="11"/>
  <c r="AM399" i="11" a="1"/>
  <c r="AP399" i="11"/>
  <c r="AO399" i="11"/>
  <c r="AN399" i="11"/>
  <c r="AM399" i="11"/>
  <c r="AW399" i="11" a="1"/>
  <c r="AW399" i="11"/>
  <c r="AR399" i="11" a="1"/>
  <c r="AS399" i="11"/>
  <c r="AU399" i="11"/>
  <c r="AT399" i="11"/>
  <c r="AR399" i="11"/>
  <c r="AW398" i="11" a="1"/>
  <c r="AW398" i="11"/>
  <c r="AC400" i="11" a="1"/>
  <c r="AF400" i="11"/>
  <c r="AD400" i="11"/>
  <c r="AC400" i="11"/>
  <c r="AE400" i="11"/>
  <c r="AH400" i="11" a="1"/>
  <c r="AK400" i="11"/>
  <c r="AI400" i="11"/>
  <c r="AH400" i="11"/>
  <c r="AJ400" i="11"/>
  <c r="AM400" i="11" a="1"/>
  <c r="AM400" i="11"/>
  <c r="AN400" i="11"/>
  <c r="AP400" i="11"/>
  <c r="AO400" i="11"/>
  <c r="AR400" i="11" a="1"/>
  <c r="AU400" i="11"/>
  <c r="AT400" i="11"/>
  <c r="AR400" i="11"/>
  <c r="AS400" i="11"/>
  <c r="AC401" i="11" a="1"/>
  <c r="AE401" i="11"/>
  <c r="AC401" i="11"/>
  <c r="AF401" i="11"/>
  <c r="AD401" i="11"/>
  <c r="AH401" i="11" a="1"/>
  <c r="AI401" i="11"/>
  <c r="AH401" i="11"/>
  <c r="AK401" i="11"/>
  <c r="AJ401" i="11"/>
  <c r="AM401" i="11" a="1"/>
  <c r="AM401" i="11"/>
  <c r="AO401" i="11"/>
  <c r="AP401" i="11"/>
  <c r="AN401" i="11"/>
  <c r="AW401" i="11" a="1"/>
  <c r="AW401" i="11"/>
  <c r="AR401" i="11" a="1"/>
  <c r="AU401" i="11"/>
  <c r="AT401" i="11"/>
  <c r="AR401" i="11"/>
  <c r="AS401" i="11"/>
  <c r="AW400" i="11" a="1"/>
  <c r="AW400" i="11"/>
  <c r="AC402" i="11" a="1"/>
  <c r="AC402" i="11"/>
  <c r="AD402" i="11"/>
  <c r="AE402" i="11"/>
  <c r="AF402" i="11"/>
  <c r="AH402" i="11" a="1"/>
  <c r="AJ402" i="11"/>
  <c r="AH402" i="11"/>
  <c r="AI402" i="11"/>
  <c r="AK402" i="11"/>
  <c r="AM402" i="11" a="1"/>
  <c r="AP402" i="11"/>
  <c r="AO402" i="11"/>
  <c r="AM402" i="11"/>
  <c r="AN402" i="11"/>
  <c r="AR402" i="11" a="1"/>
  <c r="AU402" i="11"/>
  <c r="AR402" i="11"/>
  <c r="AS402" i="11"/>
  <c r="AT402" i="11"/>
  <c r="AC403" i="11" a="1"/>
  <c r="AF403" i="11"/>
  <c r="AE403" i="11"/>
  <c r="AD403" i="11"/>
  <c r="AC403" i="11"/>
  <c r="AH403" i="11" a="1"/>
  <c r="AK403" i="11"/>
  <c r="AJ403" i="11"/>
  <c r="AH403" i="11"/>
  <c r="AI403" i="11"/>
  <c r="AM403" i="11" a="1"/>
  <c r="AP403" i="11"/>
  <c r="AO403" i="11"/>
  <c r="AM403" i="11"/>
  <c r="AN403" i="11"/>
  <c r="AW403" i="11" a="1"/>
  <c r="AW403" i="11"/>
  <c r="AR403" i="11" a="1"/>
  <c r="AU403" i="11"/>
  <c r="AS403" i="11"/>
  <c r="AT403" i="11"/>
  <c r="AR403" i="11"/>
  <c r="AW402" i="11" a="1"/>
  <c r="AW402" i="11"/>
  <c r="AC404" i="11" a="1"/>
  <c r="AF404" i="11"/>
  <c r="AE404" i="11"/>
  <c r="AD404" i="11"/>
  <c r="AC404" i="11"/>
  <c r="AH404" i="11" a="1"/>
  <c r="AI404" i="11"/>
  <c r="AK404" i="11"/>
  <c r="AH404" i="11"/>
  <c r="AJ404" i="11"/>
  <c r="AM404" i="11" a="1"/>
  <c r="AN404" i="11"/>
  <c r="AO404" i="11"/>
  <c r="AP404" i="11"/>
  <c r="AM404" i="11"/>
  <c r="AR404" i="11" a="1"/>
  <c r="AU404" i="11"/>
  <c r="AR404" i="11"/>
  <c r="AT404" i="11"/>
  <c r="AS404" i="11"/>
  <c r="AC405" i="11" a="1"/>
  <c r="AE405" i="11"/>
  <c r="AD405" i="11"/>
  <c r="AF405" i="11"/>
  <c r="AC405" i="11"/>
  <c r="AH405" i="11" a="1"/>
  <c r="AH405" i="11"/>
  <c r="AJ405" i="11"/>
  <c r="AK405" i="11"/>
  <c r="AI405" i="11"/>
  <c r="AM405" i="11" a="1"/>
  <c r="AM405" i="11"/>
  <c r="AP405" i="11"/>
  <c r="AO405" i="11"/>
  <c r="AN405" i="11"/>
  <c r="AW405" i="11" a="1"/>
  <c r="AW405" i="11"/>
  <c r="AR405" i="11" a="1"/>
  <c r="AS405" i="11"/>
  <c r="AU405" i="11"/>
  <c r="AT405" i="11"/>
  <c r="AR405" i="11"/>
  <c r="AW404" i="11" a="1"/>
  <c r="AW404" i="11"/>
  <c r="AC406" i="11" a="1"/>
  <c r="AD406" i="11"/>
  <c r="AE406" i="11"/>
  <c r="AF406" i="11"/>
  <c r="AC406" i="11"/>
  <c r="AH406" i="11" a="1"/>
  <c r="AH406" i="11"/>
  <c r="AI406" i="11"/>
  <c r="AJ406" i="11"/>
  <c r="AK406" i="11"/>
  <c r="AM406" i="11" a="1"/>
  <c r="AO406" i="11"/>
  <c r="AM406" i="11"/>
  <c r="AP406" i="11"/>
  <c r="AN406" i="11"/>
  <c r="AR406" i="11" a="1"/>
  <c r="AU406" i="11"/>
  <c r="AT406" i="11"/>
  <c r="AS406" i="11"/>
  <c r="AR406" i="11"/>
  <c r="AC407" i="11" a="1"/>
  <c r="AE407" i="11"/>
  <c r="AC407" i="11"/>
  <c r="AD407" i="11"/>
  <c r="AF407" i="11"/>
  <c r="AH407" i="11" a="1"/>
  <c r="AJ407" i="11"/>
  <c r="AK407" i="11"/>
  <c r="AH407" i="11"/>
  <c r="AI407" i="11"/>
  <c r="AM407" i="11" a="1"/>
  <c r="AO407" i="11"/>
  <c r="AP407" i="11"/>
  <c r="AM407" i="11"/>
  <c r="AN407" i="11"/>
  <c r="AW407" i="11" a="1"/>
  <c r="AW407" i="11"/>
  <c r="AR407" i="11" a="1"/>
  <c r="AS407" i="11"/>
  <c r="AT407" i="11"/>
  <c r="AU407" i="11"/>
  <c r="AR407" i="11"/>
  <c r="AW406" i="11" a="1"/>
  <c r="AW406" i="11"/>
  <c r="AC408" i="11" a="1"/>
  <c r="AC408" i="11"/>
  <c r="AF408" i="11"/>
  <c r="AD408" i="11"/>
  <c r="AE408" i="11"/>
  <c r="AH408" i="11" a="1"/>
  <c r="AI408" i="11"/>
  <c r="AH408" i="11"/>
  <c r="AJ408" i="11"/>
  <c r="AK408" i="11"/>
  <c r="AM408" i="11" a="1"/>
  <c r="AM408" i="11"/>
  <c r="AO408" i="11"/>
  <c r="AP408" i="11"/>
  <c r="AN408" i="11"/>
  <c r="AR408" i="11" a="1"/>
  <c r="AU408" i="11"/>
  <c r="AR408" i="11"/>
  <c r="AS408" i="11"/>
  <c r="AT408" i="11"/>
  <c r="AC409" i="11" a="1"/>
  <c r="AD409" i="11"/>
  <c r="AC409" i="11"/>
  <c r="AE409" i="11"/>
  <c r="AF409" i="11"/>
  <c r="AH409" i="11" a="1"/>
  <c r="AK409" i="11"/>
  <c r="AJ409" i="11"/>
  <c r="AH409" i="11"/>
  <c r="AI409" i="11"/>
  <c r="AM409" i="11" a="1"/>
  <c r="AP409" i="11"/>
  <c r="AN409" i="11"/>
  <c r="AM409" i="11"/>
  <c r="AO409" i="11"/>
  <c r="AW409" i="11" a="1"/>
  <c r="AW409" i="11"/>
  <c r="AR409" i="11" a="1"/>
  <c r="AR409" i="11"/>
  <c r="AT409" i="11"/>
  <c r="AS409" i="11"/>
  <c r="AU409" i="11"/>
  <c r="AW408" i="11" a="1"/>
  <c r="AW408" i="11"/>
  <c r="AC410" i="11" a="1"/>
  <c r="AE410" i="11"/>
  <c r="AF410" i="11"/>
  <c r="AD410" i="11"/>
  <c r="AC410" i="11"/>
  <c r="AH410" i="11" a="1"/>
  <c r="AI410" i="11"/>
  <c r="AH410" i="11"/>
  <c r="AK410" i="11"/>
  <c r="AJ410" i="11"/>
  <c r="AM410" i="11" a="1"/>
  <c r="AN410" i="11"/>
  <c r="AP410" i="11"/>
  <c r="AO410" i="11"/>
  <c r="AM410" i="11"/>
  <c r="AR410" i="11" a="1"/>
  <c r="AU410" i="11"/>
  <c r="AS410" i="11"/>
  <c r="AT410" i="11"/>
  <c r="AR410" i="11"/>
  <c r="AC411" i="11" a="1"/>
  <c r="AF411" i="11"/>
  <c r="AC411" i="11"/>
  <c r="AE411" i="11"/>
  <c r="AD411" i="11"/>
  <c r="AH411" i="11" a="1"/>
  <c r="AK411" i="11"/>
  <c r="AJ411" i="11"/>
  <c r="AI411" i="11"/>
  <c r="AH411" i="11"/>
  <c r="AM411" i="11" a="1"/>
  <c r="AO411" i="11"/>
  <c r="AN411" i="11"/>
  <c r="AP411" i="11"/>
  <c r="AM411" i="11"/>
  <c r="AW411" i="11" a="1"/>
  <c r="AW411" i="11"/>
  <c r="AR411" i="11" a="1"/>
  <c r="AT411" i="11"/>
  <c r="AR411" i="11"/>
  <c r="AS411" i="11"/>
  <c r="AU411" i="11"/>
  <c r="AC412" i="11" a="1"/>
  <c r="AE412" i="11"/>
  <c r="AF412" i="11"/>
  <c r="AC412" i="11"/>
  <c r="AD412" i="11"/>
  <c r="AH412" i="11" a="1"/>
  <c r="AK412" i="11"/>
  <c r="AH412" i="11"/>
  <c r="AI412" i="11"/>
  <c r="AJ412" i="11"/>
  <c r="AM412" i="11" a="1"/>
  <c r="AP412" i="11"/>
  <c r="AM412" i="11"/>
  <c r="AN412" i="11"/>
  <c r="AO412" i="11"/>
  <c r="AW412" i="11" a="1"/>
  <c r="AW412" i="11"/>
  <c r="AR412" i="11" a="1"/>
  <c r="AT412" i="11"/>
  <c r="AR412" i="11"/>
  <c r="AS412" i="11"/>
  <c r="AU412" i="11"/>
  <c r="AC413" i="11" a="1"/>
  <c r="AF413" i="11"/>
  <c r="AC413" i="11"/>
  <c r="AD413" i="11"/>
  <c r="AE413" i="11"/>
  <c r="AH413" i="11" a="1"/>
  <c r="AH413" i="11"/>
  <c r="AK413" i="11"/>
  <c r="AJ413" i="11"/>
  <c r="AI413" i="11"/>
  <c r="AM413" i="11" a="1"/>
  <c r="AM413" i="11"/>
  <c r="AN413" i="11"/>
  <c r="AP413" i="11"/>
  <c r="AO413" i="11"/>
  <c r="AW413" i="11" a="1"/>
  <c r="AW413" i="11"/>
  <c r="AR413" i="11" a="1"/>
  <c r="AR413" i="11"/>
  <c r="AT413" i="11"/>
  <c r="AU413" i="11"/>
  <c r="AS413" i="11"/>
  <c r="AW410" i="11" a="1"/>
  <c r="AW410" i="11"/>
  <c r="AC414" i="11" a="1"/>
  <c r="AC414" i="11"/>
  <c r="AF414" i="11"/>
  <c r="AD414" i="11"/>
  <c r="AE414" i="11"/>
  <c r="AH414" i="11" a="1"/>
  <c r="AK414" i="11"/>
  <c r="AJ414" i="11"/>
  <c r="AH414" i="11"/>
  <c r="AI414" i="11"/>
  <c r="AM414" i="11" a="1"/>
  <c r="AN414" i="11"/>
  <c r="AO414" i="11"/>
  <c r="AP414" i="11"/>
  <c r="AM414" i="11"/>
  <c r="AR414" i="11" a="1"/>
  <c r="AT414" i="11"/>
  <c r="AS414" i="11"/>
  <c r="AR414" i="11"/>
  <c r="AU414" i="11"/>
  <c r="AW414" i="11" a="1"/>
  <c r="AW414" i="11"/>
  <c r="AC415" i="11" a="1"/>
  <c r="AC415" i="11"/>
  <c r="AD415" i="11"/>
  <c r="AF415" i="11"/>
  <c r="AE415" i="11"/>
  <c r="AH415" i="11" a="1"/>
  <c r="AJ415" i="11"/>
  <c r="AI415" i="11"/>
  <c r="AK415" i="11"/>
  <c r="AH415" i="11"/>
  <c r="AM415" i="11" a="1"/>
  <c r="AO415" i="11"/>
  <c r="AM415" i="11"/>
  <c r="AN415" i="11"/>
  <c r="AP415" i="11"/>
  <c r="AR415" i="11" a="1"/>
  <c r="AS415" i="11"/>
  <c r="AR415" i="11"/>
  <c r="AT415" i="11"/>
  <c r="AU415" i="11"/>
  <c r="AC416" i="11" a="1"/>
  <c r="AD416" i="11"/>
  <c r="AF416" i="11"/>
  <c r="AE416" i="11"/>
  <c r="AC416" i="11"/>
  <c r="AH416" i="11" a="1"/>
  <c r="AI416" i="11"/>
  <c r="AJ416" i="11"/>
  <c r="AH416" i="11"/>
  <c r="AK416" i="11"/>
  <c r="AM416" i="11" a="1"/>
  <c r="AO416" i="11"/>
  <c r="AN416" i="11"/>
  <c r="AM416" i="11"/>
  <c r="AP416" i="11"/>
  <c r="AW416" i="11" a="1"/>
  <c r="AW416" i="11"/>
  <c r="AR416" i="11" a="1"/>
  <c r="AR416" i="11"/>
  <c r="AS416" i="11"/>
  <c r="AU416" i="11"/>
  <c r="AT416" i="11"/>
  <c r="AW415" i="11" a="1"/>
  <c r="AW415" i="11"/>
  <c r="AC417" i="11" a="1"/>
  <c r="AC417" i="11"/>
  <c r="AD417" i="11"/>
  <c r="AE417" i="11"/>
  <c r="AF417" i="11"/>
  <c r="AH417" i="11" a="1"/>
  <c r="AH417" i="11"/>
  <c r="AK417" i="11"/>
  <c r="AJ417" i="11"/>
  <c r="AI417" i="11"/>
  <c r="AM417" i="11" a="1"/>
  <c r="AO417" i="11"/>
  <c r="AP417" i="11"/>
  <c r="AN417" i="11"/>
  <c r="AM417" i="11"/>
  <c r="AR417" i="11" a="1"/>
  <c r="AR417" i="11"/>
  <c r="AS417" i="11"/>
  <c r="AT417" i="11"/>
  <c r="AU417" i="11"/>
  <c r="AW417" i="11" a="1"/>
  <c r="AW417" i="11"/>
  <c r="AC418" i="11" a="1"/>
  <c r="AC418" i="11"/>
  <c r="AD418" i="11"/>
  <c r="AE418" i="11"/>
  <c r="AF418" i="11"/>
  <c r="AH418" i="11" a="1"/>
  <c r="AI418" i="11"/>
  <c r="AH418" i="11"/>
  <c r="AJ418" i="11"/>
  <c r="AK418" i="11"/>
  <c r="AM418" i="11" a="1"/>
  <c r="AN418" i="11"/>
  <c r="AP418" i="11"/>
  <c r="AO418" i="11"/>
  <c r="AM418" i="11"/>
  <c r="AR418" i="11" a="1"/>
  <c r="AT418" i="11"/>
  <c r="AU418" i="11"/>
  <c r="AR418" i="11"/>
  <c r="AS418" i="11"/>
  <c r="AC419" i="11" a="1"/>
  <c r="AF419" i="11"/>
  <c r="AE419" i="11"/>
  <c r="AC419" i="11"/>
  <c r="AD419" i="11"/>
  <c r="AH419" i="11" a="1"/>
  <c r="AK419" i="11"/>
  <c r="AI419" i="11"/>
  <c r="AH419" i="11"/>
  <c r="AJ419" i="11"/>
  <c r="AM419" i="11" a="1"/>
  <c r="AP419" i="11"/>
  <c r="AO419" i="11"/>
  <c r="AM419" i="11"/>
  <c r="AN419" i="11"/>
  <c r="AW419" i="11" a="1"/>
  <c r="AW419" i="11"/>
  <c r="AR419" i="11" a="1"/>
  <c r="AR419" i="11"/>
  <c r="AT419" i="11"/>
  <c r="AS419" i="11"/>
  <c r="AU419" i="11"/>
  <c r="AC420" i="11" a="1"/>
  <c r="AE420" i="11"/>
  <c r="AC420" i="11"/>
  <c r="AF420" i="11"/>
  <c r="AD420" i="11"/>
  <c r="AH420" i="11" a="1"/>
  <c r="AI420" i="11"/>
  <c r="AK420" i="11"/>
  <c r="AH420" i="11"/>
  <c r="AJ420" i="11"/>
  <c r="AM420" i="11" a="1"/>
  <c r="AM420" i="11"/>
  <c r="AO420" i="11"/>
  <c r="AN420" i="11"/>
  <c r="AP420" i="11"/>
  <c r="AW420" i="11" a="1"/>
  <c r="AW420" i="11"/>
  <c r="AR420" i="11" a="1"/>
  <c r="AS420" i="11"/>
  <c r="AU420" i="11"/>
  <c r="AT420" i="11"/>
  <c r="AR420" i="11"/>
  <c r="AC421" i="11" a="1"/>
  <c r="AD421" i="11"/>
  <c r="AE421" i="11"/>
  <c r="AC421" i="11"/>
  <c r="AF421" i="11"/>
  <c r="AH421" i="11" a="1"/>
  <c r="AK421" i="11"/>
  <c r="AH421" i="11"/>
  <c r="AI421" i="11"/>
  <c r="AJ421" i="11"/>
  <c r="AM421" i="11" a="1"/>
  <c r="AM421" i="11"/>
  <c r="AO421" i="11"/>
  <c r="AN421" i="11"/>
  <c r="AP421" i="11"/>
  <c r="AW421" i="11" a="1"/>
  <c r="AW421" i="11"/>
  <c r="AR421" i="11" a="1"/>
  <c r="AS421" i="11"/>
  <c r="AT421" i="11"/>
  <c r="AR421" i="11"/>
  <c r="AU421" i="11"/>
  <c r="AW418" i="11" a="1"/>
  <c r="AW418" i="11"/>
  <c r="AC422" i="11" a="1"/>
  <c r="AC422" i="11"/>
  <c r="AD422" i="11"/>
  <c r="AF422" i="11"/>
  <c r="AE422" i="11"/>
  <c r="AH422" i="11" a="1"/>
  <c r="AH422" i="11"/>
  <c r="AK422" i="11"/>
  <c r="AI422" i="11"/>
  <c r="AJ422" i="11"/>
  <c r="AM422" i="11" a="1"/>
  <c r="AP422" i="11"/>
  <c r="AM422" i="11"/>
  <c r="AN422" i="11"/>
  <c r="AO422" i="11"/>
  <c r="AR422" i="11" a="1"/>
  <c r="AT422" i="11"/>
  <c r="AR422" i="11"/>
  <c r="AU422" i="11"/>
  <c r="AS422" i="11"/>
  <c r="AW422" i="11" a="1"/>
  <c r="AW422" i="11"/>
  <c r="AC423" i="11" a="1"/>
  <c r="AD423" i="11"/>
  <c r="AC423" i="11"/>
  <c r="AE423" i="11"/>
  <c r="AF423" i="11"/>
  <c r="AH423" i="11" a="1"/>
  <c r="AJ423" i="11"/>
  <c r="AK423" i="11"/>
  <c r="AI423" i="11"/>
  <c r="AH423" i="11"/>
  <c r="AM423" i="11" a="1"/>
  <c r="AM423" i="11"/>
  <c r="AN423" i="11"/>
  <c r="AP423" i="11"/>
  <c r="AO423" i="11"/>
  <c r="AR423" i="11" a="1"/>
  <c r="AU423" i="11"/>
  <c r="AR423" i="11"/>
  <c r="AT423" i="11"/>
  <c r="AS423" i="11"/>
  <c r="AC424" i="11" a="1"/>
  <c r="AF424" i="11"/>
  <c r="AE424" i="11"/>
  <c r="AC424" i="11"/>
  <c r="AD424" i="11"/>
  <c r="AH424" i="11" a="1"/>
  <c r="AK424" i="11"/>
  <c r="AH424" i="11"/>
  <c r="AI424" i="11"/>
  <c r="AJ424" i="11"/>
  <c r="AM424" i="11" a="1"/>
  <c r="AO424" i="11"/>
  <c r="AN424" i="11"/>
  <c r="AP424" i="11"/>
  <c r="AM424" i="11"/>
  <c r="AW424" i="11" a="1"/>
  <c r="AW424" i="11"/>
  <c r="AR424" i="11" a="1"/>
  <c r="AT424" i="11"/>
  <c r="AS424" i="11"/>
  <c r="AR424" i="11"/>
  <c r="AU424" i="11"/>
  <c r="AC425" i="11" a="1"/>
  <c r="AC425" i="11"/>
  <c r="AF425" i="11"/>
  <c r="AD425" i="11"/>
  <c r="AE425" i="11"/>
  <c r="AH425" i="11" a="1"/>
  <c r="AK425" i="11"/>
  <c r="AI425" i="11"/>
  <c r="AH425" i="11"/>
  <c r="AJ425" i="11"/>
  <c r="AM425" i="11" a="1"/>
  <c r="AN425" i="11"/>
  <c r="AM425" i="11"/>
  <c r="AO425" i="11"/>
  <c r="AP425" i="11"/>
  <c r="AW425" i="11" a="1"/>
  <c r="AW425" i="11"/>
  <c r="AR425" i="11" a="1"/>
  <c r="AU425" i="11"/>
  <c r="AT425" i="11"/>
  <c r="AR425" i="11"/>
  <c r="AS425" i="11"/>
  <c r="AW423" i="11" a="1"/>
  <c r="AW423" i="11"/>
  <c r="AC426" i="11" a="1"/>
  <c r="AF426" i="11"/>
  <c r="AC426" i="11"/>
  <c r="AD426" i="11"/>
  <c r="AE426" i="11"/>
  <c r="AH426" i="11" a="1"/>
  <c r="AJ426" i="11"/>
  <c r="AI426" i="11"/>
  <c r="AK426" i="11"/>
  <c r="AH426" i="11"/>
  <c r="AM426" i="11" a="1"/>
  <c r="AN426" i="11"/>
  <c r="AP426" i="11"/>
  <c r="AO426" i="11"/>
  <c r="AM426" i="11"/>
  <c r="AR426" i="11" a="1"/>
  <c r="AU426" i="11"/>
  <c r="AT426" i="11"/>
  <c r="AR426" i="11"/>
  <c r="AS426" i="11"/>
  <c r="AC427" i="11" a="1"/>
  <c r="AC427" i="11"/>
  <c r="AF427" i="11"/>
  <c r="AD427" i="11"/>
  <c r="AE427" i="11"/>
  <c r="AH427" i="11" a="1"/>
  <c r="AK427" i="11"/>
  <c r="AH427" i="11"/>
  <c r="AI427" i="11"/>
  <c r="AJ427" i="11"/>
  <c r="AM427" i="11" a="1"/>
  <c r="AP427" i="11"/>
  <c r="AN427" i="11"/>
  <c r="AO427" i="11"/>
  <c r="AM427" i="11"/>
  <c r="AW427" i="11" a="1"/>
  <c r="AW427" i="11"/>
  <c r="AR427" i="11" a="1"/>
  <c r="AT427" i="11"/>
  <c r="AS427" i="11"/>
  <c r="AU427" i="11"/>
  <c r="AR427" i="11"/>
  <c r="AC428" i="11" a="1"/>
  <c r="AF428" i="11"/>
  <c r="AC428" i="11"/>
  <c r="AE428" i="11"/>
  <c r="AD428" i="11"/>
  <c r="AH428" i="11" a="1"/>
  <c r="AK428" i="11"/>
  <c r="AH428" i="11"/>
  <c r="AJ428" i="11"/>
  <c r="AI428" i="11"/>
  <c r="AM428" i="11" a="1"/>
  <c r="AN428" i="11"/>
  <c r="AM428" i="11"/>
  <c r="AP428" i="11"/>
  <c r="AO428" i="11"/>
  <c r="AW428" i="11" a="1"/>
  <c r="AW428" i="11"/>
  <c r="AR428" i="11" a="1"/>
  <c r="AT428" i="11"/>
  <c r="AS428" i="11"/>
  <c r="AR428" i="11"/>
  <c r="AU428" i="11"/>
  <c r="AC429" i="11" a="1"/>
  <c r="AE429" i="11"/>
  <c r="AC429" i="11"/>
  <c r="AF429" i="11"/>
  <c r="AD429" i="11"/>
  <c r="AH429" i="11" a="1"/>
  <c r="AJ429" i="11"/>
  <c r="AK429" i="11"/>
  <c r="AH429" i="11"/>
  <c r="AI429" i="11"/>
  <c r="AM429" i="11" a="1"/>
  <c r="AO429" i="11"/>
  <c r="AM429" i="11"/>
  <c r="AP429" i="11"/>
  <c r="AN429" i="11"/>
  <c r="AW429" i="11" a="1"/>
  <c r="AW429" i="11"/>
  <c r="AR429" i="11" a="1"/>
  <c r="AU429" i="11"/>
  <c r="AR429" i="11"/>
  <c r="AS429" i="11"/>
  <c r="AT429" i="11"/>
  <c r="AC430" i="11" a="1"/>
  <c r="AD430" i="11"/>
  <c r="AF430" i="11"/>
  <c r="AE430" i="11"/>
  <c r="AC430" i="11"/>
  <c r="AH430" i="11" a="1"/>
  <c r="AI430" i="11"/>
  <c r="AK430" i="11"/>
  <c r="AH430" i="11"/>
  <c r="AJ430" i="11"/>
  <c r="AM430" i="11" a="1"/>
  <c r="AN430" i="11"/>
  <c r="AM430" i="11"/>
  <c r="AO430" i="11"/>
  <c r="AP430" i="11"/>
  <c r="AW430" i="11" a="1"/>
  <c r="AW430" i="11"/>
  <c r="AR430" i="11" a="1"/>
  <c r="AU430" i="11"/>
  <c r="AR430" i="11"/>
  <c r="AS430" i="11"/>
  <c r="AT430" i="11"/>
  <c r="AW426" i="11" a="1"/>
  <c r="AW426" i="11"/>
  <c r="AC431" i="11" a="1"/>
  <c r="AC431" i="11"/>
  <c r="AF431" i="11"/>
  <c r="AD431" i="11"/>
  <c r="AE431" i="11"/>
  <c r="AH431" i="11" a="1"/>
  <c r="AJ431" i="11"/>
  <c r="AK431" i="11"/>
  <c r="AH431" i="11"/>
  <c r="AI431" i="11"/>
  <c r="AM431" i="11" a="1"/>
  <c r="AN431" i="11"/>
  <c r="AP431" i="11"/>
  <c r="AO431" i="11"/>
  <c r="AM431" i="11"/>
  <c r="AR431" i="11" a="1"/>
  <c r="AS431" i="11"/>
  <c r="AU431" i="11"/>
  <c r="AR431" i="11"/>
  <c r="AT431" i="11"/>
  <c r="AC432" i="11" a="1"/>
  <c r="AE432" i="11"/>
  <c r="AD432" i="11"/>
  <c r="AF432" i="11"/>
  <c r="AC432" i="11"/>
  <c r="AH432" i="11" a="1"/>
  <c r="AI432" i="11"/>
  <c r="AK432" i="11"/>
  <c r="AJ432" i="11"/>
  <c r="AH432" i="11"/>
  <c r="AM432" i="11" a="1"/>
  <c r="AN432" i="11"/>
  <c r="AM432" i="11"/>
  <c r="AO432" i="11"/>
  <c r="AP432" i="11"/>
  <c r="AW432" i="11" a="1"/>
  <c r="AW432" i="11"/>
  <c r="AR432" i="11" a="1"/>
  <c r="AS432" i="11"/>
  <c r="AU432" i="11"/>
  <c r="AT432" i="11"/>
  <c r="AR432" i="11"/>
  <c r="AC433" i="11" a="1"/>
  <c r="AF433" i="11"/>
  <c r="AD433" i="11"/>
  <c r="AC433" i="11"/>
  <c r="AE433" i="11"/>
  <c r="AH433" i="11" a="1"/>
  <c r="AI433" i="11"/>
  <c r="AJ433" i="11"/>
  <c r="AK433" i="11"/>
  <c r="AH433" i="11"/>
  <c r="AM433" i="11" a="1"/>
  <c r="AP433" i="11"/>
  <c r="AN433" i="11"/>
  <c r="AM433" i="11"/>
  <c r="AO433" i="11"/>
  <c r="AW433" i="11" a="1"/>
  <c r="AW433" i="11"/>
  <c r="AR433" i="11" a="1"/>
  <c r="AU433" i="11"/>
  <c r="AS433" i="11"/>
  <c r="AT433" i="11"/>
  <c r="AR433" i="11"/>
  <c r="AC434" i="11" a="1"/>
  <c r="AC434" i="11"/>
  <c r="AD434" i="11"/>
  <c r="AE434" i="11"/>
  <c r="AF434" i="11"/>
  <c r="AH434" i="11" a="1"/>
  <c r="AJ434" i="11"/>
  <c r="AK434" i="11"/>
  <c r="AH434" i="11"/>
  <c r="AI434" i="11"/>
  <c r="AM434" i="11" a="1"/>
  <c r="AM434" i="11"/>
  <c r="AO434" i="11"/>
  <c r="AN434" i="11"/>
  <c r="AP434" i="11"/>
  <c r="AW434" i="11" a="1"/>
  <c r="AW434" i="11"/>
  <c r="AR434" i="11" a="1"/>
  <c r="AU434" i="11"/>
  <c r="AR434" i="11"/>
  <c r="AT434" i="11"/>
  <c r="AS434" i="11"/>
  <c r="AW431" i="11" a="1"/>
  <c r="AW431" i="11"/>
  <c r="AC435" i="11" a="1"/>
  <c r="AE435" i="11"/>
  <c r="AD435" i="11"/>
  <c r="AC435" i="11"/>
  <c r="AF435" i="11"/>
  <c r="AH435" i="11" a="1"/>
  <c r="AI435" i="11"/>
  <c r="AK435" i="11"/>
  <c r="AJ435" i="11"/>
  <c r="AH435" i="11"/>
  <c r="AM435" i="11" a="1"/>
  <c r="AM435" i="11"/>
  <c r="AP435" i="11"/>
  <c r="AO435" i="11"/>
  <c r="AN435" i="11"/>
  <c r="AR435" i="11" a="1"/>
  <c r="AU435" i="11"/>
  <c r="AR435" i="11"/>
  <c r="AT435" i="11"/>
  <c r="AS435" i="11"/>
  <c r="AC436" i="11" a="1"/>
  <c r="AF436" i="11"/>
  <c r="AC436" i="11"/>
  <c r="AD436" i="11"/>
  <c r="AE436" i="11"/>
  <c r="AH436" i="11" a="1"/>
  <c r="AK436" i="11"/>
  <c r="AI436" i="11"/>
  <c r="AH436" i="11"/>
  <c r="AJ436" i="11"/>
  <c r="AM436" i="11" a="1"/>
  <c r="AP436" i="11"/>
  <c r="AM436" i="11"/>
  <c r="AN436" i="11"/>
  <c r="AO436" i="11"/>
  <c r="AW436" i="11" a="1"/>
  <c r="AW436" i="11"/>
  <c r="AR436" i="11" a="1"/>
  <c r="AR436" i="11"/>
  <c r="AS436" i="11"/>
  <c r="AU436" i="11"/>
  <c r="AT436" i="11"/>
  <c r="AC437" i="11" a="1"/>
  <c r="AC437" i="11"/>
  <c r="AD437" i="11"/>
  <c r="AE437" i="11"/>
  <c r="AF437" i="11"/>
  <c r="AH437" i="11" a="1"/>
  <c r="AK437" i="11"/>
  <c r="AH437" i="11"/>
  <c r="AI437" i="11"/>
  <c r="AJ437" i="11"/>
  <c r="AM437" i="11" a="1"/>
  <c r="AN437" i="11"/>
  <c r="AP437" i="11"/>
  <c r="AM437" i="11"/>
  <c r="AO437" i="11"/>
  <c r="AW437" i="11" a="1"/>
  <c r="AW437" i="11"/>
  <c r="AR437" i="11" a="1"/>
  <c r="AT437" i="11"/>
  <c r="AU437" i="11"/>
  <c r="AR437" i="11"/>
  <c r="AS437" i="11"/>
  <c r="AW435" i="11" a="1"/>
  <c r="AW435" i="11"/>
  <c r="AC438" i="11" a="1"/>
  <c r="AC438" i="11"/>
  <c r="AD438" i="11"/>
  <c r="AE438" i="11"/>
  <c r="AF438" i="11"/>
  <c r="AH438" i="11" a="1"/>
  <c r="AK438" i="11"/>
  <c r="AH438" i="11"/>
  <c r="AI438" i="11"/>
  <c r="AJ438" i="11"/>
  <c r="AM438" i="11" a="1"/>
  <c r="AP438" i="11"/>
  <c r="AO438" i="11"/>
  <c r="AM438" i="11"/>
  <c r="AN438" i="11"/>
  <c r="AR438" i="11" a="1"/>
  <c r="AR438" i="11"/>
  <c r="AT438" i="11"/>
  <c r="AS438" i="11"/>
  <c r="AU438" i="11"/>
  <c r="AW438" i="11" a="1"/>
  <c r="AW438" i="11"/>
  <c r="AC439" i="11" a="1"/>
  <c r="AF439" i="11"/>
  <c r="AD439" i="11"/>
  <c r="AE439" i="11"/>
  <c r="AC439" i="11"/>
  <c r="AH439" i="11" a="1"/>
  <c r="AK439" i="11"/>
  <c r="AI439" i="11"/>
  <c r="AH439" i="11"/>
  <c r="AJ439" i="11"/>
  <c r="AM439" i="11" a="1"/>
  <c r="AP439" i="11"/>
  <c r="AO439" i="11"/>
  <c r="AM439" i="11"/>
  <c r="AN439" i="11"/>
  <c r="AR439" i="11" a="1"/>
  <c r="AU439" i="11"/>
  <c r="AS439" i="11"/>
  <c r="AR439" i="11"/>
  <c r="AT439" i="11"/>
  <c r="AC440" i="11" a="1"/>
  <c r="AD440" i="11"/>
  <c r="AC440" i="11"/>
  <c r="AF440" i="11"/>
  <c r="AE440" i="11"/>
  <c r="AH440" i="11" a="1"/>
  <c r="AJ440" i="11"/>
  <c r="AH440" i="11"/>
  <c r="AK440" i="11"/>
  <c r="AI440" i="11"/>
  <c r="AM440" i="11" a="1"/>
  <c r="AP440" i="11"/>
  <c r="AN440" i="11"/>
  <c r="AO440" i="11"/>
  <c r="AM440" i="11"/>
  <c r="AW440" i="11" a="1"/>
  <c r="AW440" i="11"/>
  <c r="AR440" i="11" a="1"/>
  <c r="AU440" i="11"/>
  <c r="AS440" i="11"/>
  <c r="AT440" i="11"/>
  <c r="AR440" i="11"/>
  <c r="AC441" i="11" a="1"/>
  <c r="AD441" i="11"/>
  <c r="AF441" i="11"/>
  <c r="AE441" i="11"/>
  <c r="AC441" i="11"/>
  <c r="AH441" i="11" a="1"/>
  <c r="AJ441" i="11"/>
  <c r="AI441" i="11"/>
  <c r="AH441" i="11"/>
  <c r="AK441" i="11"/>
  <c r="AM441" i="11" a="1"/>
  <c r="AN441" i="11"/>
  <c r="AO441" i="11"/>
  <c r="AP441" i="11"/>
  <c r="AM441" i="11"/>
  <c r="AW441" i="11" a="1"/>
  <c r="AW441" i="11"/>
  <c r="AR441" i="11" a="1"/>
  <c r="AU441" i="11"/>
  <c r="AR441" i="11"/>
  <c r="AT441" i="11"/>
  <c r="AS441" i="11"/>
  <c r="AW439" i="11" a="1"/>
  <c r="AW439" i="11"/>
  <c r="AC442" i="11" a="1"/>
  <c r="AE442" i="11"/>
  <c r="AF442" i="11"/>
  <c r="AD442" i="11"/>
  <c r="AC442" i="11"/>
  <c r="AH442" i="11" a="1"/>
  <c r="AK442" i="11"/>
  <c r="AH442" i="11"/>
  <c r="AI442" i="11"/>
  <c r="AJ442" i="11"/>
  <c r="AM442" i="11" a="1"/>
  <c r="AM442" i="11"/>
  <c r="AN442" i="11"/>
  <c r="AO442" i="11"/>
  <c r="AP442" i="11"/>
  <c r="AR442" i="11" a="1"/>
  <c r="AR442" i="11"/>
  <c r="AU442" i="11"/>
  <c r="AT442" i="11"/>
  <c r="AS442" i="11"/>
  <c r="AC443" i="11" a="1"/>
  <c r="AD443" i="11"/>
  <c r="AF443" i="11"/>
  <c r="AE443" i="11"/>
  <c r="AC443" i="11"/>
  <c r="AH443" i="11" a="1"/>
  <c r="AH443" i="11"/>
  <c r="AI443" i="11"/>
  <c r="AK443" i="11"/>
  <c r="AJ443" i="11"/>
  <c r="AM443" i="11" a="1"/>
  <c r="AO443" i="11"/>
  <c r="AN443" i="11"/>
  <c r="AM443" i="11"/>
  <c r="AP443" i="11"/>
  <c r="AW443" i="11" a="1"/>
  <c r="AW443" i="11"/>
  <c r="AR443" i="11" a="1"/>
  <c r="AS443" i="11"/>
  <c r="AU443" i="11"/>
  <c r="AT443" i="11"/>
  <c r="AR443" i="11"/>
  <c r="AC444" i="11" a="1"/>
  <c r="AD444" i="11"/>
  <c r="AE444" i="11"/>
  <c r="AC444" i="11"/>
  <c r="AF444" i="11"/>
  <c r="AH444" i="11" a="1"/>
  <c r="AI444" i="11"/>
  <c r="AJ444" i="11"/>
  <c r="AK444" i="11"/>
  <c r="AH444" i="11"/>
  <c r="AM444" i="11" a="1"/>
  <c r="AM444" i="11"/>
  <c r="AP444" i="11"/>
  <c r="AN444" i="11"/>
  <c r="AO444" i="11"/>
  <c r="AW444" i="11" a="1"/>
  <c r="AW444" i="11"/>
  <c r="AR444" i="11" a="1"/>
  <c r="AU444" i="11"/>
  <c r="AS444" i="11"/>
  <c r="AT444" i="11"/>
  <c r="AR444" i="11"/>
  <c r="AC445" i="11" a="1"/>
  <c r="AC445" i="11"/>
  <c r="AE445" i="11"/>
  <c r="AF445" i="11"/>
  <c r="AD445" i="11"/>
  <c r="AH445" i="11" a="1"/>
  <c r="AJ445" i="11"/>
  <c r="AI445" i="11"/>
  <c r="AK445" i="11"/>
  <c r="AH445" i="11"/>
  <c r="AM445" i="11" a="1"/>
  <c r="AM445" i="11"/>
  <c r="AN445" i="11"/>
  <c r="AO445" i="11"/>
  <c r="AP445" i="11"/>
  <c r="AW445" i="11" a="1"/>
  <c r="AW445" i="11"/>
  <c r="AR445" i="11" a="1"/>
  <c r="AR445" i="11"/>
  <c r="AT445" i="11"/>
  <c r="AS445" i="11"/>
  <c r="AU445" i="11"/>
  <c r="AW442" i="11" a="1"/>
  <c r="AW442" i="11"/>
  <c r="AC446" i="11" a="1"/>
  <c r="AC446" i="11"/>
  <c r="AF446" i="11"/>
  <c r="AD446" i="11"/>
  <c r="AE446" i="11"/>
  <c r="AH446" i="11" a="1"/>
  <c r="AI446" i="11"/>
  <c r="AJ446" i="11"/>
  <c r="AH446" i="11"/>
  <c r="AK446" i="11"/>
  <c r="AM446" i="11" a="1"/>
  <c r="AP446" i="11"/>
  <c r="AN446" i="11"/>
  <c r="AM446" i="11"/>
  <c r="AO446" i="11"/>
  <c r="AR446" i="11" a="1"/>
  <c r="AT446" i="11"/>
  <c r="AR446" i="11"/>
  <c r="AS446" i="11"/>
  <c r="AU446" i="11"/>
  <c r="AW446" i="11" a="1"/>
  <c r="AW446" i="11"/>
  <c r="AC447" i="11" a="1"/>
  <c r="AE447" i="11"/>
  <c r="AD447" i="11"/>
  <c r="AF447" i="11"/>
  <c r="AC447" i="11"/>
  <c r="AH447" i="11" a="1"/>
  <c r="AH447" i="11"/>
  <c r="AJ447" i="11"/>
  <c r="AK447" i="11"/>
  <c r="AI447" i="11"/>
  <c r="AM447" i="11" a="1"/>
  <c r="AP447" i="11"/>
  <c r="AM447" i="11"/>
  <c r="AO447" i="11"/>
  <c r="AN447" i="11"/>
  <c r="AR447" i="11" a="1"/>
  <c r="AS447" i="11"/>
  <c r="AR447" i="11"/>
  <c r="AU447" i="11"/>
  <c r="AT447" i="11"/>
  <c r="AC448" i="11" a="1"/>
  <c r="AF448" i="11"/>
  <c r="AE448" i="11"/>
  <c r="AD448" i="11"/>
  <c r="AC448" i="11"/>
  <c r="AH448" i="11" a="1"/>
  <c r="AJ448" i="11"/>
  <c r="AK448" i="11"/>
  <c r="AH448" i="11"/>
  <c r="AI448" i="11"/>
  <c r="AM448" i="11" a="1"/>
  <c r="AM448" i="11"/>
  <c r="AP448" i="11"/>
  <c r="AO448" i="11"/>
  <c r="AN448" i="11"/>
  <c r="AW448" i="11" a="1"/>
  <c r="AW448" i="11"/>
  <c r="AR448" i="11" a="1"/>
  <c r="AT448" i="11"/>
  <c r="AS448" i="11"/>
  <c r="AR448" i="11"/>
  <c r="AU448" i="11"/>
  <c r="AC449" i="11" a="1"/>
  <c r="AC449" i="11"/>
  <c r="AE449" i="11"/>
  <c r="AF449" i="11"/>
  <c r="AD449" i="11"/>
  <c r="AH449" i="11" a="1"/>
  <c r="AJ449" i="11"/>
  <c r="AH449" i="11"/>
  <c r="AK449" i="11"/>
  <c r="AI449" i="11"/>
  <c r="AM449" i="11" a="1"/>
  <c r="AO449" i="11"/>
  <c r="AP449" i="11"/>
  <c r="AM449" i="11"/>
  <c r="AN449" i="11"/>
  <c r="AW449" i="11" a="1"/>
  <c r="AW449" i="11"/>
  <c r="AR449" i="11" a="1"/>
  <c r="AR449" i="11"/>
  <c r="AS449" i="11"/>
  <c r="AT449" i="11"/>
  <c r="AU449" i="11"/>
  <c r="AW447" i="11" a="1"/>
  <c r="AW447" i="11"/>
  <c r="AC450" i="11" a="1"/>
  <c r="AD450" i="11"/>
  <c r="AC450" i="11"/>
  <c r="AE450" i="11"/>
  <c r="AF450" i="11"/>
  <c r="AH450" i="11" a="1"/>
  <c r="AI450" i="11"/>
  <c r="AK450" i="11"/>
  <c r="AH450" i="11"/>
  <c r="AJ450" i="11"/>
  <c r="AM450" i="11" a="1"/>
  <c r="AN450" i="11"/>
  <c r="AP450" i="11"/>
  <c r="AM450" i="11"/>
  <c r="AO450" i="11"/>
  <c r="AR450" i="11" a="1"/>
  <c r="AR450" i="11"/>
  <c r="AS450" i="11"/>
  <c r="AU450" i="11"/>
  <c r="AT450" i="11"/>
  <c r="AC451" i="11" a="1"/>
  <c r="AF451" i="11"/>
  <c r="AC451" i="11"/>
  <c r="AD451" i="11"/>
  <c r="AE451" i="11"/>
  <c r="AH451" i="11" a="1"/>
  <c r="AJ451" i="11"/>
  <c r="AI451" i="11"/>
  <c r="AK451" i="11"/>
  <c r="AH451" i="11"/>
  <c r="AM451" i="11" a="1"/>
  <c r="AP451" i="11"/>
  <c r="AO451" i="11"/>
  <c r="AN451" i="11"/>
  <c r="AM451" i="11"/>
  <c r="AW451" i="11" a="1"/>
  <c r="AW451" i="11"/>
  <c r="AR451" i="11" a="1"/>
  <c r="AU451" i="11"/>
  <c r="AR451" i="11"/>
  <c r="AS451" i="11"/>
  <c r="AT451" i="11"/>
  <c r="AW450" i="11" a="1"/>
  <c r="AW450" i="11"/>
  <c r="AC452" i="11" a="1"/>
  <c r="AF452" i="11"/>
  <c r="AD452" i="11"/>
  <c r="AE452" i="11"/>
  <c r="AC452" i="11"/>
  <c r="AH452" i="11" a="1"/>
  <c r="AI452" i="11"/>
  <c r="AK452" i="11"/>
  <c r="AJ452" i="11"/>
  <c r="AH452" i="11"/>
  <c r="AM452" i="11" a="1"/>
  <c r="AP452" i="11"/>
  <c r="AM452" i="11"/>
  <c r="AN452" i="11"/>
  <c r="AO452" i="11"/>
  <c r="AR452" i="11" a="1"/>
  <c r="AU452" i="11"/>
  <c r="AS452" i="11"/>
  <c r="AT452" i="11"/>
  <c r="AR452" i="11"/>
  <c r="AC453" i="11" a="1"/>
  <c r="AE453" i="11"/>
  <c r="AC453" i="11"/>
  <c r="AF453" i="11"/>
  <c r="AD453" i="11"/>
  <c r="AH453" i="11" a="1"/>
  <c r="AJ453" i="11"/>
  <c r="AH453" i="11"/>
  <c r="AI453" i="11"/>
  <c r="AK453" i="11"/>
  <c r="AM453" i="11" a="1"/>
  <c r="AN453" i="11"/>
  <c r="AO453" i="11"/>
  <c r="AP453" i="11"/>
  <c r="AM453" i="11"/>
  <c r="AW453" i="11" a="1"/>
  <c r="AW453" i="11"/>
  <c r="AR453" i="11" a="1"/>
  <c r="AS453" i="11"/>
  <c r="AU453" i="11"/>
  <c r="AT453" i="11"/>
  <c r="AR453" i="11"/>
  <c r="AW452" i="11" a="1"/>
  <c r="AW452" i="11"/>
  <c r="AC454" i="11" a="1"/>
  <c r="AF454" i="11"/>
  <c r="AE454" i="11"/>
  <c r="AD454" i="11"/>
  <c r="AC454" i="11"/>
  <c r="AH454" i="11" a="1"/>
  <c r="AK454" i="11"/>
  <c r="AJ454" i="11"/>
  <c r="AI454" i="11"/>
  <c r="AH454" i="11"/>
  <c r="AM454" i="11" a="1"/>
  <c r="AM454" i="11"/>
  <c r="AP454" i="11"/>
  <c r="AO454" i="11"/>
  <c r="AN454" i="11"/>
  <c r="AR454" i="11" a="1"/>
  <c r="AT454" i="11"/>
  <c r="AR454" i="11"/>
  <c r="AU454" i="11"/>
  <c r="AS454" i="11"/>
  <c r="AW454" i="11" a="1"/>
  <c r="AW454" i="11"/>
  <c r="AC455" i="11" a="1"/>
  <c r="AE455" i="11"/>
  <c r="AF455" i="11"/>
  <c r="AC455" i="11"/>
  <c r="AD455" i="11"/>
  <c r="AH455" i="11" a="1"/>
  <c r="AK455" i="11"/>
  <c r="AJ455" i="11"/>
  <c r="AI455" i="11"/>
  <c r="AH455" i="11"/>
  <c r="AM455" i="11" a="1"/>
  <c r="AP455" i="11"/>
  <c r="AN455" i="11"/>
  <c r="AM455" i="11"/>
  <c r="AO455" i="11"/>
  <c r="AR455" i="11" a="1"/>
  <c r="AR455" i="11"/>
  <c r="AS455" i="11"/>
  <c r="AU455" i="11"/>
  <c r="AT455" i="11"/>
  <c r="AC456" i="11" a="1"/>
  <c r="AC456" i="11"/>
  <c r="AF456" i="11"/>
  <c r="AD456" i="11"/>
  <c r="AE456" i="11"/>
  <c r="AH456" i="11" a="1"/>
  <c r="AI456" i="11"/>
  <c r="AK456" i="11"/>
  <c r="AJ456" i="11"/>
  <c r="AH456" i="11"/>
  <c r="AM456" i="11" a="1"/>
  <c r="AO456" i="11"/>
  <c r="AN456" i="11"/>
  <c r="AM456" i="11"/>
  <c r="AP456" i="11"/>
  <c r="AW456" i="11" a="1"/>
  <c r="AW456" i="11"/>
  <c r="AR456" i="11" a="1"/>
  <c r="AS456" i="11"/>
  <c r="AU456" i="11"/>
  <c r="AR456" i="11"/>
  <c r="AT456" i="11"/>
  <c r="AC457" i="11" a="1"/>
  <c r="AF457" i="11"/>
  <c r="AC457" i="11"/>
  <c r="AE457" i="11"/>
  <c r="AD457" i="11"/>
  <c r="AH457" i="11" a="1"/>
  <c r="AJ457" i="11"/>
  <c r="AH457" i="11"/>
  <c r="AK457" i="11"/>
  <c r="AI457" i="11"/>
  <c r="AM457" i="11" a="1"/>
  <c r="AO457" i="11"/>
  <c r="AP457" i="11"/>
  <c r="AN457" i="11"/>
  <c r="AM457" i="11"/>
  <c r="AW457" i="11" a="1"/>
  <c r="AW457" i="11"/>
  <c r="AR457" i="11" a="1"/>
  <c r="AS457" i="11"/>
  <c r="AT457" i="11"/>
  <c r="AU457" i="11"/>
  <c r="AR457" i="11"/>
  <c r="AW455" i="11" a="1"/>
  <c r="AW455" i="11"/>
  <c r="AC458" i="11" a="1"/>
  <c r="AC458" i="11"/>
  <c r="AE458" i="11"/>
  <c r="AF458" i="11"/>
  <c r="AD458" i="11"/>
  <c r="AH458" i="11" a="1"/>
  <c r="AH458" i="11"/>
  <c r="AI458" i="11"/>
  <c r="AK458" i="11"/>
  <c r="AJ458" i="11"/>
  <c r="AM458" i="11" a="1"/>
  <c r="AP458" i="11"/>
  <c r="AM458" i="11"/>
  <c r="AN458" i="11"/>
  <c r="AO458" i="11"/>
  <c r="AR458" i="11" a="1"/>
  <c r="AS458" i="11"/>
  <c r="AT458" i="11"/>
  <c r="AR458" i="11"/>
  <c r="AU458" i="11"/>
  <c r="AC459" i="11" a="1"/>
  <c r="AC459" i="11"/>
  <c r="AE459" i="11"/>
  <c r="AF459" i="11"/>
  <c r="AD459" i="11"/>
  <c r="AH459" i="11" a="1"/>
  <c r="AH459" i="11"/>
  <c r="AI459" i="11"/>
  <c r="AJ459" i="11"/>
  <c r="AK459" i="11"/>
  <c r="AM459" i="11" a="1"/>
  <c r="AM459" i="11"/>
  <c r="AP459" i="11"/>
  <c r="AN459" i="11"/>
  <c r="AO459" i="11"/>
  <c r="AW459" i="11" a="1"/>
  <c r="AW459" i="11"/>
  <c r="AR459" i="11" a="1"/>
  <c r="AR459" i="11"/>
  <c r="AU459" i="11"/>
  <c r="AT459" i="11"/>
  <c r="AS459" i="11"/>
  <c r="AC460" i="11" a="1"/>
  <c r="AC460" i="11"/>
  <c r="AD460" i="11"/>
  <c r="AF460" i="11"/>
  <c r="AE460" i="11"/>
  <c r="AH460" i="11" a="1"/>
  <c r="AH460" i="11"/>
  <c r="AJ460" i="11"/>
  <c r="AI460" i="11"/>
  <c r="AK460" i="11"/>
  <c r="AM460" i="11" a="1"/>
  <c r="AN460" i="11"/>
  <c r="AO460" i="11"/>
  <c r="AM460" i="11"/>
  <c r="AP460" i="11"/>
  <c r="AW460" i="11" a="1"/>
  <c r="AW460" i="11"/>
  <c r="AR460" i="11" a="1"/>
  <c r="AR460" i="11"/>
  <c r="AT460" i="11"/>
  <c r="AS460" i="11"/>
  <c r="AU460" i="11"/>
  <c r="AC461" i="11" a="1"/>
  <c r="AE461" i="11"/>
  <c r="AC461" i="11"/>
  <c r="AD461" i="11"/>
  <c r="AF461" i="11"/>
  <c r="AH461" i="11" a="1"/>
  <c r="AJ461" i="11"/>
  <c r="AH461" i="11"/>
  <c r="AI461" i="11"/>
  <c r="AK461" i="11"/>
  <c r="AM461" i="11" a="1"/>
  <c r="AN461" i="11"/>
  <c r="AO461" i="11"/>
  <c r="AM461" i="11"/>
  <c r="AP461" i="11"/>
  <c r="AW461" i="11" a="1"/>
  <c r="AW461" i="11"/>
  <c r="AR461" i="11" a="1"/>
  <c r="AS461" i="11"/>
  <c r="AR461" i="11"/>
  <c r="AU461" i="11"/>
  <c r="AT461" i="11"/>
  <c r="AW458" i="11" a="1"/>
  <c r="AW458" i="11"/>
  <c r="AC462" i="11" a="1"/>
  <c r="AE462" i="11"/>
  <c r="AD462" i="11"/>
  <c r="AF462" i="11"/>
  <c r="AC462" i="11"/>
  <c r="AH462" i="11" a="1"/>
  <c r="AI462" i="11"/>
  <c r="AH462" i="11"/>
  <c r="AJ462" i="11"/>
  <c r="AK462" i="11"/>
  <c r="AM462" i="11" a="1"/>
  <c r="AP462" i="11"/>
  <c r="AM462" i="11"/>
  <c r="AO462" i="11"/>
  <c r="AN462" i="11"/>
  <c r="AR462" i="11" a="1"/>
  <c r="AU462" i="11"/>
  <c r="AT462" i="11"/>
  <c r="AR462" i="11"/>
  <c r="AS462" i="11"/>
  <c r="AW462" i="11" a="1"/>
  <c r="AW462" i="11"/>
  <c r="AC463" i="11" a="1"/>
  <c r="AE463" i="11"/>
  <c r="AD463" i="11"/>
  <c r="AF463" i="11"/>
  <c r="AC463" i="11"/>
  <c r="AH463" i="11" a="1"/>
  <c r="AI463" i="11"/>
  <c r="AH463" i="11"/>
  <c r="AJ463" i="11"/>
  <c r="AK463" i="11"/>
  <c r="AM463" i="11" a="1"/>
  <c r="AO463" i="11"/>
  <c r="AN463" i="11"/>
  <c r="AP463" i="11"/>
  <c r="AM463" i="11"/>
  <c r="AR463" i="11" a="1"/>
  <c r="AR463" i="11"/>
  <c r="AT463" i="11"/>
  <c r="AS463" i="11"/>
  <c r="AU463" i="11"/>
  <c r="AC464" i="11" a="1"/>
  <c r="AD464" i="11"/>
  <c r="AF464" i="11"/>
  <c r="AE464" i="11"/>
  <c r="AC464" i="11"/>
  <c r="AH464" i="11" a="1"/>
  <c r="AI464" i="11"/>
  <c r="AJ464" i="11"/>
  <c r="AH464" i="11"/>
  <c r="AK464" i="11"/>
  <c r="AM464" i="11" a="1"/>
  <c r="AM464" i="11"/>
  <c r="AO464" i="11"/>
  <c r="AN464" i="11"/>
  <c r="AP464" i="11"/>
  <c r="AW464" i="11" a="1"/>
  <c r="AW464" i="11"/>
  <c r="AR464" i="11" a="1"/>
  <c r="AT464" i="11"/>
  <c r="AS464" i="11"/>
  <c r="AU464" i="11"/>
  <c r="AR464" i="11"/>
  <c r="AC465" i="11" a="1"/>
  <c r="AE465" i="11"/>
  <c r="AC465" i="11"/>
  <c r="AD465" i="11"/>
  <c r="AF465" i="11"/>
  <c r="AH465" i="11" a="1"/>
  <c r="AI465" i="11"/>
  <c r="AK465" i="11"/>
  <c r="AJ465" i="11"/>
  <c r="AH465" i="11"/>
  <c r="AM465" i="11" a="1"/>
  <c r="AN465" i="11"/>
  <c r="AM465" i="11"/>
  <c r="AP465" i="11"/>
  <c r="AO465" i="11"/>
  <c r="AW465" i="11" a="1"/>
  <c r="AW465" i="11"/>
  <c r="AR465" i="11" a="1"/>
  <c r="AR465" i="11"/>
  <c r="AS465" i="11"/>
  <c r="AT465" i="11"/>
  <c r="AU465" i="11"/>
  <c r="AW463" i="11" a="1"/>
  <c r="AW463" i="11"/>
  <c r="AC466" i="11" a="1"/>
  <c r="AF466" i="11"/>
  <c r="AE466" i="11"/>
  <c r="AC466" i="11"/>
  <c r="AD466" i="11"/>
  <c r="AH466" i="11" a="1"/>
  <c r="AI466" i="11"/>
  <c r="AJ466" i="11"/>
  <c r="AK466" i="11"/>
  <c r="AH466" i="11"/>
  <c r="AM466" i="11" a="1"/>
  <c r="AN466" i="11"/>
  <c r="AP466" i="11"/>
  <c r="AM466" i="11"/>
  <c r="AO466" i="11"/>
  <c r="AR466" i="11" a="1"/>
  <c r="AS466" i="11"/>
  <c r="AU466" i="11"/>
  <c r="AT466" i="11"/>
  <c r="AR466" i="11"/>
  <c r="AW466" i="11" a="1"/>
  <c r="AW466" i="11"/>
  <c r="AC467" i="11" a="1"/>
  <c r="AD467" i="11"/>
  <c r="AE467" i="11"/>
  <c r="AF467" i="11"/>
  <c r="AC467" i="11"/>
  <c r="AH467" i="11" a="1"/>
  <c r="AI467" i="11"/>
  <c r="AH467" i="11"/>
  <c r="AK467" i="11"/>
  <c r="AJ467" i="11"/>
  <c r="AM467" i="11" a="1"/>
  <c r="AO467" i="11"/>
  <c r="AN467" i="11"/>
  <c r="AM467" i="11"/>
  <c r="AP467" i="11"/>
  <c r="AR467" i="11" a="1"/>
  <c r="AT467" i="11"/>
  <c r="AU467" i="11"/>
  <c r="AS467" i="11"/>
  <c r="AR467" i="11"/>
  <c r="AW467" i="11" a="1"/>
  <c r="AW467" i="11"/>
  <c r="AC468" i="11" a="1"/>
  <c r="AC468" i="11"/>
  <c r="AE468" i="11"/>
  <c r="AF468" i="11"/>
  <c r="AD468" i="11"/>
  <c r="AH468" i="11" a="1"/>
  <c r="AK468" i="11"/>
  <c r="AI468" i="11"/>
  <c r="AH468" i="11"/>
  <c r="AJ468" i="11"/>
  <c r="AM468" i="11" a="1"/>
  <c r="AO468" i="11"/>
  <c r="AP468" i="11"/>
  <c r="AM468" i="11"/>
  <c r="AN468" i="11"/>
  <c r="AR468" i="11" a="1"/>
  <c r="AS468" i="11"/>
  <c r="AT468" i="11"/>
  <c r="AR468" i="11"/>
  <c r="AU468" i="11"/>
  <c r="AC469" i="11" a="1"/>
  <c r="AC469" i="11"/>
  <c r="AE469" i="11"/>
  <c r="AD469" i="11"/>
  <c r="AF469" i="11"/>
  <c r="AH469" i="11" a="1"/>
  <c r="AH469" i="11"/>
  <c r="AJ469" i="11"/>
  <c r="AI469" i="11"/>
  <c r="AK469" i="11"/>
  <c r="AM469" i="11" a="1"/>
  <c r="AM469" i="11"/>
  <c r="AN469" i="11"/>
  <c r="AO469" i="11"/>
  <c r="AP469" i="11"/>
  <c r="AW469" i="11" a="1"/>
  <c r="AW469" i="11"/>
  <c r="AR469" i="11" a="1"/>
  <c r="AU469" i="11"/>
  <c r="AT469" i="11"/>
  <c r="AS469" i="11"/>
  <c r="AR469" i="11"/>
  <c r="AC470" i="11" a="1"/>
  <c r="AD470" i="11"/>
  <c r="AE470" i="11"/>
  <c r="AC470" i="11"/>
  <c r="AF470" i="11"/>
  <c r="AH470" i="11" a="1"/>
  <c r="AH470" i="11"/>
  <c r="AK470" i="11"/>
  <c r="AJ470" i="11"/>
  <c r="AI470" i="11"/>
  <c r="AM470" i="11" a="1"/>
  <c r="AM470" i="11"/>
  <c r="AO470" i="11"/>
  <c r="AP470" i="11"/>
  <c r="AN470" i="11"/>
  <c r="AW470" i="11" a="1"/>
  <c r="AW470" i="11"/>
  <c r="AR470" i="11" a="1"/>
  <c r="AT470" i="11"/>
  <c r="AS470" i="11"/>
  <c r="AR470" i="11"/>
  <c r="AU470" i="11"/>
  <c r="AW468" i="11" a="1"/>
  <c r="AW468" i="11"/>
  <c r="AC471" i="11" a="1"/>
  <c r="AE471" i="11"/>
  <c r="AF471" i="11"/>
  <c r="AD471" i="11"/>
  <c r="AC471" i="11"/>
  <c r="AH471" i="11" a="1"/>
  <c r="AK471" i="11"/>
  <c r="AH471" i="11"/>
  <c r="AI471" i="11"/>
  <c r="AJ471" i="11"/>
  <c r="AM471" i="11" a="1"/>
  <c r="AN471" i="11"/>
  <c r="AM471" i="11"/>
  <c r="AP471" i="11"/>
  <c r="AO471" i="11"/>
  <c r="AR471" i="11" a="1"/>
  <c r="AS471" i="11"/>
  <c r="AR471" i="11"/>
  <c r="AU471" i="11"/>
  <c r="AT471" i="11"/>
  <c r="AW471" i="11" a="1"/>
  <c r="AW471" i="11"/>
  <c r="AC472" i="11" a="1"/>
  <c r="AE472" i="11"/>
  <c r="AC472" i="11"/>
  <c r="AF472" i="11"/>
  <c r="AD472" i="11"/>
  <c r="AH472" i="11" a="1"/>
  <c r="AJ472" i="11"/>
  <c r="AH472" i="11"/>
  <c r="AI472" i="11"/>
  <c r="AK472" i="11"/>
  <c r="AM472" i="11" a="1"/>
  <c r="AN472" i="11"/>
  <c r="AM472" i="11"/>
  <c r="AO472" i="11"/>
  <c r="AP472" i="11"/>
  <c r="AR472" i="11" a="1"/>
  <c r="AR472" i="11"/>
  <c r="AT472" i="11"/>
  <c r="AS472" i="11"/>
  <c r="AU472" i="11"/>
  <c r="AC473" i="11" a="1"/>
  <c r="AE473" i="11"/>
  <c r="AF473" i="11"/>
  <c r="AD473" i="11"/>
  <c r="AC473" i="11"/>
  <c r="AH473" i="11" a="1"/>
  <c r="AK473" i="11"/>
  <c r="AI473" i="11"/>
  <c r="AJ473" i="11"/>
  <c r="AH473" i="11"/>
  <c r="AM473" i="11" a="1"/>
  <c r="AN473" i="11"/>
  <c r="AM473" i="11"/>
  <c r="AP473" i="11"/>
  <c r="AO473" i="11"/>
  <c r="AW473" i="11" a="1"/>
  <c r="AW473" i="11"/>
  <c r="AR473" i="11" a="1"/>
  <c r="AT473" i="11"/>
  <c r="AS473" i="11"/>
  <c r="AU473" i="11"/>
  <c r="AR473" i="11"/>
  <c r="AW472" i="11" a="1"/>
  <c r="AW472" i="11"/>
  <c r="AC474" i="11" a="1"/>
  <c r="AC474" i="11"/>
  <c r="AD474" i="11"/>
  <c r="AE474" i="11"/>
  <c r="AF474" i="11"/>
  <c r="AH474" i="11" a="1"/>
  <c r="AK474" i="11"/>
  <c r="AH474" i="11"/>
  <c r="AI474" i="11"/>
  <c r="AJ474" i="11"/>
  <c r="AM474" i="11" a="1"/>
  <c r="AM474" i="11"/>
  <c r="AO474" i="11"/>
  <c r="AP474" i="11"/>
  <c r="AN474" i="11"/>
  <c r="AR474" i="11" a="1"/>
  <c r="AT474" i="11"/>
  <c r="AU474" i="11"/>
  <c r="AR474" i="11"/>
  <c r="AS474" i="11"/>
  <c r="AW474" i="11" a="1"/>
  <c r="AW474" i="11"/>
  <c r="AC475" i="11" a="1"/>
  <c r="AE475" i="11"/>
  <c r="AD475" i="11"/>
  <c r="AC475" i="11"/>
  <c r="AF475" i="11"/>
  <c r="AH475" i="11" a="1"/>
  <c r="AJ475" i="11"/>
  <c r="AK475" i="11"/>
  <c r="AI475" i="11"/>
  <c r="AH475" i="11"/>
  <c r="AM475" i="11" a="1"/>
  <c r="AM475" i="11"/>
  <c r="AN475" i="11"/>
  <c r="AO475" i="11"/>
  <c r="AP475" i="11"/>
  <c r="AR475" i="11" a="1"/>
  <c r="AU475" i="11"/>
  <c r="AS475" i="11"/>
  <c r="AR475" i="11"/>
  <c r="AT475" i="11"/>
  <c r="AW475" i="11" a="1"/>
  <c r="AW475" i="11"/>
  <c r="AC476" i="11" a="1"/>
  <c r="AC476" i="11"/>
  <c r="AE476" i="11"/>
  <c r="AD476" i="11"/>
  <c r="AF476" i="11"/>
  <c r="AH476" i="11" a="1"/>
  <c r="AH476" i="11"/>
  <c r="AI476" i="11"/>
  <c r="AK476" i="11"/>
  <c r="AJ476" i="11"/>
  <c r="AM476" i="11" a="1"/>
  <c r="AN476" i="11"/>
  <c r="AM476" i="11"/>
  <c r="AO476" i="11"/>
  <c r="AP476" i="11"/>
  <c r="AR476" i="11" a="1"/>
  <c r="AR476" i="11"/>
  <c r="AS476" i="11"/>
  <c r="AU476" i="11"/>
  <c r="AT476" i="11"/>
  <c r="AC477" i="11" a="1"/>
  <c r="AC477" i="11"/>
  <c r="AE477" i="11"/>
  <c r="AF477" i="11"/>
  <c r="AD477" i="11"/>
  <c r="AH477" i="11" a="1"/>
  <c r="AK477" i="11"/>
  <c r="AJ477" i="11"/>
  <c r="AH477" i="11"/>
  <c r="AI477" i="11"/>
  <c r="AM477" i="11" a="1"/>
  <c r="AO477" i="11"/>
  <c r="AP477" i="11"/>
  <c r="AN477" i="11"/>
  <c r="AM477" i="11"/>
  <c r="AW477" i="11" a="1"/>
  <c r="AW477" i="11"/>
  <c r="AR477" i="11" a="1"/>
  <c r="AU477" i="11"/>
  <c r="AR477" i="11"/>
  <c r="AT477" i="11"/>
  <c r="AS477" i="11"/>
  <c r="AW476" i="11" a="1"/>
  <c r="AW476" i="11"/>
  <c r="AC478" i="11" a="1"/>
  <c r="AF478" i="11"/>
  <c r="AC478" i="11"/>
  <c r="AD478" i="11"/>
  <c r="AE478" i="11"/>
  <c r="AH478" i="11" a="1"/>
  <c r="AH478" i="11"/>
  <c r="AK478" i="11"/>
  <c r="AJ478" i="11"/>
  <c r="AI478" i="11"/>
  <c r="AM478" i="11" a="1"/>
  <c r="AO478" i="11"/>
  <c r="AP478" i="11"/>
  <c r="AM478" i="11"/>
  <c r="AN478" i="11"/>
  <c r="AR478" i="11" a="1"/>
  <c r="AR478" i="11"/>
  <c r="AT478" i="11"/>
  <c r="AS478" i="11"/>
  <c r="AU478" i="11"/>
  <c r="AW478" i="11" a="1"/>
  <c r="AW478" i="11"/>
  <c r="AC479" i="11" a="1"/>
  <c r="AD479" i="11"/>
  <c r="AC479" i="11"/>
  <c r="AF479" i="11"/>
  <c r="AE479" i="11"/>
  <c r="AH479" i="11" a="1"/>
  <c r="AJ479" i="11"/>
  <c r="AH479" i="11"/>
  <c r="AI479" i="11"/>
  <c r="AK479" i="11"/>
  <c r="AM479" i="11" a="1"/>
  <c r="AO479" i="11"/>
  <c r="AP479" i="11"/>
  <c r="AM479" i="11"/>
  <c r="AN479" i="11"/>
  <c r="AR479" i="11" a="1"/>
  <c r="AS479" i="11"/>
  <c r="AT479" i="11"/>
  <c r="AR479" i="11"/>
  <c r="AU479" i="11"/>
  <c r="AW479" i="11" a="1"/>
  <c r="AW479" i="11"/>
  <c r="AC480" i="11" a="1"/>
  <c r="AE480" i="11"/>
  <c r="AF480" i="11"/>
  <c r="AD480" i="11"/>
  <c r="AC480" i="11"/>
  <c r="AH480" i="11" a="1"/>
  <c r="AJ480" i="11"/>
  <c r="AH480" i="11"/>
  <c r="AI480" i="11"/>
  <c r="AK480" i="11"/>
  <c r="AM480" i="11" a="1"/>
  <c r="AN480" i="11"/>
  <c r="AO480" i="11"/>
  <c r="AM480" i="11"/>
  <c r="AP480" i="11"/>
  <c r="AR480" i="11" a="1"/>
  <c r="AT480" i="11"/>
  <c r="AS480" i="11"/>
  <c r="AR480" i="11"/>
  <c r="AU480" i="11"/>
  <c r="AC481" i="11" a="1"/>
  <c r="AC481" i="11"/>
  <c r="AD481" i="11"/>
  <c r="AF481" i="11"/>
  <c r="AE481" i="11"/>
  <c r="AH481" i="11" a="1"/>
  <c r="AK481" i="11"/>
  <c r="AH481" i="11"/>
  <c r="AI481" i="11"/>
  <c r="AJ481" i="11"/>
  <c r="AM481" i="11" a="1"/>
  <c r="AP481" i="11"/>
  <c r="AO481" i="11"/>
  <c r="AN481" i="11"/>
  <c r="AM481" i="11"/>
  <c r="AW481" i="11" a="1"/>
  <c r="AW481" i="11"/>
  <c r="AR481" i="11" a="1"/>
  <c r="AT481" i="11"/>
  <c r="AR481" i="11"/>
  <c r="AS481" i="11"/>
  <c r="AU481" i="11"/>
  <c r="AW480" i="11" a="1"/>
  <c r="AW480" i="11"/>
  <c r="AC482" i="11" a="1"/>
  <c r="AC482" i="11"/>
  <c r="AD482" i="11"/>
  <c r="AF482" i="11"/>
  <c r="AE482" i="11"/>
  <c r="AH482" i="11" a="1"/>
  <c r="AK482" i="11"/>
  <c r="AH482" i="11"/>
  <c r="AI482" i="11"/>
  <c r="AJ482" i="11"/>
  <c r="AM482" i="11" a="1"/>
  <c r="AN482" i="11"/>
  <c r="AM482" i="11"/>
  <c r="AO482" i="11"/>
  <c r="AP482" i="11"/>
  <c r="AR482" i="11" a="1"/>
  <c r="AS482" i="11"/>
  <c r="AU482" i="11"/>
  <c r="AT482" i="11"/>
  <c r="AR482" i="11"/>
  <c r="AW482" i="11" a="1"/>
  <c r="AW482" i="11"/>
  <c r="AC483" i="11" a="1"/>
  <c r="AF483" i="11"/>
  <c r="AC483" i="11"/>
  <c r="AE483" i="11"/>
  <c r="AD483" i="11"/>
  <c r="AH483" i="11" a="1"/>
  <c r="AK483" i="11"/>
  <c r="AI483" i="11"/>
  <c r="AJ483" i="11"/>
  <c r="AH483" i="11"/>
  <c r="AM483" i="11" a="1"/>
  <c r="AP483" i="11"/>
  <c r="AO483" i="11"/>
  <c r="AN483" i="11"/>
  <c r="AM483" i="11"/>
  <c r="AR483" i="11" a="1"/>
  <c r="AR483" i="11"/>
  <c r="AT483" i="11"/>
  <c r="AU483" i="11"/>
  <c r="AS483" i="11"/>
  <c r="AW483" i="11" a="1"/>
  <c r="AW483" i="11"/>
  <c r="AC484" i="11" a="1"/>
  <c r="AE484" i="11"/>
  <c r="AC484" i="11"/>
  <c r="AD484" i="11"/>
  <c r="AF484" i="11"/>
  <c r="AH484" i="11" a="1"/>
  <c r="AK484" i="11"/>
  <c r="AJ484" i="11"/>
  <c r="AH484" i="11"/>
  <c r="AI484" i="11"/>
  <c r="AM484" i="11" a="1"/>
  <c r="AO484" i="11"/>
  <c r="AN484" i="11"/>
  <c r="AP484" i="11"/>
  <c r="AM484" i="11"/>
  <c r="AR484" i="11" a="1"/>
  <c r="AU484" i="11"/>
  <c r="AR484" i="11"/>
  <c r="AS484" i="11"/>
  <c r="AT484" i="11"/>
  <c r="AC485" i="11" a="1"/>
  <c r="AD485" i="11"/>
  <c r="AE485" i="11"/>
  <c r="AF485" i="11"/>
  <c r="AC485" i="11"/>
  <c r="AH485" i="11" a="1"/>
  <c r="AH485" i="11"/>
  <c r="AK485" i="11"/>
  <c r="AJ485" i="11"/>
  <c r="AI485" i="11"/>
  <c r="AM485" i="11" a="1"/>
  <c r="AO485" i="11"/>
  <c r="AM485" i="11"/>
  <c r="AP485" i="11"/>
  <c r="AN485" i="11"/>
  <c r="AW485" i="11" a="1"/>
  <c r="AW485" i="11"/>
  <c r="AR485" i="11" a="1"/>
  <c r="AU485" i="11"/>
  <c r="AS485" i="11"/>
  <c r="AT485" i="11"/>
  <c r="AR485" i="11"/>
  <c r="AW484" i="11" a="1"/>
  <c r="AW484" i="11"/>
  <c r="AC486" i="11" a="1"/>
  <c r="AC486" i="11"/>
  <c r="AD486" i="11"/>
  <c r="AF486" i="11"/>
  <c r="AE486" i="11"/>
  <c r="AH486" i="11" a="1"/>
  <c r="AH486" i="11"/>
  <c r="AJ486" i="11"/>
  <c r="AI486" i="11"/>
  <c r="AK486" i="11"/>
  <c r="AM486" i="11" a="1"/>
  <c r="AM486" i="11"/>
  <c r="AN486" i="11"/>
  <c r="AP486" i="11"/>
  <c r="AO486" i="11"/>
  <c r="AR486" i="11" a="1"/>
  <c r="AU486" i="11"/>
  <c r="AT486" i="11"/>
  <c r="AS486" i="11"/>
  <c r="AR486" i="11"/>
  <c r="AC487" i="11" a="1"/>
  <c r="AC487" i="11"/>
  <c r="AE487" i="11"/>
  <c r="AF487" i="11"/>
  <c r="AD487" i="11"/>
  <c r="AH487" i="11" a="1"/>
  <c r="AK487" i="11"/>
  <c r="AI487" i="11"/>
  <c r="AJ487" i="11"/>
  <c r="AH487" i="11"/>
  <c r="AM487" i="11" a="1"/>
  <c r="AO487" i="11"/>
  <c r="AP487" i="11"/>
  <c r="AM487" i="11"/>
  <c r="AN487" i="11"/>
  <c r="AW487" i="11" a="1"/>
  <c r="AW487" i="11"/>
  <c r="AR487" i="11" a="1"/>
  <c r="AT487" i="11"/>
  <c r="AS487" i="11"/>
  <c r="AU487" i="11"/>
  <c r="AR487" i="11"/>
  <c r="AC488" i="11" a="1"/>
  <c r="AD488" i="11"/>
  <c r="AC488" i="11"/>
  <c r="AF488" i="11"/>
  <c r="AE488" i="11"/>
  <c r="AH488" i="11" a="1"/>
  <c r="AI488" i="11"/>
  <c r="AK488" i="11"/>
  <c r="AH488" i="11"/>
  <c r="AJ488" i="11"/>
  <c r="AM488" i="11" a="1"/>
  <c r="AP488" i="11"/>
  <c r="AO488" i="11"/>
  <c r="AN488" i="11"/>
  <c r="AM488" i="11"/>
  <c r="AW488" i="11" a="1"/>
  <c r="AW488" i="11"/>
  <c r="AR488" i="11" a="1"/>
  <c r="AR488" i="11"/>
  <c r="AU488" i="11"/>
  <c r="AT488" i="11"/>
  <c r="AS488" i="11"/>
  <c r="AC489" i="11" a="1"/>
  <c r="AD489" i="11"/>
  <c r="AE489" i="11"/>
  <c r="AC489" i="11"/>
  <c r="AF489" i="11"/>
  <c r="AH489" i="11" a="1"/>
  <c r="AH489" i="11"/>
  <c r="AJ489" i="11"/>
  <c r="AI489" i="11"/>
  <c r="AK489" i="11"/>
  <c r="AM489" i="11" a="1"/>
  <c r="AO489" i="11"/>
  <c r="AM489" i="11"/>
  <c r="AP489" i="11"/>
  <c r="AN489" i="11"/>
  <c r="AW489" i="11" a="1"/>
  <c r="AW489" i="11"/>
  <c r="AR489" i="11" a="1"/>
  <c r="AT489" i="11"/>
  <c r="AR489" i="11"/>
  <c r="AU489" i="11"/>
  <c r="AS489" i="11"/>
  <c r="AW486" i="11" a="1"/>
  <c r="AW486" i="11"/>
  <c r="AC490" i="11" a="1"/>
  <c r="AE490" i="11"/>
  <c r="AC490" i="11"/>
  <c r="AD490" i="11"/>
  <c r="AF490" i="11"/>
  <c r="AH490" i="11" a="1"/>
  <c r="AH490" i="11"/>
  <c r="AI490" i="11"/>
  <c r="AK490" i="11"/>
  <c r="AJ490" i="11"/>
  <c r="AM490" i="11" a="1"/>
  <c r="AN490" i="11"/>
  <c r="AM490" i="11"/>
  <c r="AO490" i="11"/>
  <c r="AP490" i="11"/>
  <c r="AR490" i="11" a="1"/>
  <c r="AS490" i="11"/>
  <c r="AR490" i="11"/>
  <c r="AU490" i="11"/>
  <c r="AT490" i="11"/>
  <c r="AC491" i="11" a="1"/>
  <c r="AC491" i="11"/>
  <c r="AF491" i="11"/>
  <c r="AD491" i="11"/>
  <c r="AE491" i="11"/>
  <c r="AH491" i="11" a="1"/>
  <c r="AH491" i="11"/>
  <c r="AJ491" i="11"/>
  <c r="AI491" i="11"/>
  <c r="AK491" i="11"/>
  <c r="AM491" i="11" a="1"/>
  <c r="AP491" i="11"/>
  <c r="AN491" i="11"/>
  <c r="AO491" i="11"/>
  <c r="AM491" i="11"/>
  <c r="AW491" i="11" a="1"/>
  <c r="AW491" i="11"/>
  <c r="AR491" i="11" a="1"/>
  <c r="AR491" i="11"/>
  <c r="AU491" i="11"/>
  <c r="AS491" i="11"/>
  <c r="AT491" i="11"/>
  <c r="AW490" i="11" a="1"/>
  <c r="AW490" i="11"/>
  <c r="AC492" i="11" a="1"/>
  <c r="AE492" i="11"/>
  <c r="AD492" i="11"/>
  <c r="AF492" i="11"/>
  <c r="AC492" i="11"/>
  <c r="AH492" i="11" a="1"/>
  <c r="AI492" i="11"/>
  <c r="AK492" i="11"/>
  <c r="AH492" i="11"/>
  <c r="AJ492" i="11"/>
  <c r="AM492" i="11" a="1"/>
  <c r="AP492" i="11"/>
  <c r="AO492" i="11"/>
  <c r="AN492" i="11"/>
  <c r="AM492" i="11"/>
  <c r="AR492" i="11" a="1"/>
  <c r="AT492" i="11"/>
  <c r="AR492" i="11"/>
  <c r="AU492" i="11"/>
  <c r="AS492" i="11"/>
  <c r="AW492" i="11" a="1"/>
  <c r="AW492" i="11"/>
  <c r="AC493" i="11" a="1"/>
  <c r="AD493" i="11"/>
  <c r="AC493" i="11"/>
  <c r="AF493" i="11"/>
  <c r="AE493" i="11"/>
  <c r="AH493" i="11" a="1"/>
  <c r="AJ493" i="11"/>
  <c r="AI493" i="11"/>
  <c r="AK493" i="11"/>
  <c r="AH493" i="11"/>
  <c r="AM493" i="11" a="1"/>
  <c r="AN493" i="11"/>
  <c r="AP493" i="11"/>
  <c r="AO493" i="11"/>
  <c r="AM493" i="11"/>
  <c r="AR493" i="11" a="1"/>
  <c r="AS493" i="11"/>
  <c r="AU493" i="11"/>
  <c r="AR493" i="11"/>
  <c r="AT493" i="11"/>
  <c r="AW493" i="11" a="1"/>
  <c r="AW493" i="11"/>
  <c r="AC494" i="11" a="1"/>
  <c r="AE494" i="11"/>
  <c r="AD494" i="11"/>
  <c r="AF494" i="11"/>
  <c r="AC494" i="11"/>
  <c r="AH494" i="11" a="1"/>
  <c r="AK494" i="11"/>
  <c r="AJ494" i="11"/>
  <c r="AI494" i="11"/>
  <c r="AH494" i="11"/>
  <c r="AM494" i="11" a="1"/>
  <c r="AO494" i="11"/>
  <c r="AN494" i="11"/>
  <c r="AM494" i="11"/>
  <c r="AP494" i="11"/>
  <c r="AR494" i="11" a="1"/>
  <c r="AU494" i="11"/>
  <c r="AS494" i="11"/>
  <c r="AR494" i="11"/>
  <c r="AT494" i="11"/>
  <c r="AC495" i="11" a="1"/>
  <c r="AE495" i="11"/>
  <c r="AC495" i="11"/>
  <c r="AF495" i="11"/>
  <c r="AD495" i="11"/>
  <c r="AH495" i="11" a="1"/>
  <c r="AJ495" i="11"/>
  <c r="AK495" i="11"/>
  <c r="AI495" i="11"/>
  <c r="AH495" i="11"/>
  <c r="AM495" i="11" a="1"/>
  <c r="AN495" i="11"/>
  <c r="AO495" i="11"/>
  <c r="AM495" i="11"/>
  <c r="AP495" i="11"/>
  <c r="AW495" i="11" a="1"/>
  <c r="AW495" i="11"/>
  <c r="AR495" i="11" a="1"/>
  <c r="AU495" i="11"/>
  <c r="AT495" i="11"/>
  <c r="AR495" i="11"/>
  <c r="AS495" i="11"/>
  <c r="AW494" i="11" a="1"/>
  <c r="AW494" i="11"/>
  <c r="AC496" i="11" a="1"/>
  <c r="AD496" i="11"/>
  <c r="AC496" i="11"/>
  <c r="AE496" i="11"/>
  <c r="AF496" i="11"/>
  <c r="AH496" i="11" a="1"/>
  <c r="AJ496" i="11"/>
  <c r="AH496" i="11"/>
  <c r="AI496" i="11"/>
  <c r="AK496" i="11"/>
  <c r="AM496" i="11" a="1"/>
  <c r="AO496" i="11"/>
  <c r="AM496" i="11"/>
  <c r="AN496" i="11"/>
  <c r="AP496" i="11"/>
  <c r="AR496" i="11" a="1"/>
  <c r="AU496" i="11"/>
  <c r="AR496" i="11"/>
  <c r="AT496" i="11"/>
  <c r="AS496" i="11"/>
  <c r="AC497" i="11" a="1"/>
  <c r="AD497" i="11"/>
  <c r="AC497" i="11"/>
  <c r="AF497" i="11"/>
  <c r="AE497" i="11"/>
  <c r="AH497" i="11" a="1"/>
  <c r="AI497" i="11"/>
  <c r="AJ497" i="11"/>
  <c r="AH497" i="11"/>
  <c r="AK497" i="11"/>
  <c r="AM497" i="11" a="1"/>
  <c r="AO497" i="11"/>
  <c r="AP497" i="11"/>
  <c r="AM497" i="11"/>
  <c r="AN497" i="11"/>
  <c r="AW497" i="11" a="1"/>
  <c r="AW497" i="11"/>
  <c r="AR497" i="11" a="1"/>
  <c r="AR497" i="11"/>
  <c r="AU497" i="11"/>
  <c r="AT497" i="11"/>
  <c r="AS497" i="11"/>
  <c r="AC498" i="11" a="1"/>
  <c r="AC498" i="11"/>
  <c r="AE498" i="11"/>
  <c r="AD498" i="11"/>
  <c r="AF498" i="11"/>
  <c r="AH498" i="11" a="1"/>
  <c r="AH498" i="11"/>
  <c r="AK498" i="11"/>
  <c r="AI498" i="11"/>
  <c r="AJ498" i="11"/>
  <c r="AM498" i="11" a="1"/>
  <c r="AO498" i="11"/>
  <c r="AP498" i="11"/>
  <c r="AM498" i="11"/>
  <c r="AN498" i="11"/>
  <c r="AW498" i="11" a="1"/>
  <c r="AW498" i="11"/>
  <c r="AR498" i="11" a="1"/>
  <c r="AT498" i="11"/>
  <c r="AU498" i="11"/>
  <c r="AS498" i="11"/>
  <c r="AR498" i="11"/>
  <c r="AW496" i="11" a="1"/>
  <c r="AW496" i="11"/>
  <c r="AC499" i="11" a="1"/>
  <c r="AE499" i="11"/>
  <c r="AD499" i="11"/>
  <c r="AC499" i="11"/>
  <c r="AF499" i="11"/>
  <c r="AH499" i="11" a="1"/>
  <c r="AK499" i="11"/>
  <c r="AI499" i="11"/>
  <c r="AH499" i="11"/>
  <c r="AJ499" i="11"/>
  <c r="AM499" i="11" a="1"/>
  <c r="AN499" i="11"/>
  <c r="AO499" i="11"/>
  <c r="AM499" i="11"/>
  <c r="AP499" i="11"/>
  <c r="AR499" i="11" a="1"/>
  <c r="AT499" i="11"/>
  <c r="AR499" i="11"/>
  <c r="AS499" i="11"/>
  <c r="AU499" i="11"/>
  <c r="AW499" i="11" a="1"/>
  <c r="AW499" i="11"/>
  <c r="AC500" i="11" a="1"/>
  <c r="AD500" i="11"/>
  <c r="AF500" i="11"/>
  <c r="AC500" i="11"/>
  <c r="AE500" i="11"/>
  <c r="AH500" i="11" a="1"/>
  <c r="AJ500" i="11"/>
  <c r="AK500" i="11"/>
  <c r="AH500" i="11"/>
  <c r="AI500" i="11"/>
  <c r="AM500" i="11" a="1"/>
  <c r="AN500" i="11"/>
  <c r="AM500" i="11"/>
  <c r="AO500" i="11"/>
  <c r="AP500" i="11"/>
  <c r="AR500" i="11" a="1"/>
  <c r="AS500" i="11"/>
  <c r="AT500" i="11"/>
  <c r="AU500" i="11"/>
  <c r="AR500" i="11"/>
  <c r="AC501" i="11" a="1"/>
  <c r="AF501" i="11"/>
  <c r="AD501" i="11"/>
  <c r="AC501" i="11"/>
  <c r="AE501" i="11"/>
  <c r="AH501" i="11" a="1"/>
  <c r="AJ501" i="11"/>
  <c r="AI501" i="11"/>
  <c r="AH501" i="11"/>
  <c r="AK501" i="11"/>
  <c r="AM501" i="11" a="1"/>
  <c r="AN501" i="11"/>
  <c r="AO501" i="11"/>
  <c r="AP501" i="11"/>
  <c r="AM501" i="11"/>
  <c r="AW501" i="11" a="1"/>
  <c r="AW501" i="11"/>
  <c r="AR501" i="11" a="1"/>
  <c r="AT501" i="11"/>
  <c r="AU501" i="11"/>
  <c r="AR501" i="11"/>
  <c r="AS501" i="11"/>
  <c r="AW500" i="11" a="1"/>
  <c r="AW500" i="11"/>
  <c r="AC502" i="11" a="1"/>
  <c r="AC502" i="11"/>
  <c r="AF502" i="11"/>
  <c r="AE502" i="11"/>
  <c r="AD502" i="11"/>
  <c r="AH502" i="11" a="1"/>
  <c r="AJ502" i="11"/>
  <c r="AK502" i="11"/>
  <c r="AI502" i="11"/>
  <c r="AH502" i="11"/>
  <c r="AM502" i="11" a="1"/>
  <c r="AN502" i="11"/>
  <c r="AP502" i="11"/>
  <c r="AO502" i="11"/>
  <c r="AM502" i="11"/>
  <c r="AR502" i="11" a="1"/>
  <c r="AU502" i="11"/>
  <c r="AS502" i="11"/>
  <c r="AT502" i="11"/>
  <c r="AR502" i="11"/>
  <c r="AW502" i="11" a="1"/>
  <c r="AW502" i="11"/>
  <c r="AC503" i="11" a="1"/>
  <c r="AE503" i="11"/>
  <c r="AC503" i="11"/>
  <c r="AD503" i="11"/>
  <c r="AF503" i="11"/>
  <c r="AH503" i="11" a="1"/>
  <c r="AJ503" i="11"/>
  <c r="AI503" i="11"/>
  <c r="AK503" i="11"/>
  <c r="AH503" i="11"/>
  <c r="AM503" i="11" a="1"/>
  <c r="AO503" i="11"/>
  <c r="AM503" i="11"/>
  <c r="AN503" i="11"/>
  <c r="AP503" i="11"/>
  <c r="AR503" i="11" a="1"/>
  <c r="AR503" i="11"/>
  <c r="AU503" i="11"/>
  <c r="AS503" i="11"/>
  <c r="AT503" i="11"/>
  <c r="AC504" i="11" a="1"/>
  <c r="AF504" i="11"/>
  <c r="AC504" i="11"/>
  <c r="AD504" i="11"/>
  <c r="AE504" i="11"/>
  <c r="AH504" i="11" a="1"/>
  <c r="AJ504" i="11"/>
  <c r="AK504" i="11"/>
  <c r="AH504" i="11"/>
  <c r="AI504" i="11"/>
  <c r="AM504" i="11" a="1"/>
  <c r="AM504" i="11"/>
  <c r="AN504" i="11"/>
  <c r="AO504" i="11"/>
  <c r="AP504" i="11"/>
  <c r="AW504" i="11" a="1"/>
  <c r="AW504" i="11"/>
  <c r="AR504" i="11" a="1"/>
  <c r="AS504" i="11"/>
  <c r="AU504" i="11"/>
  <c r="AR504" i="11"/>
  <c r="AT504" i="11"/>
  <c r="AW503" i="11" a="1"/>
  <c r="AW503" i="11"/>
  <c r="AC505" i="11" a="1"/>
  <c r="AC505" i="11"/>
  <c r="AF505" i="11"/>
  <c r="AE505" i="11"/>
  <c r="AD505" i="11"/>
  <c r="AH505" i="11" a="1"/>
  <c r="AH505" i="11"/>
  <c r="AJ505" i="11"/>
  <c r="AI505" i="11"/>
  <c r="AK505" i="11"/>
  <c r="AM505" i="11" a="1"/>
  <c r="AP505" i="11"/>
  <c r="AM505" i="11"/>
  <c r="AO505" i="11"/>
  <c r="AN505" i="11"/>
  <c r="AR505" i="11" a="1"/>
  <c r="AS505" i="11"/>
  <c r="AU505" i="11"/>
  <c r="AR505" i="11"/>
  <c r="AT505" i="11"/>
  <c r="AC506" i="11" a="1"/>
  <c r="AE506" i="11"/>
  <c r="AD506" i="11"/>
  <c r="AF506" i="11"/>
  <c r="AC506" i="11"/>
  <c r="AH506" i="11" a="1"/>
  <c r="AJ506" i="11"/>
  <c r="AI506" i="11"/>
  <c r="AK506" i="11"/>
  <c r="AH506" i="11"/>
  <c r="AM506" i="11" a="1"/>
  <c r="AO506" i="11"/>
  <c r="AP506" i="11"/>
  <c r="AM506" i="11"/>
  <c r="AN506" i="11"/>
  <c r="AW506" i="11" a="1"/>
  <c r="AW506" i="11"/>
  <c r="AR506" i="11" a="1"/>
  <c r="AR506" i="11"/>
  <c r="AU506" i="11"/>
  <c r="AT506" i="11"/>
  <c r="AS506" i="11"/>
  <c r="AC507" i="11" a="1"/>
  <c r="AC507" i="11"/>
  <c r="AE507" i="11"/>
  <c r="AD507" i="11"/>
  <c r="AF507" i="11"/>
  <c r="AH507" i="11" a="1"/>
  <c r="AH507" i="11"/>
  <c r="AJ507" i="11"/>
  <c r="AI507" i="11"/>
  <c r="AK507" i="11"/>
  <c r="AM507" i="11" a="1"/>
  <c r="AM507" i="11"/>
  <c r="AN507" i="11"/>
  <c r="AO507" i="11"/>
  <c r="AP507" i="11"/>
  <c r="AW507" i="11" a="1"/>
  <c r="AW507" i="11"/>
  <c r="AR507" i="11" a="1"/>
  <c r="AS507" i="11"/>
  <c r="AR507" i="11"/>
  <c r="AT507" i="11"/>
  <c r="AU507" i="11"/>
  <c r="AC508" i="11" a="1"/>
  <c r="AE508" i="11"/>
  <c r="AC508" i="11"/>
  <c r="AD508" i="11"/>
  <c r="AF508" i="11"/>
  <c r="AH508" i="11" a="1"/>
  <c r="AH508" i="11"/>
  <c r="AK508" i="11"/>
  <c r="AJ508" i="11"/>
  <c r="AI508" i="11"/>
  <c r="AM508" i="11" a="1"/>
  <c r="AP508" i="11"/>
  <c r="AO508" i="11"/>
  <c r="AM508" i="11"/>
  <c r="AN508" i="11"/>
  <c r="AW508" i="11" a="1"/>
  <c r="AW508" i="11"/>
  <c r="AR508" i="11" a="1"/>
  <c r="AU508" i="11"/>
  <c r="AR508" i="11"/>
  <c r="AT508" i="11"/>
  <c r="AS508" i="11"/>
  <c r="AW505" i="11" a="1"/>
  <c r="AW505" i="11"/>
  <c r="AC509" i="11" a="1"/>
  <c r="AF509" i="11"/>
  <c r="AC509" i="11"/>
  <c r="AE509" i="11"/>
  <c r="AD509" i="11"/>
  <c r="AH509" i="11" a="1"/>
  <c r="AK509" i="11"/>
  <c r="AH509" i="11"/>
  <c r="AI509" i="11"/>
  <c r="AJ509" i="11"/>
  <c r="AM509" i="11" a="1"/>
  <c r="AO509" i="11"/>
  <c r="AP509" i="11"/>
  <c r="AN509" i="11"/>
  <c r="AM509" i="11"/>
  <c r="AR509" i="11" a="1"/>
  <c r="AR509" i="11"/>
  <c r="AT509" i="11"/>
  <c r="AU509" i="11"/>
  <c r="AS509" i="11"/>
  <c r="AC510" i="11" a="1"/>
  <c r="AF510" i="11"/>
  <c r="AD510" i="11"/>
  <c r="AE510" i="11"/>
  <c r="AC510" i="11"/>
  <c r="AH510" i="11" a="1"/>
  <c r="AJ510" i="11"/>
  <c r="AK510" i="11"/>
  <c r="AI510" i="11"/>
  <c r="AH510" i="11"/>
  <c r="AM510" i="11" a="1"/>
  <c r="AP510" i="11"/>
  <c r="AN510" i="11"/>
  <c r="AO510" i="11"/>
  <c r="AM510" i="11"/>
  <c r="AW510" i="11" a="1"/>
  <c r="AW510" i="11"/>
  <c r="AR510" i="11" a="1"/>
  <c r="AT510" i="11"/>
  <c r="AS510" i="11"/>
  <c r="AR510" i="11"/>
  <c r="AU510" i="11"/>
  <c r="AW509" i="11" a="1"/>
  <c r="AW509" i="11"/>
  <c r="AC511" i="11" a="1"/>
  <c r="AE511" i="11"/>
  <c r="AC511" i="11"/>
  <c r="AF511" i="11"/>
  <c r="AD511" i="11"/>
  <c r="AH511" i="11" a="1"/>
  <c r="AH511" i="11"/>
  <c r="AK511" i="11"/>
  <c r="AJ511" i="11"/>
  <c r="AI511" i="11"/>
  <c r="AM511" i="11" a="1"/>
  <c r="AO511" i="11"/>
  <c r="AP511" i="11"/>
  <c r="AN511" i="11"/>
  <c r="AM511" i="11"/>
  <c r="AR511" i="11" a="1"/>
  <c r="AU511" i="11"/>
  <c r="AT511" i="11"/>
  <c r="AS511" i="11"/>
  <c r="AR511" i="11"/>
  <c r="AC512" i="11" a="1"/>
  <c r="AF512" i="11"/>
  <c r="AC512" i="11"/>
  <c r="AE512" i="11"/>
  <c r="AD512" i="11"/>
  <c r="AH512" i="11" a="1"/>
  <c r="AH512" i="11"/>
  <c r="AI512" i="11"/>
  <c r="AK512" i="11"/>
  <c r="AJ512" i="11"/>
  <c r="AM512" i="11" a="1"/>
  <c r="AM512" i="11"/>
  <c r="AN512" i="11"/>
  <c r="AP512" i="11"/>
  <c r="AO512" i="11"/>
  <c r="AW512" i="11" a="1"/>
  <c r="AW512" i="11"/>
  <c r="AR512" i="11" a="1"/>
  <c r="AT512" i="11"/>
  <c r="AR512" i="11"/>
  <c r="AS512" i="11"/>
  <c r="AU512" i="11"/>
  <c r="AW511" i="11" a="1"/>
  <c r="AW511" i="11"/>
  <c r="AC513" i="11" a="1"/>
  <c r="AF513" i="11"/>
  <c r="AD513" i="11"/>
  <c r="AC513" i="11"/>
  <c r="AE513" i="11"/>
  <c r="AH513" i="11" a="1"/>
  <c r="AI513" i="11"/>
  <c r="AH513" i="11"/>
  <c r="AK513" i="11"/>
  <c r="AJ513" i="11"/>
  <c r="AM513" i="11" a="1"/>
  <c r="AP513" i="11"/>
  <c r="AN513" i="11"/>
  <c r="AO513" i="11"/>
  <c r="AM513" i="11"/>
  <c r="AR513" i="11" a="1"/>
  <c r="AU513" i="11"/>
  <c r="AS513" i="11"/>
  <c r="AR513" i="11"/>
  <c r="AT513" i="11"/>
  <c r="AC514" i="11" a="1"/>
  <c r="AC514" i="11"/>
  <c r="AD514" i="11"/>
  <c r="AF514" i="11"/>
  <c r="AE514" i="11"/>
  <c r="AH514" i="11" a="1"/>
  <c r="AK514" i="11"/>
  <c r="AI514" i="11"/>
  <c r="AH514" i="11"/>
  <c r="AJ514" i="11"/>
  <c r="AM514" i="11" a="1"/>
  <c r="AN514" i="11"/>
  <c r="AO514" i="11"/>
  <c r="AM514" i="11"/>
  <c r="AP514" i="11"/>
  <c r="AW514" i="11" a="1"/>
  <c r="AW514" i="11"/>
  <c r="AR514" i="11" a="1"/>
  <c r="AU514" i="11"/>
  <c r="AR514" i="11"/>
  <c r="AS514" i="11"/>
  <c r="AT514" i="11"/>
  <c r="AC515" i="11" a="1"/>
  <c r="AC515" i="11"/>
  <c r="AF515" i="11"/>
  <c r="AE515" i="11"/>
  <c r="AD515" i="11"/>
  <c r="AH515" i="11" a="1"/>
  <c r="AK515" i="11"/>
  <c r="AJ515" i="11"/>
  <c r="AH515" i="11"/>
  <c r="AI515" i="11"/>
  <c r="AM515" i="11" a="1"/>
  <c r="AP515" i="11"/>
  <c r="AN515" i="11"/>
  <c r="AO515" i="11"/>
  <c r="AM515" i="11"/>
  <c r="AW515" i="11" a="1"/>
  <c r="AW515" i="11"/>
  <c r="AR515" i="11" a="1"/>
  <c r="AT515" i="11"/>
  <c r="AR515" i="11"/>
  <c r="AU515" i="11"/>
  <c r="AS515" i="11"/>
  <c r="AC516" i="11" a="1"/>
  <c r="AE516" i="11"/>
  <c r="AC516" i="11"/>
  <c r="AF516" i="11"/>
  <c r="AD516" i="11"/>
  <c r="AH516" i="11" a="1"/>
  <c r="AH516" i="11"/>
  <c r="AK516" i="11"/>
  <c r="AI516" i="11"/>
  <c r="AJ516" i="11"/>
  <c r="AM516" i="11" a="1"/>
  <c r="AM516" i="11"/>
  <c r="AP516" i="11"/>
  <c r="AN516" i="11"/>
  <c r="AO516" i="11"/>
  <c r="AW516" i="11" a="1"/>
  <c r="AW516" i="11"/>
  <c r="AR516" i="11" a="1"/>
  <c r="AT516" i="11"/>
  <c r="AS516" i="11"/>
  <c r="AR516" i="11"/>
  <c r="AU516" i="11"/>
  <c r="AW513" i="11" a="1"/>
  <c r="AW513" i="11"/>
  <c r="AC517" i="11" a="1"/>
  <c r="AC517" i="11"/>
  <c r="AD517" i="11"/>
  <c r="AF517" i="11"/>
  <c r="AE517" i="11"/>
  <c r="AH517" i="11" a="1"/>
  <c r="AH517" i="11"/>
  <c r="AJ517" i="11"/>
  <c r="AI517" i="11"/>
  <c r="AK517" i="11"/>
  <c r="AM517" i="11" a="1"/>
  <c r="AO517" i="11"/>
  <c r="AP517" i="11"/>
  <c r="AM517" i="11"/>
  <c r="AN517" i="11"/>
  <c r="AR517" i="11" a="1"/>
  <c r="AR517" i="11"/>
  <c r="AU517" i="11"/>
  <c r="AT517" i="11"/>
  <c r="AS517" i="11"/>
  <c r="AC518" i="11" a="1"/>
  <c r="AC518" i="11"/>
  <c r="AF518" i="11"/>
  <c r="AE518" i="11"/>
  <c r="AD518" i="11"/>
  <c r="AH518" i="11" a="1"/>
  <c r="AH518" i="11"/>
  <c r="AJ518" i="11"/>
  <c r="AI518" i="11"/>
  <c r="AK518" i="11"/>
  <c r="AM518" i="11" a="1"/>
  <c r="AN518" i="11"/>
  <c r="AO518" i="11"/>
  <c r="AP518" i="11"/>
  <c r="AM518" i="11"/>
  <c r="AW518" i="11" a="1"/>
  <c r="AW518" i="11"/>
  <c r="AR518" i="11" a="1"/>
  <c r="AS518" i="11"/>
  <c r="AR518" i="11"/>
  <c r="AT518" i="11"/>
  <c r="AU518" i="11"/>
  <c r="AW517" i="11" a="1"/>
  <c r="AW517" i="11"/>
  <c r="AC519" i="11" a="1"/>
  <c r="AD519" i="11"/>
  <c r="AE519" i="11"/>
  <c r="AC519" i="11"/>
  <c r="AF519" i="11"/>
  <c r="AH519" i="11" a="1"/>
  <c r="AI519" i="11"/>
  <c r="AK519" i="11"/>
  <c r="AJ519" i="11"/>
  <c r="AH519" i="11"/>
  <c r="AM519" i="11" a="1"/>
  <c r="AM519" i="11"/>
  <c r="AO519" i="11"/>
  <c r="AP519" i="11"/>
  <c r="AN519" i="11"/>
  <c r="AR519" i="11" a="1"/>
  <c r="AT519" i="11"/>
  <c r="AU519" i="11"/>
  <c r="AR519" i="11"/>
  <c r="AS519" i="11"/>
  <c r="AC520" i="11" a="1"/>
  <c r="AE520" i="11"/>
  <c r="AF520" i="11"/>
  <c r="AC520" i="11"/>
  <c r="AD520" i="11"/>
  <c r="AH520" i="11" a="1"/>
  <c r="AI520" i="11"/>
  <c r="AH520" i="11"/>
  <c r="AK520" i="11"/>
  <c r="AJ520" i="11"/>
  <c r="AM520" i="11" a="1"/>
  <c r="AO520" i="11"/>
  <c r="AN520" i="11"/>
  <c r="AP520" i="11"/>
  <c r="AM520" i="11"/>
  <c r="AW520" i="11" a="1"/>
  <c r="AW520" i="11"/>
  <c r="AR520" i="11" a="1"/>
  <c r="AU520" i="11"/>
  <c r="AT520" i="11"/>
  <c r="AS520" i="11"/>
  <c r="AR520" i="11"/>
  <c r="AW519" i="11" a="1"/>
  <c r="AW519" i="11"/>
  <c r="AC521" i="11" a="1"/>
  <c r="AE521" i="11"/>
  <c r="AD521" i="11"/>
  <c r="AC521" i="11"/>
  <c r="AF521" i="11"/>
  <c r="AH521" i="11" a="1"/>
  <c r="AH521" i="11"/>
  <c r="AI521" i="11"/>
  <c r="AJ521" i="11"/>
  <c r="AK521" i="11"/>
  <c r="AM521" i="11" a="1"/>
  <c r="AO521" i="11"/>
  <c r="AM521" i="11"/>
  <c r="AP521" i="11"/>
  <c r="AN521" i="11"/>
  <c r="AR521" i="11" a="1"/>
  <c r="AT521" i="11"/>
  <c r="AR521" i="11"/>
  <c r="AS521" i="11"/>
  <c r="AU521" i="11"/>
  <c r="AC522" i="11" a="1"/>
  <c r="AF522" i="11"/>
  <c r="AE522" i="11"/>
  <c r="AC522" i="11"/>
  <c r="AD522" i="11"/>
  <c r="AH522" i="11" a="1"/>
  <c r="AI522" i="11"/>
  <c r="AH522" i="11"/>
  <c r="AJ522" i="11"/>
  <c r="AK522" i="11"/>
  <c r="AM522" i="11" a="1"/>
  <c r="AN522" i="11"/>
  <c r="AP522" i="11"/>
  <c r="AO522" i="11"/>
  <c r="AM522" i="11"/>
  <c r="AW522" i="11" a="1"/>
  <c r="AW522" i="11"/>
  <c r="AR522" i="11" a="1"/>
  <c r="AR522" i="11"/>
  <c r="AU522" i="11"/>
  <c r="AS522" i="11"/>
  <c r="AT522" i="11"/>
  <c r="AC523" i="11" a="1"/>
  <c r="AE523" i="11"/>
  <c r="AF523" i="11"/>
  <c r="AC523" i="11"/>
  <c r="AD523" i="11"/>
  <c r="AH523" i="11" a="1"/>
  <c r="AI523" i="11"/>
  <c r="AJ523" i="11"/>
  <c r="AK523" i="11"/>
  <c r="AH523" i="11"/>
  <c r="AM523" i="11" a="1"/>
  <c r="AP523" i="11"/>
  <c r="AN523" i="11"/>
  <c r="AM523" i="11"/>
  <c r="AO523" i="11"/>
  <c r="AW523" i="11" a="1"/>
  <c r="AW523" i="11"/>
  <c r="AR523" i="11" a="1"/>
  <c r="AT523" i="11"/>
  <c r="AR523" i="11"/>
  <c r="AS523" i="11"/>
  <c r="AU523" i="11"/>
  <c r="AC524" i="11" a="1"/>
  <c r="AF524" i="11"/>
  <c r="AE524" i="11"/>
  <c r="AC524" i="11"/>
  <c r="AD524" i="11"/>
  <c r="AH524" i="11" a="1"/>
  <c r="AH524" i="11"/>
  <c r="AI524" i="11"/>
  <c r="AJ524" i="11"/>
  <c r="AK524" i="11"/>
  <c r="AM524" i="11" a="1"/>
  <c r="AO524" i="11"/>
  <c r="AM524" i="11"/>
  <c r="AN524" i="11"/>
  <c r="AP524" i="11"/>
  <c r="AW524" i="11" a="1"/>
  <c r="AW524" i="11"/>
  <c r="AR524" i="11" a="1"/>
  <c r="AR524" i="11"/>
  <c r="AT524" i="11"/>
  <c r="AU524" i="11"/>
  <c r="AS524" i="11"/>
  <c r="AW521" i="11" a="1"/>
  <c r="AW521" i="11"/>
  <c r="AC525" i="11" a="1"/>
  <c r="AF525" i="11"/>
  <c r="AC525" i="11"/>
  <c r="AD525" i="11"/>
  <c r="AE525" i="11"/>
  <c r="AH525" i="11" a="1"/>
  <c r="AK525" i="11"/>
  <c r="AJ525" i="11"/>
  <c r="AI525" i="11"/>
  <c r="AH525" i="11"/>
  <c r="AM525" i="11" a="1"/>
  <c r="AO525" i="11"/>
  <c r="AM525" i="11"/>
  <c r="AP525" i="11"/>
  <c r="AN525" i="11"/>
  <c r="AR525" i="11" a="1"/>
  <c r="AT525" i="11"/>
  <c r="AU525" i="11"/>
  <c r="AR525" i="11"/>
  <c r="AS525" i="11"/>
  <c r="AC526" i="11" a="1"/>
  <c r="AF526" i="11"/>
  <c r="AD526" i="11"/>
  <c r="AE526" i="11"/>
  <c r="AC526" i="11"/>
  <c r="AH526" i="11" a="1"/>
  <c r="AI526" i="11"/>
  <c r="AJ526" i="11"/>
  <c r="AH526" i="11"/>
  <c r="AK526" i="11"/>
  <c r="AM526" i="11" a="1"/>
  <c r="AM526" i="11"/>
  <c r="AN526" i="11"/>
  <c r="AP526" i="11"/>
  <c r="AO526" i="11"/>
  <c r="AW526" i="11" a="1"/>
  <c r="AW526" i="11"/>
  <c r="AR526" i="11" a="1"/>
  <c r="AS526" i="11"/>
  <c r="AT526" i="11"/>
  <c r="AU526" i="11"/>
  <c r="AR526" i="11"/>
  <c r="AW525" i="11" a="1"/>
  <c r="AW525" i="11"/>
  <c r="AC527" i="11" a="1"/>
  <c r="AE527" i="11"/>
  <c r="AF527" i="11"/>
  <c r="AC527" i="11"/>
  <c r="AD527" i="11"/>
  <c r="AH527" i="11" a="1"/>
  <c r="AK527" i="11"/>
  <c r="AJ527" i="11"/>
  <c r="AH527" i="11"/>
  <c r="AI527" i="11"/>
  <c r="AM527" i="11" a="1"/>
  <c r="AN527" i="11"/>
  <c r="AP527" i="11"/>
  <c r="AM527" i="11"/>
  <c r="AO527" i="11"/>
  <c r="AR527" i="11" a="1"/>
  <c r="AU527" i="11"/>
  <c r="AS527" i="11"/>
  <c r="AT527" i="11"/>
  <c r="AR527" i="11"/>
  <c r="AC528" i="11" a="1"/>
  <c r="AD528" i="11"/>
  <c r="AC528" i="11"/>
  <c r="AE528" i="11"/>
  <c r="AF528" i="11"/>
  <c r="AH528" i="11" a="1"/>
  <c r="AK528" i="11"/>
  <c r="AH528" i="11"/>
  <c r="AI528" i="11"/>
  <c r="AJ528" i="11"/>
  <c r="AM528" i="11" a="1"/>
  <c r="AO528" i="11"/>
  <c r="AP528" i="11"/>
  <c r="AN528" i="11"/>
  <c r="AM528" i="11"/>
  <c r="AW528" i="11" a="1"/>
  <c r="AW528" i="11"/>
  <c r="AR528" i="11" a="1"/>
  <c r="AT528" i="11"/>
  <c r="AU528" i="11"/>
  <c r="AS528" i="11"/>
  <c r="AR528" i="11"/>
  <c r="AW527" i="11" a="1"/>
  <c r="AW527" i="11"/>
  <c r="AC529" i="11" a="1"/>
  <c r="AD529" i="11"/>
  <c r="AC529" i="11"/>
  <c r="AE529" i="11"/>
  <c r="AF529" i="11"/>
  <c r="AH529" i="11" a="1"/>
  <c r="AJ529" i="11"/>
  <c r="AI529" i="11"/>
  <c r="AH529" i="11"/>
  <c r="AK529" i="11"/>
  <c r="AM529" i="11" a="1"/>
  <c r="AN529" i="11"/>
  <c r="AM529" i="11"/>
  <c r="AP529" i="11"/>
  <c r="AO529" i="11"/>
  <c r="AR529" i="11" a="1"/>
  <c r="AS529" i="11"/>
  <c r="AU529" i="11"/>
  <c r="AT529" i="11"/>
  <c r="AR529" i="11"/>
  <c r="AC530" i="11" a="1"/>
  <c r="AE530" i="11"/>
  <c r="AD530" i="11"/>
  <c r="AF530" i="11"/>
  <c r="AC530" i="11"/>
  <c r="AH530" i="11" a="1"/>
  <c r="AK530" i="11"/>
  <c r="AH530" i="11"/>
  <c r="AI530" i="11"/>
  <c r="AJ530" i="11"/>
  <c r="AM530" i="11" a="1"/>
  <c r="AM530" i="11"/>
  <c r="AP530" i="11"/>
  <c r="AN530" i="11"/>
  <c r="AO530" i="11"/>
  <c r="AW530" i="11" a="1"/>
  <c r="AW530" i="11"/>
  <c r="AR530" i="11" a="1"/>
  <c r="AR530" i="11"/>
  <c r="AU530" i="11"/>
  <c r="AS530" i="11"/>
  <c r="AT530" i="11"/>
  <c r="AW529" i="11" a="1"/>
  <c r="AW529" i="11"/>
  <c r="AC531" i="11" a="1"/>
  <c r="AF531" i="11"/>
  <c r="AC531" i="11"/>
  <c r="AD531" i="11"/>
  <c r="AE531" i="11"/>
  <c r="AH531" i="11" a="1"/>
  <c r="AI531" i="11"/>
  <c r="AK531" i="11"/>
  <c r="AJ531" i="11"/>
  <c r="AH531" i="11"/>
  <c r="AM531" i="11" a="1"/>
  <c r="AM531" i="11"/>
  <c r="AN531" i="11"/>
  <c r="AO531" i="11"/>
  <c r="AP531" i="11"/>
  <c r="AR531" i="11" a="1"/>
  <c r="AT531" i="11"/>
  <c r="AR531" i="11"/>
  <c r="AS531" i="11"/>
  <c r="AU531" i="11"/>
  <c r="AC532" i="11" a="1"/>
  <c r="AE532" i="11"/>
  <c r="AF532" i="11"/>
  <c r="AC532" i="11"/>
  <c r="AD532" i="11"/>
  <c r="AH532" i="11" a="1"/>
  <c r="AK532" i="11"/>
  <c r="AI532" i="11"/>
  <c r="AH532" i="11"/>
  <c r="AJ532" i="11"/>
  <c r="AM532" i="11" a="1"/>
  <c r="AO532" i="11"/>
  <c r="AN532" i="11"/>
  <c r="AP532" i="11"/>
  <c r="AM532" i="11"/>
  <c r="AW532" i="11" a="1"/>
  <c r="AW532" i="11"/>
  <c r="AR532" i="11" a="1"/>
  <c r="AU532" i="11"/>
  <c r="AS532" i="11"/>
  <c r="AR532" i="11"/>
  <c r="AT532" i="11"/>
  <c r="AW531" i="11" a="1"/>
  <c r="AW531" i="11"/>
  <c r="AC533" i="11" a="1"/>
  <c r="AE533" i="11"/>
  <c r="AD533" i="11"/>
  <c r="AC533" i="11"/>
  <c r="AF533" i="11"/>
  <c r="AH533" i="11" a="1"/>
  <c r="AH533" i="11"/>
  <c r="AJ533" i="11"/>
  <c r="AK533" i="11"/>
  <c r="AI533" i="11"/>
  <c r="AM533" i="11" a="1"/>
  <c r="AP533" i="11"/>
  <c r="AN533" i="11"/>
  <c r="AM533" i="11"/>
  <c r="AO533" i="11"/>
  <c r="AR533" i="11" a="1"/>
  <c r="AR533" i="11"/>
  <c r="AT533" i="11"/>
  <c r="AU533" i="11"/>
  <c r="AS533" i="11"/>
  <c r="AC534" i="11" a="1"/>
  <c r="AE534" i="11"/>
  <c r="AD534" i="11"/>
  <c r="AC534" i="11"/>
  <c r="AF534" i="11"/>
  <c r="AH534" i="11" a="1"/>
  <c r="AK534" i="11"/>
  <c r="AJ534" i="11"/>
  <c r="AI534" i="11"/>
  <c r="AH534" i="11"/>
  <c r="AM534" i="11" a="1"/>
  <c r="AN534" i="11"/>
  <c r="AP534" i="11"/>
  <c r="AO534" i="11"/>
  <c r="AM534" i="11"/>
  <c r="AW534" i="11" a="1"/>
  <c r="AW534" i="11"/>
  <c r="AR534" i="11" a="1"/>
  <c r="AS534" i="11"/>
  <c r="AT534" i="11"/>
  <c r="AR534" i="11"/>
  <c r="AU534" i="11"/>
  <c r="AC535" i="11" a="1"/>
  <c r="AC535" i="11"/>
  <c r="AD535" i="11"/>
  <c r="AE535" i="11"/>
  <c r="AF535" i="11"/>
  <c r="AH535" i="11" a="1"/>
  <c r="AI535" i="11"/>
  <c r="AK535" i="11"/>
  <c r="AH535" i="11"/>
  <c r="AJ535" i="11"/>
  <c r="AM535" i="11" a="1"/>
  <c r="AN535" i="11"/>
  <c r="AO535" i="11"/>
  <c r="AP535" i="11"/>
  <c r="AM535" i="11"/>
  <c r="AW535" i="11" a="1"/>
  <c r="AW535" i="11"/>
  <c r="AR535" i="11" a="1"/>
  <c r="AR535" i="11"/>
  <c r="AU535" i="11"/>
  <c r="AS535" i="11"/>
  <c r="AT535" i="11"/>
  <c r="AC536" i="11" a="1"/>
  <c r="AE536" i="11"/>
  <c r="AC536" i="11"/>
  <c r="AD536" i="11"/>
  <c r="AF536" i="11"/>
  <c r="AH536" i="11" a="1"/>
  <c r="AK536" i="11"/>
  <c r="AJ536" i="11"/>
  <c r="AI536" i="11"/>
  <c r="AH536" i="11"/>
  <c r="AM536" i="11" a="1"/>
  <c r="AP536" i="11"/>
  <c r="AO536" i="11"/>
  <c r="AN536" i="11"/>
  <c r="AM536" i="11"/>
  <c r="AW536" i="11" a="1"/>
  <c r="AW536" i="11"/>
  <c r="AR536" i="11" a="1"/>
  <c r="AU536" i="11"/>
  <c r="AT536" i="11"/>
  <c r="AR536" i="11"/>
  <c r="AS536" i="11"/>
  <c r="AW533" i="11" a="1"/>
  <c r="AW533" i="11"/>
  <c r="AC537" i="11" a="1"/>
  <c r="AF537" i="11"/>
  <c r="AE537" i="11"/>
  <c r="AD537" i="11"/>
  <c r="AC537" i="11"/>
  <c r="AH537" i="11" a="1"/>
  <c r="AI537" i="11"/>
  <c r="AH537" i="11"/>
  <c r="AK537" i="11"/>
  <c r="AJ537" i="11"/>
  <c r="AM537" i="11" a="1"/>
  <c r="AP537" i="11"/>
  <c r="AN537" i="11"/>
  <c r="AO537" i="11"/>
  <c r="AM537" i="11"/>
  <c r="AR537" i="11" a="1"/>
  <c r="AU537" i="11"/>
  <c r="AR537" i="11"/>
  <c r="AT537" i="11"/>
  <c r="AS537" i="11"/>
  <c r="AC538" i="11" a="1"/>
  <c r="AD538" i="11"/>
  <c r="AE538" i="11"/>
  <c r="AF538" i="11"/>
  <c r="AC538" i="11"/>
  <c r="AH538" i="11" a="1"/>
  <c r="AJ538" i="11"/>
  <c r="AI538" i="11"/>
  <c r="AK538" i="11"/>
  <c r="AH538" i="11"/>
  <c r="AM538" i="11" a="1"/>
  <c r="AO538" i="11"/>
  <c r="AP538" i="11"/>
  <c r="AN538" i="11"/>
  <c r="AM538" i="11"/>
  <c r="AW538" i="11" a="1"/>
  <c r="AW538" i="11"/>
  <c r="AR538" i="11" a="1"/>
  <c r="AU538" i="11"/>
  <c r="AR538" i="11"/>
  <c r="AT538" i="11"/>
  <c r="AS538" i="11"/>
  <c r="AC539" i="11" a="1"/>
  <c r="AD539" i="11"/>
  <c r="AC539" i="11"/>
  <c r="AE539" i="11"/>
  <c r="AF539" i="11"/>
  <c r="AH539" i="11" a="1"/>
  <c r="AI539" i="11"/>
  <c r="AJ539" i="11"/>
  <c r="AK539" i="11"/>
  <c r="AH539" i="11"/>
  <c r="AM539" i="11" a="1"/>
  <c r="AP539" i="11"/>
  <c r="AN539" i="11"/>
  <c r="AM539" i="11"/>
  <c r="AO539" i="11"/>
  <c r="AW539" i="11" a="1"/>
  <c r="AW539" i="11"/>
  <c r="AR539" i="11" a="1"/>
  <c r="AT539" i="11"/>
  <c r="AS539" i="11"/>
  <c r="AR539" i="11"/>
  <c r="AU539" i="11"/>
  <c r="AC540" i="11" a="1"/>
  <c r="AC540" i="11"/>
  <c r="AE540" i="11"/>
  <c r="AD540" i="11"/>
  <c r="AF540" i="11"/>
  <c r="AH540" i="11" a="1"/>
  <c r="AI540" i="11"/>
  <c r="AK540" i="11"/>
  <c r="AH540" i="11"/>
  <c r="AJ540" i="11"/>
  <c r="AM540" i="11" a="1"/>
  <c r="AP540" i="11"/>
  <c r="AN540" i="11"/>
  <c r="AM540" i="11"/>
  <c r="AO540" i="11"/>
  <c r="AW540" i="11" a="1"/>
  <c r="AW540" i="11"/>
  <c r="AR540" i="11" a="1"/>
  <c r="AT540" i="11"/>
  <c r="AR540" i="11"/>
  <c r="AS540" i="11"/>
  <c r="AU540" i="11"/>
  <c r="AW537" i="11" a="1"/>
  <c r="AW537" i="11"/>
  <c r="AC541" i="11" a="1"/>
  <c r="AC541" i="11"/>
  <c r="AD541" i="11"/>
  <c r="AF541" i="11"/>
  <c r="AE541" i="11"/>
  <c r="AH541" i="11" a="1"/>
  <c r="AJ541" i="11"/>
  <c r="AI541" i="11"/>
  <c r="AH541" i="11"/>
  <c r="AK541" i="11"/>
  <c r="AM541" i="11" a="1"/>
  <c r="AM541" i="11"/>
  <c r="AO541" i="11"/>
  <c r="AP541" i="11"/>
  <c r="AN541" i="11"/>
  <c r="AR541" i="11" a="1"/>
  <c r="AS541" i="11"/>
  <c r="AT541" i="11"/>
  <c r="AU541" i="11"/>
  <c r="AR541" i="11"/>
  <c r="AC542" i="11" a="1"/>
  <c r="AF542" i="11"/>
  <c r="AC542" i="11"/>
  <c r="AE542" i="11"/>
  <c r="AD542" i="11"/>
  <c r="AH542" i="11" a="1"/>
  <c r="AI542" i="11"/>
  <c r="AK542" i="11"/>
  <c r="AJ542" i="11"/>
  <c r="AH542" i="11"/>
  <c r="AM542" i="11" a="1"/>
  <c r="AM542" i="11"/>
  <c r="AN542" i="11"/>
  <c r="AO542" i="11"/>
  <c r="AP542" i="11"/>
  <c r="AW542" i="11" a="1"/>
  <c r="AW542" i="11"/>
  <c r="AR542" i="11" a="1"/>
  <c r="AS542" i="11"/>
  <c r="AT542" i="11"/>
  <c r="AU542" i="11"/>
  <c r="AR542" i="11"/>
  <c r="AW541" i="11" a="1"/>
  <c r="AW541" i="11"/>
  <c r="AC543" i="11" a="1"/>
  <c r="AD543" i="11"/>
  <c r="AE543" i="11"/>
  <c r="AC543" i="11"/>
  <c r="AF543" i="11"/>
  <c r="AH543" i="11" a="1"/>
  <c r="AH543" i="11"/>
  <c r="AI543" i="11"/>
  <c r="AK543" i="11"/>
  <c r="AJ543" i="11"/>
  <c r="AM543" i="11" a="1"/>
  <c r="AP543" i="11"/>
  <c r="AN543" i="11"/>
  <c r="AM543" i="11"/>
  <c r="AO543" i="11"/>
  <c r="AR543" i="11" a="1"/>
  <c r="AS543" i="11"/>
  <c r="AT543" i="11"/>
  <c r="AU543" i="11"/>
  <c r="AR543" i="11"/>
  <c r="AC544" i="11" a="1"/>
  <c r="AD544" i="11"/>
  <c r="AF544" i="11"/>
  <c r="AC544" i="11"/>
  <c r="AE544" i="11"/>
  <c r="AH544" i="11" a="1"/>
  <c r="AI544" i="11"/>
  <c r="AK544" i="11"/>
  <c r="AJ544" i="11"/>
  <c r="AH544" i="11"/>
  <c r="AM544" i="11" a="1"/>
  <c r="AN544" i="11"/>
  <c r="AM544" i="11"/>
  <c r="AP544" i="11"/>
  <c r="AO544" i="11"/>
  <c r="AW544" i="11" a="1"/>
  <c r="AW544" i="11"/>
  <c r="AR544" i="11" a="1"/>
  <c r="AR544" i="11"/>
  <c r="AU544" i="11"/>
  <c r="AT544" i="11"/>
  <c r="AS544" i="11"/>
  <c r="AW543" i="11" a="1"/>
  <c r="AW543" i="11"/>
  <c r="AC545" i="11" a="1"/>
  <c r="AF545" i="11"/>
  <c r="AD545" i="11"/>
  <c r="AC545" i="11"/>
  <c r="AE545" i="11"/>
  <c r="AH545" i="11" a="1"/>
  <c r="AK545" i="11"/>
  <c r="AH545" i="11"/>
  <c r="AI545" i="11"/>
  <c r="AJ545" i="11"/>
  <c r="AM545" i="11" a="1"/>
  <c r="AN545" i="11"/>
  <c r="AO545" i="11"/>
  <c r="AM545" i="11"/>
  <c r="AP545" i="11"/>
  <c r="AR545" i="11" a="1"/>
  <c r="AS545" i="11"/>
  <c r="AU545" i="11"/>
  <c r="AT545" i="11"/>
  <c r="AR545" i="11"/>
  <c r="AC546" i="11" a="1"/>
  <c r="AF546" i="11"/>
  <c r="AC546" i="11"/>
  <c r="AE546" i="11"/>
  <c r="AD546" i="11"/>
  <c r="AH546" i="11" a="1"/>
  <c r="AH546" i="11"/>
  <c r="AJ546" i="11"/>
  <c r="AI546" i="11"/>
  <c r="AK546" i="11"/>
  <c r="AM546" i="11" a="1"/>
  <c r="AO546" i="11"/>
  <c r="AN546" i="11"/>
  <c r="AP546" i="11"/>
  <c r="AM546" i="11"/>
  <c r="AW546" i="11" a="1"/>
  <c r="AW546" i="11"/>
  <c r="AR546" i="11" a="1"/>
  <c r="AS546" i="11"/>
  <c r="AR546" i="11"/>
  <c r="AT546" i="11"/>
  <c r="AU546" i="11"/>
  <c r="AC547" i="11" a="1"/>
  <c r="AC547" i="11"/>
  <c r="AF547" i="11"/>
  <c r="AD547" i="11"/>
  <c r="AE547" i="11"/>
  <c r="AH547" i="11" a="1"/>
  <c r="AK547" i="11"/>
  <c r="AJ547" i="11"/>
  <c r="AH547" i="11"/>
  <c r="AI547" i="11"/>
  <c r="AM547" i="11" a="1"/>
  <c r="AO547" i="11"/>
  <c r="AP547" i="11"/>
  <c r="AN547" i="11"/>
  <c r="AM547" i="11"/>
  <c r="AW547" i="11" a="1"/>
  <c r="AW547" i="11"/>
  <c r="AR547" i="11" a="1"/>
  <c r="AT547" i="11"/>
  <c r="AS547" i="11"/>
  <c r="AR547" i="11"/>
  <c r="AU547" i="11"/>
  <c r="AC548" i="11" a="1"/>
  <c r="AE548" i="11"/>
  <c r="AF548" i="11"/>
  <c r="AD548" i="11"/>
  <c r="AC548" i="11"/>
  <c r="AH548" i="11" a="1"/>
  <c r="AK548" i="11"/>
  <c r="AI548" i="11"/>
  <c r="AJ548" i="11"/>
  <c r="AH548" i="11"/>
  <c r="AM548" i="11" a="1"/>
  <c r="AM548" i="11"/>
  <c r="AN548" i="11"/>
  <c r="AO548" i="11"/>
  <c r="AP548" i="11"/>
  <c r="AW548" i="11" a="1"/>
  <c r="AW548" i="11"/>
  <c r="AR548" i="11" a="1"/>
  <c r="AT548" i="11"/>
  <c r="AS548" i="11"/>
  <c r="AR548" i="11"/>
  <c r="AU548" i="11"/>
  <c r="AW545" i="11" a="1"/>
  <c r="AW545" i="11"/>
  <c r="AC549" i="11" a="1"/>
  <c r="AC549" i="11"/>
  <c r="AE549" i="11"/>
  <c r="AD549" i="11"/>
  <c r="AF549" i="11"/>
  <c r="AH549" i="11" a="1"/>
  <c r="AJ549" i="11"/>
  <c r="AH549" i="11"/>
  <c r="AI549" i="11"/>
  <c r="AK549" i="11"/>
  <c r="AM549" i="11" a="1"/>
  <c r="AO549" i="11"/>
  <c r="AN549" i="11"/>
  <c r="AP549" i="11"/>
  <c r="AM549" i="11"/>
  <c r="AR549" i="11" a="1"/>
  <c r="AS549" i="11"/>
  <c r="AT549" i="11"/>
  <c r="AR549" i="11"/>
  <c r="AU549" i="11"/>
  <c r="AC550" i="11" a="1"/>
  <c r="AD550" i="11"/>
  <c r="AE550" i="11"/>
  <c r="AF550" i="11"/>
  <c r="AC550" i="11"/>
  <c r="AH550" i="11" a="1"/>
  <c r="AI550" i="11"/>
  <c r="AJ550" i="11"/>
  <c r="AK550" i="11"/>
  <c r="AH550" i="11"/>
  <c r="AM550" i="11" a="1"/>
  <c r="AP550" i="11"/>
  <c r="AM550" i="11"/>
  <c r="AN550" i="11"/>
  <c r="AO550" i="11"/>
  <c r="AR550" i="11" a="1"/>
  <c r="AR550" i="11"/>
  <c r="AU550" i="11"/>
  <c r="AS550" i="11"/>
  <c r="AT550" i="11"/>
  <c r="AC551" i="11" a="1"/>
  <c r="AE551" i="11"/>
  <c r="AD551" i="11"/>
  <c r="AF551" i="11"/>
  <c r="AC551" i="11"/>
  <c r="AH551" i="11" a="1"/>
  <c r="AH551" i="11"/>
  <c r="AJ551" i="11"/>
  <c r="AK551" i="11"/>
  <c r="AI551" i="11"/>
  <c r="AM551" i="11" a="1"/>
  <c r="AM551" i="11"/>
  <c r="AO551" i="11"/>
  <c r="AP551" i="11"/>
  <c r="AN551" i="11"/>
  <c r="AW551" i="11" a="1"/>
  <c r="AW551" i="11"/>
  <c r="AR551" i="11" a="1"/>
  <c r="AT551" i="11"/>
  <c r="AS551" i="11"/>
  <c r="AR551" i="11"/>
  <c r="AU551" i="11"/>
  <c r="AC552" i="11" a="1"/>
  <c r="AC552" i="11"/>
  <c r="AE552" i="11"/>
  <c r="AD552" i="11"/>
  <c r="AF552" i="11"/>
  <c r="AH552" i="11" a="1"/>
  <c r="AH552" i="11"/>
  <c r="AK552" i="11"/>
  <c r="AJ552" i="11"/>
  <c r="AI552" i="11"/>
  <c r="AM552" i="11" a="1"/>
  <c r="AP552" i="11"/>
  <c r="AO552" i="11"/>
  <c r="AM552" i="11"/>
  <c r="AN552" i="11"/>
  <c r="AW552" i="11" a="1"/>
  <c r="AW552" i="11"/>
  <c r="AW550" i="11" a="1"/>
  <c r="AW550" i="11"/>
  <c r="AR552" i="11" a="1"/>
  <c r="AS552" i="11"/>
  <c r="AU552" i="11"/>
  <c r="AR552" i="11"/>
  <c r="AT552" i="11"/>
  <c r="AW549" i="11" a="1"/>
  <c r="AW549" i="11"/>
  <c r="AC553" i="11" a="1"/>
  <c r="AE553" i="11"/>
  <c r="AC553" i="11"/>
  <c r="AF553" i="11"/>
  <c r="AD553" i="11"/>
  <c r="AH553" i="11" a="1"/>
  <c r="AH553" i="11"/>
  <c r="AK553" i="11"/>
  <c r="AJ553" i="11"/>
  <c r="AI553" i="11"/>
  <c r="AM553" i="11" a="1"/>
  <c r="AO553" i="11"/>
  <c r="AP553" i="11"/>
  <c r="AN553" i="11"/>
  <c r="AM553" i="11"/>
  <c r="AR553" i="11" a="1"/>
  <c r="AS553" i="11"/>
  <c r="AT553" i="11"/>
  <c r="AR553" i="11"/>
  <c r="AU553" i="11"/>
  <c r="AC554" i="11" a="1"/>
  <c r="AE554" i="11"/>
  <c r="AF554" i="11"/>
  <c r="AD554" i="11"/>
  <c r="AC554" i="11"/>
  <c r="AH554" i="11" a="1"/>
  <c r="AJ554" i="11"/>
  <c r="AK554" i="11"/>
  <c r="AH554" i="11"/>
  <c r="AI554" i="11"/>
  <c r="AM554" i="11" a="1"/>
  <c r="AP554" i="11"/>
  <c r="AO554" i="11"/>
  <c r="AN554" i="11"/>
  <c r="AM554" i="11"/>
  <c r="AW554" i="11" a="1"/>
  <c r="AW554" i="11"/>
  <c r="AR554" i="11" a="1"/>
  <c r="AU554" i="11"/>
  <c r="AS554" i="11"/>
  <c r="AR554" i="11"/>
  <c r="AT554" i="11"/>
  <c r="AC555" i="11" a="1"/>
  <c r="AE555" i="11"/>
  <c r="AD555" i="11"/>
  <c r="AF555" i="11"/>
  <c r="AC555" i="11"/>
  <c r="AH555" i="11" a="1"/>
  <c r="AI555" i="11"/>
  <c r="AH555" i="11"/>
  <c r="AK555" i="11"/>
  <c r="AJ555" i="11"/>
  <c r="AM555" i="11" a="1"/>
  <c r="AM555" i="11"/>
  <c r="AN555" i="11"/>
  <c r="AO555" i="11"/>
  <c r="AP555" i="11"/>
  <c r="AW555" i="11" a="1"/>
  <c r="AW555" i="11"/>
  <c r="AR555" i="11" a="1"/>
  <c r="AT555" i="11"/>
  <c r="AR555" i="11"/>
  <c r="AU555" i="11"/>
  <c r="AS555" i="11"/>
  <c r="AC556" i="11" a="1"/>
  <c r="AE556" i="11"/>
  <c r="AF556" i="11"/>
  <c r="AC556" i="11"/>
  <c r="AD556" i="11"/>
  <c r="AH556" i="11" a="1"/>
  <c r="AK556" i="11"/>
  <c r="AJ556" i="11"/>
  <c r="AI556" i="11"/>
  <c r="AH556" i="11"/>
  <c r="AM556" i="11" a="1"/>
  <c r="AP556" i="11"/>
  <c r="AN556" i="11"/>
  <c r="AO556" i="11"/>
  <c r="AM556" i="11"/>
  <c r="AW556" i="11" a="1"/>
  <c r="AW556" i="11"/>
  <c r="AR556" i="11" a="1"/>
  <c r="AT556" i="11"/>
  <c r="AU556" i="11"/>
  <c r="AS556" i="11"/>
  <c r="AR556" i="11"/>
  <c r="AC557" i="11" a="1"/>
  <c r="AC557" i="11"/>
  <c r="AD557" i="11"/>
  <c r="AE557" i="11"/>
  <c r="AF557" i="11"/>
  <c r="AH557" i="11" a="1"/>
  <c r="AH557" i="11"/>
  <c r="AJ557" i="11"/>
  <c r="AI557" i="11"/>
  <c r="AK557" i="11"/>
  <c r="AM557" i="11" a="1"/>
  <c r="AO557" i="11"/>
  <c r="AM557" i="11"/>
  <c r="AN557" i="11"/>
  <c r="AP557" i="11"/>
  <c r="AW557" i="11" a="1"/>
  <c r="AW557" i="11"/>
  <c r="AR557" i="11" a="1"/>
  <c r="AU557" i="11"/>
  <c r="AT557" i="11"/>
  <c r="AS557" i="11"/>
  <c r="AR557" i="11"/>
  <c r="AC558" i="11" a="1"/>
  <c r="AC558" i="11"/>
  <c r="AF558" i="11"/>
  <c r="AD558" i="11"/>
  <c r="AE558" i="11"/>
  <c r="AH558" i="11" a="1"/>
  <c r="AJ558" i="11"/>
  <c r="AH558" i="11"/>
  <c r="AI558" i="11"/>
  <c r="AK558" i="11"/>
  <c r="AM558" i="11" a="1"/>
  <c r="AP558" i="11"/>
  <c r="AM558" i="11"/>
  <c r="AO558" i="11"/>
  <c r="AN558" i="11"/>
  <c r="AW558" i="11" a="1"/>
  <c r="AW558" i="11"/>
  <c r="AR558" i="11" a="1"/>
  <c r="AR558" i="11"/>
  <c r="AU558" i="11"/>
  <c r="AS558" i="11"/>
  <c r="AT558" i="11"/>
  <c r="AC559" i="11" a="1"/>
  <c r="AF559" i="11"/>
  <c r="AE559" i="11"/>
  <c r="AD559" i="11"/>
  <c r="AC559" i="11"/>
  <c r="AH559" i="11" a="1"/>
  <c r="AK559" i="11"/>
  <c r="AJ559" i="11"/>
  <c r="AI559" i="11"/>
  <c r="AH559" i="11"/>
  <c r="AM559" i="11" a="1"/>
  <c r="AN559" i="11"/>
  <c r="AM559" i="11"/>
  <c r="AO559" i="11"/>
  <c r="AP559" i="11"/>
  <c r="AW559" i="11" a="1"/>
  <c r="AW559" i="11"/>
  <c r="AR559" i="11" a="1"/>
  <c r="AS559" i="11"/>
  <c r="AT559" i="11"/>
  <c r="AU559" i="11"/>
  <c r="AR559" i="11"/>
  <c r="AC560" i="11" a="1"/>
  <c r="AF560" i="11"/>
  <c r="AE560" i="11"/>
  <c r="AD560" i="11"/>
  <c r="AC560" i="11"/>
  <c r="AH560" i="11" a="1"/>
  <c r="AK560" i="11"/>
  <c r="AJ560" i="11"/>
  <c r="AI560" i="11"/>
  <c r="AH560" i="11"/>
  <c r="AM560" i="11" a="1"/>
  <c r="AO560" i="11"/>
  <c r="AN560" i="11"/>
  <c r="AP560" i="11"/>
  <c r="AM560" i="11"/>
  <c r="AW560" i="11" a="1"/>
  <c r="AW560" i="11"/>
  <c r="AR560" i="11" a="1"/>
  <c r="AU560" i="11"/>
  <c r="AS560" i="11"/>
  <c r="AR560" i="11"/>
  <c r="AT560" i="11"/>
  <c r="AW553" i="11" a="1"/>
  <c r="AW553" i="11"/>
  <c r="AC561" i="11" a="1"/>
  <c r="AE561" i="11"/>
  <c r="AC561" i="11"/>
  <c r="AD561" i="11"/>
  <c r="AF561" i="11"/>
  <c r="AH561" i="11" a="1"/>
  <c r="AJ561" i="11"/>
  <c r="AH561" i="11"/>
  <c r="AI561" i="11"/>
  <c r="AK561" i="11"/>
  <c r="AM561" i="11" a="1"/>
  <c r="AN561" i="11"/>
  <c r="AP561" i="11"/>
  <c r="AM561" i="11"/>
  <c r="AO561" i="11"/>
  <c r="AR561" i="11" a="1"/>
  <c r="AS561" i="11"/>
  <c r="AU561" i="11"/>
  <c r="AT561" i="11"/>
  <c r="AR561" i="11"/>
  <c r="AC562" i="11" a="1"/>
  <c r="AD562" i="11"/>
  <c r="AC562" i="11"/>
  <c r="AE562" i="11"/>
  <c r="AF562" i="11"/>
  <c r="AH562" i="11" a="1"/>
  <c r="AH562" i="11"/>
  <c r="AJ562" i="11"/>
  <c r="AI562" i="11"/>
  <c r="AK562" i="11"/>
  <c r="AM562" i="11" a="1"/>
  <c r="AM562" i="11"/>
  <c r="AN562" i="11"/>
  <c r="AP562" i="11"/>
  <c r="AO562" i="11"/>
  <c r="AW562" i="11" a="1"/>
  <c r="AW562" i="11"/>
  <c r="AR562" i="11" a="1"/>
  <c r="AR562" i="11"/>
  <c r="AT562" i="11"/>
  <c r="AS562" i="11"/>
  <c r="AU562" i="11"/>
  <c r="AC563" i="11" a="1"/>
  <c r="AD563" i="11"/>
  <c r="AC563" i="11"/>
  <c r="AF563" i="11"/>
  <c r="AE563" i="11"/>
  <c r="AH563" i="11" a="1"/>
  <c r="AJ563" i="11"/>
  <c r="AH563" i="11"/>
  <c r="AK563" i="11"/>
  <c r="AI563" i="11"/>
  <c r="AM563" i="11" a="1"/>
  <c r="AN563" i="11"/>
  <c r="AP563" i="11"/>
  <c r="AM563" i="11"/>
  <c r="AO563" i="11"/>
  <c r="AW563" i="11" a="1"/>
  <c r="AW563" i="11"/>
  <c r="AR563" i="11" a="1"/>
  <c r="AT563" i="11"/>
  <c r="AU563" i="11"/>
  <c r="AR563" i="11"/>
  <c r="AS563" i="11"/>
  <c r="AC564" i="11" a="1"/>
  <c r="AC564" i="11"/>
  <c r="AE564" i="11"/>
  <c r="AF564" i="11"/>
  <c r="AD564" i="11"/>
  <c r="AH564" i="11" a="1"/>
  <c r="AK564" i="11"/>
  <c r="AI564" i="11"/>
  <c r="AJ564" i="11"/>
  <c r="AH564" i="11"/>
  <c r="AM564" i="11" a="1"/>
  <c r="AM564" i="11"/>
  <c r="AP564" i="11"/>
  <c r="AN564" i="11"/>
  <c r="AO564" i="11"/>
  <c r="AW564" i="11" a="1"/>
  <c r="AW564" i="11"/>
  <c r="AR564" i="11" a="1"/>
  <c r="AS564" i="11"/>
  <c r="AU564" i="11"/>
  <c r="AT564" i="11"/>
  <c r="AR564" i="11"/>
  <c r="AW561" i="11" a="1"/>
  <c r="AW561" i="11"/>
  <c r="AC565" i="11" a="1"/>
  <c r="AD565" i="11"/>
  <c r="AC565" i="11"/>
  <c r="AF565" i="11"/>
  <c r="AE565" i="11"/>
  <c r="AH565" i="11" a="1"/>
  <c r="AK565" i="11"/>
  <c r="AI565" i="11"/>
  <c r="AJ565" i="11"/>
  <c r="AH565" i="11"/>
  <c r="AM565" i="11" a="1"/>
  <c r="AN565" i="11"/>
  <c r="AM565" i="11"/>
  <c r="AO565" i="11"/>
  <c r="AP565" i="11"/>
  <c r="AR565" i="11" a="1"/>
  <c r="AT565" i="11"/>
  <c r="AR565" i="11"/>
  <c r="AU565" i="11"/>
  <c r="AS565" i="11"/>
  <c r="AW565" i="11" a="1"/>
  <c r="AW565" i="11"/>
  <c r="AC566" i="11" a="1"/>
  <c r="AF566" i="11"/>
  <c r="AD566" i="11"/>
  <c r="AC566" i="11"/>
  <c r="AE566" i="11"/>
  <c r="AH566" i="11" a="1"/>
  <c r="AH566" i="11"/>
  <c r="AJ566" i="11"/>
  <c r="AK566" i="11"/>
  <c r="AI566" i="11"/>
  <c r="AM566" i="11" a="1"/>
  <c r="AM566" i="11"/>
  <c r="AO566" i="11"/>
  <c r="AP566" i="11"/>
  <c r="AN566" i="11"/>
  <c r="AR566" i="11" a="1"/>
  <c r="AT566" i="11"/>
  <c r="AS566" i="11"/>
  <c r="AR566" i="11"/>
  <c r="AU566" i="11"/>
  <c r="AW566" i="11" a="1"/>
  <c r="AW566" i="11"/>
  <c r="AC567" i="11" a="1"/>
  <c r="AE567" i="11"/>
  <c r="AC567" i="11"/>
  <c r="AD567" i="11"/>
  <c r="AF567" i="11"/>
  <c r="AH567" i="11" a="1"/>
  <c r="AK567" i="11"/>
  <c r="AI567" i="11"/>
  <c r="AJ567" i="11"/>
  <c r="AH567" i="11"/>
  <c r="AM567" i="11" a="1"/>
  <c r="AP567" i="11"/>
  <c r="AN567" i="11"/>
  <c r="AM567" i="11"/>
  <c r="AO567" i="11"/>
  <c r="AR567" i="11" a="1"/>
  <c r="AU567" i="11"/>
  <c r="AR567" i="11"/>
  <c r="AT567" i="11"/>
  <c r="AS567" i="11"/>
  <c r="AC568" i="11" a="1"/>
  <c r="AE568" i="11"/>
  <c r="AF568" i="11"/>
  <c r="AD568" i="11"/>
  <c r="AC568" i="11"/>
  <c r="AH568" i="11" a="1"/>
  <c r="AJ568" i="11"/>
  <c r="AI568" i="11"/>
  <c r="AK568" i="11"/>
  <c r="AH568" i="11"/>
  <c r="AM568" i="11" a="1"/>
  <c r="AN568" i="11"/>
  <c r="AO568" i="11"/>
  <c r="AP568" i="11"/>
  <c r="AM568" i="11"/>
  <c r="AW568" i="11" a="1"/>
  <c r="AW568" i="11"/>
  <c r="AR568" i="11" a="1"/>
  <c r="AR568" i="11"/>
  <c r="AT568" i="11"/>
  <c r="AU568" i="11"/>
  <c r="AS568" i="11"/>
  <c r="AW567" i="11" a="1"/>
  <c r="AW567" i="11"/>
  <c r="AC569" i="11" a="1"/>
  <c r="AF569" i="11"/>
  <c r="AD569" i="11"/>
  <c r="AC569" i="11"/>
  <c r="AE569" i="11"/>
  <c r="AH569" i="11" a="1"/>
  <c r="AI569" i="11"/>
  <c r="AH569" i="11"/>
  <c r="AK569" i="11"/>
  <c r="AJ569" i="11"/>
  <c r="AM569" i="11" a="1"/>
  <c r="AN569" i="11"/>
  <c r="AM569" i="11"/>
  <c r="AP569" i="11"/>
  <c r="AO569" i="11"/>
  <c r="AR569" i="11" a="1"/>
  <c r="AR569" i="11"/>
  <c r="AS569" i="11"/>
  <c r="AT569" i="11"/>
  <c r="AU569" i="11"/>
  <c r="AC570" i="11" a="1"/>
  <c r="AE570" i="11"/>
  <c r="AF570" i="11"/>
  <c r="AC570" i="11"/>
  <c r="AD570" i="11"/>
  <c r="AH570" i="11" a="1"/>
  <c r="AI570" i="11"/>
  <c r="AK570" i="11"/>
  <c r="AJ570" i="11"/>
  <c r="AH570" i="11"/>
  <c r="AM570" i="11" a="1"/>
  <c r="AO570" i="11"/>
  <c r="AM570" i="11"/>
  <c r="AP570" i="11"/>
  <c r="AN570" i="11"/>
  <c r="AW570" i="11" a="1"/>
  <c r="AW570" i="11"/>
  <c r="AR570" i="11" a="1"/>
  <c r="AT570" i="11"/>
  <c r="AS570" i="11"/>
  <c r="AR570" i="11"/>
  <c r="AU570" i="11"/>
  <c r="AW569" i="11" a="1"/>
  <c r="AW569" i="11"/>
  <c r="AC571" i="11" a="1"/>
  <c r="AC571" i="11"/>
  <c r="AF571" i="11"/>
  <c r="AE571" i="11"/>
  <c r="AD571" i="11"/>
  <c r="AH571" i="11" a="1"/>
  <c r="AI571" i="11"/>
  <c r="AJ571" i="11"/>
  <c r="AK571" i="11"/>
  <c r="AH571" i="11"/>
  <c r="AM571" i="11" a="1"/>
  <c r="AP571" i="11"/>
  <c r="AM571" i="11"/>
  <c r="AN571" i="11"/>
  <c r="AO571" i="11"/>
  <c r="AR571" i="11" a="1"/>
  <c r="AS571" i="11"/>
  <c r="AT571" i="11"/>
  <c r="AR571" i="11"/>
  <c r="AU571" i="11"/>
  <c r="AC572" i="11" a="1"/>
  <c r="AF572" i="11"/>
  <c r="AE572" i="11"/>
  <c r="AC572" i="11"/>
  <c r="AD572" i="11"/>
  <c r="AH572" i="11" a="1"/>
  <c r="AJ572" i="11"/>
  <c r="AK572" i="11"/>
  <c r="AI572" i="11"/>
  <c r="AH572" i="11"/>
  <c r="AM572" i="11" a="1"/>
  <c r="AM572" i="11"/>
  <c r="AO572" i="11"/>
  <c r="AP572" i="11"/>
  <c r="AN572" i="11"/>
  <c r="AW572" i="11" a="1"/>
  <c r="AW572" i="11"/>
  <c r="AR572" i="11" a="1"/>
  <c r="AR572" i="11"/>
  <c r="AU572" i="11"/>
  <c r="AT572" i="11"/>
  <c r="AS572" i="11"/>
  <c r="AW571" i="11" a="1"/>
  <c r="AW571" i="11"/>
  <c r="AC573" i="11" a="1"/>
  <c r="AC573" i="11"/>
  <c r="AE573" i="11"/>
  <c r="AF573" i="11"/>
  <c r="AD573" i="11"/>
  <c r="AH573" i="11" a="1"/>
  <c r="AK573" i="11"/>
  <c r="AI573" i="11"/>
  <c r="AH573" i="11"/>
  <c r="AJ573" i="11"/>
  <c r="AM573" i="11" a="1"/>
  <c r="AO573" i="11"/>
  <c r="AM573" i="11"/>
  <c r="AN573" i="11"/>
  <c r="AP573" i="11"/>
  <c r="AR573" i="11" a="1"/>
  <c r="AU573" i="11"/>
  <c r="AS573" i="11"/>
  <c r="AT573" i="11"/>
  <c r="AR573" i="11"/>
  <c r="AC574" i="11" a="1"/>
  <c r="AF574" i="11"/>
  <c r="AD574" i="11"/>
  <c r="AC574" i="11"/>
  <c r="AE574" i="11"/>
  <c r="AH574" i="11" a="1"/>
  <c r="AK574" i="11"/>
  <c r="AJ574" i="11"/>
  <c r="AH574" i="11"/>
  <c r="AI574" i="11"/>
  <c r="AM574" i="11" a="1"/>
  <c r="AN574" i="11"/>
  <c r="AO574" i="11"/>
  <c r="AM574" i="11"/>
  <c r="AP574" i="11"/>
  <c r="AW574" i="11" a="1"/>
  <c r="AW574" i="11"/>
  <c r="AR574" i="11" a="1"/>
  <c r="AU574" i="11"/>
  <c r="AT574" i="11"/>
  <c r="AR574" i="11"/>
  <c r="AS574" i="11"/>
  <c r="AW573" i="11" a="1"/>
  <c r="AW573" i="11"/>
  <c r="AC575" i="11" a="1"/>
  <c r="AD575" i="11"/>
  <c r="AF575" i="11"/>
  <c r="AE575" i="11"/>
  <c r="AC575" i="11"/>
  <c r="AH575" i="11" a="1"/>
  <c r="AI575" i="11"/>
  <c r="AK575" i="11"/>
  <c r="AH575" i="11"/>
  <c r="AJ575" i="11"/>
  <c r="AM575" i="11" a="1"/>
  <c r="AP575" i="11"/>
  <c r="AM575" i="11"/>
  <c r="AO575" i="11"/>
  <c r="AN575" i="11"/>
  <c r="AR575" i="11" a="1"/>
  <c r="AU575" i="11"/>
  <c r="AS575" i="11"/>
  <c r="AT575" i="11"/>
  <c r="AR575" i="11"/>
  <c r="AC576" i="11" a="1"/>
  <c r="AD576" i="11"/>
  <c r="AC576" i="11"/>
  <c r="AE576" i="11"/>
  <c r="AF576" i="11"/>
  <c r="AH576" i="11" a="1"/>
  <c r="AK576" i="11"/>
  <c r="AI576" i="11"/>
  <c r="AH576" i="11"/>
  <c r="AJ576" i="11"/>
  <c r="AM576" i="11" a="1"/>
  <c r="AN576" i="11"/>
  <c r="AO576" i="11"/>
  <c r="AM576" i="11"/>
  <c r="AP576" i="11"/>
  <c r="AW576" i="11" a="1"/>
  <c r="AW576" i="11"/>
  <c r="AR576" i="11" a="1"/>
  <c r="AR576" i="11"/>
  <c r="AS576" i="11"/>
  <c r="AU576" i="11"/>
  <c r="AT576" i="11"/>
  <c r="AW575" i="11" a="1"/>
  <c r="AW575" i="11"/>
  <c r="AC577" i="11" a="1"/>
  <c r="AC577" i="11"/>
  <c r="AD577" i="11"/>
  <c r="AF577" i="11"/>
  <c r="AE577" i="11"/>
  <c r="AH577" i="11" a="1"/>
  <c r="AH577" i="11"/>
  <c r="AJ577" i="11"/>
  <c r="AK577" i="11"/>
  <c r="AI577" i="11"/>
  <c r="AM577" i="11" a="1"/>
  <c r="AP577" i="11"/>
  <c r="AN577" i="11"/>
  <c r="AO577" i="11"/>
  <c r="AM577" i="11"/>
  <c r="AR577" i="11" a="1"/>
  <c r="AT577" i="11"/>
  <c r="AS577" i="11"/>
  <c r="AU577" i="11"/>
  <c r="AR577" i="11"/>
  <c r="AC578" i="11" a="1"/>
  <c r="AF578" i="11"/>
  <c r="AE578" i="11"/>
  <c r="AC578" i="11"/>
  <c r="AD578" i="11"/>
  <c r="AH578" i="11" a="1"/>
  <c r="AK578" i="11"/>
  <c r="AJ578" i="11"/>
  <c r="AI578" i="11"/>
  <c r="AH578" i="11"/>
  <c r="AM578" i="11" a="1"/>
  <c r="AM578" i="11"/>
  <c r="AO578" i="11"/>
  <c r="AP578" i="11"/>
  <c r="AN578" i="11"/>
  <c r="AW578" i="11" a="1"/>
  <c r="AW578" i="11"/>
  <c r="AR578" i="11" a="1"/>
  <c r="AS578" i="11"/>
  <c r="AR578" i="11"/>
  <c r="AT578" i="11"/>
  <c r="AU578" i="11"/>
  <c r="AC579" i="11" a="1"/>
  <c r="AF579" i="11"/>
  <c r="AE579" i="11"/>
  <c r="AD579" i="11"/>
  <c r="AC579" i="11"/>
  <c r="AH579" i="11" a="1"/>
  <c r="AJ579" i="11"/>
  <c r="AI579" i="11"/>
  <c r="AH579" i="11"/>
  <c r="AK579" i="11"/>
  <c r="AM579" i="11" a="1"/>
  <c r="AP579" i="11"/>
  <c r="AN579" i="11"/>
  <c r="AO579" i="11"/>
  <c r="AM579" i="11"/>
  <c r="AW579" i="11" a="1"/>
  <c r="AW579" i="11"/>
  <c r="AR579" i="11" a="1"/>
  <c r="AS579" i="11"/>
  <c r="AR579" i="11"/>
  <c r="AT579" i="11"/>
  <c r="AU579" i="11"/>
  <c r="AC580" i="11" a="1"/>
  <c r="AD580" i="11"/>
  <c r="AC580" i="11"/>
  <c r="AE580" i="11"/>
  <c r="AF580" i="11"/>
  <c r="AH580" i="11" a="1"/>
  <c r="AH580" i="11"/>
  <c r="AI580" i="11"/>
  <c r="AJ580" i="11"/>
  <c r="AK580" i="11"/>
  <c r="AM580" i="11" a="1"/>
  <c r="AN580" i="11"/>
  <c r="AP580" i="11"/>
  <c r="AO580" i="11"/>
  <c r="AM580" i="11"/>
  <c r="AW580" i="11" a="1"/>
  <c r="AW580" i="11"/>
  <c r="AR580" i="11" a="1"/>
  <c r="AR580" i="11"/>
  <c r="AS580" i="11"/>
  <c r="AT580" i="11"/>
  <c r="AU580" i="11"/>
  <c r="AW577" i="11" a="1"/>
  <c r="AW577" i="11"/>
  <c r="AC581" i="11" a="1"/>
  <c r="AE581" i="11"/>
  <c r="AC581" i="11"/>
  <c r="AD581" i="11"/>
  <c r="AF581" i="11"/>
  <c r="AH581" i="11" a="1"/>
  <c r="AI581" i="11"/>
  <c r="AH581" i="11"/>
  <c r="AJ581" i="11"/>
  <c r="AK581" i="11"/>
  <c r="AM581" i="11" a="1"/>
  <c r="AN581" i="11"/>
  <c r="AM581" i="11"/>
  <c r="AO581" i="11"/>
  <c r="AP581" i="11"/>
  <c r="AR581" i="11" a="1"/>
  <c r="AU581" i="11"/>
  <c r="AT581" i="11"/>
  <c r="AS581" i="11"/>
  <c r="AR581" i="11"/>
  <c r="AC582" i="11" a="1"/>
  <c r="AD582" i="11"/>
  <c r="AE582" i="11"/>
  <c r="AF582" i="11"/>
  <c r="AC582" i="11"/>
  <c r="AH582" i="11" a="1"/>
  <c r="AI582" i="11"/>
  <c r="AH582" i="11"/>
  <c r="AK582" i="11"/>
  <c r="AJ582" i="11"/>
  <c r="AM582" i="11" a="1"/>
  <c r="AM582" i="11"/>
  <c r="AO582" i="11"/>
  <c r="AP582" i="11"/>
  <c r="AN582" i="11"/>
  <c r="AW582" i="11" a="1"/>
  <c r="AW582" i="11"/>
  <c r="AR582" i="11" a="1"/>
  <c r="AR582" i="11"/>
  <c r="AU582" i="11"/>
  <c r="AS582" i="11"/>
  <c r="AT582" i="11"/>
  <c r="AW581" i="11" a="1"/>
  <c r="AW581" i="11"/>
  <c r="AC583" i="11" a="1"/>
  <c r="AC583" i="11"/>
  <c r="AF583" i="11"/>
  <c r="AD583" i="11"/>
  <c r="AE583" i="11"/>
  <c r="AH583" i="11" a="1"/>
  <c r="AK583" i="11"/>
  <c r="AI583" i="11"/>
  <c r="AJ583" i="11"/>
  <c r="AH583" i="11"/>
  <c r="AM583" i="11" a="1"/>
  <c r="AN583" i="11"/>
  <c r="AP583" i="11"/>
  <c r="AM583" i="11"/>
  <c r="AO583" i="11"/>
  <c r="AR583" i="11" a="1"/>
  <c r="AT583" i="11"/>
  <c r="AR583" i="11"/>
  <c r="AU583" i="11"/>
  <c r="AS583" i="11"/>
  <c r="AC584" i="11" a="1"/>
  <c r="AC584" i="11"/>
  <c r="AE584" i="11"/>
  <c r="AD584" i="11"/>
  <c r="AF584" i="11"/>
  <c r="AH584" i="11" a="1"/>
  <c r="AH584" i="11"/>
  <c r="AK584" i="11"/>
  <c r="AJ584" i="11"/>
  <c r="AI584" i="11"/>
  <c r="AM584" i="11" a="1"/>
  <c r="AM584" i="11"/>
  <c r="AO584" i="11"/>
  <c r="AP584" i="11"/>
  <c r="AN584" i="11"/>
  <c r="AW584" i="11" a="1"/>
  <c r="AW584" i="11"/>
  <c r="AR584" i="11" a="1"/>
  <c r="AR584" i="11"/>
  <c r="AT584" i="11"/>
  <c r="AS584" i="11"/>
  <c r="AU584" i="11"/>
  <c r="AW583" i="11" a="1"/>
  <c r="AW583" i="11"/>
  <c r="AC585" i="11" a="1"/>
  <c r="AC585" i="11"/>
  <c r="AD585" i="11"/>
  <c r="AE585" i="11"/>
  <c r="AF585" i="11"/>
  <c r="AH585" i="11" a="1"/>
  <c r="AJ585" i="11"/>
  <c r="AK585" i="11"/>
  <c r="AI585" i="11"/>
  <c r="AH585" i="11"/>
  <c r="AM585" i="11" a="1"/>
  <c r="AP585" i="11"/>
  <c r="AM585" i="11"/>
  <c r="AN585" i="11"/>
  <c r="AO585" i="11"/>
  <c r="AR585" i="11" a="1"/>
  <c r="AT585" i="11"/>
  <c r="AS585" i="11"/>
  <c r="AU585" i="11"/>
  <c r="AR585" i="11"/>
  <c r="AW585" i="11" a="1"/>
  <c r="AW585" i="11"/>
  <c r="AC586" i="11" a="1"/>
  <c r="AC586" i="11"/>
  <c r="AE586" i="11"/>
  <c r="AF586" i="11"/>
  <c r="AD586" i="11"/>
  <c r="AH586" i="11" a="1"/>
  <c r="AH586" i="11"/>
  <c r="AJ586" i="11"/>
  <c r="AK586" i="11"/>
  <c r="AI586" i="11"/>
  <c r="AM586" i="11" a="1"/>
  <c r="AP586" i="11"/>
  <c r="AO586" i="11"/>
  <c r="AM586" i="11"/>
  <c r="AN586" i="11"/>
  <c r="AR586" i="11" a="1"/>
  <c r="AR586" i="11"/>
  <c r="AT586" i="11"/>
  <c r="AU586" i="11"/>
  <c r="AS586" i="11"/>
  <c r="AW586" i="11" a="1"/>
  <c r="AW586" i="11"/>
  <c r="AC587" i="11" a="1"/>
  <c r="AC587" i="11"/>
  <c r="AF587" i="11"/>
  <c r="AE587" i="11"/>
  <c r="AD587" i="11"/>
  <c r="AH587" i="11" a="1"/>
  <c r="AJ587" i="11"/>
  <c r="AI587" i="11"/>
  <c r="AK587" i="11"/>
  <c r="AH587" i="11"/>
  <c r="AM587" i="11" a="1"/>
  <c r="AN587" i="11"/>
  <c r="AP587" i="11"/>
  <c r="AM587" i="11"/>
  <c r="AO587" i="11"/>
  <c r="AR587" i="11" a="1"/>
  <c r="AS587" i="11"/>
  <c r="AU587" i="11"/>
  <c r="AR587" i="11"/>
  <c r="AT587" i="11"/>
  <c r="AC588" i="11" a="1"/>
  <c r="AC588" i="11"/>
  <c r="AE588" i="11"/>
  <c r="AD588" i="11"/>
  <c r="AF588" i="11"/>
  <c r="AH588" i="11" a="1"/>
  <c r="AI588" i="11"/>
  <c r="AH588" i="11"/>
  <c r="AJ588" i="11"/>
  <c r="AK588" i="11"/>
  <c r="AM588" i="11" a="1"/>
  <c r="AO588" i="11"/>
  <c r="AP588" i="11"/>
  <c r="AM588" i="11"/>
  <c r="AN588" i="11"/>
  <c r="AW588" i="11" a="1"/>
  <c r="AW588" i="11"/>
  <c r="AR588" i="11" a="1"/>
  <c r="AR588" i="11"/>
  <c r="AS588" i="11"/>
  <c r="AU588" i="11"/>
  <c r="AT588" i="11"/>
  <c r="AW587" i="11" a="1"/>
  <c r="AW587" i="11"/>
  <c r="AC589" i="11" a="1"/>
  <c r="AC589" i="11"/>
  <c r="AF589" i="11"/>
  <c r="AE589" i="11"/>
  <c r="AD589" i="11"/>
  <c r="AH589" i="11" a="1"/>
  <c r="AK589" i="11"/>
  <c r="AJ589" i="11"/>
  <c r="AH589" i="11"/>
  <c r="AI589" i="11"/>
  <c r="AM589" i="11" a="1"/>
  <c r="AM589" i="11"/>
  <c r="AO589" i="11"/>
  <c r="AP589" i="11"/>
  <c r="AN589" i="11"/>
  <c r="AR589" i="11" a="1"/>
  <c r="AR589" i="11"/>
  <c r="AU589" i="11"/>
  <c r="AT589" i="11"/>
  <c r="AS589" i="11"/>
  <c r="AW589" i="11" a="1"/>
  <c r="AW589" i="11"/>
  <c r="AC590" i="11" a="1"/>
  <c r="AE590" i="11"/>
  <c r="AF590" i="11"/>
  <c r="AC590" i="11"/>
  <c r="AD590" i="11"/>
  <c r="AH590" i="11" a="1"/>
  <c r="AK590" i="11"/>
  <c r="AH590" i="11"/>
  <c r="AI590" i="11"/>
  <c r="AJ590" i="11"/>
  <c r="AM590" i="11" a="1"/>
  <c r="AN590" i="11"/>
  <c r="AM590" i="11"/>
  <c r="AO590" i="11"/>
  <c r="AP590" i="11"/>
  <c r="AR590" i="11" a="1"/>
  <c r="AR590" i="11"/>
  <c r="AU590" i="11"/>
  <c r="AT590" i="11"/>
  <c r="AS590" i="11"/>
  <c r="AW590" i="11" a="1"/>
  <c r="AW590" i="11"/>
  <c r="AC591" i="11" a="1"/>
  <c r="AF591" i="11"/>
  <c r="AD591" i="11"/>
  <c r="AC591" i="11"/>
  <c r="AE591" i="11"/>
  <c r="AH591" i="11" a="1"/>
  <c r="AJ591" i="11"/>
  <c r="AK591" i="11"/>
  <c r="AH591" i="11"/>
  <c r="AI591" i="11"/>
  <c r="AM591" i="11" a="1"/>
  <c r="AO591" i="11"/>
  <c r="AM591" i="11"/>
  <c r="AP591" i="11"/>
  <c r="AN591" i="11"/>
  <c r="AR591" i="11" a="1"/>
  <c r="AT591" i="11"/>
  <c r="AU591" i="11"/>
  <c r="AR591" i="11"/>
  <c r="AS591" i="11"/>
  <c r="AC592" i="11" a="1"/>
  <c r="AD592" i="11"/>
  <c r="AF592" i="11"/>
  <c r="AE592" i="11"/>
  <c r="AC592" i="11"/>
  <c r="AH592" i="11" a="1"/>
  <c r="AI592" i="11"/>
  <c r="AH592" i="11"/>
  <c r="AJ592" i="11"/>
  <c r="AK592" i="11"/>
  <c r="AM592" i="11" a="1"/>
  <c r="AN592" i="11"/>
  <c r="AP592" i="11"/>
  <c r="AO592" i="11"/>
  <c r="AM592" i="11"/>
  <c r="AW592" i="11" a="1"/>
  <c r="AW592" i="11"/>
  <c r="AR592" i="11" a="1"/>
  <c r="AT592" i="11"/>
  <c r="AU592" i="11"/>
  <c r="AR592" i="11"/>
  <c r="AS592" i="11"/>
  <c r="AC593" i="11" a="1"/>
  <c r="AD593" i="11"/>
  <c r="AE593" i="11"/>
  <c r="AC593" i="11"/>
  <c r="AF593" i="11"/>
  <c r="AH593" i="11" a="1"/>
  <c r="AK593" i="11"/>
  <c r="AJ593" i="11"/>
  <c r="AH593" i="11"/>
  <c r="AI593" i="11"/>
  <c r="AM593" i="11" a="1"/>
  <c r="AP593" i="11"/>
  <c r="AN593" i="11"/>
  <c r="AM593" i="11"/>
  <c r="AO593" i="11"/>
  <c r="AW593" i="11" a="1"/>
  <c r="AW593" i="11"/>
  <c r="AR593" i="11" a="1"/>
  <c r="AR593" i="11"/>
  <c r="AT593" i="11"/>
  <c r="AU593" i="11"/>
  <c r="AS593" i="11"/>
  <c r="AC594" i="11" a="1"/>
  <c r="AE594" i="11"/>
  <c r="AF594" i="11"/>
  <c r="AD594" i="11"/>
  <c r="AC594" i="11"/>
  <c r="AH594" i="11" a="1"/>
  <c r="AH594" i="11"/>
  <c r="AK594" i="11"/>
  <c r="AI594" i="11"/>
  <c r="AJ594" i="11"/>
  <c r="AM594" i="11" a="1"/>
  <c r="AP594" i="11"/>
  <c r="AO594" i="11"/>
  <c r="AM594" i="11"/>
  <c r="AN594" i="11"/>
  <c r="AW594" i="11" a="1"/>
  <c r="AW594" i="11"/>
  <c r="AR594" i="11" a="1"/>
  <c r="AT594" i="11"/>
  <c r="AU594" i="11"/>
  <c r="AS594" i="11"/>
  <c r="AR594" i="11"/>
  <c r="AW591" i="11" a="1"/>
  <c r="AW591" i="11"/>
  <c r="AC595" i="11" a="1"/>
  <c r="AD595" i="11"/>
  <c r="AF595" i="11"/>
  <c r="AE595" i="11"/>
  <c r="AC595" i="11"/>
  <c r="AH595" i="11" a="1"/>
  <c r="AJ595" i="11"/>
  <c r="AH595" i="11"/>
  <c r="AK595" i="11"/>
  <c r="AI595" i="11"/>
  <c r="AM595" i="11" a="1"/>
  <c r="AM595" i="11"/>
  <c r="AO595" i="11"/>
  <c r="AP595" i="11"/>
  <c r="AN595" i="11"/>
  <c r="AR595" i="11" a="1"/>
  <c r="AT595" i="11"/>
  <c r="AR595" i="11"/>
  <c r="AS595" i="11"/>
  <c r="AU595" i="11"/>
  <c r="AW595" i="11" a="1"/>
  <c r="AW595" i="11"/>
  <c r="AC596" i="11" a="1"/>
  <c r="AE596" i="11"/>
  <c r="AD596" i="11"/>
  <c r="AF596" i="11"/>
  <c r="AC596" i="11"/>
  <c r="AH596" i="11" a="1"/>
  <c r="AK596" i="11"/>
  <c r="AJ596" i="11"/>
  <c r="AH596" i="11"/>
  <c r="AI596" i="11"/>
  <c r="AM596" i="11" a="1"/>
  <c r="AP596" i="11"/>
  <c r="AO596" i="11"/>
  <c r="AM596" i="11"/>
  <c r="AN596" i="11"/>
  <c r="AR596" i="11" a="1"/>
  <c r="AT596" i="11"/>
  <c r="AS596" i="11"/>
  <c r="AR596" i="11"/>
  <c r="AU596" i="11"/>
  <c r="AC597" i="11" a="1"/>
  <c r="AC597" i="11"/>
  <c r="AD597" i="11"/>
  <c r="AE597" i="11"/>
  <c r="AF597" i="11"/>
  <c r="AH597" i="11" a="1"/>
  <c r="AI597" i="11"/>
  <c r="AH597" i="11"/>
  <c r="AJ597" i="11"/>
  <c r="AK597" i="11"/>
  <c r="AM597" i="11" a="1"/>
  <c r="AO597" i="11"/>
  <c r="AN597" i="11"/>
  <c r="AP597" i="11"/>
  <c r="AM597" i="11"/>
  <c r="AW597" i="11" a="1"/>
  <c r="AW597" i="11"/>
  <c r="AR597" i="11" a="1"/>
  <c r="AT597" i="11"/>
  <c r="AU597" i="11"/>
  <c r="AS597" i="11"/>
  <c r="AR597" i="11"/>
  <c r="AC598" i="11" a="1"/>
  <c r="AD598" i="11"/>
  <c r="AE598" i="11"/>
  <c r="AF598" i="11"/>
  <c r="AC598" i="11"/>
  <c r="AH598" i="11" a="1"/>
  <c r="AI598" i="11"/>
  <c r="AJ598" i="11"/>
  <c r="AH598" i="11"/>
  <c r="AK598" i="11"/>
  <c r="AM598" i="11" a="1"/>
  <c r="AM598" i="11"/>
  <c r="AP598" i="11"/>
  <c r="AN598" i="11"/>
  <c r="AO598" i="11"/>
  <c r="AR598" i="11" a="1"/>
  <c r="AT598" i="11"/>
  <c r="AR598" i="11"/>
  <c r="AS598" i="11"/>
  <c r="AU598" i="11"/>
  <c r="AC599" i="11" a="1"/>
  <c r="AC599" i="11"/>
  <c r="AF599" i="11"/>
  <c r="AE599" i="11"/>
  <c r="AD599" i="11"/>
  <c r="AH599" i="11" a="1"/>
  <c r="AJ599" i="11"/>
  <c r="AI599" i="11"/>
  <c r="AK599" i="11"/>
  <c r="AH599" i="11"/>
  <c r="AM599" i="11" a="1"/>
  <c r="AP599" i="11"/>
  <c r="AM599" i="11"/>
  <c r="AO599" i="11"/>
  <c r="AN599" i="11"/>
  <c r="AW599" i="11" a="1"/>
  <c r="AW599" i="11"/>
  <c r="AR599" i="11" a="1"/>
  <c r="AT599" i="11"/>
  <c r="AU599" i="11"/>
  <c r="AR599" i="11"/>
  <c r="AS599" i="11"/>
  <c r="AC600" i="11" a="1"/>
  <c r="AE600" i="11"/>
  <c r="AD600" i="11"/>
  <c r="AC600" i="11"/>
  <c r="AF600" i="11"/>
  <c r="AH600" i="11" a="1"/>
  <c r="AH600" i="11"/>
  <c r="AI600" i="11"/>
  <c r="AJ600" i="11"/>
  <c r="AK600" i="11"/>
  <c r="AM600" i="11" a="1"/>
  <c r="AP600" i="11"/>
  <c r="AO600" i="11"/>
  <c r="AM600" i="11"/>
  <c r="AN600" i="11"/>
  <c r="AW600" i="11" a="1"/>
  <c r="AW600" i="11"/>
  <c r="AR600" i="11" a="1"/>
  <c r="AR600" i="11"/>
  <c r="AT600" i="11"/>
  <c r="AS600" i="11"/>
  <c r="AU600" i="11"/>
  <c r="AC601" i="11" a="1"/>
  <c r="AF601" i="11"/>
  <c r="AC601" i="11"/>
  <c r="AD601" i="11"/>
  <c r="AE601" i="11"/>
  <c r="AH601" i="11" a="1"/>
  <c r="AI601" i="11"/>
  <c r="AJ601" i="11"/>
  <c r="AK601" i="11"/>
  <c r="AH601" i="11"/>
  <c r="AM601" i="11" a="1"/>
  <c r="AN601" i="11"/>
  <c r="AP601" i="11"/>
  <c r="AO601" i="11"/>
  <c r="AM601" i="11"/>
  <c r="AW601" i="11" a="1"/>
  <c r="AW601" i="11"/>
  <c r="AR601" i="11" a="1"/>
  <c r="AS601" i="11"/>
  <c r="AU601" i="11"/>
  <c r="AT601" i="11"/>
  <c r="AR601" i="11"/>
  <c r="AC602" i="11" a="1"/>
  <c r="AE602" i="11"/>
  <c r="AF602" i="11"/>
  <c r="AD602" i="11"/>
  <c r="AC602" i="11"/>
  <c r="AH602" i="11" a="1"/>
  <c r="AJ602" i="11"/>
  <c r="AI602" i="11"/>
  <c r="AH602" i="11"/>
  <c r="AK602" i="11"/>
  <c r="AM602" i="11" a="1"/>
  <c r="AN602" i="11"/>
  <c r="AM602" i="11"/>
  <c r="AO602" i="11"/>
  <c r="AP602" i="11"/>
  <c r="AW602" i="11" a="1"/>
  <c r="AW602" i="11"/>
  <c r="AW598" i="11" a="1"/>
  <c r="AW598" i="11"/>
  <c r="AR602" i="11" a="1"/>
  <c r="AU602" i="11"/>
  <c r="AR602" i="11"/>
  <c r="AS602" i="11"/>
  <c r="AT602" i="11"/>
  <c r="AW596" i="11" a="1"/>
  <c r="AW596" i="11"/>
  <c r="D44" i="11"/>
</calcChain>
</file>

<file path=xl/comments1.xml><?xml version="1.0" encoding="utf-8"?>
<comments xmlns="http://schemas.openxmlformats.org/spreadsheetml/2006/main">
  <authors>
    <author>Windows User</author>
  </authors>
  <commentList>
    <comment ref="B14" authorId="0" shapeId="0">
      <text>
        <r>
          <rPr>
            <sz val="9"/>
            <color indexed="81"/>
            <rFont val="Tahoma"/>
            <family val="2"/>
          </rPr>
          <t>scaling factor for vector a and c.</t>
        </r>
      </text>
    </comment>
    <comment ref="G16" authorId="0" shapeId="0">
      <text>
        <r>
          <rPr>
            <sz val="9"/>
            <color indexed="81"/>
            <rFont val="Cambria"/>
            <family val="1"/>
          </rPr>
          <t>must be &lt; 1 for stability</t>
        </r>
      </text>
    </comment>
  </commentList>
</comments>
</file>

<file path=xl/sharedStrings.xml><?xml version="1.0" encoding="utf-8"?>
<sst xmlns="http://schemas.openxmlformats.org/spreadsheetml/2006/main" count="69" uniqueCount="48">
  <si>
    <t>a</t>
  </si>
  <si>
    <t>c</t>
  </si>
  <si>
    <t>F</t>
  </si>
  <si>
    <t>R</t>
  </si>
  <si>
    <t>Q</t>
  </si>
  <si>
    <t>LLH</t>
  </si>
  <si>
    <t>Parameters</t>
  </si>
  <si>
    <t>K(i)</t>
  </si>
  <si>
    <t>E</t>
  </si>
  <si>
    <t>Λ</t>
  </si>
  <si>
    <t>R := E*Λ*E'</t>
  </si>
  <si>
    <t>Q := E*Λ*E'</t>
  </si>
  <si>
    <t>Vx(i|h)</t>
  </si>
  <si>
    <t>1\Vy(i|h)</t>
  </si>
  <si>
    <t>Vx(i|i)</t>
  </si>
  <si>
    <t>R: measurement noise</t>
  </si>
  <si>
    <t>Q: transition noise</t>
  </si>
  <si>
    <t>F: transition matrix</t>
  </si>
  <si>
    <t>Cholesky Decomp. of R</t>
  </si>
  <si>
    <t>Cholesky Decomp. of Q</t>
  </si>
  <si>
    <t>abs. diff.</t>
  </si>
  <si>
    <t># steps</t>
  </si>
  <si>
    <t>-ln(det(Vy(i|h)))</t>
  </si>
  <si>
    <t># rows</t>
  </si>
  <si>
    <t>start cell</t>
  </si>
  <si>
    <t># cols</t>
  </si>
  <si>
    <t>H := measurement</t>
  </si>
  <si>
    <t>F: transition</t>
  </si>
  <si>
    <t>Ey(i|h)=a+H(i)*Ex(i|h)</t>
  </si>
  <si>
    <t>y(i)=a+H(i)*x(i)+r(i)</t>
  </si>
  <si>
    <t>Ex(i|h)=c+F(i)*Ex(h|h)</t>
  </si>
  <si>
    <t>z(i)=y(i)-Ey(i|h)</t>
  </si>
  <si>
    <t>calibrated</t>
  </si>
  <si>
    <t>true</t>
  </si>
  <si>
    <t>sum loglikelihood</t>
  </si>
  <si>
    <t>comparison after # setps</t>
  </si>
  <si>
    <t>y=a+H*x+r,   r~N(0,R)</t>
  </si>
  <si>
    <t>x=c+F*x+q,   q~N(0,Q)</t>
  </si>
  <si>
    <t>Measurements</t>
  </si>
  <si>
    <t>hypothetic eigen values/vectors</t>
  </si>
  <si>
    <t>id:</t>
  </si>
  <si>
    <t>flag</t>
  </si>
  <si>
    <t>H: measurement matrix</t>
  </si>
  <si>
    <t>Simulated Measurement and Transition System</t>
  </si>
  <si>
    <t>white noise</t>
  </si>
  <si>
    <t>measurement system</t>
  </si>
  <si>
    <t>transition system</t>
  </si>
  <si>
    <t>Ex(i|i)=Ex(i|h)+K(i)*z(i)</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</si>
</sst>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_-* #,##0.00_-;\-* #,##0.00_-;_-* &quot;-&quot;??_-;_-@_-"/>
    <numFmt numFmtId="165" formatCode="_-* #,##0_-;\-* #,##0_-;_-* &quot;-&quot;??_-;_-@_-"/>
    <numFmt numFmtId="178" formatCode="_-* #,##0.0000_-;\-* #,##0.0000_-;_-* &quot;-&quot;??_-;_-@_-"/>
    <numFmt numFmtId="181" formatCode="0.0"/>
    <numFmt numFmtId="192" formatCode="0.0E+00"/>
    <numFmt numFmtId="193" formatCode="0E+00"/>
    <numFmt numFmtId="194" formatCode="0.00;[Red]\-0.00"/>
    <numFmt numFmtId="200" formatCode="#,##0.000"/>
  </numFmts>
  <fonts count="27" x14ac:knownFonts="1">
    <font>
      <sz val="10"/>
      <name val="Arial"/>
    </font>
    <font>
      <sz val="10"/>
      <name val="Arial"/>
      <family val="2"/>
    </font>
    <font>
      <sz val="8"/>
      <name val="Arial"/>
      <family val="2"/>
    </font>
    <font>
      <sz val="8"/>
      <name val="Cambria"/>
      <family val="1"/>
    </font>
    <font>
      <sz val="8"/>
      <color indexed="22"/>
      <name val="Cambria"/>
      <family val="1"/>
    </font>
    <font>
      <sz val="8"/>
      <color indexed="17"/>
      <name val="Cambria"/>
      <family val="1"/>
    </font>
    <font>
      <sz val="8"/>
      <name val="Arial"/>
      <family val="2"/>
    </font>
    <font>
      <b/>
      <sz val="8"/>
      <color indexed="12"/>
      <name val="Cambria"/>
      <family val="1"/>
    </font>
    <font>
      <sz val="8"/>
      <color indexed="50"/>
      <name val="Cambria"/>
      <family val="1"/>
    </font>
    <font>
      <b/>
      <sz val="8"/>
      <color indexed="10"/>
      <name val="Cambria"/>
      <family val="1"/>
    </font>
    <font>
      <b/>
      <sz val="8"/>
      <name val="Cambria"/>
      <family val="1"/>
    </font>
    <font>
      <b/>
      <sz val="8"/>
      <color indexed="26"/>
      <name val="Cambria"/>
      <family val="1"/>
    </font>
    <font>
      <sz val="8"/>
      <color indexed="26"/>
      <name val="Cambria"/>
      <family val="1"/>
    </font>
    <font>
      <sz val="8"/>
      <name val="Cambria"/>
      <family val="1"/>
    </font>
    <font>
      <b/>
      <sz val="8"/>
      <color indexed="26"/>
      <name val="Cambria"/>
      <family val="1"/>
    </font>
    <font>
      <sz val="8"/>
      <color indexed="26"/>
      <name val="Cambria"/>
      <family val="1"/>
    </font>
    <font>
      <b/>
      <sz val="10"/>
      <color indexed="8"/>
      <name val="Cambria"/>
      <family val="1"/>
    </font>
    <font>
      <b/>
      <sz val="10"/>
      <name val="Cambria"/>
      <family val="1"/>
    </font>
    <font>
      <sz val="9"/>
      <color indexed="81"/>
      <name val="Cambria"/>
      <family val="1"/>
    </font>
    <font>
      <i/>
      <sz val="8"/>
      <color indexed="12"/>
      <name val="Cambria"/>
      <family val="1"/>
    </font>
    <font>
      <sz val="8"/>
      <color indexed="26"/>
      <name val="Cambria"/>
      <family val="1"/>
    </font>
    <font>
      <b/>
      <sz val="8"/>
      <color indexed="12"/>
      <name val="Cambria"/>
      <family val="1"/>
    </font>
    <font>
      <sz val="8"/>
      <color indexed="12"/>
      <name val="Cambria"/>
      <family val="1"/>
    </font>
    <font>
      <b/>
      <sz val="8"/>
      <color indexed="22"/>
      <name val="Cambria"/>
      <family val="1"/>
    </font>
    <font>
      <sz val="8"/>
      <color indexed="26"/>
      <name val="Cambria"/>
      <family val="1"/>
    </font>
    <font>
      <b/>
      <sz val="8"/>
      <color indexed="26"/>
      <name val="Cambria"/>
      <family val="1"/>
    </font>
    <font>
      <sz val="9"/>
      <color indexed="81"/>
      <name val="Tahoma"/>
      <family val="2"/>
    </font>
  </fonts>
  <fills count="3">
    <fill>
      <patternFill patternType="none"/>
    </fill>
    <fill>
      <patternFill patternType="gray125"/>
    </fill>
    <fill>
      <patternFill patternType="solid">
        <fgColor indexed="9"/>
        <bgColor indexed="64"/>
      </patternFill>
    </fill>
  </fills>
  <borders count="19">
    <border>
      <left/>
      <right/>
      <top/>
      <bottom/>
      <diagonal/>
    </border>
    <border>
      <left/>
      <right style="double">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7">
    <xf numFmtId="0" fontId="0" fillId="0" borderId="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0" fontId="1" fillId="0" borderId="0"/>
    <xf numFmtId="9" fontId="1" fillId="0" borderId="0" applyFont="0" applyFill="0" applyBorder="0" applyAlignment="0" applyProtection="0"/>
  </cellStyleXfs>
  <cellXfs count="145">
    <xf numFmtId="0" fontId="0" fillId="0" borderId="0" xfId="0"/>
    <xf numFmtId="164" fontId="3" fillId="2" borderId="1" xfId="1" applyFont="1" applyFill="1" applyBorder="1" applyAlignment="1"/>
    <xf numFmtId="164" fontId="3" fillId="2" borderId="0" xfId="1" applyFont="1" applyFill="1" applyAlignment="1"/>
    <xf numFmtId="164" fontId="4" fillId="2" borderId="0" xfId="1" applyFont="1" applyFill="1" applyAlignment="1"/>
    <xf numFmtId="164" fontId="3" fillId="2" borderId="0" xfId="1" applyFont="1" applyFill="1" applyAlignment="1" applyProtection="1">
      <protection locked="0"/>
    </xf>
    <xf numFmtId="0" fontId="3" fillId="2" borderId="0" xfId="5" applyFont="1" applyFill="1"/>
    <xf numFmtId="164" fontId="3" fillId="2" borderId="0" xfId="1" applyFont="1" applyFill="1" applyAlignment="1">
      <alignment horizontal="center"/>
    </xf>
    <xf numFmtId="164" fontId="3" fillId="2" borderId="0" xfId="1" applyNumberFormat="1" applyFont="1" applyFill="1" applyAlignment="1" applyProtection="1">
      <protection locked="0"/>
    </xf>
    <xf numFmtId="1" fontId="8" fillId="2" borderId="0" xfId="1" applyNumberFormat="1" applyFont="1" applyFill="1" applyAlignment="1"/>
    <xf numFmtId="164" fontId="3" fillId="2" borderId="1" xfId="1" applyFont="1" applyFill="1" applyBorder="1" applyAlignment="1">
      <alignment horizontal="center"/>
    </xf>
    <xf numFmtId="164" fontId="3" fillId="2" borderId="0" xfId="1" applyFont="1" applyFill="1" applyBorder="1" applyAlignment="1">
      <alignment horizontal="center"/>
    </xf>
    <xf numFmtId="164" fontId="3" fillId="2" borderId="0" xfId="1" applyFont="1" applyFill="1" applyAlignment="1" applyProtection="1">
      <alignment horizontal="center"/>
      <protection locked="0"/>
    </xf>
    <xf numFmtId="1" fontId="8" fillId="2" borderId="0" xfId="1" applyNumberFormat="1" applyFont="1" applyFill="1" applyAlignment="1">
      <alignment horizontal="center"/>
    </xf>
    <xf numFmtId="164" fontId="3" fillId="2" borderId="0" xfId="1" applyNumberFormat="1" applyFont="1" applyFill="1" applyAlignment="1">
      <alignment horizontal="center"/>
    </xf>
    <xf numFmtId="178" fontId="3" fillId="2" borderId="0" xfId="1" applyNumberFormat="1" applyFont="1" applyFill="1" applyAlignment="1">
      <alignment horizontal="center"/>
    </xf>
    <xf numFmtId="192" fontId="3" fillId="2" borderId="0" xfId="1" applyNumberFormat="1" applyFont="1" applyFill="1" applyAlignment="1">
      <alignment horizontal="center"/>
    </xf>
    <xf numFmtId="165" fontId="5" fillId="2" borderId="0" xfId="1" applyNumberFormat="1" applyFont="1" applyFill="1" applyAlignment="1">
      <alignment horizontal="center"/>
    </xf>
    <xf numFmtId="164" fontId="10" fillId="2" borderId="0" xfId="1" applyFont="1" applyFill="1" applyAlignment="1">
      <alignment horizontal="center"/>
    </xf>
    <xf numFmtId="164" fontId="10" fillId="2" borderId="2" xfId="1" applyFont="1" applyFill="1" applyBorder="1" applyAlignment="1"/>
    <xf numFmtId="164" fontId="10" fillId="2" borderId="3" xfId="1" applyFont="1" applyFill="1" applyBorder="1" applyAlignment="1"/>
    <xf numFmtId="164" fontId="10" fillId="2" borderId="4" xfId="1" applyFont="1" applyFill="1" applyBorder="1" applyAlignment="1"/>
    <xf numFmtId="3" fontId="9" fillId="2" borderId="0" xfId="1" applyNumberFormat="1" applyFont="1" applyFill="1" applyAlignment="1">
      <alignment horizontal="center"/>
    </xf>
    <xf numFmtId="164" fontId="3" fillId="2" borderId="0" xfId="1" applyNumberFormat="1" applyFont="1" applyFill="1" applyAlignment="1" applyProtection="1">
      <alignment horizontal="center"/>
      <protection locked="0"/>
    </xf>
    <xf numFmtId="178" fontId="3" fillId="2" borderId="0" xfId="1" applyNumberFormat="1" applyFont="1" applyFill="1" applyBorder="1" applyAlignment="1">
      <alignment horizontal="center"/>
    </xf>
    <xf numFmtId="164" fontId="10" fillId="2" borderId="0" xfId="1" applyFont="1" applyFill="1" applyBorder="1" applyAlignment="1">
      <alignment horizontal="center"/>
    </xf>
    <xf numFmtId="194" fontId="3" fillId="2" borderId="5" xfId="1" applyNumberFormat="1" applyFont="1" applyFill="1" applyBorder="1" applyAlignment="1">
      <alignment horizontal="center"/>
    </xf>
    <xf numFmtId="194" fontId="3" fillId="2" borderId="0" xfId="1" applyNumberFormat="1" applyFont="1" applyFill="1" applyBorder="1" applyAlignment="1">
      <alignment horizontal="center"/>
    </xf>
    <xf numFmtId="194" fontId="3" fillId="2" borderId="3" xfId="1" applyNumberFormat="1" applyFont="1" applyFill="1" applyBorder="1" applyAlignment="1">
      <alignment horizontal="center"/>
    </xf>
    <xf numFmtId="194" fontId="3" fillId="2" borderId="6" xfId="1" applyNumberFormat="1" applyFont="1" applyFill="1" applyBorder="1" applyAlignment="1">
      <alignment horizontal="center"/>
    </xf>
    <xf numFmtId="194" fontId="3" fillId="2" borderId="7" xfId="1" applyNumberFormat="1" applyFont="1" applyFill="1" applyBorder="1" applyAlignment="1">
      <alignment horizontal="center"/>
    </xf>
    <xf numFmtId="194" fontId="3" fillId="2" borderId="3" xfId="1" applyNumberFormat="1" applyFont="1" applyFill="1" applyBorder="1" applyAlignment="1" applyProtection="1">
      <alignment horizontal="center"/>
      <protection locked="0"/>
    </xf>
    <xf numFmtId="194" fontId="3" fillId="2" borderId="6" xfId="1" applyNumberFormat="1" applyFont="1" applyFill="1" applyBorder="1" applyAlignment="1" applyProtection="1">
      <alignment horizontal="center"/>
      <protection locked="0"/>
    </xf>
    <xf numFmtId="194" fontId="3" fillId="2" borderId="7" xfId="1" applyNumberFormat="1" applyFont="1" applyFill="1" applyBorder="1" applyAlignment="1" applyProtection="1">
      <alignment horizontal="center"/>
      <protection locked="0"/>
    </xf>
    <xf numFmtId="194" fontId="3" fillId="2" borderId="8" xfId="1" applyNumberFormat="1" applyFont="1" applyFill="1" applyBorder="1" applyAlignment="1">
      <alignment horizontal="center"/>
    </xf>
    <xf numFmtId="194" fontId="3" fillId="2" borderId="9" xfId="1" applyNumberFormat="1" applyFont="1" applyFill="1" applyBorder="1" applyAlignment="1">
      <alignment horizontal="center"/>
    </xf>
    <xf numFmtId="194" fontId="3" fillId="2" borderId="10" xfId="1" applyNumberFormat="1" applyFont="1" applyFill="1" applyBorder="1" applyAlignment="1">
      <alignment horizontal="center"/>
    </xf>
    <xf numFmtId="194" fontId="3" fillId="2" borderId="9" xfId="1" applyNumberFormat="1" applyFont="1" applyFill="1" applyBorder="1" applyAlignment="1" applyProtection="1">
      <alignment horizontal="center"/>
      <protection locked="0"/>
    </xf>
    <xf numFmtId="194" fontId="3" fillId="2" borderId="0" xfId="1" applyNumberFormat="1" applyFont="1" applyFill="1" applyBorder="1" applyAlignment="1" applyProtection="1">
      <alignment horizontal="center"/>
      <protection locked="0"/>
    </xf>
    <xf numFmtId="194" fontId="3" fillId="2" borderId="10" xfId="1" applyNumberFormat="1" applyFont="1" applyFill="1" applyBorder="1" applyAlignment="1" applyProtection="1">
      <alignment horizontal="center"/>
      <protection locked="0"/>
    </xf>
    <xf numFmtId="194" fontId="3" fillId="2" borderId="11" xfId="1" applyNumberFormat="1" applyFont="1" applyFill="1" applyBorder="1" applyAlignment="1">
      <alignment horizontal="center"/>
    </xf>
    <xf numFmtId="194" fontId="3" fillId="2" borderId="4" xfId="1" applyNumberFormat="1" applyFont="1" applyFill="1" applyBorder="1" applyAlignment="1">
      <alignment horizontal="center"/>
    </xf>
    <xf numFmtId="194" fontId="3" fillId="2" borderId="12" xfId="1" applyNumberFormat="1" applyFont="1" applyFill="1" applyBorder="1" applyAlignment="1">
      <alignment horizontal="center"/>
    </xf>
    <xf numFmtId="194" fontId="3" fillId="2" borderId="13" xfId="1" applyNumberFormat="1" applyFont="1" applyFill="1" applyBorder="1" applyAlignment="1">
      <alignment horizontal="center"/>
    </xf>
    <xf numFmtId="194" fontId="3" fillId="2" borderId="4" xfId="1" applyNumberFormat="1" applyFont="1" applyFill="1" applyBorder="1" applyAlignment="1" applyProtection="1">
      <alignment horizontal="center"/>
      <protection locked="0"/>
    </xf>
    <xf numFmtId="194" fontId="3" fillId="2" borderId="12" xfId="1" applyNumberFormat="1" applyFont="1" applyFill="1" applyBorder="1" applyAlignment="1" applyProtection="1">
      <alignment horizontal="center"/>
      <protection locked="0"/>
    </xf>
    <xf numFmtId="194" fontId="3" fillId="2" borderId="13" xfId="1" applyNumberFormat="1" applyFont="1" applyFill="1" applyBorder="1" applyAlignment="1" applyProtection="1">
      <alignment horizontal="center"/>
      <protection locked="0"/>
    </xf>
    <xf numFmtId="178" fontId="10" fillId="2" borderId="0" xfId="1" applyNumberFormat="1" applyFont="1" applyFill="1" applyAlignment="1"/>
    <xf numFmtId="1" fontId="13" fillId="2" borderId="0" xfId="1" applyNumberFormat="1" applyFont="1" applyFill="1" applyBorder="1" applyAlignment="1"/>
    <xf numFmtId="164" fontId="15" fillId="2" borderId="0" xfId="1" applyFont="1" applyFill="1" applyAlignment="1"/>
    <xf numFmtId="164" fontId="15" fillId="2" borderId="3" xfId="1" applyFont="1" applyFill="1" applyBorder="1" applyAlignment="1" applyProtection="1">
      <protection locked="0"/>
    </xf>
    <xf numFmtId="164" fontId="15" fillId="2" borderId="6" xfId="1" applyFont="1" applyFill="1" applyBorder="1" applyAlignment="1" applyProtection="1">
      <protection locked="0"/>
    </xf>
    <xf numFmtId="164" fontId="15" fillId="2" borderId="7" xfId="1" applyFont="1" applyFill="1" applyBorder="1" applyAlignment="1" applyProtection="1">
      <protection locked="0"/>
    </xf>
    <xf numFmtId="164" fontId="15" fillId="2" borderId="5" xfId="1" applyFont="1" applyFill="1" applyBorder="1" applyAlignment="1"/>
    <xf numFmtId="164" fontId="15" fillId="2" borderId="9" xfId="1" applyFont="1" applyFill="1" applyBorder="1" applyAlignment="1" applyProtection="1">
      <protection locked="0"/>
    </xf>
    <xf numFmtId="164" fontId="15" fillId="2" borderId="0" xfId="1" applyFont="1" applyFill="1" applyBorder="1" applyAlignment="1" applyProtection="1">
      <protection locked="0"/>
    </xf>
    <xf numFmtId="164" fontId="15" fillId="2" borderId="10" xfId="1" applyFont="1" applyFill="1" applyBorder="1" applyAlignment="1" applyProtection="1">
      <protection locked="0"/>
    </xf>
    <xf numFmtId="164" fontId="15" fillId="2" borderId="8" xfId="1" applyFont="1" applyFill="1" applyBorder="1" applyAlignment="1"/>
    <xf numFmtId="164" fontId="15" fillId="2" borderId="4" xfId="1" applyFont="1" applyFill="1" applyBorder="1" applyAlignment="1" applyProtection="1">
      <protection locked="0"/>
    </xf>
    <xf numFmtId="164" fontId="15" fillId="2" borderId="12" xfId="1" applyFont="1" applyFill="1" applyBorder="1" applyAlignment="1" applyProtection="1">
      <protection locked="0"/>
    </xf>
    <xf numFmtId="164" fontId="15" fillId="2" borderId="13" xfId="1" applyFont="1" applyFill="1" applyBorder="1" applyAlignment="1" applyProtection="1">
      <protection locked="0"/>
    </xf>
    <xf numFmtId="164" fontId="15" fillId="2" borderId="11" xfId="1" applyFont="1" applyFill="1" applyBorder="1" applyAlignment="1" applyProtection="1">
      <protection locked="0"/>
    </xf>
    <xf numFmtId="2" fontId="4" fillId="2" borderId="0" xfId="1" applyNumberFormat="1" applyFont="1" applyFill="1" applyBorder="1" applyAlignment="1" applyProtection="1">
      <alignment horizontal="center"/>
      <protection locked="0"/>
    </xf>
    <xf numFmtId="2" fontId="3" fillId="2" borderId="0" xfId="1" applyNumberFormat="1" applyFont="1" applyFill="1" applyBorder="1" applyAlignment="1" applyProtection="1">
      <alignment horizontal="center"/>
      <protection locked="0"/>
    </xf>
    <xf numFmtId="2" fontId="3" fillId="2" borderId="0" xfId="1" applyNumberFormat="1" applyFont="1" applyFill="1" applyAlignment="1">
      <alignment horizontal="center"/>
    </xf>
    <xf numFmtId="2" fontId="3" fillId="2" borderId="0" xfId="1" applyNumberFormat="1" applyFont="1" applyFill="1" applyBorder="1" applyAlignment="1">
      <alignment horizontal="center"/>
    </xf>
    <xf numFmtId="2" fontId="3" fillId="2" borderId="0" xfId="1" applyNumberFormat="1" applyFont="1" applyFill="1" applyAlignment="1"/>
    <xf numFmtId="1" fontId="19" fillId="2" borderId="0" xfId="1" applyNumberFormat="1" applyFont="1" applyFill="1" applyAlignment="1">
      <alignment horizontal="center"/>
    </xf>
    <xf numFmtId="1" fontId="20" fillId="2" borderId="10" xfId="1" applyNumberFormat="1" applyFont="1" applyFill="1" applyBorder="1" applyAlignment="1">
      <alignment horizontal="center" vertical="center"/>
    </xf>
    <xf numFmtId="1" fontId="20" fillId="2" borderId="13" xfId="1" applyNumberFormat="1" applyFont="1" applyFill="1" applyBorder="1" applyAlignment="1">
      <alignment horizontal="center" vertical="center"/>
    </xf>
    <xf numFmtId="1" fontId="10" fillId="2" borderId="7" xfId="1" applyNumberFormat="1" applyFont="1" applyFill="1" applyBorder="1" applyAlignment="1">
      <alignment horizontal="center" vertical="center"/>
    </xf>
    <xf numFmtId="164" fontId="3" fillId="2" borderId="14" xfId="1" applyFont="1" applyFill="1" applyBorder="1" applyAlignment="1">
      <alignment horizontal="center"/>
    </xf>
    <xf numFmtId="178" fontId="3" fillId="2" borderId="14" xfId="1" applyNumberFormat="1" applyFont="1" applyFill="1" applyBorder="1" applyAlignment="1">
      <alignment horizontal="center"/>
    </xf>
    <xf numFmtId="164" fontId="3" fillId="2" borderId="15" xfId="1" applyFont="1" applyFill="1" applyBorder="1" applyAlignment="1">
      <alignment horizontal="center"/>
    </xf>
    <xf numFmtId="2" fontId="12" fillId="2" borderId="5" xfId="1" applyNumberFormat="1" applyFont="1" applyFill="1" applyBorder="1" applyAlignment="1">
      <alignment horizontal="center"/>
    </xf>
    <xf numFmtId="2" fontId="12" fillId="2" borderId="8" xfId="1" applyNumberFormat="1" applyFont="1" applyFill="1" applyBorder="1" applyAlignment="1">
      <alignment horizontal="center"/>
    </xf>
    <xf numFmtId="2" fontId="12" fillId="2" borderId="11" xfId="1" applyNumberFormat="1" applyFont="1" applyFill="1" applyBorder="1" applyAlignment="1" applyProtection="1">
      <alignment horizontal="center"/>
      <protection locked="0"/>
    </xf>
    <xf numFmtId="178" fontId="10" fillId="2" borderId="0" xfId="1" applyNumberFormat="1" applyFont="1" applyFill="1" applyAlignment="1">
      <alignment horizontal="center"/>
    </xf>
    <xf numFmtId="2" fontId="11" fillId="2" borderId="0" xfId="1" applyNumberFormat="1" applyFont="1" applyFill="1" applyBorder="1" applyAlignment="1">
      <alignment horizontal="center"/>
    </xf>
    <xf numFmtId="164" fontId="10" fillId="2" borderId="0" xfId="1" quotePrefix="1" applyFont="1" applyFill="1" applyBorder="1" applyAlignment="1">
      <alignment horizontal="center"/>
    </xf>
    <xf numFmtId="164" fontId="10" fillId="2" borderId="2" xfId="1" applyFont="1" applyFill="1" applyBorder="1" applyAlignment="1">
      <alignment horizontal="center" vertical="center"/>
    </xf>
    <xf numFmtId="164" fontId="3" fillId="2" borderId="4" xfId="1" applyFont="1" applyFill="1" applyBorder="1" applyAlignment="1">
      <alignment horizontal="center" vertical="center"/>
    </xf>
    <xf numFmtId="200" fontId="21" fillId="2" borderId="16" xfId="1" applyNumberFormat="1" applyFont="1" applyFill="1" applyBorder="1" applyAlignment="1">
      <alignment horizontal="center" vertical="center"/>
    </xf>
    <xf numFmtId="200" fontId="9" fillId="2" borderId="17" xfId="1" applyNumberFormat="1" applyFont="1" applyFill="1" applyBorder="1" applyAlignment="1">
      <alignment horizontal="center" vertical="center"/>
    </xf>
    <xf numFmtId="200" fontId="21" fillId="2" borderId="12" xfId="1" applyNumberFormat="1" applyFont="1" applyFill="1" applyBorder="1" applyAlignment="1">
      <alignment horizontal="center" vertical="center"/>
    </xf>
    <xf numFmtId="200" fontId="9" fillId="2" borderId="13" xfId="1" applyNumberFormat="1" applyFont="1" applyFill="1" applyBorder="1" applyAlignment="1">
      <alignment horizontal="center" vertical="center"/>
    </xf>
    <xf numFmtId="2" fontId="11" fillId="2" borderId="0" xfId="1" applyNumberFormat="1" applyFont="1" applyFill="1" applyBorder="1" applyAlignment="1"/>
    <xf numFmtId="200" fontId="7" fillId="2" borderId="17" xfId="1" applyNumberFormat="1" applyFont="1" applyFill="1" applyBorder="1" applyAlignment="1">
      <alignment horizontal="center"/>
    </xf>
    <xf numFmtId="200" fontId="7" fillId="2" borderId="7" xfId="1" applyNumberFormat="1" applyFont="1" applyFill="1" applyBorder="1" applyAlignment="1">
      <alignment horizontal="center"/>
    </xf>
    <xf numFmtId="200" fontId="7" fillId="2" borderId="13" xfId="1" applyNumberFormat="1" applyFont="1" applyFill="1" applyBorder="1" applyAlignment="1">
      <alignment horizontal="center"/>
    </xf>
    <xf numFmtId="165" fontId="3" fillId="2" borderId="0" xfId="1" applyNumberFormat="1" applyFont="1" applyFill="1" applyAlignment="1">
      <alignment horizontal="center"/>
    </xf>
    <xf numFmtId="164" fontId="14" fillId="2" borderId="0" xfId="1" applyFont="1" applyFill="1" applyBorder="1" applyAlignment="1">
      <alignment horizontal="center"/>
    </xf>
    <xf numFmtId="164" fontId="20" fillId="2" borderId="0" xfId="1" applyFont="1" applyFill="1" applyBorder="1" applyAlignment="1">
      <alignment horizontal="right"/>
    </xf>
    <xf numFmtId="1" fontId="20" fillId="2" borderId="0" xfId="1" applyNumberFormat="1" applyFont="1" applyFill="1" applyBorder="1" applyAlignment="1">
      <alignment horizontal="center" vertical="center"/>
    </xf>
    <xf numFmtId="178" fontId="3" fillId="2" borderId="0" xfId="1" applyNumberFormat="1" applyFont="1" applyFill="1" applyAlignment="1">
      <alignment horizontal="right"/>
    </xf>
    <xf numFmtId="3" fontId="10" fillId="2" borderId="0" xfId="1" applyNumberFormat="1" applyFont="1" applyFill="1" applyBorder="1" applyAlignment="1">
      <alignment horizontal="center"/>
    </xf>
    <xf numFmtId="164" fontId="10" fillId="2" borderId="0" xfId="1" applyFont="1" applyFill="1" applyAlignment="1"/>
    <xf numFmtId="193" fontId="10" fillId="2" borderId="0" xfId="1" applyNumberFormat="1" applyFont="1" applyFill="1" applyAlignment="1">
      <alignment horizontal="center"/>
    </xf>
    <xf numFmtId="181" fontId="3" fillId="2" borderId="0" xfId="1" applyNumberFormat="1" applyFont="1" applyFill="1" applyBorder="1" applyAlignment="1" applyProtection="1">
      <alignment horizontal="center"/>
      <protection locked="0"/>
    </xf>
    <xf numFmtId="1" fontId="22" fillId="2" borderId="0" xfId="1" applyNumberFormat="1" applyFont="1" applyFill="1" applyBorder="1" applyAlignment="1" applyProtection="1">
      <alignment horizontal="center"/>
      <protection locked="0"/>
    </xf>
    <xf numFmtId="181" fontId="3" fillId="2" borderId="0" xfId="1" applyNumberFormat="1" applyFont="1" applyFill="1" applyAlignment="1">
      <alignment horizontal="center"/>
    </xf>
    <xf numFmtId="181" fontId="5" fillId="2" borderId="0" xfId="1" applyNumberFormat="1" applyFont="1" applyFill="1" applyAlignment="1">
      <alignment horizontal="center"/>
    </xf>
    <xf numFmtId="0" fontId="3" fillId="2" borderId="12" xfId="1" applyNumberFormat="1" applyFont="1" applyFill="1" applyBorder="1" applyAlignment="1">
      <alignment horizontal="center"/>
    </xf>
    <xf numFmtId="2" fontId="24" fillId="2" borderId="3" xfId="1" applyNumberFormat="1" applyFont="1" applyFill="1" applyBorder="1" applyAlignment="1">
      <alignment horizontal="center"/>
    </xf>
    <xf numFmtId="2" fontId="24" fillId="2" borderId="6" xfId="1" applyNumberFormat="1" applyFont="1" applyFill="1" applyBorder="1" applyAlignment="1">
      <alignment horizontal="center"/>
    </xf>
    <xf numFmtId="2" fontId="24" fillId="2" borderId="7" xfId="1" applyNumberFormat="1" applyFont="1" applyFill="1" applyBorder="1" applyAlignment="1">
      <alignment horizontal="center"/>
    </xf>
    <xf numFmtId="2" fontId="24" fillId="2" borderId="9" xfId="1" applyNumberFormat="1" applyFont="1" applyFill="1" applyBorder="1" applyAlignment="1">
      <alignment horizontal="center"/>
    </xf>
    <xf numFmtId="2" fontId="24" fillId="2" borderId="0" xfId="1" applyNumberFormat="1" applyFont="1" applyFill="1" applyBorder="1" applyAlignment="1">
      <alignment horizontal="center"/>
    </xf>
    <xf numFmtId="2" fontId="24" fillId="2" borderId="10" xfId="1" applyNumberFormat="1" applyFont="1" applyFill="1" applyBorder="1" applyAlignment="1">
      <alignment horizontal="center"/>
    </xf>
    <xf numFmtId="2" fontId="24" fillId="2" borderId="4" xfId="1" applyNumberFormat="1" applyFont="1" applyFill="1" applyBorder="1" applyAlignment="1">
      <alignment horizontal="center"/>
    </xf>
    <xf numFmtId="2" fontId="24" fillId="2" borderId="12" xfId="1" applyNumberFormat="1" applyFont="1" applyFill="1" applyBorder="1" applyAlignment="1">
      <alignment horizontal="center"/>
    </xf>
    <xf numFmtId="2" fontId="24" fillId="2" borderId="13" xfId="1" applyNumberFormat="1" applyFont="1" applyFill="1" applyBorder="1" applyAlignment="1">
      <alignment horizontal="center"/>
    </xf>
    <xf numFmtId="2" fontId="25" fillId="2" borderId="0" xfId="1" applyNumberFormat="1" applyFont="1" applyFill="1" applyBorder="1" applyAlignment="1">
      <alignment horizontal="center"/>
    </xf>
    <xf numFmtId="2" fontId="24" fillId="2" borderId="5" xfId="1" applyNumberFormat="1" applyFont="1" applyFill="1" applyBorder="1" applyAlignment="1">
      <alignment horizontal="center"/>
    </xf>
    <xf numFmtId="2" fontId="24" fillId="2" borderId="8" xfId="1" applyNumberFormat="1" applyFont="1" applyFill="1" applyBorder="1" applyAlignment="1">
      <alignment horizontal="center"/>
    </xf>
    <xf numFmtId="2" fontId="24" fillId="2" borderId="11" xfId="1" applyNumberFormat="1" applyFont="1" applyFill="1" applyBorder="1" applyAlignment="1">
      <alignment horizontal="center"/>
    </xf>
    <xf numFmtId="164" fontId="10" fillId="2" borderId="3" xfId="1" applyFont="1" applyFill="1" applyBorder="1" applyAlignment="1">
      <alignment horizontal="center" vertical="center"/>
    </xf>
    <xf numFmtId="200" fontId="21" fillId="2" borderId="6" xfId="1" applyNumberFormat="1" applyFont="1" applyFill="1" applyBorder="1" applyAlignment="1">
      <alignment horizontal="center" vertical="center"/>
    </xf>
    <xf numFmtId="200" fontId="9" fillId="2" borderId="7" xfId="1" applyNumberFormat="1" applyFont="1" applyFill="1" applyBorder="1" applyAlignment="1">
      <alignment horizontal="center" vertical="center"/>
    </xf>
    <xf numFmtId="164" fontId="3" fillId="2" borderId="0" xfId="1" applyFont="1" applyFill="1" applyBorder="1" applyAlignment="1" applyProtection="1">
      <alignment horizontal="center"/>
      <protection locked="0"/>
    </xf>
    <xf numFmtId="164" fontId="3" fillId="2" borderId="18" xfId="1" applyFont="1" applyFill="1" applyBorder="1" applyAlignment="1"/>
    <xf numFmtId="164" fontId="10" fillId="2" borderId="3" xfId="1" applyFont="1" applyFill="1" applyBorder="1" applyAlignment="1">
      <alignment horizontal="right"/>
    </xf>
    <xf numFmtId="164" fontId="10" fillId="2" borderId="6" xfId="1" applyFont="1" applyFill="1" applyBorder="1" applyAlignment="1">
      <alignment horizontal="right"/>
    </xf>
    <xf numFmtId="164" fontId="10" fillId="2" borderId="0" xfId="1" applyFont="1" applyFill="1" applyAlignment="1">
      <alignment horizontal="center"/>
    </xf>
    <xf numFmtId="164" fontId="20" fillId="2" borderId="9" xfId="1" applyFont="1" applyFill="1" applyBorder="1" applyAlignment="1">
      <alignment horizontal="right"/>
    </xf>
    <xf numFmtId="164" fontId="20" fillId="2" borderId="0" xfId="1" applyFont="1" applyFill="1" applyBorder="1" applyAlignment="1">
      <alignment horizontal="right"/>
    </xf>
    <xf numFmtId="164" fontId="20" fillId="2" borderId="4" xfId="1" applyFont="1" applyFill="1" applyBorder="1" applyAlignment="1">
      <alignment horizontal="right"/>
    </xf>
    <xf numFmtId="164" fontId="20" fillId="2" borderId="12" xfId="1" applyFont="1" applyFill="1" applyBorder="1" applyAlignment="1">
      <alignment horizontal="right"/>
    </xf>
    <xf numFmtId="178" fontId="3" fillId="2" borderId="6" xfId="1" quotePrefix="1" applyNumberFormat="1" applyFont="1" applyFill="1" applyBorder="1" applyAlignment="1">
      <alignment horizontal="center"/>
    </xf>
    <xf numFmtId="178" fontId="3" fillId="2" borderId="6" xfId="1" applyNumberFormat="1" applyFont="1" applyFill="1" applyBorder="1" applyAlignment="1">
      <alignment horizontal="center"/>
    </xf>
    <xf numFmtId="178" fontId="3" fillId="2" borderId="12" xfId="1" applyNumberFormat="1" applyFont="1" applyFill="1" applyBorder="1" applyAlignment="1">
      <alignment horizontal="center"/>
    </xf>
    <xf numFmtId="164" fontId="3" fillId="2" borderId="12" xfId="1" applyFont="1" applyFill="1" applyBorder="1" applyAlignment="1">
      <alignment horizontal="center"/>
    </xf>
    <xf numFmtId="164" fontId="10" fillId="2" borderId="14" xfId="1" applyFont="1" applyFill="1" applyBorder="1" applyAlignment="1">
      <alignment horizontal="center"/>
    </xf>
    <xf numFmtId="164" fontId="10" fillId="2" borderId="0" xfId="1" applyFont="1" applyFill="1" applyBorder="1" applyAlignment="1">
      <alignment horizontal="center"/>
    </xf>
    <xf numFmtId="164" fontId="10" fillId="2" borderId="12" xfId="1" applyFont="1" applyFill="1" applyBorder="1" applyAlignment="1">
      <alignment horizontal="center"/>
    </xf>
    <xf numFmtId="2" fontId="25" fillId="2" borderId="12" xfId="1" applyNumberFormat="1" applyFont="1" applyFill="1" applyBorder="1" applyAlignment="1">
      <alignment horizontal="center"/>
    </xf>
    <xf numFmtId="178" fontId="10" fillId="2" borderId="0" xfId="1" applyNumberFormat="1" applyFont="1" applyFill="1" applyAlignment="1">
      <alignment horizontal="left"/>
    </xf>
    <xf numFmtId="178" fontId="10" fillId="2" borderId="0" xfId="1" applyNumberFormat="1" applyFont="1" applyFill="1" applyAlignment="1">
      <alignment horizontal="center"/>
    </xf>
    <xf numFmtId="2" fontId="3" fillId="2" borderId="0" xfId="1" applyNumberFormat="1" applyFont="1" applyFill="1" applyAlignment="1">
      <alignment horizontal="center"/>
    </xf>
    <xf numFmtId="164" fontId="3" fillId="2" borderId="0" xfId="1" applyFont="1" applyFill="1" applyAlignment="1">
      <alignment horizontal="center"/>
    </xf>
    <xf numFmtId="164" fontId="14" fillId="2" borderId="12" xfId="1" applyFont="1" applyFill="1" applyBorder="1" applyAlignment="1">
      <alignment horizontal="center"/>
    </xf>
    <xf numFmtId="164" fontId="23" fillId="2" borderId="0" xfId="1" applyFont="1" applyFill="1" applyAlignment="1">
      <alignment horizontal="center"/>
    </xf>
    <xf numFmtId="164" fontId="14" fillId="2" borderId="0" xfId="1" applyFont="1" applyFill="1" applyBorder="1" applyAlignment="1">
      <alignment horizontal="center"/>
    </xf>
    <xf numFmtId="164" fontId="11" fillId="2" borderId="0" xfId="1" applyFont="1" applyFill="1" applyAlignment="1">
      <alignment horizontal="center"/>
    </xf>
    <xf numFmtId="164" fontId="14" fillId="2" borderId="0" xfId="1" applyFont="1" applyFill="1" applyAlignment="1">
      <alignment horizontal="center"/>
    </xf>
    <xf numFmtId="2" fontId="10" fillId="2" borderId="0" xfId="1" applyNumberFormat="1" applyFont="1" applyFill="1" applyAlignment="1">
      <alignment horizontal="center"/>
    </xf>
  </cellXfs>
  <cellStyles count="7">
    <cellStyle name="Comma" xfId="1" builtinId="3"/>
    <cellStyle name="Comma 2" xfId="2"/>
    <cellStyle name="Comma 3" xfId="3"/>
    <cellStyle name="Comma 4" xfId="4"/>
    <cellStyle name="Normal" xfId="0" builtinId="0"/>
    <cellStyle name="Normal 2" xfId="5"/>
    <cellStyle name="Percent 2"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2469"/>
      <rgbColor rgb="00808000"/>
      <rgbColor rgb="00800080"/>
      <rgbColor rgb="00008080"/>
      <rgbColor rgb="00C0C0C0"/>
      <rgbColor rgb="00808080"/>
      <rgbColor rgb="0086A1C0"/>
      <rgbColor rgb="00B9C2D5"/>
      <rgbColor rgb="00A5A5A4"/>
      <rgbColor rgb="00CAC6C2"/>
      <rgbColor rgb="006B955B"/>
      <rgbColor rgb="00BDC96B"/>
      <rgbColor rgb="00D74046"/>
      <rgbColor rgb="00F69359"/>
      <rgbColor rgb="005381AC"/>
      <rgbColor rgb="003DB7DF"/>
      <rgbColor rgb="003A7224"/>
      <rgbColor rgb="00C90008"/>
      <rgbColor rgb="00F36F21"/>
      <rgbColor rgb="00E8C204"/>
      <rgbColor rgb="00820EB7"/>
      <rgbColor rgb="00747679"/>
      <rgbColor rgb="00002469"/>
      <rgbColor rgb="00FBBC53"/>
      <rgbColor rgb="00A14AC9"/>
      <rgbColor rgb="00C3C3C2"/>
      <rgbColor rgb="00EDC85C"/>
      <rgbColor rgb="00AFC1D5"/>
      <rgbColor rgb="00DCD9D6"/>
      <rgbColor rgb="00D0D6E3"/>
      <rgbColor rgb="009CB891"/>
      <rgbColor rgb="00D3DB9C"/>
      <rgbColor rgb="00E47F83"/>
      <rgbColor rgb="00F9B790"/>
      <rgbColor rgb="00F3E081"/>
      <rgbColor rgb="00FCD28C"/>
      <rgbColor rgb="00C086DB"/>
      <rgbColor rgb="009EDBEF"/>
      <rgbColor rgb="00E1E1E1"/>
      <rgbColor rgb="00D7E0EA"/>
      <rgbColor rgb="00EDECEB"/>
      <rgbColor rgb="00E8EBF1"/>
      <rgbColor rgb="00CEDCC8"/>
      <rgbColor rgb="00E9EDCD"/>
      <rgbColor rgb="00F1BFC1"/>
      <rgbColor rgb="00FCDBC7"/>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15709601720274E-4"/>
          <c:y val="1.8957329598869141E-4"/>
          <c:w val="0.99931284290398281"/>
          <c:h val="0.99981042670401132"/>
        </c:manualLayout>
      </c:layout>
      <c:scatterChart>
        <c:scatterStyle val="lineMarker"/>
        <c:varyColors val="0"/>
        <c:ser>
          <c:idx val="0"/>
          <c:order val="0"/>
          <c:spPr>
            <a:ln w="28575">
              <a:noFill/>
            </a:ln>
          </c:spPr>
          <c:marker>
            <c:symbol val="circle"/>
            <c:size val="3"/>
            <c:spPr>
              <a:solidFill>
                <a:srgbClr val="F69359"/>
              </a:solidFill>
              <a:ln w="9525">
                <a:noFill/>
              </a:ln>
            </c:spPr>
          </c:marker>
          <c:trendline>
            <c:spPr>
              <a:ln w="19050">
                <a:solidFill>
                  <a:srgbClr val="0070C0"/>
                </a:solidFill>
                <a:prstDash val="solid"/>
              </a:ln>
            </c:spPr>
            <c:trendlineType val="linear"/>
            <c:dispRSqr val="1"/>
            <c:dispEq val="1"/>
            <c:trendlineLbl>
              <c:layout>
                <c:manualLayout>
                  <c:x val="-0.51056829789073688"/>
                  <c:y val="-0.16393658815420922"/>
                </c:manualLayout>
              </c:layout>
              <c:numFmt formatCode="0.000" sourceLinked="0"/>
              <c:spPr>
                <a:noFill/>
                <a:ln w="25400">
                  <a:noFill/>
                </a:ln>
              </c:spPr>
              <c:txPr>
                <a:bodyPr/>
                <a:lstStyle/>
                <a:p>
                  <a:pPr algn="l">
                    <a:defRPr sz="1000" b="0" i="0" u="none" strike="noStrike" baseline="0">
                      <a:solidFill>
                        <a:srgbClr val="000000"/>
                      </a:solidFill>
                      <a:latin typeface="Cambria"/>
                      <a:ea typeface="Cambria"/>
                      <a:cs typeface="Cambria"/>
                    </a:defRPr>
                  </a:pPr>
                  <a:endParaRPr lang="en-US"/>
                </a:p>
              </c:txPr>
            </c:trendlineLbl>
          </c:trendline>
          <c:xVal>
            <c:numRef>
              <c:f>simulate!$AO$4:$AO$2004</c:f>
              <c:numCache>
                <c:formatCode>0.00</c:formatCode>
                <c:ptCount val="2001"/>
                <c:pt idx="0">
                  <c:v>0.36096310577261481</c:v>
                </c:pt>
                <c:pt idx="1">
                  <c:v>0.42036888863652849</c:v>
                </c:pt>
                <c:pt idx="2">
                  <c:v>0.56530552309635973</c:v>
                </c:pt>
                <c:pt idx="3">
                  <c:v>0.87295898128028082</c:v>
                </c:pt>
                <c:pt idx="4">
                  <c:v>0.75868265814147873</c:v>
                </c:pt>
                <c:pt idx="5">
                  <c:v>0.76410738929895305</c:v>
                </c:pt>
                <c:pt idx="6">
                  <c:v>0.57197774818246971</c:v>
                </c:pt>
                <c:pt idx="7">
                  <c:v>0.44988061283256642</c:v>
                </c:pt>
                <c:pt idx="8">
                  <c:v>0.21621491115434677</c:v>
                </c:pt>
                <c:pt idx="9">
                  <c:v>0.97175824681989598</c:v>
                </c:pt>
                <c:pt idx="10">
                  <c:v>1.1564780259892518</c:v>
                </c:pt>
                <c:pt idx="11">
                  <c:v>0.83980356916531129</c:v>
                </c:pt>
                <c:pt idx="12">
                  <c:v>0.89024740531416913</c:v>
                </c:pt>
                <c:pt idx="13">
                  <c:v>0.8631602441322479</c:v>
                </c:pt>
                <c:pt idx="14">
                  <c:v>0.56669751118756573</c:v>
                </c:pt>
                <c:pt idx="15">
                  <c:v>0.69688335279007774</c:v>
                </c:pt>
                <c:pt idx="16">
                  <c:v>0.22683805535071916</c:v>
                </c:pt>
                <c:pt idx="17">
                  <c:v>0.62613660882730571</c:v>
                </c:pt>
                <c:pt idx="18">
                  <c:v>1.2117320186863305</c:v>
                </c:pt>
                <c:pt idx="19">
                  <c:v>1.1288383170115983</c:v>
                </c:pt>
                <c:pt idx="20">
                  <c:v>0.75561429339860442</c:v>
                </c:pt>
                <c:pt idx="21">
                  <c:v>0.35332146875319176</c:v>
                </c:pt>
                <c:pt idx="22">
                  <c:v>-7.6714750460200376E-2</c:v>
                </c:pt>
                <c:pt idx="23">
                  <c:v>0.11374261487730158</c:v>
                </c:pt>
                <c:pt idx="24">
                  <c:v>0.15601112746336529</c:v>
                </c:pt>
                <c:pt idx="25">
                  <c:v>0.54266352693766318</c:v>
                </c:pt>
                <c:pt idx="26">
                  <c:v>-8.0855115176431069E-2</c:v>
                </c:pt>
                <c:pt idx="27">
                  <c:v>0.89079884455950054</c:v>
                </c:pt>
                <c:pt idx="28">
                  <c:v>0.55228474104743064</c:v>
                </c:pt>
                <c:pt idx="29">
                  <c:v>8.2600874293086268E-2</c:v>
                </c:pt>
                <c:pt idx="30">
                  <c:v>0.174440579107005</c:v>
                </c:pt>
                <c:pt idx="31">
                  <c:v>0.52235734594298466</c:v>
                </c:pt>
                <c:pt idx="32">
                  <c:v>0.24993201508831367</c:v>
                </c:pt>
                <c:pt idx="33">
                  <c:v>0.68872367538126222</c:v>
                </c:pt>
                <c:pt idx="34">
                  <c:v>0.43388785963871696</c:v>
                </c:pt>
                <c:pt idx="35">
                  <c:v>0.84329031360495832</c:v>
                </c:pt>
                <c:pt idx="36">
                  <c:v>0.38740769094285549</c:v>
                </c:pt>
                <c:pt idx="37">
                  <c:v>0.3473045970704246</c:v>
                </c:pt>
                <c:pt idx="38">
                  <c:v>-2.1636097451872838E-2</c:v>
                </c:pt>
                <c:pt idx="39">
                  <c:v>0.37502434350637048</c:v>
                </c:pt>
                <c:pt idx="40">
                  <c:v>5.729904476545955E-2</c:v>
                </c:pt>
                <c:pt idx="41">
                  <c:v>0.5929949083714896</c:v>
                </c:pt>
                <c:pt idx="42">
                  <c:v>0.8982366834721176</c:v>
                </c:pt>
                <c:pt idx="43">
                  <c:v>1.0389736046529929</c:v>
                </c:pt>
                <c:pt idx="44">
                  <c:v>0.85134327235717733</c:v>
                </c:pt>
                <c:pt idx="45">
                  <c:v>0.70397440065766281</c:v>
                </c:pt>
                <c:pt idx="46">
                  <c:v>0.35535209964114445</c:v>
                </c:pt>
                <c:pt idx="47">
                  <c:v>0.9754361937023901</c:v>
                </c:pt>
                <c:pt idx="48">
                  <c:v>0.53740324538966699</c:v>
                </c:pt>
                <c:pt idx="49">
                  <c:v>0.58045476374917282</c:v>
                </c:pt>
                <c:pt idx="50">
                  <c:v>0.12800348592157823</c:v>
                </c:pt>
                <c:pt idx="51">
                  <c:v>0.23213476845123476</c:v>
                </c:pt>
                <c:pt idx="52">
                  <c:v>0.27866432580984413</c:v>
                </c:pt>
                <c:pt idx="53">
                  <c:v>-3.3315832244599219E-3</c:v>
                </c:pt>
                <c:pt idx="54">
                  <c:v>0.10005956463405544</c:v>
                </c:pt>
                <c:pt idx="55">
                  <c:v>6.4882615257492393E-2</c:v>
                </c:pt>
                <c:pt idx="56">
                  <c:v>0.23532141988113561</c:v>
                </c:pt>
                <c:pt idx="57">
                  <c:v>5.428010678153633E-2</c:v>
                </c:pt>
                <c:pt idx="58">
                  <c:v>4.6383969024866523E-2</c:v>
                </c:pt>
                <c:pt idx="59">
                  <c:v>0.40010234551372165</c:v>
                </c:pt>
                <c:pt idx="60">
                  <c:v>0.83121011644090392</c:v>
                </c:pt>
                <c:pt idx="61">
                  <c:v>1.1710918307900049</c:v>
                </c:pt>
                <c:pt idx="62">
                  <c:v>0.36325993201339357</c:v>
                </c:pt>
                <c:pt idx="63">
                  <c:v>0.69438830147189923</c:v>
                </c:pt>
                <c:pt idx="64">
                  <c:v>0.78410064387356782</c:v>
                </c:pt>
                <c:pt idx="65">
                  <c:v>0.40745358396245868</c:v>
                </c:pt>
                <c:pt idx="66">
                  <c:v>0.26873442750893917</c:v>
                </c:pt>
                <c:pt idx="67">
                  <c:v>0.24106086320466119</c:v>
                </c:pt>
                <c:pt idx="68">
                  <c:v>0.72981425396880528</c:v>
                </c:pt>
                <c:pt idx="69">
                  <c:v>0.31864684296182028</c:v>
                </c:pt>
                <c:pt idx="70">
                  <c:v>0.32088057438362505</c:v>
                </c:pt>
                <c:pt idx="71">
                  <c:v>0.48352704900689553</c:v>
                </c:pt>
                <c:pt idx="72">
                  <c:v>0.98866534910405945</c:v>
                </c:pt>
                <c:pt idx="73">
                  <c:v>0.5877355235149212</c:v>
                </c:pt>
                <c:pt idx="74">
                  <c:v>1.6524740701260754E-2</c:v>
                </c:pt>
                <c:pt idx="75">
                  <c:v>0.46149075730855144</c:v>
                </c:pt>
                <c:pt idx="76">
                  <c:v>0.63788597955897941</c:v>
                </c:pt>
                <c:pt idx="77">
                  <c:v>0.54745736085353847</c:v>
                </c:pt>
                <c:pt idx="78">
                  <c:v>0.43586488059095641</c:v>
                </c:pt>
                <c:pt idx="79">
                  <c:v>0.62671909443598428</c:v>
                </c:pt>
                <c:pt idx="80">
                  <c:v>0.60709123021863087</c:v>
                </c:pt>
                <c:pt idx="81">
                  <c:v>0.89839537095906596</c:v>
                </c:pt>
                <c:pt idx="82">
                  <c:v>1.4112456139006144</c:v>
                </c:pt>
                <c:pt idx="83">
                  <c:v>0.92720408690991596</c:v>
                </c:pt>
                <c:pt idx="84">
                  <c:v>0.60128523845566906</c:v>
                </c:pt>
                <c:pt idx="85">
                  <c:v>0.72598041819908488</c:v>
                </c:pt>
                <c:pt idx="86">
                  <c:v>0.92852352809721705</c:v>
                </c:pt>
                <c:pt idx="87">
                  <c:v>0.78378268424483388</c:v>
                </c:pt>
                <c:pt idx="88">
                  <c:v>0.60124838321270746</c:v>
                </c:pt>
                <c:pt idx="89">
                  <c:v>0.26918436552512093</c:v>
                </c:pt>
                <c:pt idx="90">
                  <c:v>0.88124795958359092</c:v>
                </c:pt>
                <c:pt idx="91">
                  <c:v>0.53595480361347936</c:v>
                </c:pt>
                <c:pt idx="92">
                  <c:v>0.21442035036292711</c:v>
                </c:pt>
                <c:pt idx="93">
                  <c:v>0.97854144789567343</c:v>
                </c:pt>
                <c:pt idx="94">
                  <c:v>1.0693559806491337</c:v>
                </c:pt>
                <c:pt idx="95">
                  <c:v>0.82528997603986998</c:v>
                </c:pt>
                <c:pt idx="96">
                  <c:v>0.69804150350718952</c:v>
                </c:pt>
                <c:pt idx="97">
                  <c:v>1.0638939406687813</c:v>
                </c:pt>
                <c:pt idx="98">
                  <c:v>0.83563580747282484</c:v>
                </c:pt>
                <c:pt idx="99">
                  <c:v>0.67365781372740707</c:v>
                </c:pt>
                <c:pt idx="100">
                  <c:v>0.60793795518800164</c:v>
                </c:pt>
                <c:pt idx="101">
                  <c:v>0.85807386195564683</c:v>
                </c:pt>
                <c:pt idx="102">
                  <c:v>0.64730396187695916</c:v>
                </c:pt>
                <c:pt idx="103">
                  <c:v>0.72698210206556635</c:v>
                </c:pt>
                <c:pt idx="104">
                  <c:v>0.49045529880531569</c:v>
                </c:pt>
                <c:pt idx="105">
                  <c:v>0.75384373051152609</c:v>
                </c:pt>
                <c:pt idx="106">
                  <c:v>0.89856229473799198</c:v>
                </c:pt>
                <c:pt idx="107">
                  <c:v>0.76351691520442011</c:v>
                </c:pt>
                <c:pt idx="108">
                  <c:v>0.97246913038091443</c:v>
                </c:pt>
                <c:pt idx="109">
                  <c:v>0.51652229531819271</c:v>
                </c:pt>
                <c:pt idx="110">
                  <c:v>1.0903143277837082</c:v>
                </c:pt>
                <c:pt idx="111">
                  <c:v>1.156841499635656</c:v>
                </c:pt>
                <c:pt idx="112">
                  <c:v>0.54988434725595947</c:v>
                </c:pt>
                <c:pt idx="113">
                  <c:v>0.47037102126037483</c:v>
                </c:pt>
                <c:pt idx="114">
                  <c:v>0.79607614974969299</c:v>
                </c:pt>
                <c:pt idx="115">
                  <c:v>0.38194668950162075</c:v>
                </c:pt>
                <c:pt idx="116">
                  <c:v>0.87943408475460205</c:v>
                </c:pt>
                <c:pt idx="117">
                  <c:v>1.0030198195729381</c:v>
                </c:pt>
                <c:pt idx="118">
                  <c:v>0.93479091788615709</c:v>
                </c:pt>
                <c:pt idx="119">
                  <c:v>0.53859366274086828</c:v>
                </c:pt>
                <c:pt idx="120">
                  <c:v>0.78739313354507035</c:v>
                </c:pt>
                <c:pt idx="121">
                  <c:v>0.77315891652495905</c:v>
                </c:pt>
                <c:pt idx="122">
                  <c:v>0.66860766658777604</c:v>
                </c:pt>
                <c:pt idx="123">
                  <c:v>0.85849333848464859</c:v>
                </c:pt>
                <c:pt idx="124">
                  <c:v>1.0658836373647176</c:v>
                </c:pt>
                <c:pt idx="125">
                  <c:v>0.53037533978868956</c:v>
                </c:pt>
                <c:pt idx="126">
                  <c:v>0.51462607461416432</c:v>
                </c:pt>
                <c:pt idx="127">
                  <c:v>0.18722844744004008</c:v>
                </c:pt>
                <c:pt idx="128">
                  <c:v>0.6900809813170854</c:v>
                </c:pt>
                <c:pt idx="129">
                  <c:v>1.2433677044746778</c:v>
                </c:pt>
                <c:pt idx="130">
                  <c:v>0.99189489769152661</c:v>
                </c:pt>
                <c:pt idx="131">
                  <c:v>1.0289553058608252</c:v>
                </c:pt>
                <c:pt idx="132">
                  <c:v>1.3107161020274352</c:v>
                </c:pt>
                <c:pt idx="133">
                  <c:v>0.95147602294215528</c:v>
                </c:pt>
                <c:pt idx="134">
                  <c:v>1.245687580629226</c:v>
                </c:pt>
                <c:pt idx="135">
                  <c:v>0.90198969588868616</c:v>
                </c:pt>
                <c:pt idx="136">
                  <c:v>0.54373804685028304</c:v>
                </c:pt>
                <c:pt idx="137">
                  <c:v>0.34588984314023297</c:v>
                </c:pt>
                <c:pt idx="138">
                  <c:v>0.15491086880542165</c:v>
                </c:pt>
                <c:pt idx="139">
                  <c:v>0.35392418815257609</c:v>
                </c:pt>
                <c:pt idx="140">
                  <c:v>0.52733602977285865</c:v>
                </c:pt>
                <c:pt idx="141">
                  <c:v>0.58700472003197424</c:v>
                </c:pt>
                <c:pt idx="142">
                  <c:v>-5.3045292329378602E-2</c:v>
                </c:pt>
                <c:pt idx="143">
                  <c:v>0.14016144159728197</c:v>
                </c:pt>
                <c:pt idx="144">
                  <c:v>0.90823204458368711</c:v>
                </c:pt>
                <c:pt idx="145">
                  <c:v>1.0227404992948146</c:v>
                </c:pt>
                <c:pt idx="146">
                  <c:v>0.36897234318029171</c:v>
                </c:pt>
                <c:pt idx="147">
                  <c:v>0.20416313276672243</c:v>
                </c:pt>
                <c:pt idx="148">
                  <c:v>0.20714963155779689</c:v>
                </c:pt>
                <c:pt idx="149">
                  <c:v>7.1010862026925359E-2</c:v>
                </c:pt>
                <c:pt idx="150">
                  <c:v>0.61850403811369004</c:v>
                </c:pt>
                <c:pt idx="151">
                  <c:v>5.6227781022385681E-2</c:v>
                </c:pt>
                <c:pt idx="152">
                  <c:v>0.61746711570146429</c:v>
                </c:pt>
                <c:pt idx="153">
                  <c:v>0.32169227700485276</c:v>
                </c:pt>
                <c:pt idx="154">
                  <c:v>0.6269705901905358</c:v>
                </c:pt>
                <c:pt idx="155">
                  <c:v>0.15200759591670471</c:v>
                </c:pt>
                <c:pt idx="156">
                  <c:v>0.1474654999089488</c:v>
                </c:pt>
                <c:pt idx="157">
                  <c:v>0.29184370349185945</c:v>
                </c:pt>
                <c:pt idx="158">
                  <c:v>0.35233130015600223</c:v>
                </c:pt>
                <c:pt idx="159">
                  <c:v>-0.17305395054489225</c:v>
                </c:pt>
                <c:pt idx="160">
                  <c:v>0.30048017057114568</c:v>
                </c:pt>
                <c:pt idx="161">
                  <c:v>1.2969349993219057</c:v>
                </c:pt>
                <c:pt idx="162">
                  <c:v>0.71478177448244784</c:v>
                </c:pt>
                <c:pt idx="163">
                  <c:v>1.0130701482898461</c:v>
                </c:pt>
                <c:pt idx="164">
                  <c:v>0.79870833505666605</c:v>
                </c:pt>
                <c:pt idx="165">
                  <c:v>0.82779045179565958</c:v>
                </c:pt>
                <c:pt idx="166">
                  <c:v>0.27240723256318022</c:v>
                </c:pt>
                <c:pt idx="167">
                  <c:v>0.4313600547807605</c:v>
                </c:pt>
                <c:pt idx="168">
                  <c:v>0.56818055203605078</c:v>
                </c:pt>
                <c:pt idx="169">
                  <c:v>0.71481441570101989</c:v>
                </c:pt>
                <c:pt idx="170">
                  <c:v>0.37395645262306465</c:v>
                </c:pt>
                <c:pt idx="171">
                  <c:v>0.2715606222188951</c:v>
                </c:pt>
                <c:pt idx="172">
                  <c:v>-0.14669707300583634</c:v>
                </c:pt>
                <c:pt idx="173">
                  <c:v>0.1806785558628943</c:v>
                </c:pt>
                <c:pt idx="174">
                  <c:v>7.9097562071884786E-3</c:v>
                </c:pt>
                <c:pt idx="175">
                  <c:v>0.88588821228623482</c:v>
                </c:pt>
                <c:pt idx="176">
                  <c:v>0.19284095842491172</c:v>
                </c:pt>
                <c:pt idx="177">
                  <c:v>0.19180824299330357</c:v>
                </c:pt>
                <c:pt idx="178">
                  <c:v>0.27413443910990754</c:v>
                </c:pt>
                <c:pt idx="179">
                  <c:v>0.28030685726034588</c:v>
                </c:pt>
                <c:pt idx="180">
                  <c:v>0.29274929498852764</c:v>
                </c:pt>
                <c:pt idx="181">
                  <c:v>0.60675837473240435</c:v>
                </c:pt>
                <c:pt idx="182">
                  <c:v>1.1273136335590999</c:v>
                </c:pt>
                <c:pt idx="183">
                  <c:v>0.93594819871901469</c:v>
                </c:pt>
                <c:pt idx="184">
                  <c:v>0.93002746895311672</c:v>
                </c:pt>
                <c:pt idx="185">
                  <c:v>1.0555876066800396</c:v>
                </c:pt>
                <c:pt idx="186">
                  <c:v>0.52116771229660863</c:v>
                </c:pt>
                <c:pt idx="187">
                  <c:v>0.81279049475133536</c:v>
                </c:pt>
                <c:pt idx="188">
                  <c:v>0.69036150710411748</c:v>
                </c:pt>
                <c:pt idx="189">
                  <c:v>1.0083069688584001</c:v>
                </c:pt>
                <c:pt idx="190">
                  <c:v>0.49754105668223914</c:v>
                </c:pt>
                <c:pt idx="191">
                  <c:v>0.96212044635903238</c:v>
                </c:pt>
                <c:pt idx="192">
                  <c:v>1.382951617264828</c:v>
                </c:pt>
                <c:pt idx="193">
                  <c:v>0.69034154611146881</c:v>
                </c:pt>
                <c:pt idx="194">
                  <c:v>0.75342419300979102</c:v>
                </c:pt>
                <c:pt idx="195">
                  <c:v>0.59114818204450903</c:v>
                </c:pt>
                <c:pt idx="196">
                  <c:v>0.96172998387025144</c:v>
                </c:pt>
                <c:pt idx="197">
                  <c:v>0.78580355116497269</c:v>
                </c:pt>
                <c:pt idx="198">
                  <c:v>0.43849649083362446</c:v>
                </c:pt>
                <c:pt idx="199">
                  <c:v>0.36093554680923057</c:v>
                </c:pt>
                <c:pt idx="200">
                  <c:v>0.10353779476796576</c:v>
                </c:pt>
                <c:pt idx="201">
                  <c:v>0.7609610103315394</c:v>
                </c:pt>
                <c:pt idx="202">
                  <c:v>1.3096734146503441</c:v>
                </c:pt>
                <c:pt idx="203">
                  <c:v>1.5324528779837641</c:v>
                </c:pt>
                <c:pt idx="204">
                  <c:v>0.73762180902526464</c:v>
                </c:pt>
                <c:pt idx="205">
                  <c:v>0.73786141982230102</c:v>
                </c:pt>
                <c:pt idx="206">
                  <c:v>0.67965432157180916</c:v>
                </c:pt>
                <c:pt idx="207">
                  <c:v>0.61468225483372252</c:v>
                </c:pt>
                <c:pt idx="208">
                  <c:v>0.96208246797045005</c:v>
                </c:pt>
                <c:pt idx="209">
                  <c:v>0.5064627413719146</c:v>
                </c:pt>
                <c:pt idx="210">
                  <c:v>0.44447573186928069</c:v>
                </c:pt>
                <c:pt idx="211">
                  <c:v>-5.0412173621614986E-2</c:v>
                </c:pt>
                <c:pt idx="212">
                  <c:v>0.38063116759129972</c:v>
                </c:pt>
                <c:pt idx="213">
                  <c:v>0.62422498846326802</c:v>
                </c:pt>
                <c:pt idx="214">
                  <c:v>0.47566260520498294</c:v>
                </c:pt>
                <c:pt idx="215">
                  <c:v>0.47824406285582249</c:v>
                </c:pt>
                <c:pt idx="216">
                  <c:v>0.55862808211451187</c:v>
                </c:pt>
                <c:pt idx="217">
                  <c:v>0.10045618538586176</c:v>
                </c:pt>
                <c:pt idx="218">
                  <c:v>0.35350636703037402</c:v>
                </c:pt>
                <c:pt idx="219">
                  <c:v>0.25944172154717982</c:v>
                </c:pt>
                <c:pt idx="220">
                  <c:v>0.85022325637615404</c:v>
                </c:pt>
                <c:pt idx="221">
                  <c:v>0.38331907879183486</c:v>
                </c:pt>
                <c:pt idx="222">
                  <c:v>0.6552429078272447</c:v>
                </c:pt>
                <c:pt idx="223">
                  <c:v>0.64901015886290936</c:v>
                </c:pt>
                <c:pt idx="224">
                  <c:v>0.69421200375820491</c:v>
                </c:pt>
                <c:pt idx="225">
                  <c:v>0.65899412628657883</c:v>
                </c:pt>
                <c:pt idx="226">
                  <c:v>0.23469583178520642</c:v>
                </c:pt>
                <c:pt idx="227">
                  <c:v>0.14350785979271977</c:v>
                </c:pt>
                <c:pt idx="228">
                  <c:v>3.6129857057882964E-2</c:v>
                </c:pt>
                <c:pt idx="229">
                  <c:v>0.18381302791051313</c:v>
                </c:pt>
                <c:pt idx="230">
                  <c:v>0.15054487484019563</c:v>
                </c:pt>
                <c:pt idx="231">
                  <c:v>0.23130596708643536</c:v>
                </c:pt>
                <c:pt idx="232">
                  <c:v>0.36501431640917992</c:v>
                </c:pt>
                <c:pt idx="233">
                  <c:v>0.32664627813973163</c:v>
                </c:pt>
                <c:pt idx="234">
                  <c:v>0.67989669013346954</c:v>
                </c:pt>
                <c:pt idx="235">
                  <c:v>0.68640008384149942</c:v>
                </c:pt>
                <c:pt idx="236">
                  <c:v>1.0236459642474043</c:v>
                </c:pt>
                <c:pt idx="237">
                  <c:v>0.84322834935350133</c:v>
                </c:pt>
                <c:pt idx="238">
                  <c:v>0.76658440748420109</c:v>
                </c:pt>
                <c:pt idx="239">
                  <c:v>1.0744683495053853</c:v>
                </c:pt>
                <c:pt idx="240">
                  <c:v>1.112941646441415</c:v>
                </c:pt>
                <c:pt idx="241">
                  <c:v>1.4952795336905469</c:v>
                </c:pt>
                <c:pt idx="242">
                  <c:v>0.98902424764283348</c:v>
                </c:pt>
                <c:pt idx="243">
                  <c:v>0.23115384786851945</c:v>
                </c:pt>
                <c:pt idx="244">
                  <c:v>1.0633115360934551</c:v>
                </c:pt>
                <c:pt idx="245">
                  <c:v>1.0328656139901464</c:v>
                </c:pt>
                <c:pt idx="246">
                  <c:v>-0.37640082900976424</c:v>
                </c:pt>
                <c:pt idx="247">
                  <c:v>0.91067755976293774</c:v>
                </c:pt>
                <c:pt idx="248">
                  <c:v>0.59862269359367259</c:v>
                </c:pt>
                <c:pt idx="249">
                  <c:v>0.29578509267230424</c:v>
                </c:pt>
                <c:pt idx="250">
                  <c:v>0.55095210535655448</c:v>
                </c:pt>
                <c:pt idx="251">
                  <c:v>0.16502565260036339</c:v>
                </c:pt>
                <c:pt idx="252">
                  <c:v>0.88318824247332239</c:v>
                </c:pt>
                <c:pt idx="253">
                  <c:v>0.73637158391126556</c:v>
                </c:pt>
                <c:pt idx="254">
                  <c:v>0.25856188899995586</c:v>
                </c:pt>
                <c:pt idx="255">
                  <c:v>0.7900213062783914</c:v>
                </c:pt>
                <c:pt idx="256">
                  <c:v>7.9023929642074719E-2</c:v>
                </c:pt>
                <c:pt idx="257">
                  <c:v>0.5829649302883424</c:v>
                </c:pt>
                <c:pt idx="258">
                  <c:v>0.69869239755702117</c:v>
                </c:pt>
                <c:pt idx="259">
                  <c:v>0.32419063212460186</c:v>
                </c:pt>
                <c:pt idx="260">
                  <c:v>1.0577242052688618</c:v>
                </c:pt>
                <c:pt idx="261">
                  <c:v>0.36563894169862815</c:v>
                </c:pt>
                <c:pt idx="262">
                  <c:v>1.1997385960943494</c:v>
                </c:pt>
                <c:pt idx="263">
                  <c:v>0.89430498455423701</c:v>
                </c:pt>
                <c:pt idx="264">
                  <c:v>1.7202021227361519</c:v>
                </c:pt>
                <c:pt idx="265">
                  <c:v>1.5390065086482831</c:v>
                </c:pt>
                <c:pt idx="266">
                  <c:v>0.70154275233247687</c:v>
                </c:pt>
                <c:pt idx="267">
                  <c:v>0.34748741272570871</c:v>
                </c:pt>
                <c:pt idx="268">
                  <c:v>0.14421521502775458</c:v>
                </c:pt>
                <c:pt idx="269">
                  <c:v>-1.9581269016684999E-2</c:v>
                </c:pt>
                <c:pt idx="270">
                  <c:v>0.10089180699008454</c:v>
                </c:pt>
                <c:pt idx="271">
                  <c:v>0.56717479415612282</c:v>
                </c:pt>
                <c:pt idx="272">
                  <c:v>0.72538733769048025</c:v>
                </c:pt>
                <c:pt idx="273">
                  <c:v>4.4525357841167401E-2</c:v>
                </c:pt>
                <c:pt idx="274">
                  <c:v>0.29317704063685129</c:v>
                </c:pt>
                <c:pt idx="275">
                  <c:v>0.40890221842247615</c:v>
                </c:pt>
                <c:pt idx="276">
                  <c:v>0.52267242813643333</c:v>
                </c:pt>
                <c:pt idx="277">
                  <c:v>0.39556064104360755</c:v>
                </c:pt>
                <c:pt idx="278">
                  <c:v>0.25570473812231009</c:v>
                </c:pt>
                <c:pt idx="279">
                  <c:v>0.29692935581723945</c:v>
                </c:pt>
                <c:pt idx="280">
                  <c:v>1.2954448288591061</c:v>
                </c:pt>
                <c:pt idx="281">
                  <c:v>0.74810922492325416</c:v>
                </c:pt>
                <c:pt idx="282">
                  <c:v>0.42579579279264007</c:v>
                </c:pt>
                <c:pt idx="283">
                  <c:v>0.43140012373600889</c:v>
                </c:pt>
                <c:pt idx="284">
                  <c:v>0.68720876117438712</c:v>
                </c:pt>
                <c:pt idx="285">
                  <c:v>0.95954867748479267</c:v>
                </c:pt>
                <c:pt idx="286">
                  <c:v>0.80739611359307384</c:v>
                </c:pt>
                <c:pt idx="287">
                  <c:v>0.95737388850945615</c:v>
                </c:pt>
                <c:pt idx="288">
                  <c:v>0.74257304052646078</c:v>
                </c:pt>
                <c:pt idx="289">
                  <c:v>0.82043977398697576</c:v>
                </c:pt>
                <c:pt idx="290">
                  <c:v>0.30319896651265399</c:v>
                </c:pt>
                <c:pt idx="291">
                  <c:v>0.6076479506289667</c:v>
                </c:pt>
                <c:pt idx="292">
                  <c:v>3.4323006965460257E-2</c:v>
                </c:pt>
                <c:pt idx="293">
                  <c:v>-4.6094859649518538E-2</c:v>
                </c:pt>
                <c:pt idx="294">
                  <c:v>0.32374268653336857</c:v>
                </c:pt>
                <c:pt idx="295">
                  <c:v>0.9017279155627993</c:v>
                </c:pt>
                <c:pt idx="296">
                  <c:v>0.59671710014396051</c:v>
                </c:pt>
                <c:pt idx="297">
                  <c:v>0.63803664490254275</c:v>
                </c:pt>
                <c:pt idx="298">
                  <c:v>0.70967110449309057</c:v>
                </c:pt>
                <c:pt idx="299">
                  <c:v>0.37086317266968238</c:v>
                </c:pt>
                <c:pt idx="300">
                  <c:v>-5.0190500140381067E-2</c:v>
                </c:pt>
                <c:pt idx="301">
                  <c:v>0.56143831979294956</c:v>
                </c:pt>
                <c:pt idx="302">
                  <c:v>0.73142051966480703</c:v>
                </c:pt>
                <c:pt idx="303">
                  <c:v>0.55588379108263608</c:v>
                </c:pt>
                <c:pt idx="304">
                  <c:v>0.52681070585307754</c:v>
                </c:pt>
                <c:pt idx="305">
                  <c:v>0.87435191074426566</c:v>
                </c:pt>
                <c:pt idx="306">
                  <c:v>0.48336448398594078</c:v>
                </c:pt>
                <c:pt idx="307">
                  <c:v>0.93981107761408467</c:v>
                </c:pt>
                <c:pt idx="308">
                  <c:v>0.73808305225782178</c:v>
                </c:pt>
                <c:pt idx="309">
                  <c:v>0.81743405360314614</c:v>
                </c:pt>
                <c:pt idx="310">
                  <c:v>0.32606056792424792</c:v>
                </c:pt>
                <c:pt idx="311">
                  <c:v>0.755000663704682</c:v>
                </c:pt>
                <c:pt idx="312">
                  <c:v>-5.3355167445900742E-2</c:v>
                </c:pt>
                <c:pt idx="313">
                  <c:v>0.76523507594017492</c:v>
                </c:pt>
                <c:pt idx="314">
                  <c:v>5.3823331234828964E-2</c:v>
                </c:pt>
                <c:pt idx="315">
                  <c:v>0.24542962842493185</c:v>
                </c:pt>
                <c:pt idx="316">
                  <c:v>0.70704186214430487</c:v>
                </c:pt>
                <c:pt idx="317">
                  <c:v>0.75173288258859883</c:v>
                </c:pt>
                <c:pt idx="318">
                  <c:v>1.0852941008047803</c:v>
                </c:pt>
                <c:pt idx="319">
                  <c:v>0.85526937138653214</c:v>
                </c:pt>
                <c:pt idx="320">
                  <c:v>0.64866381861485922</c:v>
                </c:pt>
                <c:pt idx="321">
                  <c:v>0.3756259620517029</c:v>
                </c:pt>
                <c:pt idx="322">
                  <c:v>0.47125961039301412</c:v>
                </c:pt>
                <c:pt idx="323">
                  <c:v>-6.5098718131982258E-2</c:v>
                </c:pt>
                <c:pt idx="324">
                  <c:v>0.29437258687765522</c:v>
                </c:pt>
                <c:pt idx="325">
                  <c:v>0.35215918524566614</c:v>
                </c:pt>
                <c:pt idx="326">
                  <c:v>0.38027123383487688</c:v>
                </c:pt>
                <c:pt idx="327">
                  <c:v>0.78058014750003613</c:v>
                </c:pt>
                <c:pt idx="328">
                  <c:v>1.246709596451824</c:v>
                </c:pt>
                <c:pt idx="329">
                  <c:v>0.68902196114389758</c:v>
                </c:pt>
                <c:pt idx="330">
                  <c:v>0.68199555813320123</c:v>
                </c:pt>
                <c:pt idx="331">
                  <c:v>1.0024751339574929</c:v>
                </c:pt>
                <c:pt idx="332">
                  <c:v>1.1086552186398868E-2</c:v>
                </c:pt>
                <c:pt idx="333">
                  <c:v>0.70886906419452567</c:v>
                </c:pt>
                <c:pt idx="334">
                  <c:v>0.55231775985189346</c:v>
                </c:pt>
                <c:pt idx="335">
                  <c:v>0.38496601774154937</c:v>
                </c:pt>
                <c:pt idx="336">
                  <c:v>1.0606845443494115</c:v>
                </c:pt>
                <c:pt idx="337">
                  <c:v>4.9949379594978138E-2</c:v>
                </c:pt>
                <c:pt idx="338">
                  <c:v>0.81754772498694517</c:v>
                </c:pt>
                <c:pt idx="339">
                  <c:v>1.0911941842481854</c:v>
                </c:pt>
                <c:pt idx="340">
                  <c:v>0.54013398671524371</c:v>
                </c:pt>
                <c:pt idx="341">
                  <c:v>0.63757971062051733</c:v>
                </c:pt>
                <c:pt idx="342">
                  <c:v>1.1903199884383828</c:v>
                </c:pt>
                <c:pt idx="343">
                  <c:v>0.34259151954591049</c:v>
                </c:pt>
                <c:pt idx="344">
                  <c:v>0.41686503980054795</c:v>
                </c:pt>
                <c:pt idx="345">
                  <c:v>0.92955846240770601</c:v>
                </c:pt>
                <c:pt idx="346">
                  <c:v>0.68645094967229581</c:v>
                </c:pt>
                <c:pt idx="347">
                  <c:v>0.77192750146419231</c:v>
                </c:pt>
                <c:pt idx="348">
                  <c:v>0.43026783480413427</c:v>
                </c:pt>
                <c:pt idx="349">
                  <c:v>1.056534013248519</c:v>
                </c:pt>
                <c:pt idx="350">
                  <c:v>1.2623909869837771</c:v>
                </c:pt>
                <c:pt idx="351">
                  <c:v>1.1010344727371522</c:v>
                </c:pt>
                <c:pt idx="352">
                  <c:v>0.91078362178414785</c:v>
                </c:pt>
                <c:pt idx="353">
                  <c:v>0.60267126636977342</c:v>
                </c:pt>
                <c:pt idx="354">
                  <c:v>0.34086051927521388</c:v>
                </c:pt>
                <c:pt idx="355">
                  <c:v>0.53150054688717341</c:v>
                </c:pt>
                <c:pt idx="356">
                  <c:v>1.0502068220133158</c:v>
                </c:pt>
                <c:pt idx="357">
                  <c:v>0.30224344664881164</c:v>
                </c:pt>
                <c:pt idx="358">
                  <c:v>0.68536777953696881</c:v>
                </c:pt>
                <c:pt idx="359">
                  <c:v>0.47445851637937131</c:v>
                </c:pt>
                <c:pt idx="360">
                  <c:v>-0.24505361152505367</c:v>
                </c:pt>
                <c:pt idx="361">
                  <c:v>-0.19134987721089003</c:v>
                </c:pt>
                <c:pt idx="362">
                  <c:v>0.1850747958909526</c:v>
                </c:pt>
                <c:pt idx="363">
                  <c:v>0.5493176603408686</c:v>
                </c:pt>
                <c:pt idx="364">
                  <c:v>0.77459950099782782</c:v>
                </c:pt>
                <c:pt idx="365">
                  <c:v>0.65427849280809303</c:v>
                </c:pt>
                <c:pt idx="366">
                  <c:v>0.23080918937787792</c:v>
                </c:pt>
                <c:pt idx="367">
                  <c:v>0.20274200040904544</c:v>
                </c:pt>
                <c:pt idx="368">
                  <c:v>0.32682991315726312</c:v>
                </c:pt>
                <c:pt idx="369">
                  <c:v>0.28349549451938971</c:v>
                </c:pt>
                <c:pt idx="370">
                  <c:v>0.82505845261934962</c:v>
                </c:pt>
                <c:pt idx="371">
                  <c:v>0.95748058941484637</c:v>
                </c:pt>
                <c:pt idx="372">
                  <c:v>0.95473117253138673</c:v>
                </c:pt>
                <c:pt idx="373">
                  <c:v>0.55454415669337853</c:v>
                </c:pt>
                <c:pt idx="374">
                  <c:v>1.3429481168604367</c:v>
                </c:pt>
                <c:pt idx="375">
                  <c:v>1.1064036497221887</c:v>
                </c:pt>
                <c:pt idx="376">
                  <c:v>1.1561691133993734</c:v>
                </c:pt>
                <c:pt idx="377">
                  <c:v>0.47646797210363712</c:v>
                </c:pt>
                <c:pt idx="378">
                  <c:v>0.28790878577453005</c:v>
                </c:pt>
                <c:pt idx="379">
                  <c:v>0.65069769774512898</c:v>
                </c:pt>
                <c:pt idx="380">
                  <c:v>1.5542477140574016</c:v>
                </c:pt>
                <c:pt idx="381">
                  <c:v>1.0472421387390436</c:v>
                </c:pt>
                <c:pt idx="382">
                  <c:v>0.4281461502903085</c:v>
                </c:pt>
                <c:pt idx="383">
                  <c:v>0.47532588658770281</c:v>
                </c:pt>
                <c:pt idx="384">
                  <c:v>0.92046433085168333</c:v>
                </c:pt>
                <c:pt idx="385">
                  <c:v>0.17353472996559188</c:v>
                </c:pt>
                <c:pt idx="386">
                  <c:v>0.47185200027644819</c:v>
                </c:pt>
                <c:pt idx="387">
                  <c:v>0.51376586628604115</c:v>
                </c:pt>
                <c:pt idx="388">
                  <c:v>0.81953688547465697</c:v>
                </c:pt>
                <c:pt idx="389">
                  <c:v>0.81372905913746585</c:v>
                </c:pt>
                <c:pt idx="390">
                  <c:v>0.65488399935288055</c:v>
                </c:pt>
                <c:pt idx="391">
                  <c:v>0.49387103751715405</c:v>
                </c:pt>
                <c:pt idx="392">
                  <c:v>0.112776959652996</c:v>
                </c:pt>
                <c:pt idx="393">
                  <c:v>5.3746035940608561E-2</c:v>
                </c:pt>
                <c:pt idx="394">
                  <c:v>0.32481810427356528</c:v>
                </c:pt>
                <c:pt idx="395">
                  <c:v>-0.16504946010549504</c:v>
                </c:pt>
                <c:pt idx="396">
                  <c:v>0.997149338800983</c:v>
                </c:pt>
                <c:pt idx="397">
                  <c:v>0.87448104165437412</c:v>
                </c:pt>
                <c:pt idx="398">
                  <c:v>0.39399299506235003</c:v>
                </c:pt>
                <c:pt idx="399">
                  <c:v>0.82238207908283889</c:v>
                </c:pt>
                <c:pt idx="400">
                  <c:v>0.61589225561941674</c:v>
                </c:pt>
                <c:pt idx="401">
                  <c:v>-0.38704481825376735</c:v>
                </c:pt>
                <c:pt idx="402">
                  <c:v>0.46322690238485065</c:v>
                </c:pt>
                <c:pt idx="403">
                  <c:v>0.89636119800085323</c:v>
                </c:pt>
                <c:pt idx="404">
                  <c:v>0.77273464652728507</c:v>
                </c:pt>
                <c:pt idx="405">
                  <c:v>0.12635247976889924</c:v>
                </c:pt>
                <c:pt idx="406">
                  <c:v>-0.12038149543285392</c:v>
                </c:pt>
                <c:pt idx="407">
                  <c:v>0.40131445478229277</c:v>
                </c:pt>
                <c:pt idx="408">
                  <c:v>0.30835316185468925</c:v>
                </c:pt>
                <c:pt idx="409">
                  <c:v>-0.22814801421567321</c:v>
                </c:pt>
                <c:pt idx="410">
                  <c:v>0.16142543246035479</c:v>
                </c:pt>
                <c:pt idx="411">
                  <c:v>-0.48736769813151148</c:v>
                </c:pt>
                <c:pt idx="412">
                  <c:v>-0.43101944467644038</c:v>
                </c:pt>
                <c:pt idx="413">
                  <c:v>0.19551572447071572</c:v>
                </c:pt>
                <c:pt idx="414">
                  <c:v>0.60827172726961076</c:v>
                </c:pt>
                <c:pt idx="415">
                  <c:v>0.31103141111608945</c:v>
                </c:pt>
                <c:pt idx="416">
                  <c:v>9.3115686834436218E-2</c:v>
                </c:pt>
                <c:pt idx="417">
                  <c:v>0.42581939601724345</c:v>
                </c:pt>
                <c:pt idx="418">
                  <c:v>0.64939249776343666</c:v>
                </c:pt>
                <c:pt idx="419">
                  <c:v>0.34147691443985762</c:v>
                </c:pt>
                <c:pt idx="420">
                  <c:v>8.5074522139102826E-2</c:v>
                </c:pt>
                <c:pt idx="421">
                  <c:v>0.49461442922695381</c:v>
                </c:pt>
                <c:pt idx="422">
                  <c:v>0.94917555651561314</c:v>
                </c:pt>
                <c:pt idx="423">
                  <c:v>0.53454238022087719</c:v>
                </c:pt>
                <c:pt idx="424">
                  <c:v>0.44927062104437687</c:v>
                </c:pt>
                <c:pt idx="425">
                  <c:v>0.54622743583993694</c:v>
                </c:pt>
                <c:pt idx="426">
                  <c:v>0.69849150993043818</c:v>
                </c:pt>
                <c:pt idx="427">
                  <c:v>1.2863777631417581</c:v>
                </c:pt>
                <c:pt idx="428">
                  <c:v>1.4747746654260019</c:v>
                </c:pt>
                <c:pt idx="429">
                  <c:v>0.606718321967739</c:v>
                </c:pt>
                <c:pt idx="430">
                  <c:v>0.22611204984006728</c:v>
                </c:pt>
                <c:pt idx="431">
                  <c:v>0.8264962808937899</c:v>
                </c:pt>
                <c:pt idx="432">
                  <c:v>0.25742066277833486</c:v>
                </c:pt>
                <c:pt idx="433">
                  <c:v>0.57008171378622341</c:v>
                </c:pt>
                <c:pt idx="434">
                  <c:v>0.82753314077254969</c:v>
                </c:pt>
                <c:pt idx="435">
                  <c:v>1.0611323598975835</c:v>
                </c:pt>
                <c:pt idx="436">
                  <c:v>0.64570319313617697</c:v>
                </c:pt>
                <c:pt idx="437">
                  <c:v>0.3983209948829593</c:v>
                </c:pt>
                <c:pt idx="438">
                  <c:v>0.52382022621113078</c:v>
                </c:pt>
                <c:pt idx="439">
                  <c:v>0.49729598494022192</c:v>
                </c:pt>
                <c:pt idx="440">
                  <c:v>-0.17423785726053598</c:v>
                </c:pt>
                <c:pt idx="441">
                  <c:v>0.32195789997605778</c:v>
                </c:pt>
                <c:pt idx="442">
                  <c:v>0.26838123139641512</c:v>
                </c:pt>
                <c:pt idx="443">
                  <c:v>0.22148096121856078</c:v>
                </c:pt>
                <c:pt idx="444">
                  <c:v>0.68006885687623742</c:v>
                </c:pt>
                <c:pt idx="445">
                  <c:v>0.5071915724672007</c:v>
                </c:pt>
                <c:pt idx="446">
                  <c:v>0.78152113201612683</c:v>
                </c:pt>
                <c:pt idx="447">
                  <c:v>0.32446753863233579</c:v>
                </c:pt>
                <c:pt idx="448">
                  <c:v>-0.13632308518342068</c:v>
                </c:pt>
                <c:pt idx="449">
                  <c:v>0.59482527088536963</c:v>
                </c:pt>
                <c:pt idx="450">
                  <c:v>0.55177512183476785</c:v>
                </c:pt>
                <c:pt idx="451">
                  <c:v>0.53804685980069489</c:v>
                </c:pt>
                <c:pt idx="452">
                  <c:v>1.1378433566635451</c:v>
                </c:pt>
                <c:pt idx="453">
                  <c:v>0.68397511380585141</c:v>
                </c:pt>
                <c:pt idx="454">
                  <c:v>0.8416126843958226</c:v>
                </c:pt>
                <c:pt idx="455">
                  <c:v>0.45385348040588769</c:v>
                </c:pt>
                <c:pt idx="456">
                  <c:v>8.9459051975005588E-2</c:v>
                </c:pt>
                <c:pt idx="457">
                  <c:v>0.60339756618049556</c:v>
                </c:pt>
                <c:pt idx="458">
                  <c:v>0.64082472291438741</c:v>
                </c:pt>
                <c:pt idx="459">
                  <c:v>0.96198642112853916</c:v>
                </c:pt>
                <c:pt idx="460">
                  <c:v>0.97323399828069634</c:v>
                </c:pt>
                <c:pt idx="461">
                  <c:v>0.9070685189320149</c:v>
                </c:pt>
                <c:pt idx="462">
                  <c:v>0.98262834955655576</c:v>
                </c:pt>
                <c:pt idx="463">
                  <c:v>0.63404179182595288</c:v>
                </c:pt>
                <c:pt idx="464">
                  <c:v>0.65730662812010687</c:v>
                </c:pt>
                <c:pt idx="465">
                  <c:v>0.56336954872063094</c:v>
                </c:pt>
                <c:pt idx="466">
                  <c:v>0.40097787329957923</c:v>
                </c:pt>
                <c:pt idx="467">
                  <c:v>1.0355970092979851</c:v>
                </c:pt>
                <c:pt idx="468">
                  <c:v>0.7728202613758498</c:v>
                </c:pt>
                <c:pt idx="469">
                  <c:v>0.85831775961921875</c:v>
                </c:pt>
                <c:pt idx="470">
                  <c:v>0.93736767450204139</c:v>
                </c:pt>
                <c:pt idx="471">
                  <c:v>1.113694938344918</c:v>
                </c:pt>
                <c:pt idx="472">
                  <c:v>1.1057055757079757</c:v>
                </c:pt>
                <c:pt idx="473">
                  <c:v>1.0345124149944789</c:v>
                </c:pt>
                <c:pt idx="474">
                  <c:v>0.84006204523920713</c:v>
                </c:pt>
                <c:pt idx="475">
                  <c:v>1.2044253097414459</c:v>
                </c:pt>
                <c:pt idx="476">
                  <c:v>-1.5643195407666233E-2</c:v>
                </c:pt>
                <c:pt idx="477">
                  <c:v>0.39665693811857183</c:v>
                </c:pt>
                <c:pt idx="478">
                  <c:v>0.66712562980396861</c:v>
                </c:pt>
                <c:pt idx="479">
                  <c:v>2.8149278761946395E-4</c:v>
                </c:pt>
                <c:pt idx="480">
                  <c:v>0.63960892642073197</c:v>
                </c:pt>
                <c:pt idx="481">
                  <c:v>1.2913200419057338</c:v>
                </c:pt>
                <c:pt idx="482">
                  <c:v>0.87709884978819741</c:v>
                </c:pt>
                <c:pt idx="483">
                  <c:v>0.31770981747893579</c:v>
                </c:pt>
                <c:pt idx="484">
                  <c:v>-0.35511045766509852</c:v>
                </c:pt>
                <c:pt idx="485">
                  <c:v>0.18501849539434037</c:v>
                </c:pt>
                <c:pt idx="486">
                  <c:v>0.69202133402017263</c:v>
                </c:pt>
                <c:pt idx="487">
                  <c:v>0.47687313168067846</c:v>
                </c:pt>
                <c:pt idx="488">
                  <c:v>0.52051021751706916</c:v>
                </c:pt>
                <c:pt idx="489">
                  <c:v>0.80835601496814524</c:v>
                </c:pt>
                <c:pt idx="490">
                  <c:v>0.63104555722828337</c:v>
                </c:pt>
                <c:pt idx="491">
                  <c:v>0.76382788616678354</c:v>
                </c:pt>
                <c:pt idx="492">
                  <c:v>0.84391384196416486</c:v>
                </c:pt>
                <c:pt idx="493">
                  <c:v>0.43128783303465112</c:v>
                </c:pt>
                <c:pt idx="494">
                  <c:v>0.74301275139273915</c:v>
                </c:pt>
                <c:pt idx="495">
                  <c:v>0.15127883478177773</c:v>
                </c:pt>
                <c:pt idx="496">
                  <c:v>0.73521926571247342</c:v>
                </c:pt>
                <c:pt idx="497">
                  <c:v>0.4101105055411215</c:v>
                </c:pt>
                <c:pt idx="498">
                  <c:v>1.0626055024573056</c:v>
                </c:pt>
                <c:pt idx="499">
                  <c:v>0.67509059984275999</c:v>
                </c:pt>
                <c:pt idx="500">
                  <c:v>1.0208624143684824</c:v>
                </c:pt>
                <c:pt idx="501">
                  <c:v>0.93316693023537645</c:v>
                </c:pt>
                <c:pt idx="502">
                  <c:v>0.74125512157390483</c:v>
                </c:pt>
                <c:pt idx="503">
                  <c:v>0.24879694489090853</c:v>
                </c:pt>
                <c:pt idx="504">
                  <c:v>1.0390670579289278</c:v>
                </c:pt>
                <c:pt idx="505">
                  <c:v>0.72336737976614407</c:v>
                </c:pt>
                <c:pt idx="506">
                  <c:v>0.43765873740185346</c:v>
                </c:pt>
                <c:pt idx="507">
                  <c:v>0.77433362984856513</c:v>
                </c:pt>
                <c:pt idx="508">
                  <c:v>0.4769519266229289</c:v>
                </c:pt>
                <c:pt idx="509">
                  <c:v>0.459136054855659</c:v>
                </c:pt>
                <c:pt idx="510">
                  <c:v>0.22176111516593519</c:v>
                </c:pt>
                <c:pt idx="511">
                  <c:v>9.4097167310208701E-2</c:v>
                </c:pt>
                <c:pt idx="512">
                  <c:v>0.52309513788504924</c:v>
                </c:pt>
                <c:pt idx="513">
                  <c:v>0.49169815098303565</c:v>
                </c:pt>
                <c:pt idx="514">
                  <c:v>0.18602151121374189</c:v>
                </c:pt>
                <c:pt idx="515">
                  <c:v>0.55230195058990528</c:v>
                </c:pt>
                <c:pt idx="516">
                  <c:v>0.75686850745869161</c:v>
                </c:pt>
                <c:pt idx="517">
                  <c:v>0.71396973708924794</c:v>
                </c:pt>
                <c:pt idx="518">
                  <c:v>1.1526071359801544</c:v>
                </c:pt>
                <c:pt idx="519">
                  <c:v>0.90012730897501181</c:v>
                </c:pt>
                <c:pt idx="520">
                  <c:v>0.26041196647339193</c:v>
                </c:pt>
                <c:pt idx="521">
                  <c:v>-1.6785400686529062E-2</c:v>
                </c:pt>
                <c:pt idx="522">
                  <c:v>7.957395745504442E-2</c:v>
                </c:pt>
                <c:pt idx="523">
                  <c:v>-0.20212731010580143</c:v>
                </c:pt>
                <c:pt idx="524">
                  <c:v>-8.3596862785725173E-2</c:v>
                </c:pt>
                <c:pt idx="525">
                  <c:v>-5.7416039165031074E-2</c:v>
                </c:pt>
                <c:pt idx="526">
                  <c:v>-0.30557142684281841</c:v>
                </c:pt>
                <c:pt idx="527">
                  <c:v>0.19934677819443142</c:v>
                </c:pt>
                <c:pt idx="528">
                  <c:v>0.37778984228665996</c:v>
                </c:pt>
                <c:pt idx="529">
                  <c:v>0.73351485960531693</c:v>
                </c:pt>
                <c:pt idx="530">
                  <c:v>0.76728573271408873</c:v>
                </c:pt>
                <c:pt idx="531">
                  <c:v>1.0911711046155168</c:v>
                </c:pt>
                <c:pt idx="532">
                  <c:v>0.68987736343545525</c:v>
                </c:pt>
                <c:pt idx="533">
                  <c:v>1.1438187008635294</c:v>
                </c:pt>
                <c:pt idx="534">
                  <c:v>1.2087916869435122</c:v>
                </c:pt>
                <c:pt idx="535">
                  <c:v>1.2253364159313354</c:v>
                </c:pt>
                <c:pt idx="536">
                  <c:v>0.70449279595883307</c:v>
                </c:pt>
                <c:pt idx="537">
                  <c:v>0.68957762809322265</c:v>
                </c:pt>
                <c:pt idx="538">
                  <c:v>0.51904989276785696</c:v>
                </c:pt>
                <c:pt idx="539">
                  <c:v>0.91608000618610419</c:v>
                </c:pt>
                <c:pt idx="540">
                  <c:v>0.99550727787513926</c:v>
                </c:pt>
                <c:pt idx="541">
                  <c:v>1.0936257851581339</c:v>
                </c:pt>
                <c:pt idx="542">
                  <c:v>0.80519388419562399</c:v>
                </c:pt>
                <c:pt idx="543">
                  <c:v>0.76693261121469458</c:v>
                </c:pt>
                <c:pt idx="544">
                  <c:v>0.44981806869318408</c:v>
                </c:pt>
                <c:pt idx="545">
                  <c:v>0.91381554118763741</c:v>
                </c:pt>
                <c:pt idx="546">
                  <c:v>0.28861419142086531</c:v>
                </c:pt>
                <c:pt idx="547">
                  <c:v>0.86099593141485142</c:v>
                </c:pt>
                <c:pt idx="548">
                  <c:v>0.64100555120923508</c:v>
                </c:pt>
                <c:pt idx="549">
                  <c:v>1.0550722206744452</c:v>
                </c:pt>
                <c:pt idx="550">
                  <c:v>1.0808818317005509</c:v>
                </c:pt>
                <c:pt idx="551">
                  <c:v>1.1668652602055982</c:v>
                </c:pt>
                <c:pt idx="552">
                  <c:v>1.7957799069842522</c:v>
                </c:pt>
                <c:pt idx="553">
                  <c:v>0.73512655960273199</c:v>
                </c:pt>
                <c:pt idx="554">
                  <c:v>1.2144601846426801</c:v>
                </c:pt>
                <c:pt idx="555">
                  <c:v>1.1095594203007397</c:v>
                </c:pt>
                <c:pt idx="556">
                  <c:v>0.83380335543682782</c:v>
                </c:pt>
                <c:pt idx="557">
                  <c:v>0.59981001336014761</c:v>
                </c:pt>
                <c:pt idx="558">
                  <c:v>0.72196303517727722</c:v>
                </c:pt>
                <c:pt idx="559">
                  <c:v>0.565422165570998</c:v>
                </c:pt>
                <c:pt idx="560">
                  <c:v>0.13937286141789151</c:v>
                </c:pt>
                <c:pt idx="561">
                  <c:v>0.31456861374354084</c:v>
                </c:pt>
                <c:pt idx="562">
                  <c:v>0.89508173247706668</c:v>
                </c:pt>
                <c:pt idx="563">
                  <c:v>0.73290657536727344</c:v>
                </c:pt>
                <c:pt idx="564">
                  <c:v>1.2915599902876058</c:v>
                </c:pt>
                <c:pt idx="565">
                  <c:v>0.86391492071674214</c:v>
                </c:pt>
                <c:pt idx="566">
                  <c:v>0.77867522800829136</c:v>
                </c:pt>
                <c:pt idx="567">
                  <c:v>1.1249473259232514</c:v>
                </c:pt>
                <c:pt idx="568">
                  <c:v>1.2723494004541691</c:v>
                </c:pt>
                <c:pt idx="569">
                  <c:v>0.65111851251014996</c:v>
                </c:pt>
                <c:pt idx="570">
                  <c:v>1.3309904866218338</c:v>
                </c:pt>
                <c:pt idx="571">
                  <c:v>1.3278196908768582</c:v>
                </c:pt>
                <c:pt idx="572">
                  <c:v>1.243603946850818</c:v>
                </c:pt>
                <c:pt idx="573">
                  <c:v>0.2624577709892103</c:v>
                </c:pt>
                <c:pt idx="574">
                  <c:v>0.51123022634804405</c:v>
                </c:pt>
                <c:pt idx="575">
                  <c:v>1.120583335082681</c:v>
                </c:pt>
                <c:pt idx="576">
                  <c:v>0.67558077917622994</c:v>
                </c:pt>
                <c:pt idx="577">
                  <c:v>0.18547654758356202</c:v>
                </c:pt>
                <c:pt idx="578">
                  <c:v>0.4877759228551537</c:v>
                </c:pt>
                <c:pt idx="579">
                  <c:v>0.26580963430177507</c:v>
                </c:pt>
                <c:pt idx="580">
                  <c:v>0.83990328133359027</c:v>
                </c:pt>
                <c:pt idx="581">
                  <c:v>0.6544217214154433</c:v>
                </c:pt>
                <c:pt idx="582">
                  <c:v>0.39034095629776083</c:v>
                </c:pt>
                <c:pt idx="583">
                  <c:v>0.42097995059728865</c:v>
                </c:pt>
                <c:pt idx="584">
                  <c:v>1.133220359939985</c:v>
                </c:pt>
                <c:pt idx="585">
                  <c:v>0.70650510859682469</c:v>
                </c:pt>
                <c:pt idx="586">
                  <c:v>0.87078249204238067</c:v>
                </c:pt>
                <c:pt idx="587">
                  <c:v>0.76170494092209429</c:v>
                </c:pt>
                <c:pt idx="588">
                  <c:v>0.76817206785212844</c:v>
                </c:pt>
                <c:pt idx="589">
                  <c:v>0.73689569168048374</c:v>
                </c:pt>
                <c:pt idx="590">
                  <c:v>0.52719362089287558</c:v>
                </c:pt>
                <c:pt idx="591">
                  <c:v>0.20629569097743738</c:v>
                </c:pt>
                <c:pt idx="592">
                  <c:v>6.2983683692151904E-2</c:v>
                </c:pt>
                <c:pt idx="593">
                  <c:v>0.33420675955222257</c:v>
                </c:pt>
                <c:pt idx="594">
                  <c:v>0.8923175336138025</c:v>
                </c:pt>
                <c:pt idx="595">
                  <c:v>0.66110619047417352</c:v>
                </c:pt>
                <c:pt idx="596">
                  <c:v>0.42108160098844682</c:v>
                </c:pt>
                <c:pt idx="597">
                  <c:v>0.14067214008834331</c:v>
                </c:pt>
                <c:pt idx="598">
                  <c:v>0.21895125959614797</c:v>
                </c:pt>
              </c:numCache>
            </c:numRef>
          </c:xVal>
          <c:yVal>
            <c:numRef>
              <c:f>calibrate!$AR$4:$AR$2004</c:f>
              <c:numCache>
                <c:formatCode>0.00</c:formatCode>
                <c:ptCount val="2001"/>
                <c:pt idx="0">
                  <c:v>0.37110092410658557</c:v>
                </c:pt>
                <c:pt idx="1">
                  <c:v>0.56768056525589217</c:v>
                </c:pt>
                <c:pt idx="2">
                  <c:v>0.22187542614428152</c:v>
                </c:pt>
                <c:pt idx="3">
                  <c:v>0.59023271670813771</c:v>
                </c:pt>
                <c:pt idx="4">
                  <c:v>0.74912734613786969</c:v>
                </c:pt>
                <c:pt idx="5">
                  <c:v>0.6630378031878692</c:v>
                </c:pt>
                <c:pt idx="6">
                  <c:v>0.6972979367545723</c:v>
                </c:pt>
                <c:pt idx="7">
                  <c:v>0.8593501868081771</c:v>
                </c:pt>
                <c:pt idx="8">
                  <c:v>0.47714691170641171</c:v>
                </c:pt>
                <c:pt idx="9">
                  <c:v>0.76685203530503154</c:v>
                </c:pt>
                <c:pt idx="10">
                  <c:v>1.1127140460346361</c:v>
                </c:pt>
                <c:pt idx="11">
                  <c:v>1.0046008455498929</c:v>
                </c:pt>
                <c:pt idx="12">
                  <c:v>0.51631200394493459</c:v>
                </c:pt>
                <c:pt idx="13">
                  <c:v>0.77108559497596585</c:v>
                </c:pt>
                <c:pt idx="14">
                  <c:v>0.64523119878921431</c:v>
                </c:pt>
                <c:pt idx="15">
                  <c:v>0.36030292820945964</c:v>
                </c:pt>
                <c:pt idx="16">
                  <c:v>-0.16077960223357257</c:v>
                </c:pt>
                <c:pt idx="17">
                  <c:v>0.80509227917074311</c:v>
                </c:pt>
                <c:pt idx="18">
                  <c:v>1.4193728930333525</c:v>
                </c:pt>
                <c:pt idx="19">
                  <c:v>1.062536070570498</c:v>
                </c:pt>
                <c:pt idx="20">
                  <c:v>0.9696601181784672</c:v>
                </c:pt>
                <c:pt idx="21">
                  <c:v>0.61455160499851158</c:v>
                </c:pt>
                <c:pt idx="22">
                  <c:v>0.25829383549092733</c:v>
                </c:pt>
                <c:pt idx="23">
                  <c:v>0.46894568343136522</c:v>
                </c:pt>
                <c:pt idx="24">
                  <c:v>0.41438803604325258</c:v>
                </c:pt>
                <c:pt idx="25">
                  <c:v>0.72419295426448038</c:v>
                </c:pt>
                <c:pt idx="26">
                  <c:v>0.17411096933156145</c:v>
                </c:pt>
                <c:pt idx="27">
                  <c:v>0.87394337933111144</c:v>
                </c:pt>
                <c:pt idx="28">
                  <c:v>1.1131971326933385</c:v>
                </c:pt>
                <c:pt idx="29">
                  <c:v>7.2013860535529606E-2</c:v>
                </c:pt>
                <c:pt idx="30">
                  <c:v>9.7772661398615457E-2</c:v>
                </c:pt>
                <c:pt idx="31">
                  <c:v>0.7617973117441933</c:v>
                </c:pt>
                <c:pt idx="32">
                  <c:v>0.29367204991649914</c:v>
                </c:pt>
                <c:pt idx="33">
                  <c:v>0.69972398836372851</c:v>
                </c:pt>
                <c:pt idx="34">
                  <c:v>0.66696713748221637</c:v>
                </c:pt>
                <c:pt idx="35">
                  <c:v>0.84016163826377543</c:v>
                </c:pt>
                <c:pt idx="36">
                  <c:v>0.34073749056970803</c:v>
                </c:pt>
                <c:pt idx="37">
                  <c:v>0.11550718684034023</c:v>
                </c:pt>
                <c:pt idx="38">
                  <c:v>-0.33203366631452547</c:v>
                </c:pt>
                <c:pt idx="39">
                  <c:v>0.15416893629363118</c:v>
                </c:pt>
                <c:pt idx="40">
                  <c:v>0.2950811976726383</c:v>
                </c:pt>
                <c:pt idx="41">
                  <c:v>0.60160056322142452</c:v>
                </c:pt>
                <c:pt idx="42">
                  <c:v>0.63422140369059721</c:v>
                </c:pt>
                <c:pt idx="43">
                  <c:v>0.7610572908065123</c:v>
                </c:pt>
                <c:pt idx="44">
                  <c:v>1.1672243388775185</c:v>
                </c:pt>
                <c:pt idx="45">
                  <c:v>1.1164739883624195</c:v>
                </c:pt>
                <c:pt idx="46">
                  <c:v>0.58582072530677143</c:v>
                </c:pt>
                <c:pt idx="47">
                  <c:v>1.1882210348037634</c:v>
                </c:pt>
                <c:pt idx="48">
                  <c:v>0.8241846050161038</c:v>
                </c:pt>
                <c:pt idx="49">
                  <c:v>0.57549318058063803</c:v>
                </c:pt>
                <c:pt idx="50">
                  <c:v>0.31343486089378991</c:v>
                </c:pt>
                <c:pt idx="51">
                  <c:v>0.60505483114999103</c:v>
                </c:pt>
                <c:pt idx="52">
                  <c:v>0.660893147874276</c:v>
                </c:pt>
                <c:pt idx="53">
                  <c:v>0.26719515075053313</c:v>
                </c:pt>
                <c:pt idx="54">
                  <c:v>0.43182595143581015</c:v>
                </c:pt>
                <c:pt idx="55">
                  <c:v>1.9353347325582915E-2</c:v>
                </c:pt>
                <c:pt idx="56">
                  <c:v>0.35817018792025462</c:v>
                </c:pt>
                <c:pt idx="57">
                  <c:v>0.38117047277492777</c:v>
                </c:pt>
                <c:pt idx="58">
                  <c:v>0.49529603850259474</c:v>
                </c:pt>
                <c:pt idx="59">
                  <c:v>0.17087423163246768</c:v>
                </c:pt>
                <c:pt idx="60">
                  <c:v>0.7210512072329085</c:v>
                </c:pt>
                <c:pt idx="61">
                  <c:v>0.70557587325822513</c:v>
                </c:pt>
                <c:pt idx="62">
                  <c:v>0.64927584214396994</c:v>
                </c:pt>
                <c:pt idx="63">
                  <c:v>0.53557813269777044</c:v>
                </c:pt>
                <c:pt idx="64">
                  <c:v>1.0195959968928237</c:v>
                </c:pt>
                <c:pt idx="65">
                  <c:v>0.40944857474458529</c:v>
                </c:pt>
                <c:pt idx="66">
                  <c:v>2.6284904005730025E-2</c:v>
                </c:pt>
                <c:pt idx="67">
                  <c:v>0.22644519809482003</c:v>
                </c:pt>
                <c:pt idx="68">
                  <c:v>0.4195287195541002</c:v>
                </c:pt>
                <c:pt idx="69">
                  <c:v>0.58637488853176134</c:v>
                </c:pt>
                <c:pt idx="70">
                  <c:v>0.41147270109783052</c:v>
                </c:pt>
                <c:pt idx="71">
                  <c:v>0.25385446799032679</c:v>
                </c:pt>
                <c:pt idx="72">
                  <c:v>0.55705142684725639</c:v>
                </c:pt>
                <c:pt idx="73">
                  <c:v>0.51666900306686803</c:v>
                </c:pt>
                <c:pt idx="74">
                  <c:v>0.12019012463203571</c:v>
                </c:pt>
                <c:pt idx="75">
                  <c:v>-7.8616599666723075E-2</c:v>
                </c:pt>
                <c:pt idx="76">
                  <c:v>0.51531294511701553</c:v>
                </c:pt>
                <c:pt idx="77">
                  <c:v>0.25724055251182765</c:v>
                </c:pt>
                <c:pt idx="78">
                  <c:v>0.43866310441245743</c:v>
                </c:pt>
                <c:pt idx="79">
                  <c:v>0.66117468682255254</c:v>
                </c:pt>
                <c:pt idx="80">
                  <c:v>1.0049396132827033</c:v>
                </c:pt>
                <c:pt idx="81">
                  <c:v>0.92982559572262391</c:v>
                </c:pt>
                <c:pt idx="82">
                  <c:v>1.6523896740453716</c:v>
                </c:pt>
                <c:pt idx="83">
                  <c:v>0.76180222871422032</c:v>
                </c:pt>
                <c:pt idx="84">
                  <c:v>0.65576574083261785</c:v>
                </c:pt>
                <c:pt idx="85">
                  <c:v>0.73731346813836551</c:v>
                </c:pt>
                <c:pt idx="86">
                  <c:v>1.1611215288541388</c:v>
                </c:pt>
                <c:pt idx="87">
                  <c:v>0.62193750296313055</c:v>
                </c:pt>
                <c:pt idx="88">
                  <c:v>0.45711909796632277</c:v>
                </c:pt>
                <c:pt idx="89">
                  <c:v>0.70931279000640812</c:v>
                </c:pt>
                <c:pt idx="90">
                  <c:v>0.91116839760664559</c:v>
                </c:pt>
                <c:pt idx="91">
                  <c:v>0.54516790592796194</c:v>
                </c:pt>
                <c:pt idx="92">
                  <c:v>0.52632520579870268</c:v>
                </c:pt>
                <c:pt idx="93">
                  <c:v>1.1396320051598567</c:v>
                </c:pt>
                <c:pt idx="94">
                  <c:v>1.2545347116993364</c:v>
                </c:pt>
                <c:pt idx="95">
                  <c:v>1.0200711622301362</c:v>
                </c:pt>
                <c:pt idx="96">
                  <c:v>1.0605200117933529</c:v>
                </c:pt>
                <c:pt idx="97">
                  <c:v>1.0922687182107229</c:v>
                </c:pt>
                <c:pt idx="98">
                  <c:v>0.96505533628280393</c:v>
                </c:pt>
                <c:pt idx="99">
                  <c:v>0.87097447211038825</c:v>
                </c:pt>
                <c:pt idx="100">
                  <c:v>0.7173692101032294</c:v>
                </c:pt>
                <c:pt idx="101">
                  <c:v>0.60421285608097053</c:v>
                </c:pt>
                <c:pt idx="102">
                  <c:v>0.99249886827645617</c:v>
                </c:pt>
                <c:pt idx="103">
                  <c:v>1.0960682866121121</c:v>
                </c:pt>
                <c:pt idx="104">
                  <c:v>0.79988336138448424</c:v>
                </c:pt>
                <c:pt idx="105">
                  <c:v>0.70360309387060305</c:v>
                </c:pt>
                <c:pt idx="106">
                  <c:v>0.62401101357156474</c:v>
                </c:pt>
                <c:pt idx="107">
                  <c:v>0.96631313792906948</c:v>
                </c:pt>
                <c:pt idx="108">
                  <c:v>1.3655794632923215</c:v>
                </c:pt>
                <c:pt idx="109">
                  <c:v>0.70082972259676457</c:v>
                </c:pt>
                <c:pt idx="110">
                  <c:v>0.84031834432022534</c:v>
                </c:pt>
                <c:pt idx="111">
                  <c:v>1.1923250401088299</c:v>
                </c:pt>
                <c:pt idx="112">
                  <c:v>0.5506317592589034</c:v>
                </c:pt>
                <c:pt idx="113">
                  <c:v>0.61673428940698827</c:v>
                </c:pt>
                <c:pt idx="114">
                  <c:v>0.94949581546687889</c:v>
                </c:pt>
                <c:pt idx="115">
                  <c:v>0.58109990435087522</c:v>
                </c:pt>
                <c:pt idx="116">
                  <c:v>0.72735271749088504</c:v>
                </c:pt>
                <c:pt idx="117">
                  <c:v>0.85810247869972911</c:v>
                </c:pt>
                <c:pt idx="118">
                  <c:v>1.1193454256214148</c:v>
                </c:pt>
                <c:pt idx="119">
                  <c:v>0.92831175520612397</c:v>
                </c:pt>
                <c:pt idx="120">
                  <c:v>0.62810371336541415</c:v>
                </c:pt>
                <c:pt idx="121">
                  <c:v>1.1537581462143087</c:v>
                </c:pt>
                <c:pt idx="122">
                  <c:v>0.88834702947933908</c:v>
                </c:pt>
                <c:pt idx="123">
                  <c:v>1.1968234713780419</c:v>
                </c:pt>
                <c:pt idx="124">
                  <c:v>0.97346815660895292</c:v>
                </c:pt>
                <c:pt idx="125">
                  <c:v>0.75211400682461793</c:v>
                </c:pt>
                <c:pt idx="126">
                  <c:v>0.71516380254296463</c:v>
                </c:pt>
                <c:pt idx="127">
                  <c:v>0.34174332499803595</c:v>
                </c:pt>
                <c:pt idx="128">
                  <c:v>0.68611127991368981</c:v>
                </c:pt>
                <c:pt idx="129">
                  <c:v>1.4220177317333058</c:v>
                </c:pt>
                <c:pt idx="130">
                  <c:v>1.01498127699749</c:v>
                </c:pt>
                <c:pt idx="131">
                  <c:v>1.0730968751371393</c:v>
                </c:pt>
                <c:pt idx="132">
                  <c:v>1.0879524329835049</c:v>
                </c:pt>
                <c:pt idx="133">
                  <c:v>0.87350159508166658</c:v>
                </c:pt>
                <c:pt idx="134">
                  <c:v>1.004406592116031</c:v>
                </c:pt>
                <c:pt idx="135">
                  <c:v>0.90079163318146493</c:v>
                </c:pt>
                <c:pt idx="136">
                  <c:v>0.58976095778434545</c:v>
                </c:pt>
                <c:pt idx="137">
                  <c:v>0.60322176522763149</c:v>
                </c:pt>
                <c:pt idx="138">
                  <c:v>0.34417564101288634</c:v>
                </c:pt>
                <c:pt idx="139">
                  <c:v>0.57865846434551549</c:v>
                </c:pt>
                <c:pt idx="140">
                  <c:v>0.39092376206375001</c:v>
                </c:pt>
                <c:pt idx="141">
                  <c:v>0.58642335738063789</c:v>
                </c:pt>
                <c:pt idx="142">
                  <c:v>-8.2297684106989122E-2</c:v>
                </c:pt>
                <c:pt idx="143">
                  <c:v>0.50318676953945296</c:v>
                </c:pt>
                <c:pt idx="144">
                  <c:v>0.93391565417371103</c:v>
                </c:pt>
                <c:pt idx="145">
                  <c:v>0.70989013388445499</c:v>
                </c:pt>
                <c:pt idx="146">
                  <c:v>0.69397847091471676</c:v>
                </c:pt>
                <c:pt idx="147">
                  <c:v>0.66100399729637394</c:v>
                </c:pt>
                <c:pt idx="148">
                  <c:v>0.60167000830472117</c:v>
                </c:pt>
                <c:pt idx="149">
                  <c:v>7.3588663420613543E-2</c:v>
                </c:pt>
                <c:pt idx="150">
                  <c:v>0.4176701435475183</c:v>
                </c:pt>
                <c:pt idx="151">
                  <c:v>-0.11101412478453421</c:v>
                </c:pt>
                <c:pt idx="152">
                  <c:v>0.11540346933559877</c:v>
                </c:pt>
                <c:pt idx="153">
                  <c:v>0.44541957350618211</c:v>
                </c:pt>
                <c:pt idx="154">
                  <c:v>1.1354249796420814</c:v>
                </c:pt>
                <c:pt idx="155">
                  <c:v>0.45133255348466061</c:v>
                </c:pt>
                <c:pt idx="156">
                  <c:v>0.1642174647596597</c:v>
                </c:pt>
                <c:pt idx="157">
                  <c:v>2.2848352866224719E-2</c:v>
                </c:pt>
                <c:pt idx="158">
                  <c:v>0.45127613432464025</c:v>
                </c:pt>
                <c:pt idx="159">
                  <c:v>5.4184407299253001E-2</c:v>
                </c:pt>
                <c:pt idx="160">
                  <c:v>6.2006328750136008E-4</c:v>
                </c:pt>
                <c:pt idx="161">
                  <c:v>1.0131589217795962</c:v>
                </c:pt>
                <c:pt idx="162">
                  <c:v>0.84531982148788709</c:v>
                </c:pt>
                <c:pt idx="163">
                  <c:v>0.8867594981561594</c:v>
                </c:pt>
                <c:pt idx="164">
                  <c:v>1.1503889672474883</c:v>
                </c:pt>
                <c:pt idx="165">
                  <c:v>0.98170892264776732</c:v>
                </c:pt>
                <c:pt idx="166">
                  <c:v>0.53593284155758347</c:v>
                </c:pt>
                <c:pt idx="167">
                  <c:v>0.78387923966356476</c:v>
                </c:pt>
                <c:pt idx="168">
                  <c:v>0.98971177073167516</c:v>
                </c:pt>
                <c:pt idx="169">
                  <c:v>0.69453316760772132</c:v>
                </c:pt>
                <c:pt idx="170">
                  <c:v>0.64874271367701786</c:v>
                </c:pt>
                <c:pt idx="171">
                  <c:v>0.21704542366115243</c:v>
                </c:pt>
                <c:pt idx="172">
                  <c:v>-0.11059782833556908</c:v>
                </c:pt>
                <c:pt idx="173">
                  <c:v>0.51917817816200418</c:v>
                </c:pt>
                <c:pt idx="174">
                  <c:v>0.31835255561087683</c:v>
                </c:pt>
                <c:pt idx="175">
                  <c:v>0.56888324059065021</c:v>
                </c:pt>
                <c:pt idx="176">
                  <c:v>0.27671929628232173</c:v>
                </c:pt>
                <c:pt idx="177">
                  <c:v>-6.6736842737137869E-3</c:v>
                </c:pt>
                <c:pt idx="178">
                  <c:v>0.37549754363921584</c:v>
                </c:pt>
                <c:pt idx="179">
                  <c:v>0.79836290951913835</c:v>
                </c:pt>
                <c:pt idx="180">
                  <c:v>0.63975897320029829</c:v>
                </c:pt>
                <c:pt idx="181">
                  <c:v>0.23837415986286797</c:v>
                </c:pt>
                <c:pt idx="182">
                  <c:v>0.99485076432353414</c:v>
                </c:pt>
                <c:pt idx="183">
                  <c:v>0.46045570059458918</c:v>
                </c:pt>
                <c:pt idx="184">
                  <c:v>0.81669658037299375</c:v>
                </c:pt>
                <c:pt idx="185">
                  <c:v>1.1915890429816358</c:v>
                </c:pt>
                <c:pt idx="186">
                  <c:v>0.96711503070416316</c:v>
                </c:pt>
                <c:pt idx="187">
                  <c:v>1.003581463594438</c:v>
                </c:pt>
                <c:pt idx="188">
                  <c:v>0.92961569160258906</c:v>
                </c:pt>
                <c:pt idx="189">
                  <c:v>0.88263136031387002</c:v>
                </c:pt>
                <c:pt idx="190">
                  <c:v>0.11533897629404355</c:v>
                </c:pt>
                <c:pt idx="191">
                  <c:v>0.90368120132911289</c:v>
                </c:pt>
                <c:pt idx="192">
                  <c:v>1.4805841993376772</c:v>
                </c:pt>
                <c:pt idx="193">
                  <c:v>0.78167150419167108</c:v>
                </c:pt>
                <c:pt idx="194">
                  <c:v>0.56316195541227132</c:v>
                </c:pt>
                <c:pt idx="195">
                  <c:v>0.62655893117632511</c:v>
                </c:pt>
                <c:pt idx="196">
                  <c:v>0.42637335842317725</c:v>
                </c:pt>
                <c:pt idx="197">
                  <c:v>0.93954636995967633</c:v>
                </c:pt>
                <c:pt idx="198">
                  <c:v>0.5829646027190023</c:v>
                </c:pt>
                <c:pt idx="199">
                  <c:v>0.40082881370115259</c:v>
                </c:pt>
                <c:pt idx="200">
                  <c:v>-0.20776051808456264</c:v>
                </c:pt>
                <c:pt idx="201">
                  <c:v>0.84445837380206967</c:v>
                </c:pt>
                <c:pt idx="202">
                  <c:v>1.0804689866931647</c:v>
                </c:pt>
                <c:pt idx="203">
                  <c:v>1.9017829547293923</c:v>
                </c:pt>
                <c:pt idx="204">
                  <c:v>1.2901160367075533</c:v>
                </c:pt>
                <c:pt idx="205">
                  <c:v>0.79475514445227313</c:v>
                </c:pt>
                <c:pt idx="206">
                  <c:v>1.0400543696353397</c:v>
                </c:pt>
                <c:pt idx="207">
                  <c:v>0.79580706056904493</c:v>
                </c:pt>
                <c:pt idx="208">
                  <c:v>0.74617112539331898</c:v>
                </c:pt>
                <c:pt idx="209">
                  <c:v>0.42632730785485506</c:v>
                </c:pt>
                <c:pt idx="210">
                  <c:v>0.42803274170870625</c:v>
                </c:pt>
                <c:pt idx="211">
                  <c:v>0.49387432004141313</c:v>
                </c:pt>
                <c:pt idx="212">
                  <c:v>0.23649821120335701</c:v>
                </c:pt>
                <c:pt idx="213">
                  <c:v>0.42135884570370868</c:v>
                </c:pt>
                <c:pt idx="214">
                  <c:v>0.31189933702853173</c:v>
                </c:pt>
                <c:pt idx="215">
                  <c:v>0.43481568555802663</c:v>
                </c:pt>
                <c:pt idx="216">
                  <c:v>0.56989263081740771</c:v>
                </c:pt>
                <c:pt idx="217">
                  <c:v>8.3970587292046872E-2</c:v>
                </c:pt>
                <c:pt idx="218">
                  <c:v>0.29174808269826358</c:v>
                </c:pt>
                <c:pt idx="219">
                  <c:v>0.62394258010346915</c:v>
                </c:pt>
                <c:pt idx="220">
                  <c:v>0.97205475894612481</c:v>
                </c:pt>
                <c:pt idx="221">
                  <c:v>0.64867722312147036</c:v>
                </c:pt>
                <c:pt idx="222">
                  <c:v>0.92825634758184705</c:v>
                </c:pt>
                <c:pt idx="223">
                  <c:v>1.0826912646861344</c:v>
                </c:pt>
                <c:pt idx="224">
                  <c:v>1.0090111826609405</c:v>
                </c:pt>
                <c:pt idx="225">
                  <c:v>0.76064629806133199</c:v>
                </c:pt>
                <c:pt idx="226">
                  <c:v>0.67143693557216311</c:v>
                </c:pt>
                <c:pt idx="227">
                  <c:v>0.66397966969332778</c:v>
                </c:pt>
                <c:pt idx="228">
                  <c:v>0.17880755236053358</c:v>
                </c:pt>
                <c:pt idx="229">
                  <c:v>0.52407913203503664</c:v>
                </c:pt>
                <c:pt idx="230">
                  <c:v>0.16313078844469281</c:v>
                </c:pt>
                <c:pt idx="231">
                  <c:v>8.3887888842826663E-2</c:v>
                </c:pt>
                <c:pt idx="232">
                  <c:v>0.356836542651365</c:v>
                </c:pt>
                <c:pt idx="233">
                  <c:v>7.3846692086017351E-2</c:v>
                </c:pt>
                <c:pt idx="234">
                  <c:v>0.46934471010907719</c:v>
                </c:pt>
                <c:pt idx="235">
                  <c:v>0.18611079237396078</c:v>
                </c:pt>
                <c:pt idx="236">
                  <c:v>0.62385993659432282</c:v>
                </c:pt>
                <c:pt idx="237">
                  <c:v>0.83527720432877062</c:v>
                </c:pt>
                <c:pt idx="238">
                  <c:v>0.99086051452140333</c:v>
                </c:pt>
                <c:pt idx="239">
                  <c:v>0.70825932724131635</c:v>
                </c:pt>
                <c:pt idx="240">
                  <c:v>0.92251373712723239</c:v>
                </c:pt>
                <c:pt idx="241">
                  <c:v>1.1651857884307433</c:v>
                </c:pt>
                <c:pt idx="242">
                  <c:v>1.3391489750793482</c:v>
                </c:pt>
                <c:pt idx="243">
                  <c:v>0.92597212440642873</c:v>
                </c:pt>
                <c:pt idx="244">
                  <c:v>0.83037550302442309</c:v>
                </c:pt>
                <c:pt idx="245">
                  <c:v>1.065942476256813</c:v>
                </c:pt>
                <c:pt idx="246">
                  <c:v>0.83392481866187362</c:v>
                </c:pt>
                <c:pt idx="247">
                  <c:v>0.98445449782694938</c:v>
                </c:pt>
                <c:pt idx="248">
                  <c:v>0.7140799868834431</c:v>
                </c:pt>
                <c:pt idx="249">
                  <c:v>0.4541994485450741</c:v>
                </c:pt>
                <c:pt idx="250">
                  <c:v>0.84334933716850857</c:v>
                </c:pt>
                <c:pt idx="251">
                  <c:v>0.441634710675752</c:v>
                </c:pt>
                <c:pt idx="252">
                  <c:v>0.86114945912792318</c:v>
                </c:pt>
                <c:pt idx="253">
                  <c:v>0.99423150494262091</c:v>
                </c:pt>
                <c:pt idx="254">
                  <c:v>0.42020010559591003</c:v>
                </c:pt>
                <c:pt idx="255">
                  <c:v>0.55600992427167395</c:v>
                </c:pt>
                <c:pt idx="256">
                  <c:v>0.51568257120283334</c:v>
                </c:pt>
                <c:pt idx="257">
                  <c:v>0.16337085071985374</c:v>
                </c:pt>
                <c:pt idx="258">
                  <c:v>0.44693443696118612</c:v>
                </c:pt>
                <c:pt idx="259">
                  <c:v>0.78613229772566462</c:v>
                </c:pt>
                <c:pt idx="260">
                  <c:v>0.99159580656002144</c:v>
                </c:pt>
                <c:pt idx="261">
                  <c:v>0.67697065034193449</c:v>
                </c:pt>
                <c:pt idx="262">
                  <c:v>0.78523412308513463</c:v>
                </c:pt>
                <c:pt idx="263">
                  <c:v>0.24915356470368433</c:v>
                </c:pt>
                <c:pt idx="264">
                  <c:v>1.3832386896880502</c:v>
                </c:pt>
                <c:pt idx="265">
                  <c:v>1.2454610319412318</c:v>
                </c:pt>
                <c:pt idx="266">
                  <c:v>1.2269084117792017</c:v>
                </c:pt>
                <c:pt idx="267">
                  <c:v>0.72422486507186212</c:v>
                </c:pt>
                <c:pt idx="268">
                  <c:v>0.22571927749149179</c:v>
                </c:pt>
                <c:pt idx="269">
                  <c:v>-0.11051050685273722</c:v>
                </c:pt>
                <c:pt idx="270">
                  <c:v>0.49314929744521302</c:v>
                </c:pt>
                <c:pt idx="271">
                  <c:v>0.2940009130128477</c:v>
                </c:pt>
                <c:pt idx="272">
                  <c:v>0.96764775360114197</c:v>
                </c:pt>
                <c:pt idx="273">
                  <c:v>0.20075616858763179</c:v>
                </c:pt>
                <c:pt idx="274">
                  <c:v>0.61350116581136094</c:v>
                </c:pt>
                <c:pt idx="275">
                  <c:v>0.15044122406446858</c:v>
                </c:pt>
                <c:pt idx="276">
                  <c:v>0.66435376042405303</c:v>
                </c:pt>
                <c:pt idx="277">
                  <c:v>0.5236218545967033</c:v>
                </c:pt>
                <c:pt idx="278">
                  <c:v>0.35071708857698919</c:v>
                </c:pt>
                <c:pt idx="279">
                  <c:v>0.56953258746315105</c:v>
                </c:pt>
                <c:pt idx="280">
                  <c:v>1.0361405840465601</c:v>
                </c:pt>
                <c:pt idx="281">
                  <c:v>1.1726765708625153</c:v>
                </c:pt>
                <c:pt idx="282">
                  <c:v>0.76873513703813556</c:v>
                </c:pt>
                <c:pt idx="283">
                  <c:v>0.21468150296240096</c:v>
                </c:pt>
                <c:pt idx="284">
                  <c:v>0.37214833725260932</c:v>
                </c:pt>
                <c:pt idx="285">
                  <c:v>0.76960634011716345</c:v>
                </c:pt>
                <c:pt idx="286">
                  <c:v>0.77878573909370519</c:v>
                </c:pt>
                <c:pt idx="287">
                  <c:v>0.99330185451566755</c:v>
                </c:pt>
                <c:pt idx="288">
                  <c:v>0.64276328267078497</c:v>
                </c:pt>
                <c:pt idx="289">
                  <c:v>1.0501923703959632</c:v>
                </c:pt>
                <c:pt idx="290">
                  <c:v>0.53274306175584607</c:v>
                </c:pt>
                <c:pt idx="291">
                  <c:v>0.52823141305284327</c:v>
                </c:pt>
                <c:pt idx="292">
                  <c:v>0.18957888336526751</c:v>
                </c:pt>
                <c:pt idx="293">
                  <c:v>0.3304519321147622</c:v>
                </c:pt>
                <c:pt idx="294">
                  <c:v>0.81136471784165298</c:v>
                </c:pt>
                <c:pt idx="295">
                  <c:v>0.88622520252578463</c:v>
                </c:pt>
                <c:pt idx="296">
                  <c:v>0.87831844302681827</c:v>
                </c:pt>
                <c:pt idx="297">
                  <c:v>0.8831926690736086</c:v>
                </c:pt>
                <c:pt idx="298">
                  <c:v>0.64064980792238324</c:v>
                </c:pt>
                <c:pt idx="299">
                  <c:v>0.69907907392230084</c:v>
                </c:pt>
                <c:pt idx="300">
                  <c:v>0.21083038691000988</c:v>
                </c:pt>
                <c:pt idx="301">
                  <c:v>0.48715411984697748</c:v>
                </c:pt>
                <c:pt idx="302">
                  <c:v>0.79997298550523555</c:v>
                </c:pt>
                <c:pt idx="303">
                  <c:v>0.89232164489475774</c:v>
                </c:pt>
                <c:pt idx="304">
                  <c:v>0.73320749334488799</c:v>
                </c:pt>
                <c:pt idx="305">
                  <c:v>0.92275307165315323</c:v>
                </c:pt>
                <c:pt idx="306">
                  <c:v>0.66635751275754496</c:v>
                </c:pt>
                <c:pt idx="307">
                  <c:v>1.1316937149805701</c:v>
                </c:pt>
                <c:pt idx="308">
                  <c:v>1.2218122972042542</c:v>
                </c:pt>
                <c:pt idx="309">
                  <c:v>1.1470328852628191</c:v>
                </c:pt>
                <c:pt idx="310">
                  <c:v>0.65433182822997948</c:v>
                </c:pt>
                <c:pt idx="311">
                  <c:v>0.98057672593956779</c:v>
                </c:pt>
                <c:pt idx="312">
                  <c:v>0.48179964253497054</c:v>
                </c:pt>
                <c:pt idx="313">
                  <c:v>0.90043339225780306</c:v>
                </c:pt>
                <c:pt idx="314">
                  <c:v>0.12203018602393179</c:v>
                </c:pt>
                <c:pt idx="315">
                  <c:v>0.31853946647104303</c:v>
                </c:pt>
                <c:pt idx="316">
                  <c:v>0.65508242019967633</c:v>
                </c:pt>
                <c:pt idx="317">
                  <c:v>0.64235962399416335</c:v>
                </c:pt>
                <c:pt idx="318">
                  <c:v>1.083758657048274</c:v>
                </c:pt>
                <c:pt idx="319">
                  <c:v>1.3179882873148614</c:v>
                </c:pt>
                <c:pt idx="320">
                  <c:v>0.83085789716498359</c:v>
                </c:pt>
                <c:pt idx="321">
                  <c:v>0.30477443438911189</c:v>
                </c:pt>
                <c:pt idx="322">
                  <c:v>0.65213690276442282</c:v>
                </c:pt>
                <c:pt idx="323">
                  <c:v>0.29086803184325222</c:v>
                </c:pt>
                <c:pt idx="324">
                  <c:v>0.63527881667568364</c:v>
                </c:pt>
                <c:pt idx="325">
                  <c:v>0.22180829341793595</c:v>
                </c:pt>
                <c:pt idx="326">
                  <c:v>0.76892134167206327</c:v>
                </c:pt>
                <c:pt idx="327">
                  <c:v>0.46010248783637336</c:v>
                </c:pt>
                <c:pt idx="328">
                  <c:v>1.1980679072100453</c:v>
                </c:pt>
                <c:pt idx="329">
                  <c:v>0.87983364752571069</c:v>
                </c:pt>
                <c:pt idx="330">
                  <c:v>0.67683828789988398</c:v>
                </c:pt>
                <c:pt idx="331">
                  <c:v>0.94267534189491164</c:v>
                </c:pt>
                <c:pt idx="332">
                  <c:v>0.40450115913142604</c:v>
                </c:pt>
                <c:pt idx="333">
                  <c:v>0.65867223329408953</c:v>
                </c:pt>
                <c:pt idx="334">
                  <c:v>0.6394022261191229</c:v>
                </c:pt>
                <c:pt idx="335">
                  <c:v>0.59117931143532798</c:v>
                </c:pt>
                <c:pt idx="336">
                  <c:v>1.0798470221840151</c:v>
                </c:pt>
                <c:pt idx="337">
                  <c:v>1.0331478980203364</c:v>
                </c:pt>
                <c:pt idx="338">
                  <c:v>1.1517976149209264</c:v>
                </c:pt>
                <c:pt idx="339">
                  <c:v>1.4036778646639927</c:v>
                </c:pt>
                <c:pt idx="340">
                  <c:v>0.74759868611435387</c:v>
                </c:pt>
                <c:pt idx="341">
                  <c:v>0.66610410908675322</c:v>
                </c:pt>
                <c:pt idx="342">
                  <c:v>0.82258185501262349</c:v>
                </c:pt>
                <c:pt idx="343">
                  <c:v>0.59987540790168858</c:v>
                </c:pt>
                <c:pt idx="344">
                  <c:v>0.82806829063211185</c:v>
                </c:pt>
                <c:pt idx="345">
                  <c:v>1.1720349985777556</c:v>
                </c:pt>
                <c:pt idx="346">
                  <c:v>0.73430340992040377</c:v>
                </c:pt>
                <c:pt idx="347">
                  <c:v>0.87265162131340523</c:v>
                </c:pt>
                <c:pt idx="348">
                  <c:v>1.0244351930293192</c:v>
                </c:pt>
                <c:pt idx="349">
                  <c:v>1.3252068429924666</c:v>
                </c:pt>
                <c:pt idx="350">
                  <c:v>1.0419909808245504</c:v>
                </c:pt>
                <c:pt idx="351">
                  <c:v>1.1910639478254683</c:v>
                </c:pt>
                <c:pt idx="352">
                  <c:v>1.2193087036696688</c:v>
                </c:pt>
                <c:pt idx="353">
                  <c:v>0.62070303122702175</c:v>
                </c:pt>
                <c:pt idx="354">
                  <c:v>0.80591906924819912</c:v>
                </c:pt>
                <c:pt idx="355">
                  <c:v>0.63746359166359523</c:v>
                </c:pt>
                <c:pt idx="356">
                  <c:v>1.0391406178865219</c:v>
                </c:pt>
                <c:pt idx="357">
                  <c:v>0.42705343209634128</c:v>
                </c:pt>
                <c:pt idx="358">
                  <c:v>0.59610419370457357</c:v>
                </c:pt>
                <c:pt idx="359">
                  <c:v>0.89347849893399012</c:v>
                </c:pt>
                <c:pt idx="360">
                  <c:v>0.14013367864269666</c:v>
                </c:pt>
                <c:pt idx="361">
                  <c:v>0.10320512815943106</c:v>
                </c:pt>
                <c:pt idx="362">
                  <c:v>0.19534474849887024</c:v>
                </c:pt>
                <c:pt idx="363">
                  <c:v>0.75351011035399562</c:v>
                </c:pt>
                <c:pt idx="364">
                  <c:v>0.69432786653484935</c:v>
                </c:pt>
                <c:pt idx="365">
                  <c:v>0.61366015600120871</c:v>
                </c:pt>
                <c:pt idx="366">
                  <c:v>0.49425121663376675</c:v>
                </c:pt>
                <c:pt idx="367">
                  <c:v>0.46931796177122981</c:v>
                </c:pt>
                <c:pt idx="368">
                  <c:v>0.4576654113839585</c:v>
                </c:pt>
                <c:pt idx="369">
                  <c:v>0.4360898431802081</c:v>
                </c:pt>
                <c:pt idx="370">
                  <c:v>0.5882567895709363</c:v>
                </c:pt>
                <c:pt idx="371">
                  <c:v>0.91449172419571823</c:v>
                </c:pt>
                <c:pt idx="372">
                  <c:v>0.71046277400315816</c:v>
                </c:pt>
                <c:pt idx="373">
                  <c:v>0.68406269971039801</c:v>
                </c:pt>
                <c:pt idx="374">
                  <c:v>0.94190054589507666</c:v>
                </c:pt>
                <c:pt idx="375">
                  <c:v>1.3275127920484933</c:v>
                </c:pt>
                <c:pt idx="376">
                  <c:v>1.2561573836943829</c:v>
                </c:pt>
                <c:pt idx="377">
                  <c:v>0.73270360845098104</c:v>
                </c:pt>
                <c:pt idx="378">
                  <c:v>0.54867993503724577</c:v>
                </c:pt>
                <c:pt idx="379">
                  <c:v>1.0547287597058108</c:v>
                </c:pt>
                <c:pt idx="380">
                  <c:v>1.1713276835401449</c:v>
                </c:pt>
                <c:pt idx="381">
                  <c:v>1.3355705257982715</c:v>
                </c:pt>
                <c:pt idx="382">
                  <c:v>0.43797506056835689</c:v>
                </c:pt>
                <c:pt idx="383">
                  <c:v>0.54720179580092032</c:v>
                </c:pt>
                <c:pt idx="384">
                  <c:v>0.70181938845609348</c:v>
                </c:pt>
                <c:pt idx="385">
                  <c:v>0.36610813177732904</c:v>
                </c:pt>
                <c:pt idx="386">
                  <c:v>0.59185188253179666</c:v>
                </c:pt>
                <c:pt idx="387">
                  <c:v>0.52390504108887448</c:v>
                </c:pt>
                <c:pt idx="388">
                  <c:v>0.82821833039793158</c:v>
                </c:pt>
                <c:pt idx="389">
                  <c:v>1.1227973906850526</c:v>
                </c:pt>
                <c:pt idx="390">
                  <c:v>0.47198995563762836</c:v>
                </c:pt>
                <c:pt idx="391">
                  <c:v>0.78507969057836924</c:v>
                </c:pt>
                <c:pt idx="392">
                  <c:v>0.31387135532178623</c:v>
                </c:pt>
                <c:pt idx="393">
                  <c:v>0.34852579932544914</c:v>
                </c:pt>
                <c:pt idx="394">
                  <c:v>0.33070095717633102</c:v>
                </c:pt>
                <c:pt idx="395">
                  <c:v>0.16699137350369081</c:v>
                </c:pt>
                <c:pt idx="396">
                  <c:v>0.75558725077105948</c:v>
                </c:pt>
                <c:pt idx="397">
                  <c:v>1.2374561756133966</c:v>
                </c:pt>
                <c:pt idx="398">
                  <c:v>0.86135806989092545</c:v>
                </c:pt>
                <c:pt idx="399">
                  <c:v>0.83922511765086871</c:v>
                </c:pt>
                <c:pt idx="400">
                  <c:v>0.57826996621845639</c:v>
                </c:pt>
                <c:pt idx="401">
                  <c:v>-9.8988585872431645E-2</c:v>
                </c:pt>
                <c:pt idx="402">
                  <c:v>0.52758117236404278</c:v>
                </c:pt>
                <c:pt idx="403">
                  <c:v>0.70204706457072186</c:v>
                </c:pt>
                <c:pt idx="404">
                  <c:v>0.65242107082291811</c:v>
                </c:pt>
                <c:pt idx="405">
                  <c:v>0.16584559345191607</c:v>
                </c:pt>
                <c:pt idx="406">
                  <c:v>-0.29278026671650126</c:v>
                </c:pt>
                <c:pt idx="407">
                  <c:v>-0.13991045945866229</c:v>
                </c:pt>
                <c:pt idx="408">
                  <c:v>0.11300478161146651</c:v>
                </c:pt>
                <c:pt idx="409">
                  <c:v>0.49800441371033544</c:v>
                </c:pt>
                <c:pt idx="410">
                  <c:v>-0.12425324481011474</c:v>
                </c:pt>
                <c:pt idx="411">
                  <c:v>-0.10286673811158778</c:v>
                </c:pt>
                <c:pt idx="412">
                  <c:v>-0.3328103711546232</c:v>
                </c:pt>
                <c:pt idx="413">
                  <c:v>0.13032602269517921</c:v>
                </c:pt>
                <c:pt idx="414">
                  <c:v>0.48768480612134157</c:v>
                </c:pt>
                <c:pt idx="415">
                  <c:v>0.5524307303389171</c:v>
                </c:pt>
                <c:pt idx="416">
                  <c:v>0.49778859105651863</c:v>
                </c:pt>
                <c:pt idx="417">
                  <c:v>0.30612717436066628</c:v>
                </c:pt>
                <c:pt idx="418">
                  <c:v>0.59237983871703004</c:v>
                </c:pt>
                <c:pt idx="419">
                  <c:v>0.35548504333892927</c:v>
                </c:pt>
                <c:pt idx="420">
                  <c:v>7.9818998805569863E-2</c:v>
                </c:pt>
                <c:pt idx="421">
                  <c:v>0.12581621793442482</c:v>
                </c:pt>
                <c:pt idx="422">
                  <c:v>0.65943917026603116</c:v>
                </c:pt>
                <c:pt idx="423">
                  <c:v>0.55021338360433747</c:v>
                </c:pt>
                <c:pt idx="424">
                  <c:v>0.5087309318221277</c:v>
                </c:pt>
                <c:pt idx="425">
                  <c:v>0.55632390957149402</c:v>
                </c:pt>
                <c:pt idx="426">
                  <c:v>0.64815316373909437</c:v>
                </c:pt>
                <c:pt idx="427">
                  <c:v>1.1445133131938998</c:v>
                </c:pt>
                <c:pt idx="428">
                  <c:v>0.82626492767303261</c:v>
                </c:pt>
                <c:pt idx="429">
                  <c:v>0.8385996483672844</c:v>
                </c:pt>
                <c:pt idx="430">
                  <c:v>0.51421293910137766</c:v>
                </c:pt>
                <c:pt idx="431">
                  <c:v>0.83622425199142658</c:v>
                </c:pt>
                <c:pt idx="432">
                  <c:v>0.67529909103662966</c:v>
                </c:pt>
                <c:pt idx="433">
                  <c:v>0.79848961039335964</c:v>
                </c:pt>
                <c:pt idx="434">
                  <c:v>1.3037429130634246</c:v>
                </c:pt>
                <c:pt idx="435">
                  <c:v>1.0481549259554774</c:v>
                </c:pt>
                <c:pt idx="436">
                  <c:v>1.0973274914420237</c:v>
                </c:pt>
                <c:pt idx="437">
                  <c:v>0.57938407960241411</c:v>
                </c:pt>
                <c:pt idx="438">
                  <c:v>0.30839539826658668</c:v>
                </c:pt>
                <c:pt idx="439">
                  <c:v>0.71934163127403583</c:v>
                </c:pt>
                <c:pt idx="440">
                  <c:v>9.6898882949130294E-2</c:v>
                </c:pt>
                <c:pt idx="441">
                  <c:v>0.25940709464675937</c:v>
                </c:pt>
                <c:pt idx="442">
                  <c:v>0.29637088341716755</c:v>
                </c:pt>
                <c:pt idx="443">
                  <c:v>8.8171524422885728E-2</c:v>
                </c:pt>
                <c:pt idx="444">
                  <c:v>0.31751091405114362</c:v>
                </c:pt>
                <c:pt idx="445">
                  <c:v>0.35743919399182111</c:v>
                </c:pt>
                <c:pt idx="446">
                  <c:v>0.93202732184742199</c:v>
                </c:pt>
                <c:pt idx="447">
                  <c:v>0.75753162989051903</c:v>
                </c:pt>
                <c:pt idx="448">
                  <c:v>0.84636811709662496</c:v>
                </c:pt>
                <c:pt idx="449">
                  <c:v>0.95849217257860519</c:v>
                </c:pt>
                <c:pt idx="450">
                  <c:v>0.49118371338430689</c:v>
                </c:pt>
                <c:pt idx="451">
                  <c:v>0.77963369567743424</c:v>
                </c:pt>
                <c:pt idx="452">
                  <c:v>1.0871516038921643</c:v>
                </c:pt>
                <c:pt idx="453">
                  <c:v>0.95475466144628041</c:v>
                </c:pt>
                <c:pt idx="454">
                  <c:v>0.97999381487681392</c:v>
                </c:pt>
                <c:pt idx="455">
                  <c:v>1.1311943835049871</c:v>
                </c:pt>
                <c:pt idx="456">
                  <c:v>0.52514616383859825</c:v>
                </c:pt>
                <c:pt idx="457">
                  <c:v>0.82921444245942943</c:v>
                </c:pt>
                <c:pt idx="458">
                  <c:v>0.68754534079077501</c:v>
                </c:pt>
                <c:pt idx="459">
                  <c:v>0.95037585456946005</c:v>
                </c:pt>
                <c:pt idx="460">
                  <c:v>1.1358016214722984</c:v>
                </c:pt>
                <c:pt idx="461">
                  <c:v>0.48438142703613163</c:v>
                </c:pt>
                <c:pt idx="462">
                  <c:v>0.95395743577441672</c:v>
                </c:pt>
                <c:pt idx="463">
                  <c:v>0.89961571235133253</c:v>
                </c:pt>
                <c:pt idx="464">
                  <c:v>1.3071704421990724</c:v>
                </c:pt>
                <c:pt idx="465">
                  <c:v>0.83262794236884718</c:v>
                </c:pt>
                <c:pt idx="466">
                  <c:v>0.62802115559257965</c:v>
                </c:pt>
                <c:pt idx="467">
                  <c:v>1.1659193815197353</c:v>
                </c:pt>
                <c:pt idx="468">
                  <c:v>0.98629222672666383</c:v>
                </c:pt>
                <c:pt idx="469">
                  <c:v>1.2940412134018495</c:v>
                </c:pt>
                <c:pt idx="470">
                  <c:v>1.4504016632612662</c:v>
                </c:pt>
                <c:pt idx="471">
                  <c:v>0.98560611909176721</c:v>
                </c:pt>
                <c:pt idx="472">
                  <c:v>1.2437047527734659</c:v>
                </c:pt>
                <c:pt idx="473">
                  <c:v>0.8458229506711713</c:v>
                </c:pt>
                <c:pt idx="474">
                  <c:v>0.73230202946293654</c:v>
                </c:pt>
                <c:pt idx="475">
                  <c:v>1.2349381333727694</c:v>
                </c:pt>
                <c:pt idx="476">
                  <c:v>0.2025014781379687</c:v>
                </c:pt>
                <c:pt idx="477">
                  <c:v>0.50427184608506614</c:v>
                </c:pt>
                <c:pt idx="478">
                  <c:v>0.39131624231630724</c:v>
                </c:pt>
                <c:pt idx="479">
                  <c:v>0.47701517562112938</c:v>
                </c:pt>
                <c:pt idx="480">
                  <c:v>0.31220373879332897</c:v>
                </c:pt>
                <c:pt idx="481">
                  <c:v>0.7943692938531014</c:v>
                </c:pt>
                <c:pt idx="482">
                  <c:v>0.95204804093314321</c:v>
                </c:pt>
                <c:pt idx="483">
                  <c:v>0.6729826896893083</c:v>
                </c:pt>
                <c:pt idx="484">
                  <c:v>0.24112621644409005</c:v>
                </c:pt>
                <c:pt idx="485">
                  <c:v>0.32841379340712312</c:v>
                </c:pt>
                <c:pt idx="486">
                  <c:v>0.731358953539617</c:v>
                </c:pt>
                <c:pt idx="487">
                  <c:v>0.34614012094198754</c:v>
                </c:pt>
                <c:pt idx="488">
                  <c:v>0.22679106884732625</c:v>
                </c:pt>
                <c:pt idx="489">
                  <c:v>0.55375487664853895</c:v>
                </c:pt>
                <c:pt idx="490">
                  <c:v>0.94601143102396823</c:v>
                </c:pt>
                <c:pt idx="491">
                  <c:v>1.0477824429764926</c:v>
                </c:pt>
                <c:pt idx="492">
                  <c:v>1.0728767362028866</c:v>
                </c:pt>
                <c:pt idx="493">
                  <c:v>0.53597168246531823</c:v>
                </c:pt>
                <c:pt idx="494">
                  <c:v>0.9190426661769675</c:v>
                </c:pt>
                <c:pt idx="495">
                  <c:v>0.57325439762658381</c:v>
                </c:pt>
                <c:pt idx="496">
                  <c:v>0.83872963523751343</c:v>
                </c:pt>
                <c:pt idx="497">
                  <c:v>0.91138437088720903</c:v>
                </c:pt>
                <c:pt idx="498">
                  <c:v>1.0499763121808465</c:v>
                </c:pt>
                <c:pt idx="499">
                  <c:v>0.96242729931245563</c:v>
                </c:pt>
                <c:pt idx="500">
                  <c:v>1.3877578267589317</c:v>
                </c:pt>
                <c:pt idx="501">
                  <c:v>1.2660851089687246</c:v>
                </c:pt>
                <c:pt idx="502">
                  <c:v>1.4537664153158678</c:v>
                </c:pt>
                <c:pt idx="503">
                  <c:v>0.63052964869479333</c:v>
                </c:pt>
                <c:pt idx="504">
                  <c:v>0.73524079367782047</c:v>
                </c:pt>
                <c:pt idx="505">
                  <c:v>0.70751317062010388</c:v>
                </c:pt>
                <c:pt idx="506">
                  <c:v>0.69654431142455731</c:v>
                </c:pt>
                <c:pt idx="507">
                  <c:v>0.72479491701230003</c:v>
                </c:pt>
                <c:pt idx="508">
                  <c:v>0.87375450147998823</c:v>
                </c:pt>
                <c:pt idx="509">
                  <c:v>0.85644075491847604</c:v>
                </c:pt>
                <c:pt idx="510">
                  <c:v>0.28269240263600792</c:v>
                </c:pt>
                <c:pt idx="511">
                  <c:v>0.36038665840749207</c:v>
                </c:pt>
                <c:pt idx="512">
                  <c:v>0.69142867289506504</c:v>
                </c:pt>
                <c:pt idx="513">
                  <c:v>0.59885400568548075</c:v>
                </c:pt>
                <c:pt idx="514">
                  <c:v>0.17368379253858435</c:v>
                </c:pt>
                <c:pt idx="515">
                  <c:v>0.46398807920431284</c:v>
                </c:pt>
                <c:pt idx="516">
                  <c:v>0.7078841974414275</c:v>
                </c:pt>
                <c:pt idx="517">
                  <c:v>0.55820733506201781</c:v>
                </c:pt>
                <c:pt idx="518">
                  <c:v>0.91445951190834251</c:v>
                </c:pt>
                <c:pt idx="519">
                  <c:v>0.63003113943513311</c:v>
                </c:pt>
                <c:pt idx="520">
                  <c:v>0.66882009765257533</c:v>
                </c:pt>
                <c:pt idx="521">
                  <c:v>0.62407635719087229</c:v>
                </c:pt>
                <c:pt idx="522">
                  <c:v>0.44798889337881842</c:v>
                </c:pt>
                <c:pt idx="523">
                  <c:v>0.18280364998800991</c:v>
                </c:pt>
                <c:pt idx="524">
                  <c:v>0.31086024370787202</c:v>
                </c:pt>
                <c:pt idx="525">
                  <c:v>0.42223368425197966</c:v>
                </c:pt>
                <c:pt idx="526">
                  <c:v>0.47434741171119993</c:v>
                </c:pt>
                <c:pt idx="527">
                  <c:v>0.15187634226169983</c:v>
                </c:pt>
                <c:pt idx="528">
                  <c:v>0.19801677624288799</c:v>
                </c:pt>
                <c:pt idx="529">
                  <c:v>0.81644812923054766</c:v>
                </c:pt>
                <c:pt idx="530">
                  <c:v>0.64254155745882491</c:v>
                </c:pt>
                <c:pt idx="531">
                  <c:v>0.73472008925380827</c:v>
                </c:pt>
                <c:pt idx="532">
                  <c:v>0.55918101997456571</c:v>
                </c:pt>
                <c:pt idx="533">
                  <c:v>0.94563596054980803</c:v>
                </c:pt>
                <c:pt idx="534">
                  <c:v>1.027319521587428</c:v>
                </c:pt>
                <c:pt idx="535">
                  <c:v>1.2329726645331105</c:v>
                </c:pt>
                <c:pt idx="536">
                  <c:v>1.1084229941056989</c:v>
                </c:pt>
                <c:pt idx="537">
                  <c:v>1.0629140876798882</c:v>
                </c:pt>
                <c:pt idx="538">
                  <c:v>0.8419717795190329</c:v>
                </c:pt>
                <c:pt idx="539">
                  <c:v>0.92182565770255498</c:v>
                </c:pt>
                <c:pt idx="540">
                  <c:v>1.1252791844798999</c:v>
                </c:pt>
                <c:pt idx="541">
                  <c:v>1.2754395864682999</c:v>
                </c:pt>
                <c:pt idx="542">
                  <c:v>1.1937750583043356</c:v>
                </c:pt>
                <c:pt idx="543">
                  <c:v>0.9094209527341881</c:v>
                </c:pt>
                <c:pt idx="544">
                  <c:v>0.89745975198090355</c:v>
                </c:pt>
                <c:pt idx="545">
                  <c:v>1.1283194561854017</c:v>
                </c:pt>
                <c:pt idx="546">
                  <c:v>0.99891306160643611</c:v>
                </c:pt>
                <c:pt idx="547">
                  <c:v>1.0111421010194053</c:v>
                </c:pt>
                <c:pt idx="548">
                  <c:v>0.52942504601663209</c:v>
                </c:pt>
                <c:pt idx="549">
                  <c:v>0.92342344476568894</c:v>
                </c:pt>
                <c:pt idx="550">
                  <c:v>1.2631672890507548</c:v>
                </c:pt>
                <c:pt idx="551">
                  <c:v>1.2889444613317149</c:v>
                </c:pt>
                <c:pt idx="552">
                  <c:v>1.6041485408777674</c:v>
                </c:pt>
                <c:pt idx="553">
                  <c:v>0.81373760182954746</c:v>
                </c:pt>
                <c:pt idx="554">
                  <c:v>1.181067741140549</c:v>
                </c:pt>
                <c:pt idx="555">
                  <c:v>0.90200295140702913</c:v>
                </c:pt>
                <c:pt idx="556">
                  <c:v>0.74997836421110742</c:v>
                </c:pt>
                <c:pt idx="557">
                  <c:v>0.9176322696083713</c:v>
                </c:pt>
                <c:pt idx="558">
                  <c:v>1.5559727345002254</c:v>
                </c:pt>
                <c:pt idx="559">
                  <c:v>1.1894199940420092</c:v>
                </c:pt>
                <c:pt idx="560">
                  <c:v>0.62950389973852872</c:v>
                </c:pt>
                <c:pt idx="561">
                  <c:v>0.65596460683935243</c:v>
                </c:pt>
                <c:pt idx="562">
                  <c:v>0.78455802993800983</c:v>
                </c:pt>
                <c:pt idx="563">
                  <c:v>1.0052342719322345</c:v>
                </c:pt>
                <c:pt idx="564">
                  <c:v>0.85193354371017449</c:v>
                </c:pt>
                <c:pt idx="565">
                  <c:v>0.82988389828326814</c:v>
                </c:pt>
                <c:pt idx="566">
                  <c:v>0.60104707903084664</c:v>
                </c:pt>
                <c:pt idx="567">
                  <c:v>1.0140552951097177</c:v>
                </c:pt>
                <c:pt idx="568">
                  <c:v>1.4520924661978136</c:v>
                </c:pt>
                <c:pt idx="569">
                  <c:v>0.97065356961639149</c:v>
                </c:pt>
                <c:pt idx="570">
                  <c:v>1.3312225744074535</c:v>
                </c:pt>
                <c:pt idx="571">
                  <c:v>1.3359577722678144</c:v>
                </c:pt>
                <c:pt idx="572">
                  <c:v>1.251573351245137</c:v>
                </c:pt>
                <c:pt idx="573">
                  <c:v>0.78278095269406889</c:v>
                </c:pt>
                <c:pt idx="574">
                  <c:v>0.9582140959734059</c:v>
                </c:pt>
                <c:pt idx="575">
                  <c:v>1.0383285794319281</c:v>
                </c:pt>
                <c:pt idx="576">
                  <c:v>0.8948973249991703</c:v>
                </c:pt>
                <c:pt idx="577">
                  <c:v>0.31002351662606953</c:v>
                </c:pt>
                <c:pt idx="578">
                  <c:v>0.46950420077886584</c:v>
                </c:pt>
                <c:pt idx="579">
                  <c:v>0.53347273451371757</c:v>
                </c:pt>
                <c:pt idx="580">
                  <c:v>0.94661049539274433</c:v>
                </c:pt>
                <c:pt idx="581">
                  <c:v>0.47924534435379318</c:v>
                </c:pt>
                <c:pt idx="582">
                  <c:v>0.51010755523710027</c:v>
                </c:pt>
                <c:pt idx="583">
                  <c:v>0.35696240196434137</c:v>
                </c:pt>
                <c:pt idx="584">
                  <c:v>0.85530613058008942</c:v>
                </c:pt>
                <c:pt idx="585">
                  <c:v>0.81982643040419112</c:v>
                </c:pt>
                <c:pt idx="586">
                  <c:v>1.0655538821412001</c:v>
                </c:pt>
                <c:pt idx="587">
                  <c:v>0.85141742745167315</c:v>
                </c:pt>
                <c:pt idx="588">
                  <c:v>0.87782405141491304</c:v>
                </c:pt>
                <c:pt idx="589">
                  <c:v>0.88934769812024694</c:v>
                </c:pt>
                <c:pt idx="590">
                  <c:v>1.2514566426752127</c:v>
                </c:pt>
                <c:pt idx="591">
                  <c:v>0.49808472430161022</c:v>
                </c:pt>
                <c:pt idx="592">
                  <c:v>0.64621539177208187</c:v>
                </c:pt>
                <c:pt idx="593">
                  <c:v>0.79262127768116186</c:v>
                </c:pt>
                <c:pt idx="594">
                  <c:v>0.57023212265005652</c:v>
                </c:pt>
                <c:pt idx="595">
                  <c:v>0.53035478136382297</c:v>
                </c:pt>
                <c:pt idx="596">
                  <c:v>0.52670325788862371</c:v>
                </c:pt>
                <c:pt idx="597">
                  <c:v>0.54959129893303271</c:v>
                </c:pt>
                <c:pt idx="598">
                  <c:v>0.1080680164415565</c:v>
                </c:pt>
              </c:numCache>
            </c:numRef>
          </c:yVal>
          <c:smooth val="0"/>
        </c:ser>
        <c:dLbls>
          <c:showLegendKey val="0"/>
          <c:showVal val="0"/>
          <c:showCatName val="0"/>
          <c:showSerName val="0"/>
          <c:showPercent val="0"/>
          <c:showBubbleSize val="0"/>
        </c:dLbls>
        <c:axId val="-1510690184"/>
        <c:axId val="-1510689792"/>
      </c:scatterChart>
      <c:valAx>
        <c:axId val="-1510690184"/>
        <c:scaling>
          <c:orientation val="minMax"/>
        </c:scaling>
        <c:delete val="1"/>
        <c:axPos val="b"/>
        <c:numFmt formatCode="0.00" sourceLinked="1"/>
        <c:majorTickMark val="out"/>
        <c:minorTickMark val="none"/>
        <c:tickLblPos val="nextTo"/>
        <c:crossAx val="-1510689792"/>
        <c:crosses val="autoZero"/>
        <c:crossBetween val="midCat"/>
      </c:valAx>
      <c:valAx>
        <c:axId val="-1510689792"/>
        <c:scaling>
          <c:orientation val="minMax"/>
        </c:scaling>
        <c:delete val="1"/>
        <c:axPos val="l"/>
        <c:numFmt formatCode="0.00" sourceLinked="1"/>
        <c:majorTickMark val="out"/>
        <c:minorTickMark val="none"/>
        <c:tickLblPos val="nextTo"/>
        <c:crossAx val="-151069018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939730664507984E-4"/>
          <c:y val="1.8957329598869141E-4"/>
          <c:w val="0.9992906026933549"/>
          <c:h val="0.99981042670401132"/>
        </c:manualLayout>
      </c:layout>
      <c:scatterChart>
        <c:scatterStyle val="lineMarker"/>
        <c:varyColors val="0"/>
        <c:ser>
          <c:idx val="0"/>
          <c:order val="0"/>
          <c:spPr>
            <a:ln w="28575">
              <a:noFill/>
            </a:ln>
          </c:spPr>
          <c:marker>
            <c:symbol val="circle"/>
            <c:size val="3"/>
            <c:spPr>
              <a:solidFill>
                <a:srgbClr val="F69359"/>
              </a:solidFill>
              <a:ln w="9525">
                <a:noFill/>
              </a:ln>
            </c:spPr>
          </c:marker>
          <c:trendline>
            <c:spPr>
              <a:ln w="19050">
                <a:solidFill>
                  <a:srgbClr val="0070C0"/>
                </a:solidFill>
                <a:prstDash val="solid"/>
              </a:ln>
            </c:spPr>
            <c:trendlineType val="linear"/>
            <c:dispRSqr val="1"/>
            <c:dispEq val="1"/>
            <c:trendlineLbl>
              <c:layout>
                <c:manualLayout>
                  <c:x val="-0.57017391517649074"/>
                  <c:y val="-0.148997269539976"/>
                </c:manualLayout>
              </c:layout>
              <c:numFmt formatCode="0.000" sourceLinked="0"/>
              <c:spPr>
                <a:noFill/>
                <a:ln w="25400">
                  <a:noFill/>
                </a:ln>
              </c:spPr>
              <c:txPr>
                <a:bodyPr/>
                <a:lstStyle/>
                <a:p>
                  <a:pPr algn="l">
                    <a:defRPr sz="1000" b="0" i="0" u="none" strike="noStrike" baseline="0">
                      <a:solidFill>
                        <a:srgbClr val="000000"/>
                      </a:solidFill>
                      <a:latin typeface="Cambria"/>
                      <a:ea typeface="Cambria"/>
                      <a:cs typeface="Cambria"/>
                    </a:defRPr>
                  </a:pPr>
                  <a:endParaRPr lang="en-US"/>
                </a:p>
              </c:txPr>
            </c:trendlineLbl>
          </c:trendline>
          <c:xVal>
            <c:numRef>
              <c:f>simulate!$AP$4:$AP$2004</c:f>
              <c:numCache>
                <c:formatCode>0.00</c:formatCode>
                <c:ptCount val="2001"/>
                <c:pt idx="0">
                  <c:v>0.43813059166599244</c:v>
                </c:pt>
                <c:pt idx="1">
                  <c:v>-0.13979433904025149</c:v>
                </c:pt>
                <c:pt idx="2">
                  <c:v>0.6951632046220203</c:v>
                </c:pt>
                <c:pt idx="3">
                  <c:v>0.73937867176868799</c:v>
                </c:pt>
                <c:pt idx="4">
                  <c:v>6.1799109458595125E-2</c:v>
                </c:pt>
                <c:pt idx="5">
                  <c:v>0.34883550992630602</c:v>
                </c:pt>
                <c:pt idx="6">
                  <c:v>0.54765293364446554</c:v>
                </c:pt>
                <c:pt idx="7">
                  <c:v>-6.8625397115380848E-2</c:v>
                </c:pt>
                <c:pt idx="8">
                  <c:v>0.24306811830930974</c:v>
                </c:pt>
                <c:pt idx="9">
                  <c:v>0.47445554513146898</c:v>
                </c:pt>
                <c:pt idx="10">
                  <c:v>0.5183983667257368</c:v>
                </c:pt>
                <c:pt idx="11">
                  <c:v>0.6423580242722251</c:v>
                </c:pt>
                <c:pt idx="12">
                  <c:v>0.93490224129785759</c:v>
                </c:pt>
                <c:pt idx="13">
                  <c:v>1.0425584551096623</c:v>
                </c:pt>
                <c:pt idx="14">
                  <c:v>0.6493658197720551</c:v>
                </c:pt>
                <c:pt idx="15">
                  <c:v>0.71981975048116109</c:v>
                </c:pt>
                <c:pt idx="16">
                  <c:v>0.63298070972351905</c:v>
                </c:pt>
                <c:pt idx="17">
                  <c:v>0.81427147512790043</c:v>
                </c:pt>
                <c:pt idx="18">
                  <c:v>1.1164074889946112</c:v>
                </c:pt>
                <c:pt idx="19">
                  <c:v>0.53064450307720468</c:v>
                </c:pt>
                <c:pt idx="20">
                  <c:v>1.0611356070373836</c:v>
                </c:pt>
                <c:pt idx="21">
                  <c:v>0.7711528480637595</c:v>
                </c:pt>
                <c:pt idx="22">
                  <c:v>0.56982194397724628</c:v>
                </c:pt>
                <c:pt idx="23">
                  <c:v>0.54378830158010949</c:v>
                </c:pt>
                <c:pt idx="24">
                  <c:v>-0.281257957122025</c:v>
                </c:pt>
                <c:pt idx="25">
                  <c:v>-0.8256441152201508</c:v>
                </c:pt>
                <c:pt idx="26">
                  <c:v>4.2480776257251357E-2</c:v>
                </c:pt>
                <c:pt idx="27">
                  <c:v>0.16068916680018072</c:v>
                </c:pt>
                <c:pt idx="28">
                  <c:v>0.1141515552623753</c:v>
                </c:pt>
                <c:pt idx="29">
                  <c:v>0.42480534476067988</c:v>
                </c:pt>
                <c:pt idx="30">
                  <c:v>0.46512304350453132</c:v>
                </c:pt>
                <c:pt idx="31">
                  <c:v>0.55675341495023323</c:v>
                </c:pt>
                <c:pt idx="32">
                  <c:v>0.42632847773528293</c:v>
                </c:pt>
                <c:pt idx="33">
                  <c:v>0.19805070236071309</c:v>
                </c:pt>
                <c:pt idx="34">
                  <c:v>0.81439378044976585</c:v>
                </c:pt>
                <c:pt idx="35">
                  <c:v>-0.60908909786710841</c:v>
                </c:pt>
                <c:pt idx="36">
                  <c:v>-0.12483186330731671</c:v>
                </c:pt>
                <c:pt idx="37">
                  <c:v>0.85146720385662067</c:v>
                </c:pt>
                <c:pt idx="38">
                  <c:v>0.87982960869257365</c:v>
                </c:pt>
                <c:pt idx="39">
                  <c:v>0.25056750392571847</c:v>
                </c:pt>
                <c:pt idx="40">
                  <c:v>5.792563013288439E-2</c:v>
                </c:pt>
                <c:pt idx="41">
                  <c:v>5.5026244589595506E-2</c:v>
                </c:pt>
                <c:pt idx="42">
                  <c:v>0.81880546022125589</c:v>
                </c:pt>
                <c:pt idx="43">
                  <c:v>-9.9855334038510435E-2</c:v>
                </c:pt>
                <c:pt idx="44">
                  <c:v>0.88703522891402309</c:v>
                </c:pt>
                <c:pt idx="45">
                  <c:v>-6.3558951353244408E-2</c:v>
                </c:pt>
                <c:pt idx="46">
                  <c:v>0.75720338402926979</c:v>
                </c:pt>
                <c:pt idx="47">
                  <c:v>0.18732754582140887</c:v>
                </c:pt>
                <c:pt idx="48">
                  <c:v>0.1320856387659986</c:v>
                </c:pt>
                <c:pt idx="49">
                  <c:v>0.92520184937397798</c:v>
                </c:pt>
                <c:pt idx="50">
                  <c:v>0.29815172376918819</c:v>
                </c:pt>
                <c:pt idx="51">
                  <c:v>0.48240273079036727</c:v>
                </c:pt>
                <c:pt idx="52">
                  <c:v>1.7960507864735742E-3</c:v>
                </c:pt>
                <c:pt idx="53">
                  <c:v>0.37810236007649273</c:v>
                </c:pt>
                <c:pt idx="54">
                  <c:v>-0.19856545496075423</c:v>
                </c:pt>
                <c:pt idx="55">
                  <c:v>0.1938135752258639</c:v>
                </c:pt>
                <c:pt idx="56">
                  <c:v>-8.4401957621706186E-2</c:v>
                </c:pt>
                <c:pt idx="57">
                  <c:v>0.58051167284229421</c:v>
                </c:pt>
                <c:pt idx="58">
                  <c:v>-0.68336908709889466</c:v>
                </c:pt>
                <c:pt idx="59">
                  <c:v>-6.5742829499898653E-2</c:v>
                </c:pt>
                <c:pt idx="60">
                  <c:v>0.24030971395067602</c:v>
                </c:pt>
                <c:pt idx="61">
                  <c:v>0.72542486418398822</c:v>
                </c:pt>
                <c:pt idx="62">
                  <c:v>0.83565178804986706</c:v>
                </c:pt>
                <c:pt idx="63">
                  <c:v>-6.0976720418838393E-2</c:v>
                </c:pt>
                <c:pt idx="64">
                  <c:v>-9.624715368965564E-2</c:v>
                </c:pt>
                <c:pt idx="65">
                  <c:v>0.77781913088942023</c:v>
                </c:pt>
                <c:pt idx="66">
                  <c:v>0.4342844147393784</c:v>
                </c:pt>
                <c:pt idx="67">
                  <c:v>0.25199908133135956</c:v>
                </c:pt>
                <c:pt idx="68">
                  <c:v>0.2421510369768663</c:v>
                </c:pt>
                <c:pt idx="69">
                  <c:v>1.0158828152371997</c:v>
                </c:pt>
                <c:pt idx="70">
                  <c:v>0.17360687399383196</c:v>
                </c:pt>
                <c:pt idx="71">
                  <c:v>0.23168566472513127</c:v>
                </c:pt>
                <c:pt idx="72">
                  <c:v>0.39960566417154619</c:v>
                </c:pt>
                <c:pt idx="73">
                  <c:v>0.19510277342336479</c:v>
                </c:pt>
                <c:pt idx="74">
                  <c:v>0.64569370021401551</c:v>
                </c:pt>
                <c:pt idx="75">
                  <c:v>1.0778365758611186E-2</c:v>
                </c:pt>
                <c:pt idx="76">
                  <c:v>9.3270932265342638E-2</c:v>
                </c:pt>
                <c:pt idx="77">
                  <c:v>9.1540007309721505E-2</c:v>
                </c:pt>
                <c:pt idx="78">
                  <c:v>0.2938520999806255</c:v>
                </c:pt>
                <c:pt idx="79">
                  <c:v>0.10529021055401044</c:v>
                </c:pt>
                <c:pt idx="80">
                  <c:v>0.46312862367836122</c:v>
                </c:pt>
                <c:pt idx="81">
                  <c:v>1.5491661016376175</c:v>
                </c:pt>
                <c:pt idx="82">
                  <c:v>0.37957535202162374</c:v>
                </c:pt>
                <c:pt idx="83">
                  <c:v>0.77175256158668171</c:v>
                </c:pt>
                <c:pt idx="84">
                  <c:v>-0.41451083951931744</c:v>
                </c:pt>
                <c:pt idx="85">
                  <c:v>-0.27669241968782876</c:v>
                </c:pt>
                <c:pt idx="86">
                  <c:v>0.23566498689292856</c:v>
                </c:pt>
                <c:pt idx="87">
                  <c:v>0.90317278098051146</c:v>
                </c:pt>
                <c:pt idx="88">
                  <c:v>0.11435037371731333</c:v>
                </c:pt>
                <c:pt idx="89">
                  <c:v>0.1209042625718883</c:v>
                </c:pt>
                <c:pt idx="90">
                  <c:v>0.60566947919326752</c:v>
                </c:pt>
                <c:pt idx="91">
                  <c:v>0.59927532621188773</c:v>
                </c:pt>
                <c:pt idx="92">
                  <c:v>0.80762179242888288</c:v>
                </c:pt>
                <c:pt idx="93">
                  <c:v>0.6160514848298273</c:v>
                </c:pt>
                <c:pt idx="94">
                  <c:v>0.56231852154093942</c:v>
                </c:pt>
                <c:pt idx="95">
                  <c:v>0.73671617746617846</c:v>
                </c:pt>
                <c:pt idx="96">
                  <c:v>0.27133166106006745</c:v>
                </c:pt>
                <c:pt idx="97">
                  <c:v>-0.29563804468936228</c:v>
                </c:pt>
                <c:pt idx="98">
                  <c:v>0.747805438183898</c:v>
                </c:pt>
                <c:pt idx="99">
                  <c:v>1.3027215067403271</c:v>
                </c:pt>
                <c:pt idx="100">
                  <c:v>0.3630241650535867</c:v>
                </c:pt>
                <c:pt idx="101">
                  <c:v>1.4112952181332112</c:v>
                </c:pt>
                <c:pt idx="102">
                  <c:v>0.53616440270046417</c:v>
                </c:pt>
                <c:pt idx="103">
                  <c:v>0.96863852802346218</c:v>
                </c:pt>
                <c:pt idx="104">
                  <c:v>0.66526132795451487</c:v>
                </c:pt>
                <c:pt idx="105">
                  <c:v>0.69710444914049163</c:v>
                </c:pt>
                <c:pt idx="106">
                  <c:v>0.84227553730053006</c:v>
                </c:pt>
                <c:pt idx="107">
                  <c:v>0.71268027298771663</c:v>
                </c:pt>
                <c:pt idx="108">
                  <c:v>1.3707777434634876</c:v>
                </c:pt>
                <c:pt idx="109">
                  <c:v>1.1962419218592153</c:v>
                </c:pt>
                <c:pt idx="110">
                  <c:v>0.53719588939150786</c:v>
                </c:pt>
                <c:pt idx="111">
                  <c:v>0.30612966138461051</c:v>
                </c:pt>
                <c:pt idx="112">
                  <c:v>1.0237688264705433</c:v>
                </c:pt>
                <c:pt idx="113">
                  <c:v>0.44998669937302999</c:v>
                </c:pt>
                <c:pt idx="114">
                  <c:v>0.58761953565726932</c:v>
                </c:pt>
                <c:pt idx="115">
                  <c:v>1.1500199441056886</c:v>
                </c:pt>
                <c:pt idx="116">
                  <c:v>1.5256172050861707</c:v>
                </c:pt>
                <c:pt idx="117">
                  <c:v>0.87680218477099825</c:v>
                </c:pt>
                <c:pt idx="118">
                  <c:v>1.1116935664927043</c:v>
                </c:pt>
                <c:pt idx="119">
                  <c:v>0.88969238096740433</c:v>
                </c:pt>
                <c:pt idx="120">
                  <c:v>1.3371934866324833</c:v>
                </c:pt>
                <c:pt idx="121">
                  <c:v>0.30855766804648721</c:v>
                </c:pt>
                <c:pt idx="122">
                  <c:v>0.88459678429940691</c:v>
                </c:pt>
                <c:pt idx="123">
                  <c:v>0.84665330090154289</c:v>
                </c:pt>
                <c:pt idx="124">
                  <c:v>0.662736865246212</c:v>
                </c:pt>
                <c:pt idx="125">
                  <c:v>0.21108932365659427</c:v>
                </c:pt>
                <c:pt idx="126">
                  <c:v>0.82902495594431835</c:v>
                </c:pt>
                <c:pt idx="127">
                  <c:v>-0.23081909641182552</c:v>
                </c:pt>
                <c:pt idx="128">
                  <c:v>0.61078871512797339</c:v>
                </c:pt>
                <c:pt idx="129">
                  <c:v>0.80689524836866788</c:v>
                </c:pt>
                <c:pt idx="130">
                  <c:v>1.5418364593740774</c:v>
                </c:pt>
                <c:pt idx="131">
                  <c:v>1.0619265566231593</c:v>
                </c:pt>
                <c:pt idx="132">
                  <c:v>1.3996137579717698</c:v>
                </c:pt>
                <c:pt idx="133">
                  <c:v>0.95898066569303786</c:v>
                </c:pt>
                <c:pt idx="134">
                  <c:v>1.2430973404151746</c:v>
                </c:pt>
                <c:pt idx="135">
                  <c:v>0.74994683081895186</c:v>
                </c:pt>
                <c:pt idx="136">
                  <c:v>0.45096840347198336</c:v>
                </c:pt>
                <c:pt idx="137">
                  <c:v>1.1453663976683757</c:v>
                </c:pt>
                <c:pt idx="138">
                  <c:v>0.35002614527646103</c:v>
                </c:pt>
                <c:pt idx="139">
                  <c:v>-0.26351493764528389</c:v>
                </c:pt>
                <c:pt idx="140">
                  <c:v>0.72356727212072713</c:v>
                </c:pt>
                <c:pt idx="141">
                  <c:v>0.55315732444888377</c:v>
                </c:pt>
                <c:pt idx="142">
                  <c:v>0.92080555123406149</c:v>
                </c:pt>
                <c:pt idx="143">
                  <c:v>-3.5873532137085745E-2</c:v>
                </c:pt>
                <c:pt idx="144">
                  <c:v>-0.41385165724911732</c:v>
                </c:pt>
                <c:pt idx="145">
                  <c:v>1.1124082035137168</c:v>
                </c:pt>
                <c:pt idx="146">
                  <c:v>3.1222447101479367E-2</c:v>
                </c:pt>
                <c:pt idx="147">
                  <c:v>0.34476651978734024</c:v>
                </c:pt>
                <c:pt idx="148">
                  <c:v>-0.13109252133429344</c:v>
                </c:pt>
                <c:pt idx="149">
                  <c:v>1.423837863994285</c:v>
                </c:pt>
                <c:pt idx="150">
                  <c:v>-0.63912011001993907</c:v>
                </c:pt>
                <c:pt idx="151">
                  <c:v>-0.32828891230455215</c:v>
                </c:pt>
                <c:pt idx="152">
                  <c:v>0.68888491186135159</c:v>
                </c:pt>
                <c:pt idx="153">
                  <c:v>0.39743660347341314</c:v>
                </c:pt>
                <c:pt idx="154">
                  <c:v>1.0852034579169278E-2</c:v>
                </c:pt>
                <c:pt idx="155">
                  <c:v>0.5724299701517408</c:v>
                </c:pt>
                <c:pt idx="156">
                  <c:v>0.29084928647002195</c:v>
                </c:pt>
                <c:pt idx="157">
                  <c:v>0.17769984972094463</c:v>
                </c:pt>
                <c:pt idx="158">
                  <c:v>0.491330923087964</c:v>
                </c:pt>
                <c:pt idx="159">
                  <c:v>0.50338204421897237</c:v>
                </c:pt>
                <c:pt idx="160">
                  <c:v>0.43900230138203383</c:v>
                </c:pt>
                <c:pt idx="161">
                  <c:v>-8.1411350215819633E-2</c:v>
                </c:pt>
                <c:pt idx="162">
                  <c:v>0.52763216334744756</c:v>
                </c:pt>
                <c:pt idx="163">
                  <c:v>-0.15490726568765822</c:v>
                </c:pt>
                <c:pt idx="164">
                  <c:v>-0.36739716383984877</c:v>
                </c:pt>
                <c:pt idx="165">
                  <c:v>-0.34255980599238767</c:v>
                </c:pt>
                <c:pt idx="166">
                  <c:v>0.98643693137281585</c:v>
                </c:pt>
                <c:pt idx="167">
                  <c:v>0.71419929555871642</c:v>
                </c:pt>
                <c:pt idx="168">
                  <c:v>5.2993077444770054E-2</c:v>
                </c:pt>
                <c:pt idx="169">
                  <c:v>-6.9876909621668204E-2</c:v>
                </c:pt>
                <c:pt idx="170">
                  <c:v>0.63361500331238563</c:v>
                </c:pt>
                <c:pt idx="171">
                  <c:v>-0.3526017096883185</c:v>
                </c:pt>
                <c:pt idx="172">
                  <c:v>0.74275579522419888</c:v>
                </c:pt>
                <c:pt idx="173">
                  <c:v>-0.11268108829195464</c:v>
                </c:pt>
                <c:pt idx="174">
                  <c:v>-0.9668430846144912</c:v>
                </c:pt>
                <c:pt idx="175">
                  <c:v>0.34679019734917904</c:v>
                </c:pt>
                <c:pt idx="176">
                  <c:v>0.22723174983294098</c:v>
                </c:pt>
                <c:pt idx="177">
                  <c:v>0.28418478257932284</c:v>
                </c:pt>
                <c:pt idx="178">
                  <c:v>0.2217065742751668</c:v>
                </c:pt>
                <c:pt idx="179">
                  <c:v>0.38274817075223233</c:v>
                </c:pt>
                <c:pt idx="180">
                  <c:v>0.43625247989745075</c:v>
                </c:pt>
                <c:pt idx="181">
                  <c:v>0.43459310766987058</c:v>
                </c:pt>
                <c:pt idx="182">
                  <c:v>0.87390439954881993</c:v>
                </c:pt>
                <c:pt idx="183">
                  <c:v>0.98294295068803428</c:v>
                </c:pt>
                <c:pt idx="184">
                  <c:v>0.13743949624206264</c:v>
                </c:pt>
                <c:pt idx="185">
                  <c:v>0.44035829724576003</c:v>
                </c:pt>
                <c:pt idx="186">
                  <c:v>1.1713157213181338</c:v>
                </c:pt>
                <c:pt idx="187">
                  <c:v>0.48203676800479867</c:v>
                </c:pt>
                <c:pt idx="188">
                  <c:v>0.85905710633638366</c:v>
                </c:pt>
                <c:pt idx="189">
                  <c:v>1.8551525845096011</c:v>
                </c:pt>
                <c:pt idx="190">
                  <c:v>1.1948893555778031</c:v>
                </c:pt>
                <c:pt idx="191">
                  <c:v>0.23710501670673456</c:v>
                </c:pt>
                <c:pt idx="192">
                  <c:v>0.93832449379377592</c:v>
                </c:pt>
                <c:pt idx="193">
                  <c:v>1.2711999838867942</c:v>
                </c:pt>
                <c:pt idx="194">
                  <c:v>1.183971797397434</c:v>
                </c:pt>
                <c:pt idx="195">
                  <c:v>0.10959902659653387</c:v>
                </c:pt>
                <c:pt idx="196">
                  <c:v>0.78891191830276908</c:v>
                </c:pt>
                <c:pt idx="197">
                  <c:v>0.29921918848778839</c:v>
                </c:pt>
                <c:pt idx="198">
                  <c:v>0.3803907074053311</c:v>
                </c:pt>
                <c:pt idx="199">
                  <c:v>-0.13650984483275708</c:v>
                </c:pt>
                <c:pt idx="200">
                  <c:v>1.010037570888622</c:v>
                </c:pt>
                <c:pt idx="201">
                  <c:v>0.47990686044906983</c:v>
                </c:pt>
                <c:pt idx="202">
                  <c:v>0.95994905118836127</c:v>
                </c:pt>
                <c:pt idx="203">
                  <c:v>0.54591825783626435</c:v>
                </c:pt>
                <c:pt idx="204">
                  <c:v>1.1326070862704798</c:v>
                </c:pt>
                <c:pt idx="205">
                  <c:v>0.72900835571102407</c:v>
                </c:pt>
                <c:pt idx="206">
                  <c:v>0.41745066768813227</c:v>
                </c:pt>
                <c:pt idx="207">
                  <c:v>0.67085605571760321</c:v>
                </c:pt>
                <c:pt idx="208">
                  <c:v>1.2590278318797274</c:v>
                </c:pt>
                <c:pt idx="209">
                  <c:v>0.56874206175200737</c:v>
                </c:pt>
                <c:pt idx="210">
                  <c:v>0.64975991888236129</c:v>
                </c:pt>
                <c:pt idx="211">
                  <c:v>0.19981393892290428</c:v>
                </c:pt>
                <c:pt idx="212">
                  <c:v>0.30883881235768929</c:v>
                </c:pt>
                <c:pt idx="213">
                  <c:v>-0.44510758987013127</c:v>
                </c:pt>
                <c:pt idx="214">
                  <c:v>0.68560488568682199</c:v>
                </c:pt>
                <c:pt idx="215">
                  <c:v>9.5656485235047439E-2</c:v>
                </c:pt>
                <c:pt idx="216">
                  <c:v>0.72866858980031723</c:v>
                </c:pt>
                <c:pt idx="217">
                  <c:v>0.36227220931200721</c:v>
                </c:pt>
                <c:pt idx="218">
                  <c:v>-0.35298915362410693</c:v>
                </c:pt>
                <c:pt idx="219">
                  <c:v>-0.44665359763860435</c:v>
                </c:pt>
                <c:pt idx="220">
                  <c:v>0.20218910750232866</c:v>
                </c:pt>
                <c:pt idx="221">
                  <c:v>0.84904317305851462</c:v>
                </c:pt>
                <c:pt idx="222">
                  <c:v>0.3031031187763385</c:v>
                </c:pt>
                <c:pt idx="223">
                  <c:v>0.28857190058405835</c:v>
                </c:pt>
                <c:pt idx="224">
                  <c:v>0.32424669973062148</c:v>
                </c:pt>
                <c:pt idx="225">
                  <c:v>-0.13249308705104934</c:v>
                </c:pt>
                <c:pt idx="226">
                  <c:v>0.49981461101510166</c:v>
                </c:pt>
                <c:pt idx="227">
                  <c:v>0.6739980085426196</c:v>
                </c:pt>
                <c:pt idx="228">
                  <c:v>0.74201749888140511</c:v>
                </c:pt>
                <c:pt idx="229">
                  <c:v>0.28067708579970724</c:v>
                </c:pt>
                <c:pt idx="230">
                  <c:v>0.33987961081843882</c:v>
                </c:pt>
                <c:pt idx="231">
                  <c:v>0.52556767311666808</c:v>
                </c:pt>
                <c:pt idx="232">
                  <c:v>-0.48800086504256757</c:v>
                </c:pt>
                <c:pt idx="233">
                  <c:v>0.11941598603660464</c:v>
                </c:pt>
                <c:pt idx="234">
                  <c:v>0.48911443220581213</c:v>
                </c:pt>
                <c:pt idx="235">
                  <c:v>0.90506031055930791</c:v>
                </c:pt>
                <c:pt idx="236">
                  <c:v>0.51695958209835147</c:v>
                </c:pt>
                <c:pt idx="237">
                  <c:v>0.32511575686551319</c:v>
                </c:pt>
                <c:pt idx="238">
                  <c:v>0.88515496752082856</c:v>
                </c:pt>
                <c:pt idx="239">
                  <c:v>0.63210465066804611</c:v>
                </c:pt>
                <c:pt idx="240">
                  <c:v>1.5696611219629766</c:v>
                </c:pt>
                <c:pt idx="241">
                  <c:v>1.3154263796120651</c:v>
                </c:pt>
                <c:pt idx="242">
                  <c:v>1.2832496300267022</c:v>
                </c:pt>
                <c:pt idx="243">
                  <c:v>0.96395384515520099</c:v>
                </c:pt>
                <c:pt idx="244">
                  <c:v>0.81542758427551898</c:v>
                </c:pt>
                <c:pt idx="245">
                  <c:v>1.0525145550592867</c:v>
                </c:pt>
                <c:pt idx="246">
                  <c:v>0.15806955010925894</c:v>
                </c:pt>
                <c:pt idx="247">
                  <c:v>-0.57077076990198383</c:v>
                </c:pt>
                <c:pt idx="248">
                  <c:v>0.65992893362913407</c:v>
                </c:pt>
                <c:pt idx="249">
                  <c:v>0.80929581701015008</c:v>
                </c:pt>
                <c:pt idx="250">
                  <c:v>0.43307762057676435</c:v>
                </c:pt>
                <c:pt idx="251">
                  <c:v>0.21855882348197123</c:v>
                </c:pt>
                <c:pt idx="252">
                  <c:v>0.44820441220679169</c:v>
                </c:pt>
                <c:pt idx="253">
                  <c:v>8.0683972054018727E-2</c:v>
                </c:pt>
                <c:pt idx="254">
                  <c:v>0.69719544048739346</c:v>
                </c:pt>
                <c:pt idx="255">
                  <c:v>0.40581580660717376</c:v>
                </c:pt>
                <c:pt idx="256">
                  <c:v>0.27800995624104186</c:v>
                </c:pt>
                <c:pt idx="257">
                  <c:v>-0.5450161841845873</c:v>
                </c:pt>
                <c:pt idx="258">
                  <c:v>0.57879982689408938</c:v>
                </c:pt>
                <c:pt idx="259">
                  <c:v>0.89581423586912168</c:v>
                </c:pt>
                <c:pt idx="260">
                  <c:v>0.3932761827273662</c:v>
                </c:pt>
                <c:pt idx="261">
                  <c:v>0.82209646845356743</c:v>
                </c:pt>
                <c:pt idx="262">
                  <c:v>0.36332421555668803</c:v>
                </c:pt>
                <c:pt idx="263">
                  <c:v>0.95499434902382518</c:v>
                </c:pt>
                <c:pt idx="264">
                  <c:v>1.1720326279728224</c:v>
                </c:pt>
                <c:pt idx="265">
                  <c:v>1.6513132763777312</c:v>
                </c:pt>
                <c:pt idx="266">
                  <c:v>0.59679591520512665</c:v>
                </c:pt>
                <c:pt idx="267">
                  <c:v>0.92196796292978989</c:v>
                </c:pt>
                <c:pt idx="268">
                  <c:v>9.0447799961476505E-2</c:v>
                </c:pt>
                <c:pt idx="269">
                  <c:v>1.0076253159740087</c:v>
                </c:pt>
                <c:pt idx="270">
                  <c:v>0.19800617037856227</c:v>
                </c:pt>
                <c:pt idx="271">
                  <c:v>0.35120803132488043</c:v>
                </c:pt>
                <c:pt idx="272">
                  <c:v>-6.7587532283044705E-2</c:v>
                </c:pt>
                <c:pt idx="273">
                  <c:v>6.4355875026413656E-2</c:v>
                </c:pt>
                <c:pt idx="274">
                  <c:v>0.269061020366819</c:v>
                </c:pt>
                <c:pt idx="275">
                  <c:v>-0.18495492855090212</c:v>
                </c:pt>
                <c:pt idx="276">
                  <c:v>-0.12205988959970054</c:v>
                </c:pt>
                <c:pt idx="277">
                  <c:v>0.2938466239758501</c:v>
                </c:pt>
                <c:pt idx="278">
                  <c:v>0.46632795341087951</c:v>
                </c:pt>
                <c:pt idx="279">
                  <c:v>0.87644788726203404</c:v>
                </c:pt>
                <c:pt idx="280">
                  <c:v>0.96983366894727641</c:v>
                </c:pt>
                <c:pt idx="281">
                  <c:v>0.73385190236617637</c:v>
                </c:pt>
                <c:pt idx="282">
                  <c:v>0.51135807541776479</c:v>
                </c:pt>
                <c:pt idx="283">
                  <c:v>0.64272878534527811</c:v>
                </c:pt>
                <c:pt idx="284">
                  <c:v>0.33477357832080534</c:v>
                </c:pt>
                <c:pt idx="285">
                  <c:v>0.53794541013563524</c:v>
                </c:pt>
                <c:pt idx="286">
                  <c:v>1.1936000986948461</c:v>
                </c:pt>
                <c:pt idx="287">
                  <c:v>0.13031156400897237</c:v>
                </c:pt>
                <c:pt idx="288">
                  <c:v>0.77894255628401399</c:v>
                </c:pt>
                <c:pt idx="289">
                  <c:v>0.32324039765108903</c:v>
                </c:pt>
                <c:pt idx="290">
                  <c:v>0.74778891803419034</c:v>
                </c:pt>
                <c:pt idx="291">
                  <c:v>0.42957469398825932</c:v>
                </c:pt>
                <c:pt idx="292">
                  <c:v>8.0878511591411517E-2</c:v>
                </c:pt>
                <c:pt idx="293">
                  <c:v>0.2250730277139244</c:v>
                </c:pt>
                <c:pt idx="294">
                  <c:v>0.72668571520950853</c:v>
                </c:pt>
                <c:pt idx="295">
                  <c:v>0.22031004789495628</c:v>
                </c:pt>
                <c:pt idx="296">
                  <c:v>0.63365117889627287</c:v>
                </c:pt>
                <c:pt idx="297">
                  <c:v>0.55823531647877533</c:v>
                </c:pt>
                <c:pt idx="298">
                  <c:v>0.72437304088836219</c:v>
                </c:pt>
                <c:pt idx="299">
                  <c:v>1.147109367274038</c:v>
                </c:pt>
                <c:pt idx="300">
                  <c:v>0.98129851302832405</c:v>
                </c:pt>
                <c:pt idx="301">
                  <c:v>0.78825653201698587</c:v>
                </c:pt>
                <c:pt idx="302">
                  <c:v>0.51386514030462094</c:v>
                </c:pt>
                <c:pt idx="303">
                  <c:v>-8.8580185454559923E-2</c:v>
                </c:pt>
                <c:pt idx="304">
                  <c:v>0.71210480320877934</c:v>
                </c:pt>
                <c:pt idx="305">
                  <c:v>0.4168358232306229</c:v>
                </c:pt>
                <c:pt idx="306">
                  <c:v>0.59114076891484757</c:v>
                </c:pt>
                <c:pt idx="307">
                  <c:v>-8.8815906111139764E-2</c:v>
                </c:pt>
                <c:pt idx="308">
                  <c:v>0.43903193630111514</c:v>
                </c:pt>
                <c:pt idx="309">
                  <c:v>0.86325395814746653</c:v>
                </c:pt>
                <c:pt idx="310">
                  <c:v>0.86301903008050906</c:v>
                </c:pt>
                <c:pt idx="311">
                  <c:v>0.3592233730178494</c:v>
                </c:pt>
                <c:pt idx="312">
                  <c:v>0.93932847159766508</c:v>
                </c:pt>
                <c:pt idx="313">
                  <c:v>-0.24125603168413989</c:v>
                </c:pt>
                <c:pt idx="314">
                  <c:v>0.94461716096687065</c:v>
                </c:pt>
                <c:pt idx="315">
                  <c:v>0.17479814171938673</c:v>
                </c:pt>
                <c:pt idx="316">
                  <c:v>-0.29673326964381508</c:v>
                </c:pt>
                <c:pt idx="317">
                  <c:v>4.6624478756132681E-2</c:v>
                </c:pt>
                <c:pt idx="318">
                  <c:v>0.59570706176987276</c:v>
                </c:pt>
                <c:pt idx="319">
                  <c:v>0.54968637707499213</c:v>
                </c:pt>
                <c:pt idx="320">
                  <c:v>0.53086554039909939</c:v>
                </c:pt>
                <c:pt idx="321">
                  <c:v>0.2180161622538172</c:v>
                </c:pt>
                <c:pt idx="322">
                  <c:v>0.14713053659019765</c:v>
                </c:pt>
                <c:pt idx="323">
                  <c:v>0.61806090461838692</c:v>
                </c:pt>
                <c:pt idx="324">
                  <c:v>1.4105698340206557E-2</c:v>
                </c:pt>
                <c:pt idx="325">
                  <c:v>0.56907070818818839</c:v>
                </c:pt>
                <c:pt idx="326">
                  <c:v>1.1484272626771803</c:v>
                </c:pt>
                <c:pt idx="327">
                  <c:v>0.58871719229442476</c:v>
                </c:pt>
                <c:pt idx="328">
                  <c:v>0.57714441527634341</c:v>
                </c:pt>
                <c:pt idx="329">
                  <c:v>0.46981582367994851</c:v>
                </c:pt>
                <c:pt idx="330">
                  <c:v>0.29251222788251169</c:v>
                </c:pt>
                <c:pt idx="331">
                  <c:v>0.80838265008655741</c:v>
                </c:pt>
                <c:pt idx="332">
                  <c:v>0.13443898478061522</c:v>
                </c:pt>
                <c:pt idx="333">
                  <c:v>0.43851388345440673</c:v>
                </c:pt>
                <c:pt idx="334">
                  <c:v>0.47767718701810885</c:v>
                </c:pt>
                <c:pt idx="335">
                  <c:v>0.31951494775505385</c:v>
                </c:pt>
                <c:pt idx="336">
                  <c:v>0.41902104053969874</c:v>
                </c:pt>
                <c:pt idx="337">
                  <c:v>1.1059572000840787</c:v>
                </c:pt>
                <c:pt idx="338">
                  <c:v>0.6118934643240953</c:v>
                </c:pt>
                <c:pt idx="339">
                  <c:v>0.54896902725273922</c:v>
                </c:pt>
                <c:pt idx="340">
                  <c:v>1.416732920758667</c:v>
                </c:pt>
                <c:pt idx="341">
                  <c:v>0.48739637761125831</c:v>
                </c:pt>
                <c:pt idx="342">
                  <c:v>0.21290659342146562</c:v>
                </c:pt>
                <c:pt idx="343">
                  <c:v>0.86283017509362792</c:v>
                </c:pt>
                <c:pt idx="344">
                  <c:v>0.54195337754173567</c:v>
                </c:pt>
                <c:pt idx="345">
                  <c:v>0.14788544451979241</c:v>
                </c:pt>
                <c:pt idx="346">
                  <c:v>-0.13519138339585823</c:v>
                </c:pt>
                <c:pt idx="347">
                  <c:v>1.1353549401541727</c:v>
                </c:pt>
                <c:pt idx="348">
                  <c:v>0.49334878035358842</c:v>
                </c:pt>
                <c:pt idx="349">
                  <c:v>0.26832668918547276</c:v>
                </c:pt>
                <c:pt idx="350">
                  <c:v>1.3907626158292352</c:v>
                </c:pt>
                <c:pt idx="351">
                  <c:v>0.79669793798509614</c:v>
                </c:pt>
                <c:pt idx="352">
                  <c:v>0.74343436862086276</c:v>
                </c:pt>
                <c:pt idx="353">
                  <c:v>0.3283311364373217</c:v>
                </c:pt>
                <c:pt idx="354">
                  <c:v>0.43068778643802375</c:v>
                </c:pt>
                <c:pt idx="355">
                  <c:v>0.70058184244683086</c:v>
                </c:pt>
                <c:pt idx="356">
                  <c:v>-4.1044905911688523E-2</c:v>
                </c:pt>
                <c:pt idx="357">
                  <c:v>0.74073197703936888</c:v>
                </c:pt>
                <c:pt idx="358">
                  <c:v>0.55659254108819833</c:v>
                </c:pt>
                <c:pt idx="359">
                  <c:v>0.34304248419264893</c:v>
                </c:pt>
                <c:pt idx="360">
                  <c:v>0.53508019458939438</c:v>
                </c:pt>
                <c:pt idx="361">
                  <c:v>-0.4248332783875407</c:v>
                </c:pt>
                <c:pt idx="362">
                  <c:v>0.11364918400664975</c:v>
                </c:pt>
                <c:pt idx="363">
                  <c:v>-2.4896244870933448E-2</c:v>
                </c:pt>
                <c:pt idx="364">
                  <c:v>0.182286482608669</c:v>
                </c:pt>
                <c:pt idx="365">
                  <c:v>0.27555317565185583</c:v>
                </c:pt>
                <c:pt idx="366">
                  <c:v>0.33763462630139379</c:v>
                </c:pt>
                <c:pt idx="367">
                  <c:v>0.20367969809883824</c:v>
                </c:pt>
                <c:pt idx="368">
                  <c:v>0.77104062433666898</c:v>
                </c:pt>
                <c:pt idx="369">
                  <c:v>1.4893239031621883</c:v>
                </c:pt>
                <c:pt idx="370">
                  <c:v>1.4233551245715823</c:v>
                </c:pt>
                <c:pt idx="371">
                  <c:v>0.93449453207592403</c:v>
                </c:pt>
                <c:pt idx="372">
                  <c:v>1.2694160324282009</c:v>
                </c:pt>
                <c:pt idx="373">
                  <c:v>0.44776020541090733</c:v>
                </c:pt>
                <c:pt idx="374">
                  <c:v>0.1281847113792805</c:v>
                </c:pt>
                <c:pt idx="375">
                  <c:v>1.0880829795921363</c:v>
                </c:pt>
                <c:pt idx="376">
                  <c:v>0.95453569926393234</c:v>
                </c:pt>
                <c:pt idx="377">
                  <c:v>0.96645424223555387</c:v>
                </c:pt>
                <c:pt idx="378">
                  <c:v>1.2404128800888539</c:v>
                </c:pt>
                <c:pt idx="379">
                  <c:v>0.69917478020743462</c:v>
                </c:pt>
                <c:pt idx="380">
                  <c:v>1.8533735010846684</c:v>
                </c:pt>
                <c:pt idx="381">
                  <c:v>1.0970395409298939</c:v>
                </c:pt>
                <c:pt idx="382">
                  <c:v>0.76034368099390182</c:v>
                </c:pt>
                <c:pt idx="383">
                  <c:v>0.73848718326151475</c:v>
                </c:pt>
                <c:pt idx="384">
                  <c:v>0.41685663174935422</c:v>
                </c:pt>
                <c:pt idx="385">
                  <c:v>-0.4941350578278626</c:v>
                </c:pt>
                <c:pt idx="386">
                  <c:v>0.23607759874609957</c:v>
                </c:pt>
                <c:pt idx="387">
                  <c:v>0.79086321036879714</c:v>
                </c:pt>
                <c:pt idx="388">
                  <c:v>1.2852695491570993</c:v>
                </c:pt>
                <c:pt idx="389">
                  <c:v>-9.268888041847223E-3</c:v>
                </c:pt>
                <c:pt idx="390">
                  <c:v>0.54640575619356879</c:v>
                </c:pt>
                <c:pt idx="391">
                  <c:v>3.4340462265661065E-2</c:v>
                </c:pt>
                <c:pt idx="392">
                  <c:v>5.1224277069784607E-2</c:v>
                </c:pt>
                <c:pt idx="393">
                  <c:v>0.56335338616367392</c:v>
                </c:pt>
                <c:pt idx="394">
                  <c:v>1.4259542290160812</c:v>
                </c:pt>
                <c:pt idx="395">
                  <c:v>0.71585023759418709</c:v>
                </c:pt>
                <c:pt idx="396">
                  <c:v>-3.9890484209818833E-2</c:v>
                </c:pt>
                <c:pt idx="397">
                  <c:v>-1.3286384229897048</c:v>
                </c:pt>
                <c:pt idx="398">
                  <c:v>0.1391919790623809</c:v>
                </c:pt>
                <c:pt idx="399">
                  <c:v>-0.1681186302625387</c:v>
                </c:pt>
                <c:pt idx="400">
                  <c:v>0.26645628891196682</c:v>
                </c:pt>
                <c:pt idx="401">
                  <c:v>0.65164990119134258</c:v>
                </c:pt>
                <c:pt idx="402">
                  <c:v>-1.5236346229040694E-2</c:v>
                </c:pt>
                <c:pt idx="403">
                  <c:v>0.34011751576326904</c:v>
                </c:pt>
                <c:pt idx="404">
                  <c:v>-0.47881552914171555</c:v>
                </c:pt>
                <c:pt idx="405">
                  <c:v>0.90102369774831859</c:v>
                </c:pt>
                <c:pt idx="406">
                  <c:v>-0.25683539194307869</c:v>
                </c:pt>
                <c:pt idx="407">
                  <c:v>0.29442998821627386</c:v>
                </c:pt>
                <c:pt idx="408">
                  <c:v>0.19387834521324554</c:v>
                </c:pt>
                <c:pt idx="409">
                  <c:v>-0.39202776979491671</c:v>
                </c:pt>
                <c:pt idx="410">
                  <c:v>-6.5966922484192017E-2</c:v>
                </c:pt>
                <c:pt idx="411">
                  <c:v>0.46581277917814118</c:v>
                </c:pt>
                <c:pt idx="412">
                  <c:v>0.36271234059195201</c:v>
                </c:pt>
                <c:pt idx="413">
                  <c:v>0.11114073721618359</c:v>
                </c:pt>
                <c:pt idx="414">
                  <c:v>-0.38799851932474405</c:v>
                </c:pt>
                <c:pt idx="415">
                  <c:v>0.29125380297052939</c:v>
                </c:pt>
                <c:pt idx="416">
                  <c:v>0.45453884940648215</c:v>
                </c:pt>
                <c:pt idx="417">
                  <c:v>0.32964023522084335</c:v>
                </c:pt>
                <c:pt idx="418">
                  <c:v>6.3074737325576835E-2</c:v>
                </c:pt>
                <c:pt idx="419">
                  <c:v>0.17372007374585782</c:v>
                </c:pt>
                <c:pt idx="420">
                  <c:v>0.76069336573049195</c:v>
                </c:pt>
                <c:pt idx="421">
                  <c:v>-8.5615094065041308E-2</c:v>
                </c:pt>
                <c:pt idx="422">
                  <c:v>1.094982292204838E-3</c:v>
                </c:pt>
                <c:pt idx="423">
                  <c:v>0.90326072363748211</c:v>
                </c:pt>
                <c:pt idx="424">
                  <c:v>0.11641642572424715</c:v>
                </c:pt>
                <c:pt idx="425">
                  <c:v>1.2780831004724822</c:v>
                </c:pt>
                <c:pt idx="426">
                  <c:v>1.0844510350133443</c:v>
                </c:pt>
                <c:pt idx="427">
                  <c:v>0.74928587447956974</c:v>
                </c:pt>
                <c:pt idx="428">
                  <c:v>1.4476004297115321</c:v>
                </c:pt>
                <c:pt idx="429">
                  <c:v>0.93911432751732871</c:v>
                </c:pt>
                <c:pt idx="430">
                  <c:v>1.3759471170635815</c:v>
                </c:pt>
                <c:pt idx="431">
                  <c:v>1.0304615514381974</c:v>
                </c:pt>
                <c:pt idx="432">
                  <c:v>1.2984046833602823</c:v>
                </c:pt>
                <c:pt idx="433">
                  <c:v>0.50410405245693291</c:v>
                </c:pt>
                <c:pt idx="434">
                  <c:v>-0.71741897571380675</c:v>
                </c:pt>
                <c:pt idx="435">
                  <c:v>0.50777051349753732</c:v>
                </c:pt>
                <c:pt idx="436">
                  <c:v>1.0299449354813</c:v>
                </c:pt>
                <c:pt idx="437">
                  <c:v>0.57971288198954329</c:v>
                </c:pt>
                <c:pt idx="438">
                  <c:v>0.49062415448404217</c:v>
                </c:pt>
                <c:pt idx="439">
                  <c:v>0.31393585852385181</c:v>
                </c:pt>
                <c:pt idx="440">
                  <c:v>0.82654128915785874</c:v>
                </c:pt>
                <c:pt idx="441">
                  <c:v>0.18820433773022666</c:v>
                </c:pt>
                <c:pt idx="442">
                  <c:v>0.52703551920260883</c:v>
                </c:pt>
                <c:pt idx="443">
                  <c:v>-3.5145841393048383E-2</c:v>
                </c:pt>
                <c:pt idx="444">
                  <c:v>0.79979860110786527</c:v>
                </c:pt>
                <c:pt idx="445">
                  <c:v>2.7317223400580293E-4</c:v>
                </c:pt>
                <c:pt idx="446">
                  <c:v>0.82255378342937058</c:v>
                </c:pt>
                <c:pt idx="447">
                  <c:v>0.35641383306378877</c:v>
                </c:pt>
                <c:pt idx="448">
                  <c:v>0.14242625931796901</c:v>
                </c:pt>
                <c:pt idx="449">
                  <c:v>0.1467265391224378</c:v>
                </c:pt>
                <c:pt idx="450">
                  <c:v>0.59698549992357286</c:v>
                </c:pt>
                <c:pt idx="451">
                  <c:v>0.98358235890949752</c:v>
                </c:pt>
                <c:pt idx="452">
                  <c:v>0.36750067328782043</c:v>
                </c:pt>
                <c:pt idx="453">
                  <c:v>0.74925441364078504</c:v>
                </c:pt>
                <c:pt idx="454">
                  <c:v>0.72674300184727769</c:v>
                </c:pt>
                <c:pt idx="455">
                  <c:v>1.6552389091057642</c:v>
                </c:pt>
                <c:pt idx="456">
                  <c:v>0.78496994471816928</c:v>
                </c:pt>
                <c:pt idx="457">
                  <c:v>0.16113483028693493</c:v>
                </c:pt>
                <c:pt idx="458">
                  <c:v>1.1027859014655017</c:v>
                </c:pt>
                <c:pt idx="459">
                  <c:v>0.65319128610780053</c:v>
                </c:pt>
                <c:pt idx="460">
                  <c:v>0.66492780130924523</c:v>
                </c:pt>
                <c:pt idx="461">
                  <c:v>1.7056090392034617</c:v>
                </c:pt>
                <c:pt idx="462">
                  <c:v>0.82490266559049186</c:v>
                </c:pt>
                <c:pt idx="463">
                  <c:v>3.3768822000655896E-2</c:v>
                </c:pt>
                <c:pt idx="464">
                  <c:v>0.40905984533427209</c:v>
                </c:pt>
                <c:pt idx="465">
                  <c:v>0.81123710563819817</c:v>
                </c:pt>
                <c:pt idx="466">
                  <c:v>0.27278163193361582</c:v>
                </c:pt>
                <c:pt idx="467">
                  <c:v>-0.27207743895056058</c:v>
                </c:pt>
                <c:pt idx="468">
                  <c:v>0.36553706575975947</c:v>
                </c:pt>
                <c:pt idx="469">
                  <c:v>0.8692577609881208</c:v>
                </c:pt>
                <c:pt idx="470">
                  <c:v>0.83388640466051556</c:v>
                </c:pt>
                <c:pt idx="471">
                  <c:v>0.55795112622419929</c:v>
                </c:pt>
                <c:pt idx="472">
                  <c:v>1.2934382244714395</c:v>
                </c:pt>
                <c:pt idx="473">
                  <c:v>0.39808645223693273</c:v>
                </c:pt>
                <c:pt idx="474">
                  <c:v>1.4662860292009414</c:v>
                </c:pt>
                <c:pt idx="475">
                  <c:v>0.88067479639760282</c:v>
                </c:pt>
                <c:pt idx="476">
                  <c:v>1.0674685378168505</c:v>
                </c:pt>
                <c:pt idx="477">
                  <c:v>0.34111664924201662</c:v>
                </c:pt>
                <c:pt idx="478">
                  <c:v>1.4502695783772372</c:v>
                </c:pt>
                <c:pt idx="479">
                  <c:v>0.51425336821851197</c:v>
                </c:pt>
                <c:pt idx="480">
                  <c:v>0.81805468624863098</c:v>
                </c:pt>
                <c:pt idx="481">
                  <c:v>1.049549167238484</c:v>
                </c:pt>
                <c:pt idx="482">
                  <c:v>1.4998203469814884</c:v>
                </c:pt>
                <c:pt idx="483">
                  <c:v>1.4429859384256498</c:v>
                </c:pt>
                <c:pt idx="484">
                  <c:v>0.76302127693174604</c:v>
                </c:pt>
                <c:pt idx="485">
                  <c:v>1.5008080479839148E-3</c:v>
                </c:pt>
                <c:pt idx="486">
                  <c:v>-0.35343607312039421</c:v>
                </c:pt>
                <c:pt idx="487">
                  <c:v>0.1689890006168826</c:v>
                </c:pt>
                <c:pt idx="488">
                  <c:v>-0.13989249651679098</c:v>
                </c:pt>
                <c:pt idx="489">
                  <c:v>-0.4973389127200068</c:v>
                </c:pt>
                <c:pt idx="490">
                  <c:v>0.52583356686221694</c:v>
                </c:pt>
                <c:pt idx="491">
                  <c:v>8.0270474781569512E-2</c:v>
                </c:pt>
                <c:pt idx="492">
                  <c:v>1.2169262676995096</c:v>
                </c:pt>
                <c:pt idx="493">
                  <c:v>0.59346904892020158</c:v>
                </c:pt>
                <c:pt idx="494">
                  <c:v>0.72072832155082722</c:v>
                </c:pt>
                <c:pt idx="495">
                  <c:v>0.5935048152761222</c:v>
                </c:pt>
                <c:pt idx="496">
                  <c:v>1.0916211527792903</c:v>
                </c:pt>
                <c:pt idx="497">
                  <c:v>-7.9669154729666292E-2</c:v>
                </c:pt>
                <c:pt idx="498">
                  <c:v>0.52649441146937148</c:v>
                </c:pt>
                <c:pt idx="499">
                  <c:v>0.56034506901555536</c:v>
                </c:pt>
                <c:pt idx="500">
                  <c:v>0.76218240812280746</c:v>
                </c:pt>
                <c:pt idx="501">
                  <c:v>0.67937447554458763</c:v>
                </c:pt>
                <c:pt idx="502">
                  <c:v>0.29791275778911597</c:v>
                </c:pt>
                <c:pt idx="503">
                  <c:v>0.62826230650666437</c:v>
                </c:pt>
                <c:pt idx="504">
                  <c:v>0.91599910708014831</c:v>
                </c:pt>
                <c:pt idx="505">
                  <c:v>0.89546054299343925</c:v>
                </c:pt>
                <c:pt idx="506">
                  <c:v>0.57909009530808764</c:v>
                </c:pt>
                <c:pt idx="507">
                  <c:v>-0.40399808023016048</c:v>
                </c:pt>
                <c:pt idx="508">
                  <c:v>-0.47697574645816615</c:v>
                </c:pt>
                <c:pt idx="509">
                  <c:v>-2.1298946467974256E-2</c:v>
                </c:pt>
                <c:pt idx="510">
                  <c:v>-1.087010163401575E-2</c:v>
                </c:pt>
                <c:pt idx="511">
                  <c:v>-0.18177007772358728</c:v>
                </c:pt>
                <c:pt idx="512">
                  <c:v>-0.87511503835466209</c:v>
                </c:pt>
                <c:pt idx="513">
                  <c:v>1.7204258119611737E-2</c:v>
                </c:pt>
                <c:pt idx="514">
                  <c:v>0.4911585908214815</c:v>
                </c:pt>
                <c:pt idx="515">
                  <c:v>0.54708388896219484</c:v>
                </c:pt>
                <c:pt idx="516">
                  <c:v>0.76944496404966822</c:v>
                </c:pt>
                <c:pt idx="517">
                  <c:v>0.86244029719095971</c:v>
                </c:pt>
                <c:pt idx="518">
                  <c:v>1.3181193038914174</c:v>
                </c:pt>
                <c:pt idx="519">
                  <c:v>1.4267801422053024</c:v>
                </c:pt>
                <c:pt idx="520">
                  <c:v>0.65289586765494456</c:v>
                </c:pt>
                <c:pt idx="521">
                  <c:v>1.0347517200017897</c:v>
                </c:pt>
                <c:pt idx="522">
                  <c:v>0.4041984587672075</c:v>
                </c:pt>
                <c:pt idx="523">
                  <c:v>0.48915174743923379</c:v>
                </c:pt>
                <c:pt idx="524">
                  <c:v>0.34670193275798294</c:v>
                </c:pt>
                <c:pt idx="525">
                  <c:v>-0.64582255228780061</c:v>
                </c:pt>
                <c:pt idx="526">
                  <c:v>-1.0061335455954223E-2</c:v>
                </c:pt>
                <c:pt idx="527">
                  <c:v>7.4945707728031968E-2</c:v>
                </c:pt>
                <c:pt idx="528">
                  <c:v>0.88002555788578385</c:v>
                </c:pt>
                <c:pt idx="529">
                  <c:v>0.40238022674114626</c:v>
                </c:pt>
                <c:pt idx="530">
                  <c:v>1.5288195226219863</c:v>
                </c:pt>
                <c:pt idx="531">
                  <c:v>1.4371364885149047</c:v>
                </c:pt>
                <c:pt idx="532">
                  <c:v>1.6633115289901759</c:v>
                </c:pt>
                <c:pt idx="533">
                  <c:v>0.77753207836509686</c:v>
                </c:pt>
                <c:pt idx="534">
                  <c:v>0.93573553689074085</c:v>
                </c:pt>
                <c:pt idx="535">
                  <c:v>0.11472254788523961</c:v>
                </c:pt>
                <c:pt idx="536">
                  <c:v>0.81722677566250523</c:v>
                </c:pt>
                <c:pt idx="537">
                  <c:v>0.57942068521589174</c:v>
                </c:pt>
                <c:pt idx="538">
                  <c:v>0.36700458990739693</c:v>
                </c:pt>
                <c:pt idx="539">
                  <c:v>0.70346751269843311</c:v>
                </c:pt>
                <c:pt idx="540">
                  <c:v>0.34786593128793758</c:v>
                </c:pt>
                <c:pt idx="541">
                  <c:v>0.2983387651030901</c:v>
                </c:pt>
                <c:pt idx="542">
                  <c:v>1.1014475667461059</c:v>
                </c:pt>
                <c:pt idx="543">
                  <c:v>0.1922575858371729</c:v>
                </c:pt>
                <c:pt idx="544">
                  <c:v>1.0228423836503022</c:v>
                </c:pt>
                <c:pt idx="545">
                  <c:v>0.52922452833015254</c:v>
                </c:pt>
                <c:pt idx="546">
                  <c:v>0.51530899237972194</c:v>
                </c:pt>
                <c:pt idx="547">
                  <c:v>0.27860338629328302</c:v>
                </c:pt>
                <c:pt idx="548">
                  <c:v>0.41405428342747902</c:v>
                </c:pt>
                <c:pt idx="549">
                  <c:v>0.746438423534173</c:v>
                </c:pt>
                <c:pt idx="550">
                  <c:v>0.31212998755972909</c:v>
                </c:pt>
                <c:pt idx="551">
                  <c:v>1.2605585237395802</c:v>
                </c:pt>
                <c:pt idx="552">
                  <c:v>0.67186683793384228</c:v>
                </c:pt>
                <c:pt idx="553">
                  <c:v>0.46242296151879769</c:v>
                </c:pt>
                <c:pt idx="554">
                  <c:v>0.5638546764927328</c:v>
                </c:pt>
                <c:pt idx="555">
                  <c:v>0.21077748553722897</c:v>
                </c:pt>
                <c:pt idx="556">
                  <c:v>1.0350301630545178</c:v>
                </c:pt>
                <c:pt idx="557">
                  <c:v>4.497102805306763E-2</c:v>
                </c:pt>
                <c:pt idx="558">
                  <c:v>0.45155476171656644</c:v>
                </c:pt>
                <c:pt idx="559">
                  <c:v>0.67294989398701299</c:v>
                </c:pt>
                <c:pt idx="560">
                  <c:v>0.62095744688039789</c:v>
                </c:pt>
                <c:pt idx="561">
                  <c:v>0.80456584925014352</c:v>
                </c:pt>
                <c:pt idx="562">
                  <c:v>0.38244628881085707</c:v>
                </c:pt>
                <c:pt idx="563">
                  <c:v>0.65220470165085698</c:v>
                </c:pt>
                <c:pt idx="564">
                  <c:v>1.0758317561388298</c:v>
                </c:pt>
                <c:pt idx="565">
                  <c:v>1.2491350513092849</c:v>
                </c:pt>
                <c:pt idx="566">
                  <c:v>1.0014592431746099</c:v>
                </c:pt>
                <c:pt idx="567">
                  <c:v>0.53867916967996332</c:v>
                </c:pt>
                <c:pt idx="568">
                  <c:v>0.30800326035074077</c:v>
                </c:pt>
                <c:pt idx="569">
                  <c:v>0.21601027441035936</c:v>
                </c:pt>
                <c:pt idx="570">
                  <c:v>0.90942186390575808</c:v>
                </c:pt>
                <c:pt idx="571">
                  <c:v>0.71521914790893137</c:v>
                </c:pt>
                <c:pt idx="572">
                  <c:v>1.2958108287256929</c:v>
                </c:pt>
                <c:pt idx="573">
                  <c:v>0.948213194146722</c:v>
                </c:pt>
                <c:pt idx="574">
                  <c:v>0.19126305099955154</c:v>
                </c:pt>
                <c:pt idx="575">
                  <c:v>0.54446921424902295</c:v>
                </c:pt>
                <c:pt idx="576">
                  <c:v>1.7544177729240251</c:v>
                </c:pt>
                <c:pt idx="577">
                  <c:v>1.2649516999755317</c:v>
                </c:pt>
                <c:pt idx="578">
                  <c:v>1.2058457546917263</c:v>
                </c:pt>
                <c:pt idx="579">
                  <c:v>-0.22177829899502499</c:v>
                </c:pt>
                <c:pt idx="580">
                  <c:v>0.20925962086542796</c:v>
                </c:pt>
                <c:pt idx="581">
                  <c:v>1.2866803024048941</c:v>
                </c:pt>
                <c:pt idx="582">
                  <c:v>0.49988757415699303</c:v>
                </c:pt>
                <c:pt idx="583">
                  <c:v>0.55582736187029169</c:v>
                </c:pt>
                <c:pt idx="584">
                  <c:v>0.86505546304506709</c:v>
                </c:pt>
                <c:pt idx="585">
                  <c:v>0.46116514956808263</c:v>
                </c:pt>
                <c:pt idx="586">
                  <c:v>0.39507190076797394</c:v>
                </c:pt>
                <c:pt idx="587">
                  <c:v>0.35455357218282407</c:v>
                </c:pt>
                <c:pt idx="588">
                  <c:v>1.3778786956436542</c:v>
                </c:pt>
                <c:pt idx="589">
                  <c:v>0.63408106260574704</c:v>
                </c:pt>
                <c:pt idx="590">
                  <c:v>1.13876053409839</c:v>
                </c:pt>
                <c:pt idx="591">
                  <c:v>8.3977459365479346E-2</c:v>
                </c:pt>
                <c:pt idx="592">
                  <c:v>0.14883906132237279</c:v>
                </c:pt>
                <c:pt idx="593">
                  <c:v>0.80506950989305359</c:v>
                </c:pt>
                <c:pt idx="594">
                  <c:v>0.68157606444584451</c:v>
                </c:pt>
                <c:pt idx="595">
                  <c:v>0.70366196220202504</c:v>
                </c:pt>
                <c:pt idx="596">
                  <c:v>0.12503655608089553</c:v>
                </c:pt>
                <c:pt idx="597">
                  <c:v>6.2300474066736583E-2</c:v>
                </c:pt>
                <c:pt idx="598">
                  <c:v>0.43797698709905786</c:v>
                </c:pt>
              </c:numCache>
            </c:numRef>
          </c:xVal>
          <c:yVal>
            <c:numRef>
              <c:f>calibrate!$AS$4:$AS$2004</c:f>
              <c:numCache>
                <c:formatCode>0.00</c:formatCode>
                <c:ptCount val="2001"/>
                <c:pt idx="0">
                  <c:v>-0.24847809651896721</c:v>
                </c:pt>
                <c:pt idx="1">
                  <c:v>0.2073543867630355</c:v>
                </c:pt>
                <c:pt idx="2">
                  <c:v>0.71377897297784521</c:v>
                </c:pt>
                <c:pt idx="3">
                  <c:v>0.71844548015453291</c:v>
                </c:pt>
                <c:pt idx="4">
                  <c:v>0.18718653155128651</c:v>
                </c:pt>
                <c:pt idx="5">
                  <c:v>0.17124438895480687</c:v>
                </c:pt>
                <c:pt idx="6">
                  <c:v>0.5268193990786344</c:v>
                </c:pt>
                <c:pt idx="7">
                  <c:v>0.28944424987443768</c:v>
                </c:pt>
                <c:pt idx="8">
                  <c:v>0.14269130296415278</c:v>
                </c:pt>
                <c:pt idx="9">
                  <c:v>0.25810754298550254</c:v>
                </c:pt>
                <c:pt idx="10">
                  <c:v>0.71425369438777064</c:v>
                </c:pt>
                <c:pt idx="11">
                  <c:v>0.69996670189238341</c:v>
                </c:pt>
                <c:pt idx="12">
                  <c:v>0.72252322736366659</c:v>
                </c:pt>
                <c:pt idx="13">
                  <c:v>0.91266724801300936</c:v>
                </c:pt>
                <c:pt idx="14">
                  <c:v>1.179440400190968</c:v>
                </c:pt>
                <c:pt idx="15">
                  <c:v>0.88541188000639393</c:v>
                </c:pt>
                <c:pt idx="16">
                  <c:v>0.66037603502014031</c:v>
                </c:pt>
                <c:pt idx="17">
                  <c:v>0.76483994595811211</c:v>
                </c:pt>
                <c:pt idx="18">
                  <c:v>1.4143500464727743</c:v>
                </c:pt>
                <c:pt idx="19">
                  <c:v>1.0917268644988343</c:v>
                </c:pt>
                <c:pt idx="20">
                  <c:v>1.3411791319318676</c:v>
                </c:pt>
                <c:pt idx="21">
                  <c:v>0.70242452162154745</c:v>
                </c:pt>
                <c:pt idx="22">
                  <c:v>0.65931584283084954</c:v>
                </c:pt>
                <c:pt idx="23">
                  <c:v>0.78043089417607758</c:v>
                </c:pt>
                <c:pt idx="24">
                  <c:v>0.3373758469937076</c:v>
                </c:pt>
                <c:pt idx="25">
                  <c:v>-0.18384872558316534</c:v>
                </c:pt>
                <c:pt idx="26">
                  <c:v>0.15974646483137517</c:v>
                </c:pt>
                <c:pt idx="27">
                  <c:v>0.52528368944154857</c:v>
                </c:pt>
                <c:pt idx="28">
                  <c:v>0.53309914455505836</c:v>
                </c:pt>
                <c:pt idx="29">
                  <c:v>0.56734736172814149</c:v>
                </c:pt>
                <c:pt idx="30">
                  <c:v>0.38144951624156309</c:v>
                </c:pt>
                <c:pt idx="31">
                  <c:v>0.58620504510902438</c:v>
                </c:pt>
                <c:pt idx="32">
                  <c:v>0.55252655714510246</c:v>
                </c:pt>
                <c:pt idx="33">
                  <c:v>-3.6538682287635238E-2</c:v>
                </c:pt>
                <c:pt idx="34">
                  <c:v>1.0251103670039083</c:v>
                </c:pt>
                <c:pt idx="35">
                  <c:v>-7.388693554477932E-2</c:v>
                </c:pt>
                <c:pt idx="36">
                  <c:v>0.15599402345540053</c:v>
                </c:pt>
                <c:pt idx="37">
                  <c:v>0.97372113350009815</c:v>
                </c:pt>
                <c:pt idx="38">
                  <c:v>0.71607825180390594</c:v>
                </c:pt>
                <c:pt idx="39">
                  <c:v>1.4469278119593448E-2</c:v>
                </c:pt>
                <c:pt idx="40">
                  <c:v>0.17183278455552031</c:v>
                </c:pt>
                <c:pt idx="41">
                  <c:v>0.32683856393628741</c:v>
                </c:pt>
                <c:pt idx="42">
                  <c:v>1.0075996574319295</c:v>
                </c:pt>
                <c:pt idx="43">
                  <c:v>-8.9081042365469099E-2</c:v>
                </c:pt>
                <c:pt idx="44">
                  <c:v>0.85795097144767629</c:v>
                </c:pt>
                <c:pt idx="45">
                  <c:v>0.79799689736595003</c:v>
                </c:pt>
                <c:pt idx="46">
                  <c:v>1.2284276378775392</c:v>
                </c:pt>
                <c:pt idx="47">
                  <c:v>0.41316430077769561</c:v>
                </c:pt>
                <c:pt idx="48">
                  <c:v>0.13027876340007272</c:v>
                </c:pt>
                <c:pt idx="49">
                  <c:v>0.99101109726962422</c:v>
                </c:pt>
                <c:pt idx="50">
                  <c:v>3.8113643245229922E-2</c:v>
                </c:pt>
                <c:pt idx="51">
                  <c:v>0.46001046269406126</c:v>
                </c:pt>
                <c:pt idx="52">
                  <c:v>0.44244432032396286</c:v>
                </c:pt>
                <c:pt idx="53">
                  <c:v>0.47217829349033952</c:v>
                </c:pt>
                <c:pt idx="54">
                  <c:v>-0.18141985805443039</c:v>
                </c:pt>
                <c:pt idx="55">
                  <c:v>0.4737523866105765</c:v>
                </c:pt>
                <c:pt idx="56">
                  <c:v>-0.1504477071676964</c:v>
                </c:pt>
                <c:pt idx="57">
                  <c:v>0.42403334778386198</c:v>
                </c:pt>
                <c:pt idx="58">
                  <c:v>-3.2016858015193994E-2</c:v>
                </c:pt>
                <c:pt idx="59">
                  <c:v>-0.1497590308165152</c:v>
                </c:pt>
                <c:pt idx="60">
                  <c:v>0.26740435370785332</c:v>
                </c:pt>
                <c:pt idx="61">
                  <c:v>0.51094619173776501</c:v>
                </c:pt>
                <c:pt idx="62">
                  <c:v>1.156634888162384</c:v>
                </c:pt>
                <c:pt idx="63">
                  <c:v>0.51546493060127929</c:v>
                </c:pt>
                <c:pt idx="64">
                  <c:v>0.36347469872373284</c:v>
                </c:pt>
                <c:pt idx="65">
                  <c:v>-2.6765588656541661E-2</c:v>
                </c:pt>
                <c:pt idx="66">
                  <c:v>6.0586004405766974E-2</c:v>
                </c:pt>
                <c:pt idx="67">
                  <c:v>0.21607856153691363</c:v>
                </c:pt>
                <c:pt idx="68">
                  <c:v>1.8096477765272567E-2</c:v>
                </c:pt>
                <c:pt idx="69">
                  <c:v>0.60051296356134443</c:v>
                </c:pt>
                <c:pt idx="70">
                  <c:v>-0.16508363151233574</c:v>
                </c:pt>
                <c:pt idx="71">
                  <c:v>0.11208865040272036</c:v>
                </c:pt>
                <c:pt idx="72">
                  <c:v>-0.15892160280966228</c:v>
                </c:pt>
                <c:pt idx="73">
                  <c:v>6.1920126885108895E-2</c:v>
                </c:pt>
                <c:pt idx="74">
                  <c:v>0.33117396733408366</c:v>
                </c:pt>
                <c:pt idx="75">
                  <c:v>-0.27317679116884164</c:v>
                </c:pt>
                <c:pt idx="76">
                  <c:v>0.31461338971826258</c:v>
                </c:pt>
                <c:pt idx="77">
                  <c:v>-7.3430098291920154E-2</c:v>
                </c:pt>
                <c:pt idx="78">
                  <c:v>-9.2946177109046457E-3</c:v>
                </c:pt>
                <c:pt idx="79">
                  <c:v>2.5356773722225556E-2</c:v>
                </c:pt>
                <c:pt idx="80">
                  <c:v>0.8413273956820374</c:v>
                </c:pt>
                <c:pt idx="81">
                  <c:v>1.3219904714902881</c:v>
                </c:pt>
                <c:pt idx="82">
                  <c:v>0.72061648717350679</c:v>
                </c:pt>
                <c:pt idx="83">
                  <c:v>0.74222428161587062</c:v>
                </c:pt>
                <c:pt idx="84">
                  <c:v>6.3803598663729977E-2</c:v>
                </c:pt>
                <c:pt idx="85">
                  <c:v>0.14116769651988553</c:v>
                </c:pt>
                <c:pt idx="86">
                  <c:v>6.4611905949759629E-2</c:v>
                </c:pt>
                <c:pt idx="87">
                  <c:v>0.66153463945951785</c:v>
                </c:pt>
                <c:pt idx="88">
                  <c:v>0.25178470781628481</c:v>
                </c:pt>
                <c:pt idx="89">
                  <c:v>0.4245965707657518</c:v>
                </c:pt>
                <c:pt idx="90">
                  <c:v>0.64862711892087355</c:v>
                </c:pt>
                <c:pt idx="91">
                  <c:v>0.63849475309571913</c:v>
                </c:pt>
                <c:pt idx="92">
                  <c:v>1.0980946884126113</c:v>
                </c:pt>
                <c:pt idx="93">
                  <c:v>0.84175100689447524</c:v>
                </c:pt>
                <c:pt idx="94">
                  <c:v>0.94393820331010025</c:v>
                </c:pt>
                <c:pt idx="95">
                  <c:v>0.87944537918995924</c:v>
                </c:pt>
                <c:pt idx="96">
                  <c:v>0.44063217556251272</c:v>
                </c:pt>
                <c:pt idx="97">
                  <c:v>-0.1255430813559818</c:v>
                </c:pt>
                <c:pt idx="98">
                  <c:v>0.60965663304069828</c:v>
                </c:pt>
                <c:pt idx="99">
                  <c:v>1.0905824862847897</c:v>
                </c:pt>
                <c:pt idx="100">
                  <c:v>1.4837021632574057</c:v>
                </c:pt>
                <c:pt idx="101">
                  <c:v>1.0868556914118563</c:v>
                </c:pt>
                <c:pt idx="102">
                  <c:v>0.78312705358917301</c:v>
                </c:pt>
                <c:pt idx="103">
                  <c:v>0.40044862445881824</c:v>
                </c:pt>
                <c:pt idx="104">
                  <c:v>0.57216915962878701</c:v>
                </c:pt>
                <c:pt idx="105">
                  <c:v>0.48723889931444653</c:v>
                </c:pt>
                <c:pt idx="106">
                  <c:v>1.044700952331592</c:v>
                </c:pt>
                <c:pt idx="107">
                  <c:v>1.2276066266262962</c:v>
                </c:pt>
                <c:pt idx="108">
                  <c:v>1.243511966776208</c:v>
                </c:pt>
                <c:pt idx="109">
                  <c:v>0.92545745849856598</c:v>
                </c:pt>
                <c:pt idx="110">
                  <c:v>0.24129567383824524</c:v>
                </c:pt>
                <c:pt idx="111">
                  <c:v>0.2858352688002912</c:v>
                </c:pt>
                <c:pt idx="112">
                  <c:v>1.604349044198798</c:v>
                </c:pt>
                <c:pt idx="113">
                  <c:v>1.1092652788086492</c:v>
                </c:pt>
                <c:pt idx="114">
                  <c:v>0.95933840105335089</c:v>
                </c:pt>
                <c:pt idx="115">
                  <c:v>1.1374041052610353</c:v>
                </c:pt>
                <c:pt idx="116">
                  <c:v>1.1201757244015322</c:v>
                </c:pt>
                <c:pt idx="117">
                  <c:v>0.72106883048100701</c:v>
                </c:pt>
                <c:pt idx="118">
                  <c:v>1.008378234922672</c:v>
                </c:pt>
                <c:pt idx="119">
                  <c:v>0.74572029330651401</c:v>
                </c:pt>
                <c:pt idx="120">
                  <c:v>1.2974848846645894</c:v>
                </c:pt>
                <c:pt idx="121">
                  <c:v>0.80636941645601434</c:v>
                </c:pt>
                <c:pt idx="122">
                  <c:v>1.128234115243715</c:v>
                </c:pt>
                <c:pt idx="123">
                  <c:v>1.473175054334054</c:v>
                </c:pt>
                <c:pt idx="124">
                  <c:v>1.0865880517698467</c:v>
                </c:pt>
                <c:pt idx="125">
                  <c:v>0.5099070408716071</c:v>
                </c:pt>
                <c:pt idx="126">
                  <c:v>0.59318160289800359</c:v>
                </c:pt>
                <c:pt idx="127">
                  <c:v>0.1823322565011356</c:v>
                </c:pt>
                <c:pt idx="128">
                  <c:v>0.26537981729646049</c:v>
                </c:pt>
                <c:pt idx="129">
                  <c:v>0.70688871298307665</c:v>
                </c:pt>
                <c:pt idx="130">
                  <c:v>1.631767028277868</c:v>
                </c:pt>
                <c:pt idx="131">
                  <c:v>0.66116490396875527</c:v>
                </c:pt>
                <c:pt idx="132">
                  <c:v>1.1095583920484104</c:v>
                </c:pt>
                <c:pt idx="133">
                  <c:v>0.86363421172444488</c:v>
                </c:pt>
                <c:pt idx="134">
                  <c:v>1.16244986694948</c:v>
                </c:pt>
                <c:pt idx="135">
                  <c:v>0.64803278187038726</c:v>
                </c:pt>
                <c:pt idx="136">
                  <c:v>0.38432654384045845</c:v>
                </c:pt>
                <c:pt idx="137">
                  <c:v>1.0855484133875097</c:v>
                </c:pt>
                <c:pt idx="138">
                  <c:v>0.52091716404084187</c:v>
                </c:pt>
                <c:pt idx="139">
                  <c:v>1.3820407693669323E-2</c:v>
                </c:pt>
                <c:pt idx="140">
                  <c:v>0.66735415529487718</c:v>
                </c:pt>
                <c:pt idx="141">
                  <c:v>1.0194388871296465</c:v>
                </c:pt>
                <c:pt idx="142">
                  <c:v>1.0739039053660235</c:v>
                </c:pt>
                <c:pt idx="143">
                  <c:v>0.56599451575918525</c:v>
                </c:pt>
                <c:pt idx="144">
                  <c:v>-0.34011151423905817</c:v>
                </c:pt>
                <c:pt idx="145">
                  <c:v>0.82285871448029113</c:v>
                </c:pt>
                <c:pt idx="146">
                  <c:v>7.5819613960437904E-2</c:v>
                </c:pt>
                <c:pt idx="147">
                  <c:v>0.57038770505064595</c:v>
                </c:pt>
                <c:pt idx="148">
                  <c:v>0.24132556857122983</c:v>
                </c:pt>
                <c:pt idx="149">
                  <c:v>0.67464666484270053</c:v>
                </c:pt>
                <c:pt idx="150">
                  <c:v>-0.66325912025127698</c:v>
                </c:pt>
                <c:pt idx="151">
                  <c:v>-0.38395339105322579</c:v>
                </c:pt>
                <c:pt idx="152">
                  <c:v>0.32508098310432976</c:v>
                </c:pt>
                <c:pt idx="153">
                  <c:v>0.29012132002707142</c:v>
                </c:pt>
                <c:pt idx="154">
                  <c:v>0.41066831158292783</c:v>
                </c:pt>
                <c:pt idx="155">
                  <c:v>1.21592868189103</c:v>
                </c:pt>
                <c:pt idx="156">
                  <c:v>0.38717711602607641</c:v>
                </c:pt>
                <c:pt idx="157">
                  <c:v>-2.5144763050866159E-2</c:v>
                </c:pt>
                <c:pt idx="158">
                  <c:v>3.1517649335706943E-2</c:v>
                </c:pt>
                <c:pt idx="159">
                  <c:v>0.44383418348893755</c:v>
                </c:pt>
                <c:pt idx="160">
                  <c:v>0.46389051781712398</c:v>
                </c:pt>
                <c:pt idx="161">
                  <c:v>-0.40633015053962379</c:v>
                </c:pt>
                <c:pt idx="162">
                  <c:v>0.50881423573140205</c:v>
                </c:pt>
                <c:pt idx="163">
                  <c:v>0.20723774801600414</c:v>
                </c:pt>
                <c:pt idx="164">
                  <c:v>-4.6096776088782099E-2</c:v>
                </c:pt>
                <c:pt idx="165">
                  <c:v>0.29525835751946078</c:v>
                </c:pt>
                <c:pt idx="166">
                  <c:v>1.2094209502134512</c:v>
                </c:pt>
                <c:pt idx="167">
                  <c:v>1.4615566770684261</c:v>
                </c:pt>
                <c:pt idx="168">
                  <c:v>0.40593088970812885</c:v>
                </c:pt>
                <c:pt idx="169">
                  <c:v>0.28566451563525697</c:v>
                </c:pt>
                <c:pt idx="170">
                  <c:v>0.36029001222390888</c:v>
                </c:pt>
                <c:pt idx="171">
                  <c:v>-0.14134311634271168</c:v>
                </c:pt>
                <c:pt idx="172">
                  <c:v>0.4091519323481303</c:v>
                </c:pt>
                <c:pt idx="173">
                  <c:v>-0.19861892759188415</c:v>
                </c:pt>
                <c:pt idx="174">
                  <c:v>-0.49141628447017593</c:v>
                </c:pt>
                <c:pt idx="175">
                  <c:v>0.29101515465425132</c:v>
                </c:pt>
                <c:pt idx="176">
                  <c:v>-0.15146782185237656</c:v>
                </c:pt>
                <c:pt idx="177">
                  <c:v>0.61741555297136708</c:v>
                </c:pt>
                <c:pt idx="178">
                  <c:v>0.57681794629841299</c:v>
                </c:pt>
                <c:pt idx="179">
                  <c:v>0.60857580737300898</c:v>
                </c:pt>
                <c:pt idx="180">
                  <c:v>0.60110247415159856</c:v>
                </c:pt>
                <c:pt idx="181">
                  <c:v>-1.4945197252460352E-2</c:v>
                </c:pt>
                <c:pt idx="182">
                  <c:v>0.56840910120231158</c:v>
                </c:pt>
                <c:pt idx="183">
                  <c:v>0.76424115767239842</c:v>
                </c:pt>
                <c:pt idx="184">
                  <c:v>0.17569132705899815</c:v>
                </c:pt>
                <c:pt idx="185">
                  <c:v>0.64342997089746889</c:v>
                </c:pt>
                <c:pt idx="186">
                  <c:v>0.95549857682087969</c:v>
                </c:pt>
                <c:pt idx="187">
                  <c:v>0.84627473127536834</c:v>
                </c:pt>
                <c:pt idx="188">
                  <c:v>0.35358445653672943</c:v>
                </c:pt>
                <c:pt idx="189">
                  <c:v>1.1855670071190882</c:v>
                </c:pt>
                <c:pt idx="190">
                  <c:v>0.94628671739160741</c:v>
                </c:pt>
                <c:pt idx="191">
                  <c:v>0.3593770187994183</c:v>
                </c:pt>
                <c:pt idx="192">
                  <c:v>0.84324074695514151</c:v>
                </c:pt>
                <c:pt idx="193">
                  <c:v>1.0394301095658867</c:v>
                </c:pt>
                <c:pt idx="194">
                  <c:v>0.90874467845025764</c:v>
                </c:pt>
                <c:pt idx="195">
                  <c:v>0.13239271009942799</c:v>
                </c:pt>
                <c:pt idx="196">
                  <c:v>0.66939715747377737</c:v>
                </c:pt>
                <c:pt idx="197">
                  <c:v>0.43911915124828116</c:v>
                </c:pt>
                <c:pt idx="198">
                  <c:v>1.0522840076817617</c:v>
                </c:pt>
                <c:pt idx="199">
                  <c:v>0.22001846830897442</c:v>
                </c:pt>
                <c:pt idx="200">
                  <c:v>0.95295175259559506</c:v>
                </c:pt>
                <c:pt idx="201">
                  <c:v>0.5844291372993291</c:v>
                </c:pt>
                <c:pt idx="202">
                  <c:v>0.78117043197736791</c:v>
                </c:pt>
                <c:pt idx="203">
                  <c:v>0.8387509948246652</c:v>
                </c:pt>
                <c:pt idx="204">
                  <c:v>1.5652365523734662</c:v>
                </c:pt>
                <c:pt idx="205">
                  <c:v>0.93506598078574987</c:v>
                </c:pt>
                <c:pt idx="206">
                  <c:v>0.65031240018788461</c:v>
                </c:pt>
                <c:pt idx="207">
                  <c:v>0.68181996222396024</c:v>
                </c:pt>
                <c:pt idx="208">
                  <c:v>1.1167617044210392</c:v>
                </c:pt>
                <c:pt idx="209">
                  <c:v>0.49236056326076194</c:v>
                </c:pt>
                <c:pt idx="210">
                  <c:v>0.74024461206085757</c:v>
                </c:pt>
                <c:pt idx="211">
                  <c:v>0.36716291513321775</c:v>
                </c:pt>
                <c:pt idx="212">
                  <c:v>0.34145360039711931</c:v>
                </c:pt>
                <c:pt idx="213">
                  <c:v>-5.6717137270168361E-2</c:v>
                </c:pt>
                <c:pt idx="214">
                  <c:v>0.38956149553963726</c:v>
                </c:pt>
                <c:pt idx="215">
                  <c:v>0.13508722687634211</c:v>
                </c:pt>
                <c:pt idx="216">
                  <c:v>0.60035912263225688</c:v>
                </c:pt>
                <c:pt idx="217">
                  <c:v>0.60478111899409881</c:v>
                </c:pt>
                <c:pt idx="218">
                  <c:v>-0.38121091590632716</c:v>
                </c:pt>
                <c:pt idx="219">
                  <c:v>-0.247135620433591</c:v>
                </c:pt>
                <c:pt idx="220">
                  <c:v>-0.14399717587186797</c:v>
                </c:pt>
                <c:pt idx="221">
                  <c:v>0.56210634506217216</c:v>
                </c:pt>
                <c:pt idx="222">
                  <c:v>0.49312530578701763</c:v>
                </c:pt>
                <c:pt idx="223">
                  <c:v>0.9491041577278535</c:v>
                </c:pt>
                <c:pt idx="224">
                  <c:v>0.60863604178011665</c:v>
                </c:pt>
                <c:pt idx="225">
                  <c:v>0.12555726104067821</c:v>
                </c:pt>
                <c:pt idx="226">
                  <c:v>0.36367289489646204</c:v>
                </c:pt>
                <c:pt idx="227">
                  <c:v>0.64715549626698432</c:v>
                </c:pt>
                <c:pt idx="228">
                  <c:v>0.41429675952004574</c:v>
                </c:pt>
                <c:pt idx="229">
                  <c:v>-0.22869531245148653</c:v>
                </c:pt>
                <c:pt idx="230">
                  <c:v>0.42744134377571363</c:v>
                </c:pt>
                <c:pt idx="231">
                  <c:v>0.3105712706245235</c:v>
                </c:pt>
                <c:pt idx="232">
                  <c:v>-0.64526357315446958</c:v>
                </c:pt>
                <c:pt idx="233">
                  <c:v>-0.40682782082433799</c:v>
                </c:pt>
                <c:pt idx="234">
                  <c:v>0.38264281204536543</c:v>
                </c:pt>
                <c:pt idx="235">
                  <c:v>0.75754479201743741</c:v>
                </c:pt>
                <c:pt idx="236">
                  <c:v>0.36282899654206013</c:v>
                </c:pt>
                <c:pt idx="237">
                  <c:v>0.32582450131807861</c:v>
                </c:pt>
                <c:pt idx="238">
                  <c:v>0.59266949709541072</c:v>
                </c:pt>
                <c:pt idx="239">
                  <c:v>0.6448662497564891</c:v>
                </c:pt>
                <c:pt idx="240">
                  <c:v>1.253517233880185</c:v>
                </c:pt>
                <c:pt idx="241">
                  <c:v>0.79010626815680374</c:v>
                </c:pt>
                <c:pt idx="242">
                  <c:v>1.3220901226419537</c:v>
                </c:pt>
                <c:pt idx="243">
                  <c:v>0.91350530548637343</c:v>
                </c:pt>
                <c:pt idx="244">
                  <c:v>1.2925008476427746</c:v>
                </c:pt>
                <c:pt idx="245">
                  <c:v>1.1500552400936421</c:v>
                </c:pt>
                <c:pt idx="246">
                  <c:v>0.79247137737429152</c:v>
                </c:pt>
                <c:pt idx="247">
                  <c:v>-0.28524779255739408</c:v>
                </c:pt>
                <c:pt idx="248">
                  <c:v>0.38450931949031575</c:v>
                </c:pt>
                <c:pt idx="249">
                  <c:v>0.92651996650981805</c:v>
                </c:pt>
                <c:pt idx="250">
                  <c:v>0.5831068620022557</c:v>
                </c:pt>
                <c:pt idx="251">
                  <c:v>0.44955860999375158</c:v>
                </c:pt>
                <c:pt idx="252">
                  <c:v>0.93094044751475624</c:v>
                </c:pt>
                <c:pt idx="253">
                  <c:v>0.41121742369227193</c:v>
                </c:pt>
                <c:pt idx="254">
                  <c:v>0.99131564854873599</c:v>
                </c:pt>
                <c:pt idx="255">
                  <c:v>0.82072499401968535</c:v>
                </c:pt>
                <c:pt idx="256">
                  <c:v>0.10119362776448471</c:v>
                </c:pt>
                <c:pt idx="257">
                  <c:v>-0.53286927871127154</c:v>
                </c:pt>
                <c:pt idx="258">
                  <c:v>0.35954206311146852</c:v>
                </c:pt>
                <c:pt idx="259">
                  <c:v>1.2592963438734541</c:v>
                </c:pt>
                <c:pt idx="260">
                  <c:v>0.75506158727168371</c:v>
                </c:pt>
                <c:pt idx="261">
                  <c:v>1.2401532586439727</c:v>
                </c:pt>
                <c:pt idx="262">
                  <c:v>0.62536614094344434</c:v>
                </c:pt>
                <c:pt idx="263">
                  <c:v>0.7916139686828968</c:v>
                </c:pt>
                <c:pt idx="264">
                  <c:v>0.8912279310364345</c:v>
                </c:pt>
                <c:pt idx="265">
                  <c:v>1.2492004356227204</c:v>
                </c:pt>
                <c:pt idx="266">
                  <c:v>0.6765977785407945</c:v>
                </c:pt>
                <c:pt idx="267">
                  <c:v>1.3144256924608553</c:v>
                </c:pt>
                <c:pt idx="268">
                  <c:v>0.31242563110136812</c:v>
                </c:pt>
                <c:pt idx="269">
                  <c:v>1.0597659439748459</c:v>
                </c:pt>
                <c:pt idx="270">
                  <c:v>0.40947560444153458</c:v>
                </c:pt>
                <c:pt idx="271">
                  <c:v>0.445063380962059</c:v>
                </c:pt>
                <c:pt idx="272">
                  <c:v>0.2022753239038361</c:v>
                </c:pt>
                <c:pt idx="273">
                  <c:v>0.44213243808959257</c:v>
                </c:pt>
                <c:pt idx="274">
                  <c:v>0.19231692617459301</c:v>
                </c:pt>
                <c:pt idx="275">
                  <c:v>-0.17100947063551281</c:v>
                </c:pt>
                <c:pt idx="276">
                  <c:v>0.20583888663962324</c:v>
                </c:pt>
                <c:pt idx="277">
                  <c:v>-7.0194905358596793E-2</c:v>
                </c:pt>
                <c:pt idx="278">
                  <c:v>0.47997827006828742</c:v>
                </c:pt>
                <c:pt idx="279">
                  <c:v>0.71618685757485956</c:v>
                </c:pt>
                <c:pt idx="280">
                  <c:v>0.62331285267272563</c:v>
                </c:pt>
                <c:pt idx="281">
                  <c:v>1.0666421212332831</c:v>
                </c:pt>
                <c:pt idx="282">
                  <c:v>0.58825853353909763</c:v>
                </c:pt>
                <c:pt idx="283">
                  <c:v>0.27622582889175462</c:v>
                </c:pt>
                <c:pt idx="284">
                  <c:v>0.66215466875315743</c:v>
                </c:pt>
                <c:pt idx="285">
                  <c:v>0.87286228064087368</c:v>
                </c:pt>
                <c:pt idx="286">
                  <c:v>0.99698147592338926</c:v>
                </c:pt>
                <c:pt idx="287">
                  <c:v>-3.5406023463305902E-2</c:v>
                </c:pt>
                <c:pt idx="288">
                  <c:v>0.58775143448694667</c:v>
                </c:pt>
                <c:pt idx="289">
                  <c:v>0.65479222220644928</c:v>
                </c:pt>
                <c:pt idx="290">
                  <c:v>0.83195688744012597</c:v>
                </c:pt>
                <c:pt idx="291">
                  <c:v>0.37750210041516064</c:v>
                </c:pt>
                <c:pt idx="292">
                  <c:v>0.39021882726540547</c:v>
                </c:pt>
                <c:pt idx="293">
                  <c:v>0.89424668679365049</c:v>
                </c:pt>
                <c:pt idx="294">
                  <c:v>0.34069840401166618</c:v>
                </c:pt>
                <c:pt idx="295">
                  <c:v>0.24134075422506968</c:v>
                </c:pt>
                <c:pt idx="296">
                  <c:v>0.87612091967978079</c:v>
                </c:pt>
                <c:pt idx="297">
                  <c:v>0.3573848043618682</c:v>
                </c:pt>
                <c:pt idx="298">
                  <c:v>0.57164952242866163</c:v>
                </c:pt>
                <c:pt idx="299">
                  <c:v>1.1846027137653512</c:v>
                </c:pt>
                <c:pt idx="300">
                  <c:v>1.2009666897655904</c:v>
                </c:pt>
                <c:pt idx="301">
                  <c:v>0.69305375208146014</c:v>
                </c:pt>
                <c:pt idx="302">
                  <c:v>0.52934417501946274</c:v>
                </c:pt>
                <c:pt idx="303">
                  <c:v>0.15509400043792271</c:v>
                </c:pt>
                <c:pt idx="304">
                  <c:v>0.99106070703072369</c:v>
                </c:pt>
                <c:pt idx="305">
                  <c:v>1.1192561372570746</c:v>
                </c:pt>
                <c:pt idx="306">
                  <c:v>0.45027210835857268</c:v>
                </c:pt>
                <c:pt idx="307">
                  <c:v>0.43935716114491974</c:v>
                </c:pt>
                <c:pt idx="308">
                  <c:v>0.66532740960188685</c:v>
                </c:pt>
                <c:pt idx="309">
                  <c:v>1.0889309360392276</c:v>
                </c:pt>
                <c:pt idx="310">
                  <c:v>0.89007436436931309</c:v>
                </c:pt>
                <c:pt idx="311">
                  <c:v>0.73409296853699069</c:v>
                </c:pt>
                <c:pt idx="312">
                  <c:v>0.85826800811614679</c:v>
                </c:pt>
                <c:pt idx="313">
                  <c:v>8.9100651638188588E-2</c:v>
                </c:pt>
                <c:pt idx="314">
                  <c:v>0.49905771360412515</c:v>
                </c:pt>
                <c:pt idx="315">
                  <c:v>0.60103458698429113</c:v>
                </c:pt>
                <c:pt idx="316">
                  <c:v>0.19560722321493546</c:v>
                </c:pt>
                <c:pt idx="317">
                  <c:v>-0.29848854308734007</c:v>
                </c:pt>
                <c:pt idx="318">
                  <c:v>0.26430239759943097</c:v>
                </c:pt>
                <c:pt idx="319">
                  <c:v>0.42228176065945822</c:v>
                </c:pt>
                <c:pt idx="320">
                  <c:v>0.43275644346596914</c:v>
                </c:pt>
                <c:pt idx="321">
                  <c:v>0.80605395983485939</c:v>
                </c:pt>
                <c:pt idx="322">
                  <c:v>0.77122671784973962</c:v>
                </c:pt>
                <c:pt idx="323">
                  <c:v>0.61454979089780648</c:v>
                </c:pt>
                <c:pt idx="324">
                  <c:v>0.42485039249332202</c:v>
                </c:pt>
                <c:pt idx="325">
                  <c:v>0.36153966336713228</c:v>
                </c:pt>
                <c:pt idx="326">
                  <c:v>0.70016413468645367</c:v>
                </c:pt>
                <c:pt idx="327">
                  <c:v>0.23359330975552905</c:v>
                </c:pt>
                <c:pt idx="328">
                  <c:v>0.60847634886368307</c:v>
                </c:pt>
                <c:pt idx="329">
                  <c:v>0.42871795723443917</c:v>
                </c:pt>
                <c:pt idx="330">
                  <c:v>0.44400683257350965</c:v>
                </c:pt>
                <c:pt idx="331">
                  <c:v>0.53558819451801931</c:v>
                </c:pt>
                <c:pt idx="332">
                  <c:v>0.59881521476679533</c:v>
                </c:pt>
                <c:pt idx="333">
                  <c:v>0.56532547803746092</c:v>
                </c:pt>
                <c:pt idx="334">
                  <c:v>0.46142743154699373</c:v>
                </c:pt>
                <c:pt idx="335">
                  <c:v>0.45971971745609941</c:v>
                </c:pt>
                <c:pt idx="336">
                  <c:v>0.43773910432131041</c:v>
                </c:pt>
                <c:pt idx="337">
                  <c:v>0.89991030987258258</c:v>
                </c:pt>
                <c:pt idx="338">
                  <c:v>0.86121387441000752</c:v>
                </c:pt>
                <c:pt idx="339">
                  <c:v>0.68335468498067198</c:v>
                </c:pt>
                <c:pt idx="340">
                  <c:v>1.3420632797672329</c:v>
                </c:pt>
                <c:pt idx="341">
                  <c:v>0.88273791499445675</c:v>
                </c:pt>
                <c:pt idx="342">
                  <c:v>0.45652621096712365</c:v>
                </c:pt>
                <c:pt idx="343">
                  <c:v>0.96633762229565123</c:v>
                </c:pt>
                <c:pt idx="344">
                  <c:v>0.53586063075552293</c:v>
                </c:pt>
                <c:pt idx="345">
                  <c:v>0.47305535394252146</c:v>
                </c:pt>
                <c:pt idx="346">
                  <c:v>0.12194687097150547</c:v>
                </c:pt>
                <c:pt idx="347">
                  <c:v>0.75488113894668418</c:v>
                </c:pt>
                <c:pt idx="348">
                  <c:v>0.73097617927377279</c:v>
                </c:pt>
                <c:pt idx="349">
                  <c:v>0.74165752548128117</c:v>
                </c:pt>
                <c:pt idx="350">
                  <c:v>0.7245536333151541</c:v>
                </c:pt>
                <c:pt idx="351">
                  <c:v>1.1843384852659886</c:v>
                </c:pt>
                <c:pt idx="352">
                  <c:v>0.73652536255310652</c:v>
                </c:pt>
                <c:pt idx="353">
                  <c:v>5.7989213417477314E-2</c:v>
                </c:pt>
                <c:pt idx="354">
                  <c:v>0.16823734455345279</c:v>
                </c:pt>
                <c:pt idx="355">
                  <c:v>0.29274101267055408</c:v>
                </c:pt>
                <c:pt idx="356">
                  <c:v>-0.20992824716269531</c:v>
                </c:pt>
                <c:pt idx="357">
                  <c:v>0.68615549421731215</c:v>
                </c:pt>
                <c:pt idx="358">
                  <c:v>0.86202154879558512</c:v>
                </c:pt>
                <c:pt idx="359">
                  <c:v>0.7742395047744437</c:v>
                </c:pt>
                <c:pt idx="360">
                  <c:v>0.853895930949923</c:v>
                </c:pt>
                <c:pt idx="361">
                  <c:v>-0.46035787668900296</c:v>
                </c:pt>
                <c:pt idx="362">
                  <c:v>-0.10348089028364685</c:v>
                </c:pt>
                <c:pt idx="363">
                  <c:v>0.30008502743216514</c:v>
                </c:pt>
                <c:pt idx="364">
                  <c:v>0.47123110603610185</c:v>
                </c:pt>
                <c:pt idx="365">
                  <c:v>0.56614167020607131</c:v>
                </c:pt>
                <c:pt idx="366">
                  <c:v>-9.1320598800486597E-2</c:v>
                </c:pt>
                <c:pt idx="367">
                  <c:v>0.40403525451665512</c:v>
                </c:pt>
                <c:pt idx="368">
                  <c:v>0.61379026097105949</c:v>
                </c:pt>
                <c:pt idx="369">
                  <c:v>0.84183380029469757</c:v>
                </c:pt>
                <c:pt idx="370">
                  <c:v>0.68090635372707198</c:v>
                </c:pt>
                <c:pt idx="371">
                  <c:v>0.93354397583632387</c:v>
                </c:pt>
                <c:pt idx="372">
                  <c:v>1.1974862787513698</c:v>
                </c:pt>
                <c:pt idx="373">
                  <c:v>0.44006089490506983</c:v>
                </c:pt>
                <c:pt idx="374">
                  <c:v>0.32860025902216772</c:v>
                </c:pt>
                <c:pt idx="375">
                  <c:v>0.96256520645518517</c:v>
                </c:pt>
                <c:pt idx="376">
                  <c:v>1.1769512499063506</c:v>
                </c:pt>
                <c:pt idx="377">
                  <c:v>0.88277740327386256</c:v>
                </c:pt>
                <c:pt idx="378">
                  <c:v>1.1815575872573927</c:v>
                </c:pt>
                <c:pt idx="379">
                  <c:v>0.91177310145355916</c:v>
                </c:pt>
                <c:pt idx="380">
                  <c:v>1.6685056533896496</c:v>
                </c:pt>
                <c:pt idx="381">
                  <c:v>0.75515465036081064</c:v>
                </c:pt>
                <c:pt idx="382">
                  <c:v>0.70430478232185201</c:v>
                </c:pt>
                <c:pt idx="383">
                  <c:v>1.050239178720658</c:v>
                </c:pt>
                <c:pt idx="384">
                  <c:v>0.57764151629113991</c:v>
                </c:pt>
                <c:pt idx="385">
                  <c:v>-0.32938473724035688</c:v>
                </c:pt>
                <c:pt idx="386">
                  <c:v>5.2848108163327343E-2</c:v>
                </c:pt>
                <c:pt idx="387">
                  <c:v>0.56706913565742911</c:v>
                </c:pt>
                <c:pt idx="388">
                  <c:v>1.6582368769520797</c:v>
                </c:pt>
                <c:pt idx="389">
                  <c:v>-8.0152101576582702E-2</c:v>
                </c:pt>
                <c:pt idx="390">
                  <c:v>0.27542547084179325</c:v>
                </c:pt>
                <c:pt idx="391">
                  <c:v>-0.19084514473546421</c:v>
                </c:pt>
                <c:pt idx="392">
                  <c:v>0.24863881257513015</c:v>
                </c:pt>
                <c:pt idx="393">
                  <c:v>0.7774352075357801</c:v>
                </c:pt>
                <c:pt idx="394">
                  <c:v>0.81730658294181557</c:v>
                </c:pt>
                <c:pt idx="395">
                  <c:v>0.65495745340429545</c:v>
                </c:pt>
                <c:pt idx="396">
                  <c:v>0.35348182632263669</c:v>
                </c:pt>
                <c:pt idx="397">
                  <c:v>-0.55918602796252592</c:v>
                </c:pt>
                <c:pt idx="398">
                  <c:v>0.12351272831134857</c:v>
                </c:pt>
                <c:pt idx="399">
                  <c:v>-4.222471233624614E-2</c:v>
                </c:pt>
                <c:pt idx="400">
                  <c:v>0.17910357321806833</c:v>
                </c:pt>
                <c:pt idx="401">
                  <c:v>0.90129684222973239</c:v>
                </c:pt>
                <c:pt idx="402">
                  <c:v>-0.32754031136067802</c:v>
                </c:pt>
                <c:pt idx="403">
                  <c:v>8.8709797039403321E-2</c:v>
                </c:pt>
                <c:pt idx="404">
                  <c:v>0.31524414059499412</c:v>
                </c:pt>
                <c:pt idx="405">
                  <c:v>0.53181764386460539</c:v>
                </c:pt>
                <c:pt idx="406">
                  <c:v>-0.45475263204524941</c:v>
                </c:pt>
                <c:pt idx="407">
                  <c:v>-0.26001342956550288</c:v>
                </c:pt>
                <c:pt idx="408">
                  <c:v>-0.28023115604547605</c:v>
                </c:pt>
                <c:pt idx="409">
                  <c:v>-0.18235381784566201</c:v>
                </c:pt>
                <c:pt idx="410">
                  <c:v>5.3108757213535911E-2</c:v>
                </c:pt>
                <c:pt idx="411">
                  <c:v>0.18201539745380321</c:v>
                </c:pt>
                <c:pt idx="412">
                  <c:v>0.39161719019089469</c:v>
                </c:pt>
                <c:pt idx="413">
                  <c:v>6.5046194692894826E-2</c:v>
                </c:pt>
                <c:pt idx="414">
                  <c:v>-0.41987032993011802</c:v>
                </c:pt>
                <c:pt idx="415">
                  <c:v>0.40233148048416267</c:v>
                </c:pt>
                <c:pt idx="416">
                  <c:v>0.36457783378597935</c:v>
                </c:pt>
                <c:pt idx="417">
                  <c:v>-9.3143708395732661E-2</c:v>
                </c:pt>
                <c:pt idx="418">
                  <c:v>0.1165302390426857</c:v>
                </c:pt>
                <c:pt idx="419">
                  <c:v>0.74967430745945962</c:v>
                </c:pt>
                <c:pt idx="420">
                  <c:v>0.97611083800733889</c:v>
                </c:pt>
                <c:pt idx="421">
                  <c:v>-0.19706277296749186</c:v>
                </c:pt>
                <c:pt idx="422">
                  <c:v>-0.551445017908329</c:v>
                </c:pt>
                <c:pt idx="423">
                  <c:v>0.53567870357781222</c:v>
                </c:pt>
                <c:pt idx="424">
                  <c:v>0.63212915292709526</c:v>
                </c:pt>
                <c:pt idx="425">
                  <c:v>0.89055019559253468</c:v>
                </c:pt>
                <c:pt idx="426">
                  <c:v>0.77491258859302681</c:v>
                </c:pt>
                <c:pt idx="427">
                  <c:v>0.76918823387030666</c:v>
                </c:pt>
                <c:pt idx="428">
                  <c:v>1.0147280084660604</c:v>
                </c:pt>
                <c:pt idx="429">
                  <c:v>1.1604728417975718</c:v>
                </c:pt>
                <c:pt idx="430">
                  <c:v>1.4212927149816634</c:v>
                </c:pt>
                <c:pt idx="431">
                  <c:v>1.2400212391589538</c:v>
                </c:pt>
                <c:pt idx="432">
                  <c:v>1.5476805178220987</c:v>
                </c:pt>
                <c:pt idx="433">
                  <c:v>0.62737170004425458</c:v>
                </c:pt>
                <c:pt idx="434">
                  <c:v>-0.64167772930245026</c:v>
                </c:pt>
                <c:pt idx="435">
                  <c:v>0.27699531657380982</c:v>
                </c:pt>
                <c:pt idx="436">
                  <c:v>1.0262606640931509</c:v>
                </c:pt>
                <c:pt idx="437">
                  <c:v>0.8993952410905196</c:v>
                </c:pt>
                <c:pt idx="438">
                  <c:v>0.40987970651040195</c:v>
                </c:pt>
                <c:pt idx="439">
                  <c:v>5.7644811553163922E-2</c:v>
                </c:pt>
                <c:pt idx="440">
                  <c:v>0.66409299705735769</c:v>
                </c:pt>
                <c:pt idx="441">
                  <c:v>0.57384564275012606</c:v>
                </c:pt>
                <c:pt idx="442">
                  <c:v>0.26156045626509217</c:v>
                </c:pt>
                <c:pt idx="443">
                  <c:v>-0.28249812750788367</c:v>
                </c:pt>
                <c:pt idx="444">
                  <c:v>0.44316318468026517</c:v>
                </c:pt>
                <c:pt idx="445">
                  <c:v>-0.11022077618991299</c:v>
                </c:pt>
                <c:pt idx="446">
                  <c:v>0.50568669493186946</c:v>
                </c:pt>
                <c:pt idx="447">
                  <c:v>0.56459002701271954</c:v>
                </c:pt>
                <c:pt idx="448">
                  <c:v>0.64710153715177121</c:v>
                </c:pt>
                <c:pt idx="449">
                  <c:v>9.0635558183495224E-2</c:v>
                </c:pt>
                <c:pt idx="450">
                  <c:v>0.73683203438215739</c:v>
                </c:pt>
                <c:pt idx="451">
                  <c:v>1.1618575459479556</c:v>
                </c:pt>
                <c:pt idx="452">
                  <c:v>0.7295621191093189</c:v>
                </c:pt>
                <c:pt idx="453">
                  <c:v>0.9560747468032561</c:v>
                </c:pt>
                <c:pt idx="454">
                  <c:v>1.4866830582609076</c:v>
                </c:pt>
                <c:pt idx="455">
                  <c:v>2.1653909590271003</c:v>
                </c:pt>
                <c:pt idx="456">
                  <c:v>1.3071416968352558</c:v>
                </c:pt>
                <c:pt idx="457">
                  <c:v>0.44164138126973373</c:v>
                </c:pt>
                <c:pt idx="458">
                  <c:v>0.98065844677306102</c:v>
                </c:pt>
                <c:pt idx="459">
                  <c:v>0.50377518085197226</c:v>
                </c:pt>
                <c:pt idx="460">
                  <c:v>0.69740789998544328</c:v>
                </c:pt>
                <c:pt idx="461">
                  <c:v>1.5334549761171639</c:v>
                </c:pt>
                <c:pt idx="462">
                  <c:v>0.88381811682498734</c:v>
                </c:pt>
                <c:pt idx="463">
                  <c:v>0.53188684943021913</c:v>
                </c:pt>
                <c:pt idx="464">
                  <c:v>0.75908745725673488</c:v>
                </c:pt>
                <c:pt idx="465">
                  <c:v>0.90092838879050741</c:v>
                </c:pt>
                <c:pt idx="466">
                  <c:v>0.33872188061899139</c:v>
                </c:pt>
                <c:pt idx="467">
                  <c:v>0.20815460488351772</c:v>
                </c:pt>
                <c:pt idx="468">
                  <c:v>0.59298609048203366</c:v>
                </c:pt>
                <c:pt idx="469">
                  <c:v>0.92334558038795889</c:v>
                </c:pt>
                <c:pt idx="470">
                  <c:v>1.1595527158607832</c:v>
                </c:pt>
                <c:pt idx="471">
                  <c:v>0.62171869991381179</c:v>
                </c:pt>
                <c:pt idx="472">
                  <c:v>1.4602348637965492</c:v>
                </c:pt>
                <c:pt idx="473">
                  <c:v>0.61266449719593297</c:v>
                </c:pt>
                <c:pt idx="474">
                  <c:v>0.80224146008671327</c:v>
                </c:pt>
                <c:pt idx="475">
                  <c:v>0.93020301547812245</c:v>
                </c:pt>
                <c:pt idx="476">
                  <c:v>1.3191169631967719</c:v>
                </c:pt>
                <c:pt idx="477">
                  <c:v>0.44598370836945833</c:v>
                </c:pt>
                <c:pt idx="478">
                  <c:v>1.2406258918337327</c:v>
                </c:pt>
                <c:pt idx="479">
                  <c:v>0.94237953005685127</c:v>
                </c:pt>
                <c:pt idx="480">
                  <c:v>1.1682788370721267</c:v>
                </c:pt>
                <c:pt idx="481">
                  <c:v>0.84066302163680351</c:v>
                </c:pt>
                <c:pt idx="482">
                  <c:v>1.0317999450108475</c:v>
                </c:pt>
                <c:pt idx="483">
                  <c:v>1.3986764183449079</c:v>
                </c:pt>
                <c:pt idx="484">
                  <c:v>0.95241215309542093</c:v>
                </c:pt>
                <c:pt idx="485">
                  <c:v>-0.27119275744652538</c:v>
                </c:pt>
                <c:pt idx="486">
                  <c:v>-5.2519410926170004E-2</c:v>
                </c:pt>
                <c:pt idx="487">
                  <c:v>0.12174145163641793</c:v>
                </c:pt>
                <c:pt idx="488">
                  <c:v>-0.28516006359940482</c:v>
                </c:pt>
                <c:pt idx="489">
                  <c:v>-0.455855305177092</c:v>
                </c:pt>
                <c:pt idx="490">
                  <c:v>-2.7819598748577562E-2</c:v>
                </c:pt>
                <c:pt idx="491">
                  <c:v>0.29877465198207898</c:v>
                </c:pt>
                <c:pt idx="492">
                  <c:v>0.52925241094522357</c:v>
                </c:pt>
                <c:pt idx="493">
                  <c:v>0.61659107647705191</c:v>
                </c:pt>
                <c:pt idx="494">
                  <c:v>0.75705846738333415</c:v>
                </c:pt>
                <c:pt idx="495">
                  <c:v>0.54185160361344376</c:v>
                </c:pt>
                <c:pt idx="496">
                  <c:v>1.0311933033952816</c:v>
                </c:pt>
                <c:pt idx="497">
                  <c:v>0.2735088354589148</c:v>
                </c:pt>
                <c:pt idx="498">
                  <c:v>0.49014662016950244</c:v>
                </c:pt>
                <c:pt idx="499">
                  <c:v>0.75148297201351433</c:v>
                </c:pt>
                <c:pt idx="500">
                  <c:v>1.2532722799979141</c:v>
                </c:pt>
                <c:pt idx="501">
                  <c:v>1.0096479629258059</c:v>
                </c:pt>
                <c:pt idx="502">
                  <c:v>0.62707824026650938</c:v>
                </c:pt>
                <c:pt idx="503">
                  <c:v>0.8285856257155908</c:v>
                </c:pt>
                <c:pt idx="504">
                  <c:v>0.65248008480288355</c:v>
                </c:pt>
                <c:pt idx="505">
                  <c:v>0.89031457027957794</c:v>
                </c:pt>
                <c:pt idx="506">
                  <c:v>0.94851655320309047</c:v>
                </c:pt>
                <c:pt idx="507">
                  <c:v>0.43061535075208202</c:v>
                </c:pt>
                <c:pt idx="508">
                  <c:v>5.0029893210433329E-2</c:v>
                </c:pt>
                <c:pt idx="509">
                  <c:v>0.24539259294353644</c:v>
                </c:pt>
                <c:pt idx="510">
                  <c:v>0.22251439882941487</c:v>
                </c:pt>
                <c:pt idx="511">
                  <c:v>4.6017425724283884E-2</c:v>
                </c:pt>
                <c:pt idx="512">
                  <c:v>-0.53767246733553142</c:v>
                </c:pt>
                <c:pt idx="513">
                  <c:v>8.3035837836553855E-2</c:v>
                </c:pt>
                <c:pt idx="514">
                  <c:v>0.10520277647048626</c:v>
                </c:pt>
                <c:pt idx="515">
                  <c:v>8.4103688423706247E-2</c:v>
                </c:pt>
                <c:pt idx="516">
                  <c:v>0.97652701538594777</c:v>
                </c:pt>
                <c:pt idx="517">
                  <c:v>0.59663503991311362</c:v>
                </c:pt>
                <c:pt idx="518">
                  <c:v>1.2646601343598374</c:v>
                </c:pt>
                <c:pt idx="519">
                  <c:v>1.1787863204492315</c:v>
                </c:pt>
                <c:pt idx="520">
                  <c:v>0.28793275916908811</c:v>
                </c:pt>
                <c:pt idx="521">
                  <c:v>1.2783777634006004</c:v>
                </c:pt>
                <c:pt idx="522">
                  <c:v>0.99874142578291125</c:v>
                </c:pt>
                <c:pt idx="523">
                  <c:v>1.0506234284144806</c:v>
                </c:pt>
                <c:pt idx="524">
                  <c:v>0.98698583327360156</c:v>
                </c:pt>
                <c:pt idx="525">
                  <c:v>-0.15149711625257645</c:v>
                </c:pt>
                <c:pt idx="526">
                  <c:v>0.51260546346587277</c:v>
                </c:pt>
                <c:pt idx="527">
                  <c:v>0.61422281640735177</c:v>
                </c:pt>
                <c:pt idx="528">
                  <c:v>0.62186535151414102</c:v>
                </c:pt>
                <c:pt idx="529">
                  <c:v>0.40462250871488281</c:v>
                </c:pt>
                <c:pt idx="530">
                  <c:v>1.0359547146288564</c:v>
                </c:pt>
                <c:pt idx="531">
                  <c:v>1.0813131003638445</c:v>
                </c:pt>
                <c:pt idx="532">
                  <c:v>1.1149337455636539</c:v>
                </c:pt>
                <c:pt idx="533">
                  <c:v>0.60940557222570035</c:v>
                </c:pt>
                <c:pt idx="534">
                  <c:v>0.8500418356345758</c:v>
                </c:pt>
                <c:pt idx="535">
                  <c:v>0.66093378404255088</c:v>
                </c:pt>
                <c:pt idx="536">
                  <c:v>1.1799740183086669</c:v>
                </c:pt>
                <c:pt idx="537">
                  <c:v>0.78363985668877645</c:v>
                </c:pt>
                <c:pt idx="538">
                  <c:v>0.42793860519688637</c:v>
                </c:pt>
                <c:pt idx="539">
                  <c:v>1.0263332215059779</c:v>
                </c:pt>
                <c:pt idx="540">
                  <c:v>0.37824963981585669</c:v>
                </c:pt>
                <c:pt idx="541">
                  <c:v>0.53662662131810557</c:v>
                </c:pt>
                <c:pt idx="542">
                  <c:v>1.3563370099238075</c:v>
                </c:pt>
                <c:pt idx="543">
                  <c:v>0.66828336420295176</c:v>
                </c:pt>
                <c:pt idx="544">
                  <c:v>0.9770196387581418</c:v>
                </c:pt>
                <c:pt idx="545">
                  <c:v>0.66231822305852539</c:v>
                </c:pt>
                <c:pt idx="546">
                  <c:v>0.81517377436588379</c:v>
                </c:pt>
                <c:pt idx="547">
                  <c:v>0.6166077956896856</c:v>
                </c:pt>
                <c:pt idx="548">
                  <c:v>0.31531731875361907</c:v>
                </c:pt>
                <c:pt idx="549">
                  <c:v>0.6121004622188303</c:v>
                </c:pt>
                <c:pt idx="550">
                  <c:v>0.446253308257621</c:v>
                </c:pt>
                <c:pt idx="551">
                  <c:v>1.5103785281410449</c:v>
                </c:pt>
                <c:pt idx="552">
                  <c:v>0.5774790032208087</c:v>
                </c:pt>
                <c:pt idx="553">
                  <c:v>0.13661606396412329</c:v>
                </c:pt>
                <c:pt idx="554">
                  <c:v>1.0039988129762243</c:v>
                </c:pt>
                <c:pt idx="555">
                  <c:v>-0.17965849521683652</c:v>
                </c:pt>
                <c:pt idx="556">
                  <c:v>0.68830314580889085</c:v>
                </c:pt>
                <c:pt idx="557">
                  <c:v>0.43306861229146931</c:v>
                </c:pt>
                <c:pt idx="558">
                  <c:v>1.0612786230394715</c:v>
                </c:pt>
                <c:pt idx="559">
                  <c:v>1.0971991090067388</c:v>
                </c:pt>
                <c:pt idx="560">
                  <c:v>0.76242702456487299</c:v>
                </c:pt>
                <c:pt idx="561">
                  <c:v>0.59972770450626511</c:v>
                </c:pt>
                <c:pt idx="562">
                  <c:v>0.34766264475274711</c:v>
                </c:pt>
                <c:pt idx="563">
                  <c:v>1.0414404769689714</c:v>
                </c:pt>
                <c:pt idx="564">
                  <c:v>0.70005636542841954</c:v>
                </c:pt>
                <c:pt idx="565">
                  <c:v>0.68713829300231422</c:v>
                </c:pt>
                <c:pt idx="566">
                  <c:v>1.1276294443833947</c:v>
                </c:pt>
                <c:pt idx="567">
                  <c:v>0.66174969790894789</c:v>
                </c:pt>
                <c:pt idx="568">
                  <c:v>0.45366018728418173</c:v>
                </c:pt>
                <c:pt idx="569">
                  <c:v>0.83332274900094949</c:v>
                </c:pt>
                <c:pt idx="570">
                  <c:v>1.211016198100193</c:v>
                </c:pt>
                <c:pt idx="571">
                  <c:v>1.0817043365523553</c:v>
                </c:pt>
                <c:pt idx="572">
                  <c:v>1.2038867244817342</c:v>
                </c:pt>
                <c:pt idx="573">
                  <c:v>1.1528949551724539</c:v>
                </c:pt>
                <c:pt idx="574">
                  <c:v>0.20821001366266711</c:v>
                </c:pt>
                <c:pt idx="575">
                  <c:v>0.52286637602437769</c:v>
                </c:pt>
                <c:pt idx="576">
                  <c:v>1.305755571864696</c:v>
                </c:pt>
                <c:pt idx="577">
                  <c:v>1.5063766932434044</c:v>
                </c:pt>
                <c:pt idx="578">
                  <c:v>0.97465762318020543</c:v>
                </c:pt>
                <c:pt idx="579">
                  <c:v>0.36661837973081035</c:v>
                </c:pt>
                <c:pt idx="580">
                  <c:v>0.4581744345026032</c:v>
                </c:pt>
                <c:pt idx="581">
                  <c:v>1.0741060931105584</c:v>
                </c:pt>
                <c:pt idx="582">
                  <c:v>0.77946197886690383</c:v>
                </c:pt>
                <c:pt idx="583">
                  <c:v>0.32511912889277278</c:v>
                </c:pt>
                <c:pt idx="584">
                  <c:v>0.97042950052845667</c:v>
                </c:pt>
                <c:pt idx="585">
                  <c:v>0.81151810206699748</c:v>
                </c:pt>
                <c:pt idx="586">
                  <c:v>0.1318810286770955</c:v>
                </c:pt>
                <c:pt idx="587">
                  <c:v>0.45880978152394303</c:v>
                </c:pt>
                <c:pt idx="588">
                  <c:v>1.184159564677258</c:v>
                </c:pt>
                <c:pt idx="589">
                  <c:v>1.1054899356555223</c:v>
                </c:pt>
                <c:pt idx="590">
                  <c:v>1.6441870326449299</c:v>
                </c:pt>
                <c:pt idx="591">
                  <c:v>0.10274976512360556</c:v>
                </c:pt>
                <c:pt idx="592">
                  <c:v>0.24197759093929611</c:v>
                </c:pt>
                <c:pt idx="593">
                  <c:v>0.54187464370377314</c:v>
                </c:pt>
                <c:pt idx="594">
                  <c:v>0.72580903905672822</c:v>
                </c:pt>
                <c:pt idx="595">
                  <c:v>0.55501778410810698</c:v>
                </c:pt>
                <c:pt idx="596">
                  <c:v>0.69011852524209427</c:v>
                </c:pt>
                <c:pt idx="597">
                  <c:v>0.14432210113203581</c:v>
                </c:pt>
                <c:pt idx="598">
                  <c:v>0.42273523812328506</c:v>
                </c:pt>
              </c:numCache>
            </c:numRef>
          </c:yVal>
          <c:smooth val="0"/>
        </c:ser>
        <c:dLbls>
          <c:showLegendKey val="0"/>
          <c:showVal val="0"/>
          <c:showCatName val="0"/>
          <c:showSerName val="0"/>
          <c:showPercent val="0"/>
          <c:showBubbleSize val="0"/>
        </c:dLbls>
        <c:axId val="-1510689008"/>
        <c:axId val="-1510688616"/>
      </c:scatterChart>
      <c:valAx>
        <c:axId val="-1510689008"/>
        <c:scaling>
          <c:orientation val="minMax"/>
        </c:scaling>
        <c:delete val="1"/>
        <c:axPos val="b"/>
        <c:numFmt formatCode="0.00" sourceLinked="1"/>
        <c:majorTickMark val="out"/>
        <c:minorTickMark val="none"/>
        <c:tickLblPos val="nextTo"/>
        <c:crossAx val="-1510688616"/>
        <c:crosses val="autoZero"/>
        <c:crossBetween val="midCat"/>
      </c:valAx>
      <c:valAx>
        <c:axId val="-1510688616"/>
        <c:scaling>
          <c:orientation val="minMax"/>
        </c:scaling>
        <c:delete val="1"/>
        <c:axPos val="l"/>
        <c:numFmt formatCode="0.00" sourceLinked="1"/>
        <c:majorTickMark val="out"/>
        <c:minorTickMark val="none"/>
        <c:tickLblPos val="nextTo"/>
        <c:crossAx val="-151068900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1570960172035E-4"/>
          <c:y val="2.5175679171163094E-4"/>
          <c:w val="0.99931284290398281"/>
          <c:h val="0.99974824320828837"/>
        </c:manualLayout>
      </c:layout>
      <c:scatterChart>
        <c:scatterStyle val="lineMarker"/>
        <c:varyColors val="0"/>
        <c:ser>
          <c:idx val="0"/>
          <c:order val="0"/>
          <c:spPr>
            <a:ln w="28575">
              <a:noFill/>
            </a:ln>
          </c:spPr>
          <c:marker>
            <c:symbol val="circle"/>
            <c:size val="3"/>
            <c:spPr>
              <a:solidFill>
                <a:srgbClr val="F69359"/>
              </a:solidFill>
              <a:ln w="9525">
                <a:noFill/>
              </a:ln>
            </c:spPr>
          </c:marker>
          <c:trendline>
            <c:spPr>
              <a:ln w="19050">
                <a:solidFill>
                  <a:srgbClr val="0070C0"/>
                </a:solidFill>
                <a:prstDash val="solid"/>
              </a:ln>
            </c:spPr>
            <c:trendlineType val="linear"/>
            <c:dispRSqr val="1"/>
            <c:dispEq val="1"/>
            <c:trendlineLbl>
              <c:layout>
                <c:manualLayout>
                  <c:x val="-0.52896034561843919"/>
                  <c:y val="-0.20486311989947914"/>
                </c:manualLayout>
              </c:layout>
              <c:numFmt formatCode="0.000" sourceLinked="0"/>
              <c:spPr>
                <a:noFill/>
                <a:ln w="25400">
                  <a:noFill/>
                </a:ln>
              </c:spPr>
              <c:txPr>
                <a:bodyPr/>
                <a:lstStyle/>
                <a:p>
                  <a:pPr algn="l">
                    <a:defRPr sz="1000" b="0" i="0" u="none" strike="noStrike" baseline="0">
                      <a:solidFill>
                        <a:srgbClr val="000000"/>
                      </a:solidFill>
                      <a:latin typeface="Cambria"/>
                      <a:ea typeface="Cambria"/>
                      <a:cs typeface="Cambria"/>
                    </a:defRPr>
                  </a:pPr>
                  <a:endParaRPr lang="en-US"/>
                </a:p>
              </c:txPr>
            </c:trendlineLbl>
          </c:trendline>
          <c:xVal>
            <c:numRef>
              <c:f>simulate!$AQ$4:$AQ$2004</c:f>
              <c:numCache>
                <c:formatCode>0.00</c:formatCode>
                <c:ptCount val="2001"/>
                <c:pt idx="0">
                  <c:v>0.12941981744651529</c:v>
                </c:pt>
                <c:pt idx="1">
                  <c:v>0.4696722405474022</c:v>
                </c:pt>
                <c:pt idx="2">
                  <c:v>-4.1788758660489644E-2</c:v>
                </c:pt>
                <c:pt idx="3">
                  <c:v>0.74085630422609294</c:v>
                </c:pt>
                <c:pt idx="4">
                  <c:v>0.73069381963298885</c:v>
                </c:pt>
                <c:pt idx="5">
                  <c:v>0.5219070909484923</c:v>
                </c:pt>
                <c:pt idx="6">
                  <c:v>0.29985745792819651</c:v>
                </c:pt>
                <c:pt idx="7">
                  <c:v>0.82830139904802091</c:v>
                </c:pt>
                <c:pt idx="8">
                  <c:v>1.0080887568784855</c:v>
                </c:pt>
                <c:pt idx="9">
                  <c:v>8.0629767667920349E-2</c:v>
                </c:pt>
                <c:pt idx="10">
                  <c:v>1.0629711407857152</c:v>
                </c:pt>
                <c:pt idx="11">
                  <c:v>1.1242011744370859</c:v>
                </c:pt>
                <c:pt idx="12">
                  <c:v>0.4403038082908039</c:v>
                </c:pt>
                <c:pt idx="13">
                  <c:v>1.2413151107384714</c:v>
                </c:pt>
                <c:pt idx="14">
                  <c:v>0.48314579207743846</c:v>
                </c:pt>
                <c:pt idx="15">
                  <c:v>0.74425420607939041</c:v>
                </c:pt>
                <c:pt idx="16">
                  <c:v>-4.4179749789307943E-2</c:v>
                </c:pt>
                <c:pt idx="17">
                  <c:v>0.92848839786989878</c:v>
                </c:pt>
                <c:pt idx="18">
                  <c:v>0.87425564399976663</c:v>
                </c:pt>
                <c:pt idx="19">
                  <c:v>1.0954894729865041</c:v>
                </c:pt>
                <c:pt idx="20">
                  <c:v>0.22409571666096084</c:v>
                </c:pt>
                <c:pt idx="21">
                  <c:v>0.16862004343165382</c:v>
                </c:pt>
                <c:pt idx="22">
                  <c:v>-3.4626186919332613E-2</c:v>
                </c:pt>
                <c:pt idx="23">
                  <c:v>0.31542854112651642</c:v>
                </c:pt>
                <c:pt idx="24">
                  <c:v>0.33185111028655434</c:v>
                </c:pt>
                <c:pt idx="25">
                  <c:v>1.1827608935971434</c:v>
                </c:pt>
                <c:pt idx="26">
                  <c:v>-8.8273649106348606E-2</c:v>
                </c:pt>
                <c:pt idx="27">
                  <c:v>0.81109912322356936</c:v>
                </c:pt>
                <c:pt idx="28">
                  <c:v>0.62606668487075123</c:v>
                </c:pt>
                <c:pt idx="29">
                  <c:v>0.71302038106028531</c:v>
                </c:pt>
                <c:pt idx="30">
                  <c:v>-0.26615824231509594</c:v>
                </c:pt>
                <c:pt idx="31">
                  <c:v>8.3831008664795648E-2</c:v>
                </c:pt>
                <c:pt idx="32">
                  <c:v>0.53990614440171714</c:v>
                </c:pt>
                <c:pt idx="33">
                  <c:v>0.42293463678195609</c:v>
                </c:pt>
                <c:pt idx="34">
                  <c:v>0.95509184452916518</c:v>
                </c:pt>
                <c:pt idx="35">
                  <c:v>0.88854524260404122</c:v>
                </c:pt>
                <c:pt idx="36">
                  <c:v>-6.8038591682076655E-2</c:v>
                </c:pt>
                <c:pt idx="37">
                  <c:v>-0.26190852779830082</c:v>
                </c:pt>
                <c:pt idx="38">
                  <c:v>-0.97556435063662483</c:v>
                </c:pt>
                <c:pt idx="39">
                  <c:v>-0.44163411628953159</c:v>
                </c:pt>
                <c:pt idx="40">
                  <c:v>-0.26524113482418099</c:v>
                </c:pt>
                <c:pt idx="41">
                  <c:v>0.33329574211431329</c:v>
                </c:pt>
                <c:pt idx="42">
                  <c:v>-0.22714213170126546</c:v>
                </c:pt>
                <c:pt idx="43">
                  <c:v>0.91216790284645044</c:v>
                </c:pt>
                <c:pt idx="44">
                  <c:v>0.60336062005797908</c:v>
                </c:pt>
                <c:pt idx="45">
                  <c:v>0.72154242722985584</c:v>
                </c:pt>
                <c:pt idx="46">
                  <c:v>0.46190466057454316</c:v>
                </c:pt>
                <c:pt idx="47">
                  <c:v>0.64079644954038661</c:v>
                </c:pt>
                <c:pt idx="48">
                  <c:v>-0.12725626887574815</c:v>
                </c:pt>
                <c:pt idx="49">
                  <c:v>0.23678483037250625</c:v>
                </c:pt>
                <c:pt idx="50">
                  <c:v>-7.9725851453686158E-2</c:v>
                </c:pt>
                <c:pt idx="51">
                  <c:v>0.26862308030424353</c:v>
                </c:pt>
                <c:pt idx="52">
                  <c:v>9.9273661208454378E-4</c:v>
                </c:pt>
                <c:pt idx="53">
                  <c:v>-0.2152758144619937</c:v>
                </c:pt>
                <c:pt idx="54">
                  <c:v>0.46597317700119217</c:v>
                </c:pt>
                <c:pt idx="55">
                  <c:v>0.5487624550169854</c:v>
                </c:pt>
                <c:pt idx="56">
                  <c:v>0.25905424151449469</c:v>
                </c:pt>
                <c:pt idx="57">
                  <c:v>6.0380903602330005E-2</c:v>
                </c:pt>
                <c:pt idx="58">
                  <c:v>0.50194101077401521</c:v>
                </c:pt>
                <c:pt idx="59">
                  <c:v>0.66595853883734868</c:v>
                </c:pt>
                <c:pt idx="60">
                  <c:v>-1.8705100232049965E-2</c:v>
                </c:pt>
                <c:pt idx="61">
                  <c:v>0.47871418474606897</c:v>
                </c:pt>
                <c:pt idx="62">
                  <c:v>0.81109411876265147</c:v>
                </c:pt>
                <c:pt idx="63">
                  <c:v>0.74501691489679334</c:v>
                </c:pt>
                <c:pt idx="64">
                  <c:v>1.9415998626357234E-2</c:v>
                </c:pt>
                <c:pt idx="65">
                  <c:v>0.3024931985159065</c:v>
                </c:pt>
                <c:pt idx="66">
                  <c:v>-0.53146718452297859</c:v>
                </c:pt>
                <c:pt idx="67">
                  <c:v>0.77827990877257336</c:v>
                </c:pt>
                <c:pt idx="68">
                  <c:v>0.60076567012912441</c:v>
                </c:pt>
                <c:pt idx="69">
                  <c:v>-0.18075130629243685</c:v>
                </c:pt>
                <c:pt idx="70">
                  <c:v>0.44029854674594621</c:v>
                </c:pt>
                <c:pt idx="71">
                  <c:v>0.10687636579900711</c:v>
                </c:pt>
                <c:pt idx="72">
                  <c:v>1.0332282614304664</c:v>
                </c:pt>
                <c:pt idx="73">
                  <c:v>0.68563252027725452</c:v>
                </c:pt>
                <c:pt idx="74">
                  <c:v>0.20400438741751836</c:v>
                </c:pt>
                <c:pt idx="75">
                  <c:v>0.17294713760890018</c:v>
                </c:pt>
                <c:pt idx="76">
                  <c:v>0.4609802935921184</c:v>
                </c:pt>
                <c:pt idx="77">
                  <c:v>0.52091876820082061</c:v>
                </c:pt>
                <c:pt idx="78">
                  <c:v>0.21205204061694904</c:v>
                </c:pt>
                <c:pt idx="79">
                  <c:v>0.53551895405786021</c:v>
                </c:pt>
                <c:pt idx="80">
                  <c:v>1.6164878831460183</c:v>
                </c:pt>
                <c:pt idx="81">
                  <c:v>1.4049055151041752</c:v>
                </c:pt>
                <c:pt idx="82">
                  <c:v>1.1468262099287301</c:v>
                </c:pt>
                <c:pt idx="83">
                  <c:v>0.73639749503232454</c:v>
                </c:pt>
                <c:pt idx="84">
                  <c:v>1.1157495562663446</c:v>
                </c:pt>
                <c:pt idx="85">
                  <c:v>0.31668652589907115</c:v>
                </c:pt>
                <c:pt idx="86">
                  <c:v>1.3730269066342957</c:v>
                </c:pt>
                <c:pt idx="87">
                  <c:v>-6.9605259862402846E-2</c:v>
                </c:pt>
                <c:pt idx="88">
                  <c:v>1.2199739234029354</c:v>
                </c:pt>
                <c:pt idx="89">
                  <c:v>0.41336858401661408</c:v>
                </c:pt>
                <c:pt idx="90">
                  <c:v>0.76023226662262366</c:v>
                </c:pt>
                <c:pt idx="91">
                  <c:v>0.7663370945025384</c:v>
                </c:pt>
                <c:pt idx="92">
                  <c:v>0.49404437711683263</c:v>
                </c:pt>
                <c:pt idx="93">
                  <c:v>1.3924235286503444</c:v>
                </c:pt>
                <c:pt idx="94">
                  <c:v>0.4720222517503454</c:v>
                </c:pt>
                <c:pt idx="95">
                  <c:v>0.60383871362089969</c:v>
                </c:pt>
                <c:pt idx="96">
                  <c:v>0.22191448851870044</c:v>
                </c:pt>
                <c:pt idx="97">
                  <c:v>1.1874049169349432</c:v>
                </c:pt>
                <c:pt idx="98">
                  <c:v>1.2192996359501218</c:v>
                </c:pt>
                <c:pt idx="99">
                  <c:v>0.75091150949621976</c:v>
                </c:pt>
                <c:pt idx="100">
                  <c:v>1.3301300573150898</c:v>
                </c:pt>
                <c:pt idx="101">
                  <c:v>1.0687359701851182</c:v>
                </c:pt>
                <c:pt idx="102">
                  <c:v>2.0169347808105611</c:v>
                </c:pt>
                <c:pt idx="103">
                  <c:v>1.0090419052675974</c:v>
                </c:pt>
                <c:pt idx="104">
                  <c:v>1.4044576937180682</c:v>
                </c:pt>
                <c:pt idx="105">
                  <c:v>1.4317873100606597</c:v>
                </c:pt>
                <c:pt idx="106">
                  <c:v>0.19435398564507633</c:v>
                </c:pt>
                <c:pt idx="107">
                  <c:v>1.512159251424319</c:v>
                </c:pt>
                <c:pt idx="108">
                  <c:v>0.99019421873633595</c:v>
                </c:pt>
                <c:pt idx="109">
                  <c:v>0.99191890006122851</c:v>
                </c:pt>
                <c:pt idx="110">
                  <c:v>1.9713580285242962</c:v>
                </c:pt>
                <c:pt idx="111">
                  <c:v>1.8074590785781208</c:v>
                </c:pt>
                <c:pt idx="112">
                  <c:v>0.18571405320493739</c:v>
                </c:pt>
                <c:pt idx="113">
                  <c:v>0.40724040833089686</c:v>
                </c:pt>
                <c:pt idx="114">
                  <c:v>0.73853015335775685</c:v>
                </c:pt>
                <c:pt idx="115">
                  <c:v>0.89360099953127303</c:v>
                </c:pt>
                <c:pt idx="116">
                  <c:v>0.34140286038469747</c:v>
                </c:pt>
                <c:pt idx="117">
                  <c:v>0.82299498762010703</c:v>
                </c:pt>
                <c:pt idx="118">
                  <c:v>0.60396375739276653</c:v>
                </c:pt>
                <c:pt idx="119">
                  <c:v>0.78965994390583971</c:v>
                </c:pt>
                <c:pt idx="120">
                  <c:v>1.0694993213278343</c:v>
                </c:pt>
                <c:pt idx="121">
                  <c:v>0.58759830574768634</c:v>
                </c:pt>
                <c:pt idx="122">
                  <c:v>0.43172980505179137</c:v>
                </c:pt>
                <c:pt idx="123">
                  <c:v>0.82390721401425759</c:v>
                </c:pt>
                <c:pt idx="124">
                  <c:v>0.57038396404501113</c:v>
                </c:pt>
                <c:pt idx="125">
                  <c:v>0.35719324927570489</c:v>
                </c:pt>
                <c:pt idx="126">
                  <c:v>0.67110094866545889</c:v>
                </c:pt>
                <c:pt idx="127">
                  <c:v>1.1050681986162552</c:v>
                </c:pt>
                <c:pt idx="128">
                  <c:v>0.92607014062570481</c:v>
                </c:pt>
                <c:pt idx="129">
                  <c:v>1.3353751313187716</c:v>
                </c:pt>
                <c:pt idx="130">
                  <c:v>0.29323361849720653</c:v>
                </c:pt>
                <c:pt idx="131">
                  <c:v>0.61602270378190949</c:v>
                </c:pt>
                <c:pt idx="132">
                  <c:v>0.77678750028024401</c:v>
                </c:pt>
                <c:pt idx="133">
                  <c:v>1.2692701857960151</c:v>
                </c:pt>
                <c:pt idx="134">
                  <c:v>0.12261779006631246</c:v>
                </c:pt>
                <c:pt idx="135">
                  <c:v>0.76633478591091309</c:v>
                </c:pt>
                <c:pt idx="136">
                  <c:v>0.13043409791451388</c:v>
                </c:pt>
                <c:pt idx="137">
                  <c:v>0.51824542808857099</c:v>
                </c:pt>
                <c:pt idx="138">
                  <c:v>6.5147993370875734E-2</c:v>
                </c:pt>
                <c:pt idx="139">
                  <c:v>1.3249186725095363</c:v>
                </c:pt>
                <c:pt idx="140">
                  <c:v>0.44651463100271727</c:v>
                </c:pt>
                <c:pt idx="141">
                  <c:v>-0.25087360296200578</c:v>
                </c:pt>
                <c:pt idx="142">
                  <c:v>-0.16062455407005172</c:v>
                </c:pt>
                <c:pt idx="143">
                  <c:v>-0.18040901445731322</c:v>
                </c:pt>
                <c:pt idx="144">
                  <c:v>0.73615239130538523</c:v>
                </c:pt>
                <c:pt idx="145">
                  <c:v>9.5447479125178591E-2</c:v>
                </c:pt>
                <c:pt idx="146">
                  <c:v>1.6266389136020445</c:v>
                </c:pt>
                <c:pt idx="147">
                  <c:v>0.19354895874316136</c:v>
                </c:pt>
                <c:pt idx="148">
                  <c:v>0.64155474857713202</c:v>
                </c:pt>
                <c:pt idx="149">
                  <c:v>-1.0301781069591565</c:v>
                </c:pt>
                <c:pt idx="150">
                  <c:v>1.3581782072923683</c:v>
                </c:pt>
                <c:pt idx="151">
                  <c:v>0.16545055598148983</c:v>
                </c:pt>
                <c:pt idx="152">
                  <c:v>0.3129059052531461</c:v>
                </c:pt>
                <c:pt idx="153">
                  <c:v>0.5997664587408722</c:v>
                </c:pt>
                <c:pt idx="154">
                  <c:v>0.52622817701111824</c:v>
                </c:pt>
                <c:pt idx="155">
                  <c:v>-0.41736446938611105</c:v>
                </c:pt>
                <c:pt idx="156">
                  <c:v>3.5782808532788257E-2</c:v>
                </c:pt>
                <c:pt idx="157">
                  <c:v>0.35299742234791154</c:v>
                </c:pt>
                <c:pt idx="158">
                  <c:v>0.81133428934272733</c:v>
                </c:pt>
                <c:pt idx="159">
                  <c:v>0.56522019761779196</c:v>
                </c:pt>
                <c:pt idx="160">
                  <c:v>0.2088514448438486</c:v>
                </c:pt>
                <c:pt idx="161">
                  <c:v>1.2832480251890708</c:v>
                </c:pt>
                <c:pt idx="162">
                  <c:v>0.81717665309617715</c:v>
                </c:pt>
                <c:pt idx="163">
                  <c:v>0.30137259982435999</c:v>
                </c:pt>
                <c:pt idx="164">
                  <c:v>0.32661082620397669</c:v>
                </c:pt>
                <c:pt idx="165">
                  <c:v>0.66694512714608689</c:v>
                </c:pt>
                <c:pt idx="166">
                  <c:v>0.50900748273509011</c:v>
                </c:pt>
                <c:pt idx="167">
                  <c:v>0.35275343993219471</c:v>
                </c:pt>
                <c:pt idx="168">
                  <c:v>0.78260784498834857</c:v>
                </c:pt>
                <c:pt idx="169">
                  <c:v>0.43130673887318749</c:v>
                </c:pt>
                <c:pt idx="170">
                  <c:v>0.80683242698703972</c:v>
                </c:pt>
                <c:pt idx="171">
                  <c:v>0.54887740973349242</c:v>
                </c:pt>
                <c:pt idx="172">
                  <c:v>0.59433928017356585</c:v>
                </c:pt>
                <c:pt idx="173">
                  <c:v>0.84112084835398859</c:v>
                </c:pt>
                <c:pt idx="174">
                  <c:v>9.9852078918255538E-4</c:v>
                </c:pt>
                <c:pt idx="175">
                  <c:v>-0.18704993351869137</c:v>
                </c:pt>
                <c:pt idx="176">
                  <c:v>0.24954732526629331</c:v>
                </c:pt>
                <c:pt idx="177">
                  <c:v>0.104246893223988</c:v>
                </c:pt>
                <c:pt idx="178">
                  <c:v>0.27550783444425175</c:v>
                </c:pt>
                <c:pt idx="179">
                  <c:v>-0.21306215789153282</c:v>
                </c:pt>
                <c:pt idx="180">
                  <c:v>-0.35460395750978579</c:v>
                </c:pt>
                <c:pt idx="181">
                  <c:v>0.62434426013261923</c:v>
                </c:pt>
                <c:pt idx="182">
                  <c:v>1.3031720985428787</c:v>
                </c:pt>
                <c:pt idx="183">
                  <c:v>0.68707928096112703</c:v>
                </c:pt>
                <c:pt idx="184">
                  <c:v>1.4775442995723453</c:v>
                </c:pt>
                <c:pt idx="185">
                  <c:v>0.84668635735576181</c:v>
                </c:pt>
                <c:pt idx="186">
                  <c:v>1.3929692457649954</c:v>
                </c:pt>
                <c:pt idx="187">
                  <c:v>1.1739063801421872</c:v>
                </c:pt>
                <c:pt idx="188">
                  <c:v>0.75520153458184491</c:v>
                </c:pt>
                <c:pt idx="189">
                  <c:v>0.51390296814375735</c:v>
                </c:pt>
                <c:pt idx="190">
                  <c:v>0.48513323110094986</c:v>
                </c:pt>
                <c:pt idx="191">
                  <c:v>1.2942136851114072</c:v>
                </c:pt>
                <c:pt idx="192">
                  <c:v>1.1009663254825881</c:v>
                </c:pt>
                <c:pt idx="193">
                  <c:v>0.41045675961892114</c:v>
                </c:pt>
                <c:pt idx="194">
                  <c:v>0.89736152721213447</c:v>
                </c:pt>
                <c:pt idx="195">
                  <c:v>0.30384204315406893</c:v>
                </c:pt>
                <c:pt idx="196">
                  <c:v>1.2724110647905722</c:v>
                </c:pt>
                <c:pt idx="197">
                  <c:v>0.63445502694999034</c:v>
                </c:pt>
                <c:pt idx="198">
                  <c:v>-9.0278421505641915E-2</c:v>
                </c:pt>
                <c:pt idx="199">
                  <c:v>0.26713061765124713</c:v>
                </c:pt>
                <c:pt idx="200">
                  <c:v>0.39450839036691998</c:v>
                </c:pt>
                <c:pt idx="201">
                  <c:v>0.80164149498779369</c:v>
                </c:pt>
                <c:pt idx="202">
                  <c:v>1.6959810827424349</c:v>
                </c:pt>
                <c:pt idx="203">
                  <c:v>1.4801971611861335</c:v>
                </c:pt>
                <c:pt idx="204">
                  <c:v>1.4674486392709722</c:v>
                </c:pt>
                <c:pt idx="205">
                  <c:v>0.96170631890921232</c:v>
                </c:pt>
                <c:pt idx="206">
                  <c:v>0.67234450335486862</c:v>
                </c:pt>
                <c:pt idx="207">
                  <c:v>0.64402664267112197</c:v>
                </c:pt>
                <c:pt idx="208">
                  <c:v>0.45798316393326399</c:v>
                </c:pt>
                <c:pt idx="209">
                  <c:v>-0.16602453750519641</c:v>
                </c:pt>
                <c:pt idx="210">
                  <c:v>0.11955050726034977</c:v>
                </c:pt>
                <c:pt idx="211">
                  <c:v>0.58796103255232512</c:v>
                </c:pt>
                <c:pt idx="212">
                  <c:v>0.79426560335844676</c:v>
                </c:pt>
                <c:pt idx="213">
                  <c:v>1.0503301964695624</c:v>
                </c:pt>
                <c:pt idx="214">
                  <c:v>-0.39940499146896241</c:v>
                </c:pt>
                <c:pt idx="215">
                  <c:v>0.68909813038949597</c:v>
                </c:pt>
                <c:pt idx="216">
                  <c:v>0.32057697179681954</c:v>
                </c:pt>
                <c:pt idx="217">
                  <c:v>0.61467697825511891</c:v>
                </c:pt>
                <c:pt idx="218">
                  <c:v>-0.25669165799718602</c:v>
                </c:pt>
                <c:pt idx="219">
                  <c:v>0.59559684176143091</c:v>
                </c:pt>
                <c:pt idx="220">
                  <c:v>0.5938516967526648</c:v>
                </c:pt>
                <c:pt idx="221">
                  <c:v>0.98428867116919938</c:v>
                </c:pt>
                <c:pt idx="222">
                  <c:v>1.7410238415057067</c:v>
                </c:pt>
                <c:pt idx="223">
                  <c:v>0.48292329231240927</c:v>
                </c:pt>
                <c:pt idx="224">
                  <c:v>0.44780641485866307</c:v>
                </c:pt>
                <c:pt idx="225">
                  <c:v>0.35962996628178706</c:v>
                </c:pt>
                <c:pt idx="226">
                  <c:v>-0.39543405878750065</c:v>
                </c:pt>
                <c:pt idx="227">
                  <c:v>0.22017385628002575</c:v>
                </c:pt>
                <c:pt idx="228">
                  <c:v>-1.1039275835613775</c:v>
                </c:pt>
                <c:pt idx="229">
                  <c:v>-0.46808310893742222</c:v>
                </c:pt>
                <c:pt idx="230">
                  <c:v>-0.76151055595668293</c:v>
                </c:pt>
                <c:pt idx="231">
                  <c:v>-0.53406409352932216</c:v>
                </c:pt>
                <c:pt idx="232">
                  <c:v>0.50351420041817829</c:v>
                </c:pt>
                <c:pt idx="233">
                  <c:v>2.7302821251279336E-2</c:v>
                </c:pt>
                <c:pt idx="234">
                  <c:v>0.58661384661221794</c:v>
                </c:pt>
                <c:pt idx="235">
                  <c:v>0.20877838586858449</c:v>
                </c:pt>
                <c:pt idx="236">
                  <c:v>0.46795844864544406</c:v>
                </c:pt>
                <c:pt idx="237">
                  <c:v>0.72302759234201841</c:v>
                </c:pt>
                <c:pt idx="238">
                  <c:v>0.55366263874924182</c:v>
                </c:pt>
                <c:pt idx="239">
                  <c:v>0.99717709745734728</c:v>
                </c:pt>
                <c:pt idx="240">
                  <c:v>0.91701712140988345</c:v>
                </c:pt>
                <c:pt idx="241">
                  <c:v>1.7455976011902214</c:v>
                </c:pt>
                <c:pt idx="242">
                  <c:v>1.2930584877488827</c:v>
                </c:pt>
                <c:pt idx="243">
                  <c:v>0.51389512282410155</c:v>
                </c:pt>
                <c:pt idx="244">
                  <c:v>1.0328033472068248</c:v>
                </c:pt>
                <c:pt idx="245">
                  <c:v>0.15326227270094894</c:v>
                </c:pt>
                <c:pt idx="246">
                  <c:v>0.6864542754989027</c:v>
                </c:pt>
                <c:pt idx="247">
                  <c:v>0.64815422043669035</c:v>
                </c:pt>
                <c:pt idx="248">
                  <c:v>0.60516156180438396</c:v>
                </c:pt>
                <c:pt idx="249">
                  <c:v>0.65643933754328421</c:v>
                </c:pt>
                <c:pt idx="250">
                  <c:v>0.14847883410516038</c:v>
                </c:pt>
                <c:pt idx="251">
                  <c:v>6.7359948774806444E-2</c:v>
                </c:pt>
                <c:pt idx="252">
                  <c:v>0.55804724422921403</c:v>
                </c:pt>
                <c:pt idx="253">
                  <c:v>0.78267540730919094</c:v>
                </c:pt>
                <c:pt idx="254">
                  <c:v>0.53414700582258878</c:v>
                </c:pt>
                <c:pt idx="255">
                  <c:v>0.23673996817674392</c:v>
                </c:pt>
                <c:pt idx="256">
                  <c:v>-0.15862771657611019</c:v>
                </c:pt>
                <c:pt idx="257">
                  <c:v>0.25985624190009976</c:v>
                </c:pt>
                <c:pt idx="258">
                  <c:v>7.6453327783772285E-2</c:v>
                </c:pt>
                <c:pt idx="259">
                  <c:v>0.58383115454298984</c:v>
                </c:pt>
                <c:pt idx="260">
                  <c:v>1.1410052346261188</c:v>
                </c:pt>
                <c:pt idx="261">
                  <c:v>0.88330291971028618</c:v>
                </c:pt>
                <c:pt idx="262">
                  <c:v>0.39003390188172266</c:v>
                </c:pt>
                <c:pt idx="263">
                  <c:v>0.92757632833072434</c:v>
                </c:pt>
                <c:pt idx="264">
                  <c:v>1.6029814453796831</c:v>
                </c:pt>
                <c:pt idx="265">
                  <c:v>1.1741179757359272</c:v>
                </c:pt>
                <c:pt idx="266">
                  <c:v>1.789923120615188</c:v>
                </c:pt>
                <c:pt idx="267">
                  <c:v>0.47567533328815381</c:v>
                </c:pt>
                <c:pt idx="268">
                  <c:v>0.85683497408421294</c:v>
                </c:pt>
                <c:pt idx="269">
                  <c:v>6.0167873899742208E-2</c:v>
                </c:pt>
                <c:pt idx="270">
                  <c:v>0.41939583950206039</c:v>
                </c:pt>
                <c:pt idx="271">
                  <c:v>-0.21317822178891987</c:v>
                </c:pt>
                <c:pt idx="272">
                  <c:v>0.77728667925430583</c:v>
                </c:pt>
                <c:pt idx="273">
                  <c:v>4.829708215715145E-2</c:v>
                </c:pt>
                <c:pt idx="274">
                  <c:v>0.3951082266777135</c:v>
                </c:pt>
                <c:pt idx="275">
                  <c:v>0.73895693378525862</c:v>
                </c:pt>
                <c:pt idx="276">
                  <c:v>0.69125090758125252</c:v>
                </c:pt>
                <c:pt idx="277">
                  <c:v>1.2424731533681588</c:v>
                </c:pt>
                <c:pt idx="278">
                  <c:v>1.1076800322921718</c:v>
                </c:pt>
                <c:pt idx="279">
                  <c:v>0.99313095031357501</c:v>
                </c:pt>
                <c:pt idx="280">
                  <c:v>1.1084946715023813</c:v>
                </c:pt>
                <c:pt idx="281">
                  <c:v>0.79635847480121069</c:v>
                </c:pt>
                <c:pt idx="282">
                  <c:v>1.1160715243962784</c:v>
                </c:pt>
                <c:pt idx="283">
                  <c:v>1.157696053280254</c:v>
                </c:pt>
                <c:pt idx="284">
                  <c:v>0.35519248564754247</c:v>
                </c:pt>
                <c:pt idx="285">
                  <c:v>0.44964581242167978</c:v>
                </c:pt>
                <c:pt idx="286">
                  <c:v>0.77404843758914721</c:v>
                </c:pt>
                <c:pt idx="287">
                  <c:v>1.2529119736492047</c:v>
                </c:pt>
                <c:pt idx="288">
                  <c:v>0.29340055631951939</c:v>
                </c:pt>
                <c:pt idx="289">
                  <c:v>-0.19400777220425747</c:v>
                </c:pt>
                <c:pt idx="290">
                  <c:v>-1.6043572792325322E-2</c:v>
                </c:pt>
                <c:pt idx="291">
                  <c:v>0.40632083619414355</c:v>
                </c:pt>
                <c:pt idx="292">
                  <c:v>-0.15792972658598653</c:v>
                </c:pt>
                <c:pt idx="293">
                  <c:v>-0.50174097953272256</c:v>
                </c:pt>
                <c:pt idx="294">
                  <c:v>0.34970656289900193</c:v>
                </c:pt>
                <c:pt idx="295">
                  <c:v>-0.13581803179783519</c:v>
                </c:pt>
                <c:pt idx="296">
                  <c:v>0.41952771953836721</c:v>
                </c:pt>
                <c:pt idx="297">
                  <c:v>0.67166301189141886</c:v>
                </c:pt>
                <c:pt idx="298">
                  <c:v>0.36391509717191495</c:v>
                </c:pt>
                <c:pt idx="299">
                  <c:v>0.68724647358883906</c:v>
                </c:pt>
                <c:pt idx="300">
                  <c:v>0.54249778232840584</c:v>
                </c:pt>
                <c:pt idx="301">
                  <c:v>1.3859517597839592</c:v>
                </c:pt>
                <c:pt idx="302">
                  <c:v>0.47305782270006047</c:v>
                </c:pt>
                <c:pt idx="303">
                  <c:v>0.96462078829420994</c:v>
                </c:pt>
                <c:pt idx="304">
                  <c:v>0.44841344330213739</c:v>
                </c:pt>
                <c:pt idx="305">
                  <c:v>0.7990843916540632</c:v>
                </c:pt>
                <c:pt idx="306">
                  <c:v>0.89424320717516759</c:v>
                </c:pt>
                <c:pt idx="307">
                  <c:v>1.0673869421060598</c:v>
                </c:pt>
                <c:pt idx="308">
                  <c:v>1.0961795510948917</c:v>
                </c:pt>
                <c:pt idx="309">
                  <c:v>0.72273481159752773</c:v>
                </c:pt>
                <c:pt idx="310">
                  <c:v>0.46481185532726765</c:v>
                </c:pt>
                <c:pt idx="311">
                  <c:v>0.56557951951872043</c:v>
                </c:pt>
                <c:pt idx="312">
                  <c:v>-0.31032302254536503</c:v>
                </c:pt>
                <c:pt idx="313">
                  <c:v>0.20429264470238018</c:v>
                </c:pt>
                <c:pt idx="314">
                  <c:v>0.26079125159036021</c:v>
                </c:pt>
                <c:pt idx="315">
                  <c:v>0.22873703765608527</c:v>
                </c:pt>
                <c:pt idx="316">
                  <c:v>0.5478897816085011</c:v>
                </c:pt>
                <c:pt idx="317">
                  <c:v>0.43393851279353962</c:v>
                </c:pt>
                <c:pt idx="318">
                  <c:v>1.1063308182573484</c:v>
                </c:pt>
                <c:pt idx="319">
                  <c:v>0.88173072321266377</c:v>
                </c:pt>
                <c:pt idx="320">
                  <c:v>1.0847348561066426</c:v>
                </c:pt>
                <c:pt idx="321">
                  <c:v>0.40712670666283735</c:v>
                </c:pt>
                <c:pt idx="322">
                  <c:v>-7.865218360566234E-2</c:v>
                </c:pt>
                <c:pt idx="323">
                  <c:v>-0.37411766735414587</c:v>
                </c:pt>
                <c:pt idx="324">
                  <c:v>1.0355764617749739</c:v>
                </c:pt>
                <c:pt idx="325">
                  <c:v>1.1699772513836471E-2</c:v>
                </c:pt>
                <c:pt idx="326">
                  <c:v>0.99628580615089035</c:v>
                </c:pt>
                <c:pt idx="327">
                  <c:v>1.1889372081604146</c:v>
                </c:pt>
                <c:pt idx="328">
                  <c:v>0.26520295395173787</c:v>
                </c:pt>
                <c:pt idx="329">
                  <c:v>1.2390130303244569</c:v>
                </c:pt>
                <c:pt idx="330">
                  <c:v>0.6027770940235142</c:v>
                </c:pt>
                <c:pt idx="331">
                  <c:v>1.0310539724017582</c:v>
                </c:pt>
                <c:pt idx="332">
                  <c:v>1.2484987353961334</c:v>
                </c:pt>
                <c:pt idx="333">
                  <c:v>0.34712144900244157</c:v>
                </c:pt>
                <c:pt idx="334">
                  <c:v>7.942639641863658E-2</c:v>
                </c:pt>
                <c:pt idx="335">
                  <c:v>0.74959570626695116</c:v>
                </c:pt>
                <c:pt idx="336">
                  <c:v>0.87545448413239546</c:v>
                </c:pt>
                <c:pt idx="337">
                  <c:v>0.67214853164734301</c:v>
                </c:pt>
                <c:pt idx="338">
                  <c:v>1.1637052055974513</c:v>
                </c:pt>
                <c:pt idx="339">
                  <c:v>1.2657122136069681</c:v>
                </c:pt>
                <c:pt idx="340">
                  <c:v>0.72321066442479653</c:v>
                </c:pt>
                <c:pt idx="341">
                  <c:v>1.4199696996600282</c:v>
                </c:pt>
                <c:pt idx="342">
                  <c:v>1.2536113455056761</c:v>
                </c:pt>
                <c:pt idx="343">
                  <c:v>0.16102103512478938</c:v>
                </c:pt>
                <c:pt idx="344">
                  <c:v>0.66519909219698559</c:v>
                </c:pt>
                <c:pt idx="345">
                  <c:v>1.2811519957452957</c:v>
                </c:pt>
                <c:pt idx="346">
                  <c:v>0.61655087647419282</c:v>
                </c:pt>
                <c:pt idx="347">
                  <c:v>0.33548718958623219</c:v>
                </c:pt>
                <c:pt idx="348">
                  <c:v>1.2505914373750855</c:v>
                </c:pt>
                <c:pt idx="349">
                  <c:v>0.51470888908445711</c:v>
                </c:pt>
                <c:pt idx="350">
                  <c:v>1.09702472627928</c:v>
                </c:pt>
                <c:pt idx="351">
                  <c:v>0.78420195779527568</c:v>
                </c:pt>
                <c:pt idx="352">
                  <c:v>0.27468414857760104</c:v>
                </c:pt>
                <c:pt idx="353">
                  <c:v>0.39723990409311816</c:v>
                </c:pt>
                <c:pt idx="354">
                  <c:v>0.72812443942411331</c:v>
                </c:pt>
                <c:pt idx="355">
                  <c:v>0.58821972974205605</c:v>
                </c:pt>
                <c:pt idx="356">
                  <c:v>0.94528532533845744</c:v>
                </c:pt>
                <c:pt idx="357">
                  <c:v>0.56547334268197691</c:v>
                </c:pt>
                <c:pt idx="358">
                  <c:v>0.28821159809496599</c:v>
                </c:pt>
                <c:pt idx="359">
                  <c:v>0.5660546001497172</c:v>
                </c:pt>
                <c:pt idx="360">
                  <c:v>-0.33474594464998586</c:v>
                </c:pt>
                <c:pt idx="361">
                  <c:v>0.3315466810156158</c:v>
                </c:pt>
                <c:pt idx="362">
                  <c:v>0.51694173324230408</c:v>
                </c:pt>
                <c:pt idx="363">
                  <c:v>0.76564078434504101</c:v>
                </c:pt>
                <c:pt idx="364">
                  <c:v>4.7812202245233471E-2</c:v>
                </c:pt>
                <c:pt idx="365">
                  <c:v>0.24080041594489013</c:v>
                </c:pt>
                <c:pt idx="366">
                  <c:v>1.0977353856800804</c:v>
                </c:pt>
                <c:pt idx="367">
                  <c:v>0.70754826110556468</c:v>
                </c:pt>
                <c:pt idx="368">
                  <c:v>0.27618748990891628</c:v>
                </c:pt>
                <c:pt idx="369">
                  <c:v>-2.335768154657214E-2</c:v>
                </c:pt>
                <c:pt idx="370">
                  <c:v>0.42741065927671734</c:v>
                </c:pt>
                <c:pt idx="371">
                  <c:v>0.84178226705827708</c:v>
                </c:pt>
                <c:pt idx="372">
                  <c:v>0.91403683227293997</c:v>
                </c:pt>
                <c:pt idx="373">
                  <c:v>0.8718805179665019</c:v>
                </c:pt>
                <c:pt idx="374">
                  <c:v>1.7157204429340793</c:v>
                </c:pt>
                <c:pt idx="375">
                  <c:v>0.80680180780165955</c:v>
                </c:pt>
                <c:pt idx="376">
                  <c:v>6.4128728891624576E-2</c:v>
                </c:pt>
                <c:pt idx="377">
                  <c:v>0.44230803638227822</c:v>
                </c:pt>
                <c:pt idx="378">
                  <c:v>0.76209788790407773</c:v>
                </c:pt>
                <c:pt idx="379">
                  <c:v>1.2932843766785975</c:v>
                </c:pt>
                <c:pt idx="380">
                  <c:v>0.11542497479163549</c:v>
                </c:pt>
                <c:pt idx="381">
                  <c:v>0.79115174406395328</c:v>
                </c:pt>
                <c:pt idx="382">
                  <c:v>0.73137264196557705</c:v>
                </c:pt>
                <c:pt idx="383">
                  <c:v>0.77326013593279297</c:v>
                </c:pt>
                <c:pt idx="384">
                  <c:v>-6.5090548129578485E-2</c:v>
                </c:pt>
                <c:pt idx="385">
                  <c:v>0.61813795447415265</c:v>
                </c:pt>
                <c:pt idx="386">
                  <c:v>0.87647737455661889</c:v>
                </c:pt>
                <c:pt idx="387">
                  <c:v>0.47517498059345353</c:v>
                </c:pt>
                <c:pt idx="388">
                  <c:v>0.83889835874196539</c:v>
                </c:pt>
                <c:pt idx="389">
                  <c:v>1.0180601731828496</c:v>
                </c:pt>
                <c:pt idx="390">
                  <c:v>0.10892106468653423</c:v>
                </c:pt>
                <c:pt idx="391">
                  <c:v>0.91865851912423646</c:v>
                </c:pt>
                <c:pt idx="392">
                  <c:v>0.76533501702830153</c:v>
                </c:pt>
                <c:pt idx="393">
                  <c:v>7.7536974587220975E-2</c:v>
                </c:pt>
                <c:pt idx="394">
                  <c:v>0.50162838009755273</c:v>
                </c:pt>
                <c:pt idx="395">
                  <c:v>0.24996317942276947</c:v>
                </c:pt>
                <c:pt idx="396">
                  <c:v>0.79379287763040507</c:v>
                </c:pt>
                <c:pt idx="397">
                  <c:v>1.4577702415735996</c:v>
                </c:pt>
                <c:pt idx="398">
                  <c:v>0.11345797158986756</c:v>
                </c:pt>
                <c:pt idx="399">
                  <c:v>1.061330922321877</c:v>
                </c:pt>
                <c:pt idx="400">
                  <c:v>0.66736087954173384</c:v>
                </c:pt>
                <c:pt idx="401">
                  <c:v>-0.99261837645504525</c:v>
                </c:pt>
                <c:pt idx="402">
                  <c:v>0.12887528005895388</c:v>
                </c:pt>
                <c:pt idx="403">
                  <c:v>-0.14772614805305878</c:v>
                </c:pt>
                <c:pt idx="404">
                  <c:v>0.18379898327022048</c:v>
                </c:pt>
                <c:pt idx="405">
                  <c:v>-0.66104438275277622</c:v>
                </c:pt>
                <c:pt idx="406">
                  <c:v>0.10774064122934712</c:v>
                </c:pt>
                <c:pt idx="407">
                  <c:v>-0.27093306790061483</c:v>
                </c:pt>
                <c:pt idx="408">
                  <c:v>-0.73125004878149147</c:v>
                </c:pt>
                <c:pt idx="409">
                  <c:v>-0.36758457959811514</c:v>
                </c:pt>
                <c:pt idx="410">
                  <c:v>-1.1604864176491005</c:v>
                </c:pt>
                <c:pt idx="411">
                  <c:v>-1.0073687115700425</c:v>
                </c:pt>
                <c:pt idx="412">
                  <c:v>-1.2664661346885657</c:v>
                </c:pt>
                <c:pt idx="413">
                  <c:v>0.23573212125380222</c:v>
                </c:pt>
                <c:pt idx="414">
                  <c:v>3.4869205343269316E-2</c:v>
                </c:pt>
                <c:pt idx="415">
                  <c:v>0.22702347311836818</c:v>
                </c:pt>
                <c:pt idx="416">
                  <c:v>0.80443297176285111</c:v>
                </c:pt>
                <c:pt idx="417">
                  <c:v>-0.28181622523601785</c:v>
                </c:pt>
                <c:pt idx="418">
                  <c:v>0.35472700611529545</c:v>
                </c:pt>
                <c:pt idx="419">
                  <c:v>0.8461593466983528</c:v>
                </c:pt>
                <c:pt idx="420">
                  <c:v>0.33780293294091107</c:v>
                </c:pt>
                <c:pt idx="421">
                  <c:v>0.70525029636828585</c:v>
                </c:pt>
                <c:pt idx="422">
                  <c:v>0.68989505771106396</c:v>
                </c:pt>
                <c:pt idx="423">
                  <c:v>0.98805226676544</c:v>
                </c:pt>
                <c:pt idx="424">
                  <c:v>1.5076350625358479</c:v>
                </c:pt>
                <c:pt idx="425">
                  <c:v>0.83900156805691428</c:v>
                </c:pt>
                <c:pt idx="426">
                  <c:v>1.0687381160992584</c:v>
                </c:pt>
                <c:pt idx="427">
                  <c:v>1.4227728566281972</c:v>
                </c:pt>
                <c:pt idx="428">
                  <c:v>1.0446978726119946</c:v>
                </c:pt>
                <c:pt idx="429">
                  <c:v>1.0079516674336189</c:v>
                </c:pt>
                <c:pt idx="430">
                  <c:v>0.83657470993490457</c:v>
                </c:pt>
                <c:pt idx="431">
                  <c:v>0.50551866090772068</c:v>
                </c:pt>
                <c:pt idx="432">
                  <c:v>0.6274280014232998</c:v>
                </c:pt>
                <c:pt idx="433">
                  <c:v>1.0280518773055303</c:v>
                </c:pt>
                <c:pt idx="434">
                  <c:v>1.1831174376018745</c:v>
                </c:pt>
                <c:pt idx="435">
                  <c:v>0.83351767005934696</c:v>
                </c:pt>
                <c:pt idx="436">
                  <c:v>0.33159442775776915</c:v>
                </c:pt>
                <c:pt idx="437">
                  <c:v>2.3333940957214749E-2</c:v>
                </c:pt>
                <c:pt idx="438">
                  <c:v>0.93757171554748364</c:v>
                </c:pt>
                <c:pt idx="439">
                  <c:v>0.41797755625356581</c:v>
                </c:pt>
                <c:pt idx="440">
                  <c:v>-0.11783754916434541</c:v>
                </c:pt>
                <c:pt idx="441">
                  <c:v>0.4853969885000865</c:v>
                </c:pt>
                <c:pt idx="442">
                  <c:v>0.22720204880451877</c:v>
                </c:pt>
                <c:pt idx="443">
                  <c:v>0.7160372278305871</c:v>
                </c:pt>
                <c:pt idx="444">
                  <c:v>0.1654320310667397</c:v>
                </c:pt>
                <c:pt idx="445">
                  <c:v>1.3330394847109823</c:v>
                </c:pt>
                <c:pt idx="446">
                  <c:v>-0.35709716020168303</c:v>
                </c:pt>
                <c:pt idx="447">
                  <c:v>-6.930094958028965E-2</c:v>
                </c:pt>
                <c:pt idx="448">
                  <c:v>0.1771595114811525</c:v>
                </c:pt>
                <c:pt idx="449">
                  <c:v>0.39223698092602377</c:v>
                </c:pt>
                <c:pt idx="450">
                  <c:v>2.138138675046003E-2</c:v>
                </c:pt>
                <c:pt idx="451">
                  <c:v>0.79524526982830634</c:v>
                </c:pt>
                <c:pt idx="452">
                  <c:v>0.54710439698386681</c:v>
                </c:pt>
                <c:pt idx="453">
                  <c:v>1.2426656611232592</c:v>
                </c:pt>
                <c:pt idx="454">
                  <c:v>2.1679894356304299</c:v>
                </c:pt>
                <c:pt idx="455">
                  <c:v>0.574109021831398</c:v>
                </c:pt>
                <c:pt idx="456">
                  <c:v>0.88216895963285191</c:v>
                </c:pt>
                <c:pt idx="457">
                  <c:v>0.67904014528560175</c:v>
                </c:pt>
                <c:pt idx="458">
                  <c:v>0.90497688920157771</c:v>
                </c:pt>
                <c:pt idx="459">
                  <c:v>1.4182619549429938</c:v>
                </c:pt>
                <c:pt idx="460">
                  <c:v>0.83322155967789413</c:v>
                </c:pt>
                <c:pt idx="461">
                  <c:v>0.85437918983579375</c:v>
                </c:pt>
                <c:pt idx="462">
                  <c:v>1.0602577220556901</c:v>
                </c:pt>
                <c:pt idx="463">
                  <c:v>0.15817471949572204</c:v>
                </c:pt>
                <c:pt idx="464">
                  <c:v>0.56941721182078053</c:v>
                </c:pt>
                <c:pt idx="465">
                  <c:v>0.21971939956888714</c:v>
                </c:pt>
                <c:pt idx="466">
                  <c:v>1.1037105372517995</c:v>
                </c:pt>
                <c:pt idx="467">
                  <c:v>1.3139280226877286</c:v>
                </c:pt>
                <c:pt idx="468">
                  <c:v>0.91077274266910679</c:v>
                </c:pt>
                <c:pt idx="469">
                  <c:v>0.40642570421058677</c:v>
                </c:pt>
                <c:pt idx="470">
                  <c:v>0.71066001832762771</c:v>
                </c:pt>
                <c:pt idx="471">
                  <c:v>1.3245098413059402</c:v>
                </c:pt>
                <c:pt idx="472">
                  <c:v>1.624665281373405</c:v>
                </c:pt>
                <c:pt idx="473">
                  <c:v>1.5962024650998181</c:v>
                </c:pt>
                <c:pt idx="474">
                  <c:v>1.483765261825611</c:v>
                </c:pt>
                <c:pt idx="475">
                  <c:v>0.82289009229394283</c:v>
                </c:pt>
                <c:pt idx="476">
                  <c:v>0.86148535749497679</c:v>
                </c:pt>
                <c:pt idx="477">
                  <c:v>0.75551531518888282</c:v>
                </c:pt>
                <c:pt idx="478">
                  <c:v>-0.28316767513875019</c:v>
                </c:pt>
                <c:pt idx="479">
                  <c:v>0.84022251632269795</c:v>
                </c:pt>
                <c:pt idx="480">
                  <c:v>0.17314846793683963</c:v>
                </c:pt>
                <c:pt idx="481">
                  <c:v>1.0225939386346803</c:v>
                </c:pt>
                <c:pt idx="482">
                  <c:v>0.55829393400030636</c:v>
                </c:pt>
                <c:pt idx="483">
                  <c:v>0.23446194268206633</c:v>
                </c:pt>
                <c:pt idx="484">
                  <c:v>2.3100163690603082E-2</c:v>
                </c:pt>
                <c:pt idx="485">
                  <c:v>0.35153859391912851</c:v>
                </c:pt>
                <c:pt idx="486">
                  <c:v>-0.27190820446165381</c:v>
                </c:pt>
                <c:pt idx="487">
                  <c:v>0.61183302860689193</c:v>
                </c:pt>
                <c:pt idx="488">
                  <c:v>0.46768246293832189</c:v>
                </c:pt>
                <c:pt idx="489">
                  <c:v>0.83021714534694713</c:v>
                </c:pt>
                <c:pt idx="490">
                  <c:v>0.73702817310212421</c:v>
                </c:pt>
                <c:pt idx="491">
                  <c:v>0.94297595240671084</c:v>
                </c:pt>
                <c:pt idx="492">
                  <c:v>0.44894192570060654</c:v>
                </c:pt>
                <c:pt idx="493">
                  <c:v>1.0986731067110458</c:v>
                </c:pt>
                <c:pt idx="494">
                  <c:v>0.89523995505038312</c:v>
                </c:pt>
                <c:pt idx="495">
                  <c:v>-6.3771005596729657E-2</c:v>
                </c:pt>
                <c:pt idx="496">
                  <c:v>6.7886313994090952E-2</c:v>
                </c:pt>
                <c:pt idx="497">
                  <c:v>0.90819430695471359</c:v>
                </c:pt>
                <c:pt idx="498">
                  <c:v>0.54506202993922115</c:v>
                </c:pt>
                <c:pt idx="499">
                  <c:v>0.62730705645536355</c:v>
                </c:pt>
                <c:pt idx="500">
                  <c:v>1.3747808945664797</c:v>
                </c:pt>
                <c:pt idx="501">
                  <c:v>1.7670202747636183</c:v>
                </c:pt>
                <c:pt idx="502">
                  <c:v>1.648074519978584</c:v>
                </c:pt>
                <c:pt idx="503">
                  <c:v>1.2314323281831199</c:v>
                </c:pt>
                <c:pt idx="504">
                  <c:v>0.82568329444388755</c:v>
                </c:pt>
                <c:pt idx="505">
                  <c:v>1.3344834072254463</c:v>
                </c:pt>
                <c:pt idx="506">
                  <c:v>-0.12416678272491999</c:v>
                </c:pt>
                <c:pt idx="507">
                  <c:v>0.37375418886576667</c:v>
                </c:pt>
                <c:pt idx="508">
                  <c:v>1.3268952355679744</c:v>
                </c:pt>
                <c:pt idx="509">
                  <c:v>-9.1766070650096565E-2</c:v>
                </c:pt>
                <c:pt idx="510">
                  <c:v>-0.6170226156133386</c:v>
                </c:pt>
                <c:pt idx="511">
                  <c:v>0.78654831003202874</c:v>
                </c:pt>
                <c:pt idx="512">
                  <c:v>7.612630068597015E-2</c:v>
                </c:pt>
                <c:pt idx="513">
                  <c:v>-0.5999132405759362</c:v>
                </c:pt>
                <c:pt idx="514">
                  <c:v>0.28830086563094814</c:v>
                </c:pt>
                <c:pt idx="515">
                  <c:v>0.45181964087763848</c:v>
                </c:pt>
                <c:pt idx="516">
                  <c:v>0.67984467521090208</c:v>
                </c:pt>
                <c:pt idx="517">
                  <c:v>1.8604726890986445</c:v>
                </c:pt>
                <c:pt idx="518">
                  <c:v>0.28653966049180557</c:v>
                </c:pt>
                <c:pt idx="519">
                  <c:v>8.7462882361308947E-2</c:v>
                </c:pt>
                <c:pt idx="520">
                  <c:v>0.30965884465595783</c:v>
                </c:pt>
                <c:pt idx="521">
                  <c:v>0.55682397349041568</c:v>
                </c:pt>
                <c:pt idx="522">
                  <c:v>-3.8283208772223798E-2</c:v>
                </c:pt>
                <c:pt idx="523">
                  <c:v>-0.18488847806958048</c:v>
                </c:pt>
                <c:pt idx="524">
                  <c:v>-0.53340337544670269</c:v>
                </c:pt>
                <c:pt idx="525">
                  <c:v>-0.30528367562307579</c:v>
                </c:pt>
                <c:pt idx="526">
                  <c:v>-0.12711073722941701</c:v>
                </c:pt>
                <c:pt idx="527">
                  <c:v>0.40102068425096038</c:v>
                </c:pt>
                <c:pt idx="528">
                  <c:v>0.27360351449347076</c:v>
                </c:pt>
                <c:pt idx="529">
                  <c:v>-0.38848349820299777</c:v>
                </c:pt>
                <c:pt idx="530">
                  <c:v>0.79248308500050613</c:v>
                </c:pt>
                <c:pt idx="531">
                  <c:v>0.96137968772854898</c:v>
                </c:pt>
                <c:pt idx="532">
                  <c:v>1.5022270321669158</c:v>
                </c:pt>
                <c:pt idx="533">
                  <c:v>1.3466257418415872</c:v>
                </c:pt>
                <c:pt idx="534">
                  <c:v>2.1425052577285828</c:v>
                </c:pt>
                <c:pt idx="535">
                  <c:v>1.1932106853468465</c:v>
                </c:pt>
                <c:pt idx="536">
                  <c:v>1.3321131399316855</c:v>
                </c:pt>
                <c:pt idx="537">
                  <c:v>1.1156540261470158</c:v>
                </c:pt>
                <c:pt idx="538">
                  <c:v>1.3131899824278346</c:v>
                </c:pt>
                <c:pt idx="539">
                  <c:v>0.46574250486733471</c:v>
                </c:pt>
                <c:pt idx="540">
                  <c:v>1.1052658174386312</c:v>
                </c:pt>
                <c:pt idx="541">
                  <c:v>0.6522049459852004</c:v>
                </c:pt>
                <c:pt idx="542">
                  <c:v>1.1361925756287674</c:v>
                </c:pt>
                <c:pt idx="543">
                  <c:v>0.69144026641628831</c:v>
                </c:pt>
                <c:pt idx="544">
                  <c:v>0.49733635213334704</c:v>
                </c:pt>
                <c:pt idx="545">
                  <c:v>0.91228559622579652</c:v>
                </c:pt>
                <c:pt idx="546">
                  <c:v>0.50134727214116448</c:v>
                </c:pt>
                <c:pt idx="547">
                  <c:v>0.43595851993054285</c:v>
                </c:pt>
                <c:pt idx="548">
                  <c:v>0.74369203681181251</c:v>
                </c:pt>
                <c:pt idx="549">
                  <c:v>1.0847037796254484</c:v>
                </c:pt>
                <c:pt idx="550">
                  <c:v>0.93367083789598371</c:v>
                </c:pt>
                <c:pt idx="551">
                  <c:v>1.0624017755732493</c:v>
                </c:pt>
                <c:pt idx="552">
                  <c:v>1.5490165481579334</c:v>
                </c:pt>
                <c:pt idx="553">
                  <c:v>1.2250883917307678</c:v>
                </c:pt>
                <c:pt idx="554">
                  <c:v>0.88598097795146735</c:v>
                </c:pt>
                <c:pt idx="555">
                  <c:v>1.6063021598564193</c:v>
                </c:pt>
                <c:pt idx="556">
                  <c:v>0.63475057461445583</c:v>
                </c:pt>
                <c:pt idx="557">
                  <c:v>1.1248509581760737</c:v>
                </c:pt>
                <c:pt idx="558">
                  <c:v>1.0200244857444967</c:v>
                </c:pt>
                <c:pt idx="559">
                  <c:v>0.49006523761089404</c:v>
                </c:pt>
                <c:pt idx="560">
                  <c:v>-0.19491713885595163</c:v>
                </c:pt>
                <c:pt idx="561">
                  <c:v>0.47776836531567857</c:v>
                </c:pt>
                <c:pt idx="562">
                  <c:v>1.321902117093527</c:v>
                </c:pt>
                <c:pt idx="563">
                  <c:v>0.96897323738458008</c:v>
                </c:pt>
                <c:pt idx="564">
                  <c:v>0.90134083232752749</c:v>
                </c:pt>
                <c:pt idx="565">
                  <c:v>1.2565237481434255</c:v>
                </c:pt>
                <c:pt idx="566">
                  <c:v>0.81727752803045028</c:v>
                </c:pt>
                <c:pt idx="567">
                  <c:v>1.4506518190235618</c:v>
                </c:pt>
                <c:pt idx="568">
                  <c:v>1.6148685066090649</c:v>
                </c:pt>
                <c:pt idx="569">
                  <c:v>0.9078342089614172</c:v>
                </c:pt>
                <c:pt idx="570">
                  <c:v>1.7491816211715618</c:v>
                </c:pt>
                <c:pt idx="571">
                  <c:v>1.0590910044428754</c:v>
                </c:pt>
                <c:pt idx="572">
                  <c:v>1.6109806075591597</c:v>
                </c:pt>
                <c:pt idx="573">
                  <c:v>1.4627143321629681</c:v>
                </c:pt>
                <c:pt idx="574">
                  <c:v>1.3420007373127727</c:v>
                </c:pt>
                <c:pt idx="575">
                  <c:v>0.66200073493666745</c:v>
                </c:pt>
                <c:pt idx="576">
                  <c:v>-3.0147059120221531E-2</c:v>
                </c:pt>
                <c:pt idx="577">
                  <c:v>-0.39391379238614443</c:v>
                </c:pt>
                <c:pt idx="578">
                  <c:v>0.28340240847027565</c:v>
                </c:pt>
                <c:pt idx="579">
                  <c:v>0.54831738898689197</c:v>
                </c:pt>
                <c:pt idx="580">
                  <c:v>0.38769047222384867</c:v>
                </c:pt>
                <c:pt idx="581">
                  <c:v>-0.39603300344567716</c:v>
                </c:pt>
                <c:pt idx="582">
                  <c:v>0.54493102685262906</c:v>
                </c:pt>
                <c:pt idx="583">
                  <c:v>0.52086847594948837</c:v>
                </c:pt>
                <c:pt idx="584">
                  <c:v>1.0128294431396918</c:v>
                </c:pt>
                <c:pt idx="585">
                  <c:v>0.59509526074050623</c:v>
                </c:pt>
                <c:pt idx="586">
                  <c:v>1.3119929224021285</c:v>
                </c:pt>
                <c:pt idx="587">
                  <c:v>1.0530226398385942</c:v>
                </c:pt>
                <c:pt idx="588">
                  <c:v>0.31435682950604948</c:v>
                </c:pt>
                <c:pt idx="589">
                  <c:v>-2.0256778322962132E-2</c:v>
                </c:pt>
                <c:pt idx="590">
                  <c:v>-4.3401303784591116E-2</c:v>
                </c:pt>
                <c:pt idx="591">
                  <c:v>1.8501106185977407</c:v>
                </c:pt>
                <c:pt idx="592">
                  <c:v>0.58066306938059253</c:v>
                </c:pt>
                <c:pt idx="593">
                  <c:v>0.21913472931389802</c:v>
                </c:pt>
                <c:pt idx="594">
                  <c:v>0.27429311155150427</c:v>
                </c:pt>
                <c:pt idx="595">
                  <c:v>0.6938467107379398</c:v>
                </c:pt>
                <c:pt idx="596">
                  <c:v>-0.38609031812114447</c:v>
                </c:pt>
                <c:pt idx="597">
                  <c:v>0.12362838445969163</c:v>
                </c:pt>
                <c:pt idx="598">
                  <c:v>-0.27957943207237512</c:v>
                </c:pt>
              </c:numCache>
            </c:numRef>
          </c:xVal>
          <c:yVal>
            <c:numRef>
              <c:f>calibrate!$AT$4:$AT$2004</c:f>
              <c:numCache>
                <c:formatCode>0.00</c:formatCode>
                <c:ptCount val="2001"/>
                <c:pt idx="0">
                  <c:v>-0.26190997270713695</c:v>
                </c:pt>
                <c:pt idx="1">
                  <c:v>1.4113092746881037E-2</c:v>
                </c:pt>
                <c:pt idx="2">
                  <c:v>-0.15175678101346751</c:v>
                </c:pt>
                <c:pt idx="3">
                  <c:v>0.75278191398753358</c:v>
                </c:pt>
                <c:pt idx="4">
                  <c:v>0.98476412862140195</c:v>
                </c:pt>
                <c:pt idx="5">
                  <c:v>0.59341716063191963</c:v>
                </c:pt>
                <c:pt idx="6">
                  <c:v>0.39218113631153773</c:v>
                </c:pt>
                <c:pt idx="7">
                  <c:v>0.95949669414886252</c:v>
                </c:pt>
                <c:pt idx="8">
                  <c:v>0.96827746884871146</c:v>
                </c:pt>
                <c:pt idx="9">
                  <c:v>0.25950458508158658</c:v>
                </c:pt>
                <c:pt idx="10">
                  <c:v>1.145942622698676</c:v>
                </c:pt>
                <c:pt idx="11">
                  <c:v>1.2750092386340444</c:v>
                </c:pt>
                <c:pt idx="12">
                  <c:v>0.68942607825126179</c:v>
                </c:pt>
                <c:pt idx="13">
                  <c:v>1.5082224789905072</c:v>
                </c:pt>
                <c:pt idx="14">
                  <c:v>0.28641069733656832</c:v>
                </c:pt>
                <c:pt idx="15">
                  <c:v>0.86829046004543198</c:v>
                </c:pt>
                <c:pt idx="16">
                  <c:v>-7.9855979928644905E-2</c:v>
                </c:pt>
                <c:pt idx="17">
                  <c:v>0.91747302569638378</c:v>
                </c:pt>
                <c:pt idx="18">
                  <c:v>0.80161311047582462</c:v>
                </c:pt>
                <c:pt idx="19">
                  <c:v>1.1114799204947241</c:v>
                </c:pt>
                <c:pt idx="20">
                  <c:v>0.86223379520111321</c:v>
                </c:pt>
                <c:pt idx="21">
                  <c:v>0.57107643596755375</c:v>
                </c:pt>
                <c:pt idx="22">
                  <c:v>0.40012851028033863</c:v>
                </c:pt>
                <c:pt idx="23">
                  <c:v>0.10260377786517028</c:v>
                </c:pt>
                <c:pt idx="24">
                  <c:v>0.5739325274173448</c:v>
                </c:pt>
                <c:pt idx="25">
                  <c:v>1.0863440974162155</c:v>
                </c:pt>
                <c:pt idx="26">
                  <c:v>0.20741701827738945</c:v>
                </c:pt>
                <c:pt idx="27">
                  <c:v>0.90801442657521769</c:v>
                </c:pt>
                <c:pt idx="28">
                  <c:v>0.88801397954879646</c:v>
                </c:pt>
                <c:pt idx="29">
                  <c:v>0.30152154781883789</c:v>
                </c:pt>
                <c:pt idx="30">
                  <c:v>-4.1221358081828807E-3</c:v>
                </c:pt>
                <c:pt idx="31">
                  <c:v>-0.27515702259469854</c:v>
                </c:pt>
                <c:pt idx="32">
                  <c:v>0.33262274696642685</c:v>
                </c:pt>
                <c:pt idx="33">
                  <c:v>0.32029725568530754</c:v>
                </c:pt>
                <c:pt idx="34">
                  <c:v>0.90870761609008488</c:v>
                </c:pt>
                <c:pt idx="35">
                  <c:v>1.4180920622071822</c:v>
                </c:pt>
                <c:pt idx="36">
                  <c:v>0.16347159302630832</c:v>
                </c:pt>
                <c:pt idx="37">
                  <c:v>-0.3713672071719738</c:v>
                </c:pt>
                <c:pt idx="38">
                  <c:v>-1.073768032592763</c:v>
                </c:pt>
                <c:pt idx="39">
                  <c:v>-0.5689709088167294</c:v>
                </c:pt>
                <c:pt idx="40">
                  <c:v>-0.21556444933978935</c:v>
                </c:pt>
                <c:pt idx="41">
                  <c:v>0.47236520180615549</c:v>
                </c:pt>
                <c:pt idx="42">
                  <c:v>-0.43413768520693186</c:v>
                </c:pt>
                <c:pt idx="43">
                  <c:v>1.2759044780762809</c:v>
                </c:pt>
                <c:pt idx="44">
                  <c:v>0.6605238116351797</c:v>
                </c:pt>
                <c:pt idx="45">
                  <c:v>1.2052224697752021</c:v>
                </c:pt>
                <c:pt idx="46">
                  <c:v>0.57369455926011437</c:v>
                </c:pt>
                <c:pt idx="47">
                  <c:v>0.86153531244036041</c:v>
                </c:pt>
                <c:pt idx="48">
                  <c:v>4.5867272573187789E-2</c:v>
                </c:pt>
                <c:pt idx="49">
                  <c:v>9.5005919198458411E-2</c:v>
                </c:pt>
                <c:pt idx="50">
                  <c:v>-6.0980997874454657E-2</c:v>
                </c:pt>
                <c:pt idx="51">
                  <c:v>0.13522984936280871</c:v>
                </c:pt>
                <c:pt idx="52">
                  <c:v>-0.12076291630917824</c:v>
                </c:pt>
                <c:pt idx="53">
                  <c:v>-0.19026708376932217</c:v>
                </c:pt>
                <c:pt idx="54">
                  <c:v>0.38732120303670342</c:v>
                </c:pt>
                <c:pt idx="55">
                  <c:v>0.61827598906137138</c:v>
                </c:pt>
                <c:pt idx="56">
                  <c:v>0.657154136308024</c:v>
                </c:pt>
                <c:pt idx="57">
                  <c:v>0.42704832943404103</c:v>
                </c:pt>
                <c:pt idx="58">
                  <c:v>0.55169045541266981</c:v>
                </c:pt>
                <c:pt idx="59">
                  <c:v>0.53996313750670843</c:v>
                </c:pt>
                <c:pt idx="60">
                  <c:v>0.28165356020227184</c:v>
                </c:pt>
                <c:pt idx="61">
                  <c:v>0.73746041900944503</c:v>
                </c:pt>
                <c:pt idx="62">
                  <c:v>0.71447329064976572</c:v>
                </c:pt>
                <c:pt idx="63">
                  <c:v>0.80557575452548136</c:v>
                </c:pt>
                <c:pt idx="64">
                  <c:v>0.72513583790533587</c:v>
                </c:pt>
                <c:pt idx="65">
                  <c:v>0.46097141183686319</c:v>
                </c:pt>
                <c:pt idx="66">
                  <c:v>-0.10441882000749203</c:v>
                </c:pt>
                <c:pt idx="67">
                  <c:v>0.64080437363124654</c:v>
                </c:pt>
                <c:pt idx="68">
                  <c:v>0.55175873630736316</c:v>
                </c:pt>
                <c:pt idx="69">
                  <c:v>5.8547423734954029E-2</c:v>
                </c:pt>
                <c:pt idx="70">
                  <c:v>0.23903306081972625</c:v>
                </c:pt>
                <c:pt idx="71">
                  <c:v>-5.1910711512696994E-2</c:v>
                </c:pt>
                <c:pt idx="72">
                  <c:v>0.97966591600448494</c:v>
                </c:pt>
                <c:pt idx="73">
                  <c:v>0.48730776018402799</c:v>
                </c:pt>
                <c:pt idx="74">
                  <c:v>0.45237725047780786</c:v>
                </c:pt>
                <c:pt idx="75">
                  <c:v>-2.4451415942930543E-2</c:v>
                </c:pt>
                <c:pt idx="76">
                  <c:v>0.42229525401423706</c:v>
                </c:pt>
                <c:pt idx="77">
                  <c:v>0.24211643358108675</c:v>
                </c:pt>
                <c:pt idx="78">
                  <c:v>1.9333494140951035E-2</c:v>
                </c:pt>
                <c:pt idx="79">
                  <c:v>9.2096810918811695E-2</c:v>
                </c:pt>
                <c:pt idx="80">
                  <c:v>1.6318191197432328</c:v>
                </c:pt>
                <c:pt idx="81">
                  <c:v>1.0632503862670672</c:v>
                </c:pt>
                <c:pt idx="82">
                  <c:v>1.6256242433614263</c:v>
                </c:pt>
                <c:pt idx="83">
                  <c:v>0.72434824971486611</c:v>
                </c:pt>
                <c:pt idx="84">
                  <c:v>0.93922480915674367</c:v>
                </c:pt>
                <c:pt idx="85">
                  <c:v>0.29002206506340855</c:v>
                </c:pt>
                <c:pt idx="86">
                  <c:v>1.2842485909794226</c:v>
                </c:pt>
                <c:pt idx="87">
                  <c:v>5.2018710790577516E-2</c:v>
                </c:pt>
                <c:pt idx="88">
                  <c:v>0.92057586678773173</c:v>
                </c:pt>
                <c:pt idx="89">
                  <c:v>0.39146698888024795</c:v>
                </c:pt>
                <c:pt idx="90">
                  <c:v>0.62916095396007887</c:v>
                </c:pt>
                <c:pt idx="91">
                  <c:v>0.50802381794029938</c:v>
                </c:pt>
                <c:pt idx="92">
                  <c:v>0.56275963511268767</c:v>
                </c:pt>
                <c:pt idx="93">
                  <c:v>1.0373786685842421</c:v>
                </c:pt>
                <c:pt idx="94">
                  <c:v>0.57430148024931205</c:v>
                </c:pt>
                <c:pt idx="95">
                  <c:v>0.72564246944139532</c:v>
                </c:pt>
                <c:pt idx="96">
                  <c:v>0.38223307134485668</c:v>
                </c:pt>
                <c:pt idx="97">
                  <c:v>1.1169986223618942</c:v>
                </c:pt>
                <c:pt idx="98">
                  <c:v>0.80771326618086425</c:v>
                </c:pt>
                <c:pt idx="99">
                  <c:v>0.98230136659446843</c:v>
                </c:pt>
                <c:pt idx="100">
                  <c:v>1.082640831619101</c:v>
                </c:pt>
                <c:pt idx="101">
                  <c:v>0.89654142534270109</c:v>
                </c:pt>
                <c:pt idx="102">
                  <c:v>1.9100092588756497</c:v>
                </c:pt>
                <c:pt idx="103">
                  <c:v>1.0112484830503046</c:v>
                </c:pt>
                <c:pt idx="104">
                  <c:v>1.1111679667138321</c:v>
                </c:pt>
                <c:pt idx="105">
                  <c:v>1.1513987822548495</c:v>
                </c:pt>
                <c:pt idx="106">
                  <c:v>0.27677650978136215</c:v>
                </c:pt>
                <c:pt idx="107">
                  <c:v>1.362953705090771</c:v>
                </c:pt>
                <c:pt idx="108">
                  <c:v>1.3438914012453895</c:v>
                </c:pt>
                <c:pt idx="109">
                  <c:v>1.1045762018186815</c:v>
                </c:pt>
                <c:pt idx="110">
                  <c:v>1.8480531714274882</c:v>
                </c:pt>
                <c:pt idx="111">
                  <c:v>1.9574319247869787</c:v>
                </c:pt>
                <c:pt idx="112">
                  <c:v>0.39190443807469166</c:v>
                </c:pt>
                <c:pt idx="113">
                  <c:v>0.9929624015216294</c:v>
                </c:pt>
                <c:pt idx="114">
                  <c:v>0.80188307133168646</c:v>
                </c:pt>
                <c:pt idx="115">
                  <c:v>0.99209199536816683</c:v>
                </c:pt>
                <c:pt idx="116">
                  <c:v>0.22151977948040291</c:v>
                </c:pt>
                <c:pt idx="117">
                  <c:v>0.71985832792170046</c:v>
                </c:pt>
                <c:pt idx="118">
                  <c:v>0.96052073046013753</c:v>
                </c:pt>
                <c:pt idx="119">
                  <c:v>1.0939846456162441</c:v>
                </c:pt>
                <c:pt idx="120">
                  <c:v>0.76519487183195212</c:v>
                </c:pt>
                <c:pt idx="121">
                  <c:v>0.95639863840228811</c:v>
                </c:pt>
                <c:pt idx="122">
                  <c:v>0.50329324251910823</c:v>
                </c:pt>
                <c:pt idx="123">
                  <c:v>0.54441079896336353</c:v>
                </c:pt>
                <c:pt idx="124">
                  <c:v>0.63733984735716698</c:v>
                </c:pt>
                <c:pt idx="125">
                  <c:v>0.63955555630394345</c:v>
                </c:pt>
                <c:pt idx="126">
                  <c:v>0.64004421572035264</c:v>
                </c:pt>
                <c:pt idx="127">
                  <c:v>0.7452188476250996</c:v>
                </c:pt>
                <c:pt idx="128">
                  <c:v>1.0452569119162554</c:v>
                </c:pt>
                <c:pt idx="129">
                  <c:v>1.5838390273199372</c:v>
                </c:pt>
                <c:pt idx="130">
                  <c:v>0.3818360281818407</c:v>
                </c:pt>
                <c:pt idx="131">
                  <c:v>1.0345239696332456</c:v>
                </c:pt>
                <c:pt idx="132">
                  <c:v>0.63446202722882639</c:v>
                </c:pt>
                <c:pt idx="133">
                  <c:v>0.85626326284445387</c:v>
                </c:pt>
                <c:pt idx="134">
                  <c:v>0.20095465983431748</c:v>
                </c:pt>
                <c:pt idx="135">
                  <c:v>0.45116523789084639</c:v>
                </c:pt>
                <c:pt idx="136">
                  <c:v>0.5747592035642789</c:v>
                </c:pt>
                <c:pt idx="137">
                  <c:v>0.42776982369445399</c:v>
                </c:pt>
                <c:pt idx="138">
                  <c:v>0.19812819645604168</c:v>
                </c:pt>
                <c:pt idx="139">
                  <c:v>0.93437083258520415</c:v>
                </c:pt>
                <c:pt idx="140">
                  <c:v>0.35698514048637181</c:v>
                </c:pt>
                <c:pt idx="141">
                  <c:v>6.1925179385058149E-2</c:v>
                </c:pt>
                <c:pt idx="142">
                  <c:v>-0.19581638704489041</c:v>
                </c:pt>
                <c:pt idx="143">
                  <c:v>-0.19956362905339661</c:v>
                </c:pt>
                <c:pt idx="144">
                  <c:v>0.87969420284279221</c:v>
                </c:pt>
                <c:pt idx="145">
                  <c:v>0.50541412734321489</c:v>
                </c:pt>
                <c:pt idx="146">
                  <c:v>1.7129164356347482</c:v>
                </c:pt>
                <c:pt idx="147">
                  <c:v>0.65384016756194252</c:v>
                </c:pt>
                <c:pt idx="148">
                  <c:v>0.70530004451268113</c:v>
                </c:pt>
                <c:pt idx="149">
                  <c:v>-0.92432068660920441</c:v>
                </c:pt>
                <c:pt idx="150">
                  <c:v>0.72959028009685112</c:v>
                </c:pt>
                <c:pt idx="151">
                  <c:v>0.20495280794324783</c:v>
                </c:pt>
                <c:pt idx="152">
                  <c:v>-5.9394060044887675E-2</c:v>
                </c:pt>
                <c:pt idx="153">
                  <c:v>0.59995034077855902</c:v>
                </c:pt>
                <c:pt idx="154">
                  <c:v>0.49051638749851911</c:v>
                </c:pt>
                <c:pt idx="155">
                  <c:v>-0.14307378847677288</c:v>
                </c:pt>
                <c:pt idx="156">
                  <c:v>-0.29455325929893811</c:v>
                </c:pt>
                <c:pt idx="157">
                  <c:v>0.66071123915534102</c:v>
                </c:pt>
                <c:pt idx="158">
                  <c:v>0.44387742694935584</c:v>
                </c:pt>
                <c:pt idx="159">
                  <c:v>-5.3797870471638587E-2</c:v>
                </c:pt>
                <c:pt idx="160">
                  <c:v>2.3713047114423513E-2</c:v>
                </c:pt>
                <c:pt idx="161">
                  <c:v>0.79531931542695888</c:v>
                </c:pt>
                <c:pt idx="162">
                  <c:v>1.1564420704028433</c:v>
                </c:pt>
                <c:pt idx="163">
                  <c:v>0.23836605344086148</c:v>
                </c:pt>
                <c:pt idx="164">
                  <c:v>0.6869882737215256</c:v>
                </c:pt>
                <c:pt idx="165">
                  <c:v>0.39567737262519498</c:v>
                </c:pt>
                <c:pt idx="166">
                  <c:v>0.47875019482753006</c:v>
                </c:pt>
                <c:pt idx="167">
                  <c:v>0.71873452051176767</c:v>
                </c:pt>
                <c:pt idx="168">
                  <c:v>0.66847257537770177</c:v>
                </c:pt>
                <c:pt idx="169">
                  <c:v>0.40102398254684052</c:v>
                </c:pt>
                <c:pt idx="170">
                  <c:v>0.41270746225911664</c:v>
                </c:pt>
                <c:pt idx="171">
                  <c:v>0.68183619089091629</c:v>
                </c:pt>
                <c:pt idx="172">
                  <c:v>-2.1649830731646946E-2</c:v>
                </c:pt>
                <c:pt idx="173">
                  <c:v>0.95336085227649525</c:v>
                </c:pt>
                <c:pt idx="174">
                  <c:v>0.15731903367963107</c:v>
                </c:pt>
                <c:pt idx="175">
                  <c:v>-0.26441572994543666</c:v>
                </c:pt>
                <c:pt idx="176">
                  <c:v>6.3014824250266555E-2</c:v>
                </c:pt>
                <c:pt idx="177">
                  <c:v>-6.937457592073587E-2</c:v>
                </c:pt>
                <c:pt idx="178">
                  <c:v>0.76839225596362803</c:v>
                </c:pt>
                <c:pt idx="179">
                  <c:v>6.3070591880130533E-2</c:v>
                </c:pt>
                <c:pt idx="180">
                  <c:v>-0.4293721083135611</c:v>
                </c:pt>
                <c:pt idx="181">
                  <c:v>0.57777204462895415</c:v>
                </c:pt>
                <c:pt idx="182">
                  <c:v>1.0726281604944461</c:v>
                </c:pt>
                <c:pt idx="183">
                  <c:v>0.61073980426264474</c:v>
                </c:pt>
                <c:pt idx="184">
                  <c:v>1.2175354517992485</c:v>
                </c:pt>
                <c:pt idx="185">
                  <c:v>1.4447242774708036</c:v>
                </c:pt>
                <c:pt idx="186">
                  <c:v>1.7250231770059377</c:v>
                </c:pt>
                <c:pt idx="187">
                  <c:v>1.2506076170013443</c:v>
                </c:pt>
                <c:pt idx="188">
                  <c:v>0.97180476964697038</c:v>
                </c:pt>
                <c:pt idx="189">
                  <c:v>0.42289727085190831</c:v>
                </c:pt>
                <c:pt idx="190">
                  <c:v>0.11879218655615686</c:v>
                </c:pt>
                <c:pt idx="191">
                  <c:v>1.2992785606918735</c:v>
                </c:pt>
                <c:pt idx="192">
                  <c:v>1.0491726645777066</c:v>
                </c:pt>
                <c:pt idx="193">
                  <c:v>0.52460839276501581</c:v>
                </c:pt>
                <c:pt idx="194">
                  <c:v>0.85097862131888324</c:v>
                </c:pt>
                <c:pt idx="195">
                  <c:v>0.38473268148376216</c:v>
                </c:pt>
                <c:pt idx="196">
                  <c:v>0.95018096496552551</c:v>
                </c:pt>
                <c:pt idx="197">
                  <c:v>0.81820937075681988</c:v>
                </c:pt>
                <c:pt idx="198">
                  <c:v>7.686103482401907E-2</c:v>
                </c:pt>
                <c:pt idx="199">
                  <c:v>0.50346461270455567</c:v>
                </c:pt>
                <c:pt idx="200">
                  <c:v>0.3642197044248312</c:v>
                </c:pt>
                <c:pt idx="201">
                  <c:v>0.5805300796571129</c:v>
                </c:pt>
                <c:pt idx="202">
                  <c:v>1.662322379268387</c:v>
                </c:pt>
                <c:pt idx="203">
                  <c:v>1.6640178084279182</c:v>
                </c:pt>
                <c:pt idx="204">
                  <c:v>1.4488807050015533</c:v>
                </c:pt>
                <c:pt idx="205">
                  <c:v>1.6025603592210016</c:v>
                </c:pt>
                <c:pt idx="206">
                  <c:v>0.71558390803030192</c:v>
                </c:pt>
                <c:pt idx="207">
                  <c:v>0.36933696945519273</c:v>
                </c:pt>
                <c:pt idx="208">
                  <c:v>0.5288262693775968</c:v>
                </c:pt>
                <c:pt idx="209">
                  <c:v>-0.28593608892237321</c:v>
                </c:pt>
                <c:pt idx="210">
                  <c:v>-6.1299397378136E-2</c:v>
                </c:pt>
                <c:pt idx="211">
                  <c:v>0.32174005271523398</c:v>
                </c:pt>
                <c:pt idx="212">
                  <c:v>0.42029247536678876</c:v>
                </c:pt>
                <c:pt idx="213">
                  <c:v>1.0358851669519067</c:v>
                </c:pt>
                <c:pt idx="214">
                  <c:v>-6.867226278901295E-2</c:v>
                </c:pt>
                <c:pt idx="215">
                  <c:v>0.12995835794977739</c:v>
                </c:pt>
                <c:pt idx="216">
                  <c:v>0.30135150052955312</c:v>
                </c:pt>
                <c:pt idx="217">
                  <c:v>0.31895215268104504</c:v>
                </c:pt>
                <c:pt idx="218">
                  <c:v>0.12846225155089358</c:v>
                </c:pt>
                <c:pt idx="219">
                  <c:v>0.57400883297624183</c:v>
                </c:pt>
                <c:pt idx="220">
                  <c:v>0.60234063808375027</c:v>
                </c:pt>
                <c:pt idx="221">
                  <c:v>0.68211727431098912</c:v>
                </c:pt>
                <c:pt idx="222">
                  <c:v>1.9022731635791972</c:v>
                </c:pt>
                <c:pt idx="223">
                  <c:v>1.0446734360313903</c:v>
                </c:pt>
                <c:pt idx="224">
                  <c:v>0.50079324986009366</c:v>
                </c:pt>
                <c:pt idx="225">
                  <c:v>0.28284651943944267</c:v>
                </c:pt>
                <c:pt idx="226">
                  <c:v>-8.8656071607031206E-2</c:v>
                </c:pt>
                <c:pt idx="227">
                  <c:v>-0.265691112921696</c:v>
                </c:pt>
                <c:pt idx="228">
                  <c:v>-0.73387206508508429</c:v>
                </c:pt>
                <c:pt idx="229">
                  <c:v>-0.5860941259784842</c:v>
                </c:pt>
                <c:pt idx="230">
                  <c:v>-0.77250914397859005</c:v>
                </c:pt>
                <c:pt idx="231">
                  <c:v>-0.81107262821506465</c:v>
                </c:pt>
                <c:pt idx="232">
                  <c:v>7.4814603333011209E-2</c:v>
                </c:pt>
                <c:pt idx="233">
                  <c:v>-0.32386014518114481</c:v>
                </c:pt>
                <c:pt idx="234">
                  <c:v>0.38248483732996669</c:v>
                </c:pt>
                <c:pt idx="235">
                  <c:v>0.39923250353494788</c:v>
                </c:pt>
                <c:pt idx="236">
                  <c:v>0.41271701750258849</c:v>
                </c:pt>
                <c:pt idx="237">
                  <c:v>0.70821001949559781</c:v>
                </c:pt>
                <c:pt idx="238">
                  <c:v>0.54122414865211566</c:v>
                </c:pt>
                <c:pt idx="239">
                  <c:v>0.92458491180755487</c:v>
                </c:pt>
                <c:pt idx="240">
                  <c:v>1.1949750020795631</c:v>
                </c:pt>
                <c:pt idx="241">
                  <c:v>1.8228276612937511</c:v>
                </c:pt>
                <c:pt idx="242">
                  <c:v>1.5371664250251427</c:v>
                </c:pt>
                <c:pt idx="243">
                  <c:v>0.60899752948218144</c:v>
                </c:pt>
                <c:pt idx="244">
                  <c:v>0.37674966612520289</c:v>
                </c:pt>
                <c:pt idx="245">
                  <c:v>0.20105179299198794</c:v>
                </c:pt>
                <c:pt idx="246">
                  <c:v>0.54373728510318087</c:v>
                </c:pt>
                <c:pt idx="247">
                  <c:v>0.90195116400446773</c:v>
                </c:pt>
                <c:pt idx="248">
                  <c:v>0.41468886243539688</c:v>
                </c:pt>
                <c:pt idx="249">
                  <c:v>0.34258203723969127</c:v>
                </c:pt>
                <c:pt idx="250">
                  <c:v>0.60247627852940133</c:v>
                </c:pt>
                <c:pt idx="251">
                  <c:v>7.8282061116239365E-2</c:v>
                </c:pt>
                <c:pt idx="252">
                  <c:v>0.53895017288552372</c:v>
                </c:pt>
                <c:pt idx="253">
                  <c:v>0.85144707803014941</c:v>
                </c:pt>
                <c:pt idx="254">
                  <c:v>0.51435209014913308</c:v>
                </c:pt>
                <c:pt idx="255">
                  <c:v>0.18222377920858945</c:v>
                </c:pt>
                <c:pt idx="256">
                  <c:v>-9.0893479185566617E-2</c:v>
                </c:pt>
                <c:pt idx="257">
                  <c:v>0.1479850024065622</c:v>
                </c:pt>
                <c:pt idx="258">
                  <c:v>0.16789228520769539</c:v>
                </c:pt>
                <c:pt idx="259">
                  <c:v>0.82463350187734541</c:v>
                </c:pt>
                <c:pt idx="260">
                  <c:v>1.0140494037416126</c:v>
                </c:pt>
                <c:pt idx="261">
                  <c:v>1.2406523423158369</c:v>
                </c:pt>
                <c:pt idx="262">
                  <c:v>0.45762396668964045</c:v>
                </c:pt>
                <c:pt idx="263">
                  <c:v>0.66785205309619911</c:v>
                </c:pt>
                <c:pt idx="264">
                  <c:v>1.3492825151920038</c:v>
                </c:pt>
                <c:pt idx="265">
                  <c:v>1.1502491983601144</c:v>
                </c:pt>
                <c:pt idx="266">
                  <c:v>1.6065985401171861</c:v>
                </c:pt>
                <c:pt idx="267">
                  <c:v>0.84691695262920941</c:v>
                </c:pt>
                <c:pt idx="268">
                  <c:v>0.89765346387848899</c:v>
                </c:pt>
                <c:pt idx="269">
                  <c:v>0.24713806496731383</c:v>
                </c:pt>
                <c:pt idx="270">
                  <c:v>0.36353261161668937</c:v>
                </c:pt>
                <c:pt idx="271">
                  <c:v>-0.34348425353787493</c:v>
                </c:pt>
                <c:pt idx="272">
                  <c:v>1.0007178983794662</c:v>
                </c:pt>
                <c:pt idx="273">
                  <c:v>-4.068326563939384E-2</c:v>
                </c:pt>
                <c:pt idx="274">
                  <c:v>0.31946343638937857</c:v>
                </c:pt>
                <c:pt idx="275">
                  <c:v>0.50440690611572947</c:v>
                </c:pt>
                <c:pt idx="276">
                  <c:v>0.63226696810171856</c:v>
                </c:pt>
                <c:pt idx="277">
                  <c:v>1.2371686358081757</c:v>
                </c:pt>
                <c:pt idx="278">
                  <c:v>1.0133566238755742</c:v>
                </c:pt>
                <c:pt idx="279">
                  <c:v>1.31874438047266</c:v>
                </c:pt>
                <c:pt idx="280">
                  <c:v>0.92882065272206704</c:v>
                </c:pt>
                <c:pt idx="281">
                  <c:v>0.75926494300822478</c:v>
                </c:pt>
                <c:pt idx="282">
                  <c:v>1.3150996374362127</c:v>
                </c:pt>
                <c:pt idx="283">
                  <c:v>0.5876384447577796</c:v>
                </c:pt>
                <c:pt idx="284">
                  <c:v>0.32228561380120779</c:v>
                </c:pt>
                <c:pt idx="285">
                  <c:v>0.37689754472323389</c:v>
                </c:pt>
                <c:pt idx="286">
                  <c:v>0.35116557978009422</c:v>
                </c:pt>
                <c:pt idx="287">
                  <c:v>1.5148868289061288</c:v>
                </c:pt>
                <c:pt idx="288">
                  <c:v>0.66409677657987598</c:v>
                </c:pt>
                <c:pt idx="289">
                  <c:v>7.7342834180290532E-2</c:v>
                </c:pt>
                <c:pt idx="290">
                  <c:v>0.59495495985730495</c:v>
                </c:pt>
                <c:pt idx="291">
                  <c:v>0.43452828122277143</c:v>
                </c:pt>
                <c:pt idx="292">
                  <c:v>-0.10700904965904373</c:v>
                </c:pt>
                <c:pt idx="293">
                  <c:v>-0.32780728165190876</c:v>
                </c:pt>
                <c:pt idx="294">
                  <c:v>0.22728897480287213</c:v>
                </c:pt>
                <c:pt idx="295">
                  <c:v>0.10964872849790092</c:v>
                </c:pt>
                <c:pt idx="296">
                  <c:v>0.37568180576306565</c:v>
                </c:pt>
                <c:pt idx="297">
                  <c:v>0.66001325483453077</c:v>
                </c:pt>
                <c:pt idx="298">
                  <c:v>0.47202784670136516</c:v>
                </c:pt>
                <c:pt idx="299">
                  <c:v>1.0079113033041991</c:v>
                </c:pt>
                <c:pt idx="300">
                  <c:v>0.240157069846612</c:v>
                </c:pt>
                <c:pt idx="301">
                  <c:v>1.084970902571635</c:v>
                </c:pt>
                <c:pt idx="302">
                  <c:v>0.5788762653589874</c:v>
                </c:pt>
                <c:pt idx="303">
                  <c:v>0.80923473540038493</c:v>
                </c:pt>
                <c:pt idx="304">
                  <c:v>0.73921975793587891</c:v>
                </c:pt>
                <c:pt idx="305">
                  <c:v>0.98183745821138024</c:v>
                </c:pt>
                <c:pt idx="306">
                  <c:v>0.77457127669303638</c:v>
                </c:pt>
                <c:pt idx="307">
                  <c:v>1.3318971931525101</c:v>
                </c:pt>
                <c:pt idx="308">
                  <c:v>1.0440396460821162</c:v>
                </c:pt>
                <c:pt idx="309">
                  <c:v>0.38487394284463816</c:v>
                </c:pt>
                <c:pt idx="310">
                  <c:v>7.2422235512360378E-2</c:v>
                </c:pt>
                <c:pt idx="311">
                  <c:v>0.44556405401296539</c:v>
                </c:pt>
                <c:pt idx="312">
                  <c:v>9.6228460551806116E-2</c:v>
                </c:pt>
                <c:pt idx="313">
                  <c:v>5.7735663083403665E-2</c:v>
                </c:pt>
                <c:pt idx="314">
                  <c:v>-0.4477858282117958</c:v>
                </c:pt>
                <c:pt idx="315">
                  <c:v>9.0575300561967428E-2</c:v>
                </c:pt>
                <c:pt idx="316">
                  <c:v>0.83085363844010329</c:v>
                </c:pt>
                <c:pt idx="317">
                  <c:v>0.69190178913588141</c:v>
                </c:pt>
                <c:pt idx="318">
                  <c:v>1.1387507500491831</c:v>
                </c:pt>
                <c:pt idx="319">
                  <c:v>0.97609476525488859</c:v>
                </c:pt>
                <c:pt idx="320">
                  <c:v>0.96311467249805249</c:v>
                </c:pt>
                <c:pt idx="321">
                  <c:v>0.59487156325942592</c:v>
                </c:pt>
                <c:pt idx="322">
                  <c:v>0.38709664880476602</c:v>
                </c:pt>
                <c:pt idx="323">
                  <c:v>-2.642685520864485E-2</c:v>
                </c:pt>
                <c:pt idx="324">
                  <c:v>0.91621375374983871</c:v>
                </c:pt>
                <c:pt idx="325">
                  <c:v>0.20764693845672355</c:v>
                </c:pt>
                <c:pt idx="326">
                  <c:v>0.57656726215065168</c:v>
                </c:pt>
                <c:pt idx="327">
                  <c:v>0.50445027189984193</c:v>
                </c:pt>
                <c:pt idx="328">
                  <c:v>0.11521887219089544</c:v>
                </c:pt>
                <c:pt idx="329">
                  <c:v>1.5084469825276181</c:v>
                </c:pt>
                <c:pt idx="330">
                  <c:v>1.257914274202615</c:v>
                </c:pt>
                <c:pt idx="331">
                  <c:v>0.63091981354711579</c:v>
                </c:pt>
                <c:pt idx="332">
                  <c:v>0.86858648917744519</c:v>
                </c:pt>
                <c:pt idx="333">
                  <c:v>0.59108975328207924</c:v>
                </c:pt>
                <c:pt idx="334">
                  <c:v>0.56277489899386213</c:v>
                </c:pt>
                <c:pt idx="335">
                  <c:v>0.76843497085665835</c:v>
                </c:pt>
                <c:pt idx="336">
                  <c:v>0.99616957913831095</c:v>
                </c:pt>
                <c:pt idx="337">
                  <c:v>0.43621177851188064</c:v>
                </c:pt>
                <c:pt idx="338">
                  <c:v>1.3369762728388066</c:v>
                </c:pt>
                <c:pt idx="339">
                  <c:v>0.94214048025142438</c:v>
                </c:pt>
                <c:pt idx="340">
                  <c:v>0.66291339187644205</c:v>
                </c:pt>
                <c:pt idx="341">
                  <c:v>1.5335639740823643</c:v>
                </c:pt>
                <c:pt idx="342">
                  <c:v>1.2964327253201562</c:v>
                </c:pt>
                <c:pt idx="343">
                  <c:v>0.3595565751429749</c:v>
                </c:pt>
                <c:pt idx="344">
                  <c:v>0.76300210094233201</c:v>
                </c:pt>
                <c:pt idx="345">
                  <c:v>1.3879954525175191</c:v>
                </c:pt>
                <c:pt idx="346">
                  <c:v>0.56310598708123161</c:v>
                </c:pt>
                <c:pt idx="347">
                  <c:v>0.31507444721025624</c:v>
                </c:pt>
                <c:pt idx="348">
                  <c:v>0.88428721634500618</c:v>
                </c:pt>
                <c:pt idx="349">
                  <c:v>0.91712634089774858</c:v>
                </c:pt>
                <c:pt idx="350">
                  <c:v>1.0997400016194327</c:v>
                </c:pt>
                <c:pt idx="351">
                  <c:v>1.1347450385817353</c:v>
                </c:pt>
                <c:pt idx="352">
                  <c:v>0.48388256232904481</c:v>
                </c:pt>
                <c:pt idx="353">
                  <c:v>0.50345118293662972</c:v>
                </c:pt>
                <c:pt idx="354">
                  <c:v>0.78298174836133605</c:v>
                </c:pt>
                <c:pt idx="355">
                  <c:v>0.96124156984511466</c:v>
                </c:pt>
                <c:pt idx="356">
                  <c:v>1.2513972573883283</c:v>
                </c:pt>
                <c:pt idx="357">
                  <c:v>0.53346965398151225</c:v>
                </c:pt>
                <c:pt idx="358">
                  <c:v>0.52570135924456851</c:v>
                </c:pt>
                <c:pt idx="359">
                  <c:v>0.39487319277237332</c:v>
                </c:pt>
                <c:pt idx="360">
                  <c:v>5.3711030840333907E-2</c:v>
                </c:pt>
                <c:pt idx="361">
                  <c:v>0.25081776982221016</c:v>
                </c:pt>
                <c:pt idx="362">
                  <c:v>0.76553890081656495</c:v>
                </c:pt>
                <c:pt idx="363">
                  <c:v>0.61679729129331695</c:v>
                </c:pt>
                <c:pt idx="364">
                  <c:v>0.21871072383420276</c:v>
                </c:pt>
                <c:pt idx="365">
                  <c:v>0.14211282574423079</c:v>
                </c:pt>
                <c:pt idx="366">
                  <c:v>1.0723228488830061</c:v>
                </c:pt>
                <c:pt idx="367">
                  <c:v>0.32159901416701164</c:v>
                </c:pt>
                <c:pt idx="368">
                  <c:v>5.1805171172083719E-2</c:v>
                </c:pt>
                <c:pt idx="369">
                  <c:v>-0.1961140161431037</c:v>
                </c:pt>
                <c:pt idx="370">
                  <c:v>0.49731853827190581</c:v>
                </c:pt>
                <c:pt idx="371">
                  <c:v>1.1245575280767834</c:v>
                </c:pt>
                <c:pt idx="372">
                  <c:v>0.53329360259057701</c:v>
                </c:pt>
                <c:pt idx="373">
                  <c:v>0.99442723652455633</c:v>
                </c:pt>
                <c:pt idx="374">
                  <c:v>1.265241446964017</c:v>
                </c:pt>
                <c:pt idx="375">
                  <c:v>0.49716070285335601</c:v>
                </c:pt>
                <c:pt idx="376">
                  <c:v>0.49278935543859886</c:v>
                </c:pt>
                <c:pt idx="377">
                  <c:v>0.12436653759582328</c:v>
                </c:pt>
                <c:pt idx="378">
                  <c:v>0.71618369359116674</c:v>
                </c:pt>
                <c:pt idx="379">
                  <c:v>0.95074523644248998</c:v>
                </c:pt>
                <c:pt idx="380">
                  <c:v>0.2441397949842069</c:v>
                </c:pt>
                <c:pt idx="381">
                  <c:v>1.1049872317254215</c:v>
                </c:pt>
                <c:pt idx="382">
                  <c:v>0.74729505829314258</c:v>
                </c:pt>
                <c:pt idx="383">
                  <c:v>1.0504417555000092</c:v>
                </c:pt>
                <c:pt idx="384">
                  <c:v>0.33549950784480731</c:v>
                </c:pt>
                <c:pt idx="385">
                  <c:v>0.50544786607517411</c:v>
                </c:pt>
                <c:pt idx="386">
                  <c:v>0.47744953124967809</c:v>
                </c:pt>
                <c:pt idx="387">
                  <c:v>0.27125767883345847</c:v>
                </c:pt>
                <c:pt idx="388">
                  <c:v>0.2983240093276327</c:v>
                </c:pt>
                <c:pt idx="389">
                  <c:v>1.0600395182498175</c:v>
                </c:pt>
                <c:pt idx="390">
                  <c:v>0.15951701653993799</c:v>
                </c:pt>
                <c:pt idx="391">
                  <c:v>1.3703225200670275</c:v>
                </c:pt>
                <c:pt idx="392">
                  <c:v>0.94067650360025501</c:v>
                </c:pt>
                <c:pt idx="393">
                  <c:v>0.18094474800167937</c:v>
                </c:pt>
                <c:pt idx="394">
                  <c:v>0.70366695496564324</c:v>
                </c:pt>
                <c:pt idx="395">
                  <c:v>0.43474153170138957</c:v>
                </c:pt>
                <c:pt idx="396">
                  <c:v>1.1061508436470735</c:v>
                </c:pt>
                <c:pt idx="397">
                  <c:v>1.5958593092773117</c:v>
                </c:pt>
                <c:pt idx="398">
                  <c:v>0.76945166648008789</c:v>
                </c:pt>
                <c:pt idx="399">
                  <c:v>0.87526700281049929</c:v>
                </c:pt>
                <c:pt idx="400">
                  <c:v>0.62625780745689208</c:v>
                </c:pt>
                <c:pt idx="401">
                  <c:v>-0.98380915830812754</c:v>
                </c:pt>
                <c:pt idx="402">
                  <c:v>-2.6456642301124655E-2</c:v>
                </c:pt>
                <c:pt idx="403">
                  <c:v>-0.37510607214671932</c:v>
                </c:pt>
                <c:pt idx="404">
                  <c:v>-2.6637358328095821E-2</c:v>
                </c:pt>
                <c:pt idx="405">
                  <c:v>-0.3854667277375543</c:v>
                </c:pt>
                <c:pt idx="406">
                  <c:v>0.21118892745242035</c:v>
                </c:pt>
                <c:pt idx="407">
                  <c:v>-0.11856774084599148</c:v>
                </c:pt>
                <c:pt idx="408">
                  <c:v>-0.99941553421380158</c:v>
                </c:pt>
                <c:pt idx="409">
                  <c:v>-0.35012483988450294</c:v>
                </c:pt>
                <c:pt idx="410">
                  <c:v>-0.80431621552803101</c:v>
                </c:pt>
                <c:pt idx="411">
                  <c:v>-0.88686073651258712</c:v>
                </c:pt>
                <c:pt idx="412">
                  <c:v>-1.3539706683670576</c:v>
                </c:pt>
                <c:pt idx="413">
                  <c:v>-2.8063412687842848E-2</c:v>
                </c:pt>
                <c:pt idx="414">
                  <c:v>-8.5284308465954209E-2</c:v>
                </c:pt>
                <c:pt idx="415">
                  <c:v>0.25441950023287047</c:v>
                </c:pt>
                <c:pt idx="416">
                  <c:v>0.74872167483610819</c:v>
                </c:pt>
                <c:pt idx="417">
                  <c:v>-0.10967697511365815</c:v>
                </c:pt>
                <c:pt idx="418">
                  <c:v>0.42562082108452109</c:v>
                </c:pt>
                <c:pt idx="419">
                  <c:v>0.72331207324282876</c:v>
                </c:pt>
                <c:pt idx="420">
                  <c:v>3.8321785684876541E-2</c:v>
                </c:pt>
                <c:pt idx="421">
                  <c:v>0.47408445061535576</c:v>
                </c:pt>
                <c:pt idx="422">
                  <c:v>0.87822987062278579</c:v>
                </c:pt>
                <c:pt idx="423">
                  <c:v>0.94266118018532219</c:v>
                </c:pt>
                <c:pt idx="424">
                  <c:v>1.3473461890433023</c:v>
                </c:pt>
                <c:pt idx="425">
                  <c:v>0.90762726691713169</c:v>
                </c:pt>
                <c:pt idx="426">
                  <c:v>0.95829175781548348</c:v>
                </c:pt>
                <c:pt idx="427">
                  <c:v>1.4376027361336789</c:v>
                </c:pt>
                <c:pt idx="428">
                  <c:v>0.94904209158950859</c:v>
                </c:pt>
                <c:pt idx="429">
                  <c:v>0.77737399577064548</c:v>
                </c:pt>
                <c:pt idx="430">
                  <c:v>1.1027952270118391</c:v>
                </c:pt>
                <c:pt idx="431">
                  <c:v>0.44173495374164262</c:v>
                </c:pt>
                <c:pt idx="432">
                  <c:v>1.1141681427699131</c:v>
                </c:pt>
                <c:pt idx="433">
                  <c:v>1.1329903047926611</c:v>
                </c:pt>
                <c:pt idx="434">
                  <c:v>1.243117663773377</c:v>
                </c:pt>
                <c:pt idx="435">
                  <c:v>0.79621887862039131</c:v>
                </c:pt>
                <c:pt idx="436">
                  <c:v>5.0472251347718489E-3</c:v>
                </c:pt>
                <c:pt idx="437">
                  <c:v>0.17125087223207133</c:v>
                </c:pt>
                <c:pt idx="438">
                  <c:v>0.70346053609673809</c:v>
                </c:pt>
                <c:pt idx="439">
                  <c:v>0.57277712231084654</c:v>
                </c:pt>
                <c:pt idx="440">
                  <c:v>-0.40244724533504361</c:v>
                </c:pt>
                <c:pt idx="441">
                  <c:v>0.42385711102339468</c:v>
                </c:pt>
                <c:pt idx="442">
                  <c:v>0.26133757282704473</c:v>
                </c:pt>
                <c:pt idx="443">
                  <c:v>0.97137750408711521</c:v>
                </c:pt>
                <c:pt idx="444">
                  <c:v>0.11965706529795817</c:v>
                </c:pt>
                <c:pt idx="445">
                  <c:v>1.1912782671365374</c:v>
                </c:pt>
                <c:pt idx="446">
                  <c:v>-0.3408551602557921</c:v>
                </c:pt>
                <c:pt idx="447">
                  <c:v>0.37314700863618583</c:v>
                </c:pt>
                <c:pt idx="448">
                  <c:v>0.43835084980189543</c:v>
                </c:pt>
                <c:pt idx="449">
                  <c:v>0.53891873870455254</c:v>
                </c:pt>
                <c:pt idx="450">
                  <c:v>-0.38491485958994998</c:v>
                </c:pt>
                <c:pt idx="451">
                  <c:v>0.83673645231971427</c:v>
                </c:pt>
                <c:pt idx="452">
                  <c:v>0.86022614965322763</c:v>
                </c:pt>
                <c:pt idx="453">
                  <c:v>1.1474469135522958</c:v>
                </c:pt>
                <c:pt idx="454">
                  <c:v>2.5187099225289264</c:v>
                </c:pt>
                <c:pt idx="455">
                  <c:v>0.85091036306467904</c:v>
                </c:pt>
                <c:pt idx="456">
                  <c:v>1.1632543636236734</c:v>
                </c:pt>
                <c:pt idx="457">
                  <c:v>0.56837567540047962</c:v>
                </c:pt>
                <c:pt idx="458">
                  <c:v>0.78119800923161331</c:v>
                </c:pt>
                <c:pt idx="459">
                  <c:v>1.3791978238923397</c:v>
                </c:pt>
                <c:pt idx="460">
                  <c:v>0.95152717632897943</c:v>
                </c:pt>
                <c:pt idx="461">
                  <c:v>0.81923239870082454</c:v>
                </c:pt>
                <c:pt idx="462">
                  <c:v>1.0277305339469349</c:v>
                </c:pt>
                <c:pt idx="463">
                  <c:v>0.41631779217946641</c:v>
                </c:pt>
                <c:pt idx="464">
                  <c:v>0.89773000169579309</c:v>
                </c:pt>
                <c:pt idx="465">
                  <c:v>9.2777804192092028E-2</c:v>
                </c:pt>
                <c:pt idx="466">
                  <c:v>1.0860232349839267</c:v>
                </c:pt>
                <c:pt idx="467">
                  <c:v>1.3043396417868465</c:v>
                </c:pt>
                <c:pt idx="468">
                  <c:v>1.1136638840122703</c:v>
                </c:pt>
                <c:pt idx="469">
                  <c:v>0.36902995705420494</c:v>
                </c:pt>
                <c:pt idx="470">
                  <c:v>0.81296109239574499</c:v>
                </c:pt>
                <c:pt idx="471">
                  <c:v>0.87277179882250644</c:v>
                </c:pt>
                <c:pt idx="472">
                  <c:v>1.2967475372252648</c:v>
                </c:pt>
                <c:pt idx="473">
                  <c:v>1.7946496742279812</c:v>
                </c:pt>
                <c:pt idx="474">
                  <c:v>1.0090905119747711</c:v>
                </c:pt>
                <c:pt idx="475">
                  <c:v>0.89275262595309512</c:v>
                </c:pt>
                <c:pt idx="476">
                  <c:v>0.88003834065346309</c:v>
                </c:pt>
                <c:pt idx="477">
                  <c:v>1.2230481534682189</c:v>
                </c:pt>
                <c:pt idx="478">
                  <c:v>-0.42000218640724873</c:v>
                </c:pt>
                <c:pt idx="479">
                  <c:v>0.39069748221685568</c:v>
                </c:pt>
                <c:pt idx="480">
                  <c:v>0.16440428601362833</c:v>
                </c:pt>
                <c:pt idx="481">
                  <c:v>0.63423165286548444</c:v>
                </c:pt>
                <c:pt idx="482">
                  <c:v>0.69693663571491116</c:v>
                </c:pt>
                <c:pt idx="483">
                  <c:v>0.30848261796469745</c:v>
                </c:pt>
                <c:pt idx="484">
                  <c:v>0.28691477822926492</c:v>
                </c:pt>
                <c:pt idx="485">
                  <c:v>0.25874419684508648</c:v>
                </c:pt>
                <c:pt idx="486">
                  <c:v>-0.19989349072623092</c:v>
                </c:pt>
                <c:pt idx="487">
                  <c:v>0.51094465558931734</c:v>
                </c:pt>
                <c:pt idx="488">
                  <c:v>0.11581080616561157</c:v>
                </c:pt>
                <c:pt idx="489">
                  <c:v>0.5778906646517934</c:v>
                </c:pt>
                <c:pt idx="490">
                  <c:v>1.1319222911239513</c:v>
                </c:pt>
                <c:pt idx="491">
                  <c:v>0.97675440850523176</c:v>
                </c:pt>
                <c:pt idx="492">
                  <c:v>0.544586434663207</c:v>
                </c:pt>
                <c:pt idx="493">
                  <c:v>0.85797438042998142</c:v>
                </c:pt>
                <c:pt idx="494">
                  <c:v>0.82347910233686883</c:v>
                </c:pt>
                <c:pt idx="495">
                  <c:v>0.43088160124072195</c:v>
                </c:pt>
                <c:pt idx="496">
                  <c:v>1.0237302489535582E-2</c:v>
                </c:pt>
                <c:pt idx="497">
                  <c:v>0.76942236339907133</c:v>
                </c:pt>
                <c:pt idx="498">
                  <c:v>0.59934346666910021</c:v>
                </c:pt>
                <c:pt idx="499">
                  <c:v>0.84106445392546036</c:v>
                </c:pt>
                <c:pt idx="500">
                  <c:v>1.2554452802865306</c:v>
                </c:pt>
                <c:pt idx="501">
                  <c:v>1.511932244271941</c:v>
                </c:pt>
                <c:pt idx="502">
                  <c:v>1.9082606670947568</c:v>
                </c:pt>
                <c:pt idx="503">
                  <c:v>1.6381132810440198</c:v>
                </c:pt>
                <c:pt idx="504">
                  <c:v>0.92318949500333036</c:v>
                </c:pt>
                <c:pt idx="505">
                  <c:v>0.87520822700609779</c:v>
                </c:pt>
                <c:pt idx="506">
                  <c:v>0.46308607264543938</c:v>
                </c:pt>
                <c:pt idx="507">
                  <c:v>7.2388441797131664E-2</c:v>
                </c:pt>
                <c:pt idx="508">
                  <c:v>1.185471699675114</c:v>
                </c:pt>
                <c:pt idx="509">
                  <c:v>0.64728937299384426</c:v>
                </c:pt>
                <c:pt idx="510">
                  <c:v>-0.27517048886695494</c:v>
                </c:pt>
                <c:pt idx="511">
                  <c:v>0.32390722770711233</c:v>
                </c:pt>
                <c:pt idx="512">
                  <c:v>6.5658565958878645E-2</c:v>
                </c:pt>
                <c:pt idx="513">
                  <c:v>-0.59682462977418416</c:v>
                </c:pt>
                <c:pt idx="514">
                  <c:v>-0.45828344918043462</c:v>
                </c:pt>
                <c:pt idx="515">
                  <c:v>0.75783590313316274</c:v>
                </c:pt>
                <c:pt idx="516">
                  <c:v>0.66763536283064251</c:v>
                </c:pt>
                <c:pt idx="517">
                  <c:v>1.6626288851245692</c:v>
                </c:pt>
                <c:pt idx="518">
                  <c:v>0.63349715735183953</c:v>
                </c:pt>
                <c:pt idx="519">
                  <c:v>0.28331972925388926</c:v>
                </c:pt>
                <c:pt idx="520">
                  <c:v>0.62591840028509826</c:v>
                </c:pt>
                <c:pt idx="521">
                  <c:v>0.58163255076218889</c:v>
                </c:pt>
                <c:pt idx="522">
                  <c:v>0.21420602241110237</c:v>
                </c:pt>
                <c:pt idx="523">
                  <c:v>-0.31737841900614755</c:v>
                </c:pt>
                <c:pt idx="524">
                  <c:v>-4.4285492367067136E-3</c:v>
                </c:pt>
                <c:pt idx="525">
                  <c:v>0.22784366312179591</c:v>
                </c:pt>
                <c:pt idx="526">
                  <c:v>0.25833016446972829</c:v>
                </c:pt>
                <c:pt idx="527">
                  <c:v>0.12620076943058145</c:v>
                </c:pt>
                <c:pt idx="528">
                  <c:v>-0.30401355570654182</c:v>
                </c:pt>
                <c:pt idx="529">
                  <c:v>-0.40623219401569277</c:v>
                </c:pt>
                <c:pt idx="530">
                  <c:v>0.61894248119908524</c:v>
                </c:pt>
                <c:pt idx="531">
                  <c:v>0.7837924844633315</c:v>
                </c:pt>
                <c:pt idx="532">
                  <c:v>1.5052123219914346</c:v>
                </c:pt>
                <c:pt idx="533">
                  <c:v>1.2020473229885382</c:v>
                </c:pt>
                <c:pt idx="534">
                  <c:v>1.9118399227510776</c:v>
                </c:pt>
                <c:pt idx="535">
                  <c:v>1.1344108242158679</c:v>
                </c:pt>
                <c:pt idx="536">
                  <c:v>1.4068784720134382</c:v>
                </c:pt>
                <c:pt idx="537">
                  <c:v>1.1817901611818222</c:v>
                </c:pt>
                <c:pt idx="538">
                  <c:v>1.5053900767319157</c:v>
                </c:pt>
                <c:pt idx="539">
                  <c:v>0.50855292429999954</c:v>
                </c:pt>
                <c:pt idx="540">
                  <c:v>1.582188046457468</c:v>
                </c:pt>
                <c:pt idx="541">
                  <c:v>1.1109760245471123</c:v>
                </c:pt>
                <c:pt idx="542">
                  <c:v>1.2765655468705435</c:v>
                </c:pt>
                <c:pt idx="543">
                  <c:v>1.1183992448221094</c:v>
                </c:pt>
                <c:pt idx="544">
                  <c:v>0.69000007525524176</c:v>
                </c:pt>
                <c:pt idx="545">
                  <c:v>0.60706806189977869</c:v>
                </c:pt>
                <c:pt idx="546">
                  <c:v>0.49124029899703564</c:v>
                </c:pt>
                <c:pt idx="547">
                  <c:v>0.89717899409349411</c:v>
                </c:pt>
                <c:pt idx="548">
                  <c:v>0.67003822362240339</c:v>
                </c:pt>
                <c:pt idx="549">
                  <c:v>1.3402633570715436</c:v>
                </c:pt>
                <c:pt idx="550">
                  <c:v>1.1957205585884356</c:v>
                </c:pt>
                <c:pt idx="551">
                  <c:v>1.522159683614128</c:v>
                </c:pt>
                <c:pt idx="552">
                  <c:v>1.7882740991837518</c:v>
                </c:pt>
                <c:pt idx="553">
                  <c:v>1.3752735942646885</c:v>
                </c:pt>
                <c:pt idx="554">
                  <c:v>0.90616257013871526</c:v>
                </c:pt>
                <c:pt idx="555">
                  <c:v>1.3730981759208423</c:v>
                </c:pt>
                <c:pt idx="556">
                  <c:v>0.53742343447537855</c:v>
                </c:pt>
                <c:pt idx="557">
                  <c:v>1.3242436661877512</c:v>
                </c:pt>
                <c:pt idx="558">
                  <c:v>1.0868369240589566</c:v>
                </c:pt>
                <c:pt idx="559">
                  <c:v>0.53124493331807277</c:v>
                </c:pt>
                <c:pt idx="560">
                  <c:v>-0.60235237432562516</c:v>
                </c:pt>
                <c:pt idx="561">
                  <c:v>0.41266704561406431</c:v>
                </c:pt>
                <c:pt idx="562">
                  <c:v>1.0242144856615167</c:v>
                </c:pt>
                <c:pt idx="563">
                  <c:v>1.0085417031870705</c:v>
                </c:pt>
                <c:pt idx="564">
                  <c:v>0.95021406829554167</c:v>
                </c:pt>
                <c:pt idx="565">
                  <c:v>0.93339020413768548</c:v>
                </c:pt>
                <c:pt idx="566">
                  <c:v>0.64761292887303767</c:v>
                </c:pt>
                <c:pt idx="567">
                  <c:v>1.3026082000078414</c:v>
                </c:pt>
                <c:pt idx="568">
                  <c:v>1.7493299681377663</c:v>
                </c:pt>
                <c:pt idx="569">
                  <c:v>1.2107823288006743</c:v>
                </c:pt>
                <c:pt idx="570">
                  <c:v>1.4323281857809667</c:v>
                </c:pt>
                <c:pt idx="571">
                  <c:v>1.3650567588669635</c:v>
                </c:pt>
                <c:pt idx="572">
                  <c:v>1.3779162276472987</c:v>
                </c:pt>
                <c:pt idx="573">
                  <c:v>1.2709995874521913</c:v>
                </c:pt>
                <c:pt idx="574">
                  <c:v>1.2627162572907629</c:v>
                </c:pt>
                <c:pt idx="575">
                  <c:v>0.75092378222433287</c:v>
                </c:pt>
                <c:pt idx="576">
                  <c:v>0.40302583725208313</c:v>
                </c:pt>
                <c:pt idx="577">
                  <c:v>-0.11088430347595957</c:v>
                </c:pt>
                <c:pt idx="578">
                  <c:v>0.57472225272147526</c:v>
                </c:pt>
                <c:pt idx="579">
                  <c:v>0.83472222131273899</c:v>
                </c:pt>
                <c:pt idx="580">
                  <c:v>0.41356203366542554</c:v>
                </c:pt>
                <c:pt idx="581">
                  <c:v>3.8230083592868835E-2</c:v>
                </c:pt>
                <c:pt idx="582">
                  <c:v>0.1291869705321127</c:v>
                </c:pt>
                <c:pt idx="583">
                  <c:v>0.13304744732935397</c:v>
                </c:pt>
                <c:pt idx="584">
                  <c:v>1.2783428064029088</c:v>
                </c:pt>
                <c:pt idx="585">
                  <c:v>0.46675437104050088</c:v>
                </c:pt>
                <c:pt idx="586">
                  <c:v>1.3714721681647912</c:v>
                </c:pt>
                <c:pt idx="587">
                  <c:v>1.0082935796108585</c:v>
                </c:pt>
                <c:pt idx="588">
                  <c:v>0.36947629685284522</c:v>
                </c:pt>
                <c:pt idx="589">
                  <c:v>0.15817381684250609</c:v>
                </c:pt>
                <c:pt idx="590">
                  <c:v>0.18114928349126252</c:v>
                </c:pt>
                <c:pt idx="591">
                  <c:v>1.1236738208251211</c:v>
                </c:pt>
                <c:pt idx="592">
                  <c:v>0.62847835190686674</c:v>
                </c:pt>
                <c:pt idx="593">
                  <c:v>4.7420135406148756E-3</c:v>
                </c:pt>
                <c:pt idx="594">
                  <c:v>-1.0255464648676105E-2</c:v>
                </c:pt>
                <c:pt idx="595">
                  <c:v>0.7564720003960459</c:v>
                </c:pt>
                <c:pt idx="596">
                  <c:v>0.25252899516264593</c:v>
                </c:pt>
                <c:pt idx="597">
                  <c:v>0.26776431639327192</c:v>
                </c:pt>
                <c:pt idx="598">
                  <c:v>-0.1163432140245978</c:v>
                </c:pt>
              </c:numCache>
            </c:numRef>
          </c:yVal>
          <c:smooth val="0"/>
        </c:ser>
        <c:dLbls>
          <c:showLegendKey val="0"/>
          <c:showVal val="0"/>
          <c:showCatName val="0"/>
          <c:showSerName val="0"/>
          <c:showPercent val="0"/>
          <c:showBubbleSize val="0"/>
        </c:dLbls>
        <c:axId val="-1510687832"/>
        <c:axId val="-1510687440"/>
      </c:scatterChart>
      <c:valAx>
        <c:axId val="-1510687832"/>
        <c:scaling>
          <c:orientation val="minMax"/>
        </c:scaling>
        <c:delete val="1"/>
        <c:axPos val="b"/>
        <c:numFmt formatCode="0.00" sourceLinked="1"/>
        <c:majorTickMark val="out"/>
        <c:minorTickMark val="none"/>
        <c:tickLblPos val="nextTo"/>
        <c:crossAx val="-1510687440"/>
        <c:crosses val="autoZero"/>
        <c:crossBetween val="midCat"/>
      </c:valAx>
      <c:valAx>
        <c:axId val="-1510687440"/>
        <c:scaling>
          <c:orientation val="minMax"/>
        </c:scaling>
        <c:delete val="1"/>
        <c:axPos val="l"/>
        <c:numFmt formatCode="0.00" sourceLinked="1"/>
        <c:majorTickMark val="out"/>
        <c:minorTickMark val="none"/>
        <c:tickLblPos val="nextTo"/>
        <c:crossAx val="-1510687832"/>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939730664507984E-4"/>
          <c:y val="2.5175679171162866E-4"/>
          <c:w val="0.9992906026933549"/>
          <c:h val="0.99974824320828837"/>
        </c:manualLayout>
      </c:layout>
      <c:scatterChart>
        <c:scatterStyle val="lineMarker"/>
        <c:varyColors val="0"/>
        <c:ser>
          <c:idx val="0"/>
          <c:order val="0"/>
          <c:spPr>
            <a:ln w="28575">
              <a:noFill/>
            </a:ln>
          </c:spPr>
          <c:marker>
            <c:symbol val="circle"/>
            <c:size val="3"/>
            <c:spPr>
              <a:solidFill>
                <a:srgbClr val="F69359"/>
              </a:solidFill>
              <a:ln w="9525">
                <a:noFill/>
              </a:ln>
            </c:spPr>
          </c:marker>
          <c:trendline>
            <c:spPr>
              <a:ln w="19050">
                <a:solidFill>
                  <a:srgbClr val="0070C0"/>
                </a:solidFill>
                <a:prstDash val="solid"/>
              </a:ln>
            </c:spPr>
            <c:trendlineType val="linear"/>
            <c:dispRSqr val="1"/>
            <c:dispEq val="1"/>
            <c:trendlineLbl>
              <c:layout>
                <c:manualLayout>
                  <c:x val="-0.5576824392278068"/>
                  <c:y val="-0.11306514109823826"/>
                </c:manualLayout>
              </c:layout>
              <c:numFmt formatCode="0.000" sourceLinked="0"/>
              <c:spPr>
                <a:noFill/>
                <a:ln w="25400">
                  <a:noFill/>
                </a:ln>
              </c:spPr>
              <c:txPr>
                <a:bodyPr/>
                <a:lstStyle/>
                <a:p>
                  <a:pPr algn="l">
                    <a:defRPr sz="1000" b="0" i="0" u="none" strike="noStrike" baseline="0">
                      <a:solidFill>
                        <a:srgbClr val="000000"/>
                      </a:solidFill>
                      <a:latin typeface="Cambria"/>
                      <a:ea typeface="Cambria"/>
                      <a:cs typeface="Cambria"/>
                    </a:defRPr>
                  </a:pPr>
                  <a:endParaRPr lang="en-US"/>
                </a:p>
              </c:txPr>
            </c:trendlineLbl>
          </c:trendline>
          <c:xVal>
            <c:numRef>
              <c:f>simulate!$AR$4:$AR$2004</c:f>
              <c:numCache>
                <c:formatCode>0.00</c:formatCode>
                <c:ptCount val="2001"/>
                <c:pt idx="0">
                  <c:v>-0.58823742601742279</c:v>
                </c:pt>
                <c:pt idx="1">
                  <c:v>0.20907595642038598</c:v>
                </c:pt>
                <c:pt idx="2">
                  <c:v>-0.18937291254396305</c:v>
                </c:pt>
                <c:pt idx="3">
                  <c:v>-2.0590317008866932E-2</c:v>
                </c:pt>
                <c:pt idx="4">
                  <c:v>0.65029393658382983</c:v>
                </c:pt>
                <c:pt idx="5">
                  <c:v>0.82846391331379776</c:v>
                </c:pt>
                <c:pt idx="6">
                  <c:v>0.65434289676332014</c:v>
                </c:pt>
                <c:pt idx="7">
                  <c:v>1.0980447665504822</c:v>
                </c:pt>
                <c:pt idx="8">
                  <c:v>1.2745964651441635</c:v>
                </c:pt>
                <c:pt idx="9">
                  <c:v>1.0393042103829384</c:v>
                </c:pt>
                <c:pt idx="10">
                  <c:v>1.3236794654708717</c:v>
                </c:pt>
                <c:pt idx="11">
                  <c:v>1.0709009611428317</c:v>
                </c:pt>
                <c:pt idx="12">
                  <c:v>0.63050638928510661</c:v>
                </c:pt>
                <c:pt idx="13">
                  <c:v>0.45411584887903755</c:v>
                </c:pt>
                <c:pt idx="14">
                  <c:v>0.82536333895676695</c:v>
                </c:pt>
                <c:pt idx="15">
                  <c:v>0.82624064318961543</c:v>
                </c:pt>
                <c:pt idx="16">
                  <c:v>0.46557657746265857</c:v>
                </c:pt>
                <c:pt idx="17">
                  <c:v>0.56392096976764161</c:v>
                </c:pt>
                <c:pt idx="18">
                  <c:v>0.70408816272049546</c:v>
                </c:pt>
                <c:pt idx="19">
                  <c:v>0.78107923312194028</c:v>
                </c:pt>
                <c:pt idx="20">
                  <c:v>1.0139476944988484</c:v>
                </c:pt>
                <c:pt idx="21">
                  <c:v>0.8247689995258467</c:v>
                </c:pt>
                <c:pt idx="22">
                  <c:v>0.75151897128186473</c:v>
                </c:pt>
                <c:pt idx="23">
                  <c:v>0.17790434696715568</c:v>
                </c:pt>
                <c:pt idx="24">
                  <c:v>0.82987210889886243</c:v>
                </c:pt>
                <c:pt idx="25">
                  <c:v>0.9235764708240124</c:v>
                </c:pt>
                <c:pt idx="26">
                  <c:v>0.65974846958819744</c:v>
                </c:pt>
                <c:pt idx="27">
                  <c:v>0.44864566083767909</c:v>
                </c:pt>
                <c:pt idx="28">
                  <c:v>0.80400279023054333</c:v>
                </c:pt>
                <c:pt idx="29">
                  <c:v>0.57528298699195823</c:v>
                </c:pt>
                <c:pt idx="30">
                  <c:v>0.65844152367444442</c:v>
                </c:pt>
                <c:pt idx="31">
                  <c:v>0.20248318703050905</c:v>
                </c:pt>
                <c:pt idx="32">
                  <c:v>7.1683354527532439E-2</c:v>
                </c:pt>
                <c:pt idx="33">
                  <c:v>0.61436374305414354</c:v>
                </c:pt>
                <c:pt idx="34">
                  <c:v>0.16661457744147845</c:v>
                </c:pt>
                <c:pt idx="35">
                  <c:v>1.3557127868415981</c:v>
                </c:pt>
                <c:pt idx="36">
                  <c:v>1.1850566334994075</c:v>
                </c:pt>
                <c:pt idx="37">
                  <c:v>-7.4549054479451926E-2</c:v>
                </c:pt>
                <c:pt idx="38">
                  <c:v>-0.81134030452689754</c:v>
                </c:pt>
                <c:pt idx="39">
                  <c:v>-0.56852819926119091</c:v>
                </c:pt>
                <c:pt idx="40">
                  <c:v>-0.35039518859045005</c:v>
                </c:pt>
                <c:pt idx="41">
                  <c:v>4.9548484567388085E-2</c:v>
                </c:pt>
                <c:pt idx="42">
                  <c:v>-0.15314265239951841</c:v>
                </c:pt>
                <c:pt idx="43">
                  <c:v>0.8153710746958921</c:v>
                </c:pt>
                <c:pt idx="44">
                  <c:v>0.40357665723910152</c:v>
                </c:pt>
                <c:pt idx="45">
                  <c:v>1.0538016087970445</c:v>
                </c:pt>
                <c:pt idx="46">
                  <c:v>0.69253266558709337</c:v>
                </c:pt>
                <c:pt idx="47">
                  <c:v>0.93282836228541766</c:v>
                </c:pt>
                <c:pt idx="48">
                  <c:v>0.29269877507165776</c:v>
                </c:pt>
                <c:pt idx="49">
                  <c:v>0.44769385752773655</c:v>
                </c:pt>
                <c:pt idx="50">
                  <c:v>0.39236309658143148</c:v>
                </c:pt>
                <c:pt idx="51">
                  <c:v>-0.25409087177520212</c:v>
                </c:pt>
                <c:pt idx="52">
                  <c:v>-2.4830170771160454E-2</c:v>
                </c:pt>
                <c:pt idx="53">
                  <c:v>-0.26606132805772031</c:v>
                </c:pt>
                <c:pt idx="54">
                  <c:v>0.27429109286310449</c:v>
                </c:pt>
                <c:pt idx="55">
                  <c:v>0.25862231741732195</c:v>
                </c:pt>
                <c:pt idx="56">
                  <c:v>0.66504211682956405</c:v>
                </c:pt>
                <c:pt idx="57">
                  <c:v>0.47653941907080466</c:v>
                </c:pt>
                <c:pt idx="58">
                  <c:v>0.85672151126402107</c:v>
                </c:pt>
                <c:pt idx="59">
                  <c:v>0.47845715304480096</c:v>
                </c:pt>
                <c:pt idx="60">
                  <c:v>1.121372937885853</c:v>
                </c:pt>
                <c:pt idx="61">
                  <c:v>0.36409410005186876</c:v>
                </c:pt>
                <c:pt idx="62">
                  <c:v>0.38920227574060912</c:v>
                </c:pt>
                <c:pt idx="63">
                  <c:v>1.2302718060895881</c:v>
                </c:pt>
                <c:pt idx="64">
                  <c:v>1.1616358496642991</c:v>
                </c:pt>
                <c:pt idx="65">
                  <c:v>0.51787692102815297</c:v>
                </c:pt>
                <c:pt idx="66">
                  <c:v>0.61121691585175497</c:v>
                </c:pt>
                <c:pt idx="67">
                  <c:v>0.39073886128402457</c:v>
                </c:pt>
                <c:pt idx="68">
                  <c:v>0.29926481753613488</c:v>
                </c:pt>
                <c:pt idx="69">
                  <c:v>0.22642241330707424</c:v>
                </c:pt>
                <c:pt idx="70">
                  <c:v>0.29991333961412492</c:v>
                </c:pt>
                <c:pt idx="71">
                  <c:v>0.59398427636193429</c:v>
                </c:pt>
                <c:pt idx="72">
                  <c:v>0.85557633587553084</c:v>
                </c:pt>
                <c:pt idx="73">
                  <c:v>0.55980972445049704</c:v>
                </c:pt>
                <c:pt idx="74">
                  <c:v>0.85790017291420928</c:v>
                </c:pt>
                <c:pt idx="75">
                  <c:v>0.64356863007524567</c:v>
                </c:pt>
                <c:pt idx="76">
                  <c:v>0.67294979362285312</c:v>
                </c:pt>
                <c:pt idx="77">
                  <c:v>0.33716007372680823</c:v>
                </c:pt>
                <c:pt idx="78">
                  <c:v>0.56617325806803087</c:v>
                </c:pt>
                <c:pt idx="79">
                  <c:v>0.61345163162121497</c:v>
                </c:pt>
                <c:pt idx="80">
                  <c:v>1.0584993105302976</c:v>
                </c:pt>
                <c:pt idx="81">
                  <c:v>0.41131525105026756</c:v>
                </c:pt>
                <c:pt idx="82">
                  <c:v>1.6522777687015666</c:v>
                </c:pt>
                <c:pt idx="83">
                  <c:v>1.0915866431639656</c:v>
                </c:pt>
                <c:pt idx="84">
                  <c:v>1.5881348742345964</c:v>
                </c:pt>
                <c:pt idx="85">
                  <c:v>1.0909838600802357</c:v>
                </c:pt>
                <c:pt idx="86">
                  <c:v>0.55140694130953971</c:v>
                </c:pt>
                <c:pt idx="87">
                  <c:v>0.44017428744856457</c:v>
                </c:pt>
                <c:pt idx="88">
                  <c:v>0.97257440485475466</c:v>
                </c:pt>
                <c:pt idx="89">
                  <c:v>0.89568262769360685</c:v>
                </c:pt>
                <c:pt idx="90">
                  <c:v>0.72030372045006319</c:v>
                </c:pt>
                <c:pt idx="91">
                  <c:v>0.98068937584396143</c:v>
                </c:pt>
                <c:pt idx="92">
                  <c:v>0.60483197516605824</c:v>
                </c:pt>
                <c:pt idx="93">
                  <c:v>0.53300263572357309</c:v>
                </c:pt>
                <c:pt idx="94">
                  <c:v>0.82936945874794676</c:v>
                </c:pt>
                <c:pt idx="95">
                  <c:v>0.66350537499884965</c:v>
                </c:pt>
                <c:pt idx="96">
                  <c:v>0.70375085935149895</c:v>
                </c:pt>
                <c:pt idx="97">
                  <c:v>1.430929195877765</c:v>
                </c:pt>
                <c:pt idx="98">
                  <c:v>0.95861485234092081</c:v>
                </c:pt>
                <c:pt idx="99">
                  <c:v>0.78686159746518047</c:v>
                </c:pt>
                <c:pt idx="100">
                  <c:v>0.97411928451784102</c:v>
                </c:pt>
                <c:pt idx="101">
                  <c:v>0.73299480412101503</c:v>
                </c:pt>
                <c:pt idx="102">
                  <c:v>1.2203509551709195</c:v>
                </c:pt>
                <c:pt idx="103">
                  <c:v>1.3132575525138668</c:v>
                </c:pt>
                <c:pt idx="104">
                  <c:v>1.5327647633713919</c:v>
                </c:pt>
                <c:pt idx="105">
                  <c:v>1.2331880042559664</c:v>
                </c:pt>
                <c:pt idx="106">
                  <c:v>1.0570508003589079</c:v>
                </c:pt>
                <c:pt idx="107">
                  <c:v>0.62633669699466354</c:v>
                </c:pt>
                <c:pt idx="108">
                  <c:v>0.8900273026943426</c:v>
                </c:pt>
                <c:pt idx="109">
                  <c:v>0.86979772632245844</c:v>
                </c:pt>
                <c:pt idx="110">
                  <c:v>1.1633189744486692</c:v>
                </c:pt>
                <c:pt idx="111">
                  <c:v>1.8663994750951836</c:v>
                </c:pt>
                <c:pt idx="112">
                  <c:v>0.88096292785152275</c:v>
                </c:pt>
                <c:pt idx="113">
                  <c:v>1.0993770668916309</c:v>
                </c:pt>
                <c:pt idx="114">
                  <c:v>1.0836502438427482</c:v>
                </c:pt>
                <c:pt idx="115">
                  <c:v>1.5559345966542151</c:v>
                </c:pt>
                <c:pt idx="116">
                  <c:v>0.62215815296933363</c:v>
                </c:pt>
                <c:pt idx="117">
                  <c:v>0.36814047945192985</c:v>
                </c:pt>
                <c:pt idx="118">
                  <c:v>0.50284165631444133</c:v>
                </c:pt>
                <c:pt idx="119">
                  <c:v>1.0172158573810388</c:v>
                </c:pt>
                <c:pt idx="120">
                  <c:v>0.90138650752829341</c:v>
                </c:pt>
                <c:pt idx="121">
                  <c:v>1.3749411881936977</c:v>
                </c:pt>
                <c:pt idx="122">
                  <c:v>1.1485397178674153</c:v>
                </c:pt>
                <c:pt idx="123">
                  <c:v>1.0551067617246854</c:v>
                </c:pt>
                <c:pt idx="124">
                  <c:v>1.0992096224325389</c:v>
                </c:pt>
                <c:pt idx="125">
                  <c:v>0.67546045972298807</c:v>
                </c:pt>
                <c:pt idx="126">
                  <c:v>0.36203791407668828</c:v>
                </c:pt>
                <c:pt idx="127">
                  <c:v>1.015313909386715</c:v>
                </c:pt>
                <c:pt idx="128">
                  <c:v>1.2054077201997515</c:v>
                </c:pt>
                <c:pt idx="129">
                  <c:v>1.6064845030630437</c:v>
                </c:pt>
                <c:pt idx="130">
                  <c:v>0.6159998108544591</c:v>
                </c:pt>
                <c:pt idx="131">
                  <c:v>0.88395939526444578</c:v>
                </c:pt>
                <c:pt idx="132">
                  <c:v>0.76607969557380451</c:v>
                </c:pt>
                <c:pt idx="133">
                  <c:v>1.3373045198748454</c:v>
                </c:pt>
                <c:pt idx="134">
                  <c:v>0.73167187776261311</c:v>
                </c:pt>
                <c:pt idx="135">
                  <c:v>0.32727662869762797</c:v>
                </c:pt>
                <c:pt idx="136">
                  <c:v>0.91580312564490696</c:v>
                </c:pt>
                <c:pt idx="137">
                  <c:v>0.29275719020583546</c:v>
                </c:pt>
                <c:pt idx="138">
                  <c:v>0.71691435617112431</c:v>
                </c:pt>
                <c:pt idx="139">
                  <c:v>1.0853008704646863</c:v>
                </c:pt>
                <c:pt idx="140">
                  <c:v>0.66244922672971418</c:v>
                </c:pt>
                <c:pt idx="141">
                  <c:v>0.46855531330054251</c:v>
                </c:pt>
                <c:pt idx="142">
                  <c:v>-0.14778937012589044</c:v>
                </c:pt>
                <c:pt idx="143">
                  <c:v>0.17804923463433536</c:v>
                </c:pt>
                <c:pt idx="144">
                  <c:v>1.2684367239207699</c:v>
                </c:pt>
                <c:pt idx="145">
                  <c:v>0.75818571154326364</c:v>
                </c:pt>
                <c:pt idx="146">
                  <c:v>1.2909269750756769</c:v>
                </c:pt>
                <c:pt idx="147">
                  <c:v>0.9594121804618867</c:v>
                </c:pt>
                <c:pt idx="148">
                  <c:v>0.95251363582463788</c:v>
                </c:pt>
                <c:pt idx="149">
                  <c:v>-0.31128910002291732</c:v>
                </c:pt>
                <c:pt idx="150">
                  <c:v>0.47105490085250429</c:v>
                </c:pt>
                <c:pt idx="151">
                  <c:v>0.75984554906222723</c:v>
                </c:pt>
                <c:pt idx="152">
                  <c:v>0.280596753976672</c:v>
                </c:pt>
                <c:pt idx="153">
                  <c:v>0.32478928404293472</c:v>
                </c:pt>
                <c:pt idx="154">
                  <c:v>0.25804299645121109</c:v>
                </c:pt>
                <c:pt idx="155">
                  <c:v>0.15974497182245168</c:v>
                </c:pt>
                <c:pt idx="156">
                  <c:v>0.10626834661404591</c:v>
                </c:pt>
                <c:pt idx="157">
                  <c:v>0.61216524338268474</c:v>
                </c:pt>
                <c:pt idx="158">
                  <c:v>0.27831615140988042</c:v>
                </c:pt>
                <c:pt idx="159">
                  <c:v>0.20886300801071433</c:v>
                </c:pt>
                <c:pt idx="160">
                  <c:v>0.32961137354590059</c:v>
                </c:pt>
                <c:pt idx="161">
                  <c:v>0.8167778327243651</c:v>
                </c:pt>
                <c:pt idx="162">
                  <c:v>0.94220483578828318</c:v>
                </c:pt>
                <c:pt idx="163">
                  <c:v>0.79647559498955234</c:v>
                </c:pt>
                <c:pt idx="164">
                  <c:v>0.48611353383974776</c:v>
                </c:pt>
                <c:pt idx="165">
                  <c:v>0.91302080357441684</c:v>
                </c:pt>
                <c:pt idx="166">
                  <c:v>0.75518468422673624</c:v>
                </c:pt>
                <c:pt idx="167">
                  <c:v>0.75956844605942353</c:v>
                </c:pt>
                <c:pt idx="168">
                  <c:v>0.82636848620736258</c:v>
                </c:pt>
                <c:pt idx="169">
                  <c:v>0.79268501242648781</c:v>
                </c:pt>
                <c:pt idx="170">
                  <c:v>0.42927120754216208</c:v>
                </c:pt>
                <c:pt idx="171">
                  <c:v>1.0851345790251801</c:v>
                </c:pt>
                <c:pt idx="172">
                  <c:v>-0.1570214362225566</c:v>
                </c:pt>
                <c:pt idx="173">
                  <c:v>0.31041734397166532</c:v>
                </c:pt>
                <c:pt idx="174">
                  <c:v>0.83535887252246832</c:v>
                </c:pt>
                <c:pt idx="175">
                  <c:v>0.13759148681582997</c:v>
                </c:pt>
                <c:pt idx="176">
                  <c:v>0.28582233656881045</c:v>
                </c:pt>
                <c:pt idx="177">
                  <c:v>0.55599285689457167</c:v>
                </c:pt>
                <c:pt idx="178">
                  <c:v>0.77896602598026266</c:v>
                </c:pt>
                <c:pt idx="179">
                  <c:v>0.17704929135030523</c:v>
                </c:pt>
                <c:pt idx="180">
                  <c:v>-0.31464943814768687</c:v>
                </c:pt>
                <c:pt idx="181">
                  <c:v>5.3280038530175267E-2</c:v>
                </c:pt>
                <c:pt idx="182">
                  <c:v>0.51436717857459735</c:v>
                </c:pt>
                <c:pt idx="183">
                  <c:v>0.6827133489248931</c:v>
                </c:pt>
                <c:pt idx="184">
                  <c:v>1.2225900608909055</c:v>
                </c:pt>
                <c:pt idx="185">
                  <c:v>1.4014331787944403</c:v>
                </c:pt>
                <c:pt idx="186">
                  <c:v>1.0830465294048095</c:v>
                </c:pt>
                <c:pt idx="187">
                  <c:v>1.2083111348946711</c:v>
                </c:pt>
                <c:pt idx="188">
                  <c:v>1.1400495523958132</c:v>
                </c:pt>
                <c:pt idx="189">
                  <c:v>0.61888993466214037</c:v>
                </c:pt>
                <c:pt idx="190">
                  <c:v>0.6503986808804183</c:v>
                </c:pt>
                <c:pt idx="191">
                  <c:v>1.3982225379438751</c:v>
                </c:pt>
                <c:pt idx="192">
                  <c:v>1.1770445495851671</c:v>
                </c:pt>
                <c:pt idx="193">
                  <c:v>0.68752375280473577</c:v>
                </c:pt>
                <c:pt idx="194">
                  <c:v>0.64399637014810573</c:v>
                </c:pt>
                <c:pt idx="195">
                  <c:v>1.0052833990179846</c:v>
                </c:pt>
                <c:pt idx="196">
                  <c:v>1.0026259400999897</c:v>
                </c:pt>
                <c:pt idx="197">
                  <c:v>1.1394867374134066</c:v>
                </c:pt>
                <c:pt idx="198">
                  <c:v>0.47144968408554977</c:v>
                </c:pt>
                <c:pt idx="199">
                  <c:v>0.54659535586867691</c:v>
                </c:pt>
                <c:pt idx="200">
                  <c:v>-2.5100729391488275E-2</c:v>
                </c:pt>
                <c:pt idx="201">
                  <c:v>0.73861588214349561</c:v>
                </c:pt>
                <c:pt idx="202">
                  <c:v>1.2866324568741216</c:v>
                </c:pt>
                <c:pt idx="203">
                  <c:v>1.8240515714344125</c:v>
                </c:pt>
                <c:pt idx="204">
                  <c:v>1.0982946410702508</c:v>
                </c:pt>
                <c:pt idx="205">
                  <c:v>1.5899382531254358</c:v>
                </c:pt>
                <c:pt idx="206">
                  <c:v>1.1494659085500278</c:v>
                </c:pt>
                <c:pt idx="207">
                  <c:v>0.34335025269765262</c:v>
                </c:pt>
                <c:pt idx="208">
                  <c:v>0.55065433573142419</c:v>
                </c:pt>
                <c:pt idx="209">
                  <c:v>0.2489395353068945</c:v>
                </c:pt>
                <c:pt idx="210">
                  <c:v>0.52447350897979872</c:v>
                </c:pt>
                <c:pt idx="211">
                  <c:v>0.19241431851551033</c:v>
                </c:pt>
                <c:pt idx="212">
                  <c:v>1.0126820363869924</c:v>
                </c:pt>
                <c:pt idx="213">
                  <c:v>1.3543997237013596</c:v>
                </c:pt>
                <c:pt idx="214">
                  <c:v>0.53691736838057436</c:v>
                </c:pt>
                <c:pt idx="215">
                  <c:v>0.69965860313285155</c:v>
                </c:pt>
                <c:pt idx="216">
                  <c:v>9.0669874036364506E-2</c:v>
                </c:pt>
                <c:pt idx="217">
                  <c:v>9.4357133130824444E-2</c:v>
                </c:pt>
                <c:pt idx="218">
                  <c:v>0.18432515836059832</c:v>
                </c:pt>
                <c:pt idx="219">
                  <c:v>0.36596869173701752</c:v>
                </c:pt>
                <c:pt idx="220">
                  <c:v>0.76874494341986166</c:v>
                </c:pt>
                <c:pt idx="221">
                  <c:v>0.76908161767862193</c:v>
                </c:pt>
                <c:pt idx="222">
                  <c:v>1.4339642609844816</c:v>
                </c:pt>
                <c:pt idx="223">
                  <c:v>1.0457837211555805</c:v>
                </c:pt>
                <c:pt idx="224">
                  <c:v>0.76514639875113577</c:v>
                </c:pt>
                <c:pt idx="225">
                  <c:v>0.71270883290130416</c:v>
                </c:pt>
                <c:pt idx="226">
                  <c:v>0.22567647618231529</c:v>
                </c:pt>
                <c:pt idx="227">
                  <c:v>-0.21378980704886938</c:v>
                </c:pt>
                <c:pt idx="228">
                  <c:v>-0.55828163052600588</c:v>
                </c:pt>
                <c:pt idx="229">
                  <c:v>-0.52547127289014739</c:v>
                </c:pt>
                <c:pt idx="230">
                  <c:v>-0.57264079970188919</c:v>
                </c:pt>
                <c:pt idx="231">
                  <c:v>-0.46064294940153871</c:v>
                </c:pt>
                <c:pt idx="232">
                  <c:v>0.47319580760194768</c:v>
                </c:pt>
                <c:pt idx="233">
                  <c:v>0.52006923391340154</c:v>
                </c:pt>
                <c:pt idx="234">
                  <c:v>0.39294419359147154</c:v>
                </c:pt>
                <c:pt idx="235">
                  <c:v>0.66049501708434133</c:v>
                </c:pt>
                <c:pt idx="236">
                  <c:v>0.49319398425116262</c:v>
                </c:pt>
                <c:pt idx="237">
                  <c:v>0.99959471021366109</c:v>
                </c:pt>
                <c:pt idx="238">
                  <c:v>0.58056598842246898</c:v>
                </c:pt>
                <c:pt idx="239">
                  <c:v>1.1367930802177644</c:v>
                </c:pt>
                <c:pt idx="240">
                  <c:v>1.0642785584070513</c:v>
                </c:pt>
                <c:pt idx="241">
                  <c:v>1.4123233012965162</c:v>
                </c:pt>
                <c:pt idx="242">
                  <c:v>1.3235572486390041</c:v>
                </c:pt>
                <c:pt idx="243">
                  <c:v>0.99100777280277841</c:v>
                </c:pt>
                <c:pt idx="244">
                  <c:v>0.9389439520282663</c:v>
                </c:pt>
                <c:pt idx="245">
                  <c:v>0.69504928686883194</c:v>
                </c:pt>
                <c:pt idx="246">
                  <c:v>0.72422727023107469</c:v>
                </c:pt>
                <c:pt idx="247">
                  <c:v>1.1796468099422421</c:v>
                </c:pt>
                <c:pt idx="248">
                  <c:v>0.54484194924001561</c:v>
                </c:pt>
                <c:pt idx="249">
                  <c:v>0.55195767053366507</c:v>
                </c:pt>
                <c:pt idx="250">
                  <c:v>0.68412170979117182</c:v>
                </c:pt>
                <c:pt idx="251">
                  <c:v>-4.3874333237885588E-2</c:v>
                </c:pt>
                <c:pt idx="252">
                  <c:v>0.26527584220336198</c:v>
                </c:pt>
                <c:pt idx="253">
                  <c:v>1.1368742559833915</c:v>
                </c:pt>
                <c:pt idx="254">
                  <c:v>0.95755206781640012</c:v>
                </c:pt>
                <c:pt idx="255">
                  <c:v>0.56933263821003188</c:v>
                </c:pt>
                <c:pt idx="256">
                  <c:v>0.22295547004587118</c:v>
                </c:pt>
                <c:pt idx="257">
                  <c:v>0.74030138855452932</c:v>
                </c:pt>
                <c:pt idx="258">
                  <c:v>0.34154768635234634</c:v>
                </c:pt>
                <c:pt idx="259">
                  <c:v>0.35039914138452011</c:v>
                </c:pt>
                <c:pt idx="260">
                  <c:v>0.82649334137389885</c:v>
                </c:pt>
                <c:pt idx="261">
                  <c:v>1.0577985205519864</c:v>
                </c:pt>
                <c:pt idx="262">
                  <c:v>1.1219444114641002</c:v>
                </c:pt>
                <c:pt idx="263">
                  <c:v>0.90928282999892029</c:v>
                </c:pt>
                <c:pt idx="264">
                  <c:v>1.3280313332660834</c:v>
                </c:pt>
                <c:pt idx="265">
                  <c:v>1.223405890807622</c:v>
                </c:pt>
                <c:pt idx="266">
                  <c:v>1.2260524901602217</c:v>
                </c:pt>
                <c:pt idx="267">
                  <c:v>0.97170337559226705</c:v>
                </c:pt>
                <c:pt idx="268">
                  <c:v>1.2051232411738824</c:v>
                </c:pt>
                <c:pt idx="269">
                  <c:v>0.465854850364119</c:v>
                </c:pt>
                <c:pt idx="270">
                  <c:v>0.35395704146086387</c:v>
                </c:pt>
                <c:pt idx="271">
                  <c:v>0.25184465062061145</c:v>
                </c:pt>
                <c:pt idx="272">
                  <c:v>0.98084445170721779</c:v>
                </c:pt>
                <c:pt idx="273">
                  <c:v>0.4783235679374806</c:v>
                </c:pt>
                <c:pt idx="274">
                  <c:v>0.60339129274258907</c:v>
                </c:pt>
                <c:pt idx="275">
                  <c:v>0.6844573676839576</c:v>
                </c:pt>
                <c:pt idx="276">
                  <c:v>0.38515108300600065</c:v>
                </c:pt>
                <c:pt idx="277">
                  <c:v>0.71864691294202609</c:v>
                </c:pt>
                <c:pt idx="278">
                  <c:v>0.75525141270399665</c:v>
                </c:pt>
                <c:pt idx="279">
                  <c:v>0.89559396028496063</c:v>
                </c:pt>
                <c:pt idx="280">
                  <c:v>0.6564464585761165</c:v>
                </c:pt>
                <c:pt idx="281">
                  <c:v>1.0297597376672294</c:v>
                </c:pt>
                <c:pt idx="282">
                  <c:v>0.75978875614749719</c:v>
                </c:pt>
                <c:pt idx="283">
                  <c:v>0.89779639625664065</c:v>
                </c:pt>
                <c:pt idx="284">
                  <c:v>0.99000354394009538</c:v>
                </c:pt>
                <c:pt idx="285">
                  <c:v>1.0269294767602331</c:v>
                </c:pt>
                <c:pt idx="286">
                  <c:v>0.53605156757789618</c:v>
                </c:pt>
                <c:pt idx="287">
                  <c:v>1.3035919661523161</c:v>
                </c:pt>
                <c:pt idx="288">
                  <c:v>0.87175584640792858</c:v>
                </c:pt>
                <c:pt idx="289">
                  <c:v>0.74188695305281216</c:v>
                </c:pt>
                <c:pt idx="290">
                  <c:v>0.32209123360379299</c:v>
                </c:pt>
                <c:pt idx="291">
                  <c:v>0.1867633622410699</c:v>
                </c:pt>
                <c:pt idx="292">
                  <c:v>0.25559611859425613</c:v>
                </c:pt>
                <c:pt idx="293">
                  <c:v>-3.3055365205713172E-2</c:v>
                </c:pt>
                <c:pt idx="294">
                  <c:v>-9.6739799593122677E-3</c:v>
                </c:pt>
                <c:pt idx="295">
                  <c:v>0.30008611538599239</c:v>
                </c:pt>
                <c:pt idx="296">
                  <c:v>0.14979346238933738</c:v>
                </c:pt>
                <c:pt idx="297">
                  <c:v>0.28418159006014565</c:v>
                </c:pt>
                <c:pt idx="298">
                  <c:v>0.4332754525268967</c:v>
                </c:pt>
                <c:pt idx="299">
                  <c:v>2.6231228693899267E-2</c:v>
                </c:pt>
                <c:pt idx="300">
                  <c:v>0.48127575565445824</c:v>
                </c:pt>
                <c:pt idx="301">
                  <c:v>0.73371885080063604</c:v>
                </c:pt>
                <c:pt idx="302">
                  <c:v>0.72893568922836993</c:v>
                </c:pt>
                <c:pt idx="303">
                  <c:v>1.3246956707324231</c:v>
                </c:pt>
                <c:pt idx="304">
                  <c:v>0.81332248345021274</c:v>
                </c:pt>
                <c:pt idx="305">
                  <c:v>0.874472379763922</c:v>
                </c:pt>
                <c:pt idx="306">
                  <c:v>1.0584297266740244</c:v>
                </c:pt>
                <c:pt idx="307">
                  <c:v>1.7619762435896029</c:v>
                </c:pt>
                <c:pt idx="308">
                  <c:v>1.5760659983512189</c:v>
                </c:pt>
                <c:pt idx="309">
                  <c:v>0.85426884299391137</c:v>
                </c:pt>
                <c:pt idx="310">
                  <c:v>0.33507894072889688</c:v>
                </c:pt>
                <c:pt idx="311">
                  <c:v>0.53833222188302665</c:v>
                </c:pt>
                <c:pt idx="312">
                  <c:v>0.29612381758599415</c:v>
                </c:pt>
                <c:pt idx="313">
                  <c:v>0.57540795212191731</c:v>
                </c:pt>
                <c:pt idx="314">
                  <c:v>-0.24734994983137881</c:v>
                </c:pt>
                <c:pt idx="315">
                  <c:v>0.50243104858770882</c:v>
                </c:pt>
                <c:pt idx="316">
                  <c:v>1.0293747507110138</c:v>
                </c:pt>
                <c:pt idx="317">
                  <c:v>0.74075188704826667</c:v>
                </c:pt>
                <c:pt idx="318">
                  <c:v>0.69616388638715043</c:v>
                </c:pt>
                <c:pt idx="319">
                  <c:v>0.76387376606722757</c:v>
                </c:pt>
                <c:pt idx="320">
                  <c:v>0.89345119611403856</c:v>
                </c:pt>
                <c:pt idx="321">
                  <c:v>0.64652853034742741</c:v>
                </c:pt>
                <c:pt idx="322">
                  <c:v>0.71513462372487613</c:v>
                </c:pt>
                <c:pt idx="323">
                  <c:v>0.15123831252794323</c:v>
                </c:pt>
                <c:pt idx="324">
                  <c:v>0.48515716334656478</c:v>
                </c:pt>
                <c:pt idx="325">
                  <c:v>0.16855820187692694</c:v>
                </c:pt>
                <c:pt idx="326">
                  <c:v>-0.24999663356925861</c:v>
                </c:pt>
                <c:pt idx="327">
                  <c:v>0.64843885872583751</c:v>
                </c:pt>
                <c:pt idx="328">
                  <c:v>1.0746642757190683</c:v>
                </c:pt>
                <c:pt idx="329">
                  <c:v>1.0002282394952626</c:v>
                </c:pt>
                <c:pt idx="330">
                  <c:v>1.0161560772840663</c:v>
                </c:pt>
                <c:pt idx="331">
                  <c:v>0.72455799831374768</c:v>
                </c:pt>
                <c:pt idx="332">
                  <c:v>1.1860737947976885</c:v>
                </c:pt>
                <c:pt idx="333">
                  <c:v>0.68039182219598904</c:v>
                </c:pt>
                <c:pt idx="334">
                  <c:v>0.3085058185939169</c:v>
                </c:pt>
                <c:pt idx="335">
                  <c:v>0.7641402885401023</c:v>
                </c:pt>
                <c:pt idx="336">
                  <c:v>0.784516205955202</c:v>
                </c:pt>
                <c:pt idx="337">
                  <c:v>0.29533333974887899</c:v>
                </c:pt>
                <c:pt idx="338">
                  <c:v>1.1223754154244001</c:v>
                </c:pt>
                <c:pt idx="339">
                  <c:v>0.95537343648047524</c:v>
                </c:pt>
                <c:pt idx="340">
                  <c:v>0.46260723278498805</c:v>
                </c:pt>
                <c:pt idx="341">
                  <c:v>1.3484177587318869</c:v>
                </c:pt>
                <c:pt idx="342">
                  <c:v>1.1865431808086491</c:v>
                </c:pt>
                <c:pt idx="343">
                  <c:v>0.12319855922643785</c:v>
                </c:pt>
                <c:pt idx="344">
                  <c:v>0.26689733978666524</c:v>
                </c:pt>
                <c:pt idx="345">
                  <c:v>1.0381689500537057</c:v>
                </c:pt>
                <c:pt idx="346">
                  <c:v>1.415860521078665</c:v>
                </c:pt>
                <c:pt idx="347">
                  <c:v>0.48961152712982681</c:v>
                </c:pt>
                <c:pt idx="348">
                  <c:v>0.61398176191045128</c:v>
                </c:pt>
                <c:pt idx="349">
                  <c:v>1.0109375373518716</c:v>
                </c:pt>
                <c:pt idx="350">
                  <c:v>0.66736959947260388</c:v>
                </c:pt>
                <c:pt idx="351">
                  <c:v>1.677023124332488</c:v>
                </c:pt>
                <c:pt idx="352">
                  <c:v>0.6158808748961867</c:v>
                </c:pt>
                <c:pt idx="353">
                  <c:v>0.618866704661028</c:v>
                </c:pt>
                <c:pt idx="354">
                  <c:v>1.2723914879754941</c:v>
                </c:pt>
                <c:pt idx="355">
                  <c:v>0.69715192998292852</c:v>
                </c:pt>
                <c:pt idx="356">
                  <c:v>1.2061673243534781</c:v>
                </c:pt>
                <c:pt idx="357">
                  <c:v>0.33292098412044102</c:v>
                </c:pt>
                <c:pt idx="358">
                  <c:v>0.28328522335443351</c:v>
                </c:pt>
                <c:pt idx="359">
                  <c:v>0.5000817882629861</c:v>
                </c:pt>
                <c:pt idx="360">
                  <c:v>0.10591497954683043</c:v>
                </c:pt>
                <c:pt idx="361">
                  <c:v>0.43165599750773948</c:v>
                </c:pt>
                <c:pt idx="362">
                  <c:v>0.5737569538706353</c:v>
                </c:pt>
                <c:pt idx="363">
                  <c:v>0.70876390582016224</c:v>
                </c:pt>
                <c:pt idx="364">
                  <c:v>0.32566961941263189</c:v>
                </c:pt>
                <c:pt idx="365">
                  <c:v>0.47952355176686545</c:v>
                </c:pt>
                <c:pt idx="366">
                  <c:v>0.80776819707127179</c:v>
                </c:pt>
                <c:pt idx="367">
                  <c:v>0.41264543855912461</c:v>
                </c:pt>
                <c:pt idx="368">
                  <c:v>0.56634941174309994</c:v>
                </c:pt>
                <c:pt idx="369">
                  <c:v>0.13429286471043411</c:v>
                </c:pt>
                <c:pt idx="370">
                  <c:v>-0.25886830921359888</c:v>
                </c:pt>
                <c:pt idx="371">
                  <c:v>0.83398705060026468</c:v>
                </c:pt>
                <c:pt idx="372">
                  <c:v>0.61121089054599886</c:v>
                </c:pt>
                <c:pt idx="373">
                  <c:v>1.2271495832946546</c:v>
                </c:pt>
                <c:pt idx="374">
                  <c:v>1.1801322243700398</c:v>
                </c:pt>
                <c:pt idx="375">
                  <c:v>0.80361183038853468</c:v>
                </c:pt>
                <c:pt idx="376">
                  <c:v>1.2435488149943041</c:v>
                </c:pt>
                <c:pt idx="377">
                  <c:v>0.61089096325230008</c:v>
                </c:pt>
                <c:pt idx="378">
                  <c:v>0.39645513644069819</c:v>
                </c:pt>
                <c:pt idx="379">
                  <c:v>0.71074213268527697</c:v>
                </c:pt>
                <c:pt idx="380">
                  <c:v>0.13851347738424691</c:v>
                </c:pt>
                <c:pt idx="381">
                  <c:v>0.80873293657649825</c:v>
                </c:pt>
                <c:pt idx="382">
                  <c:v>0.81875651068700639</c:v>
                </c:pt>
                <c:pt idx="383">
                  <c:v>0.93265933182822347</c:v>
                </c:pt>
                <c:pt idx="384">
                  <c:v>1.0136029116207599</c:v>
                </c:pt>
                <c:pt idx="385">
                  <c:v>1.0729535017115841</c:v>
                </c:pt>
                <c:pt idx="386">
                  <c:v>0.66616211831149663</c:v>
                </c:pt>
                <c:pt idx="387">
                  <c:v>0.34630532862967617</c:v>
                </c:pt>
                <c:pt idx="388">
                  <c:v>0.44094342543276088</c:v>
                </c:pt>
                <c:pt idx="389">
                  <c:v>0.81620335128510146</c:v>
                </c:pt>
                <c:pt idx="390">
                  <c:v>0.40854068020605172</c:v>
                </c:pt>
                <c:pt idx="391">
                  <c:v>1.2782672546537943</c:v>
                </c:pt>
                <c:pt idx="392">
                  <c:v>1.4761957601803686</c:v>
                </c:pt>
                <c:pt idx="393">
                  <c:v>0.93942930342506992</c:v>
                </c:pt>
                <c:pt idx="394">
                  <c:v>4.874275742916534E-2</c:v>
                </c:pt>
                <c:pt idx="395">
                  <c:v>0.4373458406768827</c:v>
                </c:pt>
                <c:pt idx="396">
                  <c:v>0.8215182928982534</c:v>
                </c:pt>
                <c:pt idx="397">
                  <c:v>1.7034177337354148</c:v>
                </c:pt>
                <c:pt idx="398">
                  <c:v>1.3254150764683335</c:v>
                </c:pt>
                <c:pt idx="399">
                  <c:v>1.0504902142769341</c:v>
                </c:pt>
                <c:pt idx="400">
                  <c:v>0.61714135596304998</c:v>
                </c:pt>
                <c:pt idx="401">
                  <c:v>-0.13194289979483786</c:v>
                </c:pt>
                <c:pt idx="402">
                  <c:v>0.14737243405617353</c:v>
                </c:pt>
                <c:pt idx="403">
                  <c:v>-0.11087470819250439</c:v>
                </c:pt>
                <c:pt idx="404">
                  <c:v>0.49815583532294339</c:v>
                </c:pt>
                <c:pt idx="405">
                  <c:v>-0.63641873502336899</c:v>
                </c:pt>
                <c:pt idx="406">
                  <c:v>-0.17072326987472516</c:v>
                </c:pt>
                <c:pt idx="407">
                  <c:v>0.23895000140856174</c:v>
                </c:pt>
                <c:pt idx="408">
                  <c:v>-0.32564621941846977</c:v>
                </c:pt>
                <c:pt idx="409">
                  <c:v>-2.8943292743663085E-3</c:v>
                </c:pt>
                <c:pt idx="410">
                  <c:v>-0.17737725643529029</c:v>
                </c:pt>
                <c:pt idx="411">
                  <c:v>-0.96359309998281528</c:v>
                </c:pt>
                <c:pt idx="412">
                  <c:v>-0.93845919767387476</c:v>
                </c:pt>
                <c:pt idx="413">
                  <c:v>-0.61219108693296242</c:v>
                </c:pt>
                <c:pt idx="414">
                  <c:v>0.48376961324435458</c:v>
                </c:pt>
                <c:pt idx="415">
                  <c:v>0.60729210874312944</c:v>
                </c:pt>
                <c:pt idx="416">
                  <c:v>0.24809750889173088</c:v>
                </c:pt>
                <c:pt idx="417">
                  <c:v>0.75028790611784935</c:v>
                </c:pt>
                <c:pt idx="418">
                  <c:v>0.63797274225247547</c:v>
                </c:pt>
                <c:pt idx="419">
                  <c:v>1.3254738866997071</c:v>
                </c:pt>
                <c:pt idx="420">
                  <c:v>-0.22714671963040356</c:v>
                </c:pt>
                <c:pt idx="421">
                  <c:v>0.46491345224960001</c:v>
                </c:pt>
                <c:pt idx="422">
                  <c:v>0.63346069365289093</c:v>
                </c:pt>
                <c:pt idx="423">
                  <c:v>0.79051029199336575</c:v>
                </c:pt>
                <c:pt idx="424">
                  <c:v>1.2911463987185532</c:v>
                </c:pt>
                <c:pt idx="425">
                  <c:v>0.74809795051451178</c:v>
                </c:pt>
                <c:pt idx="426">
                  <c:v>0.77119991879229521</c:v>
                </c:pt>
                <c:pt idx="427">
                  <c:v>0.75996760240611838</c:v>
                </c:pt>
                <c:pt idx="428">
                  <c:v>1.1410842011242017</c:v>
                </c:pt>
                <c:pt idx="429">
                  <c:v>0.8417670518657635</c:v>
                </c:pt>
                <c:pt idx="430">
                  <c:v>0.90441870647837752</c:v>
                </c:pt>
                <c:pt idx="431">
                  <c:v>0.4747825585398236</c:v>
                </c:pt>
                <c:pt idx="432">
                  <c:v>0.7185707701508921</c:v>
                </c:pt>
                <c:pt idx="433">
                  <c:v>1.0397277536301877</c:v>
                </c:pt>
                <c:pt idx="434">
                  <c:v>1.8409473443647817</c:v>
                </c:pt>
                <c:pt idx="435">
                  <c:v>1.0963313363456311</c:v>
                </c:pt>
                <c:pt idx="436">
                  <c:v>0.17580398397018215</c:v>
                </c:pt>
                <c:pt idx="437">
                  <c:v>0.79206332830753645</c:v>
                </c:pt>
                <c:pt idx="438">
                  <c:v>0.56728977974171968</c:v>
                </c:pt>
                <c:pt idx="439">
                  <c:v>0.87821261670741946</c:v>
                </c:pt>
                <c:pt idx="440">
                  <c:v>0.10418425979593204</c:v>
                </c:pt>
                <c:pt idx="441">
                  <c:v>0.54075458110964547</c:v>
                </c:pt>
                <c:pt idx="442">
                  <c:v>0.46486590798432398</c:v>
                </c:pt>
                <c:pt idx="443">
                  <c:v>0.66097264418399981</c:v>
                </c:pt>
                <c:pt idx="444">
                  <c:v>0.47991475187977078</c:v>
                </c:pt>
                <c:pt idx="445">
                  <c:v>0.82959638910556155</c:v>
                </c:pt>
                <c:pt idx="446">
                  <c:v>0.59493097658124605</c:v>
                </c:pt>
                <c:pt idx="447">
                  <c:v>0.53296398124356303</c:v>
                </c:pt>
                <c:pt idx="448">
                  <c:v>0.49995738036542414</c:v>
                </c:pt>
                <c:pt idx="449">
                  <c:v>0.62716206418711207</c:v>
                </c:pt>
                <c:pt idx="450">
                  <c:v>0.53670047943286581</c:v>
                </c:pt>
                <c:pt idx="451">
                  <c:v>0.19289492892170113</c:v>
                </c:pt>
                <c:pt idx="452">
                  <c:v>1.4542994168266552</c:v>
                </c:pt>
                <c:pt idx="453">
                  <c:v>1.0039497288044326</c:v>
                </c:pt>
                <c:pt idx="454">
                  <c:v>1.4356760103087631</c:v>
                </c:pt>
                <c:pt idx="455">
                  <c:v>0.67095971005476751</c:v>
                </c:pt>
                <c:pt idx="456">
                  <c:v>1.1294658713399492</c:v>
                </c:pt>
                <c:pt idx="457">
                  <c:v>1.0599149051705563</c:v>
                </c:pt>
                <c:pt idx="458">
                  <c:v>0.4545262192627687</c:v>
                </c:pt>
                <c:pt idx="459">
                  <c:v>0.77869148751740758</c:v>
                </c:pt>
                <c:pt idx="460">
                  <c:v>1.4993506280267466</c:v>
                </c:pt>
                <c:pt idx="461">
                  <c:v>0.89252372139923641</c:v>
                </c:pt>
                <c:pt idx="462">
                  <c:v>1.5005831410386481</c:v>
                </c:pt>
                <c:pt idx="463">
                  <c:v>1.3112248064910146</c:v>
                </c:pt>
                <c:pt idx="464">
                  <c:v>0.61438432347848004</c:v>
                </c:pt>
                <c:pt idx="465">
                  <c:v>6.5118364340932988E-2</c:v>
                </c:pt>
                <c:pt idx="466">
                  <c:v>0.70901042967946282</c:v>
                </c:pt>
                <c:pt idx="467">
                  <c:v>1.3293430626798433</c:v>
                </c:pt>
                <c:pt idx="468">
                  <c:v>1.4729759208776632</c:v>
                </c:pt>
                <c:pt idx="469">
                  <c:v>0.71060442620599928</c:v>
                </c:pt>
                <c:pt idx="470">
                  <c:v>0.54313585119660424</c:v>
                </c:pt>
                <c:pt idx="471">
                  <c:v>1.3375030828993399</c:v>
                </c:pt>
                <c:pt idx="472">
                  <c:v>1.0481187054096881</c:v>
                </c:pt>
                <c:pt idx="473">
                  <c:v>1.6208750018832137</c:v>
                </c:pt>
                <c:pt idx="474">
                  <c:v>1.1062208774188729</c:v>
                </c:pt>
                <c:pt idx="475">
                  <c:v>1.132119986146912</c:v>
                </c:pt>
                <c:pt idx="476">
                  <c:v>0.86164086992541833</c:v>
                </c:pt>
                <c:pt idx="477">
                  <c:v>1.2522440402878505</c:v>
                </c:pt>
                <c:pt idx="478">
                  <c:v>0.48898372618516961</c:v>
                </c:pt>
                <c:pt idx="479">
                  <c:v>0.16513103621482317</c:v>
                </c:pt>
                <c:pt idx="480">
                  <c:v>0.59122357800712266</c:v>
                </c:pt>
                <c:pt idx="481">
                  <c:v>0.73983293026785968</c:v>
                </c:pt>
                <c:pt idx="482">
                  <c:v>0.56980133791745302</c:v>
                </c:pt>
                <c:pt idx="483">
                  <c:v>0.46236630244808319</c:v>
                </c:pt>
                <c:pt idx="484">
                  <c:v>0.25554607137048568</c:v>
                </c:pt>
                <c:pt idx="485">
                  <c:v>0.22423246735453811</c:v>
                </c:pt>
                <c:pt idx="486">
                  <c:v>0.78905069711408582</c:v>
                </c:pt>
                <c:pt idx="487">
                  <c:v>0.59813320460145092</c:v>
                </c:pt>
                <c:pt idx="488">
                  <c:v>0.54706997580717898</c:v>
                </c:pt>
                <c:pt idx="489">
                  <c:v>0.78783453046749785</c:v>
                </c:pt>
                <c:pt idx="490">
                  <c:v>0.35809439951979855</c:v>
                </c:pt>
                <c:pt idx="491">
                  <c:v>0.80673121875438447</c:v>
                </c:pt>
                <c:pt idx="492">
                  <c:v>0.23242819252323577</c:v>
                </c:pt>
                <c:pt idx="493">
                  <c:v>1.117146895711139</c:v>
                </c:pt>
                <c:pt idx="494">
                  <c:v>1.4120649333741995</c:v>
                </c:pt>
                <c:pt idx="495">
                  <c:v>0.92713120355251843</c:v>
                </c:pt>
                <c:pt idx="496">
                  <c:v>-0.1175293298214225</c:v>
                </c:pt>
                <c:pt idx="497">
                  <c:v>0.90535888341478232</c:v>
                </c:pt>
                <c:pt idx="498">
                  <c:v>0.69960000762159691</c:v>
                </c:pt>
                <c:pt idx="499">
                  <c:v>0.98962641256742867</c:v>
                </c:pt>
                <c:pt idx="500">
                  <c:v>1.0059565962294597</c:v>
                </c:pt>
                <c:pt idx="501">
                  <c:v>1.2514285655834017</c:v>
                </c:pt>
                <c:pt idx="502">
                  <c:v>1.4641210141211447</c:v>
                </c:pt>
                <c:pt idx="503">
                  <c:v>1.2328599763985859</c:v>
                </c:pt>
                <c:pt idx="504">
                  <c:v>0.61864865538201363</c:v>
                </c:pt>
                <c:pt idx="505">
                  <c:v>0.65886355900018478</c:v>
                </c:pt>
                <c:pt idx="506">
                  <c:v>0.44122525927269729</c:v>
                </c:pt>
                <c:pt idx="507">
                  <c:v>0.34936463299375375</c:v>
                </c:pt>
                <c:pt idx="508">
                  <c:v>1.2223502657825396</c:v>
                </c:pt>
                <c:pt idx="509">
                  <c:v>0.80475557808316944</c:v>
                </c:pt>
                <c:pt idx="510">
                  <c:v>0.19350232265246875</c:v>
                </c:pt>
                <c:pt idx="511">
                  <c:v>0.49124344940933029</c:v>
                </c:pt>
                <c:pt idx="512">
                  <c:v>1.0518594886123258</c:v>
                </c:pt>
                <c:pt idx="513">
                  <c:v>0.17450728695698342</c:v>
                </c:pt>
                <c:pt idx="514">
                  <c:v>-0.34444431521108321</c:v>
                </c:pt>
                <c:pt idx="515">
                  <c:v>9.0662473925470694E-2</c:v>
                </c:pt>
                <c:pt idx="516">
                  <c:v>0.45516714648875151</c:v>
                </c:pt>
                <c:pt idx="517">
                  <c:v>1.0966025152891437</c:v>
                </c:pt>
                <c:pt idx="518">
                  <c:v>1.2680039837831707</c:v>
                </c:pt>
                <c:pt idx="519">
                  <c:v>0.87247523802703342</c:v>
                </c:pt>
                <c:pt idx="520">
                  <c:v>0.43914423377189465</c:v>
                </c:pt>
                <c:pt idx="521">
                  <c:v>0.27768702752366248</c:v>
                </c:pt>
                <c:pt idx="522">
                  <c:v>0.63651051416518467</c:v>
                </c:pt>
                <c:pt idx="523">
                  <c:v>1.5953182109752051E-2</c:v>
                </c:pt>
                <c:pt idx="524">
                  <c:v>4.4977846380130831E-2</c:v>
                </c:pt>
                <c:pt idx="525">
                  <c:v>1.7842869884251017E-2</c:v>
                </c:pt>
                <c:pt idx="526">
                  <c:v>-7.2050411884542753E-2</c:v>
                </c:pt>
                <c:pt idx="527">
                  <c:v>0.51075553269096952</c:v>
                </c:pt>
                <c:pt idx="528">
                  <c:v>-0.23403525732211294</c:v>
                </c:pt>
                <c:pt idx="529">
                  <c:v>-7.4609289262277501E-2</c:v>
                </c:pt>
                <c:pt idx="530">
                  <c:v>-0.13571403965951073</c:v>
                </c:pt>
                <c:pt idx="531">
                  <c:v>0.81929438928804244</c:v>
                </c:pt>
                <c:pt idx="532">
                  <c:v>1.0688647575945798</c:v>
                </c:pt>
                <c:pt idx="533">
                  <c:v>1.3405556691087452</c:v>
                </c:pt>
                <c:pt idx="534">
                  <c:v>1.4704833553559964</c:v>
                </c:pt>
                <c:pt idx="535">
                  <c:v>1.7200481381011852</c:v>
                </c:pt>
                <c:pt idx="536">
                  <c:v>1.5579723339928802</c:v>
                </c:pt>
                <c:pt idx="537">
                  <c:v>1.1345474608728643</c:v>
                </c:pt>
                <c:pt idx="538">
                  <c:v>1.3372194077367721</c:v>
                </c:pt>
                <c:pt idx="539">
                  <c:v>0.72329333966179565</c:v>
                </c:pt>
                <c:pt idx="540">
                  <c:v>1.4690623587708656</c:v>
                </c:pt>
                <c:pt idx="541">
                  <c:v>1.0414980319494131</c:v>
                </c:pt>
                <c:pt idx="542">
                  <c:v>0.75984277943942768</c:v>
                </c:pt>
                <c:pt idx="543">
                  <c:v>1.0818642230096172</c:v>
                </c:pt>
                <c:pt idx="544">
                  <c:v>0.66101628899732334</c:v>
                </c:pt>
                <c:pt idx="545">
                  <c:v>0.5937271863400907</c:v>
                </c:pt>
                <c:pt idx="546">
                  <c:v>0.49135288689902795</c:v>
                </c:pt>
                <c:pt idx="547">
                  <c:v>0.69504104895209873</c:v>
                </c:pt>
                <c:pt idx="548">
                  <c:v>0.60830346593331763</c:v>
                </c:pt>
                <c:pt idx="549">
                  <c:v>0.66243191400323065</c:v>
                </c:pt>
                <c:pt idx="550">
                  <c:v>1.3966035147701561</c:v>
                </c:pt>
                <c:pt idx="551">
                  <c:v>1.3409870656542995</c:v>
                </c:pt>
                <c:pt idx="552">
                  <c:v>1.8473265566477599</c:v>
                </c:pt>
                <c:pt idx="553">
                  <c:v>1.4741603262197751</c:v>
                </c:pt>
                <c:pt idx="554">
                  <c:v>1.331857657690692</c:v>
                </c:pt>
                <c:pt idx="555">
                  <c:v>1.5438208643049982</c:v>
                </c:pt>
                <c:pt idx="556">
                  <c:v>0.67493422620556165</c:v>
                </c:pt>
                <c:pt idx="557">
                  <c:v>1.4156959993332625</c:v>
                </c:pt>
                <c:pt idx="558">
                  <c:v>1.1288732076121737</c:v>
                </c:pt>
                <c:pt idx="559">
                  <c:v>0.8814501812316492</c:v>
                </c:pt>
                <c:pt idx="560">
                  <c:v>0.45673279307919012</c:v>
                </c:pt>
                <c:pt idx="561">
                  <c:v>1.763386229424857E-2</c:v>
                </c:pt>
                <c:pt idx="562">
                  <c:v>0.95359812153083323</c:v>
                </c:pt>
                <c:pt idx="563">
                  <c:v>1.2210097815314431</c:v>
                </c:pt>
                <c:pt idx="564">
                  <c:v>1.474955989443266</c:v>
                </c:pt>
                <c:pt idx="565">
                  <c:v>0.67754306175242041</c:v>
                </c:pt>
                <c:pt idx="566">
                  <c:v>1.0919645266038143</c:v>
                </c:pt>
                <c:pt idx="567">
                  <c:v>1.1184507845026066</c:v>
                </c:pt>
                <c:pt idx="568">
                  <c:v>1.666105028382066</c:v>
                </c:pt>
                <c:pt idx="569">
                  <c:v>1.5194818372776753</c:v>
                </c:pt>
                <c:pt idx="570">
                  <c:v>1.338062848611675</c:v>
                </c:pt>
                <c:pt idx="571">
                  <c:v>1.6649044535296198</c:v>
                </c:pt>
                <c:pt idx="572">
                  <c:v>1.1768644975774527</c:v>
                </c:pt>
                <c:pt idx="573">
                  <c:v>1.5174722610518867</c:v>
                </c:pt>
                <c:pt idx="574">
                  <c:v>1.6850885895756118</c:v>
                </c:pt>
                <c:pt idx="575">
                  <c:v>1.1285404737270619</c:v>
                </c:pt>
                <c:pt idx="576">
                  <c:v>0.35676558918974455</c:v>
                </c:pt>
                <c:pt idx="577">
                  <c:v>3.8843838098243766E-2</c:v>
                </c:pt>
                <c:pt idx="578">
                  <c:v>-0.1434450907321016</c:v>
                </c:pt>
                <c:pt idx="579">
                  <c:v>0.54940006288611087</c:v>
                </c:pt>
                <c:pt idx="580">
                  <c:v>0.59039525465223741</c:v>
                </c:pt>
                <c:pt idx="581">
                  <c:v>0.23493546174976621</c:v>
                </c:pt>
                <c:pt idx="582">
                  <c:v>0.42679322878951698</c:v>
                </c:pt>
                <c:pt idx="583">
                  <c:v>0.1390561613362773</c:v>
                </c:pt>
                <c:pt idx="584">
                  <c:v>0.96659185509159795</c:v>
                </c:pt>
                <c:pt idx="585">
                  <c:v>0.91487670710062008</c:v>
                </c:pt>
                <c:pt idx="586">
                  <c:v>0.84218932012283387</c:v>
                </c:pt>
                <c:pt idx="587">
                  <c:v>1.3364534707334494</c:v>
                </c:pt>
                <c:pt idx="588">
                  <c:v>0.60957997454978541</c:v>
                </c:pt>
                <c:pt idx="589">
                  <c:v>0.3122387810914693</c:v>
                </c:pt>
                <c:pt idx="590">
                  <c:v>0.36420617399752564</c:v>
                </c:pt>
                <c:pt idx="591">
                  <c:v>0.88632967700087928</c:v>
                </c:pt>
                <c:pt idx="592">
                  <c:v>0.8491298075776802</c:v>
                </c:pt>
                <c:pt idx="593">
                  <c:v>0.46412415562222775</c:v>
                </c:pt>
                <c:pt idx="594">
                  <c:v>-3.4185774831248406E-2</c:v>
                </c:pt>
                <c:pt idx="595">
                  <c:v>0.1119405331413349</c:v>
                </c:pt>
                <c:pt idx="596">
                  <c:v>0.50012278430620738</c:v>
                </c:pt>
                <c:pt idx="597">
                  <c:v>0.35938266948615183</c:v>
                </c:pt>
                <c:pt idx="598">
                  <c:v>7.0555248959150718E-2</c:v>
                </c:pt>
              </c:numCache>
            </c:numRef>
          </c:xVal>
          <c:yVal>
            <c:numRef>
              <c:f>calibrate!$AU$4:$AU$2004</c:f>
              <c:numCache>
                <c:formatCode>0.00</c:formatCode>
                <c:ptCount val="2001"/>
                <c:pt idx="0">
                  <c:v>-4.1822008601135691E-2</c:v>
                </c:pt>
                <c:pt idx="1">
                  <c:v>0.16855390290314229</c:v>
                </c:pt>
                <c:pt idx="2">
                  <c:v>-0.29348564633876412</c:v>
                </c:pt>
                <c:pt idx="3">
                  <c:v>0.38543659287124626</c:v>
                </c:pt>
                <c:pt idx="4">
                  <c:v>0.55598176511961572</c:v>
                </c:pt>
                <c:pt idx="5">
                  <c:v>0.89753205556543991</c:v>
                </c:pt>
                <c:pt idx="6">
                  <c:v>0.96351526664699017</c:v>
                </c:pt>
                <c:pt idx="7">
                  <c:v>1.2617450199229603</c:v>
                </c:pt>
                <c:pt idx="8">
                  <c:v>1.2801294889204877</c:v>
                </c:pt>
                <c:pt idx="9">
                  <c:v>1.1075004572131613</c:v>
                </c:pt>
                <c:pt idx="10">
                  <c:v>1.047692329563132</c:v>
                </c:pt>
                <c:pt idx="11">
                  <c:v>1.1513781926141176</c:v>
                </c:pt>
                <c:pt idx="12">
                  <c:v>0.93350847361545031</c:v>
                </c:pt>
                <c:pt idx="13">
                  <c:v>0.46099564335069187</c:v>
                </c:pt>
                <c:pt idx="14">
                  <c:v>0.84493061960265192</c:v>
                </c:pt>
                <c:pt idx="15">
                  <c:v>0.95829190809217768</c:v>
                </c:pt>
                <c:pt idx="16">
                  <c:v>0.4507699547113625</c:v>
                </c:pt>
                <c:pt idx="17">
                  <c:v>0.61915766082958046</c:v>
                </c:pt>
                <c:pt idx="18">
                  <c:v>0.54766530487783371</c:v>
                </c:pt>
                <c:pt idx="19">
                  <c:v>0.85397272551918357</c:v>
                </c:pt>
                <c:pt idx="20">
                  <c:v>0.51009469750376257</c:v>
                </c:pt>
                <c:pt idx="21">
                  <c:v>0.92547236840275648</c:v>
                </c:pt>
                <c:pt idx="22">
                  <c:v>0.55947894077282745</c:v>
                </c:pt>
                <c:pt idx="23">
                  <c:v>0.37829713037838381</c:v>
                </c:pt>
                <c:pt idx="24">
                  <c:v>0.55579827757255496</c:v>
                </c:pt>
                <c:pt idx="25">
                  <c:v>0.87011292066555646</c:v>
                </c:pt>
                <c:pt idx="26">
                  <c:v>0.83339041446146478</c:v>
                </c:pt>
                <c:pt idx="27">
                  <c:v>0.88764753799843166</c:v>
                </c:pt>
                <c:pt idx="28">
                  <c:v>0.81379073562871806</c:v>
                </c:pt>
                <c:pt idx="29">
                  <c:v>0.67528667584246105</c:v>
                </c:pt>
                <c:pt idx="30">
                  <c:v>0.27424865394782189</c:v>
                </c:pt>
                <c:pt idx="31">
                  <c:v>0.2878248549873893</c:v>
                </c:pt>
                <c:pt idx="32">
                  <c:v>9.5948321657352453E-2</c:v>
                </c:pt>
                <c:pt idx="33">
                  <c:v>0.50324677377477689</c:v>
                </c:pt>
                <c:pt idx="34">
                  <c:v>0.70511181495880915</c:v>
                </c:pt>
                <c:pt idx="35">
                  <c:v>1.3595481883693707</c:v>
                </c:pt>
                <c:pt idx="36">
                  <c:v>0.66775738426279396</c:v>
                </c:pt>
                <c:pt idx="37">
                  <c:v>-7.0189939517981692E-3</c:v>
                </c:pt>
                <c:pt idx="38">
                  <c:v>-0.88692372797212016</c:v>
                </c:pt>
                <c:pt idx="39">
                  <c:v>-0.69922818109842122</c:v>
                </c:pt>
                <c:pt idx="40">
                  <c:v>-0.35799216631437153</c:v>
                </c:pt>
                <c:pt idx="41">
                  <c:v>-0.12869262243521401</c:v>
                </c:pt>
                <c:pt idx="42">
                  <c:v>-0.2987632842524951</c:v>
                </c:pt>
                <c:pt idx="43">
                  <c:v>0.8773846820045238</c:v>
                </c:pt>
                <c:pt idx="44">
                  <c:v>0.51151141729693661</c:v>
                </c:pt>
                <c:pt idx="45">
                  <c:v>0.66577322134445716</c:v>
                </c:pt>
                <c:pt idx="46">
                  <c:v>0.7927483240951354</c:v>
                </c:pt>
                <c:pt idx="47">
                  <c:v>1.093361729322293</c:v>
                </c:pt>
                <c:pt idx="48">
                  <c:v>0.4978164062634024</c:v>
                </c:pt>
                <c:pt idx="49">
                  <c:v>0.21572499557009983</c:v>
                </c:pt>
                <c:pt idx="50">
                  <c:v>0.50356149439667852</c:v>
                </c:pt>
                <c:pt idx="51">
                  <c:v>0.2707242953633463</c:v>
                </c:pt>
                <c:pt idx="52">
                  <c:v>0.18433170039432925</c:v>
                </c:pt>
                <c:pt idx="53">
                  <c:v>0.12954817765589888</c:v>
                </c:pt>
                <c:pt idx="54">
                  <c:v>0.56727895567384268</c:v>
                </c:pt>
                <c:pt idx="55">
                  <c:v>0.23101533938349472</c:v>
                </c:pt>
                <c:pt idx="56">
                  <c:v>0.87635163411943728</c:v>
                </c:pt>
                <c:pt idx="57">
                  <c:v>0.68552755995922854</c:v>
                </c:pt>
                <c:pt idx="58">
                  <c:v>0.63663717202853864</c:v>
                </c:pt>
                <c:pt idx="59">
                  <c:v>0.54122716412517369</c:v>
                </c:pt>
                <c:pt idx="60">
                  <c:v>0.41627275881525783</c:v>
                </c:pt>
                <c:pt idx="61">
                  <c:v>0.2242493234558568</c:v>
                </c:pt>
                <c:pt idx="62">
                  <c:v>0.40839334600005633</c:v>
                </c:pt>
                <c:pt idx="63">
                  <c:v>0.6786686961223326</c:v>
                </c:pt>
                <c:pt idx="64">
                  <c:v>0.69293733238596</c:v>
                </c:pt>
                <c:pt idx="65">
                  <c:v>0.58394403554859164</c:v>
                </c:pt>
                <c:pt idx="66">
                  <c:v>0.5083611812952471</c:v>
                </c:pt>
                <c:pt idx="67">
                  <c:v>0.27350369988911166</c:v>
                </c:pt>
                <c:pt idx="68">
                  <c:v>0.60574084025232078</c:v>
                </c:pt>
                <c:pt idx="69">
                  <c:v>0.62800749848073711</c:v>
                </c:pt>
                <c:pt idx="70">
                  <c:v>0.34677124383227709</c:v>
                </c:pt>
                <c:pt idx="71">
                  <c:v>0.35353690305170915</c:v>
                </c:pt>
                <c:pt idx="72">
                  <c:v>1.004922818388136</c:v>
                </c:pt>
                <c:pt idx="73">
                  <c:v>0.87510151837888595</c:v>
                </c:pt>
                <c:pt idx="74">
                  <c:v>0.83855628086097111</c:v>
                </c:pt>
                <c:pt idx="75">
                  <c:v>0.64372431243447514</c:v>
                </c:pt>
                <c:pt idx="76">
                  <c:v>0.67396534954724963</c:v>
                </c:pt>
                <c:pt idx="77">
                  <c:v>0.46559085116619636</c:v>
                </c:pt>
                <c:pt idx="78">
                  <c:v>0.54205907102587547</c:v>
                </c:pt>
                <c:pt idx="79">
                  <c:v>0.40294090743935823</c:v>
                </c:pt>
                <c:pt idx="80">
                  <c:v>1.1635096380945924</c:v>
                </c:pt>
                <c:pt idx="81">
                  <c:v>0.98895666020284478</c:v>
                </c:pt>
                <c:pt idx="82">
                  <c:v>1.3770614272061263</c:v>
                </c:pt>
                <c:pt idx="83">
                  <c:v>0.92637552560640612</c:v>
                </c:pt>
                <c:pt idx="84">
                  <c:v>1.2706298660978415</c:v>
                </c:pt>
                <c:pt idx="85">
                  <c:v>1.0443336785770589</c:v>
                </c:pt>
                <c:pt idx="86">
                  <c:v>0.76310101218611137</c:v>
                </c:pt>
                <c:pt idx="87">
                  <c:v>0.3391516763723913</c:v>
                </c:pt>
                <c:pt idx="88">
                  <c:v>0.75236878814398678</c:v>
                </c:pt>
                <c:pt idx="89">
                  <c:v>0.75479668293647184</c:v>
                </c:pt>
                <c:pt idx="90">
                  <c:v>0.64627386649964158</c:v>
                </c:pt>
                <c:pt idx="91">
                  <c:v>0.58329764470439982</c:v>
                </c:pt>
                <c:pt idx="92">
                  <c:v>0.5595132751577383</c:v>
                </c:pt>
                <c:pt idx="93">
                  <c:v>0.68048876469785058</c:v>
                </c:pt>
                <c:pt idx="94">
                  <c:v>0.51997408478669582</c:v>
                </c:pt>
                <c:pt idx="95">
                  <c:v>0.73515554451986165</c:v>
                </c:pt>
                <c:pt idx="96">
                  <c:v>0.82897307823990152</c:v>
                </c:pt>
                <c:pt idx="97">
                  <c:v>1.4717177773668817</c:v>
                </c:pt>
                <c:pt idx="98">
                  <c:v>1.2936871466165829</c:v>
                </c:pt>
                <c:pt idx="99">
                  <c:v>0.63766083552787078</c:v>
                </c:pt>
                <c:pt idx="100">
                  <c:v>0.52919698680987481</c:v>
                </c:pt>
                <c:pt idx="101">
                  <c:v>0.77285268261142281</c:v>
                </c:pt>
                <c:pt idx="102">
                  <c:v>1.3134628457859778</c:v>
                </c:pt>
                <c:pt idx="103">
                  <c:v>1.5266365582111441</c:v>
                </c:pt>
                <c:pt idx="104">
                  <c:v>1.5132294835313624</c:v>
                </c:pt>
                <c:pt idx="105">
                  <c:v>1.3681945071930184</c:v>
                </c:pt>
                <c:pt idx="106">
                  <c:v>0.58405326601667107</c:v>
                </c:pt>
                <c:pt idx="107">
                  <c:v>0.64579779897644363</c:v>
                </c:pt>
                <c:pt idx="108">
                  <c:v>0.77469123334250423</c:v>
                </c:pt>
                <c:pt idx="109">
                  <c:v>0.9266790600058189</c:v>
                </c:pt>
                <c:pt idx="110">
                  <c:v>1.2554076888005761</c:v>
                </c:pt>
                <c:pt idx="111">
                  <c:v>1.6814681338005093</c:v>
                </c:pt>
                <c:pt idx="112">
                  <c:v>0.66758705520839856</c:v>
                </c:pt>
                <c:pt idx="113">
                  <c:v>0.85931890244846743</c:v>
                </c:pt>
                <c:pt idx="114">
                  <c:v>0.9395157460538025</c:v>
                </c:pt>
                <c:pt idx="115">
                  <c:v>1.195905741300509</c:v>
                </c:pt>
                <c:pt idx="116">
                  <c:v>0.79021007772346386</c:v>
                </c:pt>
                <c:pt idx="117">
                  <c:v>0.29544080501372638</c:v>
                </c:pt>
                <c:pt idx="118">
                  <c:v>0.61933669571512617</c:v>
                </c:pt>
                <c:pt idx="119">
                  <c:v>1.0110120638861995</c:v>
                </c:pt>
                <c:pt idx="120">
                  <c:v>0.76120631076832934</c:v>
                </c:pt>
                <c:pt idx="121">
                  <c:v>1.1261218690024282</c:v>
                </c:pt>
                <c:pt idx="122">
                  <c:v>0.7372763225068899</c:v>
                </c:pt>
                <c:pt idx="123">
                  <c:v>0.75353886393444236</c:v>
                </c:pt>
                <c:pt idx="124">
                  <c:v>0.87907194329221761</c:v>
                </c:pt>
                <c:pt idx="125">
                  <c:v>0.70275625211455806</c:v>
                </c:pt>
                <c:pt idx="126">
                  <c:v>0.48255506111439167</c:v>
                </c:pt>
                <c:pt idx="127">
                  <c:v>0.979106420731505</c:v>
                </c:pt>
                <c:pt idx="128">
                  <c:v>0.98340918099771213</c:v>
                </c:pt>
                <c:pt idx="129">
                  <c:v>1.4107156433456993</c:v>
                </c:pt>
                <c:pt idx="130">
                  <c:v>0.60260984263711959</c:v>
                </c:pt>
                <c:pt idx="131">
                  <c:v>0.89623523198532939</c:v>
                </c:pt>
                <c:pt idx="132">
                  <c:v>0.89922551533488959</c:v>
                </c:pt>
                <c:pt idx="133">
                  <c:v>1.0996436445100604</c:v>
                </c:pt>
                <c:pt idx="134">
                  <c:v>0.48312870668026031</c:v>
                </c:pt>
                <c:pt idx="135">
                  <c:v>0.37598355385536614</c:v>
                </c:pt>
                <c:pt idx="136">
                  <c:v>0.76936444522941627</c:v>
                </c:pt>
                <c:pt idx="137">
                  <c:v>0.85792741287303731</c:v>
                </c:pt>
                <c:pt idx="138">
                  <c:v>0.93190845086855811</c:v>
                </c:pt>
                <c:pt idx="139">
                  <c:v>0.84201165969654401</c:v>
                </c:pt>
                <c:pt idx="140">
                  <c:v>0.68981922745289193</c:v>
                </c:pt>
                <c:pt idx="141">
                  <c:v>0.35660818425897034</c:v>
                </c:pt>
                <c:pt idx="142">
                  <c:v>0.17017531407167996</c:v>
                </c:pt>
                <c:pt idx="143">
                  <c:v>3.7134764155852762E-2</c:v>
                </c:pt>
                <c:pt idx="144">
                  <c:v>0.93439120758756233</c:v>
                </c:pt>
                <c:pt idx="145">
                  <c:v>0.57395224800628863</c:v>
                </c:pt>
                <c:pt idx="146">
                  <c:v>1.4166126100992149</c:v>
                </c:pt>
                <c:pt idx="147">
                  <c:v>0.99090378015576053</c:v>
                </c:pt>
                <c:pt idx="148">
                  <c:v>1.0883155118449894</c:v>
                </c:pt>
                <c:pt idx="149">
                  <c:v>0.16231319340329131</c:v>
                </c:pt>
                <c:pt idx="150">
                  <c:v>0.66434770262268261</c:v>
                </c:pt>
                <c:pt idx="151">
                  <c:v>0.78172030557634531</c:v>
                </c:pt>
                <c:pt idx="152">
                  <c:v>0.51794372232421027</c:v>
                </c:pt>
                <c:pt idx="153">
                  <c:v>0.63869890688062603</c:v>
                </c:pt>
                <c:pt idx="154">
                  <c:v>0.44598882975046344</c:v>
                </c:pt>
                <c:pt idx="155">
                  <c:v>-0.24226847257108375</c:v>
                </c:pt>
                <c:pt idx="156">
                  <c:v>-0.11300938999878124</c:v>
                </c:pt>
                <c:pt idx="157">
                  <c:v>0.4738756301788089</c:v>
                </c:pt>
                <c:pt idx="158">
                  <c:v>0.26288217671878661</c:v>
                </c:pt>
                <c:pt idx="159">
                  <c:v>0.48632788172997105</c:v>
                </c:pt>
                <c:pt idx="160">
                  <c:v>0.39442532056778423</c:v>
                </c:pt>
                <c:pt idx="161">
                  <c:v>0.99804853871758037</c:v>
                </c:pt>
                <c:pt idx="162">
                  <c:v>0.85317148513371877</c:v>
                </c:pt>
                <c:pt idx="163">
                  <c:v>0.48028280701373238</c:v>
                </c:pt>
                <c:pt idx="164">
                  <c:v>0.73036943010001898</c:v>
                </c:pt>
                <c:pt idx="165">
                  <c:v>0.57201637975488029</c:v>
                </c:pt>
                <c:pt idx="166">
                  <c:v>0.51125314565976354</c:v>
                </c:pt>
                <c:pt idx="167">
                  <c:v>0.70153304484019818</c:v>
                </c:pt>
                <c:pt idx="168">
                  <c:v>0.76217798029296635</c:v>
                </c:pt>
                <c:pt idx="169">
                  <c:v>0.75250297596364302</c:v>
                </c:pt>
                <c:pt idx="170">
                  <c:v>0.79632157275076731</c:v>
                </c:pt>
                <c:pt idx="171">
                  <c:v>0.97939340662027086</c:v>
                </c:pt>
                <c:pt idx="172">
                  <c:v>0.37946021408460284</c:v>
                </c:pt>
                <c:pt idx="173">
                  <c:v>0.74674965540709648</c:v>
                </c:pt>
                <c:pt idx="174">
                  <c:v>0.68095438560004729</c:v>
                </c:pt>
                <c:pt idx="175">
                  <c:v>0.1704153430692002</c:v>
                </c:pt>
                <c:pt idx="176">
                  <c:v>0.32414391043281765</c:v>
                </c:pt>
                <c:pt idx="177">
                  <c:v>0.29345246599087632</c:v>
                </c:pt>
                <c:pt idx="178">
                  <c:v>0.54401271971303899</c:v>
                </c:pt>
                <c:pt idx="179">
                  <c:v>0.14451261462499188</c:v>
                </c:pt>
                <c:pt idx="180">
                  <c:v>0.13026114878879475</c:v>
                </c:pt>
                <c:pt idx="181">
                  <c:v>0.31279190334317675</c:v>
                </c:pt>
                <c:pt idx="182">
                  <c:v>1.0122194624874745</c:v>
                </c:pt>
                <c:pt idx="183">
                  <c:v>0.58227095055242251</c:v>
                </c:pt>
                <c:pt idx="184">
                  <c:v>1.1069298763232944</c:v>
                </c:pt>
                <c:pt idx="185">
                  <c:v>1.1992430271233354</c:v>
                </c:pt>
                <c:pt idx="186">
                  <c:v>1.1862434173283074</c:v>
                </c:pt>
                <c:pt idx="187">
                  <c:v>1.1195792464673291</c:v>
                </c:pt>
                <c:pt idx="188">
                  <c:v>1.4291658113431016</c:v>
                </c:pt>
                <c:pt idx="189">
                  <c:v>0.92446902101082729</c:v>
                </c:pt>
                <c:pt idx="190">
                  <c:v>0.60898988059510772</c:v>
                </c:pt>
                <c:pt idx="191">
                  <c:v>1.1888180964217874</c:v>
                </c:pt>
                <c:pt idx="192">
                  <c:v>0.98902995236466518</c:v>
                </c:pt>
                <c:pt idx="193">
                  <c:v>0.7509037944305158</c:v>
                </c:pt>
                <c:pt idx="194">
                  <c:v>0.55588291356841713</c:v>
                </c:pt>
                <c:pt idx="195">
                  <c:v>0.87651232061503448</c:v>
                </c:pt>
                <c:pt idx="196">
                  <c:v>0.87789696918770233</c:v>
                </c:pt>
                <c:pt idx="197">
                  <c:v>1.0607525632142532</c:v>
                </c:pt>
                <c:pt idx="198">
                  <c:v>0.40349675495391257</c:v>
                </c:pt>
                <c:pt idx="199">
                  <c:v>0.5733366197809695</c:v>
                </c:pt>
                <c:pt idx="200">
                  <c:v>3.557358231134089E-2</c:v>
                </c:pt>
                <c:pt idx="201">
                  <c:v>0.55770541261931139</c:v>
                </c:pt>
                <c:pt idx="202">
                  <c:v>1.1560346524755483</c:v>
                </c:pt>
                <c:pt idx="203">
                  <c:v>1.5923358658888018</c:v>
                </c:pt>
                <c:pt idx="204">
                  <c:v>1.154285849671143</c:v>
                </c:pt>
                <c:pt idx="205">
                  <c:v>1.5620637747973369</c:v>
                </c:pt>
                <c:pt idx="206">
                  <c:v>1.0746712353299248</c:v>
                </c:pt>
                <c:pt idx="207">
                  <c:v>0.79548039843041007</c:v>
                </c:pt>
                <c:pt idx="208">
                  <c:v>0.52147157304761582</c:v>
                </c:pt>
                <c:pt idx="209">
                  <c:v>0.30104659220534152</c:v>
                </c:pt>
                <c:pt idx="210">
                  <c:v>0.28510340312354127</c:v>
                </c:pt>
                <c:pt idx="211">
                  <c:v>0.38121862437928855</c:v>
                </c:pt>
                <c:pt idx="212">
                  <c:v>0.59109977936564129</c:v>
                </c:pt>
                <c:pt idx="213">
                  <c:v>1.1080477705104306</c:v>
                </c:pt>
                <c:pt idx="214">
                  <c:v>0.6635607544519222</c:v>
                </c:pt>
                <c:pt idx="215">
                  <c:v>0.66714899861053589</c:v>
                </c:pt>
                <c:pt idx="216">
                  <c:v>0.25857711479304601</c:v>
                </c:pt>
                <c:pt idx="217">
                  <c:v>0.24266456040021317</c:v>
                </c:pt>
                <c:pt idx="218">
                  <c:v>0.45861636795820737</c:v>
                </c:pt>
                <c:pt idx="219">
                  <c:v>0.42015663614677323</c:v>
                </c:pt>
                <c:pt idx="220">
                  <c:v>0.97560176112612906</c:v>
                </c:pt>
                <c:pt idx="221">
                  <c:v>0.86928582713722213</c:v>
                </c:pt>
                <c:pt idx="222">
                  <c:v>1.1516918921940484</c:v>
                </c:pt>
                <c:pt idx="223">
                  <c:v>1.0049549006922029</c:v>
                </c:pt>
                <c:pt idx="224">
                  <c:v>0.82437384605319974</c:v>
                </c:pt>
                <c:pt idx="225">
                  <c:v>0.78643141963103669</c:v>
                </c:pt>
                <c:pt idx="226">
                  <c:v>0.48703090542376337</c:v>
                </c:pt>
                <c:pt idx="227">
                  <c:v>-4.5268272343891414E-2</c:v>
                </c:pt>
                <c:pt idx="228">
                  <c:v>-0.23982676237554257</c:v>
                </c:pt>
                <c:pt idx="229">
                  <c:v>-0.3816687926611273</c:v>
                </c:pt>
                <c:pt idx="230">
                  <c:v>-0.61567293585255389</c:v>
                </c:pt>
                <c:pt idx="231">
                  <c:v>-0.46792469388860447</c:v>
                </c:pt>
                <c:pt idx="232">
                  <c:v>0.53031850405376102</c:v>
                </c:pt>
                <c:pt idx="233">
                  <c:v>0.67204893433845558</c:v>
                </c:pt>
                <c:pt idx="234">
                  <c:v>0.32694474074861496</c:v>
                </c:pt>
                <c:pt idx="235">
                  <c:v>0.3931759884381345</c:v>
                </c:pt>
                <c:pt idx="236">
                  <c:v>0.69224455277146446</c:v>
                </c:pt>
                <c:pt idx="237">
                  <c:v>0.82322118126953958</c:v>
                </c:pt>
                <c:pt idx="238">
                  <c:v>0.85319003147544548</c:v>
                </c:pt>
                <c:pt idx="239">
                  <c:v>0.98903210167539313</c:v>
                </c:pt>
                <c:pt idx="240">
                  <c:v>0.86754948210447513</c:v>
                </c:pt>
                <c:pt idx="241">
                  <c:v>1.6228158472246743</c:v>
                </c:pt>
                <c:pt idx="242">
                  <c:v>1.2291242296864782</c:v>
                </c:pt>
                <c:pt idx="243">
                  <c:v>1.2689859766365839</c:v>
                </c:pt>
                <c:pt idx="244">
                  <c:v>1.0211008345126811</c:v>
                </c:pt>
                <c:pt idx="245">
                  <c:v>0.70497004239827954</c:v>
                </c:pt>
                <c:pt idx="246">
                  <c:v>0.87515147928694592</c:v>
                </c:pt>
                <c:pt idx="247">
                  <c:v>1.2893113138370691</c:v>
                </c:pt>
                <c:pt idx="248">
                  <c:v>0.86683391735865789</c:v>
                </c:pt>
                <c:pt idx="249">
                  <c:v>0.61441267347719442</c:v>
                </c:pt>
                <c:pt idx="250">
                  <c:v>0.70730738100031287</c:v>
                </c:pt>
                <c:pt idx="251">
                  <c:v>0.31536621536908727</c:v>
                </c:pt>
                <c:pt idx="252">
                  <c:v>0.16457606168401695</c:v>
                </c:pt>
                <c:pt idx="253">
                  <c:v>0.71511773275411827</c:v>
                </c:pt>
                <c:pt idx="254">
                  <c:v>0.60976815776985838</c:v>
                </c:pt>
                <c:pt idx="255">
                  <c:v>0.53141355169165716</c:v>
                </c:pt>
                <c:pt idx="256">
                  <c:v>0.58154752867588888</c:v>
                </c:pt>
                <c:pt idx="257">
                  <c:v>0.4462434411199907</c:v>
                </c:pt>
                <c:pt idx="258">
                  <c:v>0.33460646512882519</c:v>
                </c:pt>
                <c:pt idx="259">
                  <c:v>0.46421648158522494</c:v>
                </c:pt>
                <c:pt idx="260">
                  <c:v>0.80602135749347237</c:v>
                </c:pt>
                <c:pt idx="261">
                  <c:v>0.94946625259381467</c:v>
                </c:pt>
                <c:pt idx="262">
                  <c:v>0.67977307292811906</c:v>
                </c:pt>
                <c:pt idx="263">
                  <c:v>0.72394667050120376</c:v>
                </c:pt>
                <c:pt idx="264">
                  <c:v>1.3830709629636679</c:v>
                </c:pt>
                <c:pt idx="265">
                  <c:v>1.1971221666801786</c:v>
                </c:pt>
                <c:pt idx="266">
                  <c:v>1.4120979504698781</c:v>
                </c:pt>
                <c:pt idx="267">
                  <c:v>1.0295098686346051</c:v>
                </c:pt>
                <c:pt idx="268">
                  <c:v>1.0796208959969036</c:v>
                </c:pt>
                <c:pt idx="269">
                  <c:v>0.48333410260461751</c:v>
                </c:pt>
                <c:pt idx="270">
                  <c:v>0.57499583825054235</c:v>
                </c:pt>
                <c:pt idx="271">
                  <c:v>0.2765518869510501</c:v>
                </c:pt>
                <c:pt idx="272">
                  <c:v>0.89725390970072527</c:v>
                </c:pt>
                <c:pt idx="273">
                  <c:v>0.48332717411776349</c:v>
                </c:pt>
                <c:pt idx="274">
                  <c:v>0.54816578530489235</c:v>
                </c:pt>
                <c:pt idx="275">
                  <c:v>0.77613103295886465</c:v>
                </c:pt>
                <c:pt idx="276">
                  <c:v>0.80283085477225813</c:v>
                </c:pt>
                <c:pt idx="277">
                  <c:v>1.0012248995338486</c:v>
                </c:pt>
                <c:pt idx="278">
                  <c:v>0.94901691588075787</c:v>
                </c:pt>
                <c:pt idx="279">
                  <c:v>0.9733405924081181</c:v>
                </c:pt>
                <c:pt idx="280">
                  <c:v>0.80767264413411799</c:v>
                </c:pt>
                <c:pt idx="281">
                  <c:v>0.97126691332713966</c:v>
                </c:pt>
                <c:pt idx="282">
                  <c:v>0.97196765554395614</c:v>
                </c:pt>
                <c:pt idx="283">
                  <c:v>0.78698256963481028</c:v>
                </c:pt>
                <c:pt idx="284">
                  <c:v>0.76919525584183479</c:v>
                </c:pt>
                <c:pt idx="285">
                  <c:v>0.61610141922283468</c:v>
                </c:pt>
                <c:pt idx="286">
                  <c:v>0.34537301172655949</c:v>
                </c:pt>
                <c:pt idx="287">
                  <c:v>1.2943353204885955</c:v>
                </c:pt>
                <c:pt idx="288">
                  <c:v>1.067489819946509</c:v>
                </c:pt>
                <c:pt idx="289">
                  <c:v>0.58183827266214272</c:v>
                </c:pt>
                <c:pt idx="290">
                  <c:v>0.52833208971954293</c:v>
                </c:pt>
                <c:pt idx="291">
                  <c:v>0.36429388196119195</c:v>
                </c:pt>
                <c:pt idx="292">
                  <c:v>0.26526200898675895</c:v>
                </c:pt>
                <c:pt idx="293">
                  <c:v>-0.12622008910561688</c:v>
                </c:pt>
                <c:pt idx="294">
                  <c:v>0.54289009264302135</c:v>
                </c:pt>
                <c:pt idx="295">
                  <c:v>0.26017685661504841</c:v>
                </c:pt>
                <c:pt idx="296">
                  <c:v>0.10781910835772474</c:v>
                </c:pt>
                <c:pt idx="297">
                  <c:v>0.45500914336961601</c:v>
                </c:pt>
                <c:pt idx="298">
                  <c:v>0.67187294978937739</c:v>
                </c:pt>
                <c:pt idx="299">
                  <c:v>0.3350924104357661</c:v>
                </c:pt>
                <c:pt idx="300">
                  <c:v>0.46094380337769769</c:v>
                </c:pt>
                <c:pt idx="301">
                  <c:v>0.92951942082660599</c:v>
                </c:pt>
                <c:pt idx="302">
                  <c:v>0.68566207337610108</c:v>
                </c:pt>
                <c:pt idx="303">
                  <c:v>0.82652155610968314</c:v>
                </c:pt>
                <c:pt idx="304">
                  <c:v>0.72888278261208228</c:v>
                </c:pt>
                <c:pt idx="305">
                  <c:v>0.61294882020549268</c:v>
                </c:pt>
                <c:pt idx="306">
                  <c:v>1.0690116451108451</c:v>
                </c:pt>
                <c:pt idx="307">
                  <c:v>1.2440425427356534</c:v>
                </c:pt>
                <c:pt idx="308">
                  <c:v>1.1768029376019309</c:v>
                </c:pt>
                <c:pt idx="309">
                  <c:v>1.0482647475686697</c:v>
                </c:pt>
                <c:pt idx="310">
                  <c:v>0.48682546000899524</c:v>
                </c:pt>
                <c:pt idx="311">
                  <c:v>0.64775074010513056</c:v>
                </c:pt>
                <c:pt idx="312">
                  <c:v>0.40122293690835276</c:v>
                </c:pt>
                <c:pt idx="313">
                  <c:v>0.26334930506503762</c:v>
                </c:pt>
                <c:pt idx="314">
                  <c:v>9.2136352668041821E-2</c:v>
                </c:pt>
                <c:pt idx="315">
                  <c:v>0.12455000617539745</c:v>
                </c:pt>
                <c:pt idx="316">
                  <c:v>0.70937571421467993</c:v>
                </c:pt>
                <c:pt idx="317">
                  <c:v>0.77155627991496489</c:v>
                </c:pt>
                <c:pt idx="318">
                  <c:v>0.66527140686346609</c:v>
                </c:pt>
                <c:pt idx="319">
                  <c:v>0.90336734136856878</c:v>
                </c:pt>
                <c:pt idx="320">
                  <c:v>0.73253755734151804</c:v>
                </c:pt>
                <c:pt idx="321">
                  <c:v>0.40647748928857602</c:v>
                </c:pt>
                <c:pt idx="322">
                  <c:v>0.35625188214023557</c:v>
                </c:pt>
                <c:pt idx="323">
                  <c:v>0.58587804331862825</c:v>
                </c:pt>
                <c:pt idx="324">
                  <c:v>1.0114234868259466</c:v>
                </c:pt>
                <c:pt idx="325">
                  <c:v>0.41402474504239439</c:v>
                </c:pt>
                <c:pt idx="326">
                  <c:v>0.2588921924989423</c:v>
                </c:pt>
                <c:pt idx="327">
                  <c:v>0.85163646601740084</c:v>
                </c:pt>
                <c:pt idx="328">
                  <c:v>0.92169215595799803</c:v>
                </c:pt>
                <c:pt idx="329">
                  <c:v>1.1828862834887293</c:v>
                </c:pt>
                <c:pt idx="330">
                  <c:v>0.99605039844631815</c:v>
                </c:pt>
                <c:pt idx="331">
                  <c:v>0.71312859309889576</c:v>
                </c:pt>
                <c:pt idx="332">
                  <c:v>0.96150069000855709</c:v>
                </c:pt>
                <c:pt idx="333">
                  <c:v>0.65898392141490914</c:v>
                </c:pt>
                <c:pt idx="334">
                  <c:v>0.5357984796375157</c:v>
                </c:pt>
                <c:pt idx="335">
                  <c:v>0.84588322357135404</c:v>
                </c:pt>
                <c:pt idx="336">
                  <c:v>0.84014839765085703</c:v>
                </c:pt>
                <c:pt idx="337">
                  <c:v>0.64449173732650988</c:v>
                </c:pt>
                <c:pt idx="338">
                  <c:v>1.0375162436833727</c:v>
                </c:pt>
                <c:pt idx="339">
                  <c:v>1.1416628990433908</c:v>
                </c:pt>
                <c:pt idx="340">
                  <c:v>0.85075801570033716</c:v>
                </c:pt>
                <c:pt idx="341">
                  <c:v>1.3457186461232846</c:v>
                </c:pt>
                <c:pt idx="342">
                  <c:v>1.2000075028260835</c:v>
                </c:pt>
                <c:pt idx="343">
                  <c:v>0.37265676507083123</c:v>
                </c:pt>
                <c:pt idx="344">
                  <c:v>0.63899227429547001</c:v>
                </c:pt>
                <c:pt idx="345">
                  <c:v>0.94037842359713641</c:v>
                </c:pt>
                <c:pt idx="346">
                  <c:v>1.0017004779461094</c:v>
                </c:pt>
                <c:pt idx="347">
                  <c:v>0.90015036186585051</c:v>
                </c:pt>
                <c:pt idx="348">
                  <c:v>0.8625517825382536</c:v>
                </c:pt>
                <c:pt idx="349">
                  <c:v>0.96442365360138693</c:v>
                </c:pt>
                <c:pt idx="350">
                  <c:v>0.92534230376287274</c:v>
                </c:pt>
                <c:pt idx="351">
                  <c:v>1.2785237122716739</c:v>
                </c:pt>
                <c:pt idx="352">
                  <c:v>0.92195355044118554</c:v>
                </c:pt>
                <c:pt idx="353">
                  <c:v>1.0080470679442151</c:v>
                </c:pt>
                <c:pt idx="354">
                  <c:v>1.2538002977177845</c:v>
                </c:pt>
                <c:pt idx="355">
                  <c:v>0.63737765616777486</c:v>
                </c:pt>
                <c:pt idx="356">
                  <c:v>1.0918005852956536</c:v>
                </c:pt>
                <c:pt idx="357">
                  <c:v>0.38172500625961148</c:v>
                </c:pt>
                <c:pt idx="358">
                  <c:v>5.604724596428412E-2</c:v>
                </c:pt>
                <c:pt idx="359">
                  <c:v>0.49839984636029777</c:v>
                </c:pt>
                <c:pt idx="360">
                  <c:v>0.40593100154180095</c:v>
                </c:pt>
                <c:pt idx="361">
                  <c:v>0.59996685083669909</c:v>
                </c:pt>
                <c:pt idx="362">
                  <c:v>0.66141928802729733</c:v>
                </c:pt>
                <c:pt idx="363">
                  <c:v>0.74649079705274946</c:v>
                </c:pt>
                <c:pt idx="364">
                  <c:v>0.58661961139715468</c:v>
                </c:pt>
                <c:pt idx="365">
                  <c:v>0.33189585322763288</c:v>
                </c:pt>
                <c:pt idx="366">
                  <c:v>0.88592849014175212</c:v>
                </c:pt>
                <c:pt idx="367">
                  <c:v>0.33200506225356674</c:v>
                </c:pt>
                <c:pt idx="368">
                  <c:v>0.38111875226651815</c:v>
                </c:pt>
                <c:pt idx="369">
                  <c:v>0.54201286127519988</c:v>
                </c:pt>
                <c:pt idx="370">
                  <c:v>0.46510992143823088</c:v>
                </c:pt>
                <c:pt idx="371">
                  <c:v>1.1126170533524316</c:v>
                </c:pt>
                <c:pt idx="372">
                  <c:v>0.76638922575156987</c:v>
                </c:pt>
                <c:pt idx="373">
                  <c:v>1.2993638796098508</c:v>
                </c:pt>
                <c:pt idx="374">
                  <c:v>1.2572822482341399</c:v>
                </c:pt>
                <c:pt idx="375">
                  <c:v>0.908255009838697</c:v>
                </c:pt>
                <c:pt idx="376">
                  <c:v>0.93057070290724186</c:v>
                </c:pt>
                <c:pt idx="377">
                  <c:v>0.85514646440213149</c:v>
                </c:pt>
                <c:pt idx="378">
                  <c:v>0.5575340090771137</c:v>
                </c:pt>
                <c:pt idx="379">
                  <c:v>0.89986292886583785</c:v>
                </c:pt>
                <c:pt idx="380">
                  <c:v>0.19166545569260252</c:v>
                </c:pt>
                <c:pt idx="381">
                  <c:v>1.0359210255202647</c:v>
                </c:pt>
                <c:pt idx="382">
                  <c:v>0.95285984844306959</c:v>
                </c:pt>
                <c:pt idx="383">
                  <c:v>0.59577053017878401</c:v>
                </c:pt>
                <c:pt idx="384">
                  <c:v>0.82077491895059673</c:v>
                </c:pt>
                <c:pt idx="385">
                  <c:v>1.370675582074165</c:v>
                </c:pt>
                <c:pt idx="386">
                  <c:v>0.91943128037913757</c:v>
                </c:pt>
                <c:pt idx="387">
                  <c:v>0.41121777100772322</c:v>
                </c:pt>
                <c:pt idx="388">
                  <c:v>0.38843655577014335</c:v>
                </c:pt>
                <c:pt idx="389">
                  <c:v>0.87955897186367504</c:v>
                </c:pt>
                <c:pt idx="390">
                  <c:v>0.42164078408038713</c:v>
                </c:pt>
                <c:pt idx="391">
                  <c:v>1.1882038713846144</c:v>
                </c:pt>
                <c:pt idx="392">
                  <c:v>1.3234615770891018</c:v>
                </c:pt>
                <c:pt idx="393">
                  <c:v>0.93862507708996179</c:v>
                </c:pt>
                <c:pt idx="394">
                  <c:v>0.38490056544004447</c:v>
                </c:pt>
                <c:pt idx="395">
                  <c:v>0.47675391480050211</c:v>
                </c:pt>
                <c:pt idx="396">
                  <c:v>0.72447873838197108</c:v>
                </c:pt>
                <c:pt idx="397">
                  <c:v>1.6636477567671117</c:v>
                </c:pt>
                <c:pt idx="398">
                  <c:v>1.1396308296404167</c:v>
                </c:pt>
                <c:pt idx="399">
                  <c:v>1.0705446531255602</c:v>
                </c:pt>
                <c:pt idx="400">
                  <c:v>0.92968711036207718</c:v>
                </c:pt>
                <c:pt idx="401">
                  <c:v>-0.24812587191550239</c:v>
                </c:pt>
                <c:pt idx="402">
                  <c:v>0.41117142822561115</c:v>
                </c:pt>
                <c:pt idx="403">
                  <c:v>0.28170538508316628</c:v>
                </c:pt>
                <c:pt idx="404">
                  <c:v>0.53117250624173362</c:v>
                </c:pt>
                <c:pt idx="405">
                  <c:v>-0.2913405808950148</c:v>
                </c:pt>
                <c:pt idx="406">
                  <c:v>-0.11140957517508993</c:v>
                </c:pt>
                <c:pt idx="407">
                  <c:v>0.15690309509206346</c:v>
                </c:pt>
                <c:pt idx="408">
                  <c:v>7.3915292849706299E-2</c:v>
                </c:pt>
                <c:pt idx="409">
                  <c:v>2.7875315713041617E-2</c:v>
                </c:pt>
                <c:pt idx="410">
                  <c:v>-0.30846074186594535</c:v>
                </c:pt>
                <c:pt idx="411">
                  <c:v>-0.67821789577368219</c:v>
                </c:pt>
                <c:pt idx="412">
                  <c:v>-0.74888427536234303</c:v>
                </c:pt>
                <c:pt idx="413">
                  <c:v>-0.50608525497198031</c:v>
                </c:pt>
                <c:pt idx="414">
                  <c:v>0.11712960450883825</c:v>
                </c:pt>
                <c:pt idx="415">
                  <c:v>0.62680188248873825</c:v>
                </c:pt>
                <c:pt idx="416">
                  <c:v>0.52241635962543764</c:v>
                </c:pt>
                <c:pt idx="417">
                  <c:v>0.58228224214226909</c:v>
                </c:pt>
                <c:pt idx="418">
                  <c:v>0.5475813913764418</c:v>
                </c:pt>
                <c:pt idx="419">
                  <c:v>0.96727074067477314</c:v>
                </c:pt>
                <c:pt idx="420">
                  <c:v>2.0120220903354857E-2</c:v>
                </c:pt>
                <c:pt idx="421">
                  <c:v>0.46907935218531571</c:v>
                </c:pt>
                <c:pt idx="422">
                  <c:v>0.85479318607169341</c:v>
                </c:pt>
                <c:pt idx="423">
                  <c:v>0.78380355300065407</c:v>
                </c:pt>
                <c:pt idx="424">
                  <c:v>1.1789959303857884</c:v>
                </c:pt>
                <c:pt idx="425">
                  <c:v>0.9358510101451063</c:v>
                </c:pt>
                <c:pt idx="426">
                  <c:v>0.96525184963672739</c:v>
                </c:pt>
                <c:pt idx="427">
                  <c:v>1.1388764276917227</c:v>
                </c:pt>
                <c:pt idx="428">
                  <c:v>1.0063477946641792</c:v>
                </c:pt>
                <c:pt idx="429">
                  <c:v>0.58054466383364001</c:v>
                </c:pt>
                <c:pt idx="430">
                  <c:v>0.81374215321152321</c:v>
                </c:pt>
                <c:pt idx="431">
                  <c:v>0.57800019295099536</c:v>
                </c:pt>
                <c:pt idx="432">
                  <c:v>0.66815841345220783</c:v>
                </c:pt>
                <c:pt idx="433">
                  <c:v>1.1585532514761034</c:v>
                </c:pt>
                <c:pt idx="434">
                  <c:v>1.6211189573290248</c:v>
                </c:pt>
                <c:pt idx="435">
                  <c:v>1.0179029250714906</c:v>
                </c:pt>
                <c:pt idx="436">
                  <c:v>0.38313875107000794</c:v>
                </c:pt>
                <c:pt idx="437">
                  <c:v>0.61842093519873254</c:v>
                </c:pt>
                <c:pt idx="438">
                  <c:v>0.89423796707177139</c:v>
                </c:pt>
                <c:pt idx="439">
                  <c:v>0.89519119232664068</c:v>
                </c:pt>
                <c:pt idx="440">
                  <c:v>-1.166363384171587E-2</c:v>
                </c:pt>
                <c:pt idx="441">
                  <c:v>0.49839873834397208</c:v>
                </c:pt>
                <c:pt idx="442">
                  <c:v>0.34490416164239424</c:v>
                </c:pt>
                <c:pt idx="443">
                  <c:v>0.76298579749509532</c:v>
                </c:pt>
                <c:pt idx="444">
                  <c:v>0.44977687678288147</c:v>
                </c:pt>
                <c:pt idx="445">
                  <c:v>1.1267151476158253</c:v>
                </c:pt>
                <c:pt idx="446">
                  <c:v>0.65064665270426425</c:v>
                </c:pt>
                <c:pt idx="447">
                  <c:v>0.44655397038712452</c:v>
                </c:pt>
                <c:pt idx="448">
                  <c:v>0.56035060721324459</c:v>
                </c:pt>
                <c:pt idx="449">
                  <c:v>0.95677564286593897</c:v>
                </c:pt>
                <c:pt idx="450">
                  <c:v>0.14025486142688748</c:v>
                </c:pt>
                <c:pt idx="451">
                  <c:v>0.34569318780263192</c:v>
                </c:pt>
                <c:pt idx="452">
                  <c:v>1.0052756137611734</c:v>
                </c:pt>
                <c:pt idx="453">
                  <c:v>0.94483477806860916</c:v>
                </c:pt>
                <c:pt idx="454">
                  <c:v>0.97219505643649717</c:v>
                </c:pt>
                <c:pt idx="455">
                  <c:v>0.77309152462541486</c:v>
                </c:pt>
                <c:pt idx="456">
                  <c:v>1.0011292428816565</c:v>
                </c:pt>
                <c:pt idx="457">
                  <c:v>0.973519786999268</c:v>
                </c:pt>
                <c:pt idx="458">
                  <c:v>0.70043391669097099</c:v>
                </c:pt>
                <c:pt idx="459">
                  <c:v>0.92813104360482934</c:v>
                </c:pt>
                <c:pt idx="460">
                  <c:v>1.1514054586365052</c:v>
                </c:pt>
                <c:pt idx="461">
                  <c:v>0.89622821848625767</c:v>
                </c:pt>
                <c:pt idx="462">
                  <c:v>1.0629807383069987</c:v>
                </c:pt>
                <c:pt idx="463">
                  <c:v>1.0646851524498855</c:v>
                </c:pt>
                <c:pt idx="464">
                  <c:v>1.0091954828798158</c:v>
                </c:pt>
                <c:pt idx="465">
                  <c:v>0.60477155609481148</c:v>
                </c:pt>
                <c:pt idx="466">
                  <c:v>0.9788093574435609</c:v>
                </c:pt>
                <c:pt idx="467">
                  <c:v>1.3232864579637615</c:v>
                </c:pt>
                <c:pt idx="468">
                  <c:v>1.3883245224102585</c:v>
                </c:pt>
                <c:pt idx="469">
                  <c:v>0.68023250719611728</c:v>
                </c:pt>
                <c:pt idx="470">
                  <c:v>0.43613366848850299</c:v>
                </c:pt>
                <c:pt idx="471">
                  <c:v>1.2389374492925809</c:v>
                </c:pt>
                <c:pt idx="472">
                  <c:v>1.0246302819445867</c:v>
                </c:pt>
                <c:pt idx="473">
                  <c:v>1.601932955452158</c:v>
                </c:pt>
                <c:pt idx="474">
                  <c:v>1.4790687025133806</c:v>
                </c:pt>
                <c:pt idx="475">
                  <c:v>1.1516713668499585</c:v>
                </c:pt>
                <c:pt idx="476">
                  <c:v>1.0963741379837075</c:v>
                </c:pt>
                <c:pt idx="477">
                  <c:v>1.2847285669055921</c:v>
                </c:pt>
                <c:pt idx="478">
                  <c:v>0.46405011380330952</c:v>
                </c:pt>
                <c:pt idx="479">
                  <c:v>0.480165327109496</c:v>
                </c:pt>
                <c:pt idx="480">
                  <c:v>0.11515830710354641</c:v>
                </c:pt>
                <c:pt idx="481">
                  <c:v>0.60816254816168458</c:v>
                </c:pt>
                <c:pt idx="482">
                  <c:v>0.75071615488440946</c:v>
                </c:pt>
                <c:pt idx="483">
                  <c:v>0.34152965374756961</c:v>
                </c:pt>
                <c:pt idx="484">
                  <c:v>0.32195303406705506</c:v>
                </c:pt>
                <c:pt idx="485">
                  <c:v>0.46026443144061252</c:v>
                </c:pt>
                <c:pt idx="486">
                  <c:v>0.63674469827672442</c:v>
                </c:pt>
                <c:pt idx="487">
                  <c:v>0.49590182023511109</c:v>
                </c:pt>
                <c:pt idx="488">
                  <c:v>0.90692308662616083</c:v>
                </c:pt>
                <c:pt idx="489">
                  <c:v>0.60590780024203661</c:v>
                </c:pt>
                <c:pt idx="490">
                  <c:v>0.76314917392955617</c:v>
                </c:pt>
                <c:pt idx="491">
                  <c:v>0.83933996582359782</c:v>
                </c:pt>
                <c:pt idx="492">
                  <c:v>0.68362324803746222</c:v>
                </c:pt>
                <c:pt idx="493">
                  <c:v>1.1058740981142461</c:v>
                </c:pt>
                <c:pt idx="494">
                  <c:v>1.2701294378006447</c:v>
                </c:pt>
                <c:pt idx="495">
                  <c:v>0.89769242153961371</c:v>
                </c:pt>
                <c:pt idx="496">
                  <c:v>0.26495670154663953</c:v>
                </c:pt>
                <c:pt idx="497">
                  <c:v>1.0596224810719448</c:v>
                </c:pt>
                <c:pt idx="498">
                  <c:v>1.0980162545622683</c:v>
                </c:pt>
                <c:pt idx="499">
                  <c:v>1.132456282078764</c:v>
                </c:pt>
                <c:pt idx="500">
                  <c:v>1.1739946727589212</c:v>
                </c:pt>
                <c:pt idx="501">
                  <c:v>1.4159093004028118</c:v>
                </c:pt>
                <c:pt idx="502">
                  <c:v>1.7851491704329625</c:v>
                </c:pt>
                <c:pt idx="503">
                  <c:v>1.2894969551199922</c:v>
                </c:pt>
                <c:pt idx="504">
                  <c:v>0.90738995975679226</c:v>
                </c:pt>
                <c:pt idx="505">
                  <c:v>1.0198901752291316</c:v>
                </c:pt>
                <c:pt idx="506">
                  <c:v>0.45627535262261332</c:v>
                </c:pt>
                <c:pt idx="507">
                  <c:v>0.3128859612874233</c:v>
                </c:pt>
                <c:pt idx="508">
                  <c:v>1.3339039703983826</c:v>
                </c:pt>
                <c:pt idx="509">
                  <c:v>0.82559257069101977</c:v>
                </c:pt>
                <c:pt idx="510">
                  <c:v>0.17453525957895133</c:v>
                </c:pt>
                <c:pt idx="511">
                  <c:v>0.38852300962216224</c:v>
                </c:pt>
                <c:pt idx="512">
                  <c:v>0.72912663450929194</c:v>
                </c:pt>
                <c:pt idx="513">
                  <c:v>0.31593481343867336</c:v>
                </c:pt>
                <c:pt idx="514">
                  <c:v>-0.13165399693397933</c:v>
                </c:pt>
                <c:pt idx="515">
                  <c:v>0.23577524697360128</c:v>
                </c:pt>
                <c:pt idx="516">
                  <c:v>0.28594815855343153</c:v>
                </c:pt>
                <c:pt idx="517">
                  <c:v>0.90978304031087631</c:v>
                </c:pt>
                <c:pt idx="518">
                  <c:v>0.67760077265072316</c:v>
                </c:pt>
                <c:pt idx="519">
                  <c:v>0.54544188440030128</c:v>
                </c:pt>
                <c:pt idx="520">
                  <c:v>0.81293557612980227</c:v>
                </c:pt>
                <c:pt idx="521">
                  <c:v>0.14608376878721052</c:v>
                </c:pt>
                <c:pt idx="522">
                  <c:v>0.27410494449870937</c:v>
                </c:pt>
                <c:pt idx="523">
                  <c:v>-0.16038767874045029</c:v>
                </c:pt>
                <c:pt idx="524">
                  <c:v>-5.9906667054255569E-2</c:v>
                </c:pt>
                <c:pt idx="525">
                  <c:v>-4.3043306426109484E-2</c:v>
                </c:pt>
                <c:pt idx="526">
                  <c:v>-0.14598353881422041</c:v>
                </c:pt>
                <c:pt idx="527">
                  <c:v>0.27711290804300054</c:v>
                </c:pt>
                <c:pt idx="528">
                  <c:v>0.1817059212061797</c:v>
                </c:pt>
                <c:pt idx="529">
                  <c:v>-0.24684665882079515</c:v>
                </c:pt>
                <c:pt idx="530">
                  <c:v>0.18963316393490351</c:v>
                </c:pt>
                <c:pt idx="531">
                  <c:v>0.49344832521535287</c:v>
                </c:pt>
                <c:pt idx="532">
                  <c:v>0.9494998643960405</c:v>
                </c:pt>
                <c:pt idx="533">
                  <c:v>1.2857443164154125</c:v>
                </c:pt>
                <c:pt idx="534">
                  <c:v>1.2673693176628928</c:v>
                </c:pt>
                <c:pt idx="535">
                  <c:v>1.5426814120033732</c:v>
                </c:pt>
                <c:pt idx="536">
                  <c:v>1.4263830864378788</c:v>
                </c:pt>
                <c:pt idx="537">
                  <c:v>1.3449444222301037</c:v>
                </c:pt>
                <c:pt idx="538">
                  <c:v>1.1819754869223005</c:v>
                </c:pt>
                <c:pt idx="539">
                  <c:v>0.56661480960602539</c:v>
                </c:pt>
                <c:pt idx="540">
                  <c:v>1.4652415126530622</c:v>
                </c:pt>
                <c:pt idx="541">
                  <c:v>1.0280883808589287</c:v>
                </c:pt>
                <c:pt idx="542">
                  <c:v>0.91241142515741747</c:v>
                </c:pt>
                <c:pt idx="543">
                  <c:v>1.0880643497042672</c:v>
                </c:pt>
                <c:pt idx="544">
                  <c:v>1.0260693162689203</c:v>
                </c:pt>
                <c:pt idx="545">
                  <c:v>0.74651268978853935</c:v>
                </c:pt>
                <c:pt idx="546">
                  <c:v>0.55324399518316747</c:v>
                </c:pt>
                <c:pt idx="547">
                  <c:v>0.91296441759609204</c:v>
                </c:pt>
                <c:pt idx="548">
                  <c:v>0.6084781866115716</c:v>
                </c:pt>
                <c:pt idx="549">
                  <c:v>0.78854896370752603</c:v>
                </c:pt>
                <c:pt idx="550">
                  <c:v>1.1663000598456152</c:v>
                </c:pt>
                <c:pt idx="551">
                  <c:v>1.3116939140587065</c:v>
                </c:pt>
                <c:pt idx="552">
                  <c:v>1.7017098326244693</c:v>
                </c:pt>
                <c:pt idx="553">
                  <c:v>1.4837100346951884</c:v>
                </c:pt>
                <c:pt idx="554">
                  <c:v>1.3166501612977035</c:v>
                </c:pt>
                <c:pt idx="555">
                  <c:v>1.8277529659580498</c:v>
                </c:pt>
                <c:pt idx="556">
                  <c:v>0.90884923368642645</c:v>
                </c:pt>
                <c:pt idx="557">
                  <c:v>1.2316592673599098</c:v>
                </c:pt>
                <c:pt idx="558">
                  <c:v>1.1774909131685827</c:v>
                </c:pt>
                <c:pt idx="559">
                  <c:v>1.0443126476544899</c:v>
                </c:pt>
                <c:pt idx="560">
                  <c:v>0.52404545062003371</c:v>
                </c:pt>
                <c:pt idx="561">
                  <c:v>0.46559219091711196</c:v>
                </c:pt>
                <c:pt idx="562">
                  <c:v>0.85621630928388359</c:v>
                </c:pt>
                <c:pt idx="563">
                  <c:v>1.1414352018856035</c:v>
                </c:pt>
                <c:pt idx="564">
                  <c:v>1.0840938998784577</c:v>
                </c:pt>
                <c:pt idx="565">
                  <c:v>1.0361541100359273</c:v>
                </c:pt>
                <c:pt idx="566">
                  <c:v>0.74160459359190534</c:v>
                </c:pt>
                <c:pt idx="567">
                  <c:v>1.0722970594437409</c:v>
                </c:pt>
                <c:pt idx="568">
                  <c:v>1.4259608861335231</c:v>
                </c:pt>
                <c:pt idx="569">
                  <c:v>1.5062222400538938</c:v>
                </c:pt>
                <c:pt idx="570">
                  <c:v>1.3827799240819214</c:v>
                </c:pt>
                <c:pt idx="571">
                  <c:v>1.6869786415566614</c:v>
                </c:pt>
                <c:pt idx="572">
                  <c:v>1.4305196998747058</c:v>
                </c:pt>
                <c:pt idx="573">
                  <c:v>1.6612581080976008</c:v>
                </c:pt>
                <c:pt idx="574">
                  <c:v>2.0362628375633953</c:v>
                </c:pt>
                <c:pt idx="575">
                  <c:v>1.2917508175120735</c:v>
                </c:pt>
                <c:pt idx="576">
                  <c:v>0.63944527795381889</c:v>
                </c:pt>
                <c:pt idx="577">
                  <c:v>0.11203780196896429</c:v>
                </c:pt>
                <c:pt idx="578">
                  <c:v>0.17389369120714307</c:v>
                </c:pt>
                <c:pt idx="579">
                  <c:v>0.42123446015928451</c:v>
                </c:pt>
                <c:pt idx="580">
                  <c:v>0.58635454705867607</c:v>
                </c:pt>
                <c:pt idx="581">
                  <c:v>8.7581325761765583E-2</c:v>
                </c:pt>
                <c:pt idx="582">
                  <c:v>0.32524645039903982</c:v>
                </c:pt>
                <c:pt idx="583">
                  <c:v>0.27392162754588845</c:v>
                </c:pt>
                <c:pt idx="584">
                  <c:v>0.79358610906430527</c:v>
                </c:pt>
                <c:pt idx="585">
                  <c:v>0.90796481189391731</c:v>
                </c:pt>
                <c:pt idx="586">
                  <c:v>1.1689536546041253</c:v>
                </c:pt>
                <c:pt idx="587">
                  <c:v>1.0365291201527818</c:v>
                </c:pt>
                <c:pt idx="588">
                  <c:v>0.68848532910126459</c:v>
                </c:pt>
                <c:pt idx="589">
                  <c:v>0.41731895025418686</c:v>
                </c:pt>
                <c:pt idx="590">
                  <c:v>0.186851141107921</c:v>
                </c:pt>
                <c:pt idx="591">
                  <c:v>1.3922447373402762</c:v>
                </c:pt>
                <c:pt idx="592">
                  <c:v>1.017718385676146</c:v>
                </c:pt>
                <c:pt idx="593">
                  <c:v>0.68786362800657286</c:v>
                </c:pt>
                <c:pt idx="594">
                  <c:v>-1.0275177047292861E-2</c:v>
                </c:pt>
                <c:pt idx="595">
                  <c:v>-9.2206155538438028E-2</c:v>
                </c:pt>
                <c:pt idx="596">
                  <c:v>0.23847617433230323</c:v>
                </c:pt>
                <c:pt idx="597">
                  <c:v>0.46924384535170621</c:v>
                </c:pt>
                <c:pt idx="598">
                  <c:v>0.16114672596167745</c:v>
                </c:pt>
              </c:numCache>
            </c:numRef>
          </c:yVal>
          <c:smooth val="0"/>
        </c:ser>
        <c:dLbls>
          <c:showLegendKey val="0"/>
          <c:showVal val="0"/>
          <c:showCatName val="0"/>
          <c:showSerName val="0"/>
          <c:showPercent val="0"/>
          <c:showBubbleSize val="0"/>
        </c:dLbls>
        <c:axId val="-1510686656"/>
        <c:axId val="-1510686264"/>
      </c:scatterChart>
      <c:valAx>
        <c:axId val="-1510686656"/>
        <c:scaling>
          <c:orientation val="minMax"/>
        </c:scaling>
        <c:delete val="1"/>
        <c:axPos val="b"/>
        <c:numFmt formatCode="0.00" sourceLinked="1"/>
        <c:majorTickMark val="out"/>
        <c:minorTickMark val="none"/>
        <c:tickLblPos val="nextTo"/>
        <c:crossAx val="-1510686264"/>
        <c:crosses val="autoZero"/>
        <c:crossBetween val="midCat"/>
      </c:valAx>
      <c:valAx>
        <c:axId val="-1510686264"/>
        <c:scaling>
          <c:orientation val="minMax"/>
        </c:scaling>
        <c:delete val="1"/>
        <c:axPos val="l"/>
        <c:numFmt formatCode="0.00" sourceLinked="1"/>
        <c:majorTickMark val="out"/>
        <c:minorTickMark val="none"/>
        <c:tickLblPos val="nextTo"/>
        <c:crossAx val="-151068665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1525</xdr:colOff>
      <xdr:row>0</xdr:row>
      <xdr:rowOff>3175</xdr:rowOff>
    </xdr:from>
    <xdr:to>
      <xdr:col>39</xdr:col>
      <xdr:colOff>180976</xdr:colOff>
      <xdr:row>48</xdr:row>
      <xdr:rowOff>38103</xdr:rowOff>
    </xdr:to>
    <xdr:sp macro="" textlink="">
      <xdr:nvSpPr>
        <xdr:cNvPr id="2" name="TextBox 1"/>
        <xdr:cNvSpPr txBox="1"/>
      </xdr:nvSpPr>
      <xdr:spPr>
        <a:xfrm>
          <a:off x="220600" y="142875"/>
          <a:ext cx="8859899" cy="6429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defRPr sz="1000"/>
          </a:pPr>
          <a:r>
            <a:rPr lang="en-US" sz="1400" b="1" i="0" u="none" strike="noStrike" baseline="0">
              <a:solidFill>
                <a:srgbClr val="000000"/>
              </a:solidFill>
              <a:latin typeface="Cambria"/>
            </a:rPr>
            <a:t>Copyright &amp; Disclaimer</a:t>
          </a:r>
        </a:p>
        <a:p>
          <a:pPr algn="l" rtl="0">
            <a:defRPr sz="1000"/>
          </a:pPr>
          <a:endParaRPr lang="en-US" sz="1400" b="1" i="0" u="none" strike="noStrike" baseline="0">
            <a:solidFill>
              <a:srgbClr val="000000"/>
            </a:solidFill>
            <a:latin typeface="Cambria"/>
          </a:endParaRPr>
        </a:p>
        <a:p>
          <a:pPr algn="l" rtl="0">
            <a:defRPr sz="1000"/>
          </a:pPr>
          <a:r>
            <a:rPr lang="en-US" sz="1400" b="1" i="0" u="none" strike="noStrike" baseline="0">
              <a:solidFill>
                <a:srgbClr val="000000"/>
              </a:solidFill>
              <a:latin typeface="Cambria"/>
            </a:rPr>
            <a:t>Copyright © 2013 - 2016, Changwei Xiong, &lt;http://www.cs.utah.edu/~cxiong/&gt;</a:t>
          </a:r>
        </a:p>
        <a:p>
          <a:pPr algn="l" rtl="0">
            <a:defRPr sz="1000"/>
          </a:pPr>
          <a:r>
            <a:rPr lang="en-US" sz="1400" b="1" i="0" u="none" strike="noStrike" baseline="0">
              <a:solidFill>
                <a:srgbClr val="000000"/>
              </a:solidFill>
              <a:latin typeface="Cambria"/>
            </a:rPr>
            <a:t>All rights reserved</a:t>
          </a:r>
        </a:p>
        <a:p>
          <a:pPr algn="l" rtl="0">
            <a:defRPr sz="1000"/>
          </a:pPr>
          <a:endParaRPr lang="en-US" sz="1400" b="0" i="0" u="none" strike="noStrike" baseline="0">
            <a:solidFill>
              <a:srgbClr val="000000"/>
            </a:solidFill>
            <a:latin typeface="Cambria"/>
          </a:endParaRPr>
        </a:p>
        <a:p>
          <a:pPr algn="l" rtl="0">
            <a:defRPr sz="1000"/>
          </a:pPr>
          <a:r>
            <a:rPr lang="en-US" sz="1400" b="0" i="0" u="none" strike="noStrike" baseline="0">
              <a:solidFill>
                <a:srgbClr val="000000"/>
              </a:solidFill>
              <a:latin typeface="Cambria"/>
            </a:rPr>
            <a:t>Redistribution and use in source and binary forms, with or without modification, are permitted provided that the following conditions are met: </a:t>
          </a:r>
        </a:p>
        <a:p>
          <a:pPr algn="l" rtl="0">
            <a:defRPr sz="1000"/>
          </a:pPr>
          <a:r>
            <a:rPr lang="en-US" sz="1400" b="0" i="0" u="none" strike="noStrike" baseline="0">
              <a:solidFill>
                <a:srgbClr val="000000"/>
              </a:solidFill>
              <a:latin typeface="Cambria"/>
            </a:rPr>
            <a:t>(1)   Redistributions of source code must retain the above copyright notice, this list of conditions and the following disclaimer. </a:t>
          </a:r>
        </a:p>
        <a:p>
          <a:pPr algn="l" rtl="0">
            <a:defRPr sz="1000"/>
          </a:pPr>
          <a:r>
            <a:rPr lang="en-US" sz="1400" b="0" i="0" u="none" strike="noStrike" baseline="0">
              <a:solidFill>
                <a:srgbClr val="000000"/>
              </a:solidFill>
              <a:latin typeface="Cambria"/>
            </a:rPr>
            <a:t>(2)   Redistributions in binary form must reproduce the above copyright notice, this list of conditions and the following disclaimer in the documentation and/or other materials provided with the distribution. </a:t>
          </a:r>
        </a:p>
        <a:p>
          <a:pPr algn="l" rtl="0">
            <a:defRPr sz="1000"/>
          </a:pPr>
          <a:r>
            <a:rPr lang="en-US" sz="1400" b="0" i="0" u="none" strike="noStrike" baseline="0">
              <a:solidFill>
                <a:srgbClr val="000000"/>
              </a:solidFill>
              <a:latin typeface="Cambria"/>
            </a:rPr>
            <a:t>(3)   The name of the author may not be used to endorse or promote products derived from this software without specific prior written permission.</a:t>
          </a:r>
        </a:p>
        <a:p>
          <a:pPr algn="l" rtl="0">
            <a:defRPr sz="1000"/>
          </a:pPr>
          <a:endParaRPr lang="en-US" sz="1400" b="0" i="0" u="none" strike="noStrike" baseline="0">
            <a:solidFill>
              <a:srgbClr val="000000"/>
            </a:solidFill>
            <a:latin typeface="Cambria"/>
          </a:endParaRPr>
        </a:p>
        <a:p>
          <a:pPr algn="l" rtl="0">
            <a:defRPr sz="1000"/>
          </a:pPr>
          <a:r>
            <a:rPr lang="en-US" sz="1400" b="0" i="0" u="none" strike="noStrike" baseline="0">
              <a:solidFill>
                <a:srgbClr val="000000"/>
              </a:solidFill>
              <a:latin typeface="Cambria"/>
            </a:rPr>
            <a:t>THIS SOFTWARE IS PROVIDED BY THE AUTHOR ``AS IS'' AND ANY EXPRESS OR IMPLIED WARRANTIES, INCLUDING, BUT NOT LIMITED TO, THE IMPLIED WARRANTIES OF MERCHANTABILITY AND FITNESS FOR A PARTICULAR PURPOSE ARE DISCLAIMED. IN NO EVENT SHALL THE AUTHOR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a:t>
          </a:r>
        </a:p>
        <a:p>
          <a:pPr algn="l" rtl="0">
            <a:defRPr sz="1000"/>
          </a:pPr>
          <a:endParaRPr lang="en-US" sz="1400" b="0" i="0" u="none" strike="noStrike" baseline="0">
            <a:solidFill>
              <a:srgbClr val="000000"/>
            </a:solidFill>
            <a:latin typeface="Cambria"/>
          </a:endParaRPr>
        </a:p>
        <a:p>
          <a:pPr algn="l" rtl="0">
            <a:defRPr sz="1000"/>
          </a:pPr>
          <a:endParaRPr lang="en-US" sz="1400" b="0" i="0" u="none" strike="noStrike" baseline="0">
            <a:solidFill>
              <a:srgbClr val="000000"/>
            </a:solidFill>
            <a:latin typeface="Cambria"/>
          </a:endParaRPr>
        </a:p>
        <a:p>
          <a:pPr algn="l" rtl="0">
            <a:defRPr sz="1000"/>
          </a:pPr>
          <a:r>
            <a:rPr lang="en-US" sz="1400" b="0" i="0" u="none" strike="noStrike" baseline="0">
              <a:solidFill>
                <a:srgbClr val="000000"/>
              </a:solidFill>
              <a:latin typeface="Cambria"/>
            </a:rPr>
            <a:t>Created: March 12, 2013</a:t>
          </a:r>
        </a:p>
        <a:p>
          <a:pPr algn="l" rtl="0">
            <a:defRPr sz="1000"/>
          </a:pPr>
          <a:r>
            <a:rPr lang="en-US" sz="1400" b="0" i="0" u="none" strike="noStrike" baseline="0">
              <a:solidFill>
                <a:srgbClr val="000000"/>
              </a:solidFill>
              <a:latin typeface="Cambria"/>
            </a:rPr>
            <a:t>Last Update: July 09, 2016</a:t>
          </a:r>
        </a:p>
        <a:p>
          <a:pPr algn="l" rtl="0">
            <a:defRPr sz="1000"/>
          </a:pPr>
          <a:endParaRPr lang="en-US" sz="1400" b="0" i="0" u="none" strike="noStrike" baseline="0">
            <a:solidFill>
              <a:srgbClr val="000000"/>
            </a:solidFill>
            <a:latin typeface="Cambri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44</xdr:row>
          <xdr:rowOff>47625</xdr:rowOff>
        </xdr:from>
        <xdr:to>
          <xdr:col>4</xdr:col>
          <xdr:colOff>28575</xdr:colOff>
          <xdr:row>47</xdr:row>
          <xdr:rowOff>9525</xdr:rowOff>
        </xdr:to>
        <xdr:sp macro="" textlink="">
          <xdr:nvSpPr>
            <xdr:cNvPr id="1545" name="Button 521" hidden="1">
              <a:extLst>
                <a:ext uri="{63B3BB69-23CF-44E3-9099-C40C66FF867C}">
                  <a14:compatExt spid="_x0000_s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mbria"/>
                </a:rPr>
                <a:t>Calibrate</a:t>
              </a:r>
            </a:p>
          </xdr:txBody>
        </xdr:sp>
        <xdr:clientData fPrintsWithSheet="0"/>
      </xdr:twoCellAnchor>
    </mc:Choice>
    <mc:Fallback/>
  </mc:AlternateContent>
  <xdr:twoCellAnchor>
    <xdr:from>
      <xdr:col>0</xdr:col>
      <xdr:colOff>76200</xdr:colOff>
      <xdr:row>65</xdr:row>
      <xdr:rowOff>76200</xdr:rowOff>
    </xdr:from>
    <xdr:to>
      <xdr:col>21</xdr:col>
      <xdr:colOff>123825</xdr:colOff>
      <xdr:row>102</xdr:row>
      <xdr:rowOff>85725</xdr:rowOff>
    </xdr:to>
    <xdr:grpSp>
      <xdr:nvGrpSpPr>
        <xdr:cNvPr id="3851884" name="Group 2"/>
        <xdr:cNvGrpSpPr>
          <a:grpSpLocks/>
        </xdr:cNvGrpSpPr>
      </xdr:nvGrpSpPr>
      <xdr:grpSpPr bwMode="auto">
        <a:xfrm>
          <a:off x="76200" y="8820150"/>
          <a:ext cx="5848350" cy="4943475"/>
          <a:chOff x="8502650" y="3816350"/>
          <a:chExt cx="5486400" cy="4883150"/>
        </a:xfrm>
      </xdr:grpSpPr>
      <xdr:sp macro="" textlink="">
        <xdr:nvSpPr>
          <xdr:cNvPr id="1606" name="Text Box 81"/>
          <xdr:cNvSpPr txBox="1">
            <a:spLocks noChangeArrowheads="1"/>
          </xdr:cNvSpPr>
        </xdr:nvSpPr>
        <xdr:spPr bwMode="auto">
          <a:xfrm>
            <a:off x="8502650" y="3816350"/>
            <a:ext cx="5486400" cy="310489"/>
          </a:xfrm>
          <a:prstGeom prst="rect">
            <a:avLst/>
          </a:prstGeom>
          <a:solidFill>
            <a:srgbClr xmlns:mc="http://schemas.openxmlformats.org/markup-compatibility/2006" xmlns:a14="http://schemas.microsoft.com/office/drawing/2010/main" val="FFFFFF" mc:Ignorable="a14" a14:legacySpreadsheetColorIndex="65"/>
          </a:solidFill>
          <a:ln w="6350">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ctr" rtl="0">
              <a:defRPr sz="1000"/>
            </a:pPr>
            <a:r>
              <a:rPr lang="en-US" sz="1000" b="1" i="0" u="none" strike="noStrike" baseline="0">
                <a:solidFill>
                  <a:srgbClr val="000000"/>
                </a:solidFill>
                <a:latin typeface="Cambria"/>
              </a:rPr>
              <a:t>Simulated </a:t>
            </a:r>
            <a:r>
              <a:rPr lang="en-US" sz="1000" b="1" i="1" u="none" strike="noStrike" baseline="0">
                <a:solidFill>
                  <a:srgbClr val="000000"/>
                </a:solidFill>
                <a:latin typeface="Cambria"/>
              </a:rPr>
              <a:t>x(i)</a:t>
            </a:r>
            <a:r>
              <a:rPr lang="en-US" sz="1000" b="1" i="0" u="none" strike="noStrike" baseline="0">
                <a:solidFill>
                  <a:srgbClr val="000000"/>
                </a:solidFill>
                <a:latin typeface="Cambria"/>
              </a:rPr>
              <a:t>   vs.   Estimated </a:t>
            </a:r>
            <a:r>
              <a:rPr lang="en-US" sz="1000" b="1" i="1" u="none" strike="noStrike" baseline="0">
                <a:solidFill>
                  <a:srgbClr val="000000"/>
                </a:solidFill>
                <a:latin typeface="Cambria"/>
              </a:rPr>
              <a:t>E[x(i|i)]</a:t>
            </a:r>
          </a:p>
        </xdr:txBody>
      </xdr:sp>
      <xdr:grpSp>
        <xdr:nvGrpSpPr>
          <xdr:cNvPr id="3851891" name="Group 1"/>
          <xdr:cNvGrpSpPr>
            <a:grpSpLocks/>
          </xdr:cNvGrpSpPr>
        </xdr:nvGrpSpPr>
        <xdr:grpSpPr bwMode="auto">
          <a:xfrm>
            <a:off x="8502650" y="4127500"/>
            <a:ext cx="5486400" cy="4572000"/>
            <a:chOff x="7842250" y="2933700"/>
            <a:chExt cx="5486400" cy="4572000"/>
          </a:xfrm>
        </xdr:grpSpPr>
        <xdr:graphicFrame macro="">
          <xdr:nvGraphicFramePr>
            <xdr:cNvPr id="3851892" name="Chart 1"/>
            <xdr:cNvGraphicFramePr>
              <a:graphicFrameLocks/>
            </xdr:cNvGraphicFramePr>
          </xdr:nvGraphicFramePr>
          <xdr:xfrm>
            <a:off x="7842250" y="2935666"/>
            <a:ext cx="2743200" cy="22860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851893" name="Chart 1"/>
            <xdr:cNvGraphicFramePr>
              <a:graphicFrameLocks/>
            </xdr:cNvGraphicFramePr>
          </xdr:nvGraphicFramePr>
          <xdr:xfrm>
            <a:off x="10585450" y="2933700"/>
            <a:ext cx="2743200" cy="2286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851894" name="Chart 1"/>
            <xdr:cNvGraphicFramePr>
              <a:graphicFrameLocks/>
            </xdr:cNvGraphicFramePr>
          </xdr:nvGraphicFramePr>
          <xdr:xfrm>
            <a:off x="7842250" y="5219700"/>
            <a:ext cx="2743200" cy="22860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851895" name="Chart 1"/>
            <xdr:cNvGraphicFramePr>
              <a:graphicFrameLocks/>
            </xdr:cNvGraphicFramePr>
          </xdr:nvGraphicFramePr>
          <xdr:xfrm>
            <a:off x="10585450" y="5219700"/>
            <a:ext cx="2743200" cy="2286000"/>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mc:AlternateContent xmlns:mc="http://schemas.openxmlformats.org/markup-compatibility/2006">
    <mc:Choice xmlns:a14="http://schemas.microsoft.com/office/drawing/2010/main" Requires="a14">
      <xdr:twoCellAnchor>
        <xdr:from>
          <xdr:col>0</xdr:col>
          <xdr:colOff>142875</xdr:colOff>
          <xdr:row>29</xdr:row>
          <xdr:rowOff>28575</xdr:rowOff>
        </xdr:from>
        <xdr:to>
          <xdr:col>4</xdr:col>
          <xdr:colOff>9525</xdr:colOff>
          <xdr:row>31</xdr:row>
          <xdr:rowOff>123825</xdr:rowOff>
        </xdr:to>
        <xdr:sp macro="" textlink="">
          <xdr:nvSpPr>
            <xdr:cNvPr id="1128278" name="Button 13142" hidden="1">
              <a:extLst>
                <a:ext uri="{63B3BB69-23CF-44E3-9099-C40C66FF867C}">
                  <a14:compatExt spid="_x0000_s1128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mbria"/>
                </a:rPr>
                <a:t>Populate Sheet</a:t>
              </a:r>
            </a:p>
          </xdr:txBody>
        </xdr:sp>
        <xdr:clientData fPrintsWithSheet="0"/>
      </xdr:twoCellAnchor>
    </mc:Choice>
    <mc:Fallback/>
  </mc:AlternateContent>
  <xdr:twoCellAnchor>
    <xdr:from>
      <xdr:col>0</xdr:col>
      <xdr:colOff>92075</xdr:colOff>
      <xdr:row>103</xdr:row>
      <xdr:rowOff>31750</xdr:rowOff>
    </xdr:from>
    <xdr:to>
      <xdr:col>21</xdr:col>
      <xdr:colOff>112395</xdr:colOff>
      <xdr:row>140</xdr:row>
      <xdr:rowOff>57150</xdr:rowOff>
    </xdr:to>
    <mc:AlternateContent xmlns:mc="http://schemas.openxmlformats.org/markup-compatibility/2006" xmlns:a14="http://schemas.microsoft.com/office/drawing/2010/main">
      <mc:Choice Requires="a14">
        <xdr:sp macro="" textlink="">
          <xdr:nvSpPr>
            <xdr:cNvPr id="13" name="TextBox 12"/>
            <xdr:cNvSpPr txBox="1"/>
          </xdr:nvSpPr>
          <xdr:spPr>
            <a:xfrm>
              <a:off x="101600" y="13417550"/>
              <a:ext cx="6675120" cy="4959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rIns="91440" rtlCol="0" anchor="t"/>
            <a:lstStyle/>
            <a:p>
              <a:pPr algn="l" rtl="0">
                <a:lnSpc>
                  <a:spcPct val="100000"/>
                </a:lnSpc>
                <a:spcBef>
                  <a:spcPts val="300"/>
                </a:spcBef>
                <a:spcAft>
                  <a:spcPts val="300"/>
                </a:spcAft>
              </a:pPr>
              <a:r>
                <a:rPr lang="en-US" sz="1100" b="1" i="0" baseline="0">
                  <a:solidFill>
                    <a:schemeClr val="dk1"/>
                  </a:solidFill>
                  <a:effectLst/>
                  <a:latin typeface="Cambria Math" panose="02040503050406030204" pitchFamily="18" charset="0"/>
                  <a:ea typeface="Cambria Math" panose="02040503050406030204" pitchFamily="18" charset="0"/>
                  <a:cs typeface="+mn-cs"/>
                </a:rPr>
                <a:t>Hypothetical State Space System:</a:t>
              </a:r>
            </a:p>
            <a:p>
              <a:pPr algn="l" rtl="0">
                <a:lnSpc>
                  <a:spcPct val="100000"/>
                </a:lnSpc>
                <a:spcBef>
                  <a:spcPts val="300"/>
                </a:spcBef>
                <a:spcAft>
                  <a:spcPts val="300"/>
                </a:spcAft>
              </a:pPr>
              <a:r>
                <a:rPr lang="en-US" sz="1100" b="0" i="0" baseline="0">
                  <a:solidFill>
                    <a:schemeClr val="dk1"/>
                  </a:solidFill>
                  <a:effectLst/>
                  <a:latin typeface="Cambria Math" panose="02040503050406030204" pitchFamily="18" charset="0"/>
                  <a:ea typeface="Cambria Math" panose="02040503050406030204" pitchFamily="18" charset="0"/>
                  <a:cs typeface="+mn-cs"/>
                </a:rPr>
                <a:t>Measurement system: </a:t>
              </a:r>
            </a:p>
            <a:p>
              <a:pPr algn="l" rtl="0">
                <a:lnSpc>
                  <a:spcPct val="100000"/>
                </a:lnSpc>
                <a:spcBef>
                  <a:spcPts val="300"/>
                </a:spcBef>
                <a:spcAft>
                  <a:spcPts val="300"/>
                </a:spcAft>
              </a:pPr>
              <a14:m>
                <m:oMathPara xmlns:m="http://schemas.openxmlformats.org/officeDocument/2006/math">
                  <m:oMathParaPr>
                    <m:jc m:val="left"/>
                  </m:oMathParaPr>
                  <m:oMath xmlns:m="http://schemas.openxmlformats.org/officeDocument/2006/math">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𝑦</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𝑎</m:t>
                    </m:r>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𝐻</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𝑥</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𝑟</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𝑟</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𝑁</m:t>
                    </m:r>
                    <m:d>
                      <m:dPr>
                        <m:ctrlPr>
                          <a:rPr lang="en-US" sz="1100" b="0" i="1">
                            <a:solidFill>
                              <a:schemeClr val="dk1"/>
                            </a:solidFill>
                            <a:effectLst/>
                            <a:latin typeface="Cambria Math" panose="02040503050406030204" pitchFamily="18" charset="0"/>
                            <a:ea typeface="Cambria Math" panose="02040503050406030204" pitchFamily="18" charset="0"/>
                            <a:cs typeface="+mn-cs"/>
                          </a:rPr>
                        </m:ctrlPr>
                      </m:dPr>
                      <m:e>
                        <m:r>
                          <a:rPr lang="en-US" sz="1100" b="0" i="1">
                            <a:solidFill>
                              <a:schemeClr val="dk1"/>
                            </a:solidFill>
                            <a:effectLst/>
                            <a:latin typeface="Cambria Math" panose="02040503050406030204" pitchFamily="18" charset="0"/>
                            <a:ea typeface="Cambria Math" panose="02040503050406030204" pitchFamily="18" charset="0"/>
                            <a:cs typeface="+mn-cs"/>
                          </a:rPr>
                          <m:t>0,</m:t>
                        </m:r>
                        <m:r>
                          <a:rPr lang="en-US" sz="1100" b="0" i="1">
                            <a:solidFill>
                              <a:schemeClr val="dk1"/>
                            </a:solidFill>
                            <a:effectLst/>
                            <a:latin typeface="Cambria Math" panose="02040503050406030204" pitchFamily="18" charset="0"/>
                            <a:ea typeface="Cambria Math" panose="02040503050406030204" pitchFamily="18" charset="0"/>
                            <a:cs typeface="+mn-cs"/>
                          </a:rPr>
                          <m:t>𝑅</m:t>
                        </m:r>
                      </m:e>
                    </m:d>
                  </m:oMath>
                </m:oMathPara>
              </a14:m>
              <a:endParaRPr lang="en-US" sz="1100" b="0">
                <a:solidFill>
                  <a:schemeClr val="dk1"/>
                </a:solidFill>
                <a:effectLst/>
                <a:latin typeface="Cambria Math" panose="02040503050406030204" pitchFamily="18" charset="0"/>
                <a:ea typeface="Cambria Math" panose="02040503050406030204" pitchFamily="18" charset="0"/>
                <a:cs typeface="+mn-cs"/>
              </a:endParaRPr>
            </a:p>
            <a:p>
              <a:pPr marL="0" marR="0" lvl="0" indent="0" algn="l" defTabSz="914400" rtl="0" eaLnBrk="1" fontAlgn="auto" latinLnBrk="0" hangingPunct="1">
                <a:lnSpc>
                  <a:spcPct val="100000"/>
                </a:lnSpc>
                <a:spcBef>
                  <a:spcPts val="300"/>
                </a:spcBef>
                <a:spcAft>
                  <a:spcPts val="300"/>
                </a:spcAft>
                <a:buClrTx/>
                <a:buSzTx/>
                <a:buFontTx/>
                <a:buNone/>
                <a:tabLst/>
                <a:defRPr/>
              </a:pPr>
              <a:r>
                <a:rPr lang="en-US" sz="1100" b="0" i="0" baseline="0">
                  <a:solidFill>
                    <a:schemeClr val="dk1"/>
                  </a:solidFill>
                  <a:effectLst/>
                  <a:latin typeface="Cambria Math" panose="02040503050406030204" pitchFamily="18" charset="0"/>
                  <a:ea typeface="Cambria Math" panose="02040503050406030204" pitchFamily="18" charset="0"/>
                  <a:cs typeface="+mn-cs"/>
                </a:rPr>
                <a:t>Transition System:</a:t>
              </a:r>
              <a:endParaRPr lang="en-US" sz="1100" b="0">
                <a:solidFill>
                  <a:schemeClr val="dk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300"/>
                </a:spcBef>
                <a:spcAft>
                  <a:spcPts val="300"/>
                </a:spcAft>
                <a:buClrTx/>
                <a:buSzTx/>
                <a:buFontTx/>
                <a:buNone/>
                <a:tabLst/>
                <a:defRPr/>
              </a:pPr>
              <a14:m>
                <m:oMathPara xmlns:m="http://schemas.openxmlformats.org/officeDocument/2006/math">
                  <m:oMathParaPr>
                    <m:jc m:val="left"/>
                  </m:oMathParaPr>
                  <m:oMath xmlns:m="http://schemas.openxmlformats.org/officeDocument/2006/math">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𝑥</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𝑐</m:t>
                    </m:r>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𝐹</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𝑥</m:t>
                        </m:r>
                      </m:e>
                      <m:sub>
                        <m:r>
                          <a:rPr lang="en-US" sz="1100" b="0" i="1">
                            <a:solidFill>
                              <a:schemeClr val="dk1"/>
                            </a:solidFill>
                            <a:effectLst/>
                            <a:latin typeface="Cambria Math" panose="02040503050406030204" pitchFamily="18" charset="0"/>
                            <a:ea typeface="Cambria Math" panose="02040503050406030204" pitchFamily="18" charset="0"/>
                            <a:cs typeface="+mn-cs"/>
                          </a:rPr>
                          <m:t>h</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𝑞</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𝑞</m:t>
                        </m:r>
                      </m:e>
                      <m:sub>
                        <m:r>
                          <a:rPr lang="en-US" sz="1100" b="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𝑁</m:t>
                    </m:r>
                    <m:d>
                      <m:dPr>
                        <m:ctrlPr>
                          <a:rPr lang="en-US" sz="1100" b="0" i="1">
                            <a:solidFill>
                              <a:schemeClr val="dk1"/>
                            </a:solidFill>
                            <a:effectLst/>
                            <a:latin typeface="Cambria Math" panose="02040503050406030204" pitchFamily="18" charset="0"/>
                            <a:ea typeface="Cambria Math" panose="02040503050406030204" pitchFamily="18" charset="0"/>
                            <a:cs typeface="+mn-cs"/>
                          </a:rPr>
                        </m:ctrlPr>
                      </m:dPr>
                      <m:e>
                        <m:r>
                          <a:rPr lang="en-US" sz="1100" b="0" i="1">
                            <a:solidFill>
                              <a:schemeClr val="dk1"/>
                            </a:solidFill>
                            <a:effectLst/>
                            <a:latin typeface="Cambria Math" panose="02040503050406030204" pitchFamily="18" charset="0"/>
                            <a:ea typeface="Cambria Math" panose="02040503050406030204" pitchFamily="18" charset="0"/>
                            <a:cs typeface="+mn-cs"/>
                          </a:rPr>
                          <m:t>0,</m:t>
                        </m:r>
                        <m:r>
                          <a:rPr lang="en-US" sz="1100" b="0" i="1">
                            <a:solidFill>
                              <a:schemeClr val="dk1"/>
                            </a:solidFill>
                            <a:effectLst/>
                            <a:latin typeface="Cambria Math" panose="02040503050406030204" pitchFamily="18" charset="0"/>
                            <a:ea typeface="Cambria Math" panose="02040503050406030204" pitchFamily="18" charset="0"/>
                            <a:cs typeface="+mn-cs"/>
                          </a:rPr>
                          <m:t>𝑄</m:t>
                        </m:r>
                      </m:e>
                    </m:d>
                    <m:r>
                      <a:rPr lang="en-US" sz="1100" b="0" i="1">
                        <a:solidFill>
                          <a:schemeClr val="dk1"/>
                        </a:solidFill>
                        <a:effectLst/>
                        <a:latin typeface="Cambria Math" panose="02040503050406030204" pitchFamily="18" charset="0"/>
                        <a:ea typeface="Cambria Math" panose="02040503050406030204" pitchFamily="18" charset="0"/>
                        <a:cs typeface="+mn-cs"/>
                      </a:rPr>
                      <m:t>,  </m:t>
                    </m:r>
                    <m:r>
                      <a:rPr lang="en-US" sz="1100" b="0" i="1">
                        <a:solidFill>
                          <a:schemeClr val="dk1"/>
                        </a:solidFill>
                        <a:effectLst/>
                        <a:latin typeface="Cambria Math" panose="02040503050406030204" pitchFamily="18" charset="0"/>
                        <a:ea typeface="Cambria Math" panose="02040503050406030204" pitchFamily="18" charset="0"/>
                        <a:cs typeface="+mn-cs"/>
                      </a:rPr>
                      <m:t>h</m:t>
                    </m:r>
                    <m:r>
                      <a:rPr lang="en-US" sz="1100" b="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𝑖</m:t>
                    </m:r>
                    <m:r>
                      <a:rPr lang="en-US" sz="1100" b="0" i="1">
                        <a:solidFill>
                          <a:schemeClr val="dk1"/>
                        </a:solidFill>
                        <a:effectLst/>
                        <a:latin typeface="Cambria Math" panose="02040503050406030204" pitchFamily="18" charset="0"/>
                        <a:ea typeface="Cambria Math" panose="02040503050406030204" pitchFamily="18" charset="0"/>
                        <a:cs typeface="+mn-cs"/>
                      </a:rPr>
                      <m:t>−1</m:t>
                    </m:r>
                  </m:oMath>
                </m:oMathPara>
              </a14:m>
              <a:endParaRPr lang="en-US" sz="110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300"/>
                </a:spcBef>
                <a:spcAft>
                  <a:spcPts val="300"/>
                </a:spcAft>
                <a:buClrTx/>
                <a:buSzTx/>
                <a:buFontTx/>
                <a:buNone/>
                <a:tabLst/>
                <a:defRPr/>
              </a:pPr>
              <a:r>
                <a:rPr lang="en-US" sz="1100" b="1">
                  <a:latin typeface="Cambria Math" panose="02040503050406030204" pitchFamily="18" charset="0"/>
                  <a:ea typeface="Cambria Math" panose="02040503050406030204" pitchFamily="18" charset="0"/>
                </a:rPr>
                <a:t>Kalman Filtering Steps:</a:t>
              </a:r>
            </a:p>
            <a:p>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1. </a:t>
              </a:r>
              <a:r>
                <a:rPr lang="en-US" sz="1100">
                  <a:solidFill>
                    <a:schemeClr val="dk1"/>
                  </a:solidFill>
                  <a:effectLst/>
                  <a:latin typeface="Cambria Math" panose="02040503050406030204" pitchFamily="18" charset="0"/>
                  <a:ea typeface="Cambria Math" panose="02040503050406030204" pitchFamily="18" charset="0"/>
                  <a:cs typeface="+mn-cs"/>
                </a:rPr>
                <a:t>Initialize the state vector:</a:t>
              </a: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0</m:t>
                            </m:r>
                          </m:e>
                        </m:d>
                        <m:r>
                          <a:rPr lang="en-US" sz="1100" i="1">
                            <a:solidFill>
                              <a:schemeClr val="dk1"/>
                            </a:solidFill>
                            <a:effectLst/>
                            <a:latin typeface="Cambria Math" panose="02040503050406030204" pitchFamily="18" charset="0"/>
                            <a:ea typeface="Cambria Math" panose="02040503050406030204" pitchFamily="18" charset="0"/>
                            <a:cs typeface="+mn-cs"/>
                          </a:rPr>
                          <m:t>0</m:t>
                        </m:r>
                      </m:sub>
                    </m:sSub>
                    <m:r>
                      <a:rPr lang="en-US" sz="1100" i="1">
                        <a:solidFill>
                          <a:schemeClr val="dk1"/>
                        </a:solidFill>
                        <a:effectLst/>
                        <a:latin typeface="Cambria Math" panose="02040503050406030204" pitchFamily="18" charset="0"/>
                        <a:ea typeface="Cambria Math" panose="02040503050406030204" pitchFamily="18" charset="0"/>
                        <a:cs typeface="+mn-cs"/>
                      </a:rPr>
                      <m:t>=</m:t>
                    </m:r>
                    <m:r>
                      <a:rPr lang="en-US" sz="1100" i="1">
                        <a:solidFill>
                          <a:schemeClr val="dk1"/>
                        </a:solidFill>
                        <a:effectLst/>
                        <a:latin typeface="Cambria Math" panose="02040503050406030204" pitchFamily="18" charset="0"/>
                        <a:ea typeface="Cambria Math" panose="02040503050406030204" pitchFamily="18" charset="0"/>
                        <a:cs typeface="+mn-cs"/>
                      </a:rPr>
                      <m:t>𝜇</m:t>
                    </m:r>
                    <m:r>
                      <a:rPr lang="en-US" sz="110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0</m:t>
                            </m:r>
                          </m:e>
                        </m:d>
                        <m:r>
                          <a:rPr lang="en-US" sz="1100" i="1">
                            <a:solidFill>
                              <a:schemeClr val="dk1"/>
                            </a:solidFill>
                            <a:effectLst/>
                            <a:latin typeface="Cambria Math" panose="02040503050406030204" pitchFamily="18" charset="0"/>
                            <a:ea typeface="Cambria Math" panose="02040503050406030204" pitchFamily="18" charset="0"/>
                            <a:cs typeface="+mn-cs"/>
                          </a:rPr>
                          <m:t>0</m:t>
                        </m:r>
                      </m:sub>
                    </m:sSub>
                    <m:r>
                      <a:rPr lang="en-US" sz="1100" i="1">
                        <a:solidFill>
                          <a:schemeClr val="dk1"/>
                        </a:solidFill>
                        <a:effectLst/>
                        <a:latin typeface="Cambria Math" panose="02040503050406030204" pitchFamily="18" charset="0"/>
                        <a:ea typeface="Cambria Math" panose="02040503050406030204" pitchFamily="18" charset="0"/>
                        <a:cs typeface="+mn-cs"/>
                      </a:rPr>
                      <m:t>=</m:t>
                    </m:r>
                    <m:r>
                      <m:rPr>
                        <m:sty m:val="p"/>
                      </m:rPr>
                      <a:rPr lang="en-US" sz="1100">
                        <a:solidFill>
                          <a:schemeClr val="dk1"/>
                        </a:solidFill>
                        <a:effectLst/>
                        <a:latin typeface="Cambria Math" panose="02040503050406030204" pitchFamily="18" charset="0"/>
                        <a:ea typeface="Cambria Math" panose="02040503050406030204" pitchFamily="18" charset="0"/>
                        <a:cs typeface="+mn-cs"/>
                      </a:rPr>
                      <m:t>Σ</m:t>
                    </m:r>
                  </m:oMath>
                </m:oMathPara>
              </a14:m>
              <a:endParaRPr lang="en-US" sz="110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2. </a:t>
              </a:r>
              <a:r>
                <a:rPr lang="en-US" sz="1100">
                  <a:solidFill>
                    <a:schemeClr val="dk1"/>
                  </a:solidFill>
                  <a:effectLst/>
                  <a:latin typeface="Cambria Math" panose="02040503050406030204" pitchFamily="18" charset="0"/>
                  <a:ea typeface="Cambria Math" panose="02040503050406030204" pitchFamily="18" charset="0"/>
                  <a:cs typeface="+mn-cs"/>
                </a:rPr>
                <a:t>Predict the </a:t>
              </a:r>
              <a:r>
                <a:rPr lang="en-US" sz="1100" i="1">
                  <a:solidFill>
                    <a:schemeClr val="dk1"/>
                  </a:solidFill>
                  <a:effectLst/>
                  <a:latin typeface="Cambria Math" panose="02040503050406030204" pitchFamily="18" charset="0"/>
                  <a:ea typeface="Cambria Math" panose="02040503050406030204" pitchFamily="18" charset="0"/>
                  <a:cs typeface="+mn-cs"/>
                </a:rPr>
                <a:t>a priori</a:t>
              </a:r>
              <a:r>
                <a:rPr lang="en-US" sz="1100">
                  <a:solidFill>
                    <a:schemeClr val="dk1"/>
                  </a:solidFill>
                  <a:effectLst/>
                  <a:latin typeface="Cambria Math" panose="02040503050406030204" pitchFamily="18" charset="0"/>
                  <a:ea typeface="Cambria Math" panose="02040503050406030204" pitchFamily="18" charset="0"/>
                  <a:cs typeface="+mn-cs"/>
                </a:rPr>
                <a:t> state vector for </a:t>
              </a:r>
              <a14:m>
                <m:oMath xmlns:m="http://schemas.openxmlformats.org/officeDocument/2006/math">
                  <m:r>
                    <a:rPr lang="en-US" sz="1100" i="1">
                      <a:solidFill>
                        <a:schemeClr val="dk1"/>
                      </a:solidFill>
                      <a:effectLst/>
                      <a:latin typeface="Cambria Math" panose="02040503050406030204" pitchFamily="18" charset="0"/>
                      <a:ea typeface="Cambria Math" panose="02040503050406030204" pitchFamily="18" charset="0"/>
                      <a:cs typeface="+mn-cs"/>
                    </a:rPr>
                    <m:t>h</m:t>
                  </m:r>
                  <m:r>
                    <a:rPr lang="en-US" sz="1100" i="1">
                      <a:solidFill>
                        <a:schemeClr val="dk1"/>
                      </a:solidFill>
                      <a:effectLst/>
                      <a:latin typeface="Cambria Math" panose="02040503050406030204" pitchFamily="18" charset="0"/>
                      <a:ea typeface="Cambria Math" panose="02040503050406030204" pitchFamily="18" charset="0"/>
                      <a:cs typeface="+mn-cs"/>
                    </a:rPr>
                    <m:t>=</m:t>
                  </m:r>
                  <m:r>
                    <a:rPr lang="en-US" sz="1100" i="1">
                      <a:solidFill>
                        <a:schemeClr val="dk1"/>
                      </a:solidFill>
                      <a:effectLst/>
                      <a:latin typeface="Cambria Math" panose="02040503050406030204" pitchFamily="18" charset="0"/>
                      <a:ea typeface="Cambria Math" panose="02040503050406030204" pitchFamily="18" charset="0"/>
                      <a:cs typeface="+mn-cs"/>
                    </a:rPr>
                    <m:t>𝑖</m:t>
                  </m:r>
                  <m:r>
                    <a:rPr lang="en-US" sz="1100" i="1">
                      <a:solidFill>
                        <a:schemeClr val="dk1"/>
                      </a:solidFill>
                      <a:effectLst/>
                      <a:latin typeface="Cambria Math" panose="02040503050406030204" pitchFamily="18" charset="0"/>
                      <a:ea typeface="Cambria Math" panose="02040503050406030204" pitchFamily="18" charset="0"/>
                      <a:cs typeface="+mn-cs"/>
                    </a:rPr>
                    <m:t>−1</m:t>
                  </m:r>
                </m:oMath>
              </a14:m>
              <a:r>
                <a:rPr lang="en-US" sz="1100">
                  <a:solidFill>
                    <a:schemeClr val="dk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r>
                    <a:rPr lang="en-US" sz="1100" i="1">
                      <a:solidFill>
                        <a:schemeClr val="dk1"/>
                      </a:solidFill>
                      <a:effectLst/>
                      <a:latin typeface="Cambria Math" panose="02040503050406030204" pitchFamily="18" charset="0"/>
                      <a:ea typeface="Cambria Math" panose="02040503050406030204" pitchFamily="18" charset="0"/>
                      <a:cs typeface="+mn-cs"/>
                    </a:rPr>
                    <m:t>𝑖</m:t>
                  </m:r>
                  <m:r>
                    <a:rPr lang="en-US" sz="1100" i="1">
                      <a:solidFill>
                        <a:schemeClr val="dk1"/>
                      </a:solidFill>
                      <a:effectLst/>
                      <a:latin typeface="Cambria Math" panose="02040503050406030204" pitchFamily="18" charset="0"/>
                      <a:ea typeface="Cambria Math" panose="02040503050406030204" pitchFamily="18" charset="0"/>
                      <a:cs typeface="+mn-cs"/>
                    </a:rPr>
                    <m:t>=1,2,⋯</m:t>
                  </m:r>
                </m:oMath>
              </a14:m>
              <a:r>
                <a:rPr lang="en-US" sz="1100">
                  <a:solidFill>
                    <a:schemeClr val="dk1"/>
                  </a:solidFill>
                  <a:effectLst/>
                  <a:latin typeface="Cambria Math" panose="02040503050406030204" pitchFamily="18" charset="0"/>
                  <a:ea typeface="Cambria Math" panose="02040503050406030204" pitchFamily="18" charset="0"/>
                  <a:cs typeface="+mn-cs"/>
                </a:rPr>
                <a:t>:</a:t>
              </a: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𝑐</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𝐹</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h</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𝐹</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h</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𝐹</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up>
                        <m:r>
                          <a:rPr lang="en-US" sz="1100" i="1">
                            <a:solidFill>
                              <a:schemeClr val="dk1"/>
                            </a:solidFill>
                            <a:effectLst/>
                            <a:latin typeface="Cambria Math" panose="02040503050406030204" pitchFamily="18" charset="0"/>
                            <a:ea typeface="Cambria Math" panose="02040503050406030204" pitchFamily="18" charset="0"/>
                            <a:cs typeface="+mn-cs"/>
                          </a:rPr>
                          <m:t>′</m:t>
                        </m:r>
                      </m:sup>
                    </m:sSubSup>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𝑄</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oMath>
                </m:oMathPara>
              </a14:m>
              <a:endParaRPr lang="en-US" sz="110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3. </a:t>
              </a:r>
              <a:r>
                <a:rPr lang="en-US" sz="1100">
                  <a:solidFill>
                    <a:schemeClr val="dk1"/>
                  </a:solidFill>
                  <a:effectLst/>
                  <a:latin typeface="Cambria Math" panose="02040503050406030204" pitchFamily="18" charset="0"/>
                  <a:ea typeface="Cambria Math" panose="02040503050406030204" pitchFamily="18" charset="0"/>
                  <a:cs typeface="+mn-cs"/>
                </a:rPr>
                <a:t>Forecast the measurement equation based on </a:t>
              </a:r>
              <a14:m>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oMath>
              </a14:m>
              <a:r>
                <a:rPr lang="en-US" sz="1100">
                  <a:solidFill>
                    <a:schemeClr val="dk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oMath>
              </a14:m>
              <a:r>
                <a:rPr lang="en-US" sz="1100">
                  <a:solidFill>
                    <a:schemeClr val="dk1"/>
                  </a:solidFill>
                  <a:effectLst/>
                  <a:latin typeface="Cambria Math" panose="02040503050406030204" pitchFamily="18" charset="0"/>
                  <a:ea typeface="Cambria Math" panose="02040503050406030204" pitchFamily="18" charset="0"/>
                  <a:cs typeface="+mn-cs"/>
                </a:rPr>
                <a:t>:</a:t>
              </a: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𝑎</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up>
                        <m:r>
                          <a:rPr lang="en-US" sz="1100" i="1">
                            <a:solidFill>
                              <a:schemeClr val="dk1"/>
                            </a:solidFill>
                            <a:effectLst/>
                            <a:latin typeface="Cambria Math" panose="02040503050406030204" pitchFamily="18" charset="0"/>
                            <a:ea typeface="Cambria Math" panose="02040503050406030204" pitchFamily="18" charset="0"/>
                            <a:cs typeface="+mn-cs"/>
                          </a:rPr>
                          <m:t>′</m:t>
                        </m:r>
                      </m:sup>
                    </m:sSubSup>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𝑅</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oMath>
                </m:oMathPara>
              </a14:m>
              <a:endParaRPr lang="en-US" sz="110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4. </a:t>
              </a:r>
              <a:r>
                <a:rPr lang="en-US" sz="1100">
                  <a:solidFill>
                    <a:schemeClr val="dk1"/>
                  </a:solidFill>
                  <a:effectLst/>
                  <a:latin typeface="Cambria Math" panose="02040503050406030204" pitchFamily="18" charset="0"/>
                  <a:ea typeface="Cambria Math" panose="02040503050406030204" pitchFamily="18" charset="0"/>
                  <a:cs typeface="+mn-cs"/>
                </a:rPr>
                <a:t>Update the inference to the state vector using measurement residual </a:t>
              </a:r>
              <a14:m>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𝑧</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𝑦</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oMath>
              </a14:m>
              <a:r>
                <a:rPr lang="en-US" sz="1100">
                  <a:solidFill>
                    <a:schemeClr val="dk1"/>
                  </a:solidFill>
                  <a:effectLst/>
                  <a:latin typeface="Cambria Math" panose="02040503050406030204" pitchFamily="18" charset="0"/>
                  <a:ea typeface="Cambria Math" panose="02040503050406030204" pitchFamily="18" charset="0"/>
                  <a:cs typeface="+mn-cs"/>
                </a:rPr>
                <a:t> and Kalman gain </a:t>
              </a:r>
              <a14:m>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oMath>
              </a14:m>
              <a:r>
                <a:rPr lang="en-US" sz="1100">
                  <a:solidFill>
                    <a:schemeClr val="dk1"/>
                  </a:solidFill>
                  <a:effectLst/>
                  <a:latin typeface="Cambria Math" panose="02040503050406030204" pitchFamily="18" charset="0"/>
                  <a:ea typeface="Cambria Math" panose="02040503050406030204" pitchFamily="18" charset="0"/>
                  <a:cs typeface="+mn-cs"/>
                </a:rPr>
                <a:t>:</a:t>
              </a: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𝐸</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𝑧</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d>
                      <m:dPr>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𝐼</m:t>
                        </m:r>
                        <m:r>
                          <a:rPr lang="en-US" sz="1100" i="1">
                            <a:solidFill>
                              <a:schemeClr val="dk1"/>
                            </a:solidFill>
                            <a:effectLst/>
                            <a:latin typeface="Cambria Math" panose="02040503050406030204" pitchFamily="18" charset="0"/>
                            <a:ea typeface="Cambria Math" panose="02040503050406030204" pitchFamily="18" charset="0"/>
                            <a:cs typeface="+mn-cs"/>
                          </a:rPr>
                          <m:t>−2</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e>
                    </m:d>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up>
                        <m:r>
                          <a:rPr lang="en-US" sz="1100" i="1">
                            <a:solidFill>
                              <a:schemeClr val="dk1"/>
                            </a:solidFill>
                            <a:effectLst/>
                            <a:latin typeface="Cambria Math" panose="02040503050406030204" pitchFamily="18" charset="0"/>
                            <a:ea typeface="Cambria Math" panose="02040503050406030204" pitchFamily="18" charset="0"/>
                            <a:cs typeface="+mn-cs"/>
                          </a:rPr>
                          <m:t>′</m:t>
                        </m:r>
                      </m:sup>
                    </m:sSubSup>
                  </m:oMath>
                </m:oMathPara>
              </a14:m>
              <a:endParaRPr lang="en-US" sz="1100" i="1">
                <a:solidFill>
                  <a:schemeClr val="dk1"/>
                </a:solidFill>
                <a:effectLst/>
                <a:latin typeface="Cambria Math" panose="02040503050406030204" pitchFamily="18" charset="0"/>
                <a:ea typeface="Cambria Math" panose="02040503050406030204" pitchFamily="18" charset="0"/>
                <a:cs typeface="+mn-cs"/>
              </a:endParaRPr>
            </a:p>
            <a:p>
              <a:pPr marL="0" marR="0" indent="0" algn="l" defTabSz="914400" eaLnBrk="1" fontAlgn="auto" latinLnBrk="0" hangingPunct="1">
                <a:lnSpc>
                  <a:spcPct val="100000"/>
                </a:lnSpc>
                <a:spcBef>
                  <a:spcPts val="300"/>
                </a:spcBef>
                <a:spcAft>
                  <a:spcPts val="300"/>
                </a:spcAft>
                <a:buClrTx/>
                <a:buSzTx/>
                <a:buFontTx/>
                <a:buNone/>
                <a:tabLst/>
                <a:defRPr/>
              </a:pPr>
              <a:r>
                <a:rPr lang="en-US" sz="1100">
                  <a:solidFill>
                    <a:schemeClr val="dk1"/>
                  </a:solidFill>
                  <a:effectLst/>
                  <a:latin typeface="Cambria Math" panose="02040503050406030204" pitchFamily="18" charset="0"/>
                  <a:ea typeface="Cambria Math" panose="02040503050406030204" pitchFamily="18" charset="0"/>
                  <a:cs typeface="+mn-cs"/>
                </a:rPr>
                <a:t>and the optimal Kalman gain </a:t>
              </a:r>
              <a14:m>
                <m:oMath xmlns:m="http://schemas.openxmlformats.org/officeDocument/2006/math">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acc>
                        <m:accPr>
                          <m:chr m:val="̂"/>
                          <m:ctrlPr>
                            <a:rPr lang="en-US" sz="1100" i="1">
                              <a:solidFill>
                                <a:schemeClr val="dk1"/>
                              </a:solidFill>
                              <a:effectLst/>
                              <a:latin typeface="Cambria Math" panose="02040503050406030204" pitchFamily="18" charset="0"/>
                              <a:ea typeface="Cambria Math" panose="02040503050406030204" pitchFamily="18" charset="0"/>
                              <a:cs typeface="+mn-cs"/>
                            </a:rPr>
                          </m:ctrlPr>
                        </m:accPr>
                        <m:e>
                          <m:r>
                            <a:rPr lang="en-US" sz="1100" i="1">
                              <a:solidFill>
                                <a:schemeClr val="dk1"/>
                              </a:solidFill>
                              <a:effectLst/>
                              <a:latin typeface="Cambria Math" panose="02040503050406030204" pitchFamily="18" charset="0"/>
                              <a:ea typeface="Cambria Math" panose="02040503050406030204" pitchFamily="18" charset="0"/>
                              <a:cs typeface="+mn-cs"/>
                            </a:rPr>
                            <m:t>𝐾</m:t>
                          </m:r>
                        </m:e>
                      </m:acc>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oMath>
              </a14:m>
              <a:r>
                <a:rPr lang="en-US" sz="1100">
                  <a:solidFill>
                    <a:schemeClr val="dk1"/>
                  </a:solidFill>
                  <a:effectLst/>
                  <a:latin typeface="Cambria Math" panose="02040503050406030204" pitchFamily="18" charset="0"/>
                  <a:ea typeface="Cambria Math" panose="02040503050406030204" pitchFamily="18" charset="0"/>
                  <a:cs typeface="+mn-cs"/>
                </a:rPr>
                <a:t>:</a:t>
              </a: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f>
                      <m:fPr>
                        <m:ctrlPr>
                          <a:rPr lang="en-US" sz="1100" i="1">
                            <a:solidFill>
                              <a:schemeClr val="dk1"/>
                            </a:solidFill>
                            <a:effectLst/>
                            <a:latin typeface="Cambria Math" panose="02040503050406030204" pitchFamily="18" charset="0"/>
                            <a:ea typeface="Cambria Math" panose="02040503050406030204" pitchFamily="18" charset="0"/>
                            <a:cs typeface="+mn-cs"/>
                          </a:rPr>
                        </m:ctrlPr>
                      </m:fPr>
                      <m:num>
                        <m:r>
                          <a:rPr lang="en-US" sz="1100" i="1">
                            <a:solidFill>
                              <a:schemeClr val="dk1"/>
                            </a:solidFill>
                            <a:effectLst/>
                            <a:latin typeface="Cambria Math" panose="02040503050406030204" pitchFamily="18" charset="0"/>
                            <a:ea typeface="Cambria Math" panose="02040503050406030204" pitchFamily="18" charset="0"/>
                            <a:cs typeface="+mn-cs"/>
                          </a:rPr>
                          <m:t>𝜕</m:t>
                        </m:r>
                        <m:r>
                          <m:rPr>
                            <m:sty m:val="p"/>
                          </m:rPr>
                          <a:rPr lang="en-US" sz="1100">
                            <a:solidFill>
                              <a:schemeClr val="dk1"/>
                            </a:solidFill>
                            <a:effectLst/>
                            <a:latin typeface="Cambria Math" panose="02040503050406030204" pitchFamily="18" charset="0"/>
                            <a:ea typeface="Cambria Math" panose="02040503050406030204" pitchFamily="18" charset="0"/>
                            <a:cs typeface="+mn-cs"/>
                          </a:rPr>
                          <m:t>tr</m:t>
                        </m:r>
                        <m:d>
                          <m:dPr>
                            <m:ctrlPr>
                              <a:rPr lang="en-US" sz="1100" i="1">
                                <a:solidFill>
                                  <a:schemeClr val="dk1"/>
                                </a:solidFill>
                                <a:effectLst/>
                                <a:latin typeface="Cambria Math" panose="02040503050406030204" pitchFamily="18" charset="0"/>
                                <a:ea typeface="Cambria Math" panose="02040503050406030204" pitchFamily="18" charset="0"/>
                                <a:cs typeface="+mn-cs"/>
                              </a:rPr>
                            </m:ctrlPr>
                          </m:dPr>
                          <m:e>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𝑖</m:t>
                                </m:r>
                              </m:sub>
                            </m:sSub>
                          </m:e>
                        </m:d>
                      </m:num>
                      <m:den>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𝐾</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den>
                    </m:f>
                    <m:r>
                      <a:rPr lang="en-US" sz="1100" i="1">
                        <a:solidFill>
                          <a:schemeClr val="dk1"/>
                        </a:solidFill>
                        <a:effectLst/>
                        <a:latin typeface="Cambria Math" panose="02040503050406030204" pitchFamily="18" charset="0"/>
                        <a:ea typeface="Cambria Math" panose="02040503050406030204" pitchFamily="18" charset="0"/>
                        <a:cs typeface="+mn-cs"/>
                      </a:rPr>
                      <m:t>=0</m:t>
                    </m:r>
                    <m:r>
                      <a:rPr lang="en-US" sz="1100" b="0" i="1">
                        <a:solidFill>
                          <a:schemeClr val="dk1"/>
                        </a:solidFill>
                        <a:effectLst/>
                        <a:latin typeface="Cambria Math" panose="02040503050406030204" pitchFamily="18" charset="0"/>
                        <a:ea typeface="Cambria Math" panose="02040503050406030204" pitchFamily="18" charset="0"/>
                        <a:cs typeface="+mn-cs"/>
                      </a:rPr>
                      <m:t>  </m:t>
                    </m:r>
                    <m:r>
                      <a:rPr lang="en-US" sz="110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acc>
                          <m:accPr>
                            <m:chr m:val="̂"/>
                            <m:ctrlPr>
                              <a:rPr lang="en-US" sz="1100" i="1">
                                <a:solidFill>
                                  <a:schemeClr val="dk1"/>
                                </a:solidFill>
                                <a:effectLst/>
                                <a:latin typeface="Cambria Math" panose="02040503050406030204" pitchFamily="18" charset="0"/>
                                <a:ea typeface="Cambria Math" panose="02040503050406030204" pitchFamily="18" charset="0"/>
                                <a:cs typeface="+mn-cs"/>
                              </a:rPr>
                            </m:ctrlPr>
                          </m:accPr>
                          <m:e>
                            <m:r>
                              <a:rPr lang="en-US" sz="1100" i="1">
                                <a:solidFill>
                                  <a:schemeClr val="dk1"/>
                                </a:solidFill>
                                <a:effectLst/>
                                <a:latin typeface="Cambria Math" panose="02040503050406030204" pitchFamily="18" charset="0"/>
                                <a:ea typeface="Cambria Math" panose="02040503050406030204" pitchFamily="18" charset="0"/>
                                <a:cs typeface="+mn-cs"/>
                              </a:rPr>
                              <m:t>𝐾</m:t>
                            </m:r>
                          </m:e>
                        </m:acc>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up>
                        <m:r>
                          <a:rPr lang="en-US" sz="1100" i="1">
                            <a:solidFill>
                              <a:schemeClr val="dk1"/>
                            </a:solidFill>
                            <a:effectLst/>
                            <a:latin typeface="Cambria Math" panose="02040503050406030204" pitchFamily="18" charset="0"/>
                            <a:ea typeface="Cambria Math" panose="02040503050406030204" pitchFamily="18" charset="0"/>
                            <a:cs typeface="+mn-cs"/>
                          </a:rPr>
                          <m:t>′</m:t>
                        </m:r>
                      </m:sup>
                    </m:sSubSup>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up>
                        <m:r>
                          <a:rPr lang="en-US" sz="1100" i="1">
                            <a:solidFill>
                              <a:schemeClr val="dk1"/>
                            </a:solidFill>
                            <a:effectLst/>
                            <a:latin typeface="Cambria Math" panose="02040503050406030204" pitchFamily="18" charset="0"/>
                            <a:ea typeface="Cambria Math" panose="02040503050406030204" pitchFamily="18" charset="0"/>
                            <a:cs typeface="+mn-cs"/>
                          </a:rPr>
                          <m:t>−1</m:t>
                        </m:r>
                      </m:sup>
                    </m:sSubSup>
                    <m:r>
                      <a:rPr lang="en-US" sz="1100" b="0" i="1">
                        <a:solidFill>
                          <a:schemeClr val="dk1"/>
                        </a:solidFill>
                        <a:effectLst/>
                        <a:latin typeface="Cambria Math" panose="02040503050406030204" pitchFamily="18" charset="0"/>
                        <a:ea typeface="Cambria Math" panose="02040503050406030204" pitchFamily="18" charset="0"/>
                        <a:cs typeface="+mn-cs"/>
                      </a:rPr>
                      <m:t>  </m:t>
                    </m:r>
                    <m:r>
                      <a:rPr lang="en-US" sz="1100" i="1">
                        <a:solidFill>
                          <a:schemeClr val="dk1"/>
                        </a:solidFill>
                        <a:effectLst/>
                        <a:latin typeface="Cambria Math" panose="02040503050406030204" pitchFamily="18" charset="0"/>
                        <a:ea typeface="Cambria Math" panose="02040503050406030204" pitchFamily="18" charset="0"/>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  </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𝑖</m:t>
                        </m:r>
                      </m:sub>
                    </m:sSub>
                    <m:r>
                      <a:rPr lang="en-US" sz="1100" i="1">
                        <a:solidFill>
                          <a:schemeClr val="dk1"/>
                        </a:solidFill>
                        <a:effectLst/>
                        <a:latin typeface="Cambria Math" panose="02040503050406030204" pitchFamily="18" charset="0"/>
                        <a:ea typeface="Cambria Math" panose="02040503050406030204" pitchFamily="18" charset="0"/>
                        <a:cs typeface="+mn-cs"/>
                      </a:rPr>
                      <m:t>=</m:t>
                    </m:r>
                    <m:d>
                      <m:dPr>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𝐼</m:t>
                        </m:r>
                        <m:r>
                          <a:rPr lang="en-US" sz="110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acc>
                              <m:accPr>
                                <m:chr m:val="̂"/>
                                <m:ctrlPr>
                                  <a:rPr lang="en-US" sz="1100" i="1">
                                    <a:solidFill>
                                      <a:schemeClr val="dk1"/>
                                    </a:solidFill>
                                    <a:effectLst/>
                                    <a:latin typeface="Cambria Math" panose="02040503050406030204" pitchFamily="18" charset="0"/>
                                    <a:ea typeface="Cambria Math" panose="02040503050406030204" pitchFamily="18" charset="0"/>
                                    <a:cs typeface="+mn-cs"/>
                                  </a:rPr>
                                </m:ctrlPr>
                              </m:accPr>
                              <m:e>
                                <m:r>
                                  <a:rPr lang="en-US" sz="1100" i="1">
                                    <a:solidFill>
                                      <a:schemeClr val="dk1"/>
                                    </a:solidFill>
                                    <a:effectLst/>
                                    <a:latin typeface="Cambria Math" panose="02040503050406030204" pitchFamily="18" charset="0"/>
                                    <a:ea typeface="Cambria Math" panose="02040503050406030204" pitchFamily="18" charset="0"/>
                                    <a:cs typeface="+mn-cs"/>
                                  </a:rPr>
                                  <m:t>𝐾</m:t>
                                </m:r>
                              </m:e>
                            </m:acc>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𝐻</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e>
                    </m:d>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𝑥</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oMath>
                </m:oMathPara>
              </a14:m>
              <a:endParaRPr lang="en-US" sz="1100">
                <a:solidFill>
                  <a:schemeClr val="dk1"/>
                </a:solidFill>
                <a:effectLst/>
                <a:latin typeface="Cambria Math" panose="02040503050406030204" pitchFamily="18" charset="0"/>
                <a:ea typeface="Cambria Math" panose="02040503050406030204" pitchFamily="18" charset="0"/>
                <a:cs typeface="+mn-cs"/>
              </a:endParaRPr>
            </a:p>
            <a:p>
              <a:pPr algn="l">
                <a:lnSpc>
                  <a:spcPct val="100000"/>
                </a:lnSpc>
                <a:spcBef>
                  <a:spcPts val="300"/>
                </a:spcBef>
                <a:spcAft>
                  <a:spcPts val="300"/>
                </a:spcAft>
              </a:pPr>
              <a:r>
                <a:rPr lang="en-US" sz="1100" b="1">
                  <a:solidFill>
                    <a:schemeClr val="dk1"/>
                  </a:solidFill>
                  <a:effectLst/>
                  <a:latin typeface="Cambria Math" panose="02040503050406030204" pitchFamily="18" charset="0"/>
                  <a:ea typeface="Cambria Math" panose="02040503050406030204" pitchFamily="18" charset="0"/>
                  <a:cs typeface="+mn-cs"/>
                </a:rPr>
                <a:t>The log likelihood function </a:t>
              </a:r>
              <a14:m>
                <m:oMath xmlns:m="http://schemas.openxmlformats.org/officeDocument/2006/math">
                  <m:acc>
                    <m:accPr>
                      <m:chr m:val="̂"/>
                      <m:ctrlPr>
                        <a:rPr lang="en-US" sz="1100" b="1" i="1">
                          <a:solidFill>
                            <a:schemeClr val="dk1"/>
                          </a:solidFill>
                          <a:effectLst/>
                          <a:latin typeface="Cambria Math" panose="02040503050406030204" pitchFamily="18" charset="0"/>
                          <a:ea typeface="Cambria Math" panose="02040503050406030204" pitchFamily="18" charset="0"/>
                          <a:cs typeface="+mn-cs"/>
                        </a:rPr>
                      </m:ctrlPr>
                    </m:accPr>
                    <m:e>
                      <m:r>
                        <a:rPr lang="en-US" sz="1100" b="1" i="1">
                          <a:solidFill>
                            <a:schemeClr val="dk1"/>
                          </a:solidFill>
                          <a:effectLst/>
                          <a:latin typeface="Cambria Math" panose="02040503050406030204" pitchFamily="18" charset="0"/>
                          <a:ea typeface="Cambria Math" panose="02040503050406030204" pitchFamily="18" charset="0"/>
                          <a:cs typeface="+mn-cs"/>
                        </a:rPr>
                        <m:t>𝒍</m:t>
                      </m:r>
                    </m:e>
                  </m:acc>
                  <m:d>
                    <m:dPr>
                      <m:ctrlPr>
                        <a:rPr lang="en-US" sz="1100" b="1" i="1">
                          <a:solidFill>
                            <a:schemeClr val="dk1"/>
                          </a:solidFill>
                          <a:effectLst/>
                          <a:latin typeface="Cambria Math" panose="02040503050406030204" pitchFamily="18" charset="0"/>
                          <a:ea typeface="Cambria Math" panose="02040503050406030204" pitchFamily="18" charset="0"/>
                          <a:cs typeface="+mn-cs"/>
                        </a:rPr>
                      </m:ctrlPr>
                    </m:dPr>
                    <m:e>
                      <m:r>
                        <a:rPr lang="en-US" sz="1100" b="1" i="1">
                          <a:solidFill>
                            <a:schemeClr val="dk1"/>
                          </a:solidFill>
                          <a:effectLst/>
                          <a:latin typeface="Cambria Math" panose="02040503050406030204" pitchFamily="18" charset="0"/>
                          <a:ea typeface="Cambria Math" panose="02040503050406030204" pitchFamily="18" charset="0"/>
                          <a:cs typeface="+mn-cs"/>
                        </a:rPr>
                        <m:t>𝜽</m:t>
                      </m:r>
                    </m:e>
                  </m:d>
                </m:oMath>
              </a14:m>
              <a:r>
                <a:rPr lang="en-US" sz="1100" b="1">
                  <a:solidFill>
                    <a:schemeClr val="dk1"/>
                  </a:solidFill>
                  <a:effectLst/>
                  <a:latin typeface="Cambria Math" panose="02040503050406030204" pitchFamily="18" charset="0"/>
                  <a:ea typeface="Cambria Math" panose="02040503050406030204" pitchFamily="18" charset="0"/>
                  <a:cs typeface="+mn-cs"/>
                </a:rPr>
                <a:t> to be maximized:</a:t>
              </a:r>
              <a:endParaRPr lang="en-US" sz="1100" b="1">
                <a:latin typeface="Cambria Math" panose="02040503050406030204" pitchFamily="18" charset="0"/>
                <a:ea typeface="Cambria Math" panose="02040503050406030204" pitchFamily="18" charset="0"/>
              </a:endParaRPr>
            </a:p>
            <a:p>
              <a:pPr algn="l">
                <a:lnSpc>
                  <a:spcPct val="100000"/>
                </a:lnSpc>
                <a:spcBef>
                  <a:spcPts val="300"/>
                </a:spcBef>
                <a:spcAft>
                  <a:spcPts val="300"/>
                </a:spcAft>
              </a:pPr>
              <a14:m>
                <m:oMathPara xmlns:m="http://schemas.openxmlformats.org/officeDocument/2006/math">
                  <m:oMathParaPr>
                    <m:jc m:val="left"/>
                  </m:oMathParaPr>
                  <m:oMath xmlns:m="http://schemas.openxmlformats.org/officeDocument/2006/math">
                    <m:acc>
                      <m:accPr>
                        <m:chr m:val="̂"/>
                        <m:ctrlPr>
                          <a:rPr lang="en-US" sz="1100" i="1">
                            <a:solidFill>
                              <a:schemeClr val="dk1"/>
                            </a:solidFill>
                            <a:effectLst/>
                            <a:latin typeface="Cambria Math" panose="02040503050406030204" pitchFamily="18" charset="0"/>
                            <a:ea typeface="Cambria Math" panose="02040503050406030204" pitchFamily="18" charset="0"/>
                            <a:cs typeface="+mn-cs"/>
                          </a:rPr>
                        </m:ctrlPr>
                      </m:accPr>
                      <m:e>
                        <m:r>
                          <a:rPr lang="en-US" sz="1100" i="1">
                            <a:solidFill>
                              <a:schemeClr val="dk1"/>
                            </a:solidFill>
                            <a:effectLst/>
                            <a:latin typeface="Cambria Math" panose="02040503050406030204" pitchFamily="18" charset="0"/>
                            <a:ea typeface="Cambria Math" panose="02040503050406030204" pitchFamily="18" charset="0"/>
                            <a:cs typeface="+mn-cs"/>
                          </a:rPr>
                          <m:t>𝑙</m:t>
                        </m:r>
                      </m:e>
                    </m:acc>
                    <m:d>
                      <m:dPr>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𝜃</m:t>
                        </m:r>
                      </m:e>
                    </m:d>
                    <m:r>
                      <a:rPr lang="en-US" sz="1100" i="1">
                        <a:solidFill>
                          <a:schemeClr val="dk1"/>
                        </a:solidFill>
                        <a:effectLst/>
                        <a:latin typeface="Cambria Math" panose="02040503050406030204" pitchFamily="18" charset="0"/>
                        <a:ea typeface="Cambria Math" panose="02040503050406030204" pitchFamily="18" charset="0"/>
                        <a:cs typeface="+mn-cs"/>
                      </a:rPr>
                      <m:t>=</m:t>
                    </m:r>
                    <m:nary>
                      <m:naryPr>
                        <m:chr m:val="∑"/>
                        <m:limLoc m:val="undOvr"/>
                        <m:ctrlPr>
                          <a:rPr lang="en-US" sz="1100" i="1">
                            <a:solidFill>
                              <a:schemeClr val="dk1"/>
                            </a:solidFill>
                            <a:effectLst/>
                            <a:latin typeface="Cambria Math" panose="02040503050406030204" pitchFamily="18" charset="0"/>
                            <a:ea typeface="Cambria Math" panose="02040503050406030204" pitchFamily="18" charset="0"/>
                            <a:cs typeface="+mn-cs"/>
                          </a:rPr>
                        </m:ctrlPr>
                      </m:naryPr>
                      <m:sub>
                        <m:r>
                          <a:rPr lang="en-US" sz="1100" i="1">
                            <a:solidFill>
                              <a:schemeClr val="dk1"/>
                            </a:solidFill>
                            <a:effectLst/>
                            <a:latin typeface="Cambria Math" panose="02040503050406030204" pitchFamily="18" charset="0"/>
                            <a:ea typeface="Cambria Math" panose="02040503050406030204" pitchFamily="18" charset="0"/>
                            <a:cs typeface="+mn-cs"/>
                          </a:rPr>
                          <m:t>𝑖</m:t>
                        </m:r>
                        <m:r>
                          <a:rPr lang="en-US" sz="1100" i="1">
                            <a:solidFill>
                              <a:schemeClr val="dk1"/>
                            </a:solidFill>
                            <a:effectLst/>
                            <a:latin typeface="Cambria Math" panose="02040503050406030204" pitchFamily="18" charset="0"/>
                            <a:ea typeface="Cambria Math" panose="02040503050406030204" pitchFamily="18" charset="0"/>
                            <a:cs typeface="+mn-cs"/>
                          </a:rPr>
                          <m:t>=1</m:t>
                        </m:r>
                      </m:sub>
                      <m:sup>
                        <m:r>
                          <a:rPr lang="en-US" sz="1100" i="1">
                            <a:solidFill>
                              <a:schemeClr val="dk1"/>
                            </a:solidFill>
                            <a:effectLst/>
                            <a:latin typeface="Cambria Math" panose="02040503050406030204" pitchFamily="18" charset="0"/>
                            <a:ea typeface="Cambria Math" panose="02040503050406030204" pitchFamily="18" charset="0"/>
                            <a:cs typeface="+mn-cs"/>
                          </a:rPr>
                          <m:t>𝑁</m:t>
                        </m:r>
                      </m:sup>
                      <m:e>
                        <m:d>
                          <m:dPr>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m:t>
                            </m:r>
                            <m:func>
                              <m:funcPr>
                                <m:ctrlPr>
                                  <a:rPr lang="en-US" sz="1100" i="1">
                                    <a:solidFill>
                                      <a:schemeClr val="dk1"/>
                                    </a:solidFill>
                                    <a:effectLst/>
                                    <a:latin typeface="Cambria Math" panose="02040503050406030204" pitchFamily="18" charset="0"/>
                                    <a:ea typeface="Cambria Math" panose="02040503050406030204" pitchFamily="18" charset="0"/>
                                    <a:cs typeface="+mn-cs"/>
                                  </a:rPr>
                                </m:ctrlPr>
                              </m:funcPr>
                              <m:fName>
                                <m:r>
                                  <m:rPr>
                                    <m:sty m:val="p"/>
                                  </m:rPr>
                                  <a:rPr lang="en-US" sz="1100">
                                    <a:solidFill>
                                      <a:schemeClr val="dk1"/>
                                    </a:solidFill>
                                    <a:effectLst/>
                                    <a:latin typeface="Cambria Math" panose="02040503050406030204" pitchFamily="18" charset="0"/>
                                    <a:ea typeface="Cambria Math" panose="02040503050406030204" pitchFamily="18" charset="0"/>
                                    <a:cs typeface="+mn-cs"/>
                                  </a:rPr>
                                  <m:t>log</m:t>
                                </m:r>
                              </m:fName>
                              <m:e>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Sub>
                                  </m:e>
                                </m:d>
                              </m:e>
                            </m:func>
                            <m:r>
                              <a:rPr lang="en-US" sz="1100" i="1">
                                <a:solidFill>
                                  <a:schemeClr val="dk1"/>
                                </a:solidFill>
                                <a:effectLst/>
                                <a:latin typeface="Cambria Math" panose="02040503050406030204" pitchFamily="18" charset="0"/>
                                <a:ea typeface="Cambria Math" panose="02040503050406030204" pitchFamily="18" charset="0"/>
                                <a:cs typeface="+mn-cs"/>
                              </a:rPr>
                              <m:t>−</m:t>
                            </m:r>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𝑧</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up>
                                <m:r>
                                  <a:rPr lang="en-US" sz="1100" i="1">
                                    <a:solidFill>
                                      <a:schemeClr val="dk1"/>
                                    </a:solidFill>
                                    <a:effectLst/>
                                    <a:latin typeface="Cambria Math" panose="02040503050406030204" pitchFamily="18" charset="0"/>
                                    <a:ea typeface="Cambria Math" panose="02040503050406030204" pitchFamily="18" charset="0"/>
                                    <a:cs typeface="+mn-cs"/>
                                  </a:rPr>
                                  <m:t>′</m:t>
                                </m:r>
                              </m:sup>
                            </m:sSubSup>
                            <m:sSubSup>
                              <m:sSubSupPr>
                                <m:ctrlPr>
                                  <a:rPr lang="en-US" sz="1100" i="1">
                                    <a:solidFill>
                                      <a:schemeClr val="dk1"/>
                                    </a:solidFill>
                                    <a:effectLst/>
                                    <a:latin typeface="Cambria Math" panose="02040503050406030204" pitchFamily="18" charset="0"/>
                                    <a:ea typeface="Cambria Math" panose="02040503050406030204" pitchFamily="18" charset="0"/>
                                    <a:cs typeface="+mn-cs"/>
                                  </a:rPr>
                                </m:ctrlPr>
                              </m:sSubSupPr>
                              <m:e>
                                <m:r>
                                  <a:rPr lang="en-US" sz="1100" i="1">
                                    <a:solidFill>
                                      <a:schemeClr val="dk1"/>
                                    </a:solidFill>
                                    <a:effectLst/>
                                    <a:latin typeface="Cambria Math" panose="02040503050406030204" pitchFamily="18" charset="0"/>
                                    <a:ea typeface="Cambria Math" panose="02040503050406030204" pitchFamily="18" charset="0"/>
                                    <a:cs typeface="+mn-cs"/>
                                  </a:rPr>
                                  <m:t>𝑉</m:t>
                                </m:r>
                              </m:e>
                              <m:sub>
                                <m:r>
                                  <a:rPr lang="en-US" sz="1100" i="1">
                                    <a:solidFill>
                                      <a:schemeClr val="dk1"/>
                                    </a:solidFill>
                                    <a:effectLst/>
                                    <a:latin typeface="Cambria Math" panose="02040503050406030204" pitchFamily="18" charset="0"/>
                                    <a:ea typeface="Cambria Math" panose="02040503050406030204" pitchFamily="18" charset="0"/>
                                    <a:cs typeface="+mn-cs"/>
                                  </a:rPr>
                                  <m:t>𝑦</m:t>
                                </m:r>
                                <m:r>
                                  <a:rPr lang="en-US" sz="1100" i="1">
                                    <a:solidFill>
                                      <a:schemeClr val="dk1"/>
                                    </a:solidFill>
                                    <a:effectLst/>
                                    <a:latin typeface="Cambria Math" panose="02040503050406030204" pitchFamily="18" charset="0"/>
                                    <a:ea typeface="Cambria Math" panose="02040503050406030204" pitchFamily="18" charset="0"/>
                                    <a:cs typeface="+mn-cs"/>
                                  </a:rPr>
                                  <m:t>,</m:t>
                                </m:r>
                                <m:d>
                                  <m:dPr>
                                    <m:begChr m:val=""/>
                                    <m:endChr m:val="|"/>
                                    <m:ctrlPr>
                                      <a:rPr lang="en-US" sz="1100" i="1">
                                        <a:solidFill>
                                          <a:schemeClr val="dk1"/>
                                        </a:solidFill>
                                        <a:effectLst/>
                                        <a:latin typeface="Cambria Math" panose="02040503050406030204" pitchFamily="18" charset="0"/>
                                        <a:ea typeface="Cambria Math" panose="02040503050406030204" pitchFamily="18" charset="0"/>
                                        <a:cs typeface="+mn-cs"/>
                                      </a:rPr>
                                    </m:ctrlPr>
                                  </m:dPr>
                                  <m:e>
                                    <m:r>
                                      <a:rPr lang="en-US" sz="1100" i="1">
                                        <a:solidFill>
                                          <a:schemeClr val="dk1"/>
                                        </a:solidFill>
                                        <a:effectLst/>
                                        <a:latin typeface="Cambria Math" panose="02040503050406030204" pitchFamily="18" charset="0"/>
                                        <a:ea typeface="Cambria Math" panose="02040503050406030204" pitchFamily="18" charset="0"/>
                                        <a:cs typeface="+mn-cs"/>
                                      </a:rPr>
                                      <m:t>𝑖</m:t>
                                    </m:r>
                                  </m:e>
                                </m:d>
                                <m:r>
                                  <a:rPr lang="en-US" sz="1100" i="1">
                                    <a:solidFill>
                                      <a:schemeClr val="dk1"/>
                                    </a:solidFill>
                                    <a:effectLst/>
                                    <a:latin typeface="Cambria Math" panose="02040503050406030204" pitchFamily="18" charset="0"/>
                                    <a:ea typeface="Cambria Math" panose="02040503050406030204" pitchFamily="18" charset="0"/>
                                    <a:cs typeface="+mn-cs"/>
                                  </a:rPr>
                                  <m:t>h</m:t>
                                </m:r>
                              </m:sub>
                              <m:sup>
                                <m:r>
                                  <a:rPr lang="en-US" sz="1100" i="1">
                                    <a:solidFill>
                                      <a:schemeClr val="dk1"/>
                                    </a:solidFill>
                                    <a:effectLst/>
                                    <a:latin typeface="Cambria Math" panose="02040503050406030204" pitchFamily="18" charset="0"/>
                                    <a:ea typeface="Cambria Math" panose="02040503050406030204" pitchFamily="18" charset="0"/>
                                    <a:cs typeface="+mn-cs"/>
                                  </a:rPr>
                                  <m:t>−1</m:t>
                                </m:r>
                              </m:sup>
                            </m:sSubSup>
                            <m:sSub>
                              <m:sSubPr>
                                <m:ctrlPr>
                                  <a:rPr lang="en-US" sz="1100" i="1">
                                    <a:solidFill>
                                      <a:schemeClr val="dk1"/>
                                    </a:solidFill>
                                    <a:effectLst/>
                                    <a:latin typeface="Cambria Math" panose="02040503050406030204" pitchFamily="18" charset="0"/>
                                    <a:ea typeface="Cambria Math" panose="02040503050406030204" pitchFamily="18" charset="0"/>
                                    <a:cs typeface="+mn-cs"/>
                                  </a:rPr>
                                </m:ctrlPr>
                              </m:sSubPr>
                              <m:e>
                                <m:r>
                                  <a:rPr lang="en-US" sz="1100" i="1">
                                    <a:solidFill>
                                      <a:schemeClr val="dk1"/>
                                    </a:solidFill>
                                    <a:effectLst/>
                                    <a:latin typeface="Cambria Math" panose="02040503050406030204" pitchFamily="18" charset="0"/>
                                    <a:ea typeface="Cambria Math" panose="02040503050406030204" pitchFamily="18" charset="0"/>
                                    <a:cs typeface="+mn-cs"/>
                                  </a:rPr>
                                  <m:t>𝑧</m:t>
                                </m:r>
                              </m:e>
                              <m:sub>
                                <m:r>
                                  <a:rPr lang="en-US" sz="1100" i="1">
                                    <a:solidFill>
                                      <a:schemeClr val="dk1"/>
                                    </a:solidFill>
                                    <a:effectLst/>
                                    <a:latin typeface="Cambria Math" panose="02040503050406030204" pitchFamily="18" charset="0"/>
                                    <a:ea typeface="Cambria Math" panose="02040503050406030204" pitchFamily="18" charset="0"/>
                                    <a:cs typeface="+mn-cs"/>
                                  </a:rPr>
                                  <m:t>𝑖</m:t>
                                </m:r>
                              </m:sub>
                            </m:sSub>
                          </m:e>
                        </m:d>
                      </m:e>
                    </m:nary>
                  </m:oMath>
                </m:oMathPara>
              </a14:m>
              <a:endParaRPr lang="en-US" sz="1100">
                <a:latin typeface="Cambria Math" panose="02040503050406030204" pitchFamily="18" charset="0"/>
                <a:ea typeface="Cambria Math" panose="02040503050406030204" pitchFamily="18" charset="0"/>
              </a:endParaRPr>
            </a:p>
          </xdr:txBody>
        </xdr:sp>
      </mc:Choice>
      <mc:Fallback xmlns="">
        <xdr:sp macro="" textlink="">
          <xdr:nvSpPr>
            <xdr:cNvPr id="13" name="TextBox 12"/>
            <xdr:cNvSpPr txBox="1"/>
          </xdr:nvSpPr>
          <xdr:spPr>
            <a:xfrm xmlns:a="http://schemas.openxmlformats.org/drawingml/2006/main">
              <a:off x="101600" y="13417550"/>
              <a:ext cx="6675120" cy="4959350"/>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xdr:style>
          <xdr:txBody>
            <a:bodyPr xmlns:a="http://schemas.openxmlformats.org/drawingml/2006/main" vertOverflow="clip" horzOverflow="clip" wrap="square" lIns="91440" rIns="91440" rtlCol="0" anchor="t"/>
            <a:lstStyle xmlns:a="http://schemas.openxmlformats.org/drawingml/2006/main"/>
            <a:p xmlns:a="http://schemas.openxmlformats.org/drawingml/2006/main">
              <a:pPr algn="l" rtl="0">
                <a:lnSpc>
                  <a:spcPct val="100000"/>
                </a:lnSpc>
                <a:spcBef>
                  <a:spcPts val="300"/>
                </a:spcBef>
                <a:spcAft>
                  <a:spcPts val="300"/>
                </a:spcAft>
              </a:pPr>
              <a:r>
                <a:rPr lang="en-US" sz="1100" b="1" i="0" baseline="0">
                  <a:solidFill>
                    <a:schemeClr val="dk1"/>
                  </a:solidFill>
                  <a:effectLst/>
                  <a:latin typeface="Cambria Math" panose="02040503050406030204" pitchFamily="18" charset="0"/>
                  <a:ea typeface="Cambria Math" panose="02040503050406030204" pitchFamily="18" charset="0"/>
                  <a:cs typeface="+mn-cs"/>
                </a:rPr>
                <a:t>Hypothetical State Space System:</a:t>
              </a:r>
            </a:p>
            <a:p xmlns:a="http://schemas.openxmlformats.org/drawingml/2006/main">
              <a:pPr algn="l" rtl="0">
                <a:lnSpc>
                  <a:spcPct val="100000"/>
                </a:lnSpc>
                <a:spcBef>
                  <a:spcPts val="300"/>
                </a:spcBef>
                <a:spcAft>
                  <a:spcPts val="300"/>
                </a:spcAft>
              </a:pPr>
              <a:r>
                <a:rPr lang="en-US" sz="1100" b="0" i="0" baseline="0">
                  <a:solidFill>
                    <a:schemeClr val="dk1"/>
                  </a:solidFill>
                  <a:effectLst/>
                  <a:latin typeface="Cambria Math" panose="02040503050406030204" pitchFamily="18" charset="0"/>
                  <a:ea typeface="Cambria Math" panose="02040503050406030204" pitchFamily="18" charset="0"/>
                  <a:cs typeface="+mn-cs"/>
                </a:rPr>
                <a:t>Measurement system: </a:t>
              </a:r>
            </a:p>
            <a:p xmlns:a="http://schemas.openxmlformats.org/drawingml/2006/main">
              <a:pPr algn="l" rtl="0">
                <a:lnSpc>
                  <a:spcPct val="100000"/>
                </a:lnSpc>
                <a:spcBef>
                  <a:spcPts val="300"/>
                </a:spcBef>
                <a:spcAft>
                  <a:spcPts val="300"/>
                </a:spcAft>
              </a:pPr>
              <a:r>
                <a:rPr lang="en-US" sz="1100" b="0" i="0">
                  <a:solidFill>
                    <a:schemeClr val="dk1"/>
                  </a:solidFill>
                  <a:effectLst/>
                  <a:latin typeface="Cambria Math" panose="02040503050406030204" pitchFamily="18" charset="0"/>
                  <a:ea typeface="Cambria Math" panose="02040503050406030204" pitchFamily="18" charset="0"/>
                  <a:cs typeface="+mn-cs"/>
                </a:rPr>
                <a:t>𝑦_𝑖=𝑎+𝐻𝑥_𝑖+𝑟_𝑖,  𝑟_𝑖~𝑁(0,𝑅)</a:t>
              </a:r>
              <a:endParaRPr lang="en-US" sz="1100" b="0">
                <a:solidFill>
                  <a:schemeClr val="dk1"/>
                </a:solidFill>
                <a:effectLst/>
                <a:latin typeface="Cambria Math" panose="02040503050406030204" pitchFamily="18" charset="0"/>
                <a:ea typeface="Cambria Math" panose="02040503050406030204" pitchFamily="18" charset="0"/>
                <a:cs typeface="+mn-cs"/>
              </a:endParaRPr>
            </a:p>
            <a:p xmlns:a="http://schemas.openxmlformats.org/drawingml/2006/main">
              <a:pPr marL="0" marR="0" lvl="0" indent="0" algn="l" defTabSz="914400" rtl="0" eaLnBrk="1" fontAlgn="auto" latinLnBrk="0" hangingPunct="1">
                <a:lnSpc>
                  <a:spcPct val="100000"/>
                </a:lnSpc>
                <a:spcBef>
                  <a:spcPts val="300"/>
                </a:spcBef>
                <a:spcAft>
                  <a:spcPts val="300"/>
                </a:spcAft>
                <a:buClrTx/>
                <a:buSzTx/>
                <a:buFontTx/>
                <a:buNone/>
                <a:tabLst/>
                <a:defRPr/>
              </a:pPr>
              <a:r>
                <a:rPr lang="en-US" sz="1100" b="0" i="0" baseline="0">
                  <a:solidFill>
                    <a:schemeClr val="dk1"/>
                  </a:solidFill>
                  <a:effectLst/>
                  <a:latin typeface="Cambria Math" panose="02040503050406030204" pitchFamily="18" charset="0"/>
                  <a:ea typeface="Cambria Math" panose="02040503050406030204" pitchFamily="18" charset="0"/>
                  <a:cs typeface="+mn-cs"/>
                </a:rPr>
                <a:t>Transition System:</a:t>
              </a:r>
              <a:endParaRPr lang="en-US" sz="1100" b="0">
                <a:solidFill>
                  <a:schemeClr val="dk1"/>
                </a:solidFill>
                <a:effectLst/>
                <a:latin typeface="Cambria Math" panose="02040503050406030204" pitchFamily="18" charset="0"/>
                <a:ea typeface="Cambria Math" panose="02040503050406030204" pitchFamily="18" charset="0"/>
                <a:cs typeface="+mn-cs"/>
              </a:endParaRP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b="0" i="0">
                  <a:solidFill>
                    <a:schemeClr val="dk1"/>
                  </a:solidFill>
                  <a:effectLst/>
                  <a:latin typeface="Cambria Math" panose="02040503050406030204" pitchFamily="18" charset="0"/>
                  <a:ea typeface="Cambria Math" panose="02040503050406030204" pitchFamily="18" charset="0"/>
                  <a:cs typeface="+mn-cs"/>
                </a:rPr>
                <a:t>𝑥_𝑖=𝑐+𝐹𝑥_ℎ+𝑞_𝑖,  𝑞_𝑖~𝑁(0,𝑄),  ℎ=𝑖−1</a:t>
              </a:r>
              <a:endParaRPr lang="en-US" sz="1100">
                <a:latin typeface="Cambria Math" panose="02040503050406030204" pitchFamily="18" charset="0"/>
                <a:ea typeface="Cambria Math" panose="02040503050406030204" pitchFamily="18" charset="0"/>
              </a:endParaRP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b="1">
                  <a:latin typeface="Cambria Math" panose="02040503050406030204" pitchFamily="18" charset="0"/>
                  <a:ea typeface="Cambria Math" panose="02040503050406030204" pitchFamily="18" charset="0"/>
                </a:rPr>
                <a:t>Kalman Filtering Steps:</a:t>
              </a: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1. </a:t>
              </a:r>
              <a:r>
                <a:rPr lang="en-US" sz="1100">
                  <a:solidFill>
                    <a:schemeClr val="dk1"/>
                  </a:solidFill>
                  <a:effectLst/>
                  <a:latin typeface="Cambria Math" panose="02040503050406030204" pitchFamily="18" charset="0"/>
                  <a:ea typeface="Cambria Math" panose="02040503050406030204" pitchFamily="18" charset="0"/>
                  <a:cs typeface="+mn-cs"/>
                </a:rPr>
                <a:t>Initialize the state vector:</a:t>
              </a: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𝐸_(𝑥,├ 0┤|0)=𝜇,  𝑉_(𝑥,├ 0┤|0)=Σ</a:t>
              </a:r>
              <a:endParaRPr lang="en-US" sz="1100">
                <a:latin typeface="Cambria Math" panose="02040503050406030204" pitchFamily="18" charset="0"/>
                <a:ea typeface="Cambria Math" panose="02040503050406030204" pitchFamily="18" charset="0"/>
              </a:endParaRP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2. </a:t>
              </a:r>
              <a:r>
                <a:rPr lang="en-US" sz="1100">
                  <a:solidFill>
                    <a:schemeClr val="dk1"/>
                  </a:solidFill>
                  <a:effectLst/>
                  <a:latin typeface="Cambria Math" panose="02040503050406030204" pitchFamily="18" charset="0"/>
                  <a:ea typeface="Cambria Math" panose="02040503050406030204" pitchFamily="18" charset="0"/>
                  <a:cs typeface="+mn-cs"/>
                </a:rPr>
                <a:t>Predict the </a:t>
              </a:r>
              <a:r>
                <a:rPr lang="en-US" sz="1100" i="1">
                  <a:solidFill>
                    <a:schemeClr val="dk1"/>
                  </a:solidFill>
                  <a:effectLst/>
                  <a:latin typeface="Cambria Math" panose="02040503050406030204" pitchFamily="18" charset="0"/>
                  <a:ea typeface="Cambria Math" panose="02040503050406030204" pitchFamily="18" charset="0"/>
                  <a:cs typeface="+mn-cs"/>
                </a:rPr>
                <a:t>a priori</a:t>
              </a:r>
              <a:r>
                <a:rPr lang="en-US" sz="1100">
                  <a:solidFill>
                    <a:schemeClr val="dk1"/>
                  </a:solidFill>
                  <a:effectLst/>
                  <a:latin typeface="Cambria Math" panose="02040503050406030204" pitchFamily="18" charset="0"/>
                  <a:ea typeface="Cambria Math" panose="02040503050406030204" pitchFamily="18" charset="0"/>
                  <a:cs typeface="+mn-cs"/>
                </a:rPr>
                <a:t> state vector for </a:t>
              </a:r>
              <a:r>
                <a:rPr lang="en-US" sz="1100" i="0">
                  <a:solidFill>
                    <a:schemeClr val="dk1"/>
                  </a:solidFill>
                  <a:effectLst/>
                  <a:latin typeface="Cambria Math" panose="02040503050406030204" pitchFamily="18" charset="0"/>
                  <a:ea typeface="Cambria Math" panose="02040503050406030204" pitchFamily="18" charset="0"/>
                  <a:cs typeface="+mn-cs"/>
                </a:rPr>
                <a:t>ℎ=𝑖−1</a:t>
              </a:r>
              <a:r>
                <a:rPr lang="en-US" sz="1100">
                  <a:solidFill>
                    <a:schemeClr val="dk1"/>
                  </a:solidFill>
                  <a:effectLst/>
                  <a:latin typeface="Cambria Math" panose="02040503050406030204" pitchFamily="18" charset="0"/>
                  <a:ea typeface="Cambria Math" panose="02040503050406030204" pitchFamily="18" charset="0"/>
                  <a:cs typeface="+mn-cs"/>
                </a:rPr>
                <a:t> and </a:t>
              </a:r>
              <a:r>
                <a:rPr lang="en-US" sz="1100" i="0">
                  <a:solidFill>
                    <a:schemeClr val="dk1"/>
                  </a:solidFill>
                  <a:effectLst/>
                  <a:latin typeface="Cambria Math" panose="02040503050406030204" pitchFamily="18" charset="0"/>
                  <a:ea typeface="Cambria Math" panose="02040503050406030204" pitchFamily="18" charset="0"/>
                  <a:cs typeface="+mn-cs"/>
                </a:rPr>
                <a:t>𝑖=1,2,⋯</a:t>
              </a:r>
              <a:r>
                <a:rPr lang="en-US" sz="1100">
                  <a:solidFill>
                    <a:schemeClr val="dk1"/>
                  </a:solidFill>
                  <a:effectLst/>
                  <a:latin typeface="Cambria Math" panose="02040503050406030204" pitchFamily="18" charset="0"/>
                  <a:ea typeface="Cambria Math" panose="02040503050406030204" pitchFamily="18" charset="0"/>
                  <a:cs typeface="+mn-cs"/>
                </a:rPr>
                <a:t>:</a:t>
              </a: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𝐸_(𝑥,├ 𝑖┤|ℎ)=𝑐_𝑖+𝐹_𝑖 𝐸_(𝑥,├ ℎ┤|ℎ)</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𝑉_(𝑥,├ 𝑖┤|ℎ)=𝐹_𝑖 𝑉_(𝑥,├ ℎ┤|ℎ) 𝐹_𝑖^′+𝑄_𝑖</a:t>
              </a:r>
              <a:endParaRPr lang="en-US" sz="1100">
                <a:latin typeface="Cambria Math" panose="02040503050406030204" pitchFamily="18" charset="0"/>
                <a:ea typeface="Cambria Math" panose="02040503050406030204" pitchFamily="18" charset="0"/>
              </a:endParaRP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3. </a:t>
              </a:r>
              <a:r>
                <a:rPr lang="en-US" sz="1100">
                  <a:solidFill>
                    <a:schemeClr val="dk1"/>
                  </a:solidFill>
                  <a:effectLst/>
                  <a:latin typeface="Cambria Math" panose="02040503050406030204" pitchFamily="18" charset="0"/>
                  <a:ea typeface="Cambria Math" panose="02040503050406030204" pitchFamily="18" charset="0"/>
                  <a:cs typeface="+mn-cs"/>
                </a:rPr>
                <a:t>Forecast the measurement equation based on </a:t>
              </a:r>
              <a:r>
                <a:rPr lang="en-US" sz="1100" i="0">
                  <a:solidFill>
                    <a:schemeClr val="dk1"/>
                  </a:solidFill>
                  <a:effectLst/>
                  <a:latin typeface="Cambria Math" panose="02040503050406030204" pitchFamily="18" charset="0"/>
                  <a:ea typeface="Cambria Math" panose="02040503050406030204" pitchFamily="18" charset="0"/>
                  <a:cs typeface="+mn-cs"/>
                </a:rPr>
                <a:t>𝐸_(𝑥,├ 𝑖┤|ℎ)</a:t>
              </a:r>
              <a:r>
                <a:rPr lang="en-US" sz="1100">
                  <a:solidFill>
                    <a:schemeClr val="dk1"/>
                  </a:solidFill>
                  <a:effectLst/>
                  <a:latin typeface="Cambria Math" panose="02040503050406030204" pitchFamily="18" charset="0"/>
                  <a:ea typeface="Cambria Math" panose="02040503050406030204" pitchFamily="18" charset="0"/>
                  <a:cs typeface="+mn-cs"/>
                </a:rPr>
                <a:t> and </a:t>
              </a:r>
              <a:r>
                <a:rPr lang="en-US" sz="1100" i="0">
                  <a:solidFill>
                    <a:schemeClr val="dk1"/>
                  </a:solidFill>
                  <a:effectLst/>
                  <a:latin typeface="Cambria Math" panose="02040503050406030204" pitchFamily="18" charset="0"/>
                  <a:ea typeface="Cambria Math" panose="02040503050406030204" pitchFamily="18" charset="0"/>
                  <a:cs typeface="+mn-cs"/>
                </a:rPr>
                <a:t>𝑉_(𝑥,├ 𝑖┤|ℎ)</a:t>
              </a:r>
              <a:r>
                <a:rPr lang="en-US" sz="1100">
                  <a:solidFill>
                    <a:schemeClr val="dk1"/>
                  </a:solidFill>
                  <a:effectLst/>
                  <a:latin typeface="Cambria Math" panose="02040503050406030204" pitchFamily="18" charset="0"/>
                  <a:ea typeface="Cambria Math" panose="02040503050406030204" pitchFamily="18" charset="0"/>
                  <a:cs typeface="+mn-cs"/>
                </a:rPr>
                <a:t>:</a:t>
              </a: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𝐸_(𝑦,├ 𝑖┤|ℎ)=𝑎_𝑖+𝐻_𝑖 𝐸_(𝑥,├ 𝑖┤|ℎ)</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𝑉_(𝑦,├ 𝑖┤|ℎ)=𝐻_𝑖 𝑉_(𝑥,├ 𝑖┤|ℎ) 𝐻_𝑖^′+𝑅_𝑖</a:t>
              </a:r>
              <a:endParaRPr lang="en-US" sz="1100">
                <a:latin typeface="Cambria Math" panose="02040503050406030204" pitchFamily="18" charset="0"/>
                <a:ea typeface="Cambria Math" panose="02040503050406030204" pitchFamily="18" charset="0"/>
              </a:endParaRPr>
            </a:p>
            <a:p xmlns:a="http://schemas.openxmlformats.org/drawingml/2006/main">
              <a:pPr marL="0" marR="0" lvl="0" indent="0" algn="l" defTabSz="914400" eaLnBrk="1" fontAlgn="auto" latinLnBrk="0" hangingPunct="1">
                <a:lnSpc>
                  <a:spcPct val="100000"/>
                </a:lnSpc>
                <a:spcBef>
                  <a:spcPts val="300"/>
                </a:spcBef>
                <a:spcAft>
                  <a:spcPts val="300"/>
                </a:spcAft>
                <a:buClrTx/>
                <a:buSzTx/>
                <a:buFontTx/>
                <a:buNone/>
                <a:tabLst/>
                <a:defRPr/>
              </a:pPr>
              <a:r>
                <a:rPr lang="en-US" sz="1100">
                  <a:latin typeface="Cambria Math" panose="02040503050406030204" pitchFamily="18" charset="0"/>
                  <a:ea typeface="Cambria Math" panose="02040503050406030204" pitchFamily="18" charset="0"/>
                </a:rPr>
                <a:t>4. </a:t>
              </a:r>
              <a:r>
                <a:rPr lang="en-US" sz="1100">
                  <a:solidFill>
                    <a:schemeClr val="dk1"/>
                  </a:solidFill>
                  <a:effectLst/>
                  <a:latin typeface="Cambria Math" panose="02040503050406030204" pitchFamily="18" charset="0"/>
                  <a:ea typeface="Cambria Math" panose="02040503050406030204" pitchFamily="18" charset="0"/>
                  <a:cs typeface="+mn-cs"/>
                </a:rPr>
                <a:t>Update the inference to the state vector using measurement residual </a:t>
              </a:r>
              <a:r>
                <a:rPr lang="en-US" sz="1100" i="0">
                  <a:solidFill>
                    <a:schemeClr val="dk1"/>
                  </a:solidFill>
                  <a:effectLst/>
                  <a:latin typeface="Cambria Math" panose="02040503050406030204" pitchFamily="18" charset="0"/>
                  <a:ea typeface="Cambria Math" panose="02040503050406030204" pitchFamily="18" charset="0"/>
                  <a:cs typeface="+mn-cs"/>
                </a:rPr>
                <a:t>𝑧_𝑖=𝑦_𝑖−𝐸_(𝑦,├ 𝑖┤|ℎ)</a:t>
              </a:r>
              <a:r>
                <a:rPr lang="en-US" sz="1100">
                  <a:solidFill>
                    <a:schemeClr val="dk1"/>
                  </a:solidFill>
                  <a:effectLst/>
                  <a:latin typeface="Cambria Math" panose="02040503050406030204" pitchFamily="18" charset="0"/>
                  <a:ea typeface="Cambria Math" panose="02040503050406030204" pitchFamily="18" charset="0"/>
                  <a:cs typeface="+mn-cs"/>
                </a:rPr>
                <a:t> and Kalman gain </a:t>
              </a:r>
              <a:r>
                <a:rPr lang="en-US" sz="1100" i="0">
                  <a:solidFill>
                    <a:schemeClr val="dk1"/>
                  </a:solidFill>
                  <a:effectLst/>
                  <a:latin typeface="Cambria Math" panose="02040503050406030204" pitchFamily="18" charset="0"/>
                  <a:ea typeface="Cambria Math" panose="02040503050406030204" pitchFamily="18" charset="0"/>
                  <a:cs typeface="+mn-cs"/>
                </a:rPr>
                <a:t>𝐾_𝑖</a:t>
              </a:r>
              <a:r>
                <a:rPr lang="en-US" sz="1100">
                  <a:solidFill>
                    <a:schemeClr val="dk1"/>
                  </a:solidFill>
                  <a:effectLst/>
                  <a:latin typeface="Cambria Math" panose="02040503050406030204" pitchFamily="18" charset="0"/>
                  <a:ea typeface="Cambria Math" panose="02040503050406030204" pitchFamily="18" charset="0"/>
                  <a:cs typeface="+mn-cs"/>
                </a:rPr>
                <a:t>:</a:t>
              </a: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𝐸_(𝑥,├ 𝑖┤|𝑖)=𝐸_(𝑥,├ 𝑖┤|ℎ)+𝐾_𝑖 𝑧_𝑖</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𝑉_(𝑥,├ 𝑖┤|𝑖)=(𝐼−2𝐾_𝑖 𝐻_𝑖 ) 𝑉_(𝑥,├ 𝑖┤|ℎ)+𝐾_𝑖 𝑉_(𝑦,├ 𝑖┤|ℎ) 𝐾_𝑖^′</a:t>
              </a:r>
              <a:endParaRPr lang="en-US" sz="1100" i="1">
                <a:solidFill>
                  <a:schemeClr val="dk1"/>
                </a:solidFill>
                <a:effectLst/>
                <a:latin typeface="Cambria Math" panose="02040503050406030204" pitchFamily="18" charset="0"/>
                <a:ea typeface="Cambria Math" panose="02040503050406030204" pitchFamily="18" charset="0"/>
                <a:cs typeface="+mn-cs"/>
              </a:endParaRPr>
            </a:p>
            <a:p xmlns:a="http://schemas.openxmlformats.org/drawingml/2006/main">
              <a:pPr marL="0" marR="0" indent="0" algn="l" defTabSz="914400" eaLnBrk="1" fontAlgn="auto" latinLnBrk="0" hangingPunct="1">
                <a:lnSpc>
                  <a:spcPct val="100000"/>
                </a:lnSpc>
                <a:spcBef>
                  <a:spcPts val="300"/>
                </a:spcBef>
                <a:spcAft>
                  <a:spcPts val="300"/>
                </a:spcAft>
                <a:buClrTx/>
                <a:buSzTx/>
                <a:buFontTx/>
                <a:buNone/>
                <a:tabLst/>
                <a:defRPr/>
              </a:pPr>
              <a:r>
                <a:rPr lang="en-US" sz="1100">
                  <a:solidFill>
                    <a:schemeClr val="dk1"/>
                  </a:solidFill>
                  <a:effectLst/>
                  <a:latin typeface="Cambria Math" panose="02040503050406030204" pitchFamily="18" charset="0"/>
                  <a:ea typeface="Cambria Math" panose="02040503050406030204" pitchFamily="18" charset="0"/>
                  <a:cs typeface="+mn-cs"/>
                </a:rPr>
                <a:t>and the optimal Kalman gain </a:t>
              </a:r>
              <a:r>
                <a:rPr lang="en-US" sz="1100" i="0">
                  <a:solidFill>
                    <a:schemeClr val="dk1"/>
                  </a:solidFill>
                  <a:effectLst/>
                  <a:latin typeface="Cambria Math" panose="02040503050406030204" pitchFamily="18" charset="0"/>
                  <a:ea typeface="Cambria Math" panose="02040503050406030204" pitchFamily="18" charset="0"/>
                  <a:cs typeface="+mn-cs"/>
                </a:rPr>
                <a:t>𝐾 ̂_𝑖</a:t>
              </a:r>
              <a:r>
                <a:rPr lang="en-US" sz="1100">
                  <a:solidFill>
                    <a:schemeClr val="dk1"/>
                  </a:solidFill>
                  <a:effectLst/>
                  <a:latin typeface="Cambria Math" panose="02040503050406030204" pitchFamily="18" charset="0"/>
                  <a:ea typeface="Cambria Math" panose="02040503050406030204" pitchFamily="18" charset="0"/>
                  <a:cs typeface="+mn-cs"/>
                </a:rPr>
                <a:t>:</a:t>
              </a: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𝜕tr(𝑉_(𝑥,├ 𝑖┤|𝑖) )/(𝜕𝐾_𝑖 )=0</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𝐾 ̂_𝑖=𝑉_(𝑥,├ 𝑖┤|ℎ) 𝐻_𝑖^′ 𝑉_(𝑦,├ 𝑖┤|ℎ)^(−1)</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a:t>
              </a:r>
              <a:r>
                <a:rPr lang="en-US" sz="1100" b="0" i="0">
                  <a:solidFill>
                    <a:schemeClr val="dk1"/>
                  </a:solidFill>
                  <a:effectLst/>
                  <a:latin typeface="Cambria Math" panose="02040503050406030204" pitchFamily="18" charset="0"/>
                  <a:ea typeface="Cambria Math" panose="02040503050406030204" pitchFamily="18" charset="0"/>
                  <a:cs typeface="+mn-cs"/>
                </a:rPr>
                <a:t>  </a:t>
              </a:r>
              <a:r>
                <a:rPr lang="en-US" sz="1100" i="0">
                  <a:solidFill>
                    <a:schemeClr val="dk1"/>
                  </a:solidFill>
                  <a:effectLst/>
                  <a:latin typeface="Cambria Math" panose="02040503050406030204" pitchFamily="18" charset="0"/>
                  <a:ea typeface="Cambria Math" panose="02040503050406030204" pitchFamily="18" charset="0"/>
                  <a:cs typeface="+mn-cs"/>
                </a:rPr>
                <a:t>𝑉_(𝑥,├ 𝑖┤|𝑖)=(𝐼−𝐾 ̂_𝑖 𝐻_𝑖 ) 𝑉_(𝑥,├ 𝑖┤|ℎ)</a:t>
              </a:r>
              <a:endParaRPr lang="en-US" sz="1100">
                <a:solidFill>
                  <a:schemeClr val="dk1"/>
                </a:solidFill>
                <a:effectLst/>
                <a:latin typeface="Cambria Math" panose="02040503050406030204" pitchFamily="18" charset="0"/>
                <a:ea typeface="Cambria Math" panose="02040503050406030204" pitchFamily="18" charset="0"/>
                <a:cs typeface="+mn-cs"/>
              </a:endParaRPr>
            </a:p>
            <a:p xmlns:a="http://schemas.openxmlformats.org/drawingml/2006/main">
              <a:pPr algn="l">
                <a:lnSpc>
                  <a:spcPct val="100000"/>
                </a:lnSpc>
                <a:spcBef>
                  <a:spcPts val="300"/>
                </a:spcBef>
                <a:spcAft>
                  <a:spcPts val="300"/>
                </a:spcAft>
              </a:pPr>
              <a:r>
                <a:rPr lang="en-US" sz="1100" b="1">
                  <a:solidFill>
                    <a:schemeClr val="dk1"/>
                  </a:solidFill>
                  <a:effectLst/>
                  <a:latin typeface="Cambria Math" panose="02040503050406030204" pitchFamily="18" charset="0"/>
                  <a:ea typeface="Cambria Math" panose="02040503050406030204" pitchFamily="18" charset="0"/>
                  <a:cs typeface="+mn-cs"/>
                </a:rPr>
                <a:t>The log likelihood function </a:t>
              </a:r>
              <a:r>
                <a:rPr lang="en-US" sz="1100" b="1" i="0">
                  <a:solidFill>
                    <a:schemeClr val="dk1"/>
                  </a:solidFill>
                  <a:effectLst/>
                  <a:latin typeface="Cambria Math" panose="02040503050406030204" pitchFamily="18" charset="0"/>
                  <a:ea typeface="Cambria Math" panose="02040503050406030204" pitchFamily="18" charset="0"/>
                  <a:cs typeface="+mn-cs"/>
                </a:rPr>
                <a:t>𝒍 ̂(𝜽)</a:t>
              </a:r>
              <a:r>
                <a:rPr lang="en-US" sz="1100" b="1">
                  <a:solidFill>
                    <a:schemeClr val="dk1"/>
                  </a:solidFill>
                  <a:effectLst/>
                  <a:latin typeface="Cambria Math" panose="02040503050406030204" pitchFamily="18" charset="0"/>
                  <a:ea typeface="Cambria Math" panose="02040503050406030204" pitchFamily="18" charset="0"/>
                  <a:cs typeface="+mn-cs"/>
                </a:rPr>
                <a:t> to be maximized:</a:t>
              </a:r>
              <a:endParaRPr lang="en-US" sz="1100" b="1">
                <a:latin typeface="Cambria Math" panose="02040503050406030204" pitchFamily="18" charset="0"/>
                <a:ea typeface="Cambria Math" panose="02040503050406030204" pitchFamily="18" charset="0"/>
              </a:endParaRPr>
            </a:p>
            <a:p xmlns:a="http://schemas.openxmlformats.org/drawingml/2006/main">
              <a:pPr algn="l">
                <a:lnSpc>
                  <a:spcPct val="100000"/>
                </a:lnSpc>
                <a:spcBef>
                  <a:spcPts val="300"/>
                </a:spcBef>
                <a:spcAft>
                  <a:spcPts val="300"/>
                </a:spcAft>
              </a:pPr>
              <a:r>
                <a:rPr lang="en-US" sz="1100" i="0">
                  <a:solidFill>
                    <a:schemeClr val="dk1"/>
                  </a:solidFill>
                  <a:effectLst/>
                  <a:latin typeface="Cambria Math" panose="02040503050406030204" pitchFamily="18" charset="0"/>
                  <a:ea typeface="Cambria Math" panose="02040503050406030204" pitchFamily="18" charset="0"/>
                  <a:cs typeface="+mn-cs"/>
                </a:rPr>
                <a:t>𝑙 ̂(𝜃)=∑1_(𝑖=1)^𝑁▒(−log⁡|𝑉_(𝑦,├ 𝑖┤|ℎ) |−𝑧_𝑖^′ 𝑉_(𝑦,├ 𝑖┤|ℎ)^(−1) 𝑧_𝑖 ) </a:t>
              </a:r>
              <a:endParaRPr lang="en-US" sz="1100">
                <a:latin typeface="Cambria Math" panose="02040503050406030204" pitchFamily="18" charset="0"/>
                <a:ea typeface="Cambria Math" panose="02040503050406030204" pitchFamily="18" charset="0"/>
              </a:endParaRPr>
            </a:p>
          </xdr:txBody>
        </xdr:sp>
      </mc:Fallback>
    </mc:AlternateContent>
    <xdr:clientData/>
  </xdr:twoCellAnchor>
  <xdr:twoCellAnchor>
    <xdr:from>
      <xdr:col>0</xdr:col>
      <xdr:colOff>127000</xdr:colOff>
      <xdr:row>0</xdr:row>
      <xdr:rowOff>57150</xdr:rowOff>
    </xdr:from>
    <xdr:to>
      <xdr:col>21</xdr:col>
      <xdr:colOff>55880</xdr:colOff>
      <xdr:row>21</xdr:row>
      <xdr:rowOff>76200</xdr:rowOff>
    </xdr:to>
    <xdr:sp macro="" textlink="">
      <xdr:nvSpPr>
        <xdr:cNvPr id="14" name="TextBox 13"/>
        <xdr:cNvSpPr txBox="1"/>
      </xdr:nvSpPr>
      <xdr:spPr>
        <a:xfrm>
          <a:off x="127000" y="57150"/>
          <a:ext cx="658368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rIns="91440" rtlCol="0" anchor="t"/>
        <a:lstStyle/>
        <a:p>
          <a:pPr rtl="0">
            <a:spcBef>
              <a:spcPts val="400"/>
            </a:spcBef>
            <a:spcAft>
              <a:spcPts val="400"/>
            </a:spcAft>
          </a:pPr>
          <a:r>
            <a:rPr lang="en-US" sz="1100" b="0" i="0" baseline="0">
              <a:solidFill>
                <a:schemeClr val="dk1"/>
              </a:solidFill>
              <a:effectLst/>
              <a:latin typeface="+mj-lt"/>
              <a:ea typeface="+mn-ea"/>
              <a:cs typeface="+mn-cs"/>
            </a:rPr>
            <a:t>This sheet estimates the parameters associated with </a:t>
          </a:r>
          <a:r>
            <a:rPr lang="en-US" sz="1100" b="0" i="1" baseline="0">
              <a:solidFill>
                <a:schemeClr val="dk1"/>
              </a:solidFill>
              <a:effectLst/>
              <a:latin typeface="+mj-lt"/>
              <a:ea typeface="+mn-ea"/>
              <a:cs typeface="+mn-cs"/>
            </a:rPr>
            <a:t>R</a:t>
          </a:r>
          <a:r>
            <a:rPr lang="en-US" sz="1100" b="0" i="0" baseline="0">
              <a:solidFill>
                <a:schemeClr val="dk1"/>
              </a:solidFill>
              <a:effectLst/>
              <a:latin typeface="+mj-lt"/>
              <a:ea typeface="+mn-ea"/>
              <a:cs typeface="+mn-cs"/>
            </a:rPr>
            <a:t> (measurement noise), </a:t>
          </a:r>
          <a:r>
            <a:rPr lang="en-US" sz="1100" b="0" i="1" baseline="0">
              <a:solidFill>
                <a:schemeClr val="dk1"/>
              </a:solidFill>
              <a:effectLst/>
              <a:latin typeface="+mj-lt"/>
              <a:ea typeface="+mn-ea"/>
              <a:cs typeface="+mn-cs"/>
            </a:rPr>
            <a:t>F</a:t>
          </a:r>
          <a:r>
            <a:rPr lang="en-US" sz="1100" b="0" i="0" baseline="0">
              <a:solidFill>
                <a:schemeClr val="dk1"/>
              </a:solidFill>
              <a:effectLst/>
              <a:latin typeface="+mj-lt"/>
              <a:ea typeface="+mn-ea"/>
              <a:cs typeface="+mn-cs"/>
            </a:rPr>
            <a:t> (transition matrix) and </a:t>
          </a:r>
          <a:r>
            <a:rPr lang="en-US" sz="1100" b="0" i="1" baseline="0">
              <a:solidFill>
                <a:schemeClr val="dk1"/>
              </a:solidFill>
              <a:effectLst/>
              <a:latin typeface="+mj-lt"/>
              <a:ea typeface="+mn-ea"/>
              <a:cs typeface="+mn-cs"/>
            </a:rPr>
            <a:t>Q</a:t>
          </a:r>
          <a:r>
            <a:rPr lang="en-US" sz="1100" b="0" i="0" baseline="0">
              <a:solidFill>
                <a:schemeClr val="dk1"/>
              </a:solidFill>
              <a:effectLst/>
              <a:latin typeface="+mj-lt"/>
              <a:ea typeface="+mn-ea"/>
              <a:cs typeface="+mn-cs"/>
            </a:rPr>
            <a:t> (transition noise) by MLE. The estimation is based on a hypothetically simulated time series for observable </a:t>
          </a:r>
          <a:r>
            <a:rPr lang="en-US" sz="1100" b="0" i="1" baseline="0">
              <a:solidFill>
                <a:schemeClr val="dk1"/>
              </a:solidFill>
              <a:effectLst/>
              <a:latin typeface="+mj-lt"/>
              <a:ea typeface="+mn-ea"/>
              <a:cs typeface="+mn-cs"/>
            </a:rPr>
            <a:t>y</a:t>
          </a:r>
          <a:r>
            <a:rPr lang="en-US" sz="1100" b="0" i="0" baseline="0">
              <a:solidFill>
                <a:schemeClr val="dk1"/>
              </a:solidFill>
              <a:effectLst/>
              <a:latin typeface="+mj-lt"/>
              <a:ea typeface="+mn-ea"/>
              <a:cs typeface="+mn-cs"/>
            </a:rPr>
            <a:t> in a state-space form:</a:t>
          </a:r>
          <a:endParaRPr lang="en-US" sz="1100">
            <a:effectLst/>
            <a:latin typeface="+mj-lt"/>
          </a:endParaRPr>
        </a:p>
        <a:p>
          <a:pPr rtl="0">
            <a:spcBef>
              <a:spcPts val="400"/>
            </a:spcBef>
            <a:spcAft>
              <a:spcPts val="400"/>
            </a:spcAft>
          </a:pPr>
          <a:r>
            <a:rPr lang="en-US" sz="1100" b="0" i="0" baseline="0">
              <a:solidFill>
                <a:schemeClr val="dk1"/>
              </a:solidFill>
              <a:effectLst/>
              <a:latin typeface="+mj-lt"/>
              <a:ea typeface="+mn-ea"/>
              <a:cs typeface="+mn-cs"/>
            </a:rPr>
            <a:t> - Measurement system:  </a:t>
          </a:r>
          <a:r>
            <a:rPr lang="en-US" sz="1100" b="0" i="1" baseline="0">
              <a:solidFill>
                <a:schemeClr val="dk1"/>
              </a:solidFill>
              <a:effectLst/>
              <a:latin typeface="+mj-lt"/>
              <a:ea typeface="+mn-ea"/>
              <a:cs typeface="+mn-cs"/>
            </a:rPr>
            <a:t>y(i) = a + H*x(i) + r(i),  r(i) ~ N(0,R)</a:t>
          </a:r>
          <a:endParaRPr lang="en-US" sz="1100">
            <a:effectLst/>
            <a:latin typeface="+mj-lt"/>
          </a:endParaRPr>
        </a:p>
        <a:p>
          <a:pPr rtl="0">
            <a:spcBef>
              <a:spcPts val="400"/>
            </a:spcBef>
            <a:spcAft>
              <a:spcPts val="400"/>
            </a:spcAft>
          </a:pPr>
          <a:r>
            <a:rPr lang="en-US" sz="1100" b="0" i="0" baseline="0">
              <a:solidFill>
                <a:schemeClr val="dk1"/>
              </a:solidFill>
              <a:effectLst/>
              <a:latin typeface="+mj-lt"/>
              <a:ea typeface="+mn-ea"/>
              <a:cs typeface="+mn-cs"/>
            </a:rPr>
            <a:t> - Transition System:  </a:t>
          </a:r>
          <a:r>
            <a:rPr lang="en-US" sz="1100" b="0" i="1" baseline="0">
              <a:solidFill>
                <a:schemeClr val="dk1"/>
              </a:solidFill>
              <a:effectLst/>
              <a:latin typeface="+mj-lt"/>
              <a:ea typeface="+mn-ea"/>
              <a:cs typeface="+mn-cs"/>
            </a:rPr>
            <a:t>x(i) = c + F*x(h) + q(i),  q(i) ~ N(0,Q),  h = i - 1</a:t>
          </a:r>
          <a:r>
            <a:rPr lang="en-US" sz="1100" b="0" i="0" baseline="0">
              <a:solidFill>
                <a:schemeClr val="dk1"/>
              </a:solidFill>
              <a:effectLst/>
              <a:latin typeface="+mj-lt"/>
              <a:ea typeface="+mn-ea"/>
              <a:cs typeface="+mn-cs"/>
            </a:rPr>
            <a:t>        </a:t>
          </a:r>
          <a:endParaRPr lang="en-US" sz="1100">
            <a:effectLst/>
            <a:latin typeface="+mj-lt"/>
          </a:endParaRPr>
        </a:p>
        <a:p>
          <a:pPr rtl="0">
            <a:spcBef>
              <a:spcPts val="400"/>
            </a:spcBef>
            <a:spcAft>
              <a:spcPts val="400"/>
            </a:spcAft>
          </a:pPr>
          <a:r>
            <a:rPr lang="en-US" sz="1100" b="0" i="0" baseline="0">
              <a:solidFill>
                <a:schemeClr val="dk1"/>
              </a:solidFill>
              <a:effectLst/>
              <a:latin typeface="+mj-lt"/>
              <a:ea typeface="+mn-ea"/>
              <a:cs typeface="+mn-cs"/>
            </a:rPr>
            <a:t>Excel Solver is used to perform the multi-dimensional optimization. For demonstration purpose,  the </a:t>
          </a:r>
          <a:r>
            <a:rPr lang="en-US" sz="1100" b="0" i="1" baseline="0">
              <a:solidFill>
                <a:schemeClr val="dk1"/>
              </a:solidFill>
              <a:effectLst/>
              <a:latin typeface="+mj-lt"/>
              <a:ea typeface="+mn-ea"/>
              <a:cs typeface="+mn-cs"/>
            </a:rPr>
            <a:t>R</a:t>
          </a:r>
          <a:r>
            <a:rPr lang="en-US" sz="1100" b="0" i="0" baseline="0">
              <a:solidFill>
                <a:schemeClr val="dk1"/>
              </a:solidFill>
              <a:effectLst/>
              <a:latin typeface="+mj-lt"/>
              <a:ea typeface="+mn-ea"/>
              <a:cs typeface="+mn-cs"/>
            </a:rPr>
            <a:t>, </a:t>
          </a:r>
          <a:r>
            <a:rPr lang="en-US" sz="1100" b="0" i="1" baseline="0">
              <a:solidFill>
                <a:schemeClr val="dk1"/>
              </a:solidFill>
              <a:effectLst/>
              <a:latin typeface="+mj-lt"/>
              <a:ea typeface="+mn-ea"/>
              <a:cs typeface="+mn-cs"/>
            </a:rPr>
            <a:t>F</a:t>
          </a:r>
          <a:r>
            <a:rPr lang="en-US" sz="1100" b="0" i="0" baseline="0">
              <a:solidFill>
                <a:schemeClr val="dk1"/>
              </a:solidFill>
              <a:effectLst/>
              <a:latin typeface="+mj-lt"/>
              <a:ea typeface="+mn-ea"/>
              <a:cs typeface="+mn-cs"/>
            </a:rPr>
            <a:t> and </a:t>
          </a:r>
          <a:r>
            <a:rPr lang="en-US" sz="1100" b="0" i="1" baseline="0">
              <a:solidFill>
                <a:schemeClr val="dk1"/>
              </a:solidFill>
              <a:effectLst/>
              <a:latin typeface="+mj-lt"/>
              <a:ea typeface="+mn-ea"/>
              <a:cs typeface="+mn-cs"/>
            </a:rPr>
            <a:t>Q</a:t>
          </a:r>
          <a:r>
            <a:rPr lang="en-US" sz="1100" b="0" i="0" baseline="0">
              <a:solidFill>
                <a:schemeClr val="dk1"/>
              </a:solidFill>
              <a:effectLst/>
              <a:latin typeface="+mj-lt"/>
              <a:ea typeface="+mn-ea"/>
              <a:cs typeface="+mn-cs"/>
            </a:rPr>
            <a:t> matrices are parametrized by 5 scalars (in red). The optimization routine finds the maximum of the total log-likelyhood by altering the 5 scalars.</a:t>
          </a:r>
          <a:endParaRPr lang="en-US" sz="1100">
            <a:effectLst/>
            <a:latin typeface="+mj-lt"/>
          </a:endParaRPr>
        </a:p>
        <a:p>
          <a:pPr rtl="0">
            <a:spcBef>
              <a:spcPts val="400"/>
            </a:spcBef>
            <a:spcAft>
              <a:spcPts val="400"/>
            </a:spcAft>
          </a:pPr>
          <a:r>
            <a:rPr lang="en-US" sz="1100" b="0" i="0" baseline="0">
              <a:solidFill>
                <a:schemeClr val="dk1"/>
              </a:solidFill>
              <a:effectLst/>
              <a:latin typeface="+mj-lt"/>
              <a:ea typeface="+mn-ea"/>
              <a:cs typeface="+mn-cs"/>
            </a:rPr>
            <a:t>The plots below show the comparison between the simulated and the estimated unobservable signals (i.e. simulated </a:t>
          </a:r>
          <a:r>
            <a:rPr lang="en-US" sz="1100" b="0" i="1" baseline="0">
              <a:solidFill>
                <a:schemeClr val="dk1"/>
              </a:solidFill>
              <a:effectLst/>
              <a:latin typeface="+mj-lt"/>
              <a:ea typeface="+mn-ea"/>
              <a:cs typeface="+mn-cs"/>
            </a:rPr>
            <a:t>x(i)</a:t>
          </a:r>
          <a:r>
            <a:rPr lang="en-US" sz="1100" b="0" i="0" baseline="0">
              <a:solidFill>
                <a:schemeClr val="dk1"/>
              </a:solidFill>
              <a:effectLst/>
              <a:latin typeface="+mj-lt"/>
              <a:ea typeface="+mn-ea"/>
              <a:cs typeface="+mn-cs"/>
            </a:rPr>
            <a:t> vs. estimated </a:t>
          </a:r>
          <a:r>
            <a:rPr lang="en-US" sz="1100" b="0" i="1" baseline="0">
              <a:solidFill>
                <a:schemeClr val="dk1"/>
              </a:solidFill>
              <a:effectLst/>
              <a:latin typeface="+mj-lt"/>
              <a:ea typeface="+mn-ea"/>
              <a:cs typeface="+mn-cs"/>
            </a:rPr>
            <a:t>E[x(i|i)]</a:t>
          </a:r>
          <a:r>
            <a:rPr lang="en-US" sz="1100" b="0" i="0" baseline="0">
              <a:solidFill>
                <a:schemeClr val="dk1"/>
              </a:solidFill>
              <a:effectLst/>
              <a:latin typeface="+mj-lt"/>
              <a:ea typeface="+mn-ea"/>
              <a:cs typeface="+mn-cs"/>
            </a:rPr>
            <a:t>). It can be observed that a smaller </a:t>
          </a:r>
          <a:r>
            <a:rPr lang="en-US" sz="1100" b="0" i="1" baseline="0">
              <a:solidFill>
                <a:srgbClr val="FF0000"/>
              </a:solidFill>
              <a:effectLst/>
              <a:latin typeface="+mj-lt"/>
              <a:ea typeface="+mn-ea"/>
              <a:cs typeface="+mn-cs"/>
            </a:rPr>
            <a:t>R</a:t>
          </a:r>
          <a:r>
            <a:rPr lang="en-US" sz="1100" b="0" i="0" baseline="0">
              <a:solidFill>
                <a:schemeClr val="dk1"/>
              </a:solidFill>
              <a:effectLst/>
              <a:latin typeface="+mj-lt"/>
              <a:ea typeface="+mn-ea"/>
              <a:cs typeface="+mn-cs"/>
            </a:rPr>
            <a:t> (i.e. lower noise level in measurement) used in simulation will basically deliver better regressions. </a:t>
          </a:r>
          <a:endParaRPr lang="en-US" sz="1100">
            <a:effectLst/>
            <a:latin typeface="+mj-lt"/>
          </a:endParaRPr>
        </a:p>
        <a:p>
          <a:pPr rtl="0">
            <a:spcBef>
              <a:spcPts val="400"/>
            </a:spcBef>
            <a:spcAft>
              <a:spcPts val="400"/>
            </a:spcAft>
          </a:pPr>
          <a:r>
            <a:rPr lang="en-US" sz="1100" b="0" i="0" baseline="0">
              <a:solidFill>
                <a:schemeClr val="dk1"/>
              </a:solidFill>
              <a:effectLst/>
              <a:latin typeface="+mj-lt"/>
              <a:ea typeface="+mn-ea"/>
              <a:cs typeface="+mn-cs"/>
            </a:rPr>
            <a:t>Note that please be sure to use "</a:t>
          </a:r>
          <a:r>
            <a:rPr lang="en-US" sz="1100" b="0" i="0" baseline="0">
              <a:solidFill>
                <a:srgbClr val="FF0000"/>
              </a:solidFill>
              <a:effectLst/>
              <a:latin typeface="+mj-lt"/>
              <a:ea typeface="+mn-ea"/>
              <a:cs typeface="+mn-cs"/>
            </a:rPr>
            <a:t>Ctrl + Shift + Enter</a:t>
          </a:r>
          <a:r>
            <a:rPr lang="en-US" sz="1100" b="0" i="0" baseline="0">
              <a:solidFill>
                <a:schemeClr val="dk1"/>
              </a:solidFill>
              <a:effectLst/>
              <a:latin typeface="+mj-lt"/>
              <a:ea typeface="+mn-ea"/>
              <a:cs typeface="+mn-cs"/>
            </a:rPr>
            <a:t>" to enforce matrix calculations even in a single cell, otherwise it may dump error messages that are hard to identify.</a:t>
          </a:r>
          <a:endParaRPr lang="en-US" sz="1100">
            <a:latin typeface="Cambria Math" panose="02040503050406030204" pitchFamily="18" charset="0"/>
            <a:ea typeface="Cambria Math" panose="02040503050406030204" pitchFamily="18" charset="0"/>
          </a:endParaRPr>
        </a:p>
      </xdr:txBody>
    </xdr:sp>
    <xdr:clientData/>
  </xdr:twoCellAnchor>
  <xdr:twoCellAnchor>
    <xdr:from>
      <xdr:col>4</xdr:col>
      <xdr:colOff>133350</xdr:colOff>
      <xdr:row>22</xdr:row>
      <xdr:rowOff>76200</xdr:rowOff>
    </xdr:from>
    <xdr:to>
      <xdr:col>21</xdr:col>
      <xdr:colOff>95250</xdr:colOff>
      <xdr:row>32</xdr:row>
      <xdr:rowOff>44450</xdr:rowOff>
    </xdr:to>
    <xdr:sp macro="" textlink="">
      <xdr:nvSpPr>
        <xdr:cNvPr id="2" name="TextBox 1"/>
        <xdr:cNvSpPr txBox="1"/>
      </xdr:nvSpPr>
      <xdr:spPr>
        <a:xfrm>
          <a:off x="1511300" y="3016250"/>
          <a:ext cx="4648200" cy="1308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spcBef>
              <a:spcPts val="0"/>
            </a:spcBef>
            <a:spcAft>
              <a:spcPts val="0"/>
            </a:spcAft>
          </a:pPr>
          <a:r>
            <a:rPr lang="en-US" sz="1100">
              <a:latin typeface="+mj-lt"/>
            </a:rPr>
            <a:t>Select a number for the length of simulated time series, and be sure to hit the "Populate Sheet" button to refresh.</a:t>
          </a:r>
        </a:p>
        <a:p>
          <a:pPr>
            <a:spcBef>
              <a:spcPts val="0"/>
            </a:spcBef>
            <a:spcAft>
              <a:spcPts val="0"/>
            </a:spcAft>
          </a:pPr>
          <a:r>
            <a:rPr lang="en-US" sz="1100">
              <a:latin typeface="+mj-lt"/>
            </a:rPr>
            <a:t> - Keep in mind that the larger the number, the slower the calibration.</a:t>
          </a:r>
        </a:p>
        <a:p>
          <a:pPr>
            <a:spcBef>
              <a:spcPts val="0"/>
            </a:spcBef>
            <a:spcAft>
              <a:spcPts val="0"/>
            </a:spcAft>
          </a:pPr>
          <a:r>
            <a:rPr lang="en-US" sz="1100">
              <a:latin typeface="+mj-lt"/>
            </a:rPr>
            <a:t> - A reasonable number would be between 200 and 800. </a:t>
          </a:r>
        </a:p>
        <a:p>
          <a:pPr>
            <a:spcBef>
              <a:spcPts val="0"/>
            </a:spcBef>
            <a:spcAft>
              <a:spcPts val="0"/>
            </a:spcAft>
          </a:pPr>
          <a:r>
            <a:rPr lang="en-US" sz="1100">
              <a:latin typeface="+mj-lt"/>
            </a:rPr>
            <a:t>Since Excel 2003 runs much faster than Excel 2007 and later versions, it may allow a much larger number. </a:t>
          </a:r>
        </a:p>
      </xdr:txBody>
    </xdr:sp>
    <xdr:clientData/>
  </xdr:twoCellAnchor>
  <xdr:twoCellAnchor>
    <xdr:from>
      <xdr:col>4</xdr:col>
      <xdr:colOff>53975</xdr:colOff>
      <xdr:row>48</xdr:row>
      <xdr:rowOff>44450</xdr:rowOff>
    </xdr:from>
    <xdr:to>
      <xdr:col>21</xdr:col>
      <xdr:colOff>95257</xdr:colOff>
      <xdr:row>52</xdr:row>
      <xdr:rowOff>69850</xdr:rowOff>
    </xdr:to>
    <xdr:sp macro="" textlink="">
      <xdr:nvSpPr>
        <xdr:cNvPr id="15" name="TextBox 14"/>
        <xdr:cNvSpPr txBox="1"/>
      </xdr:nvSpPr>
      <xdr:spPr>
        <a:xfrm>
          <a:off x="1473200" y="6489700"/>
          <a:ext cx="4692650" cy="565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900"/>
            </a:lnSpc>
            <a:spcBef>
              <a:spcPts val="0"/>
            </a:spcBef>
            <a:spcAft>
              <a:spcPts val="0"/>
            </a:spcAft>
          </a:pPr>
          <a:r>
            <a:rPr lang="en-US" sz="1000">
              <a:latin typeface="+mj-lt"/>
            </a:rPr>
            <a:t>Since the matrices </a:t>
          </a:r>
          <a:r>
            <a:rPr lang="en-US" sz="1000" i="1">
              <a:latin typeface="+mj-lt"/>
            </a:rPr>
            <a:t>H</a:t>
          </a:r>
          <a:r>
            <a:rPr lang="en-US" sz="1000">
              <a:latin typeface="+mj-lt"/>
            </a:rPr>
            <a:t>, </a:t>
          </a:r>
          <a:r>
            <a:rPr lang="en-US" sz="1000" i="1">
              <a:latin typeface="+mj-lt"/>
            </a:rPr>
            <a:t>R</a:t>
          </a:r>
          <a:r>
            <a:rPr lang="en-US" sz="1000">
              <a:latin typeface="+mj-lt"/>
            </a:rPr>
            <a:t>, </a:t>
          </a:r>
          <a:r>
            <a:rPr lang="en-US" sz="1000" i="1">
              <a:latin typeface="+mj-lt"/>
            </a:rPr>
            <a:t>F</a:t>
          </a:r>
          <a:r>
            <a:rPr lang="en-US" sz="1000">
              <a:latin typeface="+mj-lt"/>
            </a:rPr>
            <a:t> and </a:t>
          </a:r>
          <a:r>
            <a:rPr lang="en-US" sz="1000" i="1">
              <a:latin typeface="+mj-lt"/>
            </a:rPr>
            <a:t>Q</a:t>
          </a:r>
          <a:r>
            <a:rPr lang="en-US" sz="1000">
              <a:latin typeface="+mj-lt"/>
            </a:rPr>
            <a:t> are all assumed time-invariant, the covariance </a:t>
          </a:r>
          <a:r>
            <a:rPr lang="en-US" sz="1000" i="1">
              <a:latin typeface="+mj-lt"/>
            </a:rPr>
            <a:t>V[y(i,h)] </a:t>
          </a:r>
          <a:r>
            <a:rPr lang="en-US" sz="1000">
              <a:latin typeface="+mj-lt"/>
            </a:rPr>
            <a:t>and matrix </a:t>
          </a:r>
          <a:r>
            <a:rPr lang="en-US" sz="1000" i="1">
              <a:latin typeface="+mj-lt"/>
            </a:rPr>
            <a:t>K(i)</a:t>
          </a:r>
          <a:r>
            <a:rPr lang="en-US" sz="1000">
              <a:latin typeface="+mj-lt"/>
            </a:rPr>
            <a:t> converge rapidly after 20</a:t>
          </a:r>
          <a:r>
            <a:rPr lang="en-US" sz="1000" baseline="0">
              <a:latin typeface="+mj-lt"/>
            </a:rPr>
            <a:t> </a:t>
          </a:r>
          <a:r>
            <a:rPr lang="en-US" sz="1000">
              <a:latin typeface="+mj-lt"/>
            </a:rPr>
            <a:t>~ 30 steps. Hence for efficiency</a:t>
          </a:r>
          <a:r>
            <a:rPr lang="en-US" sz="1000" baseline="0">
              <a:latin typeface="+mj-lt"/>
            </a:rPr>
            <a:t> </a:t>
          </a:r>
          <a:r>
            <a:rPr lang="en-US" sz="1000">
              <a:latin typeface="+mj-lt"/>
            </a:rPr>
            <a:t>these intermediate matrices are kept below and used for the rest steps. </a:t>
          </a:r>
        </a:p>
      </xdr:txBody>
    </xdr:sp>
    <xdr:clientData/>
  </xdr:twoCellAnchor>
  <xdr:twoCellAnchor>
    <xdr:from>
      <xdr:col>4</xdr:col>
      <xdr:colOff>133350</xdr:colOff>
      <xdr:row>33</xdr:row>
      <xdr:rowOff>38100</xdr:rowOff>
    </xdr:from>
    <xdr:to>
      <xdr:col>21</xdr:col>
      <xdr:colOff>92082</xdr:colOff>
      <xdr:row>36</xdr:row>
      <xdr:rowOff>6350</xdr:rowOff>
    </xdr:to>
    <xdr:sp macro="" textlink="">
      <xdr:nvSpPr>
        <xdr:cNvPr id="16" name="TextBox 15"/>
        <xdr:cNvSpPr txBox="1"/>
      </xdr:nvSpPr>
      <xdr:spPr>
        <a:xfrm>
          <a:off x="1511300" y="4457700"/>
          <a:ext cx="4654550" cy="374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91440" bIns="0" rtlCol="0" anchor="t"/>
        <a:lstStyle/>
        <a:p>
          <a:pPr algn="l">
            <a:spcBef>
              <a:spcPts val="0"/>
            </a:spcBef>
            <a:spcAft>
              <a:spcPts val="0"/>
            </a:spcAft>
          </a:pPr>
          <a:r>
            <a:rPr lang="en-US" sz="1100">
              <a:latin typeface="+mj-lt"/>
            </a:rPr>
            <a:t>For</a:t>
          </a:r>
          <a:r>
            <a:rPr lang="en-US" sz="1100" baseline="0">
              <a:latin typeface="+mj-lt"/>
            </a:rPr>
            <a:t> simplicity, the vectors </a:t>
          </a:r>
          <a:r>
            <a:rPr lang="en-US" sz="1100" i="1" baseline="0">
              <a:latin typeface="+mj-lt"/>
            </a:rPr>
            <a:t>a</a:t>
          </a:r>
          <a:r>
            <a:rPr lang="en-US" sz="1100" baseline="0">
              <a:latin typeface="+mj-lt"/>
            </a:rPr>
            <a:t> and </a:t>
          </a:r>
          <a:r>
            <a:rPr lang="en-US" sz="1100" i="1" baseline="0">
              <a:latin typeface="+mj-lt"/>
            </a:rPr>
            <a:t>c</a:t>
          </a:r>
          <a:r>
            <a:rPr lang="en-US" sz="1100" i="0" baseline="0">
              <a:latin typeface="+mj-lt"/>
            </a:rPr>
            <a:t> </a:t>
          </a:r>
          <a:r>
            <a:rPr lang="en-US" sz="1100" baseline="0">
              <a:latin typeface="+mj-lt"/>
            </a:rPr>
            <a:t>and the measurement matrix </a:t>
          </a:r>
          <a:r>
            <a:rPr lang="en-US" sz="1100" i="1" baseline="0">
              <a:latin typeface="+mj-lt"/>
            </a:rPr>
            <a:t>H</a:t>
          </a:r>
          <a:r>
            <a:rPr lang="en-US" sz="1100" baseline="0">
              <a:latin typeface="+mj-lt"/>
            </a:rPr>
            <a:t> are all assumed known and taken from simulation sheet.</a:t>
          </a:r>
          <a:endParaRPr lang="en-US" sz="1100">
            <a:latin typeface="+mj-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111125</xdr:colOff>
      <xdr:row>20</xdr:row>
      <xdr:rowOff>76200</xdr:rowOff>
    </xdr:from>
    <xdr:to>
      <xdr:col>23</xdr:col>
      <xdr:colOff>58424</xdr:colOff>
      <xdr:row>43</xdr:row>
      <xdr:rowOff>115570</xdr:rowOff>
    </xdr:to>
    <xdr:sp macro="" textlink="">
      <xdr:nvSpPr>
        <xdr:cNvPr id="3" name="TextBox 2"/>
        <xdr:cNvSpPr txBox="1"/>
      </xdr:nvSpPr>
      <xdr:spPr>
        <a:xfrm>
          <a:off x="114300" y="2609850"/>
          <a:ext cx="6325870" cy="3106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rIns="91440" rtlCol="0" anchor="t"/>
        <a:lstStyle/>
        <a:p>
          <a:pPr rtl="0">
            <a:spcBef>
              <a:spcPts val="400"/>
            </a:spcBef>
            <a:spcAft>
              <a:spcPts val="400"/>
            </a:spcAft>
          </a:pPr>
          <a:r>
            <a:rPr lang="en-US" sz="1100" b="0" i="0" baseline="0">
              <a:solidFill>
                <a:schemeClr val="dk1"/>
              </a:solidFill>
              <a:effectLst/>
              <a:latin typeface="+mj-lt"/>
              <a:ea typeface="+mn-ea"/>
              <a:cs typeface="+mn-cs"/>
            </a:rPr>
            <a:t>This sheet simulates a time series in a state-space form:</a:t>
          </a:r>
          <a:endParaRPr lang="en-US">
            <a:effectLst/>
            <a:latin typeface="+mj-lt"/>
          </a:endParaRPr>
        </a:p>
        <a:p>
          <a:pPr rtl="0">
            <a:spcBef>
              <a:spcPts val="400"/>
            </a:spcBef>
            <a:spcAft>
              <a:spcPts val="400"/>
            </a:spcAft>
          </a:pPr>
          <a:r>
            <a:rPr lang="en-US" sz="1100" b="0" i="0" baseline="0">
              <a:solidFill>
                <a:schemeClr val="dk1"/>
              </a:solidFill>
              <a:effectLst/>
              <a:latin typeface="+mj-lt"/>
              <a:ea typeface="+mn-ea"/>
              <a:cs typeface="+mn-cs"/>
            </a:rPr>
            <a:t> - Measurement system:    </a:t>
          </a:r>
          <a:r>
            <a:rPr lang="en-US" sz="1100" b="0" i="1" baseline="0">
              <a:solidFill>
                <a:schemeClr val="dk1"/>
              </a:solidFill>
              <a:effectLst/>
              <a:latin typeface="+mj-lt"/>
              <a:ea typeface="+mn-ea"/>
              <a:cs typeface="+mn-cs"/>
            </a:rPr>
            <a:t>y(i) = a + H*x(i) + r(i),     r(i) ~ N(0,R)</a:t>
          </a:r>
          <a:endParaRPr lang="en-US">
            <a:effectLst/>
            <a:latin typeface="+mj-lt"/>
          </a:endParaRPr>
        </a:p>
        <a:p>
          <a:pPr rtl="0">
            <a:spcBef>
              <a:spcPts val="400"/>
            </a:spcBef>
            <a:spcAft>
              <a:spcPts val="400"/>
            </a:spcAft>
          </a:pPr>
          <a:r>
            <a:rPr lang="en-US" sz="1100" b="0" i="0" baseline="0">
              <a:solidFill>
                <a:schemeClr val="dk1"/>
              </a:solidFill>
              <a:effectLst/>
              <a:latin typeface="+mj-lt"/>
              <a:ea typeface="+mn-ea"/>
              <a:cs typeface="+mn-cs"/>
            </a:rPr>
            <a:t> - Transition System:    </a:t>
          </a:r>
          <a:r>
            <a:rPr lang="en-US" sz="1100" b="0" i="1" baseline="0">
              <a:solidFill>
                <a:schemeClr val="dk1"/>
              </a:solidFill>
              <a:effectLst/>
              <a:latin typeface="+mj-lt"/>
              <a:ea typeface="+mn-ea"/>
              <a:cs typeface="+mn-cs"/>
            </a:rPr>
            <a:t>x(i) = c + F*x(i-1) + q(i),    q(i) ~ N(0,Q)</a:t>
          </a:r>
        </a:p>
        <a:p>
          <a:pPr rtl="0">
            <a:spcBef>
              <a:spcPts val="400"/>
            </a:spcBef>
            <a:spcAft>
              <a:spcPts val="400"/>
            </a:spcAft>
          </a:pPr>
          <a:endParaRPr lang="en-US">
            <a:effectLst/>
            <a:latin typeface="+mj-lt"/>
          </a:endParaRPr>
        </a:p>
        <a:p>
          <a:pPr rtl="0">
            <a:spcBef>
              <a:spcPts val="400"/>
            </a:spcBef>
            <a:spcAft>
              <a:spcPts val="400"/>
            </a:spcAft>
          </a:pPr>
          <a:r>
            <a:rPr lang="en-US" sz="1100" b="0" i="0" baseline="0">
              <a:solidFill>
                <a:schemeClr val="dk1"/>
              </a:solidFill>
              <a:effectLst/>
              <a:latin typeface="+mj-lt"/>
              <a:ea typeface="+mn-ea"/>
              <a:cs typeface="+mn-cs"/>
            </a:rPr>
            <a:t>1. For demonstration purpose, we assume the a, H, R and c, F, Q are time-invariant.</a:t>
          </a:r>
        </a:p>
        <a:p>
          <a:pPr rtl="0">
            <a:spcBef>
              <a:spcPts val="400"/>
            </a:spcBef>
            <a:spcAft>
              <a:spcPts val="400"/>
            </a:spcAft>
          </a:pPr>
          <a:r>
            <a:rPr lang="en-US" sz="1100" b="0" i="0" baseline="0">
              <a:solidFill>
                <a:schemeClr val="dk1"/>
              </a:solidFill>
              <a:effectLst/>
              <a:latin typeface="+mj-lt"/>
              <a:ea typeface="+mn-ea"/>
              <a:cs typeface="+mn-cs"/>
            </a:rPr>
            <a:t>2. To ensure the covariance matrix R and Q are S.P.D., they are constructed as E*A*E', where E is an orthonormal matrix (ramdonly created) and A is a diagnoal matrix (e.g. eigenvectors and eigenvalues).</a:t>
          </a:r>
        </a:p>
        <a:p>
          <a:pPr rtl="0">
            <a:spcBef>
              <a:spcPts val="400"/>
            </a:spcBef>
            <a:spcAft>
              <a:spcPts val="400"/>
            </a:spcAft>
          </a:pPr>
          <a:r>
            <a:rPr lang="en-US" sz="1100" b="0" i="0" baseline="0">
              <a:solidFill>
                <a:schemeClr val="dk1"/>
              </a:solidFill>
              <a:effectLst/>
              <a:latin typeface="+mj-lt"/>
              <a:ea typeface="+mn-ea"/>
              <a:cs typeface="+mn-cs"/>
            </a:rPr>
            <a:t>3. For simplicity, the vectors </a:t>
          </a:r>
          <a:r>
            <a:rPr lang="en-US" sz="1100" b="0" i="1" baseline="0">
              <a:solidFill>
                <a:schemeClr val="dk1"/>
              </a:solidFill>
              <a:effectLst/>
              <a:latin typeface="+mj-lt"/>
              <a:ea typeface="+mn-ea"/>
              <a:cs typeface="+mn-cs"/>
            </a:rPr>
            <a:t>a</a:t>
          </a:r>
          <a:r>
            <a:rPr lang="en-US" sz="1100" b="0" i="0" baseline="0">
              <a:solidFill>
                <a:schemeClr val="dk1"/>
              </a:solidFill>
              <a:effectLst/>
              <a:latin typeface="+mj-lt"/>
              <a:ea typeface="+mn-ea"/>
              <a:cs typeface="+mn-cs"/>
            </a:rPr>
            <a:t> and </a:t>
          </a:r>
          <a:r>
            <a:rPr lang="en-US" sz="1100" b="0" i="1" baseline="0">
              <a:solidFill>
                <a:schemeClr val="dk1"/>
              </a:solidFill>
              <a:effectLst/>
              <a:latin typeface="+mj-lt"/>
              <a:ea typeface="+mn-ea"/>
              <a:cs typeface="+mn-cs"/>
            </a:rPr>
            <a:t>c</a:t>
          </a:r>
          <a:r>
            <a:rPr lang="en-US" sz="1100" b="0" i="0" baseline="0">
              <a:solidFill>
                <a:schemeClr val="dk1"/>
              </a:solidFill>
              <a:effectLst/>
              <a:latin typeface="+mj-lt"/>
              <a:ea typeface="+mn-ea"/>
              <a:cs typeface="+mn-cs"/>
            </a:rPr>
            <a:t> are assumed zero and the measurement matrix H is assumed known and constructed as an arbitrary orthonormal matrix. </a:t>
          </a:r>
        </a:p>
        <a:p>
          <a:pPr rtl="0">
            <a:spcBef>
              <a:spcPts val="400"/>
            </a:spcBef>
            <a:spcAft>
              <a:spcPts val="400"/>
            </a:spcAft>
          </a:pPr>
          <a:r>
            <a:rPr lang="en-US" sz="1100" b="0" i="0" baseline="0">
              <a:solidFill>
                <a:schemeClr val="dk1"/>
              </a:solidFill>
              <a:effectLst/>
              <a:latin typeface="+mj-lt"/>
              <a:ea typeface="+mn-ea"/>
              <a:cs typeface="+mn-cs"/>
            </a:rPr>
            <a:t>4. The F is an aribitrary non-singular transition matrix with its spectral radius (i.e. max of absolute eigenvalues) less than unity to ensure the transition system stable. This is equivalent to having a matrix with sum of absolute values of the elements in each row/column less than 1. </a:t>
          </a:r>
          <a:endParaRPr lang="en-US">
            <a:effectLst/>
            <a:latin typeface="+mj-l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
  <sheetViews>
    <sheetView tabSelected="1" workbookViewId="0"/>
  </sheetViews>
  <sheetFormatPr defaultColWidth="3.140625" defaultRowHeight="10.5" x14ac:dyDescent="0.15"/>
  <cols>
    <col min="1" max="16384" width="3.140625" style="5"/>
  </cols>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AX2003"/>
  <sheetViews>
    <sheetView zoomScaleNormal="100" workbookViewId="0"/>
  </sheetViews>
  <sheetFormatPr defaultColWidth="2.42578125" defaultRowHeight="10.5" x14ac:dyDescent="0.15"/>
  <cols>
    <col min="1" max="1" width="3" style="6" customWidth="1"/>
    <col min="2" max="2" width="4" style="6" bestFit="1" customWidth="1"/>
    <col min="3" max="3" width="4.5703125" style="14" bestFit="1" customWidth="1"/>
    <col min="4" max="4" width="8.5703125" style="14" bestFit="1" customWidth="1"/>
    <col min="5" max="5" width="4.140625" style="14" bestFit="1" customWidth="1"/>
    <col min="6" max="6" width="3" style="14" customWidth="1"/>
    <col min="7" max="9" width="4" style="14" bestFit="1" customWidth="1"/>
    <col min="10" max="10" width="4.42578125" style="14" bestFit="1" customWidth="1"/>
    <col min="11" max="11" width="4" style="14" bestFit="1" customWidth="1"/>
    <col min="12" max="14" width="4" style="6" bestFit="1" customWidth="1"/>
    <col min="15" max="15" width="4.140625" style="6" bestFit="1" customWidth="1"/>
    <col min="16" max="19" width="4" style="6" bestFit="1" customWidth="1"/>
    <col min="20" max="20" width="4.140625" style="6" bestFit="1" customWidth="1"/>
    <col min="21" max="21" width="3" style="6" customWidth="1"/>
    <col min="22" max="22" width="3" style="9" customWidth="1"/>
    <col min="23" max="23" width="3.28515625" style="6" bestFit="1" customWidth="1"/>
    <col min="24" max="25" width="3.5703125" style="63" bestFit="1" customWidth="1"/>
    <col min="26" max="27" width="4" style="63" bestFit="1" customWidth="1"/>
    <col min="28" max="28" width="3.140625" style="64" bestFit="1" customWidth="1"/>
    <col min="29" max="32" width="3.5703125" style="63" bestFit="1" customWidth="1"/>
    <col min="33" max="33" width="6.140625" style="16" bestFit="1" customWidth="1"/>
    <col min="34" max="37" width="3.5703125" style="6" bestFit="1" customWidth="1"/>
    <col min="38" max="38" width="7.5703125" style="16" bestFit="1" customWidth="1"/>
    <col min="39" max="42" width="4" style="6" bestFit="1" customWidth="1"/>
    <col min="43" max="43" width="4.140625" style="16" bestFit="1" customWidth="1"/>
    <col min="44" max="44" width="4" style="13" bestFit="1" customWidth="1"/>
    <col min="45" max="47" width="3.85546875" style="6" bestFit="1" customWidth="1"/>
    <col min="48" max="48" width="5.5703125" style="16" bestFit="1" customWidth="1"/>
    <col min="49" max="49" width="4" style="100" bestFit="1" customWidth="1"/>
    <col min="50" max="50" width="3" style="6" customWidth="1"/>
    <col min="51" max="16384" width="2.42578125" style="2"/>
  </cols>
  <sheetData>
    <row r="2" spans="23:49" x14ac:dyDescent="0.15">
      <c r="X2" s="137" t="s">
        <v>38</v>
      </c>
      <c r="Y2" s="137"/>
      <c r="Z2" s="137"/>
      <c r="AA2" s="137"/>
      <c r="AB2" s="89"/>
      <c r="AC2" s="89"/>
      <c r="AD2" s="89"/>
      <c r="AE2" s="89"/>
      <c r="AF2" s="89"/>
      <c r="AG2" s="89"/>
      <c r="AH2" s="89"/>
      <c r="AI2" s="89"/>
      <c r="AJ2" s="89"/>
      <c r="AK2" s="89"/>
      <c r="AL2" s="89"/>
      <c r="AM2" s="89"/>
      <c r="AN2" s="89"/>
      <c r="AO2" s="89"/>
      <c r="AP2" s="89"/>
      <c r="AQ2" s="89"/>
      <c r="AR2" s="138" t="s">
        <v>47</v>
      </c>
      <c r="AS2" s="138"/>
      <c r="AT2" s="138"/>
      <c r="AU2" s="138"/>
      <c r="AV2" s="89" t="s">
        <v>14</v>
      </c>
      <c r="AW2" s="97"/>
    </row>
    <row r="3" spans="23:49" x14ac:dyDescent="0.15">
      <c r="X3" s="137" t="s">
        <v>29</v>
      </c>
      <c r="Y3" s="137"/>
      <c r="Z3" s="137"/>
      <c r="AA3" s="137"/>
      <c r="AB3" s="64" t="s">
        <v>41</v>
      </c>
      <c r="AC3" s="137" t="s">
        <v>30</v>
      </c>
      <c r="AD3" s="137"/>
      <c r="AE3" s="137"/>
      <c r="AF3" s="137"/>
      <c r="AG3" s="89" t="s">
        <v>12</v>
      </c>
      <c r="AH3" s="138" t="s">
        <v>28</v>
      </c>
      <c r="AI3" s="138"/>
      <c r="AJ3" s="138"/>
      <c r="AK3" s="138"/>
      <c r="AL3" s="89" t="s">
        <v>13</v>
      </c>
      <c r="AM3" s="138" t="s">
        <v>31</v>
      </c>
      <c r="AN3" s="138"/>
      <c r="AO3" s="138"/>
      <c r="AP3" s="138"/>
      <c r="AQ3" s="89" t="s">
        <v>7</v>
      </c>
      <c r="AR3" s="118">
        <v>0</v>
      </c>
      <c r="AS3" s="118">
        <v>0</v>
      </c>
      <c r="AT3" s="118">
        <v>0</v>
      </c>
      <c r="AU3" s="118">
        <v>0</v>
      </c>
      <c r="AV3" s="66">
        <f t="array" ref="AV3">Push($N$44:$Q$47)</f>
        <v>4803</v>
      </c>
      <c r="AW3" s="99" t="s">
        <v>5</v>
      </c>
    </row>
    <row r="4" spans="23:49" x14ac:dyDescent="0.15">
      <c r="W4" s="12">
        <f>W3+1</f>
        <v>1</v>
      </c>
      <c r="X4" s="62">
        <f t="array" aca="1" ref="X4:AA4" ca="1">simulate!AE4:AH4</f>
        <v>0.48954827537457235</v>
      </c>
      <c r="Y4" s="62">
        <f ca="1"/>
        <v>-6.4159936387303995E-2</v>
      </c>
      <c r="Z4" s="62">
        <f ca="1"/>
        <v>0.37088000929131465</v>
      </c>
      <c r="AA4" s="62">
        <f ca="1"/>
        <v>-0.4271575339800176</v>
      </c>
      <c r="AB4" s="98">
        <f>($W4&lt;=$D$51) * 1</f>
        <v>1</v>
      </c>
      <c r="AC4" s="62">
        <f t="array" aca="1" ref="AC4:AF4" ca="1">TRANSPOSE($G$44:$G$47 + MMULT($I$44:$L$47,TRANSPOSE(AR3:AU3)))</f>
        <v>0.27400645918704497</v>
      </c>
      <c r="AD4" s="62">
        <f ca="1"/>
        <v>5.1860005538947852E-2</v>
      </c>
      <c r="AE4" s="62">
        <f ca="1"/>
        <v>0.10222605853315613</v>
      </c>
      <c r="AF4" s="62">
        <f ca="1"/>
        <v>0.1967294153152041</v>
      </c>
      <c r="AG4" s="66">
        <f t="array" ref="AG4">IF($AB4, Push(MMULT($I$44:$L$47,MMULT(Fetch(AV3),TRANSPOSE($I$44:$L$47))) + $N$44:$Q$47), "")</f>
        <v>3304</v>
      </c>
      <c r="AH4" s="62">
        <f t="array" aca="1" ref="AH4:AK4" ca="1">TRANSPOSE($G$38:$G$41 + MMULT($I$38:$L$41,TRANSPOSE(AC4:AF4)))</f>
        <v>0.46559522025106248</v>
      </c>
      <c r="AI4" s="62">
        <f ca="1"/>
        <v>0.19728375557845229</v>
      </c>
      <c r="AJ4" s="62">
        <f ca="1"/>
        <v>0.3722520508184623</v>
      </c>
      <c r="AK4" s="62">
        <f ca="1"/>
        <v>0.17193592016467243</v>
      </c>
      <c r="AL4" s="66">
        <f t="array" ref="AL4">IF($AB4, Push(MINVERSE(MMULT($I$38:$L$41,MMULT(Fetch(AG4),TRANSPOSE($I$38:$L$41))) + $N$38:$Q$41)), "")</f>
        <v>3804</v>
      </c>
      <c r="AM4" s="62">
        <f t="array" aca="1" ref="AM4:AP4" ca="1">X4:AA4 - AH4:AK4</f>
        <v>2.395305512350987E-2</v>
      </c>
      <c r="AN4" s="62">
        <f ca="1"/>
        <v>-0.26144369196575629</v>
      </c>
      <c r="AO4" s="62">
        <f ca="1"/>
        <v>-1.3720415271476494E-3</v>
      </c>
      <c r="AP4" s="62">
        <f ca="1"/>
        <v>-0.59909345414469006</v>
      </c>
      <c r="AQ4" s="66">
        <f t="array" ref="AQ4">IF($AB4, Push(MMULT(Fetch(AG4),MMULT(TRANSPOSE($I$38:$L$41),Fetch(AL4)))), "")</f>
        <v>4304</v>
      </c>
      <c r="AR4" s="62">
        <f t="array" aca="1" ref="AR4:AU4" ca="1">AC4:AF4 + TRANSPOSE(MMULT(IF($AB4,Fetch(AQ4),$L$61:$O$64),TRANSPOSE(AM4:AP4)))</f>
        <v>0.37110092410658557</v>
      </c>
      <c r="AS4" s="62">
        <f ca="1"/>
        <v>-0.24847809651896721</v>
      </c>
      <c r="AT4" s="62">
        <f ca="1"/>
        <v>-0.26190997270713695</v>
      </c>
      <c r="AU4" s="62">
        <f ca="1"/>
        <v>-4.1822008601135691E-2</v>
      </c>
      <c r="AV4" s="66">
        <f t="array" ref="AV4">IF($AB4, Push(Fetch(AG4) - MMULT(Fetch(AQ4),MMULT($I$38:$L$41,Fetch(AG4)))), "")</f>
        <v>4804</v>
      </c>
      <c r="AW4" s="97">
        <f t="array" aca="1" ref="AW4" ca="1">IF($AB4,LN(MDETERM(Fetch(AL4))),$J$65)   -   MMULT(AM4:AP4,MMULT(IF($AB4,Fetch(AL4),$G$61:$J$64),TRANSPOSE(AM4:AP4)))</f>
        <v>2.5792285341561882</v>
      </c>
    </row>
    <row r="5" spans="23:49" x14ac:dyDescent="0.15">
      <c r="W5" s="12">
        <f t="shared" ref="W5:W68" si="0">W4+1</f>
        <v>2</v>
      </c>
      <c r="X5" s="62">
        <f t="array" aca="1" ref="X5:AA5" ca="1">simulate!AE5:AH5</f>
        <v>0.6940012477899864</v>
      </c>
      <c r="Y5" s="62">
        <f ca="1"/>
        <v>0.67785289571464402</v>
      </c>
      <c r="Z5" s="62">
        <f ca="1"/>
        <v>0.42883773118951646</v>
      </c>
      <c r="AA5" s="62">
        <f ca="1"/>
        <v>2.308133177842947E-2</v>
      </c>
      <c r="AB5" s="98">
        <f t="shared" ref="AB5:AB68" si="1">($W5&lt;=$D$51) * 1</f>
        <v>1</v>
      </c>
      <c r="AC5" s="62">
        <f t="array" aca="1" ref="AC5:AF5" ca="1">TRANSPOSE($G$44:$G$47 + MMULT($I$44:$L$47,TRANSPOSE(AR4:AU4)))</f>
        <v>0.41700262830283863</v>
      </c>
      <c r="AD5" s="62">
        <f ca="1"/>
        <v>-6.3822330799991583E-2</v>
      </c>
      <c r="AE5" s="62">
        <f ca="1"/>
        <v>-5.9340699442227182E-2</v>
      </c>
      <c r="AF5" s="62">
        <f ca="1"/>
        <v>0.13176468952447168</v>
      </c>
      <c r="AG5" s="66">
        <f t="array" ref="AG5">IF($AB5, Push(MMULT($I$44:$L$47,MMULT(Fetch(AV4),TRANSPOSE($I$44:$L$47))) + $N$44:$Q$47), "")</f>
        <v>3305</v>
      </c>
      <c r="AH5" s="62">
        <f t="array" aca="1" ref="AH5:AK5" ca="1">TRANSPOSE($G$38:$G$41 + MMULT($I$38:$L$41,TRANSPOSE(AC5:AF5)))</f>
        <v>0.4897560397545338</v>
      </c>
      <c r="AI5" s="62">
        <f ca="1"/>
        <v>0.17791260429640338</v>
      </c>
      <c r="AJ5" s="62">
        <f ca="1"/>
        <v>0.43224504317789086</v>
      </c>
      <c r="AK5" s="62">
        <f ca="1"/>
        <v>-7.2187807418409938E-2</v>
      </c>
      <c r="AL5" s="66">
        <f t="array" ref="AL5">IF($AB5, Push(MINVERSE(MMULT($I$38:$L$41,MMULT(Fetch(AG5),TRANSPOSE($I$38:$L$41))) + $N$38:$Q$41)), "")</f>
        <v>3805</v>
      </c>
      <c r="AM5" s="62">
        <f t="array" aca="1" ref="AM5:AP5" ca="1">X5:AA5 - AH5:AK5</f>
        <v>0.2042452080354526</v>
      </c>
      <c r="AN5" s="62">
        <f ca="1"/>
        <v>0.49994029141824065</v>
      </c>
      <c r="AO5" s="62">
        <f ca="1"/>
        <v>-3.4073119883744063E-3</v>
      </c>
      <c r="AP5" s="62">
        <f ca="1"/>
        <v>9.5269139196839409E-2</v>
      </c>
      <c r="AQ5" s="66">
        <f t="array" ref="AQ5">IF($AB5, Push(MMULT(Fetch(AG5),MMULT(TRANSPOSE($I$38:$L$41),Fetch(AL5)))), "")</f>
        <v>4305</v>
      </c>
      <c r="AR5" s="62">
        <f t="array" aca="1" ref="AR5:AU5" ca="1">AC5:AF5 + TRANSPOSE(MMULT(IF($AB5,Fetch(AQ5),$L$61:$O$64),TRANSPOSE(AM5:AP5)))</f>
        <v>0.56768056525589217</v>
      </c>
      <c r="AS5" s="62">
        <f ca="1"/>
        <v>0.2073543867630355</v>
      </c>
      <c r="AT5" s="62">
        <f ca="1"/>
        <v>1.4113092746881037E-2</v>
      </c>
      <c r="AU5" s="62">
        <f ca="1"/>
        <v>0.16855390290314229</v>
      </c>
      <c r="AV5" s="66">
        <f t="array" ref="AV5">IF($AB5, Push(Fetch(AG5) - MMULT(Fetch(AQ5),MMULT($I$38:$L$41,Fetch(AG5)))), "")</f>
        <v>4805</v>
      </c>
      <c r="AW5" s="97">
        <f t="array" aca="1" ref="AW5" ca="1">IF($AB5,LN(MDETERM(Fetch(AL5))),$J$65)   -   MMULT(AM5:AP5,MMULT(IF($AB5,Fetch(AL5),$G$61:$J$64),TRANSPOSE(AM5:AP5)))</f>
        <v>5.8176143743309572</v>
      </c>
    </row>
    <row r="6" spans="23:49" x14ac:dyDescent="0.15">
      <c r="W6" s="12">
        <f t="shared" si="0"/>
        <v>3</v>
      </c>
      <c r="X6" s="62">
        <f t="array" aca="1" ref="X6:AA6" ca="1">simulate!AE6:AH6</f>
        <v>0.58867048606185879</v>
      </c>
      <c r="Y6" s="62">
        <f ca="1"/>
        <v>0.71550921556575631</v>
      </c>
      <c r="Z6" s="62">
        <f ca="1"/>
        <v>-0.97061655748171638</v>
      </c>
      <c r="AA6" s="62">
        <f ca="1"/>
        <v>0.17097523706108803</v>
      </c>
      <c r="AB6" s="98">
        <f t="shared" si="1"/>
        <v>1</v>
      </c>
      <c r="AC6" s="62">
        <f t="array" aca="1" ref="AC6:AF6" ca="1">TRANSPOSE($G$44:$G$47 + MMULT($I$44:$L$47,TRANSPOSE(AR5:AU5)))</f>
        <v>0.62038760803769533</v>
      </c>
      <c r="AD6" s="62">
        <f ca="1"/>
        <v>0.27010220624948433</v>
      </c>
      <c r="AE6" s="62">
        <f ca="1"/>
        <v>0.20886825002706932</v>
      </c>
      <c r="AF6" s="62">
        <f ca="1"/>
        <v>0.33209300049889195</v>
      </c>
      <c r="AG6" s="66">
        <f t="array" ref="AG6">IF($AB6, Push(MMULT($I$44:$L$47,MMULT(Fetch(AV5),TRANSPOSE($I$44:$L$47))) + $N$44:$Q$47), "")</f>
        <v>3306</v>
      </c>
      <c r="AH6" s="62">
        <f t="array" aca="1" ref="AH6:AK6" ca="1">TRANSPOSE($G$38:$G$41 + MMULT($I$38:$L$41,TRANSPOSE(AC6:AF6)))</f>
        <v>0.73113450380594869</v>
      </c>
      <c r="AI6" s="62">
        <f ca="1"/>
        <v>0.5149432694399495</v>
      </c>
      <c r="AJ6" s="62">
        <f ca="1"/>
        <v>0.52640529841235972</v>
      </c>
      <c r="AK6" s="62">
        <f ca="1"/>
        <v>0.21801752223285475</v>
      </c>
      <c r="AL6" s="66">
        <f t="array" ref="AL6">IF($AB6, Push(MINVERSE(MMULT($I$38:$L$41,MMULT(Fetch(AG6),TRANSPOSE($I$38:$L$41))) + $N$38:$Q$41)), "")</f>
        <v>3806</v>
      </c>
      <c r="AM6" s="62">
        <f t="array" aca="1" ref="AM6:AP6" ca="1">X6:AA6 - AH6:AK6</f>
        <v>-0.1424640177440899</v>
      </c>
      <c r="AN6" s="62">
        <f ca="1"/>
        <v>0.2005659461258068</v>
      </c>
      <c r="AO6" s="62">
        <f ca="1"/>
        <v>-1.4970218558940762</v>
      </c>
      <c r="AP6" s="62">
        <f ca="1"/>
        <v>-4.7042285171766729E-2</v>
      </c>
      <c r="AQ6" s="66">
        <f t="array" ref="AQ6">IF($AB6, Push(MMULT(Fetch(AG6),MMULT(TRANSPOSE($I$38:$L$41),Fetch(AL6)))), "")</f>
        <v>4306</v>
      </c>
      <c r="AR6" s="62">
        <f t="array" ref="AR6:AU6" ca="1">AC6:AF6 + TRANSPOSE(MMULT(IF($AB6,Fetch(AQ6),$L$61:$O$64),TRANSPOSE(AM6:AP6)))</f>
        <v>0.22187542614428152</v>
      </c>
      <c r="AS6" s="62">
        <f ca="1"/>
        <v>0.71377897297784521</v>
      </c>
      <c r="AT6" s="62">
        <f ca="1"/>
        <v>-0.15175678101346751</v>
      </c>
      <c r="AU6" s="62">
        <f ca="1"/>
        <v>-0.29348564633876412</v>
      </c>
      <c r="AV6" s="66">
        <f t="array" ref="AV6">IF($AB6, Push(Fetch(AG6) - MMULT(Fetch(AQ6),MMULT($I$38:$L$41,Fetch(AG6)))), "")</f>
        <v>4806</v>
      </c>
      <c r="AW6" s="97">
        <f t="array" aca="1" ref="AW6" ca="1">IF($AB6,LN(MDETERM(Fetch(AL6))),$J$65)   -   MMULT(AM6:AP6,MMULT(IF($AB6,Fetch(AL6),$G$61:$J$64),TRANSPOSE(AM6:AP6)))</f>
        <v>-3.6947094639611979</v>
      </c>
    </row>
    <row r="7" spans="23:49" x14ac:dyDescent="0.15">
      <c r="W7" s="12">
        <f t="shared" si="0"/>
        <v>4</v>
      </c>
      <c r="X7" s="62">
        <f t="array" aca="1" ref="X7:AA7" ca="1">simulate!AE7:AH7</f>
        <v>1.0847269023724766</v>
      </c>
      <c r="Y7" s="62">
        <f ca="1"/>
        <v>0.97789654259335812</v>
      </c>
      <c r="Z7" s="62">
        <f ca="1"/>
        <v>0.28407147765156576</v>
      </c>
      <c r="AA7" s="62">
        <f ca="1"/>
        <v>0.93280871173102586</v>
      </c>
      <c r="AB7" s="98">
        <f t="shared" si="1"/>
        <v>1</v>
      </c>
      <c r="AC7" s="62">
        <f t="array" aca="1" ref="AC7:AF7" ca="1">TRANSPOSE($G$44:$G$47 + MMULT($I$44:$L$47,TRANSPOSE(AR6:AU6)))</f>
        <v>0.47456256052972978</v>
      </c>
      <c r="AD7" s="62">
        <f ca="1"/>
        <v>0.43002757484786092</v>
      </c>
      <c r="AE7" s="62">
        <f ca="1"/>
        <v>0.10851558548893483</v>
      </c>
      <c r="AF7" s="62">
        <f ca="1"/>
        <v>7.5057801052490103E-2</v>
      </c>
      <c r="AG7" s="66">
        <f t="array" ref="AG7">IF($AB7, Push(MMULT($I$44:$L$47,MMULT(Fetch(AV6),TRANSPOSE($I$44:$L$47))) + $N$44:$Q$47), "")</f>
        <v>3307</v>
      </c>
      <c r="AH7" s="62">
        <f t="array" aca="1" ref="AH7:AK7" ca="1">TRANSPOSE($G$38:$G$41 + MMULT($I$38:$L$41,TRANSPOSE(AC7:AF7)))</f>
        <v>0.62761162561888917</v>
      </c>
      <c r="AI7" s="62">
        <f ca="1"/>
        <v>0.57546424267272411</v>
      </c>
      <c r="AJ7" s="62">
        <f ca="1"/>
        <v>0.20393471927964585</v>
      </c>
      <c r="AK7" s="62">
        <f ca="1"/>
        <v>0.15010750735271999</v>
      </c>
      <c r="AL7" s="66">
        <f t="array" ref="AL7">IF($AB7, Push(MINVERSE(MMULT($I$38:$L$41,MMULT(Fetch(AG7),TRANSPOSE($I$38:$L$41))) + $N$38:$Q$41)), "")</f>
        <v>3807</v>
      </c>
      <c r="AM7" s="62">
        <f t="array" ref="AM7:AP7" ca="1">X7:AA7 - AH7:AK7</f>
        <v>0.45711527675358743</v>
      </c>
      <c r="AN7" s="62">
        <f ca="1"/>
        <v>0.40243229992063401</v>
      </c>
      <c r="AO7" s="62">
        <f ca="1"/>
        <v>8.0136758371919914E-2</v>
      </c>
      <c r="AP7" s="62">
        <f ca="1"/>
        <v>0.78270120437830593</v>
      </c>
      <c r="AQ7" s="66">
        <f t="array" ref="AQ7">IF($AB7, Push(MMULT(Fetch(AG7),MMULT(TRANSPOSE($I$38:$L$41),Fetch(AL7)))), "")</f>
        <v>4307</v>
      </c>
      <c r="AR7" s="62">
        <f t="array" aca="1" ref="AR7:AU7" ca="1">AC7:AF7 + TRANSPOSE(MMULT(IF($AB7,Fetch(AQ7),$L$61:$O$64),TRANSPOSE(AM7:AP7)))</f>
        <v>0.59023271670813771</v>
      </c>
      <c r="AS7" s="62">
        <f ca="1"/>
        <v>0.71844548015453291</v>
      </c>
      <c r="AT7" s="62">
        <f ca="1"/>
        <v>0.75278191398753358</v>
      </c>
      <c r="AU7" s="62">
        <f ca="1"/>
        <v>0.38543659287124626</v>
      </c>
      <c r="AV7" s="66">
        <f t="array" ref="AV7">IF($AB7, Push(Fetch(AG7) - MMULT(Fetch(AQ7),MMULT($I$38:$L$41,Fetch(AG7)))), "")</f>
        <v>4807</v>
      </c>
      <c r="AW7" s="97">
        <f t="array" aca="1" ref="AW7" ca="1">IF($AB7,LN(MDETERM(Fetch(AL7))),$J$65)   -   MMULT(AM7:AP7,MMULT(IF($AB7,Fetch(AL7),$G$61:$J$64),TRANSPOSE(AM7:AP7)))</f>
        <v>0.95742289716085338</v>
      </c>
    </row>
    <row r="8" spans="23:49" x14ac:dyDescent="0.15">
      <c r="W8" s="12">
        <f t="shared" si="0"/>
        <v>5</v>
      </c>
      <c r="X8" s="62">
        <f t="array" aca="1" ref="X8:AA8" ca="1">simulate!AE8:AH8</f>
        <v>1.4411112962041142</v>
      </c>
      <c r="Y8" s="62">
        <f ca="1"/>
        <v>1.3245440025180799E-2</v>
      </c>
      <c r="Z8" s="62">
        <f ca="1"/>
        <v>0.43403310660010536</v>
      </c>
      <c r="AA8" s="62">
        <f ca="1"/>
        <v>0.83974274735876953</v>
      </c>
      <c r="AB8" s="98">
        <f t="shared" si="1"/>
        <v>1</v>
      </c>
      <c r="AC8" s="62">
        <f t="array" aca="1" ref="AC8:AF8" ca="1">TRANSPOSE($G$44:$G$47 + MMULT($I$44:$L$47,TRANSPOSE(AR7:AU7)))</f>
        <v>0.7712080266154262</v>
      </c>
      <c r="AD8" s="62">
        <f ca="1"/>
        <v>0.67454616197455541</v>
      </c>
      <c r="AE8" s="62">
        <f ca="1"/>
        <v>0.72448729244135557</v>
      </c>
      <c r="AF8" s="62">
        <f ca="1"/>
        <v>0.60662098813050513</v>
      </c>
      <c r="AG8" s="66">
        <f t="array" ref="AG8">IF($AB8, Push(MMULT($I$44:$L$47,MMULT(Fetch(AV7),TRANSPOSE($I$44:$L$47))) + $N$44:$Q$47), "")</f>
        <v>3308</v>
      </c>
      <c r="AH8" s="62">
        <f t="array" aca="1" ref="AH8:AK8" ca="1">TRANSPOSE($G$38:$G$41 + MMULT($I$38:$L$41,TRANSPOSE(AC8:AF8)))</f>
        <v>1.0674123174995895</v>
      </c>
      <c r="AI8" s="62">
        <f ca="1"/>
        <v>0.84532841227021205</v>
      </c>
      <c r="AJ8" s="62">
        <f ca="1"/>
        <v>0.61241638493886774</v>
      </c>
      <c r="AK8" s="62">
        <f ca="1"/>
        <v>0.76383370675358742</v>
      </c>
      <c r="AL8" s="66">
        <f t="array" ref="AL8">IF($AB8, Push(MINVERSE(MMULT($I$38:$L$41,MMULT(Fetch(AG8),TRANSPOSE($I$38:$L$41))) + $N$38:$Q$41)), "")</f>
        <v>3808</v>
      </c>
      <c r="AM8" s="62">
        <f t="array" ref="AM8:AP8" ca="1">X8:AA8 - AH8:AK8</f>
        <v>0.37369897870452462</v>
      </c>
      <c r="AN8" s="62">
        <f ca="1"/>
        <v>-0.83208297224503125</v>
      </c>
      <c r="AO8" s="62">
        <f ca="1"/>
        <v>-0.17838327833876239</v>
      </c>
      <c r="AP8" s="62">
        <f ca="1"/>
        <v>7.590904060518211E-2</v>
      </c>
      <c r="AQ8" s="66">
        <f t="array" ref="AQ8">IF($AB8, Push(MMULT(Fetch(AG8),MMULT(TRANSPOSE($I$38:$L$41),Fetch(AL8)))), "")</f>
        <v>4308</v>
      </c>
      <c r="AR8" s="62">
        <f t="array" aca="1" ref="AR8:AU8" ca="1">AC8:AF8 + TRANSPOSE(MMULT(IF($AB8,Fetch(AQ8),$L$61:$O$64),TRANSPOSE(AM8:AP8)))</f>
        <v>0.74912734613786969</v>
      </c>
      <c r="AS8" s="62">
        <f ca="1"/>
        <v>0.18718653155128651</v>
      </c>
      <c r="AT8" s="62">
        <f ca="1"/>
        <v>0.98476412862140195</v>
      </c>
      <c r="AU8" s="62">
        <f ca="1"/>
        <v>0.55598176511961572</v>
      </c>
      <c r="AV8" s="66">
        <f t="array" ref="AV8">IF($AB8, Push(Fetch(AG8) - MMULT(Fetch(AQ8),MMULT($I$38:$L$41,Fetch(AG8)))), "")</f>
        <v>4808</v>
      </c>
      <c r="AW8" s="97">
        <f t="array" aca="1" ref="AW8" ca="1">IF($AB8,LN(MDETERM(Fetch(AL8))),$J$65)   -   MMULT(AM8:AP8,MMULT(IF($AB8,Fetch(AL8),$G$61:$J$64),TRANSPOSE(AM8:AP8)))</f>
        <v>-0.36310210794141895</v>
      </c>
    </row>
    <row r="9" spans="23:49" x14ac:dyDescent="0.15">
      <c r="W9" s="12">
        <f t="shared" si="0"/>
        <v>6</v>
      </c>
      <c r="X9" s="62">
        <f t="array" aca="1" ref="X9:AA9" ca="1">simulate!AE9:AH9</f>
        <v>0.4836495213486216</v>
      </c>
      <c r="Y9" s="62">
        <f ca="1"/>
        <v>0.28251184984151778</v>
      </c>
      <c r="Z9" s="62">
        <f ca="1"/>
        <v>1.4401872175795127</v>
      </c>
      <c r="AA9" s="62">
        <f ca="1"/>
        <v>0.57579070210688366</v>
      </c>
      <c r="AB9" s="98">
        <f t="shared" si="1"/>
        <v>1</v>
      </c>
      <c r="AC9" s="62">
        <f t="array" aca="1" ref="AC9:AF9" ca="1">TRANSPOSE($G$44:$G$47 + MMULT($I$44:$L$47,TRANSPOSE(AR8:AU8)))</f>
        <v>0.80311033662931686</v>
      </c>
      <c r="AD9" s="62">
        <f ca="1"/>
        <v>0.45989606205410427</v>
      </c>
      <c r="AE9" s="62">
        <f ca="1"/>
        <v>0.80006988164504478</v>
      </c>
      <c r="AF9" s="62">
        <f ca="1"/>
        <v>0.70621151464786247</v>
      </c>
      <c r="AG9" s="66">
        <f t="array" ref="AG9">IF($AB9, Push(MMULT($I$44:$L$47,MMULT(Fetch(AV8),TRANSPOSE($I$44:$L$47))) + $N$44:$Q$47), "")</f>
        <v>3309</v>
      </c>
      <c r="AH9" s="62">
        <f t="array" aca="1" ref="AH9:AK9" ca="1">TRANSPOSE($G$38:$G$41 + MMULT($I$38:$L$41,TRANSPOSE(AC9:AF9)))</f>
        <v>1.1213689750692137</v>
      </c>
      <c r="AI9" s="62">
        <f ca="1"/>
        <v>0.67036243939664864</v>
      </c>
      <c r="AJ9" s="62">
        <f ca="1"/>
        <v>0.78243307889001579</v>
      </c>
      <c r="AK9" s="62">
        <f ca="1"/>
        <v>0.78096072520583282</v>
      </c>
      <c r="AL9" s="66">
        <f t="array" ref="AL9">IF($AB9, Push(MINVERSE(MMULT($I$38:$L$41,MMULT(Fetch(AG9),TRANSPOSE($I$38:$L$41))) + $N$38:$Q$41)), "")</f>
        <v>3809</v>
      </c>
      <c r="AM9" s="62">
        <f t="array" aca="1" ref="AM9:AP9" ca="1">X9:AA9 - AH9:AK9</f>
        <v>-0.63771945372059213</v>
      </c>
      <c r="AN9" s="62">
        <f ca="1"/>
        <v>-0.38785058955513085</v>
      </c>
      <c r="AO9" s="62">
        <f ca="1"/>
        <v>0.65775413868949695</v>
      </c>
      <c r="AP9" s="62">
        <f ca="1"/>
        <v>-0.20517002309894916</v>
      </c>
      <c r="AQ9" s="66">
        <f t="array" ref="AQ9">IF($AB9, Push(MMULT(Fetch(AG9),MMULT(TRANSPOSE($I$38:$L$41),Fetch(AL9)))), "")</f>
        <v>4309</v>
      </c>
      <c r="AR9" s="62">
        <f t="array" aca="1" ref="AR9:AU9" ca="1">AC9:AF9 + TRANSPOSE(MMULT(IF($AB9,Fetch(AQ9),$L$61:$O$64),TRANSPOSE(AM9:AP9)))</f>
        <v>0.6630378031878692</v>
      </c>
      <c r="AS9" s="62">
        <f ca="1"/>
        <v>0.17124438895480687</v>
      </c>
      <c r="AT9" s="62">
        <f ca="1"/>
        <v>0.59341716063191963</v>
      </c>
      <c r="AU9" s="62">
        <f ca="1"/>
        <v>0.89753205556543991</v>
      </c>
      <c r="AV9" s="66">
        <f t="array" ref="AV9">IF($AB9, Push(Fetch(AG9) - MMULT(Fetch(AQ9),MMULT($I$38:$L$41,Fetch(AG9)))), "")</f>
        <v>4809</v>
      </c>
      <c r="AW9" s="97">
        <f t="array" aca="1" ref="AW9" ca="1">IF($AB9,LN(MDETERM(Fetch(AL9))),$J$65)   -   MMULT(AM9:AP9,MMULT(IF($AB9,Fetch(AL9),$G$61:$J$64),TRANSPOSE(AM9:AP9)))</f>
        <v>3.005759329645187</v>
      </c>
    </row>
    <row r="10" spans="23:49" x14ac:dyDescent="0.15">
      <c r="W10" s="12">
        <f t="shared" si="0"/>
        <v>7</v>
      </c>
      <c r="X10" s="62">
        <f t="array" aca="1" ref="X10:AA10" ca="1">simulate!AE10:AH10</f>
        <v>0.41762429516050931</v>
      </c>
      <c r="Y10" s="62">
        <f ca="1"/>
        <v>0.94225668889066783</v>
      </c>
      <c r="Z10" s="62">
        <f ca="1"/>
        <v>1.3611401650435917</v>
      </c>
      <c r="AA10" s="62">
        <f ca="1"/>
        <v>0.57699686861824251</v>
      </c>
      <c r="AB10" s="98">
        <f t="shared" si="1"/>
        <v>1</v>
      </c>
      <c r="AC10" s="62">
        <f t="array" aca="1" ref="AC10:AF10" ca="1">TRANSPOSE($G$44:$G$47 + MMULT($I$44:$L$47,TRANSPOSE(AR9:AU9)))</f>
        <v>0.74281215466422945</v>
      </c>
      <c r="AD10" s="62">
        <f ca="1"/>
        <v>0.40370552350106725</v>
      </c>
      <c r="AE10" s="62">
        <f ca="1"/>
        <v>0.63054318320461433</v>
      </c>
      <c r="AF10" s="62">
        <f ca="1"/>
        <v>0.82186332494209346</v>
      </c>
      <c r="AG10" s="66">
        <f t="array" ref="AG10">IF($AB10, Push(MMULT($I$44:$L$47,MMULT(Fetch(AV9),TRANSPOSE($I$44:$L$47))) + $N$44:$Q$47), "")</f>
        <v>3310</v>
      </c>
      <c r="AH10" s="62">
        <f t="array" aca="1" ref="AH10:AK10" ca="1">TRANSPOSE($G$38:$G$41 + MMULT($I$38:$L$41,TRANSPOSE(AC10:AF10)))</f>
        <v>0.94050023126482052</v>
      </c>
      <c r="AI10" s="62">
        <f ca="1"/>
        <v>0.66514827969736423</v>
      </c>
      <c r="AJ10" s="62">
        <f ca="1"/>
        <v>0.89283061214271586</v>
      </c>
      <c r="AK10" s="62">
        <f ca="1"/>
        <v>0.71787677491266999</v>
      </c>
      <c r="AL10" s="66">
        <f t="array" ref="AL10">IF($AB10, Push(MINVERSE(MMULT($I$38:$L$41,MMULT(Fetch(AG10),TRANSPOSE($I$38:$L$41))) + $N$38:$Q$41)), "")</f>
        <v>3810</v>
      </c>
      <c r="AM10" s="62">
        <f t="array" ref="AM10:AP10" ca="1">X10:AA10 - AH10:AK10</f>
        <v>-0.52287593610431116</v>
      </c>
      <c r="AN10" s="62">
        <f ca="1"/>
        <v>0.2771084091933036</v>
      </c>
      <c r="AO10" s="62">
        <f ca="1"/>
        <v>0.46830955290087584</v>
      </c>
      <c r="AP10" s="62">
        <f ca="1"/>
        <v>-0.14087990629442748</v>
      </c>
      <c r="AQ10" s="66">
        <f t="array" ref="AQ10">IF($AB10, Push(MMULT(Fetch(AG10),MMULT(TRANSPOSE($I$38:$L$41),Fetch(AL10)))), "")</f>
        <v>4310</v>
      </c>
      <c r="AR10" s="62">
        <f t="array" aca="1" ref="AR10:AU10" ca="1">AC10:AF10 + TRANSPOSE(MMULT(IF($AB10,Fetch(AQ10),$L$61:$O$64),TRANSPOSE(AM10:AP10)))</f>
        <v>0.6972979367545723</v>
      </c>
      <c r="AS10" s="62">
        <f ca="1"/>
        <v>0.5268193990786344</v>
      </c>
      <c r="AT10" s="62">
        <f ca="1"/>
        <v>0.39218113631153773</v>
      </c>
      <c r="AU10" s="62">
        <f ca="1"/>
        <v>0.96351526664699017</v>
      </c>
      <c r="AV10" s="66">
        <f t="array" ref="AV10">IF($AB10, Push(Fetch(AG10) - MMULT(Fetch(AQ10),MMULT($I$38:$L$41,Fetch(AG10)))), "")</f>
        <v>4810</v>
      </c>
      <c r="AW10" s="97">
        <f t="array" aca="1" ref="AW10" ca="1">IF($AB10,LN(MDETERM(Fetch(AL10))),$J$65)   -   MMULT(AM10:AP10,MMULT(IF($AB10,Fetch(AL10),$G$61:$J$64),TRANSPOSE(AM10:AP10)))</f>
        <v>2.3868219615702593</v>
      </c>
    </row>
    <row r="11" spans="23:49" x14ac:dyDescent="0.15">
      <c r="W11" s="12">
        <f t="shared" si="0"/>
        <v>8</v>
      </c>
      <c r="X11" s="62">
        <f t="array" aca="1" ref="X11:AA11" ca="1">simulate!AE11:AH11</f>
        <v>0.92493734528739391</v>
      </c>
      <c r="Y11" s="62">
        <f ca="1"/>
        <v>0.51192039210550666</v>
      </c>
      <c r="Z11" s="62">
        <f ca="1"/>
        <v>1.6251744388933944</v>
      </c>
      <c r="AA11" s="62">
        <f ca="1"/>
        <v>1.0391719357082068</v>
      </c>
      <c r="AB11" s="98">
        <f t="shared" si="1"/>
        <v>1</v>
      </c>
      <c r="AC11" s="62">
        <f t="array" aca="1" ref="AC11:AF11" ca="1">TRANSPOSE($G$44:$G$47 + MMULT($I$44:$L$47,TRANSPOSE(AR10:AU10)))</f>
        <v>0.80278331657060287</v>
      </c>
      <c r="AD11" s="62">
        <f ca="1"/>
        <v>0.57622083171396876</v>
      </c>
      <c r="AE11" s="62">
        <f ca="1"/>
        <v>0.59179543220895803</v>
      </c>
      <c r="AF11" s="62">
        <f ca="1"/>
        <v>0.85178409327132654</v>
      </c>
      <c r="AG11" s="66">
        <f t="array" ref="AG11">IF($AB11, Push(MMULT($I$44:$L$47,MMULT(Fetch(AV10),TRANSPOSE($I$44:$L$47))) + $N$44:$Q$47), "")</f>
        <v>3311</v>
      </c>
      <c r="AH11" s="62">
        <f t="array" aca="1" ref="AH11:AK11" ca="1">TRANSPOSE($G$38:$G$41 + MMULT($I$38:$L$41,TRANSPOSE(AC11:AF11)))</f>
        <v>0.94109439198077904</v>
      </c>
      <c r="AI11" s="62">
        <f ca="1"/>
        <v>0.85343341247234406</v>
      </c>
      <c r="AJ11" s="62">
        <f ca="1"/>
        <v>0.87908191985033146</v>
      </c>
      <c r="AK11" s="62">
        <f ca="1"/>
        <v>0.72855580211681659</v>
      </c>
      <c r="AL11" s="66">
        <f t="array" ref="AL11">IF($AB11, Push(MINVERSE(MMULT($I$38:$L$41,MMULT(Fetch(AG11),TRANSPOSE($I$38:$L$41))) + $N$38:$Q$41)), "")</f>
        <v>3811</v>
      </c>
      <c r="AM11" s="62">
        <f t="array" ref="AM11:AP11" ca="1">X11:AA11 - AH11:AK11</f>
        <v>-1.6157046693385135E-2</v>
      </c>
      <c r="AN11" s="62">
        <f ca="1"/>
        <v>-0.34151302036683739</v>
      </c>
      <c r="AO11" s="62">
        <f ca="1"/>
        <v>0.74609251904306295</v>
      </c>
      <c r="AP11" s="62">
        <f ca="1"/>
        <v>0.31061613359139018</v>
      </c>
      <c r="AQ11" s="66">
        <f t="array" ref="AQ11">IF($AB11, Push(MMULT(Fetch(AG11),MMULT(TRANSPOSE($I$38:$L$41),Fetch(AL11)))), "")</f>
        <v>4311</v>
      </c>
      <c r="AR11" s="62">
        <f t="array" aca="1" ref="AR11:AU11" ca="1">AC11:AF11 + TRANSPOSE(MMULT(IF($AB11,Fetch(AQ11),$L$61:$O$64),TRANSPOSE(AM11:AP11)))</f>
        <v>0.8593501868081771</v>
      </c>
      <c r="AS11" s="62">
        <f ca="1"/>
        <v>0.28944424987443768</v>
      </c>
      <c r="AT11" s="62">
        <f ca="1"/>
        <v>0.95949669414886252</v>
      </c>
      <c r="AU11" s="62">
        <f ca="1"/>
        <v>1.2617450199229603</v>
      </c>
      <c r="AV11" s="66">
        <f t="array" ref="AV11">IF($AB11, Push(Fetch(AG11) - MMULT(Fetch(AQ11),MMULT($I$38:$L$41,Fetch(AG11)))), "")</f>
        <v>4811</v>
      </c>
      <c r="AW11" s="97">
        <f t="array" aca="1" ref="AW11" ca="1">IF($AB11,LN(MDETERM(Fetch(AL11))),$J$65)   -   MMULT(AM11:AP11,MMULT(IF($AB11,Fetch(AL11),$G$61:$J$64),TRANSPOSE(AM11:AP11)))</f>
        <v>3.8866679928206254</v>
      </c>
    </row>
    <row r="12" spans="23:49" x14ac:dyDescent="0.15">
      <c r="W12" s="12">
        <f t="shared" si="0"/>
        <v>9</v>
      </c>
      <c r="X12" s="62">
        <f t="array" aca="1" ref="X12:AA12" ca="1">simulate!AE12:AH12</f>
        <v>0.4627779311311373</v>
      </c>
      <c r="Y12" s="62">
        <f ca="1"/>
        <v>-7.7355790782505929E-2</v>
      </c>
      <c r="Z12" s="62">
        <f ca="1"/>
        <v>1.3919182994479813</v>
      </c>
      <c r="AA12" s="62">
        <f ca="1"/>
        <v>1.224494458051794</v>
      </c>
      <c r="AB12" s="98">
        <f t="shared" si="1"/>
        <v>1</v>
      </c>
      <c r="AC12" s="62">
        <f t="array" aca="1" ref="AC12:AF12" ca="1">TRANSPOSE($G$44:$G$47 + MMULT($I$44:$L$47,TRANSPOSE(AR11:AU11)))</f>
        <v>0.90988941358013431</v>
      </c>
      <c r="AD12" s="62">
        <f ca="1"/>
        <v>0.5795180662162861</v>
      </c>
      <c r="AE12" s="62">
        <f ca="1"/>
        <v>0.91531894010691228</v>
      </c>
      <c r="AF12" s="62">
        <f ca="1"/>
        <v>1.0958499163453466</v>
      </c>
      <c r="AG12" s="66">
        <f t="array" ref="AG12">IF($AB12, Push(MMULT($I$44:$L$47,MMULT(Fetch(AV11),TRANSPOSE($I$44:$L$47))) + $N$44:$Q$47), "")</f>
        <v>3312</v>
      </c>
      <c r="AH12" s="62">
        <f t="array" aca="1" ref="AH12:AK12" ca="1">TRANSPOSE($G$38:$G$41 + MMULT($I$38:$L$41,TRANSPOSE(AC12:AF12)))</f>
        <v>1.1538802364534675</v>
      </c>
      <c r="AI12" s="62">
        <f ca="1"/>
        <v>0.86122464442363367</v>
      </c>
      <c r="AJ12" s="62">
        <f ca="1"/>
        <v>1.0929922641990344</v>
      </c>
      <c r="AK12" s="62">
        <f ca="1"/>
        <v>1.0194544435793034</v>
      </c>
      <c r="AL12" s="66">
        <f t="array" ref="AL12">IF($AB12, Push(MINVERSE(MMULT($I$38:$L$41,MMULT(Fetch(AG12),TRANSPOSE($I$38:$L$41))) + $N$38:$Q$41)), "")</f>
        <v>3812</v>
      </c>
      <c r="AM12" s="62">
        <f t="array" ref="AM12:AP12" ca="1">X12:AA12 - AH12:AK12</f>
        <v>-0.69110230532233019</v>
      </c>
      <c r="AN12" s="62">
        <f ca="1"/>
        <v>-0.93858043520613954</v>
      </c>
      <c r="AO12" s="62">
        <f ca="1"/>
        <v>0.2989260352489469</v>
      </c>
      <c r="AP12" s="62">
        <f ca="1"/>
        <v>0.20504001447249065</v>
      </c>
      <c r="AQ12" s="66">
        <f t="array" ref="AQ12">IF($AB12, Push(MMULT(Fetch(AG12),MMULT(TRANSPOSE($I$38:$L$41),Fetch(AL12)))), "")</f>
        <v>4312</v>
      </c>
      <c r="AR12" s="62">
        <f t="array" aca="1" ref="AR12:AU12" ca="1">AC12:AF12 + TRANSPOSE(MMULT(IF($AB12,Fetch(AQ12),$L$61:$O$64),TRANSPOSE(AM12:AP12)))</f>
        <v>0.47714691170641171</v>
      </c>
      <c r="AS12" s="62">
        <f ca="1"/>
        <v>0.14269130296415278</v>
      </c>
      <c r="AT12" s="62">
        <f ca="1"/>
        <v>0.96827746884871146</v>
      </c>
      <c r="AU12" s="62">
        <f ca="1"/>
        <v>1.2801294889204877</v>
      </c>
      <c r="AV12" s="66">
        <f t="array" ref="AV12">IF($AB12, Push(Fetch(AG12) - MMULT(Fetch(AQ12),MMULT($I$38:$L$41,Fetch(AG12)))), "")</f>
        <v>4812</v>
      </c>
      <c r="AW12" s="97">
        <f t="array" aca="1" ref="AW12" ca="1">IF($AB12,LN(MDETERM(Fetch(AL12))),$J$65)   -   MMULT(AM12:AP12,MMULT(IF($AB12,Fetch(AL12),$G$61:$J$64),TRANSPOSE(AM12:AP12)))</f>
        <v>0.62511786203176545</v>
      </c>
    </row>
    <row r="13" spans="23:49" x14ac:dyDescent="0.15">
      <c r="W13" s="12">
        <f t="shared" si="0"/>
        <v>10</v>
      </c>
      <c r="X13" s="62">
        <f t="array" aca="1" ref="X13:AA13" ca="1">simulate!AE13:AH13</f>
        <v>0.36039950224669365</v>
      </c>
      <c r="Y13" s="62">
        <f ca="1"/>
        <v>0.69642360723617291</v>
      </c>
      <c r="Z13" s="62">
        <f ca="1"/>
        <v>1.7866675734545525</v>
      </c>
      <c r="AA13" s="62">
        <f ca="1"/>
        <v>0.26642954947360098</v>
      </c>
      <c r="AB13" s="98">
        <f t="shared" si="1"/>
        <v>1</v>
      </c>
      <c r="AC13" s="62">
        <f t="array" aca="1" ref="AC13:AF13" ca="1">TRANSPOSE($G$44:$G$47 + MMULT($I$44:$L$47,TRANSPOSE(AR12:AU12)))</f>
        <v>0.68326145379625869</v>
      </c>
      <c r="AD13" s="62">
        <f ca="1"/>
        <v>0.44081425426054899</v>
      </c>
      <c r="AE13" s="62">
        <f ca="1"/>
        <v>0.87174856783455079</v>
      </c>
      <c r="AF13" s="62">
        <f ca="1"/>
        <v>1.0783911230404399</v>
      </c>
      <c r="AG13" s="66">
        <f t="array" ref="AG13">IF($AB13, Push(MMULT($I$44:$L$47,MMULT(Fetch(AV12),TRANSPOSE($I$44:$L$47))) + $N$44:$Q$47), "")</f>
        <v>3313</v>
      </c>
      <c r="AH13" s="62">
        <f t="array" aca="1" ref="AH13:AK13" ca="1">TRANSPOSE($G$38:$G$41 + MMULT($I$38:$L$41,TRANSPOSE(AC13:AF13)))</f>
        <v>0.976367723738232</v>
      </c>
      <c r="AI13" s="62">
        <f ca="1"/>
        <v>0.66422819952801926</v>
      </c>
      <c r="AJ13" s="62">
        <f ca="1"/>
        <v>1.0475339545274682</v>
      </c>
      <c r="AK13" s="62">
        <f ca="1"/>
        <v>1.0398852296700654</v>
      </c>
      <c r="AL13" s="66">
        <f t="array" ref="AL13">IF($AB13, Push(MINVERSE(MMULT($I$38:$L$41,MMULT(Fetch(AG13),TRANSPOSE($I$38:$L$41))) + $N$38:$Q$41)), "")</f>
        <v>3813</v>
      </c>
      <c r="AM13" s="62">
        <f t="array" ref="AM13:AP13" ca="1">X13:AA13 - AH13:AK13</f>
        <v>-0.61596822149153829</v>
      </c>
      <c r="AN13" s="62">
        <f ca="1"/>
        <v>3.2195407708153656E-2</v>
      </c>
      <c r="AO13" s="62">
        <f ca="1"/>
        <v>0.73913361892708429</v>
      </c>
      <c r="AP13" s="62">
        <f ca="1"/>
        <v>-0.77345568019646438</v>
      </c>
      <c r="AQ13" s="66">
        <f t="array" ref="AQ13">IF($AB13, Push(MMULT(Fetch(AG13),MMULT(TRANSPOSE($I$38:$L$41),Fetch(AL13)))), "")</f>
        <v>4313</v>
      </c>
      <c r="AR13" s="62">
        <f t="array" aca="1" ref="AR13:AU13" ca="1">AC13:AF13 + TRANSPOSE(MMULT(IF($AB13,Fetch(AQ13),$L$61:$O$64),TRANSPOSE(AM13:AP13)))</f>
        <v>0.76685203530503154</v>
      </c>
      <c r="AS13" s="62">
        <f ca="1"/>
        <v>0.25810754298550254</v>
      </c>
      <c r="AT13" s="62">
        <f ca="1"/>
        <v>0.25950458508158658</v>
      </c>
      <c r="AU13" s="62">
        <f ca="1"/>
        <v>1.1075004572131613</v>
      </c>
      <c r="AV13" s="66">
        <f t="array" ref="AV13">IF($AB13, Push(Fetch(AG13) - MMULT(Fetch(AQ13),MMULT($I$38:$L$41,Fetch(AG13)))), "")</f>
        <v>4813</v>
      </c>
      <c r="AW13" s="97">
        <f t="array" aca="1" ref="AW13" ca="1">IF($AB13,LN(MDETERM(Fetch(AL13))),$J$65)   -   MMULT(AM13:AP13,MMULT(IF($AB13,Fetch(AL13),$G$61:$J$64),TRANSPOSE(AM13:AP13)))</f>
        <v>-1.1178621202194119</v>
      </c>
    </row>
    <row r="14" spans="23:49" x14ac:dyDescent="0.15">
      <c r="W14" s="12">
        <f t="shared" si="0"/>
        <v>11</v>
      </c>
      <c r="X14" s="62">
        <f t="array" aca="1" ref="X14:AA14" ca="1">simulate!AE14:AH14</f>
        <v>1.7861323596874155</v>
      </c>
      <c r="Y14" s="62">
        <f ca="1"/>
        <v>1.2569168344023427</v>
      </c>
      <c r="Z14" s="62">
        <f ca="1"/>
        <v>0.81411968501975074</v>
      </c>
      <c r="AA14" s="62">
        <f ca="1"/>
        <v>1.251943968442639</v>
      </c>
      <c r="AB14" s="98">
        <f t="shared" si="1"/>
        <v>1</v>
      </c>
      <c r="AC14" s="62">
        <f t="array" aca="1" ref="AC14:AF14" ca="1">TRANSPOSE($G$44:$G$47 + MMULT($I$44:$L$47,TRANSPOSE(AR13:AU13)))</f>
        <v>0.79805562821217757</v>
      </c>
      <c r="AD14" s="62">
        <f ca="1"/>
        <v>0.43300355267531199</v>
      </c>
      <c r="AE14" s="62">
        <f ca="1"/>
        <v>0.50277186477209623</v>
      </c>
      <c r="AF14" s="62">
        <f ca="1"/>
        <v>0.89222010929391882</v>
      </c>
      <c r="AG14" s="66">
        <f t="array" ref="AG14">IF($AB14, Push(MMULT($I$44:$L$47,MMULT(Fetch(AV13),TRANSPOSE($I$44:$L$47))) + $N$44:$Q$47), "")</f>
        <v>3314</v>
      </c>
      <c r="AH14" s="62">
        <f t="array" aca="1" ref="AH14:AK14" ca="1">TRANSPOSE($G$38:$G$41 + MMULT($I$38:$L$41,TRANSPOSE(AC14:AF14)))</f>
        <v>0.87719254339286334</v>
      </c>
      <c r="AI14" s="62">
        <f ca="1"/>
        <v>0.75759494025555218</v>
      </c>
      <c r="AJ14" s="62">
        <f ca="1"/>
        <v>0.97370878222392454</v>
      </c>
      <c r="AK14" s="62">
        <f ca="1"/>
        <v>0.63983655442533394</v>
      </c>
      <c r="AL14" s="66">
        <f t="array" ref="AL14">IF($AB14, Push(MINVERSE(MMULT($I$38:$L$41,MMULT(Fetch(AG14),TRANSPOSE($I$38:$L$41))) + $N$38:$Q$41)), "")</f>
        <v>3814</v>
      </c>
      <c r="AM14" s="62">
        <f t="array" aca="1" ref="AM14:AP14" ca="1">X14:AA14 - AH14:AK14</f>
        <v>0.90893981629455212</v>
      </c>
      <c r="AN14" s="62">
        <f ca="1"/>
        <v>0.49932189414679051</v>
      </c>
      <c r="AO14" s="62">
        <f ca="1"/>
        <v>-0.1595890972041738</v>
      </c>
      <c r="AP14" s="62">
        <f ca="1"/>
        <v>0.61210741401730506</v>
      </c>
      <c r="AQ14" s="66">
        <f t="array" ref="AQ14">IF($AB14, Push(MMULT(Fetch(AG14),MMULT(TRANSPOSE($I$38:$L$41),Fetch(AL14)))), "")</f>
        <v>4314</v>
      </c>
      <c r="AR14" s="62">
        <f t="array" aca="1" ref="AR14:AU14" ca="1">AC14:AF14 + TRANSPOSE(MMULT(IF($AB14,Fetch(AQ14),$L$61:$O$64),TRANSPOSE(AM14:AP14)))</f>
        <v>1.1127140460346361</v>
      </c>
      <c r="AS14" s="62">
        <f ca="1"/>
        <v>0.71425369438777064</v>
      </c>
      <c r="AT14" s="62">
        <f ca="1"/>
        <v>1.145942622698676</v>
      </c>
      <c r="AU14" s="62">
        <f ca="1"/>
        <v>1.047692329563132</v>
      </c>
      <c r="AV14" s="66">
        <f t="array" ref="AV14">IF($AB14, Push(Fetch(AG14) - MMULT(Fetch(AQ14),MMULT($I$38:$L$41,Fetch(AG14)))), "")</f>
        <v>4814</v>
      </c>
      <c r="AW14" s="97">
        <f t="array" aca="1" ref="AW14" ca="1">IF($AB14,LN(MDETERM(Fetch(AL14))),$J$65)   -   MMULT(AM14:AP14,MMULT(IF($AB14,Fetch(AL14),$G$61:$J$64),TRANSPOSE(AM14:AP14)))</f>
        <v>1.909651281699138</v>
      </c>
    </row>
    <row r="15" spans="23:49" x14ac:dyDescent="0.15">
      <c r="W15" s="12">
        <f t="shared" si="0"/>
        <v>12</v>
      </c>
      <c r="X15" s="62">
        <f t="array" aca="1" ref="X15:AA15" ca="1">simulate!AE15:AH15</f>
        <v>1.3766430115517199</v>
      </c>
      <c r="Y15" s="62">
        <f ca="1"/>
        <v>0.77585859058273587</v>
      </c>
      <c r="Z15" s="62">
        <f ca="1"/>
        <v>1.0557552290881302</v>
      </c>
      <c r="AA15" s="62">
        <f ca="1"/>
        <v>1.349425389364286</v>
      </c>
      <c r="AB15" s="98">
        <f t="shared" si="1"/>
        <v>1</v>
      </c>
      <c r="AC15" s="62">
        <f t="array" aca="1" ref="AC15:AF15" ca="1">TRANSPOSE($G$44:$G$47 + MMULT($I$44:$L$47,TRANSPOSE(AR14:AU14)))</f>
        <v>1.1125783723700198</v>
      </c>
      <c r="AD15" s="62">
        <f ca="1"/>
        <v>0.86243830329411675</v>
      </c>
      <c r="AE15" s="62">
        <f ca="1"/>
        <v>1.0713430499790557</v>
      </c>
      <c r="AF15" s="62">
        <f ca="1"/>
        <v>1.052931810091067</v>
      </c>
      <c r="AG15" s="66">
        <f t="array" ref="AG15">IF($AB15, Push(MMULT($I$44:$L$47,MMULT(Fetch(AV14),TRANSPOSE($I$44:$L$47))) + $N$44:$Q$47), "")</f>
        <v>3315</v>
      </c>
      <c r="AH15" s="62">
        <f t="array" aca="1" ref="AH15:AK15" ca="1">TRANSPOSE($G$38:$G$41 + MMULT($I$38:$L$41,TRANSPOSE(AC15:AF15)))</f>
        <v>1.3953069159380145</v>
      </c>
      <c r="AI15" s="62">
        <f ca="1"/>
        <v>1.1344174494308406</v>
      </c>
      <c r="AJ15" s="62">
        <f ca="1"/>
        <v>1.0135268632240066</v>
      </c>
      <c r="AK15" s="62">
        <f ca="1"/>
        <v>1.1093224637121002</v>
      </c>
      <c r="AL15" s="66">
        <f t="array" ref="AL15">IF($AB15, Push(MINVERSE(MMULT($I$38:$L$41,MMULT(Fetch(AG15),TRANSPOSE($I$38:$L$41))) + $N$38:$Q$41)), "")</f>
        <v>3815</v>
      </c>
      <c r="AM15" s="62">
        <f t="array" ref="AM15:AP15" ca="1">X15:AA15 - AH15:AK15</f>
        <v>-1.8663904386294616E-2</v>
      </c>
      <c r="AN15" s="62">
        <f ca="1"/>
        <v>-0.35855885884810468</v>
      </c>
      <c r="AO15" s="62">
        <f ca="1"/>
        <v>4.2228365864123596E-2</v>
      </c>
      <c r="AP15" s="62">
        <f ca="1"/>
        <v>0.24010292565218583</v>
      </c>
      <c r="AQ15" s="66">
        <f t="array" ref="AQ15">IF($AB15, Push(MMULT(Fetch(AG15),MMULT(TRANSPOSE($I$38:$L$41),Fetch(AL15)))), "")</f>
        <v>4315</v>
      </c>
      <c r="AR15" s="62">
        <f t="array" aca="1" ref="AR15:AU15" ca="1">AC15:AF15 + TRANSPOSE(MMULT(IF($AB15,Fetch(AQ15),$L$61:$O$64),TRANSPOSE(AM15:AP15)))</f>
        <v>1.0046008455498929</v>
      </c>
      <c r="AS15" s="62">
        <f ca="1"/>
        <v>0.69996670189238341</v>
      </c>
      <c r="AT15" s="62">
        <f ca="1"/>
        <v>1.2750092386340444</v>
      </c>
      <c r="AU15" s="62">
        <f ca="1"/>
        <v>1.1513781926141176</v>
      </c>
      <c r="AV15" s="66">
        <f t="array" ref="AV15">IF($AB15, Push(Fetch(AG15) - MMULT(Fetch(AQ15),MMULT($I$38:$L$41,Fetch(AG15)))), "")</f>
        <v>4815</v>
      </c>
      <c r="AW15" s="97">
        <f t="array" aca="1" ref="AW15" ca="1">IF($AB15,LN(MDETERM(Fetch(AL15))),$J$65)   -   MMULT(AM15:AP15,MMULT(IF($AB15,Fetch(AL15),$G$61:$J$64),TRANSPOSE(AM15:AP15)))</f>
        <v>6.2775300618101353</v>
      </c>
    </row>
    <row r="16" spans="23:49" x14ac:dyDescent="0.15">
      <c r="W16" s="12">
        <f t="shared" si="0"/>
        <v>13</v>
      </c>
      <c r="X16" s="62">
        <f t="array" aca="1" ref="X16:AA16" ca="1">simulate!AE16:AH16</f>
        <v>0.42897493993145053</v>
      </c>
      <c r="Y16" s="62">
        <f ca="1"/>
        <v>0.54196377934630391</v>
      </c>
      <c r="Z16" s="62">
        <f ca="1"/>
        <v>0.77325147533120586</v>
      </c>
      <c r="AA16" s="62">
        <f ca="1"/>
        <v>1.0114882500259172</v>
      </c>
      <c r="AB16" s="98">
        <f t="shared" si="1"/>
        <v>1</v>
      </c>
      <c r="AC16" s="62">
        <f t="array" aca="1" ref="AC16:AF16" ca="1">TRANSPOSE($G$44:$G$47 + MMULT($I$44:$L$47,TRANSPOSE(AR15:AU15)))</f>
        <v>1.0662449347819614</v>
      </c>
      <c r="AD16" s="62">
        <f ca="1"/>
        <v>0.86365049907473668</v>
      </c>
      <c r="AE16" s="62">
        <f ca="1"/>
        <v>1.1463777432536295</v>
      </c>
      <c r="AF16" s="62">
        <f ca="1"/>
        <v>1.1236726943262152</v>
      </c>
      <c r="AG16" s="66">
        <f t="array" ref="AG16">IF($AB16, Push(MMULT($I$44:$L$47,MMULT(Fetch(AV15),TRANSPOSE($I$44:$L$47))) + $N$44:$Q$47), "")</f>
        <v>3316</v>
      </c>
      <c r="AH16" s="62">
        <f t="array" aca="1" ref="AH16:AK16" ca="1">TRANSPOSE($G$38:$G$41 + MMULT($I$38:$L$41,TRANSPOSE(AC16:AF16)))</f>
        <v>1.389696106384378</v>
      </c>
      <c r="AI16" s="62">
        <f ca="1"/>
        <v>1.1130601761334782</v>
      </c>
      <c r="AJ16" s="62">
        <f ca="1"/>
        <v>1.047258531503696</v>
      </c>
      <c r="AK16" s="62">
        <f ca="1"/>
        <v>1.2149505613142093</v>
      </c>
      <c r="AL16" s="66">
        <f t="array" ref="AL16">IF($AB16, Push(MINVERSE(MMULT($I$38:$L$41,MMULT(Fetch(AG16),TRANSPOSE($I$38:$L$41))) + $N$38:$Q$41)), "")</f>
        <v>3816</v>
      </c>
      <c r="AM16" s="62">
        <f t="array" aca="1" ref="AM16:AP16" ca="1">X16:AA16 - AH16:AK16</f>
        <v>-0.96072116645292749</v>
      </c>
      <c r="AN16" s="62">
        <f ca="1"/>
        <v>-0.57109639678717428</v>
      </c>
      <c r="AO16" s="62">
        <f ca="1"/>
        <v>-0.2740070561724901</v>
      </c>
      <c r="AP16" s="62">
        <f ca="1"/>
        <v>-0.20346231128829206</v>
      </c>
      <c r="AQ16" s="66">
        <f t="array" ref="AQ16">IF($AB16, Push(MMULT(Fetch(AG16),MMULT(TRANSPOSE($I$38:$L$41),Fetch(AL16)))), "")</f>
        <v>4316</v>
      </c>
      <c r="AR16" s="62">
        <f t="array" aca="1" ref="AR16:AU16" ca="1">AC16:AF16 + TRANSPOSE(MMULT(IF($AB16,Fetch(AQ16),$L$61:$O$64),TRANSPOSE(AM16:AP16)))</f>
        <v>0.51631200394493459</v>
      </c>
      <c r="AS16" s="62">
        <f ca="1"/>
        <v>0.72252322736366659</v>
      </c>
      <c r="AT16" s="62">
        <f ca="1"/>
        <v>0.68942607825126179</v>
      </c>
      <c r="AU16" s="62">
        <f ca="1"/>
        <v>0.93350847361545031</v>
      </c>
      <c r="AV16" s="66">
        <f t="array" ref="AV16">IF($AB16, Push(Fetch(AG16) - MMULT(Fetch(AQ16),MMULT($I$38:$L$41,Fetch(AG16)))), "")</f>
        <v>4816</v>
      </c>
      <c r="AW16" s="97">
        <f t="array" aca="1" ref="AW16" ca="1">IF($AB16,LN(MDETERM(Fetch(AL16))),$J$65)   -   MMULT(AM16:AP16,MMULT(IF($AB16,Fetch(AL16),$G$61:$J$64),TRANSPOSE(AM16:AP16)))</f>
        <v>1.4789579490779454</v>
      </c>
    </row>
    <row r="17" spans="1:49" x14ac:dyDescent="0.15">
      <c r="W17" s="12">
        <f t="shared" si="0"/>
        <v>14</v>
      </c>
      <c r="X17" s="62">
        <f t="array" aca="1" ref="X17:AA17" ca="1">simulate!AE17:AH17</f>
        <v>2.4051182221854068</v>
      </c>
      <c r="Y17" s="62">
        <f ca="1"/>
        <v>0.80787306835649331</v>
      </c>
      <c r="Z17" s="62">
        <f ca="1"/>
        <v>-0.89709470862726615</v>
      </c>
      <c r="AA17" s="62">
        <f ca="1"/>
        <v>1.7058089478881551</v>
      </c>
      <c r="AB17" s="98">
        <f t="shared" si="1"/>
        <v>1</v>
      </c>
      <c r="AC17" s="62">
        <f t="array" aca="1" ref="AC17:AF17" ca="1">TRANSPOSE($G$44:$G$47 + MMULT($I$44:$L$47,TRANSPOSE(AR16:AU16)))</f>
        <v>0.75371681934097068</v>
      </c>
      <c r="AD17" s="62">
        <f ca="1"/>
        <v>0.6943843572474433</v>
      </c>
      <c r="AE17" s="62">
        <f ca="1"/>
        <v>0.76678034846429999</v>
      </c>
      <c r="AF17" s="62">
        <f ca="1"/>
        <v>0.88907229960051337</v>
      </c>
      <c r="AG17" s="66">
        <f t="array" ref="AG17">IF($AB17, Push(MMULT($I$44:$L$47,MMULT(Fetch(AV16),TRANSPOSE($I$44:$L$47))) + $N$44:$Q$47), "")</f>
        <v>3317</v>
      </c>
      <c r="AH17" s="62">
        <f t="array" aca="1" ref="AH17:AK17" ca="1">TRANSPOSE($G$38:$G$41 + MMULT($I$38:$L$41,TRANSPOSE(AC17:AF17)))</f>
        <v>1.0004048904645251</v>
      </c>
      <c r="AI17" s="62">
        <f ca="1"/>
        <v>0.90084870671826844</v>
      </c>
      <c r="AJ17" s="62">
        <f ca="1"/>
        <v>0.83009556601483703</v>
      </c>
      <c r="AK17" s="62">
        <f ca="1"/>
        <v>0.92909174139979833</v>
      </c>
      <c r="AL17" s="66">
        <f t="array" ref="AL17">IF($AB17, Push(MINVERSE(MMULT($I$38:$L$41,MMULT(Fetch(AG17),TRANSPOSE($I$38:$L$41))) + $N$38:$Q$41)), "")</f>
        <v>3817</v>
      </c>
      <c r="AM17" s="62">
        <f t="array" ref="AM17:AP17" ca="1">X17:AA17 - AH17:AK17</f>
        <v>1.4047133317208818</v>
      </c>
      <c r="AN17" s="62">
        <f ca="1"/>
        <v>-9.2975638361775137E-2</v>
      </c>
      <c r="AO17" s="62">
        <f ca="1"/>
        <v>-1.7271902746421031</v>
      </c>
      <c r="AP17" s="62">
        <f ca="1"/>
        <v>0.77671720648835674</v>
      </c>
      <c r="AQ17" s="66">
        <f t="array" ref="AQ17">IF($AB17, Push(MMULT(Fetch(AG17),MMULT(TRANSPOSE($I$38:$L$41),Fetch(AL17)))), "")</f>
        <v>4317</v>
      </c>
      <c r="AR17" s="62">
        <f t="array" aca="1" ref="AR17:AU17" ca="1">AC17:AF17 + TRANSPOSE(MMULT(IF($AB17,Fetch(AQ17),$L$61:$O$64),TRANSPOSE(AM17:AP17)))</f>
        <v>0.77108559497596585</v>
      </c>
      <c r="AS17" s="62">
        <f ca="1"/>
        <v>0.91266724801300936</v>
      </c>
      <c r="AT17" s="62">
        <f ca="1"/>
        <v>1.5082224789905072</v>
      </c>
      <c r="AU17" s="62">
        <f ca="1"/>
        <v>0.46099564335069187</v>
      </c>
      <c r="AV17" s="66">
        <f t="array" ref="AV17">IF($AB17, Push(Fetch(AG17) - MMULT(Fetch(AQ17),MMULT($I$38:$L$41,Fetch(AG17)))), "")</f>
        <v>4817</v>
      </c>
      <c r="AW17" s="97">
        <f t="array" aca="1" ref="AW17" ca="1">IF($AB17,LN(MDETERM(Fetch(AL17))),$J$65)   -   MMULT(AM17:AP17,MMULT(IF($AB17,Fetch(AL17),$G$61:$J$64),TRANSPOSE(AM17:AP17)))</f>
        <v>-25.37745261694289</v>
      </c>
    </row>
    <row r="18" spans="1:49" x14ac:dyDescent="0.15">
      <c r="W18" s="12">
        <f t="shared" si="0"/>
        <v>15</v>
      </c>
      <c r="X18" s="62">
        <f t="array" aca="1" ref="X18:AA18" ca="1">simulate!AE18:AH18</f>
        <v>-8.2061464431564812E-2</v>
      </c>
      <c r="Y18" s="62">
        <f ca="1"/>
        <v>1.4959220384602001</v>
      </c>
      <c r="Z18" s="62">
        <f ca="1"/>
        <v>1.3687053855671272</v>
      </c>
      <c r="AA18" s="62">
        <f ca="1"/>
        <v>0.54906787243388822</v>
      </c>
      <c r="AB18" s="98">
        <f t="shared" si="1"/>
        <v>1</v>
      </c>
      <c r="AC18" s="62">
        <f t="array" aca="1" ref="AC18:AF18" ca="1">TRANSPOSE($G$44:$G$47 + MMULT($I$44:$L$47,TRANSPOSE(AR17:AU17)))</f>
        <v>0.95503127059936066</v>
      </c>
      <c r="AD18" s="62">
        <f ca="1"/>
        <v>0.925980791418619</v>
      </c>
      <c r="AE18" s="62">
        <f ca="1"/>
        <v>1.1880712924436152</v>
      </c>
      <c r="AF18" s="62">
        <f ca="1"/>
        <v>0.7925980252915763</v>
      </c>
      <c r="AG18" s="66">
        <f t="array" ref="AG18">IF($AB18, Push(MMULT($I$44:$L$47,MMULT(Fetch(AV17),TRANSPOSE($I$44:$L$47))) + $N$44:$Q$47), "")</f>
        <v>3318</v>
      </c>
      <c r="AH18" s="62">
        <f t="array" aca="1" ref="AH18:AK18" ca="1">TRANSPOSE($G$38:$G$41 + MMULT($I$38:$L$41,TRANSPOSE(AC18:AF18)))</f>
        <v>1.4275133336811336</v>
      </c>
      <c r="AI18" s="62">
        <f ca="1"/>
        <v>1.0504979941703314</v>
      </c>
      <c r="AJ18" s="62">
        <f ca="1"/>
        <v>0.70018632229795696</v>
      </c>
      <c r="AK18" s="62">
        <f ca="1"/>
        <v>1.1725354075399732</v>
      </c>
      <c r="AL18" s="66">
        <f t="array" ref="AL18">IF($AB18, Push(MINVERSE(MMULT($I$38:$L$41,MMULT(Fetch(AG18),TRANSPOSE($I$38:$L$41))) + $N$38:$Q$41)), "")</f>
        <v>3818</v>
      </c>
      <c r="AM18" s="62">
        <f t="array" aca="1" ref="AM18:AP18" ca="1">X18:AA18 - AH18:AK18</f>
        <v>-1.5095747981126983</v>
      </c>
      <c r="AN18" s="62">
        <f ca="1"/>
        <v>0.4454240442898687</v>
      </c>
      <c r="AO18" s="62">
        <f ca="1"/>
        <v>0.66851906326917021</v>
      </c>
      <c r="AP18" s="62">
        <f ca="1"/>
        <v>-0.62346753510608499</v>
      </c>
      <c r="AQ18" s="66">
        <f t="array" ref="AQ18">IF($AB18, Push(MMULT(Fetch(AG18),MMULT(TRANSPOSE($I$38:$L$41),Fetch(AL18)))), "")</f>
        <v>4318</v>
      </c>
      <c r="AR18" s="62">
        <f t="array" aca="1" ref="AR18:AU18" ca="1">AC18:AF18 + TRANSPOSE(MMULT(IF($AB18,Fetch(AQ18),$L$61:$O$64),TRANSPOSE(AM18:AP18)))</f>
        <v>0.64523119878921431</v>
      </c>
      <c r="AS18" s="62">
        <f ca="1"/>
        <v>1.179440400190968</v>
      </c>
      <c r="AT18" s="62">
        <f ca="1"/>
        <v>0.28641069733656832</v>
      </c>
      <c r="AU18" s="62">
        <f ca="1"/>
        <v>0.84493061960265192</v>
      </c>
      <c r="AV18" s="66">
        <f t="array" ref="AV18">IF($AB18, Push(Fetch(AG18) - MMULT(Fetch(AQ18),MMULT($I$38:$L$41,Fetch(AG18)))), "")</f>
        <v>4818</v>
      </c>
      <c r="AW18" s="97">
        <f t="array" aca="1" ref="AW18" ca="1">IF($AB18,LN(MDETERM(Fetch(AL18))),$J$65)   -   MMULT(AM18:AP18,MMULT(IF($AB18,Fetch(AL18),$G$61:$J$64),TRANSPOSE(AM18:AP18)))</f>
        <v>-14.180032425413511</v>
      </c>
    </row>
    <row r="19" spans="1:49" x14ac:dyDescent="0.15">
      <c r="W19" s="12">
        <f t="shared" si="0"/>
        <v>16</v>
      </c>
      <c r="X19" s="62">
        <f t="array" aca="1" ref="X19:AA19" ca="1">simulate!AE19:AH19</f>
        <v>0.46031103582941935</v>
      </c>
      <c r="Y19" s="62">
        <f ca="1"/>
        <v>0.67621945689720586</v>
      </c>
      <c r="Z19" s="62">
        <f ca="1"/>
        <v>0.57430643679067828</v>
      </c>
      <c r="AA19" s="62">
        <f ca="1"/>
        <v>1.4317915131188816</v>
      </c>
      <c r="AB19" s="98">
        <f t="shared" si="1"/>
        <v>1</v>
      </c>
      <c r="AC19" s="62">
        <f t="array" aca="1" ref="AC19:AF19" ca="1">TRANSPOSE($G$44:$G$47 + MMULT($I$44:$L$47,TRANSPOSE(AR18:AU18)))</f>
        <v>0.85801778145536534</v>
      </c>
      <c r="AD19" s="62">
        <f ca="1"/>
        <v>0.89613702873392409</v>
      </c>
      <c r="AE19" s="62">
        <f ca="1"/>
        <v>0.61937504110043806</v>
      </c>
      <c r="AF19" s="62">
        <f ca="1"/>
        <v>0.814520512356397</v>
      </c>
      <c r="AG19" s="66">
        <f t="array" ref="AG19">IF($AB19, Push(MMULT($I$44:$L$47,MMULT(Fetch(AV18),TRANSPOSE($I$44:$L$47))) + $N$44:$Q$47), "")</f>
        <v>3319</v>
      </c>
      <c r="AH19" s="62">
        <f t="array" aca="1" ref="AH19:AK19" ca="1">TRANSPOSE($G$38:$G$41 + MMULT($I$38:$L$41,TRANSPOSE(AC19:AF19)))</f>
        <v>0.99177117492822586</v>
      </c>
      <c r="AI19" s="62">
        <f ca="1"/>
        <v>1.1382435696890025</v>
      </c>
      <c r="AJ19" s="62">
        <f ca="1"/>
        <v>0.74522862918725807</v>
      </c>
      <c r="AK19" s="62">
        <f ca="1"/>
        <v>0.8056580920374985</v>
      </c>
      <c r="AL19" s="66">
        <f t="array" ref="AL19">IF($AB19, Push(MINVERSE(MMULT($I$38:$L$41,MMULT(Fetch(AG19),TRANSPOSE($I$38:$L$41))) + $N$38:$Q$41)), "")</f>
        <v>3819</v>
      </c>
      <c r="AM19" s="62">
        <f t="array" ref="AM19:AP19" ca="1">X19:AA19 - AH19:AK19</f>
        <v>-0.53146013909880652</v>
      </c>
      <c r="AN19" s="62">
        <f ca="1"/>
        <v>-0.46202411279179667</v>
      </c>
      <c r="AO19" s="62">
        <f ca="1"/>
        <v>-0.1709221923965798</v>
      </c>
      <c r="AP19" s="62">
        <f ca="1"/>
        <v>0.62613342108138315</v>
      </c>
      <c r="AQ19" s="66">
        <f t="array" ref="AQ19">IF($AB19, Push(MMULT(Fetch(AG19),MMULT(TRANSPOSE($I$38:$L$41),Fetch(AL19)))), "")</f>
        <v>4319</v>
      </c>
      <c r="AR19" s="62">
        <f t="array" aca="1" ref="AR19:AU19" ca="1">AC19:AF19 + TRANSPOSE(MMULT(IF($AB19,Fetch(AQ19),$L$61:$O$64),TRANSPOSE(AM19:AP19)))</f>
        <v>0.36030292820945964</v>
      </c>
      <c r="AS19" s="62">
        <f ca="1"/>
        <v>0.88541188000639393</v>
      </c>
      <c r="AT19" s="62">
        <f ca="1"/>
        <v>0.86829046004543198</v>
      </c>
      <c r="AU19" s="62">
        <f ca="1"/>
        <v>0.95829190809217768</v>
      </c>
      <c r="AV19" s="66">
        <f t="array" ref="AV19">IF($AB19, Push(Fetch(AG19) - MMULT(Fetch(AQ19),MMULT($I$38:$L$41,Fetch(AG19)))), "")</f>
        <v>4819</v>
      </c>
      <c r="AW19" s="97">
        <f t="array" aca="1" ref="AW19" ca="1">IF($AB19,LN(MDETERM(Fetch(AL19))),$J$65)   -   MMULT(AM19:AP19,MMULT(IF($AB19,Fetch(AL19),$G$61:$J$64),TRANSPOSE(AM19:AP19)))</f>
        <v>-1.6490422508881828</v>
      </c>
    </row>
    <row r="20" spans="1:49" x14ac:dyDescent="0.15">
      <c r="W20" s="12">
        <f t="shared" si="0"/>
        <v>17</v>
      </c>
      <c r="X20" s="62">
        <f t="array" aca="1" ref="X20:AA20" ca="1">simulate!AE20:AH20</f>
        <v>-0.53787389181752343</v>
      </c>
      <c r="Y20" s="62">
        <f ca="1"/>
        <v>0.19723170967549108</v>
      </c>
      <c r="Z20" s="62">
        <f ca="1"/>
        <v>0.13172573680836125</v>
      </c>
      <c r="AA20" s="62">
        <f ca="1"/>
        <v>0.5102134804218218</v>
      </c>
      <c r="AB20" s="98">
        <f t="shared" si="1"/>
        <v>1</v>
      </c>
      <c r="AC20" s="62">
        <f t="array" aca="1" ref="AC20:AF20" ca="1">TRANSPOSE($G$44:$G$47 + MMULT($I$44:$L$47,TRANSPOSE(AR19:AU19)))</f>
        <v>0.70748955141084968</v>
      </c>
      <c r="AD20" s="62">
        <f ca="1"/>
        <v>0.78526135449124357</v>
      </c>
      <c r="AE20" s="62">
        <f ca="1"/>
        <v>0.88238946896141901</v>
      </c>
      <c r="AF20" s="62">
        <f ca="1"/>
        <v>0.93559546802231619</v>
      </c>
      <c r="AG20" s="66">
        <f t="array" ref="AG20">IF($AB20, Push(MMULT($I$44:$L$47,MMULT(Fetch(AV19),TRANSPOSE($I$44:$L$47))) + $N$44:$Q$47), "")</f>
        <v>3320</v>
      </c>
      <c r="AH20" s="62">
        <f t="array" aca="1" ref="AH20:AK20" ca="1">TRANSPOSE($G$38:$G$41 + MMULT($I$38:$L$41,TRANSPOSE(AC20:AF20)))</f>
        <v>1.0228052000063723</v>
      </c>
      <c r="AI20" s="62">
        <f ca="1"/>
        <v>0.94252805449840249</v>
      </c>
      <c r="AJ20" s="62">
        <f ca="1"/>
        <v>0.80580806927400972</v>
      </c>
      <c r="AK20" s="62">
        <f ca="1"/>
        <v>1.0810675239230996</v>
      </c>
      <c r="AL20" s="66">
        <f t="array" ref="AL20">IF($AB20, Push(MINVERSE(MMULT($I$38:$L$41,MMULT(Fetch(AG20),TRANSPOSE($I$38:$L$41))) + $N$38:$Q$41)), "")</f>
        <v>3820</v>
      </c>
      <c r="AM20" s="62">
        <f t="array" ref="AM20:AP20" ca="1">X20:AA20 - AH20:AK20</f>
        <v>-1.5606790918238957</v>
      </c>
      <c r="AN20" s="62">
        <f ca="1"/>
        <v>-0.74529634482291141</v>
      </c>
      <c r="AO20" s="62">
        <f ca="1"/>
        <v>-0.67408233246564842</v>
      </c>
      <c r="AP20" s="62">
        <f ca="1"/>
        <v>-0.57085404350127777</v>
      </c>
      <c r="AQ20" s="66">
        <f t="array" ref="AQ20">IF($AB20, Push(MMULT(Fetch(AG20),MMULT(TRANSPOSE($I$38:$L$41),Fetch(AL20)))), "")</f>
        <v>4320</v>
      </c>
      <c r="AR20" s="62">
        <f t="array" aca="1" ref="AR20:AU20" ca="1">AC20:AF20 + TRANSPOSE(MMULT(IF($AB20,Fetch(AQ20),$L$61:$O$64),TRANSPOSE(AM20:AP20)))</f>
        <v>-0.16077960223357257</v>
      </c>
      <c r="AS20" s="62">
        <f ca="1"/>
        <v>0.66037603502014031</v>
      </c>
      <c r="AT20" s="62">
        <f ca="1"/>
        <v>-7.9855979928644905E-2</v>
      </c>
      <c r="AU20" s="62">
        <f ca="1"/>
        <v>0.4507699547113625</v>
      </c>
      <c r="AV20" s="66">
        <f t="array" ref="AV20">IF($AB20, Push(Fetch(AG20) - MMULT(Fetch(AQ20),MMULT($I$38:$L$41,Fetch(AG20)))), "")</f>
        <v>4820</v>
      </c>
      <c r="AW20" s="97">
        <f t="array" aca="1" ref="AW20" ca="1">IF($AB20,LN(MDETERM(Fetch(AL20))),$J$65)   -   MMULT(AM20:AP20,MMULT(IF($AB20,Fetch(AL20),$G$61:$J$64),TRANSPOSE(AM20:AP20)))</f>
        <v>-7.9075237687596847</v>
      </c>
    </row>
    <row r="21" spans="1:49" x14ac:dyDescent="0.15">
      <c r="W21" s="12">
        <f t="shared" si="0"/>
        <v>18</v>
      </c>
      <c r="X21" s="62">
        <f t="array" aca="1" ref="X21:AA21" ca="1">simulate!AE21:AH21</f>
        <v>1.6717325210662333</v>
      </c>
      <c r="Y21" s="62">
        <f ca="1"/>
        <v>1.2892244180411574</v>
      </c>
      <c r="Z21" s="62">
        <f ca="1"/>
        <v>0.32474209656609548</v>
      </c>
      <c r="AA21" s="62">
        <f ca="1"/>
        <v>1.040466840797571</v>
      </c>
      <c r="AB21" s="98">
        <f t="shared" si="1"/>
        <v>1</v>
      </c>
      <c r="AC21" s="62">
        <f t="array" aca="1" ref="AC21:AF21" ca="1">TRANSPOSE($G$44:$G$47 + MMULT($I$44:$L$47,TRANSPOSE(AR20:AU20)))</f>
        <v>0.30088090046196786</v>
      </c>
      <c r="AD21" s="62">
        <f ca="1"/>
        <v>0.40267776663084331</v>
      </c>
      <c r="AE21" s="62">
        <f ca="1"/>
        <v>0.22158142174570916</v>
      </c>
      <c r="AF21" s="62">
        <f ca="1"/>
        <v>0.46649510722857251</v>
      </c>
      <c r="AG21" s="66">
        <f t="array" ref="AG21">IF($AB21, Push(MMULT($I$44:$L$47,MMULT(Fetch(AV20),TRANSPOSE($I$44:$L$47))) + $N$44:$Q$47), "")</f>
        <v>3321</v>
      </c>
      <c r="AH21" s="62">
        <f t="array" aca="1" ref="AH21:AK21" ca="1">TRANSPOSE($G$38:$G$41 + MMULT($I$38:$L$41,TRANSPOSE(AC21:AF21)))</f>
        <v>0.46538176418194133</v>
      </c>
      <c r="AI21" s="62">
        <f ca="1"/>
        <v>0.53541797299832794</v>
      </c>
      <c r="AJ21" s="62">
        <f ca="1"/>
        <v>0.46359883195706914</v>
      </c>
      <c r="AK21" s="62">
        <f ca="1"/>
        <v>0.4688122233187601</v>
      </c>
      <c r="AL21" s="66">
        <f t="array" ref="AL21">IF($AB21, Push(MINVERSE(MMULT($I$38:$L$41,MMULT(Fetch(AG21),TRANSPOSE($I$38:$L$41))) + $N$38:$Q$41)), "")</f>
        <v>3821</v>
      </c>
      <c r="AM21" s="62">
        <f t="array" ref="AM21:AP21" ca="1">X21:AA21 - AH21:AK21</f>
        <v>1.2063507568842919</v>
      </c>
      <c r="AN21" s="62">
        <f ca="1"/>
        <v>0.75380644504282945</v>
      </c>
      <c r="AO21" s="62">
        <f ca="1"/>
        <v>-0.13885673539097365</v>
      </c>
      <c r="AP21" s="62">
        <f ca="1"/>
        <v>0.57165461747881086</v>
      </c>
      <c r="AQ21" s="66">
        <f t="array" ref="AQ21">IF($AB21, Push(MMULT(Fetch(AG21),MMULT(TRANSPOSE($I$38:$L$41),Fetch(AL21)))), "")</f>
        <v>4321</v>
      </c>
      <c r="AR21" s="62">
        <f t="array" aca="1" ref="AR21:AU21" ca="1">AC21:AF21 + TRANSPOSE(MMULT(IF($AB21,Fetch(AQ21),$L$61:$O$64),TRANSPOSE(AM21:AP21)))</f>
        <v>0.80509227917074311</v>
      </c>
      <c r="AS21" s="62">
        <f ca="1"/>
        <v>0.76483994595811211</v>
      </c>
      <c r="AT21" s="62">
        <f ca="1"/>
        <v>0.91747302569638378</v>
      </c>
      <c r="AU21" s="62">
        <f ca="1"/>
        <v>0.61915766082958046</v>
      </c>
      <c r="AV21" s="66">
        <f t="array" ref="AV21">IF($AB21, Push(Fetch(AG21) - MMULT(Fetch(AQ21),MMULT($I$38:$L$41,Fetch(AG21)))), "")</f>
        <v>4821</v>
      </c>
      <c r="AW21" s="97">
        <f t="array" aca="1" ref="AW21" ca="1">IF($AB21,LN(MDETERM(Fetch(AL21))),$J$65)   -   MMULT(AM21:AP21,MMULT(IF($AB21,Fetch(AL21),$G$61:$J$64),TRANSPOSE(AM21:AP21)))</f>
        <v>-1.1477663841710068</v>
      </c>
    </row>
    <row r="22" spans="1:49" ht="11.25" thickBot="1" x14ac:dyDescent="0.2">
      <c r="A22" s="70"/>
      <c r="B22" s="70"/>
      <c r="C22" s="71"/>
      <c r="D22" s="71"/>
      <c r="E22" s="71"/>
      <c r="F22" s="71"/>
      <c r="G22" s="71"/>
      <c r="H22" s="71"/>
      <c r="I22" s="71"/>
      <c r="J22" s="71"/>
      <c r="K22" s="71"/>
      <c r="L22" s="70"/>
      <c r="M22" s="70"/>
      <c r="N22" s="70"/>
      <c r="O22" s="70"/>
      <c r="P22" s="70"/>
      <c r="Q22" s="70"/>
      <c r="R22" s="70"/>
      <c r="S22" s="70"/>
      <c r="T22" s="70"/>
      <c r="U22" s="70"/>
      <c r="V22" s="72"/>
      <c r="W22" s="12">
        <f t="shared" si="0"/>
        <v>19</v>
      </c>
      <c r="X22" s="62">
        <f t="array" aca="1" ref="X22:AA22" ca="1">simulate!AE22:AH22</f>
        <v>2.009943471571324</v>
      </c>
      <c r="Y22" s="62">
        <f ca="1"/>
        <v>2.2605371273334502</v>
      </c>
      <c r="Z22" s="62">
        <f ca="1"/>
        <v>0.33901896230853179</v>
      </c>
      <c r="AA22" s="62">
        <f ca="1"/>
        <v>0.71273245940472008</v>
      </c>
      <c r="AB22" s="98">
        <f t="shared" si="1"/>
        <v>1</v>
      </c>
      <c r="AC22" s="62">
        <f t="array" aca="1" ref="AC22:AF22" ca="1">TRANSPOSE($G$44:$G$47 + MMULT($I$44:$L$47,TRANSPOSE(AR21:AU21)))</f>
        <v>0.91706914843669307</v>
      </c>
      <c r="AD22" s="62">
        <f ca="1"/>
        <v>0.77549712989616626</v>
      </c>
      <c r="AE22" s="62">
        <f ca="1"/>
        <v>0.87084854823064906</v>
      </c>
      <c r="AF22" s="62">
        <f ca="1"/>
        <v>0.77321476725446692</v>
      </c>
      <c r="AG22" s="66">
        <f t="array" ref="AG22">IF($AB22, Push(MMULT($I$44:$L$47,MMULT(Fetch(AV21),TRANSPOSE($I$44:$L$47))) + $N$44:$Q$47), "")</f>
        <v>3322</v>
      </c>
      <c r="AH22" s="62">
        <f t="array" aca="1" ref="AH22:AK22" ca="1">TRANSPOSE($G$38:$G$41 + MMULT($I$38:$L$41,TRANSPOSE(AC22:AF22)))</f>
        <v>1.2121028811811085</v>
      </c>
      <c r="AI22" s="62">
        <f ca="1"/>
        <v>0.98259234885321156</v>
      </c>
      <c r="AJ22" s="62">
        <f ca="1"/>
        <v>0.75598982852006569</v>
      </c>
      <c r="AK22" s="62">
        <f ca="1"/>
        <v>0.90614178107050791</v>
      </c>
      <c r="AL22" s="66">
        <f t="array" ref="AL22">IF($AB22, Push(MINVERSE(MMULT($I$38:$L$41,MMULT(Fetch(AG22),TRANSPOSE($I$38:$L$41))) + $N$38:$Q$41)), "")</f>
        <v>3822</v>
      </c>
      <c r="AM22" s="62">
        <f t="array" ref="AM22:AP22" ca="1">X22:AA22 - AH22:AK22</f>
        <v>0.79784059039021549</v>
      </c>
      <c r="AN22" s="62">
        <f ca="1"/>
        <v>1.2779447784802387</v>
      </c>
      <c r="AO22" s="62">
        <f ca="1"/>
        <v>-0.4169708662115339</v>
      </c>
      <c r="AP22" s="62">
        <f ca="1"/>
        <v>-0.19340932166578784</v>
      </c>
      <c r="AQ22" s="66">
        <f t="array" ref="AQ22">IF($AB22, Push(MMULT(Fetch(AG22),MMULT(TRANSPOSE($I$38:$L$41),Fetch(AL22)))), "")</f>
        <v>4322</v>
      </c>
      <c r="AR22" s="62">
        <f t="array" aca="1" ref="AR22:AU22" ca="1">AC22:AF22 + TRANSPOSE(MMULT(IF($AB22,Fetch(AQ22),$L$61:$O$64),TRANSPOSE(AM22:AP22)))</f>
        <v>1.4193728930333525</v>
      </c>
      <c r="AS22" s="62">
        <f ca="1"/>
        <v>1.4143500464727743</v>
      </c>
      <c r="AT22" s="62">
        <f ca="1"/>
        <v>0.80161311047582462</v>
      </c>
      <c r="AU22" s="62">
        <f ca="1"/>
        <v>0.54766530487783371</v>
      </c>
      <c r="AV22" s="66">
        <f t="array" ref="AV22">IF($AB22, Push(Fetch(AG22) - MMULT(Fetch(AQ22),MMULT($I$38:$L$41,Fetch(AG22)))), "")</f>
        <v>4822</v>
      </c>
      <c r="AW22" s="97">
        <f t="array" aca="1" ref="AW22" ca="1">IF($AB22,LN(MDETERM(Fetch(AL22))),$J$65)   -   MMULT(AM22:AP22,MMULT(IF($AB22,Fetch(AL22),$G$61:$J$64),TRANSPOSE(AM22:AP22)))</f>
        <v>-2.9506934217189666</v>
      </c>
    </row>
    <row r="23" spans="1:49" ht="11.25" thickTop="1" x14ac:dyDescent="0.15">
      <c r="W23" s="12">
        <f t="shared" si="0"/>
        <v>20</v>
      </c>
      <c r="X23" s="62">
        <f t="array" aca="1" ref="X23:AA23" ca="1">simulate!AE23:AH23</f>
        <v>1.3034396706076956</v>
      </c>
      <c r="Y23" s="62">
        <f ca="1"/>
        <v>1.0731350025129083</v>
      </c>
      <c r="Z23" s="62">
        <f ca="1"/>
        <v>0.64742200397253269</v>
      </c>
      <c r="AA23" s="62">
        <f ca="1"/>
        <v>1.2368755309095831</v>
      </c>
      <c r="AB23" s="98">
        <f t="shared" si="1"/>
        <v>1</v>
      </c>
      <c r="AC23" s="62">
        <f t="array" aca="1" ref="AC23:AF23" ca="1">TRANSPOSE($G$44:$G$47 + MMULT($I$44:$L$47,TRANSPOSE(AR22:AU22)))</f>
        <v>1.3332654468894218</v>
      </c>
      <c r="AD23" s="62">
        <f ca="1"/>
        <v>1.2037802005382843</v>
      </c>
      <c r="AE23" s="62">
        <f ca="1"/>
        <v>0.9468762847354486</v>
      </c>
      <c r="AF23" s="62">
        <f ca="1"/>
        <v>0.79154670644381198</v>
      </c>
      <c r="AG23" s="66">
        <f t="array" ref="AG23">IF($AB23, Push(MMULT($I$44:$L$47,MMULT(Fetch(AV22),TRANSPOSE($I$44:$L$47))) + $N$44:$Q$47), "")</f>
        <v>3323</v>
      </c>
      <c r="AH23" s="62">
        <f t="array" aca="1" ref="AH23:AK23" ca="1">TRANSPOSE($G$38:$G$41 + MMULT($I$38:$L$41,TRANSPOSE(AC23:AF23)))</f>
        <v>1.5302587123379237</v>
      </c>
      <c r="AI23" s="62">
        <f ca="1"/>
        <v>1.4939142615839429</v>
      </c>
      <c r="AJ23" s="62">
        <f ca="1"/>
        <v>0.76245106028373599</v>
      </c>
      <c r="AK23" s="62">
        <f ca="1"/>
        <v>0.91300073895611278</v>
      </c>
      <c r="AL23" s="66">
        <f t="array" ref="AL23">IF($AB23, Push(MINVERSE(MMULT($I$38:$L$41,MMULT(Fetch(AG23),TRANSPOSE($I$38:$L$41))) + $N$38:$Q$41)), "")</f>
        <v>3823</v>
      </c>
      <c r="AM23" s="62">
        <f t="array" ref="AM23:AP23" ca="1">X23:AA23 - AH23:AK23</f>
        <v>-0.22681904173022804</v>
      </c>
      <c r="AN23" s="62">
        <f ca="1"/>
        <v>-0.42077925907103464</v>
      </c>
      <c r="AO23" s="62">
        <f ca="1"/>
        <v>-0.1150290563112033</v>
      </c>
      <c r="AP23" s="62">
        <f ca="1"/>
        <v>0.32387479195347035</v>
      </c>
      <c r="AQ23" s="66">
        <f t="array" ref="AQ23">IF($AB23, Push(MMULT(Fetch(AG23),MMULT(TRANSPOSE($I$38:$L$41),Fetch(AL23)))), "")</f>
        <v>4323</v>
      </c>
      <c r="AR23" s="62">
        <f t="array" aca="1" ref="AR23:AU23" ca="1">AC23:AF23 + TRANSPOSE(MMULT(IF($AB23,Fetch(AQ23),$L$61:$O$64),TRANSPOSE(AM23:AP23)))</f>
        <v>1.062536070570498</v>
      </c>
      <c r="AS23" s="62">
        <f ca="1"/>
        <v>1.0917268644988343</v>
      </c>
      <c r="AT23" s="62">
        <f ca="1"/>
        <v>1.1114799204947241</v>
      </c>
      <c r="AU23" s="62">
        <f ca="1"/>
        <v>0.85397272551918357</v>
      </c>
      <c r="AV23" s="66">
        <f t="array" ref="AV23">IF($AB23, Push(Fetch(AG23) - MMULT(Fetch(AQ23),MMULT($I$38:$L$41,Fetch(AG23)))), "")</f>
        <v>4823</v>
      </c>
      <c r="AW23" s="97">
        <f t="array" aca="1" ref="AW23" ca="1">IF($AB23,LN(MDETERM(Fetch(AL23))),$J$65)   -   MMULT(AM23:AP23,MMULT(IF($AB23,Fetch(AL23),$G$61:$J$64),TRANSPOSE(AM23:AP23)))</f>
        <v>4.7688129710068088</v>
      </c>
    </row>
    <row r="24" spans="1:49" x14ac:dyDescent="0.15">
      <c r="B24" s="120" t="s">
        <v>23</v>
      </c>
      <c r="C24" s="121"/>
      <c r="D24" s="69">
        <v>600</v>
      </c>
      <c r="G24" s="47"/>
      <c r="H24" s="23"/>
      <c r="W24" s="12">
        <f t="shared" si="0"/>
        <v>21</v>
      </c>
      <c r="X24" s="62">
        <f t="array" aca="1" ref="X24:AA24" ca="1">simulate!AE24:AH24</f>
        <v>1.5432311324764676</v>
      </c>
      <c r="Y24" s="62">
        <f ca="1"/>
        <v>1.482910789115093</v>
      </c>
      <c r="Z24" s="62">
        <f ca="1"/>
        <v>-0.17173772654809083</v>
      </c>
      <c r="AA24" s="62">
        <f ca="1"/>
        <v>1.0398571931760809</v>
      </c>
      <c r="AB24" s="98">
        <f t="shared" si="1"/>
        <v>0</v>
      </c>
      <c r="AC24" s="62">
        <f t="array" aca="1" ref="AC24:AF24" ca="1">TRANSPOSE($G$44:$G$47 + MMULT($I$44:$L$47,TRANSPOSE(AR23:AU23)))</f>
        <v>1.1295787349060644</v>
      </c>
      <c r="AD24" s="62">
        <f ca="1"/>
        <v>1.0392653029430452</v>
      </c>
      <c r="AE24" s="62">
        <f ca="1"/>
        <v>1.0817763867950236</v>
      </c>
      <c r="AF24" s="62">
        <f ca="1"/>
        <v>0.96717197616371875</v>
      </c>
      <c r="AG24" s="66" t="str">
        <f t="array" ref="AG24">IF($AB24, Push(MMULT($I$44:$L$47,MMULT(Fetch(AV23),TRANSPOSE($I$44:$L$47))) + $N$44:$Q$47), "")</f>
        <v/>
      </c>
      <c r="AH24" s="62">
        <f t="array" aca="1" ref="AH24:AK24" ca="1">TRANSPOSE($G$38:$G$41 + MMULT($I$38:$L$41,TRANSPOSE(AC24:AF24)))</f>
        <v>1.4291138581704907</v>
      </c>
      <c r="AI24" s="62">
        <f ca="1"/>
        <v>1.2752568131912814</v>
      </c>
      <c r="AJ24" s="62">
        <f ca="1"/>
        <v>0.88033324293048709</v>
      </c>
      <c r="AK24" s="62">
        <f ca="1"/>
        <v>1.126678371902414</v>
      </c>
      <c r="AL24" s="66" t="str">
        <f t="array" ref="AL24">IF($AB24, Push(MINVERSE(MMULT($I$38:$L$41,MMULT(Fetch(AG24),TRANSPOSE($I$38:$L$41))) + $N$38:$Q$41)), "")</f>
        <v/>
      </c>
      <c r="AM24" s="62">
        <f t="array" ref="AM24:AP24" ca="1">X24:AA24 - AH24:AK24</f>
        <v>0.11411727430597685</v>
      </c>
      <c r="AN24" s="62">
        <f ca="1"/>
        <v>0.20765397592381163</v>
      </c>
      <c r="AO24" s="62">
        <f ca="1"/>
        <v>-1.0520709694785779</v>
      </c>
      <c r="AP24" s="62">
        <f ca="1"/>
        <v>-8.6821178726333104E-2</v>
      </c>
      <c r="AQ24" s="66" t="str">
        <f t="array" ref="AQ24">IF($AB24, Push(MMULT(Fetch(AG24),MMULT(TRANSPOSE($I$38:$L$41),Fetch(AL24)))), "")</f>
        <v/>
      </c>
      <c r="AR24" s="62">
        <f t="array" aca="1" ref="AR24:AU24" ca="1">AC24:AF24 + TRANSPOSE(MMULT(IF($AB24,Fetch(AQ24),$L$61:$O$64),TRANSPOSE(AM24:AP24)))</f>
        <v>0.9696601181784672</v>
      </c>
      <c r="AS24" s="62">
        <f ca="1"/>
        <v>1.3411791319318676</v>
      </c>
      <c r="AT24" s="62">
        <f ca="1"/>
        <v>0.86223379520111321</v>
      </c>
      <c r="AU24" s="62">
        <f ca="1"/>
        <v>0.51009469750376257</v>
      </c>
      <c r="AV24" s="66" t="str">
        <f t="array" ref="AV24">IF($AB24, Push(Fetch(AG24) - MMULT(Fetch(AQ24),MMULT($I$38:$L$41,Fetch(AG24)))), "")</f>
        <v/>
      </c>
      <c r="AW24" s="97">
        <f t="array" aca="1" ref="AW24" ca="1">IF($AB24,LN(MDETERM(Fetch(AL24))),$J$65)   -   MMULT(AM24:AP24,MMULT(IF($AB24,Fetch(AL24),$G$61:$J$64),TRANSPOSE(AM24:AP24)))</f>
        <v>1.560221078037074</v>
      </c>
    </row>
    <row r="25" spans="1:49" x14ac:dyDescent="0.15">
      <c r="B25" s="123" t="s">
        <v>24</v>
      </c>
      <c r="C25" s="124"/>
      <c r="D25" s="67" t="str">
        <f>getcelladdress(simulate!Y4)</f>
        <v>'simulate'!Y4</v>
      </c>
      <c r="G25" s="47"/>
      <c r="H25" s="23"/>
      <c r="W25" s="12">
        <f t="shared" si="0"/>
        <v>22</v>
      </c>
      <c r="X25" s="62">
        <f t="array" aca="1" ref="X25:AA25" ca="1">simulate!AE25:AH25</f>
        <v>0.16429546688581051</v>
      </c>
      <c r="Y25" s="62">
        <f ca="1"/>
        <v>0.53811300745860002</v>
      </c>
      <c r="Z25" s="62">
        <f ca="1"/>
        <v>1.2838465393423348</v>
      </c>
      <c r="AA25" s="62">
        <f ca="1"/>
        <v>0.77428911764015496</v>
      </c>
      <c r="AB25" s="98">
        <f t="shared" si="1"/>
        <v>0</v>
      </c>
      <c r="AC25" s="62">
        <f t="array" aca="1" ref="AC25:AF25" ca="1">TRANSPOSE($G$44:$G$47 + MMULT($I$44:$L$47,TRANSPOSE(AR24:AU24)))</f>
        <v>1.0820680045787956</v>
      </c>
      <c r="AD25" s="62">
        <f ca="1"/>
        <v>1.0975441299042354</v>
      </c>
      <c r="AE25" s="62">
        <f ca="1"/>
        <v>0.93016366127073091</v>
      </c>
      <c r="AF25" s="62">
        <f ca="1"/>
        <v>0.75427832810535556</v>
      </c>
      <c r="AG25" s="66" t="str">
        <f t="array" ref="AG25">IF($AB25, Push(MMULT($I$44:$L$47,MMULT(Fetch(AV24),TRANSPOSE($I$44:$L$47))) + $N$44:$Q$47), "")</f>
        <v/>
      </c>
      <c r="AH25" s="62">
        <f t="array" aca="1" ref="AH25:AK25" ca="1">TRANSPOSE($G$38:$G$41 + MMULT($I$38:$L$41,TRANSPOSE(AC25:AF25)))</f>
        <v>1.3561622381031131</v>
      </c>
      <c r="AI25" s="62">
        <f ca="1"/>
        <v>1.3053604184680072</v>
      </c>
      <c r="AJ25" s="62">
        <f ca="1"/>
        <v>0.67611758144326628</v>
      </c>
      <c r="AK25" s="62">
        <f ca="1"/>
        <v>0.96533521966182168</v>
      </c>
      <c r="AL25" s="66" t="str">
        <f t="array" ref="AL25">IF($AB25, Push(MINVERSE(MMULT($I$38:$L$41,MMULT(Fetch(AG25),TRANSPOSE($I$38:$L$41))) + $N$38:$Q$41)), "")</f>
        <v/>
      </c>
      <c r="AM25" s="62">
        <f t="array" aca="1" ref="AM25:AP25" ca="1">X25:AA25 - AH25:AK25</f>
        <v>-1.1918667712173026</v>
      </c>
      <c r="AN25" s="62">
        <f ca="1"/>
        <v>-0.76724741100940719</v>
      </c>
      <c r="AO25" s="62">
        <f ca="1"/>
        <v>0.60772895789906856</v>
      </c>
      <c r="AP25" s="62">
        <f ca="1"/>
        <v>-0.19104610202166672</v>
      </c>
      <c r="AQ25" s="66" t="str">
        <f t="array" ref="AQ25">IF($AB25, Push(MMULT(Fetch(AG25),MMULT(TRANSPOSE($I$38:$L$41),Fetch(AL25)))), "")</f>
        <v/>
      </c>
      <c r="AR25" s="62">
        <f t="array" aca="1" ref="AR25:AU25" ca="1">AC25:AF25 + TRANSPOSE(MMULT(IF($AB25,Fetch(AQ25),$L$61:$O$64),TRANSPOSE(AM25:AP25)))</f>
        <v>0.61455160499851158</v>
      </c>
      <c r="AS25" s="62">
        <f ca="1"/>
        <v>0.70242452162154745</v>
      </c>
      <c r="AT25" s="62">
        <f ca="1"/>
        <v>0.57107643596755375</v>
      </c>
      <c r="AU25" s="62">
        <f ca="1"/>
        <v>0.92547236840275648</v>
      </c>
      <c r="AV25" s="66" t="str">
        <f t="array" ref="AV25">IF($AB25, Push(Fetch(AG25) - MMULT(Fetch(AQ25),MMULT($I$38:$L$41,Fetch(AG25)))), "")</f>
        <v/>
      </c>
      <c r="AW25" s="97">
        <f t="array" aca="1" ref="AW25" ca="1">IF($AB25,LN(MDETERM(Fetch(AL25))),$J$65)   -   MMULT(AM25:AP25,MMULT(IF($AB25,Fetch(AL25),$G$61:$J$64),TRANSPOSE(AM25:AP25)))</f>
        <v>-2.6894179723594043</v>
      </c>
    </row>
    <row r="26" spans="1:49" x14ac:dyDescent="0.15">
      <c r="B26" s="123" t="s">
        <v>25</v>
      </c>
      <c r="C26" s="124"/>
      <c r="D26" s="67">
        <f ca="1">CELL("col", simulate!AS4) - CELL("col",INDIRECT(D25)) + 1</f>
        <v>21</v>
      </c>
      <c r="G26" s="47"/>
      <c r="H26" s="23"/>
      <c r="W26" s="12">
        <f t="shared" si="0"/>
        <v>23</v>
      </c>
      <c r="X26" s="62">
        <f t="array" aca="1" ref="X26:AA26" ca="1">simulate!AE26:AH26</f>
        <v>0.371174699345794</v>
      </c>
      <c r="Y26" s="62">
        <f ca="1"/>
        <v>0.42983733235935484</v>
      </c>
      <c r="Z26" s="62">
        <f ca="1"/>
        <v>0.11707137226742981</v>
      </c>
      <c r="AA26" s="62">
        <f ca="1"/>
        <v>0.82723857400671852</v>
      </c>
      <c r="AB26" s="98">
        <f t="shared" si="1"/>
        <v>0</v>
      </c>
      <c r="AC26" s="62">
        <f t="array" aca="1" ref="AC26:AF26" ca="1">TRANSPOSE($G$44:$G$47 + MMULT($I$44:$L$47,TRANSPOSE(AR25:AU25)))</f>
        <v>0.79498837507949061</v>
      </c>
      <c r="AD26" s="62">
        <f ca="1"/>
        <v>0.68139295688453028</v>
      </c>
      <c r="AE26" s="62">
        <f ca="1"/>
        <v>0.70540325660965719</v>
      </c>
      <c r="AF26" s="62">
        <f ca="1"/>
        <v>0.86880725692737326</v>
      </c>
      <c r="AG26" s="66" t="str">
        <f t="array" ref="AG26">IF($AB26, Push(MMULT($I$44:$L$47,MMULT(Fetch(AV25),TRANSPOSE($I$44:$L$47))) + $N$44:$Q$47), "")</f>
        <v/>
      </c>
      <c r="AH26" s="62">
        <f t="array" aca="1" ref="AH26:AK26" ca="1">TRANSPOSE($G$38:$G$41 + MMULT($I$38:$L$41,TRANSPOSE(AC26:AF26)))</f>
        <v>0.99734849719635421</v>
      </c>
      <c r="AI26" s="62">
        <f ca="1"/>
        <v>0.91650039076332845</v>
      </c>
      <c r="AJ26" s="62">
        <f ca="1"/>
        <v>0.83976952650383851</v>
      </c>
      <c r="AK26" s="62">
        <f ca="1"/>
        <v>0.85357992185645926</v>
      </c>
      <c r="AL26" s="66" t="str">
        <f t="array" ref="AL26">IF($AB26, Push(MINVERSE(MMULT($I$38:$L$41,MMULT(Fetch(AG26),TRANSPOSE($I$38:$L$41))) + $N$38:$Q$41)), "")</f>
        <v/>
      </c>
      <c r="AM26" s="62">
        <f t="array" aca="1" ref="AM26:AP26" ca="1">X26:AA26 - AH26:AK26</f>
        <v>-0.62617379785056015</v>
      </c>
      <c r="AN26" s="62">
        <f ca="1"/>
        <v>-0.48666305840397361</v>
      </c>
      <c r="AO26" s="62">
        <f ca="1"/>
        <v>-0.72269815423640871</v>
      </c>
      <c r="AP26" s="62">
        <f ca="1"/>
        <v>-2.6341347849740737E-2</v>
      </c>
      <c r="AQ26" s="66" t="str">
        <f t="array" ref="AQ26">IF($AB26, Push(MMULT(Fetch(AG26),MMULT(TRANSPOSE($I$38:$L$41),Fetch(AL26)))), "")</f>
        <v/>
      </c>
      <c r="AR26" s="62">
        <f t="array" aca="1" ref="AR26:AU26" ca="1">AC26:AF26 + TRANSPOSE(MMULT(IF($AB26,Fetch(AQ26),$L$61:$O$64),TRANSPOSE(AM26:AP26)))</f>
        <v>0.25829383549092733</v>
      </c>
      <c r="AS26" s="62">
        <f ca="1"/>
        <v>0.65931584283084954</v>
      </c>
      <c r="AT26" s="62">
        <f ca="1"/>
        <v>0.40012851028033863</v>
      </c>
      <c r="AU26" s="62">
        <f ca="1"/>
        <v>0.55947894077282745</v>
      </c>
      <c r="AV26" s="66" t="str">
        <f t="array" ref="AV26">IF($AB26, Push(Fetch(AG26) - MMULT(Fetch(AQ26),MMULT($I$38:$L$41,Fetch(AG26)))), "")</f>
        <v/>
      </c>
      <c r="AW26" s="97">
        <f t="array" aca="1" ref="AW26" ca="1">IF($AB26,LN(MDETERM(Fetch(AL26))),$J$65)   -   MMULT(AM26:AP26,MMULT(IF($AB26,Fetch(AL26),$G$61:$J$64),TRANSPOSE(AM26:AP26)))</f>
        <v>1.0039809339343142</v>
      </c>
    </row>
    <row r="27" spans="1:49" x14ac:dyDescent="0.15">
      <c r="B27" s="123" t="s">
        <v>24</v>
      </c>
      <c r="C27" s="124"/>
      <c r="D27" s="67" t="str">
        <f>getcelladdress(W4)</f>
        <v>'calibrate'!W4</v>
      </c>
      <c r="G27" s="47"/>
      <c r="W27" s="12">
        <f t="shared" si="0"/>
        <v>24</v>
      </c>
      <c r="X27" s="62">
        <f t="array" aca="1" ref="X27:AA27" ca="1">simulate!AE27:AH27</f>
        <v>0.48794751627070143</v>
      </c>
      <c r="Y27" s="62">
        <f ca="1"/>
        <v>1.0237962138334231</v>
      </c>
      <c r="Z27" s="62">
        <f ca="1"/>
        <v>0.29441718381509541</v>
      </c>
      <c r="AA27" s="62">
        <f ca="1"/>
        <v>0.34908747933980694</v>
      </c>
      <c r="AB27" s="98">
        <f t="shared" si="1"/>
        <v>0</v>
      </c>
      <c r="AC27" s="62">
        <f t="array" aca="1" ref="AC27:AF27" ca="1">TRANSPOSE($G$44:$G$47 + MMULT($I$44:$L$47,TRANSPOSE(AR26:AU26)))</f>
        <v>0.566446107664478</v>
      </c>
      <c r="AD27" s="62">
        <f ca="1"/>
        <v>0.54891760823055735</v>
      </c>
      <c r="AE27" s="62">
        <f ca="1"/>
        <v>0.52655594401533201</v>
      </c>
      <c r="AF27" s="62">
        <f ca="1"/>
        <v>0.62319957890437516</v>
      </c>
      <c r="AG27" s="66" t="str">
        <f t="array" ref="AG27">IF($AB27, Push(MMULT($I$44:$L$47,MMULT(Fetch(AV26),TRANSPOSE($I$44:$L$47))) + $N$44:$Q$47), "")</f>
        <v/>
      </c>
      <c r="AH27" s="62">
        <f t="array" aca="1" ref="AH27:AK27" ca="1">TRANSPOSE($G$38:$G$41 + MMULT($I$38:$L$41,TRANSPOSE(AC27:AF27)))</f>
        <v>0.79699467980207439</v>
      </c>
      <c r="AI27" s="62">
        <f ca="1"/>
        <v>0.71395161011731179</v>
      </c>
      <c r="AJ27" s="62">
        <f ca="1"/>
        <v>0.61323305073865864</v>
      </c>
      <c r="AK27" s="62">
        <f ca="1"/>
        <v>0.68152079485503614</v>
      </c>
      <c r="AL27" s="66" t="str">
        <f t="array" ref="AL27">IF($AB27, Push(MINVERSE(MMULT($I$38:$L$41,MMULT(Fetch(AG27),TRANSPOSE($I$38:$L$41))) + $N$38:$Q$41)), "")</f>
        <v/>
      </c>
      <c r="AM27" s="62">
        <f t="array" aca="1" ref="AM27:AP27" ca="1">X27:AA27 - AH27:AK27</f>
        <v>-0.30904716353137296</v>
      </c>
      <c r="AN27" s="62">
        <f ca="1"/>
        <v>0.30984460371611133</v>
      </c>
      <c r="AO27" s="62">
        <f ca="1"/>
        <v>-0.31881586692356323</v>
      </c>
      <c r="AP27" s="62">
        <f ca="1"/>
        <v>-0.3324333155152292</v>
      </c>
      <c r="AQ27" s="66" t="str">
        <f t="array" ref="AQ27">IF($AB27, Push(MMULT(Fetch(AG27),MMULT(TRANSPOSE($I$38:$L$41),Fetch(AL27)))), "")</f>
        <v/>
      </c>
      <c r="AR27" s="62">
        <f t="array" aca="1" ref="AR27:AU27" ca="1">AC27:AF27 + TRANSPOSE(MMULT(IF($AB27,Fetch(AQ27),$L$61:$O$64),TRANSPOSE(AM27:AP27)))</f>
        <v>0.46894568343136522</v>
      </c>
      <c r="AS27" s="62">
        <f ca="1"/>
        <v>0.78043089417607758</v>
      </c>
      <c r="AT27" s="62">
        <f ca="1"/>
        <v>0.10260377786517028</v>
      </c>
      <c r="AU27" s="62">
        <f ca="1"/>
        <v>0.37829713037838381</v>
      </c>
      <c r="AV27" s="66" t="str">
        <f t="array" ref="AV27">IF($AB27, Push(Fetch(AG27) - MMULT(Fetch(AQ27),MMULT($I$38:$L$41,Fetch(AG27)))), "")</f>
        <v/>
      </c>
      <c r="AW27" s="97">
        <f t="array" aca="1" ref="AW27" ca="1">IF($AB27,LN(MDETERM(Fetch(AL27))),$J$65)   -   MMULT(AM27:AP27,MMULT(IF($AB27,Fetch(AL27),$G$61:$J$64),TRANSPOSE(AM27:AP27)))</f>
        <v>5.7949134951431063</v>
      </c>
    </row>
    <row r="28" spans="1:49" x14ac:dyDescent="0.15">
      <c r="B28" s="125" t="s">
        <v>25</v>
      </c>
      <c r="C28" s="126"/>
      <c r="D28" s="68">
        <f ca="1">CELL("col", AX4) - CELL("col",INDIRECT(D27)) + 1</f>
        <v>28</v>
      </c>
      <c r="G28" s="47"/>
      <c r="W28" s="12">
        <f t="shared" si="0"/>
        <v>25</v>
      </c>
      <c r="X28" s="62">
        <f t="array" aca="1" ref="X28:AA28" ca="1">simulate!AE28:AH28</f>
        <v>0.65630513230315568</v>
      </c>
      <c r="Y28" s="62">
        <f ca="1"/>
        <v>0.17750102977401253</v>
      </c>
      <c r="Z28" s="62">
        <f ca="1"/>
        <v>0.45504328752014933</v>
      </c>
      <c r="AA28" s="62">
        <f ca="1"/>
        <v>0.77402116679614841</v>
      </c>
      <c r="AB28" s="98">
        <f t="shared" si="1"/>
        <v>0</v>
      </c>
      <c r="AC28" s="62">
        <f t="array" aca="1" ref="AC28:AF28" ca="1">TRANSPOSE($G$44:$G$47 + MMULT($I$44:$L$47,TRANSPOSE(AR27:AU27)))</f>
        <v>0.66825211469747536</v>
      </c>
      <c r="AD28" s="62">
        <f ca="1"/>
        <v>0.59160192437954084</v>
      </c>
      <c r="AE28" s="62">
        <f ca="1"/>
        <v>0.3737162016759859</v>
      </c>
      <c r="AF28" s="62">
        <f ca="1"/>
        <v>0.49578625341757959</v>
      </c>
      <c r="AG28" s="66" t="str">
        <f t="array" ref="AG28">IF($AB28, Push(MMULT($I$44:$L$47,MMULT(Fetch(AV27),TRANSPOSE($I$44:$L$47))) + $N$44:$Q$47), "")</f>
        <v/>
      </c>
      <c r="AH28" s="62">
        <f t="array" aca="1" ref="AH28:AK28" ca="1">TRANSPOSE($G$38:$G$41 + MMULT($I$38:$L$41,TRANSPOSE(AC28:AF28)))</f>
        <v>0.80659704795579623</v>
      </c>
      <c r="AI28" s="62">
        <f ca="1"/>
        <v>0.80282420288296819</v>
      </c>
      <c r="AJ28" s="62">
        <f ca="1"/>
        <v>0.5441767403173936</v>
      </c>
      <c r="AK28" s="62">
        <f ca="1"/>
        <v>0.48398285157571846</v>
      </c>
      <c r="AL28" s="66" t="str">
        <f t="array" ref="AL28">IF($AB28, Push(MINVERSE(MMULT($I$38:$L$41,MMULT(Fetch(AG28),TRANSPOSE($I$38:$L$41))) + $N$38:$Q$41)), "")</f>
        <v/>
      </c>
      <c r="AM28" s="62">
        <f t="array" aca="1" ref="AM28:AP28" ca="1">X28:AA28 - AH28:AK28</f>
        <v>-0.15029191565264055</v>
      </c>
      <c r="AN28" s="62">
        <f ca="1"/>
        <v>-0.62532317310895569</v>
      </c>
      <c r="AO28" s="62">
        <f ca="1"/>
        <v>-8.9133452797244273E-2</v>
      </c>
      <c r="AP28" s="62">
        <f ca="1"/>
        <v>0.29003831522042994</v>
      </c>
      <c r="AQ28" s="66" t="str">
        <f t="array" ref="AQ28">IF($AB28, Push(MMULT(Fetch(AG28),MMULT(TRANSPOSE($I$38:$L$41),Fetch(AL28)))), "")</f>
        <v/>
      </c>
      <c r="AR28" s="62">
        <f t="array" aca="1" ref="AR28:AU28" ca="1">AC28:AF28 + TRANSPOSE(MMULT(IF($AB28,Fetch(AQ28),$L$61:$O$64),TRANSPOSE(AM28:AP28)))</f>
        <v>0.41438803604325258</v>
      </c>
      <c r="AS28" s="62">
        <f ca="1"/>
        <v>0.3373758469937076</v>
      </c>
      <c r="AT28" s="62">
        <f ca="1"/>
        <v>0.5739325274173448</v>
      </c>
      <c r="AU28" s="62">
        <f ca="1"/>
        <v>0.55579827757255496</v>
      </c>
      <c r="AV28" s="66" t="str">
        <f t="array" ref="AV28">IF($AB28, Push(Fetch(AG28) - MMULT(Fetch(AQ28),MMULT($I$38:$L$41,Fetch(AG28)))), "")</f>
        <v/>
      </c>
      <c r="AW28" s="97">
        <f t="array" aca="1" ref="AW28" ca="1">IF($AB28,LN(MDETERM(Fetch(AL28))),$J$65)   -   MMULT(AM28:AP28,MMULT(IF($AB28,Fetch(AL28),$G$61:$J$64),TRANSPOSE(AM28:AP28)))</f>
        <v>4.2930506602032485</v>
      </c>
    </row>
    <row r="29" spans="1:49" x14ac:dyDescent="0.15">
      <c r="B29" s="91"/>
      <c r="C29" s="91"/>
      <c r="D29" s="92"/>
      <c r="G29" s="47"/>
      <c r="W29" s="12">
        <f t="shared" si="0"/>
        <v>26</v>
      </c>
      <c r="X29" s="62">
        <f t="array" aca="1" ref="X29:AA29" ca="1">simulate!AE29:AH29</f>
        <v>1.3292564396203512</v>
      </c>
      <c r="Y29" s="62">
        <f ca="1"/>
        <v>-0.26514264741211857</v>
      </c>
      <c r="Z29" s="62">
        <f ca="1"/>
        <v>1.0566220755947016</v>
      </c>
      <c r="AA29" s="62">
        <f ca="1"/>
        <v>0.91731713444657526</v>
      </c>
      <c r="AB29" s="98">
        <f t="shared" si="1"/>
        <v>0</v>
      </c>
      <c r="AC29" s="62">
        <f t="array" aca="1" ref="AC29:AF29" ca="1">TRANSPOSE($G$44:$G$47 + MMULT($I$44:$L$47,TRANSPOSE(AR28:AU28)))</f>
        <v>0.6152994779847526</v>
      </c>
      <c r="AD29" s="62">
        <f ca="1"/>
        <v>0.42584881784836048</v>
      </c>
      <c r="AE29" s="62">
        <f ca="1"/>
        <v>0.5787196778842193</v>
      </c>
      <c r="AF29" s="62">
        <f ca="1"/>
        <v>0.63401484917355244</v>
      </c>
      <c r="AG29" s="66" t="str">
        <f t="array" ref="AG29">IF($AB29, Push(MMULT($I$44:$L$47,MMULT(Fetch(AV28),TRANSPOSE($I$44:$L$47))) + $N$44:$Q$47), "")</f>
        <v/>
      </c>
      <c r="AH29" s="62">
        <f t="array" aca="1" ref="AH29:AK29" ca="1">TRANSPOSE($G$38:$G$41 + MMULT($I$38:$L$41,TRANSPOSE(AC29:AF29)))</f>
        <v>0.86857474491164144</v>
      </c>
      <c r="AI29" s="62">
        <f ca="1"/>
        <v>0.61358943254329057</v>
      </c>
      <c r="AJ29" s="62">
        <f ca="1"/>
        <v>0.68304753097164195</v>
      </c>
      <c r="AK29" s="62">
        <f ca="1"/>
        <v>0.6641924913825199</v>
      </c>
      <c r="AL29" s="66" t="str">
        <f t="array" ref="AL29">IF($AB29, Push(MINVERSE(MMULT($I$38:$L$41,MMULT(Fetch(AG29),TRANSPOSE($I$38:$L$41))) + $N$38:$Q$41)), "")</f>
        <v/>
      </c>
      <c r="AM29" s="62">
        <f t="array" aca="1" ref="AM29:AP29" ca="1">X29:AA29 - AH29:AK29</f>
        <v>0.46068169470870979</v>
      </c>
      <c r="AN29" s="62">
        <f ca="1"/>
        <v>-0.87873207995540914</v>
      </c>
      <c r="AO29" s="62">
        <f ca="1"/>
        <v>0.37357454462305961</v>
      </c>
      <c r="AP29" s="62">
        <f ca="1"/>
        <v>0.25312464306405535</v>
      </c>
      <c r="AQ29" s="66" t="str">
        <f t="array" ref="AQ29">IF($AB29, Push(MMULT(Fetch(AG29),MMULT(TRANSPOSE($I$38:$L$41),Fetch(AL29)))), "")</f>
        <v/>
      </c>
      <c r="AR29" s="62">
        <f t="array" aca="1" ref="AR29:AU29" ca="1">AC29:AF29 + TRANSPOSE(MMULT(IF($AB29,Fetch(AQ29),$L$61:$O$64),TRANSPOSE(AM29:AP29)))</f>
        <v>0.72419295426448038</v>
      </c>
      <c r="AS29" s="62">
        <f ca="1"/>
        <v>-0.18384872558316534</v>
      </c>
      <c r="AT29" s="62">
        <f ca="1"/>
        <v>1.0863440974162155</v>
      </c>
      <c r="AU29" s="62">
        <f ca="1"/>
        <v>0.87011292066555646</v>
      </c>
      <c r="AV29" s="66" t="str">
        <f t="array" ref="AV29">IF($AB29, Push(Fetch(AG29) - MMULT(Fetch(AQ29),MMULT($I$38:$L$41,Fetch(AG29)))), "")</f>
        <v/>
      </c>
      <c r="AW29" s="97">
        <f t="array" aca="1" ref="AW29" ca="1">IF($AB29,LN(MDETERM(Fetch(AL29))),$J$65)   -   MMULT(AM29:AP29,MMULT(IF($AB29,Fetch(AL29),$G$61:$J$64),TRANSPOSE(AM29:AP29)))</f>
        <v>1.063390326477033</v>
      </c>
    </row>
    <row r="30" spans="1:49" x14ac:dyDescent="0.15">
      <c r="B30" s="91"/>
      <c r="C30" s="91"/>
      <c r="D30" s="92"/>
      <c r="G30" s="47"/>
      <c r="W30" s="12">
        <f t="shared" si="0"/>
        <v>27</v>
      </c>
      <c r="X30" s="62">
        <f t="array" aca="1" ref="X30:AA30" ca="1">simulate!AE30:AH30</f>
        <v>-0.33124752958535247</v>
      </c>
      <c r="Y30" s="62">
        <f ca="1"/>
        <v>6.3423010350533104E-2</v>
      </c>
      <c r="Z30" s="62">
        <f ca="1"/>
        <v>1.1838867879558657</v>
      </c>
      <c r="AA30" s="62">
        <f ca="1"/>
        <v>0.51594276280832696</v>
      </c>
      <c r="AB30" s="98">
        <f t="shared" si="1"/>
        <v>0</v>
      </c>
      <c r="AC30" s="62">
        <f t="array" aca="1" ref="AC30:AF30" ca="1">TRANSPOSE($G$44:$G$47 + MMULT($I$44:$L$47,TRANSPOSE(AR29:AU29)))</f>
        <v>0.75706053947791774</v>
      </c>
      <c r="AD30" s="62">
        <f ca="1"/>
        <v>0.2928548967231524</v>
      </c>
      <c r="AE30" s="62">
        <f ca="1"/>
        <v>0.83940322303166959</v>
      </c>
      <c r="AF30" s="62">
        <f ca="1"/>
        <v>0.86474842781219907</v>
      </c>
      <c r="AG30" s="66" t="str">
        <f t="array" ref="AG30">IF($AB30, Push(MMULT($I$44:$L$47,MMULT(Fetch(AV29),TRANSPOSE($I$44:$L$47))) + $N$44:$Q$47), "")</f>
        <v/>
      </c>
      <c r="AH30" s="62">
        <f t="array" aca="1" ref="AH30:AK30" ca="1">TRANSPOSE($G$38:$G$41 + MMULT($I$38:$L$41,TRANSPOSE(AC30:AF30)))</f>
        <v>1.0772116699031311</v>
      </c>
      <c r="AI30" s="62">
        <f ca="1"/>
        <v>0.52888817211415584</v>
      </c>
      <c r="AJ30" s="62">
        <f ca="1"/>
        <v>0.95683496240532251</v>
      </c>
      <c r="AK30" s="62">
        <f ca="1"/>
        <v>0.84671440523049113</v>
      </c>
      <c r="AL30" s="66" t="str">
        <f t="array" ref="AL30">IF($AB30, Push(MINVERSE(MMULT($I$38:$L$41,MMULT(Fetch(AG30),TRANSPOSE($I$38:$L$41))) + $N$38:$Q$41)), "")</f>
        <v/>
      </c>
      <c r="AM30" s="62">
        <f t="array" aca="1" ref="AM30:AP30" ca="1">X30:AA30 - AH30:AK30</f>
        <v>-1.4084591994884836</v>
      </c>
      <c r="AN30" s="62">
        <f ca="1"/>
        <v>-0.46546516176362274</v>
      </c>
      <c r="AO30" s="62">
        <f ca="1"/>
        <v>0.22705182555054315</v>
      </c>
      <c r="AP30" s="62">
        <f ca="1"/>
        <v>-0.33077164242216417</v>
      </c>
      <c r="AQ30" s="66" t="str">
        <f t="array" ref="AQ30">IF($AB30, Push(MMULT(Fetch(AG30),MMULT(TRANSPOSE($I$38:$L$41),Fetch(AL30)))), "")</f>
        <v/>
      </c>
      <c r="AR30" s="62">
        <f t="array" aca="1" ref="AR30:AU30" ca="1">AC30:AF30 + TRANSPOSE(MMULT(IF($AB30,Fetch(AQ30),$L$61:$O$64),TRANSPOSE(AM30:AP30)))</f>
        <v>0.17411096933156145</v>
      </c>
      <c r="AS30" s="62">
        <f ca="1"/>
        <v>0.15974646483137517</v>
      </c>
      <c r="AT30" s="62">
        <f ca="1"/>
        <v>0.20741701827738945</v>
      </c>
      <c r="AU30" s="62">
        <f ca="1"/>
        <v>0.83339041446146478</v>
      </c>
      <c r="AV30" s="66" t="str">
        <f t="array" ref="AV30">IF($AB30, Push(Fetch(AG30) - MMULT(Fetch(AQ30),MMULT($I$38:$L$41,Fetch(AG30)))), "")</f>
        <v/>
      </c>
      <c r="AW30" s="97">
        <f t="array" aca="1" ref="AW30" ca="1">IF($AB30,LN(MDETERM(Fetch(AL30))),$J$65)   -   MMULT(AM30:AP30,MMULT(IF($AB30,Fetch(AL30),$G$61:$J$64),TRANSPOSE(AM30:AP30)))</f>
        <v>-3.3989214924557931</v>
      </c>
    </row>
    <row r="31" spans="1:49" x14ac:dyDescent="0.15">
      <c r="B31" s="91"/>
      <c r="C31" s="91"/>
      <c r="D31" s="92"/>
      <c r="G31" s="47"/>
      <c r="W31" s="12">
        <f t="shared" si="0"/>
        <v>28</v>
      </c>
      <c r="X31" s="62">
        <f t="array" aca="1" ref="X31:AA31" ca="1">simulate!AE31:AH31</f>
        <v>1.493672845834112</v>
      </c>
      <c r="Y31" s="62">
        <f ca="1"/>
        <v>1.0945651118524082</v>
      </c>
      <c r="Z31" s="62">
        <f ca="1"/>
        <v>0.83849925222998289</v>
      </c>
      <c r="AA31" s="62">
        <f ca="1"/>
        <v>0.98916399901480823</v>
      </c>
      <c r="AB31" s="98">
        <f t="shared" si="1"/>
        <v>0</v>
      </c>
      <c r="AC31" s="62">
        <f t="array" aca="1" ref="AC31:AF31" ca="1">TRANSPOSE($G$44:$G$47 + MMULT($I$44:$L$47,TRANSPOSE(AR30:AU30)))</f>
        <v>0.44649426169465012</v>
      </c>
      <c r="AD31" s="62">
        <f ca="1"/>
        <v>0.256423310020578</v>
      </c>
      <c r="AE31" s="62">
        <f ca="1"/>
        <v>0.37591145786545477</v>
      </c>
      <c r="AF31" s="62">
        <f ca="1"/>
        <v>0.70023703914854329</v>
      </c>
      <c r="AG31" s="66" t="str">
        <f t="array" ref="AG31">IF($AB31, Push(MMULT($I$44:$L$47,MMULT(Fetch(AV30),TRANSPOSE($I$44:$L$47))) + $N$44:$Q$47), "")</f>
        <v/>
      </c>
      <c r="AH31" s="62">
        <f t="array" aca="1" ref="AH31:AK31" ca="1">TRANSPOSE($G$38:$G$41 + MMULT($I$38:$L$41,TRANSPOSE(AC31:AF31)))</f>
        <v>0.60898245838193432</v>
      </c>
      <c r="AI31" s="62">
        <f ca="1"/>
        <v>0.46835808509047205</v>
      </c>
      <c r="AJ31" s="62">
        <f ca="1"/>
        <v>0.7563184703553687</v>
      </c>
      <c r="AK31" s="62">
        <f ca="1"/>
        <v>0.57002335506463742</v>
      </c>
      <c r="AL31" s="66" t="str">
        <f t="array" ref="AL31">IF($AB31, Push(MINVERSE(MMULT($I$38:$L$41,MMULT(Fetch(AG31),TRANSPOSE($I$38:$L$41))) + $N$38:$Q$41)), "")</f>
        <v/>
      </c>
      <c r="AM31" s="62">
        <f t="array" aca="1" ref="AM31:AP31" ca="1">X31:AA31 - AH31:AK31</f>
        <v>0.88469038745217765</v>
      </c>
      <c r="AN31" s="62">
        <f ca="1"/>
        <v>0.62620702676193618</v>
      </c>
      <c r="AO31" s="62">
        <f ca="1"/>
        <v>8.2180781874614195E-2</v>
      </c>
      <c r="AP31" s="62">
        <f ca="1"/>
        <v>0.41914064395017081</v>
      </c>
      <c r="AQ31" s="66" t="str">
        <f t="array" ref="AQ31">IF($AB31, Push(MMULT(Fetch(AG31),MMULT(TRANSPOSE($I$38:$L$41),Fetch(AL31)))), "")</f>
        <v/>
      </c>
      <c r="AR31" s="62">
        <f t="array" aca="1" ref="AR31:AU31" ca="1">AC31:AF31 + TRANSPOSE(MMULT(IF($AB31,Fetch(AQ31),$L$61:$O$64),TRANSPOSE(AM31:AP31)))</f>
        <v>0.87394337933111144</v>
      </c>
      <c r="AS31" s="62">
        <f ca="1"/>
        <v>0.52528368944154857</v>
      </c>
      <c r="AT31" s="62">
        <f ca="1"/>
        <v>0.90801442657521769</v>
      </c>
      <c r="AU31" s="62">
        <f ca="1"/>
        <v>0.88764753799843166</v>
      </c>
      <c r="AV31" s="66" t="str">
        <f t="array" ref="AV31">IF($AB31, Push(Fetch(AG31) - MMULT(Fetch(AQ31),MMULT($I$38:$L$41,Fetch(AG31)))), "")</f>
        <v/>
      </c>
      <c r="AW31" s="97">
        <f t="array" aca="1" ref="AW31" ca="1">IF($AB31,LN(MDETERM(Fetch(AL31))),$J$65)   -   MMULT(AM31:AP31,MMULT(IF($AB31,Fetch(AL31),$G$61:$J$64),TRANSPOSE(AM31:AP31)))</f>
        <v>2.2534932966512864</v>
      </c>
    </row>
    <row r="32" spans="1:49" x14ac:dyDescent="0.15">
      <c r="B32" s="91"/>
      <c r="C32" s="91"/>
      <c r="D32" s="92"/>
      <c r="G32" s="47"/>
      <c r="W32" s="12">
        <f t="shared" si="0"/>
        <v>29</v>
      </c>
      <c r="X32" s="62">
        <f t="array" aca="1" ref="X32:AA32" ca="1">simulate!AE32:AH32</f>
        <v>1.567256070393789</v>
      </c>
      <c r="Y32" s="62">
        <f ca="1"/>
        <v>0.83260429992134277</v>
      </c>
      <c r="Z32" s="62">
        <f ca="1"/>
        <v>0.8447583259837631</v>
      </c>
      <c r="AA32" s="62">
        <f ca="1"/>
        <v>0.74122742055929214</v>
      </c>
      <c r="AB32" s="98">
        <f t="shared" si="1"/>
        <v>0</v>
      </c>
      <c r="AC32" s="62">
        <f t="array" aca="1" ref="AC32:AF32" ca="1">TRANSPOSE($G$44:$G$47 + MMULT($I$44:$L$47,TRANSPOSE(AR31:AU31)))</f>
        <v>0.93103081444874114</v>
      </c>
      <c r="AD32" s="62">
        <f ca="1"/>
        <v>0.67500978888153351</v>
      </c>
      <c r="AE32" s="62">
        <f ca="1"/>
        <v>0.87148113753515655</v>
      </c>
      <c r="AF32" s="62">
        <f ca="1"/>
        <v>0.90293986690972883</v>
      </c>
      <c r="AG32" s="66" t="str">
        <f t="array" ref="AG32">IF($AB32, Push(MMULT($I$44:$L$47,MMULT(Fetch(AV31),TRANSPOSE($I$44:$L$47))) + $N$44:$Q$47), "")</f>
        <v/>
      </c>
      <c r="AH32" s="62">
        <f t="array" aca="1" ref="AH32:AK32" ca="1">TRANSPOSE($G$38:$G$41 + MMULT($I$38:$L$41,TRANSPOSE(AC32:AF32)))</f>
        <v>1.1909273548819237</v>
      </c>
      <c r="AI32" s="62">
        <f ca="1"/>
        <v>0.92553690306933201</v>
      </c>
      <c r="AJ32" s="62">
        <f ca="1"/>
        <v>0.90784794413365466</v>
      </c>
      <c r="AK32" s="62">
        <f ca="1"/>
        <v>0.92503679063557942</v>
      </c>
      <c r="AL32" s="66" t="str">
        <f t="array" ref="AL32">IF($AB32, Push(MINVERSE(MMULT($I$38:$L$41,MMULT(Fetch(AG32),TRANSPOSE($I$38:$L$41))) + $N$38:$Q$41)), "")</f>
        <v/>
      </c>
      <c r="AM32" s="62">
        <f t="array" aca="1" ref="AM32:AP32" ca="1">X32:AA32 - AH32:AK32</f>
        <v>0.37632871551186531</v>
      </c>
      <c r="AN32" s="62">
        <f ca="1"/>
        <v>-9.2932603147989234E-2</v>
      </c>
      <c r="AO32" s="62">
        <f ca="1"/>
        <v>-6.3089618149891558E-2</v>
      </c>
      <c r="AP32" s="62">
        <f ca="1"/>
        <v>-0.18380937007628728</v>
      </c>
      <c r="AQ32" s="66" t="str">
        <f t="array" ref="AQ32">IF($AB32, Push(MMULT(Fetch(AG32),MMULT(TRANSPOSE($I$38:$L$41),Fetch(AL32)))), "")</f>
        <v/>
      </c>
      <c r="AR32" s="62">
        <f t="array" aca="1" ref="AR32:AU32" ca="1">AC32:AF32 + TRANSPOSE(MMULT(IF($AB32,Fetch(AQ32),$L$61:$O$64),TRANSPOSE(AM32:AP32)))</f>
        <v>1.1131971326933385</v>
      </c>
      <c r="AS32" s="62">
        <f ca="1"/>
        <v>0.53309914455505836</v>
      </c>
      <c r="AT32" s="62">
        <f ca="1"/>
        <v>0.88801397954879646</v>
      </c>
      <c r="AU32" s="62">
        <f ca="1"/>
        <v>0.81379073562871806</v>
      </c>
      <c r="AV32" s="66" t="str">
        <f t="array" ref="AV32">IF($AB32, Push(Fetch(AG32) - MMULT(Fetch(AQ32),MMULT($I$38:$L$41,Fetch(AG32)))), "")</f>
        <v/>
      </c>
      <c r="AW32" s="97">
        <f t="array" aca="1" ref="AW32" ca="1">IF($AB32,LN(MDETERM(Fetch(AL32))),$J$65)   -   MMULT(AM32:AP32,MMULT(IF($AB32,Fetch(AL32),$G$61:$J$64),TRANSPOSE(AM32:AP32)))</f>
        <v>4.7341749152363501</v>
      </c>
    </row>
    <row r="33" spans="1:49" ht="11.25" thickBot="1" x14ac:dyDescent="0.2">
      <c r="A33" s="70"/>
      <c r="B33" s="70"/>
      <c r="C33" s="71"/>
      <c r="D33" s="71"/>
      <c r="E33" s="71"/>
      <c r="F33" s="71"/>
      <c r="G33" s="71"/>
      <c r="H33" s="71"/>
      <c r="I33" s="71"/>
      <c r="J33" s="71"/>
      <c r="K33" s="71"/>
      <c r="L33" s="70"/>
      <c r="M33" s="70"/>
      <c r="N33" s="70"/>
      <c r="O33" s="70"/>
      <c r="P33" s="70"/>
      <c r="Q33" s="70"/>
      <c r="R33" s="70"/>
      <c r="S33" s="70"/>
      <c r="T33" s="70"/>
      <c r="U33" s="70"/>
      <c r="V33" s="72"/>
      <c r="W33" s="12">
        <f t="shared" si="0"/>
        <v>30</v>
      </c>
      <c r="X33" s="62">
        <f t="array" aca="1" ref="X33:AA33" ca="1">simulate!AE33:AH33</f>
        <v>-0.34225061977652038</v>
      </c>
      <c r="Y33" s="62">
        <f ca="1"/>
        <v>9.9401779167644588E-2</v>
      </c>
      <c r="Z33" s="62">
        <f ca="1"/>
        <v>0.48592313341338672</v>
      </c>
      <c r="AA33" s="62">
        <f ca="1"/>
        <v>0.8391283482386267</v>
      </c>
      <c r="AB33" s="98">
        <f t="shared" si="1"/>
        <v>0</v>
      </c>
      <c r="AC33" s="62">
        <f t="array" aca="1" ref="AC33:AF33" ca="1">TRANSPOSE($G$44:$G$47 + MMULT($I$44:$L$47,TRANSPOSE(AR32:AU32)))</f>
        <v>1.0564294040979962</v>
      </c>
      <c r="AD33" s="62">
        <f ca="1"/>
        <v>0.70985859495524817</v>
      </c>
      <c r="AE33" s="62">
        <f ca="1"/>
        <v>0.86804911351693292</v>
      </c>
      <c r="AF33" s="62">
        <f ca="1"/>
        <v>0.871858226062177</v>
      </c>
      <c r="AG33" s="66" t="str">
        <f t="array" ref="AG33">IF($AB33, Push(MMULT($I$44:$L$47,MMULT(Fetch(AV32),TRANSPOSE($I$44:$L$47))) + $N$44:$Q$47), "")</f>
        <v/>
      </c>
      <c r="AH33" s="62">
        <f t="array" aca="1" ref="AH33:AK33" ca="1">TRANSPOSE($G$38:$G$41 + MMULT($I$38:$L$41,TRANSPOSE(AC33:AF33)))</f>
        <v>1.2854456501300913</v>
      </c>
      <c r="AI33" s="62">
        <f ca="1"/>
        <v>0.99706272249295813</v>
      </c>
      <c r="AJ33" s="62">
        <f ca="1"/>
        <v>0.91744933776459936</v>
      </c>
      <c r="AK33" s="62">
        <f ca="1"/>
        <v>0.86359368673509063</v>
      </c>
      <c r="AL33" s="66" t="str">
        <f t="array" ref="AL33">IF($AB33, Push(MINVERSE(MMULT($I$38:$L$41,MMULT(Fetch(AG33),TRANSPOSE($I$38:$L$41))) + $N$38:$Q$41)), "")</f>
        <v/>
      </c>
      <c r="AM33" s="62">
        <f t="array" aca="1" ref="AM33:AP33" ca="1">X33:AA33 - AH33:AK33</f>
        <v>-1.6276962699066115</v>
      </c>
      <c r="AN33" s="62">
        <f ca="1"/>
        <v>-0.89766094332531354</v>
      </c>
      <c r="AO33" s="62">
        <f ca="1"/>
        <v>-0.43152620435121264</v>
      </c>
      <c r="AP33" s="62">
        <f ca="1"/>
        <v>-2.4465338496463929E-2</v>
      </c>
      <c r="AQ33" s="66" t="str">
        <f t="array" ref="AQ33">IF($AB33, Push(MMULT(Fetch(AG33),MMULT(TRANSPOSE($I$38:$L$41),Fetch(AL33)))), "")</f>
        <v/>
      </c>
      <c r="AR33" s="62">
        <f t="array" aca="1" ref="AR33:AU33" ca="1">AC33:AF33 + TRANSPOSE(MMULT(IF($AB33,Fetch(AQ33),$L$61:$O$64),TRANSPOSE(AM33:AP33)))</f>
        <v>7.2013860535529606E-2</v>
      </c>
      <c r="AS33" s="62">
        <f ca="1"/>
        <v>0.56734736172814149</v>
      </c>
      <c r="AT33" s="62">
        <f ca="1"/>
        <v>0.30152154781883789</v>
      </c>
      <c r="AU33" s="62">
        <f ca="1"/>
        <v>0.67528667584246105</v>
      </c>
      <c r="AV33" s="66" t="str">
        <f t="array" ref="AV33">IF($AB33, Push(Fetch(AG33) - MMULT(Fetch(AQ33),MMULT($I$38:$L$41,Fetch(AG33)))), "")</f>
        <v/>
      </c>
      <c r="AW33" s="97">
        <f t="array" aca="1" ref="AW33" ca="1">IF($AB33,LN(MDETERM(Fetch(AL33))),$J$65)   -   MMULT(AM33:AP33,MMULT(IF($AB33,Fetch(AL33),$G$61:$J$64),TRANSPOSE(AM33:AP33)))</f>
        <v>-11.434622462892408</v>
      </c>
    </row>
    <row r="34" spans="1:49" ht="11.25" thickTop="1" x14ac:dyDescent="0.15">
      <c r="A34" s="10"/>
      <c r="B34" s="10"/>
      <c r="C34" s="23"/>
      <c r="D34" s="23"/>
      <c r="E34" s="23"/>
      <c r="F34" s="23"/>
      <c r="G34" s="23"/>
      <c r="H34" s="23"/>
      <c r="I34" s="23"/>
      <c r="J34" s="23"/>
      <c r="K34" s="23"/>
      <c r="L34" s="10"/>
      <c r="M34" s="10"/>
      <c r="N34" s="10"/>
      <c r="O34" s="10"/>
      <c r="P34" s="10"/>
      <c r="Q34" s="10"/>
      <c r="R34" s="10"/>
      <c r="S34" s="10"/>
      <c r="T34" s="10"/>
      <c r="U34" s="10"/>
      <c r="W34" s="12">
        <f t="shared" si="0"/>
        <v>31</v>
      </c>
      <c r="X34" s="62">
        <f t="array" aca="1" ref="X34:AA34" ca="1">simulate!AE34:AH34</f>
        <v>0.1878761770855559</v>
      </c>
      <c r="Y34" s="62">
        <f ca="1"/>
        <v>0.22909346896629423</v>
      </c>
      <c r="Z34" s="62">
        <f ca="1"/>
        <v>2.0242392266684339E-2</v>
      </c>
      <c r="AA34" s="62">
        <f ca="1"/>
        <v>0.3136089855776808</v>
      </c>
      <c r="AB34" s="98">
        <f t="shared" si="1"/>
        <v>0</v>
      </c>
      <c r="AC34" s="62">
        <f t="array" aca="1" ref="AC34:AF34" ca="1">TRANSPOSE($G$44:$G$47 + MMULT($I$44:$L$47,TRANSPOSE(AR33:AU33)))</f>
        <v>0.45077647807347998</v>
      </c>
      <c r="AD34" s="62">
        <f ca="1"/>
        <v>0.46265404910118241</v>
      </c>
      <c r="AE34" s="62">
        <f ca="1"/>
        <v>0.46224727972008939</v>
      </c>
      <c r="AF34" s="62">
        <f ca="1"/>
        <v>0.65423616540672103</v>
      </c>
      <c r="AG34" s="66" t="str">
        <f t="array" ref="AG34">IF($AB34, Push(MMULT($I$44:$L$47,MMULT(Fetch(AV33),TRANSPOSE($I$44:$L$47))) + $N$44:$Q$47), "")</f>
        <v/>
      </c>
      <c r="AH34" s="62">
        <f t="array" aca="1" ref="AH34:AK34" ca="1">TRANSPOSE($G$38:$G$41 + MMULT($I$38:$L$41,TRANSPOSE(AC34:AF34)))</f>
        <v>0.66909507931356149</v>
      </c>
      <c r="AI34" s="62">
        <f ca="1"/>
        <v>0.61852931951853951</v>
      </c>
      <c r="AJ34" s="62">
        <f ca="1"/>
        <v>0.63318625302625131</v>
      </c>
      <c r="AK34" s="62">
        <f ca="1"/>
        <v>0.6739124298024024</v>
      </c>
      <c r="AL34" s="66" t="str">
        <f t="array" ref="AL34">IF($AB34, Push(MINVERSE(MMULT($I$38:$L$41,MMULT(Fetch(AG34),TRANSPOSE($I$38:$L$41))) + $N$38:$Q$41)), "")</f>
        <v/>
      </c>
      <c r="AM34" s="62">
        <f t="array" aca="1" ref="AM34:AP34" ca="1">X34:AA34 - AH34:AK34</f>
        <v>-0.48121890222800556</v>
      </c>
      <c r="AN34" s="62">
        <f ca="1"/>
        <v>-0.38943585055224528</v>
      </c>
      <c r="AO34" s="62">
        <f ca="1"/>
        <v>-0.61294386075956697</v>
      </c>
      <c r="AP34" s="62">
        <f ca="1"/>
        <v>-0.3603034442247216</v>
      </c>
      <c r="AQ34" s="66" t="str">
        <f t="array" ref="AQ34">IF($AB34, Push(MMULT(Fetch(AG34),MMULT(TRANSPOSE($I$38:$L$41),Fetch(AL34)))), "")</f>
        <v/>
      </c>
      <c r="AR34" s="62">
        <f t="array" aca="1" ref="AR34:AU34" ca="1">AC34:AF34 + TRANSPOSE(MMULT(IF($AB34,Fetch(AQ34),$L$61:$O$64),TRANSPOSE(AM34:AP34)))</f>
        <v>9.7772661398615457E-2</v>
      </c>
      <c r="AS34" s="62">
        <f ca="1"/>
        <v>0.38144951624156309</v>
      </c>
      <c r="AT34" s="62">
        <f ca="1"/>
        <v>-4.1221358081828807E-3</v>
      </c>
      <c r="AU34" s="62">
        <f ca="1"/>
        <v>0.27424865394782189</v>
      </c>
      <c r="AV34" s="66" t="str">
        <f t="array" ref="AV34">IF($AB34, Push(Fetch(AG34) - MMULT(Fetch(AQ34),MMULT($I$38:$L$41,Fetch(AG34)))), "")</f>
        <v/>
      </c>
      <c r="AW34" s="97">
        <f t="array" aca="1" ref="AW34" ca="1">IF($AB34,LN(MDETERM(Fetch(AL34))),$J$65)   -   MMULT(AM34:AP34,MMULT(IF($AB34,Fetch(AL34),$G$61:$J$64),TRANSPOSE(AM34:AP34)))</f>
        <v>2.6285949725863427</v>
      </c>
    </row>
    <row r="35" spans="1:49" x14ac:dyDescent="0.15">
      <c r="A35" s="10"/>
      <c r="E35" s="23"/>
      <c r="F35" s="23"/>
      <c r="G35" s="23"/>
      <c r="H35" s="23"/>
      <c r="I35" s="23"/>
      <c r="J35" s="23"/>
      <c r="K35" s="23"/>
      <c r="L35" s="10"/>
      <c r="M35" s="10"/>
      <c r="N35" s="10"/>
      <c r="O35" s="10"/>
      <c r="P35" s="10"/>
      <c r="Q35" s="10"/>
      <c r="R35" s="10"/>
      <c r="S35" s="10"/>
      <c r="T35" s="10"/>
      <c r="U35" s="10"/>
      <c r="W35" s="12">
        <f t="shared" si="0"/>
        <v>32</v>
      </c>
      <c r="X35" s="62">
        <f t="array" aca="1" ref="X35:AA35" ca="1">simulate!AE35:AH35</f>
        <v>0.55797465092231013</v>
      </c>
      <c r="Y35" s="62">
        <f ca="1"/>
        <v>1.3244012862407264</v>
      </c>
      <c r="Z35" s="62">
        <f ca="1"/>
        <v>0.79808387985508733</v>
      </c>
      <c r="AA35" s="62">
        <f ca="1"/>
        <v>-0.31057540058569022</v>
      </c>
      <c r="AB35" s="98">
        <f t="shared" si="1"/>
        <v>0</v>
      </c>
      <c r="AC35" s="62">
        <f t="array" aca="1" ref="AC35:AF35" ca="1">TRANSPOSE($G$44:$G$47 + MMULT($I$44:$L$47,TRANSPOSE(AR34:AU34)))</f>
        <v>0.39614794375718476</v>
      </c>
      <c r="AD35" s="62">
        <f ca="1"/>
        <v>0.2926575750397617</v>
      </c>
      <c r="AE35" s="62">
        <f ca="1"/>
        <v>0.20947802836672311</v>
      </c>
      <c r="AF35" s="62">
        <f ca="1"/>
        <v>0.37602641366995498</v>
      </c>
      <c r="AG35" s="66" t="str">
        <f t="array" ref="AG35">IF($AB35, Push(MMULT($I$44:$L$47,MMULT(Fetch(AV34),TRANSPOSE($I$44:$L$47))) + $N$44:$Q$47), "")</f>
        <v/>
      </c>
      <c r="AH35" s="62">
        <f t="array" aca="1" ref="AH35:AK35" ca="1">TRANSPOSE($G$38:$G$41 + MMULT($I$38:$L$41,TRANSPOSE(AC35:AF35)))</f>
        <v>0.55740893731851227</v>
      </c>
      <c r="AI35" s="62">
        <f ca="1"/>
        <v>0.46011360692567588</v>
      </c>
      <c r="AJ35" s="62">
        <f ca="1"/>
        <v>0.46778376178006636</v>
      </c>
      <c r="AK35" s="62">
        <f ca="1"/>
        <v>0.34490069456253536</v>
      </c>
      <c r="AL35" s="66" t="str">
        <f t="array" ref="AL35">IF($AB35, Push(MINVERSE(MMULT($I$38:$L$41,MMULT(Fetch(AG35),TRANSPOSE($I$38:$L$41))) + $N$38:$Q$41)), "")</f>
        <v/>
      </c>
      <c r="AM35" s="62">
        <f t="array" aca="1" ref="AM35:AP35" ca="1">X35:AA35 - AH35:AK35</f>
        <v>5.6571360379786828E-4</v>
      </c>
      <c r="AN35" s="62">
        <f ca="1"/>
        <v>0.86428767931505046</v>
      </c>
      <c r="AO35" s="62">
        <f ca="1"/>
        <v>0.33030011807502097</v>
      </c>
      <c r="AP35" s="62">
        <f ca="1"/>
        <v>-0.65547609514822558</v>
      </c>
      <c r="AQ35" s="66" t="str">
        <f t="array" ref="AQ35">IF($AB35, Push(MMULT(Fetch(AG35),MMULT(TRANSPOSE($I$38:$L$41),Fetch(AL35)))), "")</f>
        <v/>
      </c>
      <c r="AR35" s="62">
        <f t="array" aca="1" ref="AR35:AU35" ca="1">AC35:AF35 + TRANSPOSE(MMULT(IF($AB35,Fetch(AQ35),$L$61:$O$64),TRANSPOSE(AM35:AP35)))</f>
        <v>0.7617973117441933</v>
      </c>
      <c r="AS35" s="62">
        <f ca="1"/>
        <v>0.58620504510902438</v>
      </c>
      <c r="AT35" s="62">
        <f ca="1"/>
        <v>-0.27515702259469854</v>
      </c>
      <c r="AU35" s="62">
        <f ca="1"/>
        <v>0.2878248549873893</v>
      </c>
      <c r="AV35" s="66" t="str">
        <f t="array" ref="AV35">IF($AB35, Push(Fetch(AG35) - MMULT(Fetch(AQ35),MMULT($I$38:$L$41,Fetch(AG35)))), "")</f>
        <v/>
      </c>
      <c r="AW35" s="97">
        <f t="array" aca="1" ref="AW35" ca="1">IF($AB35,LN(MDETERM(Fetch(AL35))),$J$65)   -   MMULT(AM35:AP35,MMULT(IF($AB35,Fetch(AL35),$G$61:$J$64),TRANSPOSE(AM35:AP35)))</f>
        <v>-1.5273809655832071</v>
      </c>
    </row>
    <row r="36" spans="1:49" x14ac:dyDescent="0.15">
      <c r="B36" s="132" t="s">
        <v>6</v>
      </c>
      <c r="C36" s="132"/>
      <c r="D36" s="132"/>
      <c r="E36" s="23"/>
      <c r="F36" s="10"/>
      <c r="G36" s="10"/>
      <c r="H36" s="10"/>
      <c r="I36" s="10"/>
      <c r="J36" s="10"/>
      <c r="K36" s="10"/>
      <c r="L36" s="10"/>
      <c r="M36" s="10"/>
      <c r="N36" s="10"/>
      <c r="O36" s="10"/>
      <c r="P36" s="10"/>
      <c r="Q36" s="10"/>
      <c r="R36" s="10"/>
      <c r="S36" s="85"/>
      <c r="T36" s="85"/>
      <c r="U36" s="85"/>
      <c r="W36" s="12">
        <f t="shared" si="0"/>
        <v>33</v>
      </c>
      <c r="X36" s="62">
        <f t="array" aca="1" ref="X36:AA36" ca="1">simulate!AE36:AH36</f>
        <v>0.75270139377243384</v>
      </c>
      <c r="Y36" s="62">
        <f ca="1"/>
        <v>0.32024176974465102</v>
      </c>
      <c r="Z36" s="62">
        <f ca="1"/>
        <v>-0.57170588839912995</v>
      </c>
      <c r="AA36" s="62">
        <f ca="1"/>
        <v>0.68757587982663471</v>
      </c>
      <c r="AB36" s="98">
        <f t="shared" si="1"/>
        <v>0</v>
      </c>
      <c r="AC36" s="62">
        <f t="array" aca="1" ref="AC36:AF36" ca="1">TRANSPOSE($G$44:$G$47 + MMULT($I$44:$L$47,TRANSPOSE(AR35:AU35)))</f>
        <v>0.7664320681735568</v>
      </c>
      <c r="AD36" s="62">
        <f ca="1"/>
        <v>0.471907316620993</v>
      </c>
      <c r="AE36" s="62">
        <f ca="1"/>
        <v>0.14561983205988682</v>
      </c>
      <c r="AF36" s="62">
        <f ca="1"/>
        <v>0.38583879846206071</v>
      </c>
      <c r="AG36" s="66" t="str">
        <f t="array" ref="AG36">IF($AB36, Push(MMULT($I$44:$L$47,MMULT(Fetch(AV35),TRANSPOSE($I$44:$L$47))) + $N$44:$Q$47), "")</f>
        <v/>
      </c>
      <c r="AH36" s="62">
        <f t="array" aca="1" ref="AH36:AK36" ca="1">TRANSPOSE($G$38:$G$41 + MMULT($I$38:$L$41,TRANSPOSE(AC36:AF36)))</f>
        <v>0.76939179434688865</v>
      </c>
      <c r="AI36" s="62">
        <f ca="1"/>
        <v>0.77153725803843987</v>
      </c>
      <c r="AJ36" s="62">
        <f ca="1"/>
        <v>0.5569856821034469</v>
      </c>
      <c r="AK36" s="62">
        <f ca="1"/>
        <v>0.19148443060426934</v>
      </c>
      <c r="AL36" s="66" t="str">
        <f t="array" ref="AL36">IF($AB36, Push(MINVERSE(MMULT($I$38:$L$41,MMULT(Fetch(AG36),TRANSPOSE($I$38:$L$41))) + $N$38:$Q$41)), "")</f>
        <v/>
      </c>
      <c r="AM36" s="62">
        <f t="array" aca="1" ref="AM36:AP36" ca="1">X36:AA36 - AH36:AK36</f>
        <v>-1.6690400574454811E-2</v>
      </c>
      <c r="AN36" s="62">
        <f ca="1"/>
        <v>-0.45129548829378885</v>
      </c>
      <c r="AO36" s="62">
        <f ca="1"/>
        <v>-1.1286915705025768</v>
      </c>
      <c r="AP36" s="62">
        <f ca="1"/>
        <v>0.49609144922236537</v>
      </c>
      <c r="AQ36" s="66" t="str">
        <f t="array" ref="AQ36">IF($AB36, Push(MMULT(Fetch(AG36),MMULT(TRANSPOSE($I$38:$L$41),Fetch(AL36)))), "")</f>
        <v/>
      </c>
      <c r="AR36" s="62">
        <f t="array" aca="1" ref="AR36:AU36" ca="1">AC36:AF36 + TRANSPOSE(MMULT(IF($AB36,Fetch(AQ36),$L$61:$O$64),TRANSPOSE(AM36:AP36)))</f>
        <v>0.29367204991649914</v>
      </c>
      <c r="AS36" s="62">
        <f ca="1"/>
        <v>0.55252655714510246</v>
      </c>
      <c r="AT36" s="62">
        <f ca="1"/>
        <v>0.33262274696642685</v>
      </c>
      <c r="AU36" s="62">
        <f ca="1"/>
        <v>9.5948321657352453E-2</v>
      </c>
      <c r="AV36" s="66" t="str">
        <f t="array" ref="AV36">IF($AB36, Push(Fetch(AG36) - MMULT(Fetch(AQ36),MMULT($I$38:$L$41,Fetch(AG36)))), "")</f>
        <v/>
      </c>
      <c r="AW36" s="97">
        <f t="array" aca="1" ref="AW36" ca="1">IF($AB36,LN(MDETERM(Fetch(AL36))),$J$65)   -   MMULT(AM36:AP36,MMULT(IF($AB36,Fetch(AL36),$G$61:$J$64),TRANSPOSE(AM36:AP36)))</f>
        <v>-4.729105051361552</v>
      </c>
    </row>
    <row r="37" spans="1:49" x14ac:dyDescent="0.15">
      <c r="B37" s="24"/>
      <c r="C37" s="78" t="s">
        <v>33</v>
      </c>
      <c r="D37" s="76" t="s">
        <v>32</v>
      </c>
      <c r="F37" s="10"/>
      <c r="G37" s="111" t="s">
        <v>0</v>
      </c>
      <c r="H37" s="10"/>
      <c r="I37" s="134" t="s">
        <v>42</v>
      </c>
      <c r="J37" s="134"/>
      <c r="K37" s="134"/>
      <c r="L37" s="134"/>
      <c r="M37" s="10"/>
      <c r="N37" s="133" t="s">
        <v>15</v>
      </c>
      <c r="O37" s="133"/>
      <c r="P37" s="133"/>
      <c r="Q37" s="133"/>
      <c r="R37" s="10"/>
      <c r="S37" s="77" t="s">
        <v>9</v>
      </c>
      <c r="T37" s="85"/>
      <c r="U37" s="85"/>
      <c r="W37" s="12">
        <f t="shared" si="0"/>
        <v>34</v>
      </c>
      <c r="X37" s="62">
        <f t="array" aca="1" ref="X37:AA37" ca="1">simulate!AE37:AH37</f>
        <v>0.73388252943975929</v>
      </c>
      <c r="Y37" s="62">
        <f ca="1"/>
        <v>0.10920336095263516</v>
      </c>
      <c r="Z37" s="62">
        <f ca="1"/>
        <v>1.1189471414607319</v>
      </c>
      <c r="AA37" s="62">
        <f ca="1"/>
        <v>8.8188186338976737E-2</v>
      </c>
      <c r="AB37" s="98">
        <f t="shared" si="1"/>
        <v>0</v>
      </c>
      <c r="AC37" s="62">
        <f t="array" aca="1" ref="AC37:AF37" ca="1">TRANSPOSE($G$44:$G$47 + MMULT($I$44:$L$47,TRANSPOSE(AR36:AU36)))</f>
        <v>0.54266855473250741</v>
      </c>
      <c r="AD37" s="62">
        <f ca="1"/>
        <v>0.45400134494140598</v>
      </c>
      <c r="AE37" s="62">
        <f ca="1"/>
        <v>0.4066793991841377</v>
      </c>
      <c r="AF37" s="62">
        <f ca="1"/>
        <v>0.35599665405134029</v>
      </c>
      <c r="AG37" s="66" t="str">
        <f t="array" ref="AG37">IF($AB37, Push(MMULT($I$44:$L$47,MMULT(Fetch(AV36),TRANSPOSE($I$44:$L$47))) + $N$44:$Q$47), "")</f>
        <v/>
      </c>
      <c r="AH37" s="62">
        <f t="array" aca="1" ref="AH37:AK37" ca="1">TRANSPOSE($G$38:$G$41 + MMULT($I$38:$L$41,TRANSPOSE(AC37:AF37)))</f>
        <v>0.7847830291069775</v>
      </c>
      <c r="AI37" s="62">
        <f ca="1"/>
        <v>0.60057036404503683</v>
      </c>
      <c r="AJ37" s="62">
        <f ca="1"/>
        <v>0.428070055282818</v>
      </c>
      <c r="AK37" s="62">
        <f ca="1"/>
        <v>0.46231200887438723</v>
      </c>
      <c r="AL37" s="66" t="str">
        <f t="array" ref="AL37">IF($AB37, Push(MINVERSE(MMULT($I$38:$L$41,MMULT(Fetch(AG37),TRANSPOSE($I$38:$L$41))) + $N$38:$Q$41)), "")</f>
        <v/>
      </c>
      <c r="AM37" s="62">
        <f t="array" aca="1" ref="AM37:AP37" ca="1">X37:AA37 - AH37:AK37</f>
        <v>-5.0900499667218213E-2</v>
      </c>
      <c r="AN37" s="62">
        <f ca="1"/>
        <v>-0.49136700309240167</v>
      </c>
      <c r="AO37" s="62">
        <f ca="1"/>
        <v>0.69087708617791388</v>
      </c>
      <c r="AP37" s="62">
        <f ca="1"/>
        <v>-0.37412382253541049</v>
      </c>
      <c r="AQ37" s="66" t="str">
        <f t="array" ref="AQ37">IF($AB37, Push(MMULT(Fetch(AG37),MMULT(TRANSPOSE($I$38:$L$41),Fetch(AL37)))), "")</f>
        <v/>
      </c>
      <c r="AR37" s="62">
        <f t="array" aca="1" ref="AR37:AU37" ca="1">AC37:AF37 + TRANSPOSE(MMULT(IF($AB37,Fetch(AQ37),$L$61:$O$64),TRANSPOSE(AM37:AP37)))</f>
        <v>0.69972398836372851</v>
      </c>
      <c r="AS37" s="62">
        <f ca="1"/>
        <v>-3.6538682287635238E-2</v>
      </c>
      <c r="AT37" s="62">
        <f ca="1"/>
        <v>0.32029725568530754</v>
      </c>
      <c r="AU37" s="62">
        <f ca="1"/>
        <v>0.50324677377477689</v>
      </c>
      <c r="AV37" s="66" t="str">
        <f t="array" ref="AV37">IF($AB37, Push(Fetch(AG37) - MMULT(Fetch(AQ37),MMULT($I$38:$L$41,Fetch(AG37)))), "")</f>
        <v/>
      </c>
      <c r="AW37" s="97">
        <f t="array" aca="1" ref="AW37" ca="1">IF($AB37,LN(MDETERM(Fetch(AL37))),$J$65)   -   MMULT(AM37:AP37,MMULT(IF($AB37,Fetch(AL37),$G$61:$J$64),TRANSPOSE(AM37:AP37)))</f>
        <v>2.6749045729073258</v>
      </c>
    </row>
    <row r="38" spans="1:49" x14ac:dyDescent="0.15">
      <c r="B38" s="79" t="s">
        <v>3</v>
      </c>
      <c r="C38" s="81">
        <f ca="1">simulate!E3</f>
        <v>0.33496946126635452</v>
      </c>
      <c r="D38" s="82">
        <v>0.14772333302372667</v>
      </c>
      <c r="F38" s="10"/>
      <c r="G38" s="112">
        <f ca="1">simulate!B9</f>
        <v>0.26326626193514052</v>
      </c>
      <c r="H38" s="26"/>
      <c r="I38" s="102">
        <f>simulate!D9</f>
        <v>0.71539582104633137</v>
      </c>
      <c r="J38" s="103">
        <f>simulate!E9</f>
        <v>-5.3068049588041344E-2</v>
      </c>
      <c r="K38" s="103">
        <f>simulate!F9</f>
        <v>0.63599380925612259</v>
      </c>
      <c r="L38" s="104">
        <f>simulate!G9</f>
        <v>-0.28443712122409748</v>
      </c>
      <c r="M38" s="26"/>
      <c r="N38" s="30">
        <f t="array" ref="N38:Q41">MMULT(MMULT(simulate!$T$9:$W$12, MDiag(S38:S41)), TRANSPOSE(simulate!$T$9:$W$12))</f>
        <v>7.4384713928322285E-2</v>
      </c>
      <c r="O38" s="31">
        <v>3.7565027441137412E-2</v>
      </c>
      <c r="P38" s="31">
        <v>-3.46704669340831E-2</v>
      </c>
      <c r="Q38" s="32">
        <v>1.4231177812668401E-2</v>
      </c>
      <c r="R38" s="26"/>
      <c r="S38" s="73">
        <f>D38</f>
        <v>0.14772333302372667</v>
      </c>
      <c r="T38" s="85"/>
      <c r="U38" s="85"/>
      <c r="W38" s="12">
        <f t="shared" si="0"/>
        <v>35</v>
      </c>
      <c r="X38" s="62">
        <f t="array" aca="1" ref="X38:AA38" ca="1">simulate!AE38:AH38</f>
        <v>1.1325433094929434</v>
      </c>
      <c r="Y38" s="62">
        <f ca="1"/>
        <v>1.5052980965903457</v>
      </c>
      <c r="Z38" s="62">
        <f ca="1"/>
        <v>0.30120739151650888</v>
      </c>
      <c r="AA38" s="62">
        <f ca="1"/>
        <v>1.3244523229318577</v>
      </c>
      <c r="AB38" s="98">
        <f t="shared" si="1"/>
        <v>0</v>
      </c>
      <c r="AC38" s="62">
        <f t="array" aca="1" ref="AC38:AF38" ca="1">TRANSPOSE($G$44:$G$47 + MMULT($I$44:$L$47,TRANSPOSE(AR37:AU37)))</f>
        <v>0.69348607177216115</v>
      </c>
      <c r="AD38" s="62">
        <f ca="1"/>
        <v>0.22895747682947151</v>
      </c>
      <c r="AE38" s="62">
        <f ca="1"/>
        <v>0.39356312239233238</v>
      </c>
      <c r="AF38" s="62">
        <f ca="1"/>
        <v>0.55154835989638551</v>
      </c>
      <c r="AG38" s="66" t="str">
        <f t="array" ref="AG38">IF($AB38, Push(MMULT($I$44:$L$47,MMULT(Fetch(AV37),TRANSPOSE($I$44:$L$47))) + $N$44:$Q$47), "")</f>
        <v/>
      </c>
      <c r="AH38" s="62">
        <f t="array" aca="1" ref="AH38:AK38" ca="1">TRANSPOSE($G$38:$G$41 + MMULT($I$38:$L$41,TRANSPOSE(AC38:AF38)))</f>
        <v>0.84065585458907433</v>
      </c>
      <c r="AI38" s="62">
        <f ca="1"/>
        <v>0.50207090214421835</v>
      </c>
      <c r="AJ38" s="62">
        <f ca="1"/>
        <v>0.73640809842579769</v>
      </c>
      <c r="AK38" s="62">
        <f ca="1"/>
        <v>0.39980675369349078</v>
      </c>
      <c r="AL38" s="66" t="str">
        <f t="array" ref="AL38">IF($AB38, Push(MINVERSE(MMULT($I$38:$L$41,MMULT(Fetch(AG38),TRANSPOSE($I$38:$L$41))) + $N$38:$Q$41)), "")</f>
        <v/>
      </c>
      <c r="AM38" s="62">
        <f t="array" aca="1" ref="AM38:AP38" ca="1">X38:AA38 - AH38:AK38</f>
        <v>0.29188745490386903</v>
      </c>
      <c r="AN38" s="62">
        <f ca="1"/>
        <v>1.0032271944461275</v>
      </c>
      <c r="AO38" s="62">
        <f ca="1"/>
        <v>-0.4352007069092888</v>
      </c>
      <c r="AP38" s="62">
        <f ca="1"/>
        <v>0.92464556923836683</v>
      </c>
      <c r="AQ38" s="66" t="str">
        <f t="array" ref="AQ38">IF($AB38, Push(MMULT(Fetch(AG38),MMULT(TRANSPOSE($I$38:$L$41),Fetch(AL38)))), "")</f>
        <v/>
      </c>
      <c r="AR38" s="62">
        <f t="array" aca="1" ref="AR38:AU38" ca="1">AC38:AF38 + TRANSPOSE(MMULT(IF($AB38,Fetch(AQ38),$L$61:$O$64),TRANSPOSE(AM38:AP38)))</f>
        <v>0.66696713748221637</v>
      </c>
      <c r="AS38" s="62">
        <f ca="1"/>
        <v>1.0251103670039083</v>
      </c>
      <c r="AT38" s="62">
        <f ca="1"/>
        <v>0.90870761609008488</v>
      </c>
      <c r="AU38" s="62">
        <f ca="1"/>
        <v>0.70511181495880915</v>
      </c>
      <c r="AV38" s="66" t="str">
        <f t="array" ref="AV38">IF($AB38, Push(Fetch(AG38) - MMULT(Fetch(AQ38),MMULT($I$38:$L$41,Fetch(AG38)))), "")</f>
        <v/>
      </c>
      <c r="AW38" s="97">
        <f t="array" aca="1" ref="AW38" ca="1">IF($AB38,LN(MDETERM(Fetch(AL38))),$J$65)   -   MMULT(AM38:AP38,MMULT(IF($AB38,Fetch(AL38),$G$61:$J$64),TRANSPOSE(AM38:AP38)))</f>
        <v>-8.3133385838532234</v>
      </c>
    </row>
    <row r="39" spans="1:49" x14ac:dyDescent="0.15">
      <c r="B39" s="115" t="s">
        <v>2</v>
      </c>
      <c r="C39" s="116">
        <f ca="1">simulate!E4</f>
        <v>0.32660286296351893</v>
      </c>
      <c r="D39" s="117">
        <v>0.67509343151479317</v>
      </c>
      <c r="F39" s="10"/>
      <c r="G39" s="113">
        <f ca="1">simulate!B10</f>
        <v>3.8181866182311903E-2</v>
      </c>
      <c r="H39" s="26"/>
      <c r="I39" s="105">
        <f>simulate!D10</f>
        <v>0.36996800518420003</v>
      </c>
      <c r="J39" s="106">
        <f>simulate!E10</f>
        <v>0.87131312573504616</v>
      </c>
      <c r="K39" s="106">
        <f>simulate!F10</f>
        <v>-0.25555289882909715</v>
      </c>
      <c r="L39" s="107">
        <f>simulate!G10</f>
        <v>0.19654472254906707</v>
      </c>
      <c r="M39" s="26"/>
      <c r="N39" s="36">
        <v>3.7565027441137412E-2</v>
      </c>
      <c r="O39" s="37">
        <v>8.4318841093064353E-2</v>
      </c>
      <c r="P39" s="37">
        <v>-1.7842026086010748E-2</v>
      </c>
      <c r="Q39" s="38">
        <v>1.6267964500328021E-3</v>
      </c>
      <c r="R39" s="26"/>
      <c r="S39" s="74">
        <f>S38/2</f>
        <v>7.3861666511863336E-2</v>
      </c>
      <c r="T39" s="85"/>
      <c r="U39" s="85"/>
      <c r="W39" s="12">
        <f t="shared" si="0"/>
        <v>36</v>
      </c>
      <c r="X39" s="62">
        <f t="array" aca="1" ref="X39:AA39" ca="1">simulate!AE39:AH39</f>
        <v>1.1069742509271592</v>
      </c>
      <c r="Y39" s="62">
        <f ca="1"/>
        <v>-0.33967044222064757</v>
      </c>
      <c r="Z39" s="62">
        <f ca="1"/>
        <v>1.8394032753809126</v>
      </c>
      <c r="AA39" s="62">
        <f ca="1"/>
        <v>1.2752942033648109</v>
      </c>
      <c r="AB39" s="98">
        <f t="shared" si="1"/>
        <v>0</v>
      </c>
      <c r="AC39" s="62">
        <f t="array" aca="1" ref="AC39:AF39" ca="1">TRANSPOSE($G$44:$G$47 + MMULT($I$44:$L$47,TRANSPOSE(AR38:AU38)))</f>
        <v>0.88449561136548338</v>
      </c>
      <c r="AD39" s="62">
        <f ca="1"/>
        <v>0.89845798386682008</v>
      </c>
      <c r="AE39" s="62">
        <f ca="1"/>
        <v>0.91126020333255797</v>
      </c>
      <c r="AF39" s="62">
        <f ca="1"/>
        <v>0.83010259635190975</v>
      </c>
      <c r="AG39" s="66" t="str">
        <f t="array" ref="AG39">IF($AB39, Push(MMULT($I$44:$L$47,MMULT(Fetch(AV38),TRANSPOSE($I$44:$L$47))) + $N$44:$Q$47), "")</f>
        <v/>
      </c>
      <c r="AH39" s="62">
        <f t="array" aca="1" ref="AH39:AK39" ca="1">TRANSPOSE($G$38:$G$41 + MMULT($I$38:$L$41,TRANSPOSE(AC39:AF39)))</f>
        <v>1.1917951683132073</v>
      </c>
      <c r="AI39" s="62">
        <f ca="1"/>
        <v>1.0785322753160045</v>
      </c>
      <c r="AJ39" s="62">
        <f ca="1"/>
        <v>0.74044599874813843</v>
      </c>
      <c r="AK39" s="62">
        <f ca="1"/>
        <v>1.0119304882108608</v>
      </c>
      <c r="AL39" s="66" t="str">
        <f t="array" ref="AL39">IF($AB39, Push(MINVERSE(MMULT($I$38:$L$41,MMULT(Fetch(AG39),TRANSPOSE($I$38:$L$41))) + $N$38:$Q$41)), "")</f>
        <v/>
      </c>
      <c r="AM39" s="62">
        <f t="array" aca="1" ref="AM39:AP39" ca="1">X39:AA39 - AH39:AK39</f>
        <v>-8.4820917386048134E-2</v>
      </c>
      <c r="AN39" s="62">
        <f ca="1"/>
        <v>-1.4182027175366521</v>
      </c>
      <c r="AO39" s="62">
        <f ca="1"/>
        <v>1.0989572766327742</v>
      </c>
      <c r="AP39" s="62">
        <f ca="1"/>
        <v>0.26336371515395007</v>
      </c>
      <c r="AQ39" s="66" t="str">
        <f t="array" ref="AQ39">IF($AB39, Push(MMULT(Fetch(AG39),MMULT(TRANSPOSE($I$38:$L$41),Fetch(AL39)))), "")</f>
        <v/>
      </c>
      <c r="AR39" s="62">
        <f t="array" aca="1" ref="AR39:AU39" ca="1">AC39:AF39 + TRANSPOSE(MMULT(IF($AB39,Fetch(AQ39),$L$61:$O$64),TRANSPOSE(AM39:AP39)))</f>
        <v>0.84016163826377543</v>
      </c>
      <c r="AS39" s="62">
        <f ca="1"/>
        <v>-7.388693554477932E-2</v>
      </c>
      <c r="AT39" s="62">
        <f ca="1"/>
        <v>1.4180920622071822</v>
      </c>
      <c r="AU39" s="62">
        <f ca="1"/>
        <v>1.3595481883693707</v>
      </c>
      <c r="AV39" s="66" t="str">
        <f t="array" ref="AV39">IF($AB39, Push(Fetch(AG39) - MMULT(Fetch(AQ39),MMULT($I$38:$L$41,Fetch(AG39)))), "")</f>
        <v/>
      </c>
      <c r="AW39" s="97">
        <f t="array" aca="1" ref="AW39" ca="1">IF($AB39,LN(MDETERM(Fetch(AL39))),$J$65)   -   MMULT(AM39:AP39,MMULT(IF($AB39,Fetch(AL39),$G$61:$J$64),TRANSPOSE(AM39:AP39)))</f>
        <v>-4.4150244449112162</v>
      </c>
    </row>
    <row r="40" spans="1:49" x14ac:dyDescent="0.15">
      <c r="B40" s="80"/>
      <c r="C40" s="83">
        <f ca="1">simulate!E5</f>
        <v>0.67339713703648107</v>
      </c>
      <c r="D40" s="84">
        <v>0.3247193669435231</v>
      </c>
      <c r="F40" s="10"/>
      <c r="G40" s="113">
        <f ca="1">simulate!B11</f>
        <v>0.13121470932916363</v>
      </c>
      <c r="H40" s="26"/>
      <c r="I40" s="105">
        <f>simulate!D11</f>
        <v>0.38660279684843957</v>
      </c>
      <c r="J40" s="106">
        <f>simulate!E11</f>
        <v>-0.37984324009361448</v>
      </c>
      <c r="K40" s="106">
        <f>simulate!F11</f>
        <v>-9.302292495633413E-2</v>
      </c>
      <c r="L40" s="107">
        <f>simulate!G11</f>
        <v>0.83522699061795436</v>
      </c>
      <c r="M40" s="26"/>
      <c r="N40" s="36">
        <v>-3.46704669340831E-2</v>
      </c>
      <c r="O40" s="37">
        <v>-1.7842026086010748E-2</v>
      </c>
      <c r="P40" s="37">
        <v>9.2291708375574141E-2</v>
      </c>
      <c r="Q40" s="38">
        <v>-2.0897807621003968E-2</v>
      </c>
      <c r="R40" s="26"/>
      <c r="S40" s="74">
        <f>S39/2</f>
        <v>3.6930833255931668E-2</v>
      </c>
      <c r="T40" s="85"/>
      <c r="U40" s="85"/>
      <c r="W40" s="12">
        <f t="shared" si="0"/>
        <v>37</v>
      </c>
      <c r="X40" s="62">
        <f t="array" aca="1" ref="X40:AA40" ca="1">simulate!AE40:AH40</f>
        <v>0.17358588067631883</v>
      </c>
      <c r="Y40" s="62">
        <f ca="1"/>
        <v>-3.4460322915058295E-2</v>
      </c>
      <c r="Z40" s="62">
        <f ca="1"/>
        <v>0.66171691277493849</v>
      </c>
      <c r="AA40" s="62">
        <f ca="1"/>
        <v>0.31650897922523968</v>
      </c>
      <c r="AB40" s="98">
        <f t="shared" si="1"/>
        <v>0</v>
      </c>
      <c r="AC40" s="62">
        <f t="array" aca="1" ref="AC40:AF40" ca="1">TRANSPOSE($G$44:$G$47 + MMULT($I$44:$L$47,TRANSPOSE(AR39:AU39)))</f>
        <v>0.88310082158853986</v>
      </c>
      <c r="AD40" s="62">
        <f ca="1"/>
        <v>0.45500669782842956</v>
      </c>
      <c r="AE40" s="62">
        <f ca="1"/>
        <v>1.1171124798643854</v>
      </c>
      <c r="AF40" s="62">
        <f ca="1"/>
        <v>1.1963429782145212</v>
      </c>
      <c r="AG40" s="66" t="str">
        <f t="array" ref="AG40">IF($AB40, Push(MMULT($I$44:$L$47,MMULT(Fetch(AV39),TRANSPOSE($I$44:$L$47))) + $N$44:$Q$47), "")</f>
        <v/>
      </c>
      <c r="AH40" s="62">
        <f t="array" aca="1" ref="AH40:AK40" ca="1">TRANSPOSE($G$38:$G$41 + MMULT($I$38:$L$41,TRANSPOSE(AC40:AF40)))</f>
        <v>1.2410788499754164</v>
      </c>
      <c r="AI40" s="62">
        <f ca="1"/>
        <v>0.71100778981641521</v>
      </c>
      <c r="AJ40" s="62">
        <f ca="1"/>
        <v>1.1950936135458274</v>
      </c>
      <c r="AK40" s="62">
        <f ca="1"/>
        <v>1.1820791973646019</v>
      </c>
      <c r="AL40" s="66" t="str">
        <f t="array" ref="AL40">IF($AB40, Push(MINVERSE(MMULT($I$38:$L$41,MMULT(Fetch(AG40),TRANSPOSE($I$38:$L$41))) + $N$38:$Q$41)), "")</f>
        <v/>
      </c>
      <c r="AM40" s="62">
        <f t="array" aca="1" ref="AM40:AP40" ca="1">X40:AA40 - AH40:AK40</f>
        <v>-1.0674929692990975</v>
      </c>
      <c r="AN40" s="62">
        <f ca="1"/>
        <v>-0.74546811273147351</v>
      </c>
      <c r="AO40" s="62">
        <f ca="1"/>
        <v>-0.53337670077088895</v>
      </c>
      <c r="AP40" s="62">
        <f ca="1"/>
        <v>-0.86557021813936219</v>
      </c>
      <c r="AQ40" s="66" t="str">
        <f t="array" ref="AQ40">IF($AB40, Push(MMULT(Fetch(AG40),MMULT(TRANSPOSE($I$38:$L$41),Fetch(AL40)))), "")</f>
        <v/>
      </c>
      <c r="AR40" s="62">
        <f t="array" aca="1" ref="AR40:AU40" ca="1">AC40:AF40 + TRANSPOSE(MMULT(IF($AB40,Fetch(AQ40),$L$61:$O$64),TRANSPOSE(AM40:AP40)))</f>
        <v>0.34073749056970803</v>
      </c>
      <c r="AS40" s="62">
        <f ca="1"/>
        <v>0.15599402345540053</v>
      </c>
      <c r="AT40" s="62">
        <f ca="1"/>
        <v>0.16347159302630832</v>
      </c>
      <c r="AU40" s="62">
        <f ca="1"/>
        <v>0.66775738426279396</v>
      </c>
      <c r="AV40" s="66" t="str">
        <f t="array" ref="AV40">IF($AB40, Push(Fetch(AG40) - MMULT(Fetch(AQ40),MMULT($I$38:$L$41,Fetch(AG40)))), "")</f>
        <v/>
      </c>
      <c r="AW40" s="97">
        <f t="array" aca="1" ref="AW40" ca="1">IF($AB40,LN(MDETERM(Fetch(AL40))),$J$65)   -   MMULT(AM40:AP40,MMULT(IF($AB40,Fetch(AL40),$G$61:$J$64),TRANSPOSE(AM40:AP40)))</f>
        <v>-4.9523137824068932</v>
      </c>
    </row>
    <row r="41" spans="1:49" x14ac:dyDescent="0.15">
      <c r="B41" s="79" t="s">
        <v>4</v>
      </c>
      <c r="C41" s="81">
        <f ca="1">simulate!E6</f>
        <v>0.34523971417380106</v>
      </c>
      <c r="D41" s="82">
        <v>0.22864298179152631</v>
      </c>
      <c r="F41" s="10"/>
      <c r="G41" s="114">
        <f ca="1">simulate!B12</f>
        <v>0.12121894894839952</v>
      </c>
      <c r="H41" s="26"/>
      <c r="I41" s="108">
        <f>simulate!D12</f>
        <v>-0.44930031364159762</v>
      </c>
      <c r="J41" s="109">
        <f>simulate!E12</f>
        <v>0.30613123328063363</v>
      </c>
      <c r="K41" s="109">
        <f>simulate!F12</f>
        <v>0.72218510502536137</v>
      </c>
      <c r="L41" s="110">
        <f>simulate!G12</f>
        <v>0.42762316383837451</v>
      </c>
      <c r="M41" s="26"/>
      <c r="N41" s="43">
        <v>1.4231177812668397E-2</v>
      </c>
      <c r="O41" s="44">
        <v>1.6267964500328025E-3</v>
      </c>
      <c r="P41" s="44">
        <v>-2.0897807621003964E-2</v>
      </c>
      <c r="Q41" s="45">
        <v>2.5985986022526462E-2</v>
      </c>
      <c r="R41" s="26"/>
      <c r="S41" s="75">
        <f>S40/2</f>
        <v>1.8465416627965834E-2</v>
      </c>
      <c r="T41" s="85"/>
      <c r="U41" s="85"/>
      <c r="W41" s="12">
        <f t="shared" si="0"/>
        <v>38</v>
      </c>
      <c r="X41" s="62">
        <f t="array" aca="1" ref="X41:AA41" ca="1">simulate!AE41:AH41</f>
        <v>8.0504187396803734E-2</v>
      </c>
      <c r="Y41" s="62">
        <f ca="1"/>
        <v>1.1971458077155346</v>
      </c>
      <c r="Z41" s="62">
        <f ca="1"/>
        <v>-0.55820237505506887</v>
      </c>
      <c r="AA41" s="62">
        <f ca="1"/>
        <v>0.17669252860645082</v>
      </c>
      <c r="AB41" s="98">
        <f t="shared" si="1"/>
        <v>0</v>
      </c>
      <c r="AC41" s="62">
        <f t="array" aca="1" ref="AC41:AF41" ca="1">TRANSPOSE($G$44:$G$47 + MMULT($I$44:$L$47,TRANSPOSE(AR40:AU40)))</f>
        <v>0.52484191616426146</v>
      </c>
      <c r="AD41" s="62">
        <f ca="1"/>
        <v>0.26315623926543757</v>
      </c>
      <c r="AE41" s="62">
        <f ca="1"/>
        <v>0.33891724808419355</v>
      </c>
      <c r="AF41" s="62">
        <f ca="1"/>
        <v>0.61138808486132046</v>
      </c>
      <c r="AG41" s="66" t="str">
        <f t="array" ref="AG41">IF($AB41, Push(MMULT($I$44:$L$47,MMULT(Fetch(AV40),TRANSPOSE($I$44:$L$47))) + $N$44:$Q$47), "")</f>
        <v/>
      </c>
      <c r="AH41" s="62">
        <f t="array" aca="1" ref="AH41:AK41" ca="1">TRANSPOSE($G$38:$G$41 + MMULT($I$38:$L$41,TRANSPOSE(AC41:AF41)))</f>
        <v>0.66641859193726183</v>
      </c>
      <c r="AI41" s="62">
        <f ca="1"/>
        <v>0.49520188463148274</v>
      </c>
      <c r="AJ41" s="62">
        <f ca="1"/>
        <v>0.71328269993157911</v>
      </c>
      <c r="AK41" s="62">
        <f ca="1"/>
        <v>0.47217235105943395</v>
      </c>
      <c r="AL41" s="66" t="str">
        <f t="array" ref="AL41">IF($AB41, Push(MINVERSE(MMULT($I$38:$L$41,MMULT(Fetch(AG41),TRANSPOSE($I$38:$L$41))) + $N$38:$Q$41)), "")</f>
        <v/>
      </c>
      <c r="AM41" s="62">
        <f t="array" aca="1" ref="AM41:AP41" ca="1">X41:AA41 - AH41:AK41</f>
        <v>-0.58591440454045807</v>
      </c>
      <c r="AN41" s="62">
        <f ca="1"/>
        <v>0.70194392308405185</v>
      </c>
      <c r="AO41" s="62">
        <f ca="1"/>
        <v>-1.271485074986648</v>
      </c>
      <c r="AP41" s="62">
        <f ca="1"/>
        <v>-0.2954798224529831</v>
      </c>
      <c r="AQ41" s="66" t="str">
        <f t="array" ref="AQ41">IF($AB41, Push(MMULT(Fetch(AG41),MMULT(TRANSPOSE($I$38:$L$41),Fetch(AL41)))), "")</f>
        <v/>
      </c>
      <c r="AR41" s="62">
        <f t="array" aca="1" ref="AR41:AU41" ca="1">AC41:AF41 + TRANSPOSE(MMULT(IF($AB41,Fetch(AQ41),$L$61:$O$64),TRANSPOSE(AM41:AP41)))</f>
        <v>0.11550718684034023</v>
      </c>
      <c r="AS41" s="62">
        <f ca="1"/>
        <v>0.97372113350009815</v>
      </c>
      <c r="AT41" s="62">
        <f ca="1"/>
        <v>-0.3713672071719738</v>
      </c>
      <c r="AU41" s="62">
        <f ca="1"/>
        <v>-7.0189939517981692E-3</v>
      </c>
      <c r="AV41" s="66" t="str">
        <f t="array" ref="AV41">IF($AB41, Push(Fetch(AG41) - MMULT(Fetch(AQ41),MMULT($I$38:$L$41,Fetch(AG41)))), "")</f>
        <v/>
      </c>
      <c r="AW41" s="97">
        <f t="array" aca="1" ref="AW41" ca="1">IF($AB41,LN(MDETERM(Fetch(AL41))),$J$65)   -   MMULT(AM41:AP41,MMULT(IF($AB41,Fetch(AL41),$G$61:$J$64),TRANSPOSE(AM41:AP41)))</f>
        <v>-2.3885845921667208</v>
      </c>
    </row>
    <row r="42" spans="1:49" x14ac:dyDescent="0.15">
      <c r="B42" s="10"/>
      <c r="E42" s="23"/>
      <c r="F42" s="10"/>
      <c r="G42" s="106"/>
      <c r="H42" s="10"/>
      <c r="I42" s="10"/>
      <c r="J42" s="10"/>
      <c r="K42" s="10"/>
      <c r="L42" s="10"/>
      <c r="M42" s="10"/>
      <c r="N42" s="10"/>
      <c r="O42" s="10"/>
      <c r="P42" s="10"/>
      <c r="Q42" s="10"/>
      <c r="R42" s="10"/>
      <c r="S42" s="63"/>
      <c r="T42" s="85"/>
      <c r="U42" s="85"/>
      <c r="W42" s="12">
        <f t="shared" si="0"/>
        <v>39</v>
      </c>
      <c r="X42" s="62">
        <f t="array" aca="1" ref="X42:AA42" ca="1">simulate!AE42:AH42</f>
        <v>-0.35238600638732187</v>
      </c>
      <c r="Y42" s="62">
        <f ca="1"/>
        <v>0.28991474194870415</v>
      </c>
      <c r="Z42" s="62">
        <f ca="1"/>
        <v>-1.7082447249602646</v>
      </c>
      <c r="AA42" s="62">
        <f ca="1"/>
        <v>-0.59071323605094528</v>
      </c>
      <c r="AB42" s="98">
        <f t="shared" si="1"/>
        <v>0</v>
      </c>
      <c r="AC42" s="62">
        <f t="array" aca="1" ref="AC42:AF42" ca="1">TRANSPOSE($G$44:$G$47 + MMULT($I$44:$L$47,TRANSPOSE(AR41:AU41)))</f>
        <v>0.45371857805547688</v>
      </c>
      <c r="AD42" s="62">
        <f ca="1"/>
        <v>0.54103718446289861</v>
      </c>
      <c r="AE42" s="62">
        <f ca="1"/>
        <v>6.6936537671983154E-2</v>
      </c>
      <c r="AF42" s="62">
        <f ca="1"/>
        <v>0.20750736713100071</v>
      </c>
      <c r="AG42" s="66" t="str">
        <f t="array" ref="AG42">IF($AB42, Push(MMULT($I$44:$L$47,MMULT(Fetch(AV41),TRANSPOSE($I$44:$L$47))) + $N$44:$Q$47), "")</f>
        <v/>
      </c>
      <c r="AH42" s="62">
        <f t="array" aca="1" ref="AH42:AK42" ca="1">TRANSPOSE($G$38:$G$41 + MMULT($I$38:$L$41,TRANSPOSE(AC42:AF42)))</f>
        <v>0.54269127390594774</v>
      </c>
      <c r="AI42" s="62">
        <f ca="1"/>
        <v>0.70113467541375685</v>
      </c>
      <c r="AJ42" s="62">
        <f ca="1"/>
        <v>0.26820338468917704</v>
      </c>
      <c r="AK42" s="62">
        <f ca="1"/>
        <v>0.22006695739436771</v>
      </c>
      <c r="AL42" s="66" t="str">
        <f t="array" ref="AL42">IF($AB42, Push(MINVERSE(MMULT($I$38:$L$41,MMULT(Fetch(AG42),TRANSPOSE($I$38:$L$41))) + $N$38:$Q$41)), "")</f>
        <v/>
      </c>
      <c r="AM42" s="62">
        <f t="array" aca="1" ref="AM42:AP42" ca="1">X42:AA42 - AH42:AK42</f>
        <v>-0.89507728029326961</v>
      </c>
      <c r="AN42" s="62">
        <f ca="1"/>
        <v>-0.4112199334650527</v>
      </c>
      <c r="AO42" s="62">
        <f ca="1"/>
        <v>-1.9764481096494415</v>
      </c>
      <c r="AP42" s="62">
        <f ca="1"/>
        <v>-0.81078019344531294</v>
      </c>
      <c r="AQ42" s="66" t="str">
        <f t="array" ref="AQ42">IF($AB42, Push(MMULT(Fetch(AG42),MMULT(TRANSPOSE($I$38:$L$41),Fetch(AL42)))), "")</f>
        <v/>
      </c>
      <c r="AR42" s="62">
        <f t="array" aca="1" ref="AR42:AU42" ca="1">AC42:AF42 + TRANSPOSE(MMULT(IF($AB42,Fetch(AQ42),$L$61:$O$64),TRANSPOSE(AM42:AP42)))</f>
        <v>-0.33203366631452547</v>
      </c>
      <c r="AS42" s="62">
        <f ca="1"/>
        <v>0.71607825180390594</v>
      </c>
      <c r="AT42" s="62">
        <f ca="1"/>
        <v>-1.073768032592763</v>
      </c>
      <c r="AU42" s="62">
        <f ca="1"/>
        <v>-0.88692372797212016</v>
      </c>
      <c r="AV42" s="66" t="str">
        <f t="array" ref="AV42">IF($AB42, Push(Fetch(AG42) - MMULT(Fetch(AQ42),MMULT($I$38:$L$41,Fetch(AG42)))), "")</f>
        <v/>
      </c>
      <c r="AW42" s="97">
        <f t="array" aca="1" ref="AW42" ca="1">IF($AB42,LN(MDETERM(Fetch(AL42))),$J$65)   -   MMULT(AM42:AP42,MMULT(IF($AB42,Fetch(AL42),$G$61:$J$64),TRANSPOSE(AM42:AP42)))</f>
        <v>-21.582847879563083</v>
      </c>
    </row>
    <row r="43" spans="1:49" ht="11.25" thickBot="1" x14ac:dyDescent="0.2">
      <c r="B43" s="10"/>
      <c r="C43" s="131" t="s">
        <v>34</v>
      </c>
      <c r="D43" s="131"/>
      <c r="E43" s="23"/>
      <c r="F43" s="10"/>
      <c r="G43" s="111" t="s">
        <v>1</v>
      </c>
      <c r="H43" s="10"/>
      <c r="I43" s="133" t="s">
        <v>17</v>
      </c>
      <c r="J43" s="133"/>
      <c r="K43" s="133"/>
      <c r="L43" s="133"/>
      <c r="M43" s="10"/>
      <c r="N43" s="133" t="s">
        <v>16</v>
      </c>
      <c r="O43" s="133"/>
      <c r="P43" s="133"/>
      <c r="Q43" s="133"/>
      <c r="R43" s="10"/>
      <c r="S43" s="77" t="s">
        <v>9</v>
      </c>
      <c r="T43" s="85"/>
      <c r="U43" s="85"/>
      <c r="W43" s="12">
        <f t="shared" si="0"/>
        <v>40</v>
      </c>
      <c r="X43" s="62">
        <f t="array" aca="1" ref="X43:AA43" ca="1">simulate!AE43:AH43</f>
        <v>0.50749630218868791</v>
      </c>
      <c r="Y43" s="62">
        <f ca="1"/>
        <v>1.9470373476143832E-2</v>
      </c>
      <c r="Z43" s="62">
        <f ca="1"/>
        <v>-0.69385792709802485</v>
      </c>
      <c r="AA43" s="62">
        <f ca="1"/>
        <v>-0.64077602948831824</v>
      </c>
      <c r="AB43" s="98">
        <f t="shared" si="1"/>
        <v>0</v>
      </c>
      <c r="AC43" s="62">
        <f t="array" aca="1" ref="AC43:AF43" ca="1">TRANSPOSE($G$44:$G$47 + MMULT($I$44:$L$47,TRANSPOSE(AR42:AU42)))</f>
        <v>8.1600360953002909E-2</v>
      </c>
      <c r="AD43" s="62">
        <f ca="1"/>
        <v>0.16264419052845516</v>
      </c>
      <c r="AE43" s="62">
        <f ca="1"/>
        <v>-0.51631899515488044</v>
      </c>
      <c r="AF43" s="62">
        <f ca="1"/>
        <v>-0.42159534620096167</v>
      </c>
      <c r="AG43" s="66" t="str">
        <f t="array" ref="AG43">IF($AB43, Push(MMULT($I$44:$L$47,MMULT(Fetch(AV42),TRANSPOSE($I$44:$L$47))) + $N$44:$Q$47), "")</f>
        <v/>
      </c>
      <c r="AH43" s="62">
        <f t="array" aca="1" ref="AH43:AK43" ca="1">TRANSPOSE($G$38:$G$41 + MMULT($I$38:$L$41,TRANSPOSE(AC43:AF43)))</f>
        <v>0.10455329126365254</v>
      </c>
      <c r="AI43" s="62">
        <f ca="1"/>
        <v>0.2591698825637101</v>
      </c>
      <c r="AJ43" s="62">
        <f ca="1"/>
        <v>-0.20311596834143636</v>
      </c>
      <c r="AK43" s="62">
        <f ca="1"/>
        <v>-0.41881547573315242</v>
      </c>
      <c r="AL43" s="66" t="str">
        <f t="array" ref="AL43">IF($AB43, Push(MINVERSE(MMULT($I$38:$L$41,MMULT(Fetch(AG43),TRANSPOSE($I$38:$L$41))) + $N$38:$Q$41)), "")</f>
        <v/>
      </c>
      <c r="AM43" s="62">
        <f t="array" aca="1" ref="AM43:AP43" ca="1">X43:AA43 - AH43:AK43</f>
        <v>0.40294301092503537</v>
      </c>
      <c r="AN43" s="62">
        <f ca="1"/>
        <v>-0.23969950908756626</v>
      </c>
      <c r="AO43" s="62">
        <f ca="1"/>
        <v>-0.49074195875658849</v>
      </c>
      <c r="AP43" s="62">
        <f ca="1"/>
        <v>-0.22196055375516582</v>
      </c>
      <c r="AQ43" s="66" t="str">
        <f t="array" ref="AQ43">IF($AB43, Push(MMULT(Fetch(AG43),MMULT(TRANSPOSE($I$38:$L$41),Fetch(AL43)))), "")</f>
        <v/>
      </c>
      <c r="AR43" s="62">
        <f t="array" aca="1" ref="AR43:AU43" ca="1">AC43:AF43 + TRANSPOSE(MMULT(IF($AB43,Fetch(AQ43),$L$61:$O$64),TRANSPOSE(AM43:AP43)))</f>
        <v>0.15416893629363118</v>
      </c>
      <c r="AS43" s="62">
        <f ca="1"/>
        <v>1.4469278119593448E-2</v>
      </c>
      <c r="AT43" s="62">
        <f ca="1"/>
        <v>-0.5689709088167294</v>
      </c>
      <c r="AU43" s="62">
        <f ca="1"/>
        <v>-0.69922818109842122</v>
      </c>
      <c r="AV43" s="66" t="str">
        <f t="array" ref="AV43">IF($AB43, Push(Fetch(AG43) - MMULT(Fetch(AQ43),MMULT($I$38:$L$41,Fetch(AG43)))), "")</f>
        <v/>
      </c>
      <c r="AW43" s="97">
        <f t="array" aca="1" ref="AW43" ca="1">IF($AB43,LN(MDETERM(Fetch(AL43))),$J$65)   -   MMULT(AM43:AP43,MMULT(IF($AB43,Fetch(AL43),$G$61:$J$64),TRANSPOSE(AM43:AP43)))</f>
        <v>1.1463868583793619</v>
      </c>
    </row>
    <row r="44" spans="1:49" ht="11.25" thickTop="1" x14ac:dyDescent="0.15">
      <c r="B44" s="10"/>
      <c r="C44" s="10"/>
      <c r="D44" s="94">
        <f ca="1">SUM(OFFSET($AW$4,0,0,$D$24,1))</f>
        <v>-193.04730566168917</v>
      </c>
      <c r="E44" s="23"/>
      <c r="F44" s="10"/>
      <c r="G44" s="112">
        <f ca="1">simulate!B17</f>
        <v>0.27400645918704497</v>
      </c>
      <c r="H44" s="26"/>
      <c r="I44" s="27">
        <f t="array" ref="I44:L47">MTransition(D39:D40, 4)</f>
        <v>0.54007474521183452</v>
      </c>
      <c r="J44" s="28">
        <v>0.14799122207841742</v>
      </c>
      <c r="K44" s="28">
        <v>7.1183652074163328E-2</v>
      </c>
      <c r="L44" s="29">
        <v>4.8055615946502046E-2</v>
      </c>
      <c r="M44" s="26"/>
      <c r="N44" s="30">
        <f t="array" ref="N44:Q47">MMULT(MMULT(simulate!$T$17:$W$20, MDiag(S44:S47)), TRANSPOSE(simulate!$T$17:$W$20))</f>
        <v>7.5012442215247305E-2</v>
      </c>
      <c r="O44" s="31">
        <v>2.7445901174289835E-3</v>
      </c>
      <c r="P44" s="31">
        <v>4.0344000838690136E-2</v>
      </c>
      <c r="Q44" s="32">
        <v>2.2485211328848991E-2</v>
      </c>
      <c r="R44" s="26"/>
      <c r="S44" s="73">
        <f>D41</f>
        <v>0.22864298179152631</v>
      </c>
      <c r="T44" s="85"/>
      <c r="U44" s="85"/>
      <c r="W44" s="12">
        <f t="shared" si="0"/>
        <v>41</v>
      </c>
      <c r="X44" s="62">
        <f t="array" aca="1" ref="X44:AA44" ca="1">simulate!AE44:AH44</f>
        <v>0.56367021174752696</v>
      </c>
      <c r="Y44" s="62">
        <f ca="1"/>
        <v>0.38813241146763133</v>
      </c>
      <c r="Z44" s="62">
        <f ca="1"/>
        <v>-0.29816640989665838</v>
      </c>
      <c r="AA44" s="62">
        <f ca="1"/>
        <v>-0.19719566422178827</v>
      </c>
      <c r="AB44" s="98">
        <f t="shared" si="1"/>
        <v>0</v>
      </c>
      <c r="AC44" s="62">
        <f t="array" aca="1" ref="AC44:AF44" ca="1">TRANSPOSE($G$44:$G$47 + MMULT($I$44:$L$47,TRANSPOSE(AR43:AU43)))</f>
        <v>0.28530726618355101</v>
      </c>
      <c r="AD44" s="62">
        <f ca="1"/>
        <v>-4.9270998756017086E-2</v>
      </c>
      <c r="AE44" s="62">
        <f ca="1"/>
        <v>-0.29521685777407747</v>
      </c>
      <c r="AF44" s="62">
        <f ca="1"/>
        <v>-0.26484534384374797</v>
      </c>
      <c r="AG44" s="66" t="str">
        <f t="array" ref="AG44">IF($AB44, Push(MMULT($I$44:$L$47,MMULT(Fetch(AV43),TRANSPOSE($I$44:$L$47))) + $N$44:$Q$47), "")</f>
        <v/>
      </c>
      <c r="AH44" s="62">
        <f t="array" aca="1" ref="AH44:AK44" ca="1">TRANSPOSE($G$38:$G$41 + MMULT($I$38:$L$41,TRANSPOSE(AC44:AF44)))</f>
        <v>0.35756435692240629</v>
      </c>
      <c r="AI44" s="62">
        <f ca="1"/>
        <v>0.12419552754580609</v>
      </c>
      <c r="AJ44" s="62">
        <f ca="1"/>
        <v>6.648650829581243E-2</v>
      </c>
      <c r="AK44" s="62">
        <f ca="1"/>
        <v>-0.34850830814539974</v>
      </c>
      <c r="AL44" s="66" t="str">
        <f t="array" ref="AL44">IF($AB44, Push(MINVERSE(MMULT($I$38:$L$41,MMULT(Fetch(AG44),TRANSPOSE($I$38:$L$41))) + $N$38:$Q$41)), "")</f>
        <v/>
      </c>
      <c r="AM44" s="62">
        <f t="array" aca="1" ref="AM44:AP44" ca="1">X44:AA44 - AH44:AK44</f>
        <v>0.20610585482512067</v>
      </c>
      <c r="AN44" s="62">
        <f ca="1"/>
        <v>0.26393688392182524</v>
      </c>
      <c r="AO44" s="62">
        <f ca="1"/>
        <v>-0.36465291819247081</v>
      </c>
      <c r="AP44" s="62">
        <f ca="1"/>
        <v>0.15131264392361146</v>
      </c>
      <c r="AQ44" s="66" t="str">
        <f t="array" ref="AQ44">IF($AB44, Push(MMULT(Fetch(AG44),MMULT(TRANSPOSE($I$38:$L$41),Fetch(AL44)))), "")</f>
        <v/>
      </c>
      <c r="AR44" s="62">
        <f t="array" aca="1" ref="AR44:AU44" ca="1">AC44:AF44 + TRANSPOSE(MMULT(IF($AB44,Fetch(AQ44),$L$61:$O$64),TRANSPOSE(AM44:AP44)))</f>
        <v>0.2950811976726383</v>
      </c>
      <c r="AS44" s="62">
        <f ca="1"/>
        <v>0.17183278455552031</v>
      </c>
      <c r="AT44" s="62">
        <f ca="1"/>
        <v>-0.21556444933978935</v>
      </c>
      <c r="AU44" s="62">
        <f ca="1"/>
        <v>-0.35799216631437153</v>
      </c>
      <c r="AV44" s="66" t="str">
        <f t="array" ref="AV44">IF($AB44, Push(Fetch(AG44) - MMULT(Fetch(AQ44),MMULT($I$38:$L$41,Fetch(AG44)))), "")</f>
        <v/>
      </c>
      <c r="AW44" s="97">
        <f t="array" aca="1" ref="AW44" ca="1">IF($AB44,LN(MDETERM(Fetch(AL44))),$J$65)   -   MMULT(AM44:AP44,MMULT(IF($AB44,Fetch(AL44),$G$61:$J$64),TRANSPOSE(AM44:AP44)))</f>
        <v>6.298472341064735</v>
      </c>
    </row>
    <row r="45" spans="1:49" x14ac:dyDescent="0.15">
      <c r="B45" s="10"/>
      <c r="E45" s="23"/>
      <c r="F45" s="10"/>
      <c r="G45" s="113">
        <f ca="1">simulate!B18</f>
        <v>5.1860005538947852E-2</v>
      </c>
      <c r="H45" s="26"/>
      <c r="I45" s="34">
        <v>0.16235968347176155</v>
      </c>
      <c r="J45" s="26">
        <v>0.54007474521183452</v>
      </c>
      <c r="K45" s="26">
        <v>0.14799122207841742</v>
      </c>
      <c r="L45" s="35">
        <v>7.1183652074163328E-2</v>
      </c>
      <c r="M45" s="26"/>
      <c r="N45" s="36">
        <v>2.7445901174289757E-3</v>
      </c>
      <c r="O45" s="37">
        <v>0.11764367273404638</v>
      </c>
      <c r="P45" s="37">
        <v>-3.0852437057422584E-2</v>
      </c>
      <c r="Q45" s="38">
        <v>-5.1748603076492622E-2</v>
      </c>
      <c r="R45" s="26"/>
      <c r="S45" s="74">
        <f>S44/2</f>
        <v>0.11432149089576316</v>
      </c>
      <c r="T45" s="85"/>
      <c r="U45" s="85"/>
      <c r="W45" s="12">
        <f t="shared" si="0"/>
        <v>42</v>
      </c>
      <c r="X45" s="62">
        <f t="array" aca="1" ref="X45:AA45" ca="1">simulate!AE45:AH45</f>
        <v>1.4774335368775842</v>
      </c>
      <c r="Y45" s="62">
        <f ca="1"/>
        <v>0.5201850595456563</v>
      </c>
      <c r="Z45" s="62">
        <f ca="1"/>
        <v>-0.46149879997733506</v>
      </c>
      <c r="AA45" s="62">
        <f ca="1"/>
        <v>0.40922900995803302</v>
      </c>
      <c r="AB45" s="98">
        <f t="shared" si="1"/>
        <v>0</v>
      </c>
      <c r="AC45" s="62">
        <f t="array" aca="1" ref="AC45:AF45" ca="1">TRANSPOSE($G$44:$G$47 + MMULT($I$44:$L$47,TRANSPOSE(AR44:AU44)))</f>
        <v>0.426253906798785</v>
      </c>
      <c r="AD45" s="62">
        <f ca="1"/>
        <v>0.13518700662275362</v>
      </c>
      <c r="AE45" s="62">
        <f ca="1"/>
        <v>-1.8270880888861737E-2</v>
      </c>
      <c r="AF45" s="62">
        <f ca="1"/>
        <v>-5.2000945983105562E-3</v>
      </c>
      <c r="AG45" s="66" t="str">
        <f t="array" ref="AG45">IF($AB45, Push(MMULT($I$44:$L$47,MMULT(Fetch(AV44),TRANSPOSE($I$44:$L$47))) + $N$44:$Q$47), "")</f>
        <v/>
      </c>
      <c r="AH45" s="62">
        <f t="array" aca="1" ref="AH45:AK45" ca="1">TRANSPOSE($G$38:$G$41 + MMULT($I$38:$L$41,TRANSPOSE(AC45:AF45)))</f>
        <v>0.55089134759521297</v>
      </c>
      <c r="AI45" s="62">
        <f ca="1"/>
        <v>0.31731951250712209</v>
      </c>
      <c r="AJ45" s="62">
        <f ca="1"/>
        <v>0.24201214267053944</v>
      </c>
      <c r="AK45" s="62">
        <f ca="1"/>
        <v>-4.4330738944327042E-2</v>
      </c>
      <c r="AL45" s="66" t="str">
        <f t="array" ref="AL45">IF($AB45, Push(MINVERSE(MMULT($I$38:$L$41,MMULT(Fetch(AG45),TRANSPOSE($I$38:$L$41))) + $N$38:$Q$41)), "")</f>
        <v/>
      </c>
      <c r="AM45" s="62">
        <f t="array" aca="1" ref="AM45:AP45" ca="1">X45:AA45 - AH45:AK45</f>
        <v>0.9265421892823712</v>
      </c>
      <c r="AN45" s="62">
        <f ca="1"/>
        <v>0.20286554703853421</v>
      </c>
      <c r="AO45" s="62">
        <f ca="1"/>
        <v>-0.7035109426478745</v>
      </c>
      <c r="AP45" s="62">
        <f ca="1"/>
        <v>0.45355974890236006</v>
      </c>
      <c r="AQ45" s="66" t="str">
        <f t="array" ref="AQ45">IF($AB45, Push(MMULT(Fetch(AG45),MMULT(TRANSPOSE($I$38:$L$41),Fetch(AL45)))), "")</f>
        <v/>
      </c>
      <c r="AR45" s="62">
        <f t="array" aca="1" ref="AR45:AU45" ca="1">AC45:AF45 + TRANSPOSE(MMULT(IF($AB45,Fetch(AQ45),$L$61:$O$64),TRANSPOSE(AM45:AP45)))</f>
        <v>0.60160056322142452</v>
      </c>
      <c r="AS45" s="62">
        <f ca="1"/>
        <v>0.32683856393628741</v>
      </c>
      <c r="AT45" s="62">
        <f ca="1"/>
        <v>0.47236520180615549</v>
      </c>
      <c r="AU45" s="62">
        <f ca="1"/>
        <v>-0.12869262243521401</v>
      </c>
      <c r="AV45" s="66" t="str">
        <f t="array" ref="AV45">IF($AB45, Push(Fetch(AG45) - MMULT(Fetch(AQ45),MMULT($I$38:$L$41,Fetch(AG45)))), "")</f>
        <v/>
      </c>
      <c r="AW45" s="97">
        <f t="array" aca="1" ref="AW45" ca="1">IF($AB45,LN(MDETERM(Fetch(AL45))),$J$65)   -   MMULT(AM45:AP45,MMULT(IF($AB45,Fetch(AL45),$G$61:$J$64),TRANSPOSE(AM45:AP45)))</f>
        <v>-0.22189292095905255</v>
      </c>
    </row>
    <row r="46" spans="1:49" x14ac:dyDescent="0.15">
      <c r="B46" s="10"/>
      <c r="E46" s="23"/>
      <c r="F46" s="10"/>
      <c r="G46" s="113">
        <f ca="1">simulate!B19</f>
        <v>0.10222605853315613</v>
      </c>
      <c r="H46" s="26"/>
      <c r="I46" s="34">
        <v>7.1183652074163328E-2</v>
      </c>
      <c r="J46" s="26">
        <v>0.16235968347176155</v>
      </c>
      <c r="K46" s="26">
        <v>0.54007474521183452</v>
      </c>
      <c r="L46" s="35">
        <v>0.14799122207841742</v>
      </c>
      <c r="M46" s="26"/>
      <c r="N46" s="36">
        <v>4.0344000838690143E-2</v>
      </c>
      <c r="O46" s="37">
        <v>-3.0852437057422584E-2</v>
      </c>
      <c r="P46" s="37">
        <v>0.16024737593444013</v>
      </c>
      <c r="Q46" s="38">
        <v>5.9152478615304732E-2</v>
      </c>
      <c r="R46" s="26"/>
      <c r="S46" s="74">
        <f>S45/2</f>
        <v>5.7160745447881578E-2</v>
      </c>
      <c r="T46" s="85"/>
      <c r="U46" s="85"/>
      <c r="W46" s="12">
        <f t="shared" si="0"/>
        <v>43</v>
      </c>
      <c r="X46" s="62">
        <f t="array" aca="1" ref="X46:AA46" ca="1">simulate!AE46:AH46</f>
        <v>0.55454859952316027</v>
      </c>
      <c r="Y46" s="62">
        <f ca="1"/>
        <v>1.5224225635494606</v>
      </c>
      <c r="Z46" s="62">
        <f ca="1"/>
        <v>-0.32333800267740453</v>
      </c>
      <c r="AA46" s="62">
        <f ca="1"/>
        <v>-0.37920664132443266</v>
      </c>
      <c r="AB46" s="98">
        <f t="shared" si="1"/>
        <v>0</v>
      </c>
      <c r="AC46" s="62">
        <f t="array" aca="1" ref="AC46:AF46" ca="1">TRANSPOSE($G$44:$G$47 + MMULT($I$44:$L$47,TRANSPOSE(AR45:AU45)))</f>
        <v>0.67472524552585456</v>
      </c>
      <c r="AD46" s="62">
        <f ca="1"/>
        <v>0.38679802932597546</v>
      </c>
      <c r="AE46" s="62">
        <f ca="1"/>
        <v>0.43418272704592398</v>
      </c>
      <c r="AF46" s="62">
        <f ca="1"/>
        <v>0.25609469293021325</v>
      </c>
      <c r="AG46" s="66" t="str">
        <f t="array" ref="AG46">IF($AB46, Push(MMULT($I$44:$L$47,MMULT(Fetch(AV45),TRANSPOSE($I$44:$L$47))) + $N$44:$Q$47), "")</f>
        <v/>
      </c>
      <c r="AH46" s="62">
        <f t="array" aca="1" ref="AH46:AK46" ca="1">TRANSPOSE($G$38:$G$41 + MMULT($I$38:$L$41,TRANSPOSE(AC46:AF46)))</f>
        <v>0.92872995520727852</v>
      </c>
      <c r="AI46" s="62">
        <f ca="1"/>
        <v>0.56420822512725233</v>
      </c>
      <c r="AJ46" s="62">
        <f ca="1"/>
        <v>0.4186510120867073</v>
      </c>
      <c r="AK46" s="62">
        <f ca="1"/>
        <v>0.35954796342470186</v>
      </c>
      <c r="AL46" s="66" t="str">
        <f t="array" ref="AL46">IF($AB46, Push(MINVERSE(MMULT($I$38:$L$41,MMULT(Fetch(AG46),TRANSPOSE($I$38:$L$41))) + $N$38:$Q$41)), "")</f>
        <v/>
      </c>
      <c r="AM46" s="62">
        <f t="array" aca="1" ref="AM46:AP46" ca="1">X46:AA46 - AH46:AK46</f>
        <v>-0.37418135568411826</v>
      </c>
      <c r="AN46" s="62">
        <f ca="1"/>
        <v>0.95821433842220827</v>
      </c>
      <c r="AO46" s="62">
        <f ca="1"/>
        <v>-0.74198901476411183</v>
      </c>
      <c r="AP46" s="62">
        <f ca="1"/>
        <v>-0.73875460474913446</v>
      </c>
      <c r="AQ46" s="66" t="str">
        <f t="array" ref="AQ46">IF($AB46, Push(MMULT(Fetch(AG46),MMULT(TRANSPOSE($I$38:$L$41),Fetch(AL46)))), "")</f>
        <v/>
      </c>
      <c r="AR46" s="62">
        <f t="array" aca="1" ref="AR46:AU46" ca="1">AC46:AF46 + TRANSPOSE(MMULT(IF($AB46,Fetch(AQ46),$L$61:$O$64),TRANSPOSE(AM46:AP46)))</f>
        <v>0.63422140369059721</v>
      </c>
      <c r="AS46" s="62">
        <f ca="1"/>
        <v>1.0075996574319295</v>
      </c>
      <c r="AT46" s="62">
        <f ca="1"/>
        <v>-0.43413768520693186</v>
      </c>
      <c r="AU46" s="62">
        <f ca="1"/>
        <v>-0.2987632842524951</v>
      </c>
      <c r="AV46" s="66" t="str">
        <f t="array" ref="AV46">IF($AB46, Push(Fetch(AG46) - MMULT(Fetch(AQ46),MMULT($I$38:$L$41,Fetch(AG46)))), "")</f>
        <v/>
      </c>
      <c r="AW46" s="97">
        <f t="array" aca="1" ref="AW46" ca="1">IF($AB46,LN(MDETERM(Fetch(AL46))),$J$65)   -   MMULT(AM46:AP46,MMULT(IF($AB46,Fetch(AL46),$G$61:$J$64),TRANSPOSE(AM46:AP46)))</f>
        <v>-1.1754231340572243</v>
      </c>
    </row>
    <row r="47" spans="1:49" x14ac:dyDescent="0.15">
      <c r="B47" s="10"/>
      <c r="C47" s="10"/>
      <c r="D47" s="10"/>
      <c r="E47" s="23"/>
      <c r="F47" s="10"/>
      <c r="G47" s="114">
        <f ca="1">simulate!B20</f>
        <v>0.1967294153152041</v>
      </c>
      <c r="H47" s="26"/>
      <c r="I47" s="40">
        <v>4.8055615946502046E-2</v>
      </c>
      <c r="J47" s="41">
        <v>7.1183652074163328E-2</v>
      </c>
      <c r="K47" s="41">
        <v>0.16235968347176155</v>
      </c>
      <c r="L47" s="42">
        <v>0.54007474521183452</v>
      </c>
      <c r="M47" s="26"/>
      <c r="N47" s="43">
        <v>2.2485211328848991E-2</v>
      </c>
      <c r="O47" s="44">
        <v>-5.1748603076492622E-2</v>
      </c>
      <c r="P47" s="44">
        <v>5.9152478615304732E-2</v>
      </c>
      <c r="Q47" s="45">
        <v>7.5802099975378609E-2</v>
      </c>
      <c r="R47" s="26"/>
      <c r="S47" s="75">
        <f>S46/2</f>
        <v>2.8580372723940789E-2</v>
      </c>
      <c r="T47" s="85"/>
      <c r="U47" s="85"/>
      <c r="W47" s="12">
        <f t="shared" si="0"/>
        <v>44</v>
      </c>
      <c r="X47" s="62">
        <f t="array" aca="1" ref="X47:AA47" ca="1">simulate!AE47:AH47</f>
        <v>1.2263048598881667</v>
      </c>
      <c r="Y47" s="62">
        <f ca="1"/>
        <v>-0.26757096206644354</v>
      </c>
      <c r="Z47" s="62">
        <f ca="1"/>
        <v>1.247188188097843</v>
      </c>
      <c r="AA47" s="62">
        <f ca="1"/>
        <v>1.1883041118971152</v>
      </c>
      <c r="AB47" s="98">
        <f t="shared" si="1"/>
        <v>0</v>
      </c>
      <c r="AC47" s="62">
        <f t="array" aca="1" ref="AC47:AF47" ca="1">TRANSPOSE($G$44:$G$47 + MMULT($I$44:$L$47,TRANSPOSE(AR46:AU46)))</f>
        <v>0.7203885672792758</v>
      </c>
      <c r="AD47" s="62">
        <f ca="1"/>
        <v>0.61349549189341746</v>
      </c>
      <c r="AE47" s="62">
        <f ca="1"/>
        <v>3.2284672444680806E-2</v>
      </c>
      <c r="AF47" s="62">
        <f ca="1"/>
        <v>6.7090977186013617E-2</v>
      </c>
      <c r="AG47" s="66" t="str">
        <f t="array" ref="AG47">IF($AB47, Push(MMULT($I$44:$L$47,MMULT(Fetch(AV46),TRANSPOSE($I$44:$L$47))) + $N$44:$Q$47), "")</f>
        <v/>
      </c>
      <c r="AH47" s="62">
        <f t="array" aca="1" ref="AH47:AK47" ca="1">TRANSPOSE($G$38:$G$41 + MMULT($I$38:$L$41,TRANSPOSE(AC47:AF47)))</f>
        <v>0.74752191070822605</v>
      </c>
      <c r="AI47" s="62">
        <f ca="1"/>
        <v>0.84418519790772739</v>
      </c>
      <c r="AJ47" s="62">
        <f ca="1"/>
        <v>0.22971980914398105</v>
      </c>
      <c r="AK47" s="62">
        <f ca="1"/>
        <v>3.7363436760903146E-2</v>
      </c>
      <c r="AL47" s="66" t="str">
        <f t="array" ref="AL47">IF($AB47, Push(MINVERSE(MMULT($I$38:$L$41,MMULT(Fetch(AG47),TRANSPOSE($I$38:$L$41))) + $N$38:$Q$41)), "")</f>
        <v/>
      </c>
      <c r="AM47" s="62">
        <f t="array" aca="1" ref="AM47:AP47" ca="1">X47:AA47 - AH47:AK47</f>
        <v>0.47878294917994069</v>
      </c>
      <c r="AN47" s="62">
        <f ca="1"/>
        <v>-1.111756159974171</v>
      </c>
      <c r="AO47" s="62">
        <f ca="1"/>
        <v>1.0174683789538621</v>
      </c>
      <c r="AP47" s="62">
        <f ca="1"/>
        <v>1.1509406751362121</v>
      </c>
      <c r="AQ47" s="66" t="str">
        <f t="array" ref="AQ47">IF($AB47, Push(MMULT(Fetch(AG47),MMULT(TRANSPOSE($I$38:$L$41),Fetch(AL47)))), "")</f>
        <v/>
      </c>
      <c r="AR47" s="62">
        <f t="array" aca="1" ref="AR47:AU47" ca="1">AC47:AF47 + TRANSPOSE(MMULT(IF($AB47,Fetch(AQ47),$L$61:$O$64),TRANSPOSE(AM47:AP47)))</f>
        <v>0.7610572908065123</v>
      </c>
      <c r="AS47" s="62">
        <f ca="1"/>
        <v>-8.9081042365469099E-2</v>
      </c>
      <c r="AT47" s="62">
        <f ca="1"/>
        <v>1.2759044780762809</v>
      </c>
      <c r="AU47" s="62">
        <f ca="1"/>
        <v>0.8773846820045238</v>
      </c>
      <c r="AV47" s="66" t="str">
        <f t="array" ref="AV47">IF($AB47, Push(Fetch(AG47) - MMULT(Fetch(AQ47),MMULT($I$38:$L$41,Fetch(AG47)))), "")</f>
        <v/>
      </c>
      <c r="AW47" s="97">
        <f t="array" aca="1" ref="AW47" ca="1">IF($AB47,LN(MDETERM(Fetch(AL47))),$J$65)   -   MMULT(AM47:AP47,MMULT(IF($AB47,Fetch(AL47),$G$61:$J$64),TRANSPOSE(AM47:AP47)))</f>
        <v>-8.779035158813473</v>
      </c>
    </row>
    <row r="48" spans="1:49" ht="11.25" thickBot="1" x14ac:dyDescent="0.2">
      <c r="A48" s="70"/>
      <c r="B48" s="70"/>
      <c r="C48" s="71"/>
      <c r="D48" s="71"/>
      <c r="E48" s="71"/>
      <c r="F48" s="71"/>
      <c r="G48" s="71"/>
      <c r="H48" s="71"/>
      <c r="I48" s="71"/>
      <c r="J48" s="71"/>
      <c r="K48" s="71"/>
      <c r="L48" s="70"/>
      <c r="M48" s="70"/>
      <c r="N48" s="70"/>
      <c r="O48" s="70"/>
      <c r="P48" s="70"/>
      <c r="Q48" s="70"/>
      <c r="R48" s="70"/>
      <c r="S48" s="70"/>
      <c r="T48" s="70"/>
      <c r="U48" s="70"/>
      <c r="V48" s="72"/>
      <c r="W48" s="12">
        <f t="shared" si="0"/>
        <v>45</v>
      </c>
      <c r="X48" s="62">
        <f t="array" aca="1" ref="X48:AA48" ca="1">simulate!AE48:AH48</f>
        <v>1.7625701391085413</v>
      </c>
      <c r="Y48" s="62">
        <f ca="1"/>
        <v>1.5472689705080187</v>
      </c>
      <c r="Z48" s="62">
        <f ca="1"/>
        <v>0.35179837288363275</v>
      </c>
      <c r="AA48" s="62">
        <f ca="1"/>
        <v>0.51545743807554534</v>
      </c>
      <c r="AB48" s="98">
        <f t="shared" si="1"/>
        <v>0</v>
      </c>
      <c r="AC48" s="62">
        <f t="array" aca="1" ref="AC48:AF48" ca="1">TRANSPOSE($G$44:$G$47 + MMULT($I$44:$L$47,TRANSPOSE(AR47:AU47)))</f>
        <v>0.80483787105029836</v>
      </c>
      <c r="AD48" s="62">
        <f ca="1"/>
        <v>0.37859271402427885</v>
      </c>
      <c r="AE48" s="62">
        <f ca="1"/>
        <v>0.96086674332305944</v>
      </c>
      <c r="AF48" s="62">
        <f ca="1"/>
        <v>0.90797013405636751</v>
      </c>
      <c r="AG48" s="66" t="str">
        <f t="array" ref="AG48">IF($AB48, Push(MMULT($I$44:$L$47,MMULT(Fetch(AV47),TRANSPOSE($I$44:$L$47))) + $N$44:$Q$47), "")</f>
        <v/>
      </c>
      <c r="AH48" s="62">
        <f t="array" aca="1" ref="AH48:AK48" ca="1">TRANSPOSE($G$38:$G$41 + MMULT($I$38:$L$41,TRANSPOSE(AC48:AF48)))</f>
        <v>1.1717976237679448</v>
      </c>
      <c r="AI48" s="62">
        <f ca="1"/>
        <v>0.5987233853047641</v>
      </c>
      <c r="AJ48" s="62">
        <f ca="1"/>
        <v>0.96753992579763781</v>
      </c>
      <c r="AK48" s="62">
        <f ca="1"/>
        <v>0.95769680684825698</v>
      </c>
      <c r="AL48" s="66" t="str">
        <f t="array" ref="AL48">IF($AB48, Push(MINVERSE(MMULT($I$38:$L$41,MMULT(Fetch(AG48),TRANSPOSE($I$38:$L$41))) + $N$38:$Q$41)), "")</f>
        <v/>
      </c>
      <c r="AM48" s="62">
        <f t="array" aca="1" ref="AM48:AP48" ca="1">X48:AA48 - AH48:AK48</f>
        <v>0.59077251534059649</v>
      </c>
      <c r="AN48" s="62">
        <f ca="1"/>
        <v>0.9485455852032546</v>
      </c>
      <c r="AO48" s="62">
        <f ca="1"/>
        <v>-0.61574155291400512</v>
      </c>
      <c r="AP48" s="62">
        <f ca="1"/>
        <v>-0.44223936877271164</v>
      </c>
      <c r="AQ48" s="66" t="str">
        <f t="array" ref="AQ48">IF($AB48, Push(MMULT(Fetch(AG48),MMULT(TRANSPOSE($I$38:$L$41),Fetch(AL48)))), "")</f>
        <v/>
      </c>
      <c r="AR48" s="62">
        <f t="array" aca="1" ref="AR48:AU48" ca="1">AC48:AF48 + TRANSPOSE(MMULT(IF($AB48,Fetch(AQ48),$L$61:$O$64),TRANSPOSE(AM48:AP48)))</f>
        <v>1.1672243388775185</v>
      </c>
      <c r="AS48" s="62">
        <f ca="1"/>
        <v>0.85795097144767629</v>
      </c>
      <c r="AT48" s="62">
        <f ca="1"/>
        <v>0.6605238116351797</v>
      </c>
      <c r="AU48" s="62">
        <f ca="1"/>
        <v>0.51151141729693661</v>
      </c>
      <c r="AV48" s="66" t="str">
        <f t="array" ref="AV48">IF($AB48, Push(Fetch(AG48) - MMULT(Fetch(AQ48),MMULT($I$38:$L$41,Fetch(AG48)))), "")</f>
        <v/>
      </c>
      <c r="AW48" s="97">
        <f t="array" aca="1" ref="AW48" ca="1">IF($AB48,LN(MDETERM(Fetch(AL48))),$J$65)   -   MMULT(AM48:AP48,MMULT(IF($AB48,Fetch(AL48),$G$61:$J$64),TRANSPOSE(AM48:AP48)))</f>
        <v>-1.5685811194789849</v>
      </c>
    </row>
    <row r="49" spans="1:49" ht="11.25" thickTop="1" x14ac:dyDescent="0.15">
      <c r="B49" s="10"/>
      <c r="C49" s="10"/>
      <c r="D49" s="10"/>
      <c r="E49" s="23"/>
      <c r="F49" s="10"/>
      <c r="G49" s="23"/>
      <c r="L49" s="22"/>
      <c r="M49" s="22"/>
      <c r="N49" s="22"/>
      <c r="O49" s="22"/>
      <c r="Q49" s="11"/>
      <c r="R49" s="11"/>
      <c r="S49" s="11"/>
      <c r="T49" s="11"/>
      <c r="U49" s="11"/>
      <c r="W49" s="12">
        <f t="shared" si="0"/>
        <v>46</v>
      </c>
      <c r="X49" s="62">
        <f t="array" aca="1" ref="X49:AA49" ca="1">simulate!AE49:AH49</f>
        <v>1.8637698608097768</v>
      </c>
      <c r="Y49" s="62">
        <f ca="1"/>
        <v>0.9033992311445771</v>
      </c>
      <c r="Z49" s="62">
        <f ca="1"/>
        <v>0.29485956214091424</v>
      </c>
      <c r="AA49" s="62">
        <f ca="1"/>
        <v>1.1676099486006861</v>
      </c>
      <c r="AB49" s="98">
        <f t="shared" si="1"/>
        <v>0</v>
      </c>
      <c r="AC49" s="62">
        <f t="array" aca="1" ref="AC49:AF49" ca="1">TRANSPOSE($G$44:$G$47 + MMULT($I$44:$L$47,TRANSPOSE(AR48:AU48)))</f>
        <v>1.1029635527752912</v>
      </c>
      <c r="AD49" s="62">
        <f ca="1"/>
        <v>0.83889080890509959</v>
      </c>
      <c r="AE49" s="62">
        <f ca="1"/>
        <v>0.75704142695090026</v>
      </c>
      <c r="AF49" s="62">
        <f ca="1"/>
        <v>0.6973900186681703</v>
      </c>
      <c r="AG49" s="66" t="str">
        <f t="array" ref="AG49">IF($AB49, Push(MMULT($I$44:$L$47,MMULT(Fetch(AV48),TRANSPOSE($I$44:$L$47))) + $N$44:$Q$47), "")</f>
        <v/>
      </c>
      <c r="AH49" s="62">
        <f t="array" aca="1" ref="AH49:AK49" ca="1">TRANSPOSE($G$38:$G$41 + MMULT($I$38:$L$41,TRANSPOSE(AC49:AF49)))</f>
        <v>1.2909135309218704</v>
      </c>
      <c r="AI49" s="62">
        <f ca="1"/>
        <v>1.1207838609875735</v>
      </c>
      <c r="AJ49" s="62">
        <f ca="1"/>
        <v>0.75103325944584176</v>
      </c>
      <c r="AK49" s="62">
        <f ca="1"/>
        <v>0.72741192531238807</v>
      </c>
      <c r="AL49" s="66" t="str">
        <f t="array" ref="AL49">IF($AB49, Push(MINVERSE(MMULT($I$38:$L$41,MMULT(Fetch(AG49),TRANSPOSE($I$38:$L$41))) + $N$38:$Q$41)), "")</f>
        <v/>
      </c>
      <c r="AM49" s="62">
        <f t="array" aca="1" ref="AM49:AP49" ca="1">X49:AA49 - AH49:AK49</f>
        <v>0.57285632988790636</v>
      </c>
      <c r="AN49" s="62">
        <f ca="1"/>
        <v>-0.21738462984299645</v>
      </c>
      <c r="AO49" s="62">
        <f ca="1"/>
        <v>-0.45617369730492752</v>
      </c>
      <c r="AP49" s="62">
        <f ca="1"/>
        <v>0.44019802328829805</v>
      </c>
      <c r="AQ49" s="66" t="str">
        <f t="array" ref="AQ49">IF($AB49, Push(MMULT(Fetch(AG49),MMULT(TRANSPOSE($I$38:$L$41),Fetch(AL49)))), "")</f>
        <v/>
      </c>
      <c r="AR49" s="62">
        <f t="array" aca="1" ref="AR49:AU49" ca="1">AC49:AF49 + TRANSPOSE(MMULT(IF($AB49,Fetch(AQ49),$L$61:$O$64),TRANSPOSE(AM49:AP49)))</f>
        <v>1.1164739883624195</v>
      </c>
      <c r="AS49" s="62">
        <f ca="1"/>
        <v>0.79799689736595003</v>
      </c>
      <c r="AT49" s="62">
        <f ca="1"/>
        <v>1.2052224697752021</v>
      </c>
      <c r="AU49" s="62">
        <f ca="1"/>
        <v>0.66577322134445716</v>
      </c>
      <c r="AV49" s="66" t="str">
        <f t="array" ref="AV49">IF($AB49, Push(Fetch(AG49) - MMULT(Fetch(AQ49),MMULT($I$38:$L$41,Fetch(AG49)))), "")</f>
        <v/>
      </c>
      <c r="AW49" s="97">
        <f t="array" aca="1" ref="AW49" ca="1">IF($AB49,LN(MDETERM(Fetch(AL49))),$J$65)   -   MMULT(AM49:AP49,MMULT(IF($AB49,Fetch(AL49),$G$61:$J$64),TRANSPOSE(AM49:AP49)))</f>
        <v>2.6600041586240266</v>
      </c>
    </row>
    <row r="50" spans="1:49" x14ac:dyDescent="0.15">
      <c r="B50" s="135" t="s">
        <v>35</v>
      </c>
      <c r="C50" s="135"/>
      <c r="D50" s="135"/>
      <c r="E50" s="135"/>
      <c r="F50" s="46"/>
      <c r="G50" s="46"/>
      <c r="H50" s="46"/>
      <c r="I50" s="46"/>
      <c r="J50" s="7"/>
      <c r="K50" s="22"/>
      <c r="L50" s="22"/>
      <c r="M50" s="22"/>
      <c r="O50" s="11"/>
      <c r="P50" s="11"/>
      <c r="Q50" s="11"/>
      <c r="R50" s="11"/>
      <c r="S50" s="11"/>
      <c r="W50" s="12">
        <f t="shared" si="0"/>
        <v>47</v>
      </c>
      <c r="X50" s="62">
        <f t="array" aca="1" ref="X50:AA50" ca="1">simulate!AE50:AH50</f>
        <v>0.28109475139690304</v>
      </c>
      <c r="Y50" s="62">
        <f ca="1"/>
        <v>1.3196394755316494</v>
      </c>
      <c r="Z50" s="62">
        <f ca="1"/>
        <v>0.70374166311091046</v>
      </c>
      <c r="AA50" s="62">
        <f ca="1"/>
        <v>1.0019980314195363</v>
      </c>
      <c r="AB50" s="98">
        <f t="shared" si="1"/>
        <v>0</v>
      </c>
      <c r="AC50" s="62">
        <f t="array" aca="1" ref="AC50:AF50" ca="1">TRANSPOSE($G$44:$G$47 + MMULT($I$44:$L$47,TRANSPOSE(AR49:AU49)))</f>
        <v>1.1128686792363283</v>
      </c>
      <c r="AD50" s="62">
        <f ca="1"/>
        <v>0.88986285544555488</v>
      </c>
      <c r="AE50" s="62">
        <f ca="1"/>
        <v>1.0607020890796546</v>
      </c>
      <c r="AF50" s="62">
        <f ca="1"/>
        <v>0.86243343560479402</v>
      </c>
      <c r="AG50" s="66" t="str">
        <f t="array" ref="AG50">IF($AB50, Push(MMULT($I$44:$L$47,MMULT(Fetch(AV49),TRANSPOSE($I$44:$L$47))) + $N$44:$Q$47), "")</f>
        <v/>
      </c>
      <c r="AH50" s="62">
        <f t="array" aca="1" ref="AH50:AK50" ca="1">TRANSPOSE($G$38:$G$41 + MMULT($I$38:$L$41,TRANSPOSE(AC50:AF50)))</f>
        <v>1.44147645674368</v>
      </c>
      <c r="AI50" s="62">
        <f ca="1"/>
        <v>1.1236981041847296</v>
      </c>
      <c r="AJ50" s="62">
        <f ca="1"/>
        <v>0.84510253519057388</v>
      </c>
      <c r="AK50" s="62">
        <f ca="1"/>
        <v>1.0284412796497124</v>
      </c>
      <c r="AL50" s="66" t="str">
        <f t="array" ref="AL50">IF($AB50, Push(MINVERSE(MMULT($I$38:$L$41,MMULT(Fetch(AG50),TRANSPOSE($I$38:$L$41))) + $N$38:$Q$41)), "")</f>
        <v/>
      </c>
      <c r="AM50" s="62">
        <f t="array" aca="1" ref="AM50:AP50" ca="1">X50:AA50 - AH50:AK50</f>
        <v>-1.1603817053467769</v>
      </c>
      <c r="AN50" s="62">
        <f ca="1"/>
        <v>0.1959413713469198</v>
      </c>
      <c r="AO50" s="62">
        <f ca="1"/>
        <v>-0.14136087207966341</v>
      </c>
      <c r="AP50" s="62">
        <f ca="1"/>
        <v>-2.6443248230176186E-2</v>
      </c>
      <c r="AQ50" s="66" t="str">
        <f t="array" ref="AQ50">IF($AB50, Push(MMULT(Fetch(AG50),MMULT(TRANSPOSE($I$38:$L$41),Fetch(AL50)))), "")</f>
        <v/>
      </c>
      <c r="AR50" s="62">
        <f t="array" aca="1" ref="AR50:AU50" ca="1">AC50:AF50 + TRANSPOSE(MMULT(IF($AB50,Fetch(AQ50),$L$61:$O$64),TRANSPOSE(AM50:AP50)))</f>
        <v>0.58582072530677143</v>
      </c>
      <c r="AS50" s="62">
        <f ca="1"/>
        <v>1.2284276378775392</v>
      </c>
      <c r="AT50" s="62">
        <f ca="1"/>
        <v>0.57369455926011437</v>
      </c>
      <c r="AU50" s="62">
        <f ca="1"/>
        <v>0.7927483240951354</v>
      </c>
      <c r="AV50" s="66" t="str">
        <f t="array" ref="AV50">IF($AB50, Push(Fetch(AG50) - MMULT(Fetch(AQ50),MMULT($I$38:$L$41,Fetch(AG50)))), "")</f>
        <v/>
      </c>
      <c r="AW50" s="97">
        <f t="array" aca="1" ref="AW50" ca="1">IF($AB50,LN(MDETERM(Fetch(AL50))),$J$65)   -   MMULT(AM50:AP50,MMULT(IF($AB50,Fetch(AL50),$G$61:$J$64),TRANSPOSE(AM50:AP50)))</f>
        <v>-3.746976465470194</v>
      </c>
    </row>
    <row r="51" spans="1:49" x14ac:dyDescent="0.15">
      <c r="B51" s="136" t="s">
        <v>21</v>
      </c>
      <c r="C51" s="136"/>
      <c r="D51" s="21">
        <v>20</v>
      </c>
      <c r="J51" s="22"/>
      <c r="K51" s="22"/>
      <c r="L51" s="22"/>
      <c r="M51" s="22"/>
      <c r="O51" s="11"/>
      <c r="P51" s="11"/>
      <c r="Q51" s="11"/>
      <c r="R51" s="11"/>
      <c r="S51" s="11"/>
      <c r="W51" s="12">
        <f t="shared" si="0"/>
        <v>48</v>
      </c>
      <c r="X51" s="62">
        <f t="array" aca="1" ref="X51:AA51" ca="1">simulate!AE51:AH51</f>
        <v>1.3124775242465021</v>
      </c>
      <c r="Y51" s="62">
        <f ca="1"/>
        <v>0.71808110262858571</v>
      </c>
      <c r="Z51" s="62">
        <f ca="1"/>
        <v>1.6297421048138958</v>
      </c>
      <c r="AA51" s="62">
        <f ca="1"/>
        <v>0.63546500761199265</v>
      </c>
      <c r="AB51" s="98">
        <f t="shared" si="1"/>
        <v>0</v>
      </c>
      <c r="AC51" s="62">
        <f t="array" aca="1" ref="AC51:AF51" ca="1">TRANSPOSE($G$44:$G$47 + MMULT($I$44:$L$47,TRANSPOSE(AR50:AU50)))</f>
        <v>0.85112362841947364</v>
      </c>
      <c r="AD51" s="62">
        <f ca="1"/>
        <v>0.95174889641824822</v>
      </c>
      <c r="AE51" s="62">
        <f ca="1"/>
        <v>0.77053177588026678</v>
      </c>
      <c r="AF51" s="62">
        <f ca="1"/>
        <v>0.83361357288074167</v>
      </c>
      <c r="AG51" s="66" t="str">
        <f t="array" ref="AG51">IF($AB51, Push(MMULT($I$44:$L$47,MMULT(Fetch(AV50),TRANSPOSE($I$44:$L$47))) + $N$44:$Q$47), "")</f>
        <v/>
      </c>
      <c r="AH51" s="62">
        <f t="array" aca="1" ref="AH51:AK51" ca="1">TRANSPOSE($G$38:$G$41 + MMULT($I$38:$L$41,TRANSPOSE(AC51:AF51)))</f>
        <v>1.0745918856811785</v>
      </c>
      <c r="AI51" s="62">
        <f ca="1"/>
        <v>1.1492724024357148</v>
      </c>
      <c r="AJ51" s="62">
        <f ca="1"/>
        <v>0.7233255362201767</v>
      </c>
      <c r="AK51" s="62">
        <f ca="1"/>
        <v>0.9431079441290986</v>
      </c>
      <c r="AL51" s="66" t="str">
        <f t="array" ref="AL51">IF($AB51, Push(MINVERSE(MMULT($I$38:$L$41,MMULT(Fetch(AG51),TRANSPOSE($I$38:$L$41))) + $N$38:$Q$41)), "")</f>
        <v/>
      </c>
      <c r="AM51" s="62">
        <f t="array" aca="1" ref="AM51:AP51" ca="1">X51:AA51 - AH51:AK51</f>
        <v>0.23788563856532363</v>
      </c>
      <c r="AN51" s="62">
        <f ca="1"/>
        <v>-0.43119129980712911</v>
      </c>
      <c r="AO51" s="62">
        <f ca="1"/>
        <v>0.90641656859371911</v>
      </c>
      <c r="AP51" s="62">
        <f ca="1"/>
        <v>-0.30764293651710595</v>
      </c>
      <c r="AQ51" s="66" t="str">
        <f t="array" ref="AQ51">IF($AB51, Push(MMULT(Fetch(AG51),MMULT(TRANSPOSE($I$38:$L$41),Fetch(AL51)))), "")</f>
        <v/>
      </c>
      <c r="AR51" s="62">
        <f t="array" aca="1" ref="AR51:AU51" ca="1">AC51:AF51 + TRANSPOSE(MMULT(IF($AB51,Fetch(AQ51),$L$61:$O$64),TRANSPOSE(AM51:AP51)))</f>
        <v>1.1882210348037634</v>
      </c>
      <c r="AS51" s="62">
        <f ca="1"/>
        <v>0.41316430077769561</v>
      </c>
      <c r="AT51" s="62">
        <f ca="1"/>
        <v>0.86153531244036041</v>
      </c>
      <c r="AU51" s="62">
        <f ca="1"/>
        <v>1.093361729322293</v>
      </c>
      <c r="AV51" s="66" t="str">
        <f t="array" ref="AV51">IF($AB51, Push(Fetch(AG51) - MMULT(Fetch(AQ51),MMULT($I$38:$L$41,Fetch(AG51)))), "")</f>
        <v/>
      </c>
      <c r="AW51" s="97">
        <f t="array" aca="1" ref="AW51" ca="1">IF($AB51,LN(MDETERM(Fetch(AL51))),$J$65)   -   MMULT(AM51:AP51,MMULT(IF($AB51,Fetch(AL51),$G$61:$J$64),TRANSPOSE(AM51:AP51)))</f>
        <v>0.62917039444946266</v>
      </c>
    </row>
    <row r="52" spans="1:49" x14ac:dyDescent="0.15">
      <c r="B52" s="122" t="s">
        <v>20</v>
      </c>
      <c r="C52" s="122"/>
      <c r="D52" s="96">
        <f t="array" aca="1" ref="D52" ca="1" xml:space="preserve"> MAX(ABS(B61:T64 - B55:T58))</f>
        <v>8.8817841970012523E-16</v>
      </c>
      <c r="J52" s="22"/>
      <c r="K52" s="22"/>
      <c r="L52" s="22"/>
      <c r="M52" s="22"/>
      <c r="O52" s="11"/>
      <c r="P52" s="11"/>
      <c r="Q52" s="11"/>
      <c r="R52" s="11"/>
      <c r="S52" s="11"/>
      <c r="W52" s="12">
        <f t="shared" si="0"/>
        <v>49</v>
      </c>
      <c r="X52" s="62">
        <f t="array" aca="1" ref="X52:AA52" ca="1">simulate!AE52:AH52</f>
        <v>0.6999611287497951</v>
      </c>
      <c r="Y52" s="62">
        <f ca="1"/>
        <v>9.7093298691816377E-2</v>
      </c>
      <c r="Z52" s="62">
        <f ca="1"/>
        <v>0.69750502209724363</v>
      </c>
      <c r="AA52" s="62">
        <f ca="1"/>
        <v>-0.12121154094493285</v>
      </c>
      <c r="AB52" s="98">
        <f t="shared" si="1"/>
        <v>0</v>
      </c>
      <c r="AC52" s="62">
        <f t="array" aca="1" ref="AC52:AF52" ca="1">TRANSPOSE($G$44:$G$47 + MMULT($I$44:$L$47,TRANSPOSE(AR51:AU51)))</f>
        <v>1.0907487228905715</v>
      </c>
      <c r="AD52" s="62">
        <f ca="1"/>
        <v>0.67324794580035929</v>
      </c>
      <c r="AE52" s="62">
        <f ca="1"/>
        <v>0.88099059921133172</v>
      </c>
      <c r="AF52" s="62">
        <f ca="1"/>
        <v>1.0136163108749838</v>
      </c>
      <c r="AG52" s="66" t="str">
        <f t="array" ref="AG52">IF($AB52, Push(MMULT($I$44:$L$47,MMULT(Fetch(AV51),TRANSPOSE($I$44:$L$47))) + $N$44:$Q$47), "")</f>
        <v/>
      </c>
      <c r="AH52" s="62">
        <f t="array" aca="1" ref="AH52:AK52" ca="1">TRANSPOSE($G$38:$G$41 + MMULT($I$38:$L$41,TRANSPOSE(AC52:AF52)))</f>
        <v>1.2798498463500765</v>
      </c>
      <c r="AI52" s="62">
        <f ca="1"/>
        <v>1.0024150025198539</v>
      </c>
      <c r="AJ52" s="62">
        <f ca="1"/>
        <v>1.0618199137140576</v>
      </c>
      <c r="AK52" s="62">
        <f ca="1"/>
        <v>0.9069315317933444</v>
      </c>
      <c r="AL52" s="66" t="str">
        <f t="array" ref="AL52">IF($AB52, Push(MINVERSE(MMULT($I$38:$L$41,MMULT(Fetch(AG52),TRANSPOSE($I$38:$L$41))) + $N$38:$Q$41)), "")</f>
        <v/>
      </c>
      <c r="AM52" s="62">
        <f t="array" aca="1" ref="AM52:AP52" ca="1">X52:AA52 - AH52:AK52</f>
        <v>-0.57988871760028138</v>
      </c>
      <c r="AN52" s="62">
        <f ca="1"/>
        <v>-0.90532170382803756</v>
      </c>
      <c r="AO52" s="62">
        <f ca="1"/>
        <v>-0.36431489161681396</v>
      </c>
      <c r="AP52" s="62">
        <f ca="1"/>
        <v>-1.0281430727382772</v>
      </c>
      <c r="AQ52" s="66" t="str">
        <f t="array" ref="AQ52">IF($AB52, Push(MMULT(Fetch(AG52),MMULT(TRANSPOSE($I$38:$L$41),Fetch(AL52)))), "")</f>
        <v/>
      </c>
      <c r="AR52" s="62">
        <f t="array" aca="1" ref="AR52:AU52" ca="1">AC52:AF52 + TRANSPOSE(MMULT(IF($AB52,Fetch(AQ52),$L$61:$O$64),TRANSPOSE(AM52:AP52)))</f>
        <v>0.8241846050161038</v>
      </c>
      <c r="AS52" s="62">
        <f ca="1"/>
        <v>0.13027876340007272</v>
      </c>
      <c r="AT52" s="62">
        <f ca="1"/>
        <v>4.5867272573187789E-2</v>
      </c>
      <c r="AU52" s="62">
        <f ca="1"/>
        <v>0.4978164062634024</v>
      </c>
      <c r="AV52" s="66" t="str">
        <f t="array" ref="AV52">IF($AB52, Push(Fetch(AG52) - MMULT(Fetch(AQ52),MMULT($I$38:$L$41,Fetch(AG52)))), "")</f>
        <v/>
      </c>
      <c r="AW52" s="97">
        <f t="array" aca="1" ref="AW52" ca="1">IF($AB52,LN(MDETERM(Fetch(AL52))),$J$65)   -   MMULT(AM52:AP52,MMULT(IF($AB52,Fetch(AL52),$G$61:$J$64),TRANSPOSE(AM52:AP52)))</f>
        <v>-9.5889665681199165</v>
      </c>
    </row>
    <row r="53" spans="1:49" x14ac:dyDescent="0.15">
      <c r="B53" s="14"/>
      <c r="K53" s="6"/>
      <c r="W53" s="12">
        <f t="shared" si="0"/>
        <v>50</v>
      </c>
      <c r="X53" s="62">
        <f t="array" aca="1" ref="X53:AA53" ca="1">simulate!AE53:AH53</f>
        <v>0.71327398271863574</v>
      </c>
      <c r="Y53" s="62">
        <f ca="1"/>
        <v>1.4035649706208995</v>
      </c>
      <c r="Z53" s="62">
        <f ca="1"/>
        <v>-0.17998908497951627</v>
      </c>
      <c r="AA53" s="62">
        <f ca="1"/>
        <v>0.45721521611630739</v>
      </c>
      <c r="AB53" s="98">
        <f t="shared" si="1"/>
        <v>0</v>
      </c>
      <c r="AC53" s="62">
        <f t="array" aca="1" ref="AC53:AF53" ca="1">TRANSPOSE($G$44:$G$47 + MMULT($I$44:$L$47,TRANSPOSE(AR52:AU52)))</f>
        <v>0.76559573715877804</v>
      </c>
      <c r="AD53" s="62">
        <f ca="1"/>
        <v>0.29825897066324275</v>
      </c>
      <c r="AE53" s="62">
        <f ca="1"/>
        <v>0.2804907613723655</v>
      </c>
      <c r="AF53" s="62">
        <f ca="1"/>
        <v>0.5219148969610744</v>
      </c>
      <c r="AG53" s="66" t="str">
        <f t="array" ref="AG53">IF($AB53, Push(MMULT($I$44:$L$47,MMULT(Fetch(AV52),TRANSPOSE($I$44:$L$47))) + $N$44:$Q$47), "")</f>
        <v/>
      </c>
      <c r="AH53" s="62">
        <f t="array" aca="1" ref="AH53:AK53" ca="1">TRANSPOSE($G$38:$G$41 + MMULT($I$38:$L$41,TRANSPOSE(AC53:AF53)))</f>
        <v>0.82508064803496217</v>
      </c>
      <c r="AI53" s="62">
        <f ca="1"/>
        <v>0.61220414129753031</v>
      </c>
      <c r="AJ53" s="62">
        <f ca="1"/>
        <v>0.72372984646766891</v>
      </c>
      <c r="AK53" s="62">
        <f ca="1"/>
        <v>0.29429208009966046</v>
      </c>
      <c r="AL53" s="66" t="str">
        <f t="array" ref="AL53">IF($AB53, Push(MINVERSE(MMULT($I$38:$L$41,MMULT(Fetch(AG53),TRANSPOSE($I$38:$L$41))) + $N$38:$Q$41)), "")</f>
        <v/>
      </c>
      <c r="AM53" s="62">
        <f t="array" aca="1" ref="AM53:AP53" ca="1">X53:AA53 - AH53:AK53</f>
        <v>-0.11180666531632644</v>
      </c>
      <c r="AN53" s="62">
        <f ca="1"/>
        <v>0.79136082932336915</v>
      </c>
      <c r="AO53" s="62">
        <f ca="1"/>
        <v>-0.90371893144718518</v>
      </c>
      <c r="AP53" s="62">
        <f ca="1"/>
        <v>0.16292313601664693</v>
      </c>
      <c r="AQ53" s="66" t="str">
        <f t="array" ref="AQ53">IF($AB53, Push(MMULT(Fetch(AG53),MMULT(TRANSPOSE($I$38:$L$41),Fetch(AL53)))), "")</f>
        <v/>
      </c>
      <c r="AR53" s="62">
        <f t="array" aca="1" ref="AR53:AU53" ca="1">AC53:AF53 + TRANSPOSE(MMULT(IF($AB53,Fetch(AQ53),$L$61:$O$64),TRANSPOSE(AM53:AP53)))</f>
        <v>0.57549318058063803</v>
      </c>
      <c r="AS53" s="62">
        <f ca="1"/>
        <v>0.99101109726962422</v>
      </c>
      <c r="AT53" s="62">
        <f ca="1"/>
        <v>9.5005919198458411E-2</v>
      </c>
      <c r="AU53" s="62">
        <f ca="1"/>
        <v>0.21572499557009983</v>
      </c>
      <c r="AV53" s="66" t="str">
        <f t="array" ref="AV53">IF($AB53, Push(Fetch(AG53) - MMULT(Fetch(AQ53),MMULT($I$38:$L$41,Fetch(AG53)))), "")</f>
        <v/>
      </c>
      <c r="AW53" s="97">
        <f t="array" aca="1" ref="AW53" ca="1">IF($AB53,LN(MDETERM(Fetch(AL53))),$J$65)   -   MMULT(AM53:AP53,MMULT(IF($AB53,Fetch(AL53),$G$61:$J$64),TRANSPOSE(AM53:AP53)))</f>
        <v>0.6927284729095371</v>
      </c>
    </row>
    <row r="54" spans="1:49" x14ac:dyDescent="0.15">
      <c r="B54" s="129" t="str">
        <f>AG3</f>
        <v>Vx(i|h)</v>
      </c>
      <c r="C54" s="129"/>
      <c r="D54" s="93" t="s">
        <v>40</v>
      </c>
      <c r="E54" s="101">
        <f ca="1">OFFSET(AG$3, $D$51-1, 0)</f>
        <v>3322</v>
      </c>
      <c r="G54" s="129" t="str">
        <f>AL3</f>
        <v>1\Vy(i|h)</v>
      </c>
      <c r="H54" s="129"/>
      <c r="I54" s="93" t="s">
        <v>40</v>
      </c>
      <c r="J54" s="101">
        <f ca="1">OFFSET(AL$3, $D$51-1, 0)</f>
        <v>3822</v>
      </c>
      <c r="K54" s="6"/>
      <c r="L54" s="129" t="str">
        <f>AQ3</f>
        <v>K(i)</v>
      </c>
      <c r="M54" s="129"/>
      <c r="N54" s="93" t="s">
        <v>40</v>
      </c>
      <c r="O54" s="101">
        <f ca="1">OFFSET(AQ$3, $D$51-1, 0)</f>
        <v>4322</v>
      </c>
      <c r="Q54" s="129" t="str">
        <f>AV2</f>
        <v>Vx(i|i)</v>
      </c>
      <c r="R54" s="129"/>
      <c r="S54" s="93" t="s">
        <v>40</v>
      </c>
      <c r="T54" s="101">
        <f ca="1">OFFSET(AV$3, $D$51-1, 0)</f>
        <v>4822</v>
      </c>
      <c r="W54" s="12">
        <f t="shared" si="0"/>
        <v>51</v>
      </c>
      <c r="X54" s="62">
        <f t="array" aca="1" ref="X54:AA54" ca="1">simulate!AE54:AH54</f>
        <v>-0.22222461924614234</v>
      </c>
      <c r="Y54" s="62">
        <f ca="1"/>
        <v>-0.22519165408006325</v>
      </c>
      <c r="Z54" s="62">
        <f ca="1"/>
        <v>1.0676490664947424</v>
      </c>
      <c r="AA54" s="62">
        <f ca="1"/>
        <v>2.2876079645529623E-2</v>
      </c>
      <c r="AB54" s="98">
        <f t="shared" si="1"/>
        <v>0</v>
      </c>
      <c r="AC54" s="62">
        <f t="array" aca="1" ref="AC54:AF54" ca="1">TRANSPOSE($G$44:$G$47 + MMULT($I$44:$L$47,TRANSPOSE(AR53:AU53)))</f>
        <v>0.74860640127287303</v>
      </c>
      <c r="AD54" s="62">
        <f ca="1"/>
        <v>0.70993309715339603</v>
      </c>
      <c r="AE54" s="62">
        <f ca="1"/>
        <v>0.38732771627236506</v>
      </c>
      <c r="AF54" s="62">
        <f ca="1"/>
        <v>0.42686163671804522</v>
      </c>
      <c r="AG54" s="66" t="str">
        <f t="array" ref="AG54">IF($AB54, Push(MMULT($I$44:$L$47,MMULT(Fetch(AV53),TRANSPOSE($I$44:$L$47))) + $N$44:$Q$47), "")</f>
        <v/>
      </c>
      <c r="AH54" s="62">
        <f t="array" aca="1" ref="AH54:AK54" ca="1">TRANSPOSE($G$38:$G$41 + MMULT($I$38:$L$41,TRANSPOSE(AC54:AF54)))</f>
        <v>0.88606412280380753</v>
      </c>
      <c r="AI54" s="62">
        <f ca="1"/>
        <v>0.91863099033817897</v>
      </c>
      <c r="AJ54" s="62">
        <f ca="1"/>
        <v>0.47146075308941571</v>
      </c>
      <c r="AK54" s="62">
        <f ca="1"/>
        <v>0.46446078371068772</v>
      </c>
      <c r="AL54" s="66" t="str">
        <f t="array" ref="AL54">IF($AB54, Push(MINVERSE(MMULT($I$38:$L$41,MMULT(Fetch(AG54),TRANSPOSE($I$38:$L$41))) + $N$38:$Q$41)), "")</f>
        <v/>
      </c>
      <c r="AM54" s="62">
        <f t="array" aca="1" ref="AM54:AP54" ca="1">X54:AA54 - AH54:AK54</f>
        <v>-1.1082887420499499</v>
      </c>
      <c r="AN54" s="62">
        <f ca="1"/>
        <v>-1.1438226444182422</v>
      </c>
      <c r="AO54" s="62">
        <f ca="1"/>
        <v>0.59618831340532674</v>
      </c>
      <c r="AP54" s="62">
        <f ca="1"/>
        <v>-0.4415847040651581</v>
      </c>
      <c r="AQ54" s="66" t="str">
        <f t="array" ref="AQ54">IF($AB54, Push(MMULT(Fetch(AG54),MMULT(TRANSPOSE($I$38:$L$41),Fetch(AL54)))), "")</f>
        <v/>
      </c>
      <c r="AR54" s="62">
        <f t="array" aca="1" ref="AR54:AU54" ca="1">AC54:AF54 + TRANSPOSE(MMULT(IF($AB54,Fetch(AQ54),$L$61:$O$64),TRANSPOSE(AM54:AP54)))</f>
        <v>0.31343486089378991</v>
      </c>
      <c r="AS54" s="62">
        <f ca="1"/>
        <v>3.8113643245229922E-2</v>
      </c>
      <c r="AT54" s="62">
        <f ca="1"/>
        <v>-6.0980997874454657E-2</v>
      </c>
      <c r="AU54" s="62">
        <f ca="1"/>
        <v>0.50356149439667852</v>
      </c>
      <c r="AV54" s="66" t="str">
        <f t="array" ref="AV54">IF($AB54, Push(Fetch(AG54) - MMULT(Fetch(AQ54),MMULT($I$38:$L$41,Fetch(AG54)))), "")</f>
        <v/>
      </c>
      <c r="AW54" s="97">
        <f t="array" aca="1" ref="AW54" ca="1">IF($AB54,LN(MDETERM(Fetch(AL54))),$J$65)   -   MMULT(AM54:AP54,MMULT(IF($AB54,Fetch(AL54),$G$61:$J$64),TRANSPOSE(AM54:AP54)))</f>
        <v>-3.4309558005713772</v>
      </c>
    </row>
    <row r="55" spans="1:49" x14ac:dyDescent="0.15">
      <c r="B55" s="30">
        <f t="array" aca="1" ref="B55:E58" ca="1">Fetch(E54)</f>
        <v>8.9689216979054992E-2</v>
      </c>
      <c r="C55" s="31">
        <f ca="1"/>
        <v>1.6006071988569581E-2</v>
      </c>
      <c r="D55" s="31">
        <f ca="1"/>
        <v>4.8299491856264427E-2</v>
      </c>
      <c r="E55" s="32">
        <f ca="1"/>
        <v>2.5851615093481651E-2</v>
      </c>
      <c r="F55" s="13"/>
      <c r="G55" s="30">
        <f t="array" aca="1" ref="G55:J58" ca="1">Fetch(J54)</f>
        <v>7.6649372269172558</v>
      </c>
      <c r="H55" s="31">
        <f ca="1"/>
        <v>-2.6492306230502707</v>
      </c>
      <c r="I55" s="31">
        <f ca="1"/>
        <v>-1.0847118619529996</v>
      </c>
      <c r="J55" s="32">
        <f ca="1"/>
        <v>-5.1226000430272052</v>
      </c>
      <c r="K55" s="6"/>
      <c r="L55" s="30">
        <f t="array" aca="1" ref="L55:O58" ca="1">Fetch(O54)</f>
        <v>0.45522458788086639</v>
      </c>
      <c r="M55" s="31">
        <f ca="1"/>
        <v>0.15673639405830292</v>
      </c>
      <c r="N55" s="31">
        <f ca="1"/>
        <v>0.25083431485495145</v>
      </c>
      <c r="O55" s="32">
        <f ca="1"/>
        <v>-0.22438026990577697</v>
      </c>
      <c r="Q55" s="30">
        <f t="array" aca="1" ref="Q55:T58" ca="1">Fetch(T54)</f>
        <v>3.488551933438571E-2</v>
      </c>
      <c r="R55" s="31">
        <f ca="1"/>
        <v>1.5873458895185578E-2</v>
      </c>
      <c r="S55" s="31">
        <f ca="1"/>
        <v>7.2131072820120143E-3</v>
      </c>
      <c r="T55" s="32">
        <f ca="1"/>
        <v>2.9611235960206699E-3</v>
      </c>
      <c r="W55" s="12">
        <f t="shared" si="0"/>
        <v>52</v>
      </c>
      <c r="X55" s="62">
        <f t="array" aca="1" ref="X55:AA55" ca="1">simulate!AE55:AH55</f>
        <v>0.93649368262470611</v>
      </c>
      <c r="Y55" s="62">
        <f ca="1"/>
        <v>0.88764187459374422</v>
      </c>
      <c r="Z55" s="62">
        <f ca="1"/>
        <v>0.15750906545880083</v>
      </c>
      <c r="AA55" s="62">
        <f ca="1"/>
        <v>0.24143583251465259</v>
      </c>
      <c r="AB55" s="98">
        <f t="shared" si="1"/>
        <v>0</v>
      </c>
      <c r="AC55" s="62">
        <f t="array" aca="1" ref="AC55:AF55" ca="1">TRANSPOSE($G$44:$G$47 + MMULT($I$44:$L$47,TRANSPOSE(AR54:AU54)))</f>
        <v>0.46878330411083069</v>
      </c>
      <c r="AD55" s="62">
        <f ca="1"/>
        <v>0.1501541003235185</v>
      </c>
      <c r="AE55" s="62">
        <f ca="1"/>
        <v>0.17231399972977368</v>
      </c>
      <c r="AF55" s="62">
        <f ca="1"/>
        <v>0.47656477920669676</v>
      </c>
      <c r="AG55" s="66" t="str">
        <f t="array" ref="AG55">IF($AB55, Push(MMULT($I$44:$L$47,MMULT(Fetch(AV54),TRANSPOSE($I$44:$L$47))) + $N$44:$Q$47), "")</f>
        <v/>
      </c>
      <c r="AH55" s="62">
        <f t="array" aca="1" ref="AH55:AK55" ca="1">TRANSPOSE($G$38:$G$41 + MMULT($I$38:$L$41,TRANSPOSE(AC55:AF55)))</f>
        <v>0.56470141663245088</v>
      </c>
      <c r="AI55" s="62">
        <f ca="1"/>
        <v>0.39207887872873043</v>
      </c>
      <c r="AJ55" s="62">
        <f ca="1"/>
        <v>0.63742323993956718</v>
      </c>
      <c r="AK55" s="62">
        <f ca="1"/>
        <v>0.28479406594613232</v>
      </c>
      <c r="AL55" s="66" t="str">
        <f t="array" ref="AL55">IF($AB55, Push(MINVERSE(MMULT($I$38:$L$41,MMULT(Fetch(AG55),TRANSPOSE($I$38:$L$41))) + $N$38:$Q$41)), "")</f>
        <v/>
      </c>
      <c r="AM55" s="62">
        <f t="array" aca="1" ref="AM55:AP55" ca="1">X55:AA55 - AH55:AK55</f>
        <v>0.37179226599225523</v>
      </c>
      <c r="AN55" s="62">
        <f ca="1"/>
        <v>0.49556299586501379</v>
      </c>
      <c r="AO55" s="62">
        <f ca="1"/>
        <v>-0.47991417448076634</v>
      </c>
      <c r="AP55" s="62">
        <f ca="1"/>
        <v>-4.3358233431479737E-2</v>
      </c>
      <c r="AQ55" s="66" t="str">
        <f t="array" ref="AQ55">IF($AB55, Push(MMULT(Fetch(AG55),MMULT(TRANSPOSE($I$38:$L$41),Fetch(AL55)))), "")</f>
        <v/>
      </c>
      <c r="AR55" s="62">
        <f t="array" aca="1" ref="AR55:AU55" ca="1">AC55:AF55 + TRANSPOSE(MMULT(IF($AB55,Fetch(AQ55),$L$61:$O$64),TRANSPOSE(AM55:AP55)))</f>
        <v>0.60505483114999103</v>
      </c>
      <c r="AS55" s="62">
        <f ca="1"/>
        <v>0.46001046269406126</v>
      </c>
      <c r="AT55" s="62">
        <f ca="1"/>
        <v>0.13522984936280871</v>
      </c>
      <c r="AU55" s="62">
        <f ca="1"/>
        <v>0.2707242953633463</v>
      </c>
      <c r="AV55" s="66" t="str">
        <f t="array" ref="AV55">IF($AB55, Push(Fetch(AG55) - MMULT(Fetch(AQ55),MMULT($I$38:$L$41,Fetch(AG55)))), "")</f>
        <v/>
      </c>
      <c r="AW55" s="97">
        <f t="array" aca="1" ref="AW55" ca="1">IF($AB55,LN(MDETERM(Fetch(AL55))),$J$65)   -   MMULT(AM55:AP55,MMULT(IF($AB55,Fetch(AL55),$G$61:$J$64),TRANSPOSE(AM55:AP55)))</f>
        <v>4.9738464284010515</v>
      </c>
    </row>
    <row r="56" spans="1:49" x14ac:dyDescent="0.15">
      <c r="B56" s="36">
        <f ca="1"/>
        <v>1.600607198856957E-2</v>
      </c>
      <c r="C56" s="37">
        <f ca="1"/>
        <v>0.1376338673661251</v>
      </c>
      <c r="D56" s="37">
        <f ca="1"/>
        <v>-2.0554859439859879E-2</v>
      </c>
      <c r="E56" s="38">
        <f ca="1"/>
        <v>-5.111401396700864E-2</v>
      </c>
      <c r="F56" s="13"/>
      <c r="G56" s="36">
        <f ca="1"/>
        <v>-2.6492306230502702</v>
      </c>
      <c r="H56" s="37">
        <f ca="1"/>
        <v>6.4967099432066595</v>
      </c>
      <c r="I56" s="37">
        <f ca="1"/>
        <v>2.2698295253362506</v>
      </c>
      <c r="J56" s="38">
        <f ca="1"/>
        <v>2.2443972469710731</v>
      </c>
      <c r="K56" s="6"/>
      <c r="L56" s="36">
        <f ca="1"/>
        <v>-0.17442709727315431</v>
      </c>
      <c r="M56" s="37">
        <f ca="1"/>
        <v>0.57042996836531712</v>
      </c>
      <c r="N56" s="37">
        <f ca="1"/>
        <v>-0.2096824649869086</v>
      </c>
      <c r="O56" s="38">
        <f ca="1"/>
        <v>0.19849893190429257</v>
      </c>
      <c r="Q56" s="36">
        <f ca="1"/>
        <v>1.5873458895185561E-2</v>
      </c>
      <c r="R56" s="37">
        <f ca="1"/>
        <v>5.1695901731216576E-2</v>
      </c>
      <c r="S56" s="37">
        <f ca="1"/>
        <v>8.4782791044453361E-3</v>
      </c>
      <c r="T56" s="38">
        <f ca="1"/>
        <v>-1.5974116605093645E-2</v>
      </c>
      <c r="W56" s="12">
        <f t="shared" si="0"/>
        <v>53</v>
      </c>
      <c r="X56" s="62">
        <f t="array" aca="1" ref="X56:AA56" ca="1">simulate!AE56:AH56</f>
        <v>0.58168103293503304</v>
      </c>
      <c r="Y56" s="62">
        <f ca="1"/>
        <v>0.72376788878367559</v>
      </c>
      <c r="Z56" s="62">
        <f ca="1"/>
        <v>0.39586027922866673</v>
      </c>
      <c r="AA56" s="62">
        <f ca="1"/>
        <v>-0.13635211713538689</v>
      </c>
      <c r="AB56" s="98">
        <f t="shared" si="1"/>
        <v>0</v>
      </c>
      <c r="AC56" s="62">
        <f t="array" aca="1" ref="AC56:AF56" ca="1">TRANSPOSE($G$44:$G$47 + MMULT($I$44:$L$47,TRANSPOSE(AR55:AU55)))</f>
        <v>0.69149478081497029</v>
      </c>
      <c r="AD56" s="62">
        <f ca="1"/>
        <v>0.4378205245596436</v>
      </c>
      <c r="AE56" s="62">
        <f ca="1"/>
        <v>0.33308226999302881</v>
      </c>
      <c r="AF56" s="62">
        <f ca="1"/>
        <v>0.42671815301390498</v>
      </c>
      <c r="AG56" s="66" t="str">
        <f t="array" ref="AG56">IF($AB56, Push(MMULT($I$44:$L$47,MMULT(Fetch(AV55),TRANSPOSE($I$44:$L$47))) + $N$44:$Q$47), "")</f>
        <v/>
      </c>
      <c r="AH56" s="62">
        <f t="array" aca="1" ref="AH56:AK56" ca="1">TRANSPOSE($G$38:$G$41 + MMULT($I$38:$L$41,TRANSPOSE(AC56:AF56)))</f>
        <v>0.82518823576872924</v>
      </c>
      <c r="AI56" s="62">
        <f ca="1"/>
        <v>0.67424064194620648</v>
      </c>
      <c r="AJ56" s="62">
        <f ca="1"/>
        <v>0.55766759074811745</v>
      </c>
      <c r="AK56" s="62">
        <f ca="1"/>
        <v>0.36758228498179812</v>
      </c>
      <c r="AL56" s="66" t="str">
        <f t="array" ref="AL56">IF($AB56, Push(MINVERSE(MMULT($I$38:$L$41,MMULT(Fetch(AG56),TRANSPOSE($I$38:$L$41))) + $N$38:$Q$41)), "")</f>
        <v/>
      </c>
      <c r="AM56" s="62">
        <f t="array" aca="1" ref="AM56:AP56" ca="1">X56:AA56 - AH56:AK56</f>
        <v>-0.2435072028336962</v>
      </c>
      <c r="AN56" s="62">
        <f ca="1"/>
        <v>4.9527246837469119E-2</v>
      </c>
      <c r="AO56" s="62">
        <f ca="1"/>
        <v>-0.16180731151945071</v>
      </c>
      <c r="AP56" s="62">
        <f ca="1"/>
        <v>-0.50393440211718499</v>
      </c>
      <c r="AQ56" s="66" t="str">
        <f t="array" ref="AQ56">IF($AB56, Push(MMULT(Fetch(AG56),MMULT(TRANSPOSE($I$38:$L$41),Fetch(AL56)))), "")</f>
        <v/>
      </c>
      <c r="AR56" s="62">
        <f t="array" aca="1" ref="AR56:AU56" ca="1">AC56:AF56 + TRANSPOSE(MMULT(IF($AB56,Fetch(AQ56),$L$61:$O$64),TRANSPOSE(AM56:AP56)))</f>
        <v>0.660893147874276</v>
      </c>
      <c r="AS56" s="62">
        <f ca="1"/>
        <v>0.44244432032396286</v>
      </c>
      <c r="AT56" s="62">
        <f ca="1"/>
        <v>-0.12076291630917824</v>
      </c>
      <c r="AU56" s="62">
        <f ca="1"/>
        <v>0.18433170039432925</v>
      </c>
      <c r="AV56" s="66" t="str">
        <f t="array" ref="AV56">IF($AB56, Push(Fetch(AG56) - MMULT(Fetch(AQ56),MMULT($I$38:$L$41,Fetch(AG56)))), "")</f>
        <v/>
      </c>
      <c r="AW56" s="97">
        <f t="array" aca="1" ref="AW56" ca="1">IF($AB56,LN(MDETERM(Fetch(AL56))),$J$65)   -   MMULT(AM56:AP56,MMULT(IF($AB56,Fetch(AL56),$G$61:$J$64),TRANSPOSE(AM56:AP56)))</f>
        <v>5.2733354891009725</v>
      </c>
    </row>
    <row r="57" spans="1:49" x14ac:dyDescent="0.15">
      <c r="B57" s="36">
        <f ca="1"/>
        <v>4.8299491856264434E-2</v>
      </c>
      <c r="C57" s="37">
        <f ca="1"/>
        <v>-2.0554859439859879E-2</v>
      </c>
      <c r="D57" s="37">
        <f ca="1"/>
        <v>0.17190645334595733</v>
      </c>
      <c r="E57" s="38">
        <f ca="1"/>
        <v>6.2256379664288382E-2</v>
      </c>
      <c r="F57" s="13"/>
      <c r="G57" s="36">
        <f ca="1"/>
        <v>-1.0847118619529996</v>
      </c>
      <c r="H57" s="37">
        <f ca="1"/>
        <v>2.2698295253362502</v>
      </c>
      <c r="I57" s="37">
        <f ca="1"/>
        <v>5.5007340142033305</v>
      </c>
      <c r="J57" s="38">
        <f ca="1"/>
        <v>0.28650650167323843</v>
      </c>
      <c r="K57" s="6"/>
      <c r="L57" s="36">
        <f ca="1"/>
        <v>0.36285317451340121</v>
      </c>
      <c r="M57" s="37">
        <f ca="1"/>
        <v>-0.1259410112304909</v>
      </c>
      <c r="N57" s="37">
        <f ca="1"/>
        <v>0.16881983490848101</v>
      </c>
      <c r="O57" s="38">
        <f ca="1"/>
        <v>0.65868499585400775</v>
      </c>
      <c r="Q57" s="36">
        <f ca="1"/>
        <v>7.2131072820120004E-3</v>
      </c>
      <c r="R57" s="37">
        <f ca="1"/>
        <v>8.4782791044453847E-3</v>
      </c>
      <c r="S57" s="37">
        <f ca="1"/>
        <v>3.0309723457286858E-2</v>
      </c>
      <c r="T57" s="38">
        <f ca="1"/>
        <v>-6.3052785749489401E-3</v>
      </c>
      <c r="W57" s="12">
        <f t="shared" si="0"/>
        <v>54</v>
      </c>
      <c r="X57" s="62">
        <f t="array" aca="1" ref="X57:AA57" ca="1">simulate!AE57:AH57</f>
        <v>5.6297876189863247E-2</v>
      </c>
      <c r="Y57" s="62">
        <f ca="1"/>
        <v>0.46786589124014399</v>
      </c>
      <c r="Z57" s="62">
        <f ca="1"/>
        <v>0.10515408181660024</v>
      </c>
      <c r="AA57" s="62">
        <f ca="1"/>
        <v>9.6639917301029027E-2</v>
      </c>
      <c r="AB57" s="98">
        <f t="shared" si="1"/>
        <v>0</v>
      </c>
      <c r="AC57" s="62">
        <f t="array" aca="1" ref="AC57:AF57" ca="1">TRANSPOSE($G$44:$G$47 + MMULT($I$44:$L$47,TRANSPOSE(AR56:AU56)))</f>
        <v>0.69667786128679154</v>
      </c>
      <c r="AD57" s="62">
        <f ca="1"/>
        <v>0.39336496346661881</v>
      </c>
      <c r="AE57" s="62">
        <f ca="1"/>
        <v>0.18316443858374637</v>
      </c>
      <c r="AF57" s="62">
        <f ca="1"/>
        <v>0.3399297124291023</v>
      </c>
      <c r="AG57" s="66" t="str">
        <f t="array" ref="AG57">IF($AB57, Push(MMULT($I$44:$L$47,MMULT(Fetch(AV56),TRANSPOSE($I$44:$L$47))) + $N$44:$Q$47), "")</f>
        <v/>
      </c>
      <c r="AH57" s="62">
        <f t="array" aca="1" ref="AH57:AK57" ca="1">TRANSPOSE($G$38:$G$41 + MMULT($I$38:$L$41,TRANSPOSE(AC57:AF57)))</f>
        <v>0.76059440132102907</v>
      </c>
      <c r="AI57" s="62">
        <f ca="1"/>
        <v>0.65867762842441446</v>
      </c>
      <c r="AJ57" s="62">
        <f ca="1"/>
        <v>0.51801527565130057</v>
      </c>
      <c r="AK57" s="62">
        <f ca="1"/>
        <v>0.2062631171876298</v>
      </c>
      <c r="AL57" s="66" t="str">
        <f t="array" ref="AL57">IF($AB57, Push(MINVERSE(MMULT($I$38:$L$41,MMULT(Fetch(AG57),TRANSPOSE($I$38:$L$41))) + $N$38:$Q$41)), "")</f>
        <v/>
      </c>
      <c r="AM57" s="62">
        <f t="array" aca="1" ref="AM57:AP57" ca="1">X57:AA57 - AH57:AK57</f>
        <v>-0.70429652513116581</v>
      </c>
      <c r="AN57" s="62">
        <f ca="1"/>
        <v>-0.19081173718427047</v>
      </c>
      <c r="AO57" s="62">
        <f ca="1"/>
        <v>-0.41286119383470032</v>
      </c>
      <c r="AP57" s="62">
        <f ca="1"/>
        <v>-0.10962319988660077</v>
      </c>
      <c r="AQ57" s="66" t="str">
        <f t="array" ref="AQ57">IF($AB57, Push(MMULT(Fetch(AG57),MMULT(TRANSPOSE($I$38:$L$41),Fetch(AL57)))), "")</f>
        <v/>
      </c>
      <c r="AR57" s="62">
        <f t="array" aca="1" ref="AR57:AU57" ca="1">AC57:AF57 + TRANSPOSE(MMULT(IF($AB57,Fetch(AQ57),$L$61:$O$64),TRANSPOSE(AM57:AP57)))</f>
        <v>0.26719515075053313</v>
      </c>
      <c r="AS57" s="62">
        <f ca="1"/>
        <v>0.47217829349033952</v>
      </c>
      <c r="AT57" s="62">
        <f ca="1"/>
        <v>-0.19026708376932217</v>
      </c>
      <c r="AU57" s="62">
        <f ca="1"/>
        <v>0.12954817765589888</v>
      </c>
      <c r="AV57" s="66" t="str">
        <f t="array" ref="AV57">IF($AB57, Push(Fetch(AG57) - MMULT(Fetch(AQ57),MMULT($I$38:$L$41,Fetch(AG57)))), "")</f>
        <v/>
      </c>
      <c r="AW57" s="97">
        <f t="array" aca="1" ref="AW57" ca="1">IF($AB57,LN(MDETERM(Fetch(AL57))),$J$65)   -   MMULT(AM57:AP57,MMULT(IF($AB57,Fetch(AL57),$G$61:$J$64),TRANSPOSE(AM57:AP57)))</f>
        <v>3.8751661924360774</v>
      </c>
    </row>
    <row r="58" spans="1:49" x14ac:dyDescent="0.15">
      <c r="B58" s="43">
        <f ca="1"/>
        <v>2.5851615093481654E-2</v>
      </c>
      <c r="C58" s="44">
        <f ca="1"/>
        <v>-5.111401396700864E-2</v>
      </c>
      <c r="D58" s="44">
        <f ca="1"/>
        <v>6.2256379664288382E-2</v>
      </c>
      <c r="E58" s="45">
        <f ca="1"/>
        <v>8.2952792424566782E-2</v>
      </c>
      <c r="F58" s="13"/>
      <c r="G58" s="43">
        <f ca="1"/>
        <v>-5.1226000430272043</v>
      </c>
      <c r="H58" s="44">
        <f ca="1"/>
        <v>2.2443972469710736</v>
      </c>
      <c r="I58" s="44">
        <f ca="1"/>
        <v>0.28650650167323849</v>
      </c>
      <c r="J58" s="45">
        <f ca="1"/>
        <v>11.109152306316572</v>
      </c>
      <c r="K58" s="6"/>
      <c r="L58" s="43">
        <f ca="1"/>
        <v>3.6465804021647008E-3</v>
      </c>
      <c r="M58" s="44">
        <f ca="1"/>
        <v>6.9978350663489897E-3</v>
      </c>
      <c r="N58" s="44">
        <f ca="1"/>
        <v>0.40742278831867129</v>
      </c>
      <c r="O58" s="45">
        <f ca="1"/>
        <v>0.34909520120454918</v>
      </c>
      <c r="Q58" s="43">
        <f ca="1"/>
        <v>2.9611235960206629E-3</v>
      </c>
      <c r="R58" s="44">
        <f ca="1"/>
        <v>-1.5974116605093631E-2</v>
      </c>
      <c r="S58" s="44">
        <f ca="1"/>
        <v>-6.3052785749489401E-3</v>
      </c>
      <c r="T58" s="45">
        <f ca="1"/>
        <v>2.6646842749545652E-2</v>
      </c>
      <c r="W58" s="12">
        <f t="shared" si="0"/>
        <v>55</v>
      </c>
      <c r="X58" s="62">
        <f t="array" aca="1" ref="X58:AA58" ca="1">simulate!AE58:AH58</f>
        <v>0.50387917285358852</v>
      </c>
      <c r="Y58" s="62">
        <f ca="1"/>
        <v>-0.23794235693513421</v>
      </c>
      <c r="Z58" s="62">
        <f ca="1"/>
        <v>0.98969562119000876</v>
      </c>
      <c r="AA58" s="62">
        <f ca="1"/>
        <v>0.37344618992861273</v>
      </c>
      <c r="AB58" s="98">
        <f t="shared" si="1"/>
        <v>0</v>
      </c>
      <c r="AC58" s="62">
        <f t="array" aca="1" ref="AC58:AF58" ca="1">TRANSPOSE($G$44:$G$47 + MMULT($I$44:$L$47,TRANSPOSE(AR57:AU57)))</f>
        <v>0.48087166642281387</v>
      </c>
      <c r="AD58" s="62">
        <f ca="1"/>
        <v>0.33131715134812878</v>
      </c>
      <c r="AE58" s="62">
        <f ca="1"/>
        <v>0.11432224979382671</v>
      </c>
      <c r="AF58" s="62">
        <f ca="1"/>
        <v>0.28225501376751272</v>
      </c>
      <c r="AG58" s="66" t="str">
        <f t="array" ref="AG58">IF($AB58, Push(MMULT($I$44:$L$47,MMULT(Fetch(AV57),TRANSPOSE($I$44:$L$47))) + $N$44:$Q$47), "")</f>
        <v/>
      </c>
      <c r="AH58" s="62">
        <f t="array" aca="1" ref="AH58:AK58" ca="1">TRANSPOSE($G$38:$G$41 + MMULT($I$38:$L$41,TRANSPOSE(AC58:AF58)))</f>
        <v>0.58212192709850252</v>
      </c>
      <c r="AI58" s="62">
        <f ca="1"/>
        <v>0.53103033114267417</v>
      </c>
      <c r="AJ58" s="62">
        <f ca="1"/>
        <v>0.41638487589919215</v>
      </c>
      <c r="AK58" s="62">
        <f ca="1"/>
        <v>0.20985029452309864</v>
      </c>
      <c r="AL58" s="66" t="str">
        <f t="array" ref="AL58">IF($AB58, Push(MINVERSE(MMULT($I$38:$L$41,MMULT(Fetch(AG58),TRANSPOSE($I$38:$L$41))) + $N$38:$Q$41)), "")</f>
        <v/>
      </c>
      <c r="AM58" s="62">
        <f t="array" aca="1" ref="AM58:AP58" ca="1">X58:AA58 - AH58:AK58</f>
        <v>-7.8242754244914003E-2</v>
      </c>
      <c r="AN58" s="62">
        <f ca="1"/>
        <v>-0.76897268807780839</v>
      </c>
      <c r="AO58" s="62">
        <f ca="1"/>
        <v>0.5733107452908166</v>
      </c>
      <c r="AP58" s="62">
        <f ca="1"/>
        <v>0.16359589540551409</v>
      </c>
      <c r="AQ58" s="66" t="str">
        <f t="array" ref="AQ58">IF($AB58, Push(MMULT(Fetch(AG58),MMULT(TRANSPOSE($I$38:$L$41),Fetch(AL58)))), "")</f>
        <v/>
      </c>
      <c r="AR58" s="62">
        <f t="array" aca="1" ref="AR58:AU58" ca="1">AC58:AF58 + TRANSPOSE(MMULT(IF($AB58,Fetch(AQ58),$L$61:$O$64),TRANSPOSE(AM58:AP58)))</f>
        <v>0.43182595143581015</v>
      </c>
      <c r="AS58" s="62">
        <f ca="1"/>
        <v>-0.18141985805443039</v>
      </c>
      <c r="AT58" s="62">
        <f ca="1"/>
        <v>0.38732120303670342</v>
      </c>
      <c r="AU58" s="62">
        <f ca="1"/>
        <v>0.56727895567384268</v>
      </c>
      <c r="AV58" s="66" t="str">
        <f t="array" ref="AV58">IF($AB58, Push(Fetch(AG58) - MMULT(Fetch(AQ58),MMULT($I$38:$L$41,Fetch(AG58)))), "")</f>
        <v/>
      </c>
      <c r="AW58" s="97">
        <f t="array" aca="1" ref="AW58" ca="1">IF($AB58,LN(MDETERM(Fetch(AL58))),$J$65)   -   MMULT(AM58:AP58,MMULT(IF($AB58,Fetch(AL58),$G$61:$J$64),TRANSPOSE(AM58:AP58)))</f>
        <v>3.9372402248567893</v>
      </c>
    </row>
    <row r="59" spans="1:49" x14ac:dyDescent="0.15">
      <c r="B59" s="14"/>
      <c r="F59" s="13"/>
      <c r="G59" s="13"/>
      <c r="H59" s="13"/>
      <c r="I59" s="13"/>
      <c r="J59" s="13"/>
      <c r="K59" s="6"/>
      <c r="W59" s="12">
        <f t="shared" si="0"/>
        <v>56</v>
      </c>
      <c r="X59" s="62">
        <f t="array" aca="1" ref="X59:AA59" ca="1">simulate!AE59:AH59</f>
        <v>0.74371553273478641</v>
      </c>
      <c r="Y59" s="62">
        <f ca="1"/>
        <v>0.22602346754689409</v>
      </c>
      <c r="Z59" s="62">
        <f ca="1"/>
        <v>-0.67485591677076728</v>
      </c>
      <c r="AA59" s="62">
        <f ca="1"/>
        <v>1.1148200301145528</v>
      </c>
      <c r="AB59" s="98">
        <f t="shared" si="1"/>
        <v>0</v>
      </c>
      <c r="AC59" s="62">
        <f t="array" aca="1" ref="AC59:AF59" ca="1">TRANSPOSE($G$44:$G$47 + MMULT($I$44:$L$47,TRANSPOSE(AR58:AU58)))</f>
        <v>0.53520808076813609</v>
      </c>
      <c r="AD59" s="62">
        <f ca="1"/>
        <v>0.12169197269781071</v>
      </c>
      <c r="AE59" s="62">
        <f ca="1"/>
        <v>0.39664444204227733</v>
      </c>
      <c r="AF59" s="62">
        <f ca="1"/>
        <v>0.57382533471457275</v>
      </c>
      <c r="AG59" s="66" t="str">
        <f t="array" ref="AG59">IF($AB59, Push(MMULT($I$44:$L$47,MMULT(Fetch(AV58),TRANSPOSE($I$44:$L$47))) + $N$44:$Q$47), "")</f>
        <v/>
      </c>
      <c r="AH59" s="62">
        <f t="array" aca="1" ref="AH59:AK59" ca="1">TRANSPOSE($G$38:$G$41 + MMULT($I$38:$L$41,TRANSPOSE(AC59:AF59)))</f>
        <v>0.72874011398836847</v>
      </c>
      <c r="AI59" s="62">
        <f ca="1"/>
        <v>0.35364224952550422</v>
      </c>
      <c r="AJ59" s="62">
        <f ca="1"/>
        <v>0.73428115833463758</v>
      </c>
      <c r="AK59" s="62">
        <f ca="1"/>
        <v>0.44983521723338021</v>
      </c>
      <c r="AL59" s="66" t="str">
        <f t="array" ref="AL59">IF($AB59, Push(MINVERSE(MMULT($I$38:$L$41,MMULT(Fetch(AG59),TRANSPOSE($I$38:$L$41))) + $N$38:$Q$41)), "")</f>
        <v/>
      </c>
      <c r="AM59" s="62">
        <f t="array" aca="1" ref="AM59:AP59" ca="1">X59:AA59 - AH59:AK59</f>
        <v>1.4975418746417946E-2</v>
      </c>
      <c r="AN59" s="62">
        <f ca="1"/>
        <v>-0.12761878197861012</v>
      </c>
      <c r="AO59" s="62">
        <f ca="1"/>
        <v>-1.4091370751054049</v>
      </c>
      <c r="AP59" s="62">
        <f ca="1"/>
        <v>0.66498481288117262</v>
      </c>
      <c r="AQ59" s="66" t="str">
        <f t="array" ref="AQ59">IF($AB59, Push(MMULT(Fetch(AG59),MMULT(TRANSPOSE($I$38:$L$41),Fetch(AL59)))), "")</f>
        <v/>
      </c>
      <c r="AR59" s="62">
        <f t="array" aca="1" ref="AR59:AU59" ca="1">AC59:AF59 + TRANSPOSE(MMULT(IF($AB59,Fetch(AQ59),$L$61:$O$64),TRANSPOSE(AM59:AP59)))</f>
        <v>1.9353347325582915E-2</v>
      </c>
      <c r="AS59" s="62">
        <f ca="1"/>
        <v>0.4737523866105765</v>
      </c>
      <c r="AT59" s="62">
        <f ca="1"/>
        <v>0.61827598906137138</v>
      </c>
      <c r="AU59" s="62">
        <f ca="1"/>
        <v>0.23101533938349472</v>
      </c>
      <c r="AV59" s="66" t="str">
        <f t="array" ref="AV59">IF($AB59, Push(Fetch(AG59) - MMULT(Fetch(AQ59),MMULT($I$38:$L$41,Fetch(AG59)))), "")</f>
        <v/>
      </c>
      <c r="AW59" s="97">
        <f t="array" aca="1" ref="AW59" ca="1">IF($AB59,LN(MDETERM(Fetch(AL59))),$J$65)   -   MMULT(AM59:AP59,MMULT(IF($AB59,Fetch(AL59),$G$61:$J$64),TRANSPOSE(AM59:AP59)))</f>
        <v>-8.4665667970714882</v>
      </c>
    </row>
    <row r="60" spans="1:49" x14ac:dyDescent="0.15">
      <c r="B60" s="130" t="str">
        <f>B54</f>
        <v>Vx(i|h)</v>
      </c>
      <c r="C60" s="130"/>
      <c r="D60" s="93" t="s">
        <v>40</v>
      </c>
      <c r="E60" s="101">
        <f ca="1">OFFSET(AG$3, $D$51, 0)</f>
        <v>3323</v>
      </c>
      <c r="F60" s="13"/>
      <c r="G60" s="130" t="str">
        <f>G54</f>
        <v>1\Vy(i|h)</v>
      </c>
      <c r="H60" s="130"/>
      <c r="I60" s="93" t="s">
        <v>40</v>
      </c>
      <c r="J60" s="101">
        <f ca="1">OFFSET(AL$3, $D$51, 0)</f>
        <v>3823</v>
      </c>
      <c r="K60" s="6"/>
      <c r="L60" s="130" t="str">
        <f>L54</f>
        <v>K(i)</v>
      </c>
      <c r="M60" s="130"/>
      <c r="N60" s="93" t="s">
        <v>40</v>
      </c>
      <c r="O60" s="101">
        <f ca="1">OFFSET(AQ$3, $D$51, 0)</f>
        <v>4323</v>
      </c>
      <c r="Q60" s="130" t="str">
        <f>Q54</f>
        <v>Vx(i|i)</v>
      </c>
      <c r="R60" s="130"/>
      <c r="S60" s="93" t="s">
        <v>40</v>
      </c>
      <c r="T60" s="101">
        <f ca="1">OFFSET(AV$3, $D$51, 0)</f>
        <v>4823</v>
      </c>
      <c r="W60" s="12">
        <f t="shared" si="0"/>
        <v>57</v>
      </c>
      <c r="X60" s="62">
        <f t="array" aca="1" ref="X60:AA60" ca="1">simulate!AE60:AH60</f>
        <v>0.3142058115592537</v>
      </c>
      <c r="Y60" s="62">
        <f ca="1"/>
        <v>-0.23966571476548743</v>
      </c>
      <c r="Z60" s="62">
        <f ca="1"/>
        <v>1.5123285981610661</v>
      </c>
      <c r="AA60" s="62">
        <f ca="1"/>
        <v>0.65165140227676477</v>
      </c>
      <c r="AB60" s="98">
        <f t="shared" si="1"/>
        <v>0</v>
      </c>
      <c r="AC60" s="62">
        <f t="array" aca="1" ref="AC60:AF60" ca="1">TRANSPOSE($G$44:$G$47 + MMULT($I$44:$L$47,TRANSPOSE(AR59:AU59)))</f>
        <v>0.4096826352882893</v>
      </c>
      <c r="AD60" s="62">
        <f ca="1"/>
        <v>0.41880784312245822</v>
      </c>
      <c r="AE60" s="62">
        <f ca="1"/>
        <v>0.54862547766687453</v>
      </c>
      <c r="AF60" s="62">
        <f ca="1"/>
        <v>0.45653152183911433</v>
      </c>
      <c r="AG60" s="66" t="str">
        <f t="array" ref="AG60">IF($AB60, Push(MMULT($I$44:$L$47,MMULT(Fetch(AV59),TRANSPOSE($I$44:$L$47))) + $N$44:$Q$47), "")</f>
        <v/>
      </c>
      <c r="AH60" s="62">
        <f t="array" aca="1" ref="AH60:AK60" ca="1">TRANSPOSE($G$38:$G$41 + MMULT($I$38:$L$41,TRANSPOSE(AC60:AF60)))</f>
        <v>0.75319408736528914</v>
      </c>
      <c r="AI60" s="62">
        <f ca="1"/>
        <v>0.50419013449741257</v>
      </c>
      <c r="AJ60" s="62">
        <f ca="1"/>
        <v>0.46079053631338251</v>
      </c>
      <c r="AK60" s="62">
        <f ca="1"/>
        <v>0.65679117591176595</v>
      </c>
      <c r="AL60" s="66" t="str">
        <f t="array" ref="AL60">IF($AB60, Push(MINVERSE(MMULT($I$38:$L$41,MMULT(Fetch(AG60),TRANSPOSE($I$38:$L$41))) + $N$38:$Q$41)), "")</f>
        <v/>
      </c>
      <c r="AM60" s="62">
        <f t="array" aca="1" ref="AM60:AP60" ca="1">X60:AA60 - AH60:AK60</f>
        <v>-0.43898827580603544</v>
      </c>
      <c r="AN60" s="62">
        <f ca="1"/>
        <v>-0.74385584926289994</v>
      </c>
      <c r="AO60" s="62">
        <f ca="1"/>
        <v>1.0515380618476837</v>
      </c>
      <c r="AP60" s="62">
        <f ca="1"/>
        <v>-5.1397736350011769E-3</v>
      </c>
      <c r="AQ60" s="66" t="str">
        <f t="array" ref="AQ60">IF($AB60, Push(MMULT(Fetch(AG60),MMULT(TRANSPOSE($I$38:$L$41),Fetch(AL60)))), "")</f>
        <v/>
      </c>
      <c r="AR60" s="62">
        <f t="array" aca="1" ref="AR60:AU60" ca="1">AC60:AF60 + TRANSPOSE(MMULT(IF($AB60,Fetch(AQ60),$L$61:$O$64),TRANSPOSE(AM60:AP60)))</f>
        <v>0.35817018792025462</v>
      </c>
      <c r="AS60" s="62">
        <f ca="1"/>
        <v>-0.1504477071676964</v>
      </c>
      <c r="AT60" s="62">
        <f ca="1"/>
        <v>0.657154136308024</v>
      </c>
      <c r="AU60" s="62">
        <f ca="1"/>
        <v>0.87635163411943728</v>
      </c>
      <c r="AV60" s="66" t="str">
        <f t="array" ref="AV60">IF($AB60, Push(Fetch(AG60) - MMULT(Fetch(AQ60),MMULT($I$38:$L$41,Fetch(AG60)))), "")</f>
        <v/>
      </c>
      <c r="AW60" s="97">
        <f t="array" aca="1" ref="AW60" ca="1">IF($AB60,LN(MDETERM(Fetch(AL60))),$J$65)   -   MMULT(AM60:AP60,MMULT(IF($AB60,Fetch(AL60),$G$61:$J$64),TRANSPOSE(AM60:AP60)))</f>
        <v>0.46265183570798563</v>
      </c>
    </row>
    <row r="61" spans="1:49" x14ac:dyDescent="0.15">
      <c r="B61" s="30">
        <f t="array" aca="1" ref="B61:E64" ca="1">Fetch(E60)</f>
        <v>8.9689216979054992E-2</v>
      </c>
      <c r="C61" s="31">
        <f ca="1"/>
        <v>1.6006071988569587E-2</v>
      </c>
      <c r="D61" s="31">
        <f ca="1"/>
        <v>4.8299491856264434E-2</v>
      </c>
      <c r="E61" s="32">
        <f ca="1"/>
        <v>2.5851615093481651E-2</v>
      </c>
      <c r="F61" s="13"/>
      <c r="G61" s="30">
        <f t="array" aca="1" ref="G61:J64" ca="1">Fetch(J60)</f>
        <v>7.6649372269172567</v>
      </c>
      <c r="H61" s="31">
        <f ca="1"/>
        <v>-2.6492306230502711</v>
      </c>
      <c r="I61" s="31">
        <f ca="1"/>
        <v>-1.0847118619529994</v>
      </c>
      <c r="J61" s="32">
        <f ca="1"/>
        <v>-5.1226000430272061</v>
      </c>
      <c r="K61" s="6"/>
      <c r="L61" s="30">
        <f t="array" aca="1" ref="L61:O64" ca="1">Fetch(O60)</f>
        <v>0.4552245878808665</v>
      </c>
      <c r="M61" s="31">
        <f ca="1"/>
        <v>0.15673639405830297</v>
      </c>
      <c r="N61" s="31">
        <f ca="1"/>
        <v>0.25083431485495145</v>
      </c>
      <c r="O61" s="32">
        <f ca="1"/>
        <v>-0.22438026990577703</v>
      </c>
      <c r="Q61" s="30">
        <f t="array" aca="1" ref="Q61:T64" ca="1">Fetch(T60)</f>
        <v>3.488551933438569E-2</v>
      </c>
      <c r="R61" s="31">
        <f ca="1"/>
        <v>1.5873458895185575E-2</v>
      </c>
      <c r="S61" s="31">
        <f ca="1"/>
        <v>7.2131072820120212E-3</v>
      </c>
      <c r="T61" s="32">
        <f ca="1"/>
        <v>2.9611235960206768E-3</v>
      </c>
      <c r="W61" s="12">
        <f t="shared" si="0"/>
        <v>58</v>
      </c>
      <c r="X61" s="62">
        <f t="array" aca="1" ref="X61:AA61" ca="1">simulate!AE61:AH61</f>
        <v>0.5167372722071486</v>
      </c>
      <c r="Y61" s="62">
        <f ca="1"/>
        <v>0.63637508077101446</v>
      </c>
      <c r="Z61" s="62">
        <f ca="1"/>
        <v>0.61243282633159901</v>
      </c>
      <c r="AA61" s="62">
        <f ca="1"/>
        <v>0.71220665799530791</v>
      </c>
      <c r="AB61" s="98">
        <f t="shared" si="1"/>
        <v>0</v>
      </c>
      <c r="AC61" s="62">
        <f t="array" aca="1" ref="AC61:AF61" ca="1">TRANSPOSE($G$44:$G$47 + MMULT($I$44:$L$47,TRANSPOSE(AR60:AU60)))</f>
        <v>0.53407244108928897</v>
      </c>
      <c r="AD61" s="62">
        <f ca="1"/>
        <v>0.18839435030629728</v>
      </c>
      <c r="AE61" s="62">
        <f ca="1"/>
        <v>0.58789998049382264</v>
      </c>
      <c r="AF61" s="62">
        <f ca="1"/>
        <v>0.78322281014316486</v>
      </c>
      <c r="AG61" s="66" t="str">
        <f t="array" ref="AG61">IF($AB61, Push(MMULT($I$44:$L$47,MMULT(Fetch(AV60),TRANSPOSE($I$44:$L$47))) + $N$44:$Q$47), "")</f>
        <v/>
      </c>
      <c r="AH61" s="62">
        <f t="array" aca="1" ref="AH61:AK61" ca="1">TRANSPOSE($G$38:$G$41 + MMULT($I$38:$L$41,TRANSPOSE(AC61:AF61)))</f>
        <v>0.78646484036396624</v>
      </c>
      <c r="AI61" s="62">
        <f ca="1"/>
        <v>0.40362081774909842</v>
      </c>
      <c r="AJ61" s="62">
        <f ca="1"/>
        <v>0.86560894327018678</v>
      </c>
      <c r="AK61" s="62">
        <f ca="1"/>
        <v>0.69843025368316058</v>
      </c>
      <c r="AL61" s="66" t="str">
        <f t="array" ref="AL61">IF($AB61, Push(MINVERSE(MMULT($I$38:$L$41,MMULT(Fetch(AG61),TRANSPOSE($I$38:$L$41))) + $N$38:$Q$41)), "")</f>
        <v/>
      </c>
      <c r="AM61" s="62">
        <f t="array" aca="1" ref="AM61:AP61" ca="1">X61:AA61 - AH61:AK61</f>
        <v>-0.26972756815681764</v>
      </c>
      <c r="AN61" s="62">
        <f ca="1"/>
        <v>0.23275426302191604</v>
      </c>
      <c r="AO61" s="62">
        <f ca="1"/>
        <v>-0.25317611693858777</v>
      </c>
      <c r="AP61" s="62">
        <f ca="1"/>
        <v>1.3776404312147328E-2</v>
      </c>
      <c r="AQ61" s="66" t="str">
        <f t="array" ref="AQ61">IF($AB61, Push(MMULT(Fetch(AG61),MMULT(TRANSPOSE($I$38:$L$41),Fetch(AL61)))), "")</f>
        <v/>
      </c>
      <c r="AR61" s="62">
        <f t="array" aca="1" ref="AR61:AU61" ca="1">AC61:AF61 + TRANSPOSE(MMULT(IF($AB61,Fetch(AQ61),$L$61:$O$64),TRANSPOSE(AM61:AP61)))</f>
        <v>0.38117047277492777</v>
      </c>
      <c r="AS61" s="62">
        <f ca="1"/>
        <v>0.42403334778386198</v>
      </c>
      <c r="AT61" s="62">
        <f ca="1"/>
        <v>0.42704832943404103</v>
      </c>
      <c r="AU61" s="62">
        <f ca="1"/>
        <v>0.68552755995922854</v>
      </c>
      <c r="AV61" s="66" t="str">
        <f t="array" ref="AV61">IF($AB61, Push(Fetch(AG61) - MMULT(Fetch(AQ61),MMULT($I$38:$L$41,Fetch(AG61)))), "")</f>
        <v/>
      </c>
      <c r="AW61" s="97">
        <f t="array" aca="1" ref="AW61" ca="1">IF($AB61,LN(MDETERM(Fetch(AL61))),$J$65)   -   MMULT(AM61:AP61,MMULT(IF($AB61,Fetch(AL61),$G$61:$J$64),TRANSPOSE(AM61:AP61)))</f>
        <v>6.0967401977040758</v>
      </c>
    </row>
    <row r="62" spans="1:49" x14ac:dyDescent="0.15">
      <c r="A62" s="11"/>
      <c r="B62" s="36">
        <f ca="1"/>
        <v>1.6006071988569574E-2</v>
      </c>
      <c r="C62" s="37">
        <f ca="1"/>
        <v>0.1376338673661251</v>
      </c>
      <c r="D62" s="37">
        <f ca="1"/>
        <v>-2.0554859439859886E-2</v>
      </c>
      <c r="E62" s="38">
        <f ca="1"/>
        <v>-5.1114013967008647E-2</v>
      </c>
      <c r="F62" s="13"/>
      <c r="G62" s="36">
        <f ca="1"/>
        <v>-2.6492306230502702</v>
      </c>
      <c r="H62" s="37">
        <f ca="1"/>
        <v>6.4967099432066595</v>
      </c>
      <c r="I62" s="37">
        <f ca="1"/>
        <v>2.2698295253362506</v>
      </c>
      <c r="J62" s="38">
        <f ca="1"/>
        <v>2.2443972469710731</v>
      </c>
      <c r="K62" s="6"/>
      <c r="L62" s="36">
        <f ca="1"/>
        <v>-0.17442709727315436</v>
      </c>
      <c r="M62" s="37">
        <f ca="1"/>
        <v>0.57042996836531712</v>
      </c>
      <c r="N62" s="37">
        <f ca="1"/>
        <v>-0.2096824649869086</v>
      </c>
      <c r="O62" s="38">
        <f ca="1"/>
        <v>0.19849893190429235</v>
      </c>
      <c r="Q62" s="36">
        <f ca="1"/>
        <v>1.5873458895185565E-2</v>
      </c>
      <c r="R62" s="37">
        <f ca="1"/>
        <v>5.1695901731216576E-2</v>
      </c>
      <c r="S62" s="37">
        <f ca="1"/>
        <v>8.4782791044453638E-3</v>
      </c>
      <c r="T62" s="38">
        <f ca="1"/>
        <v>-1.5974116605093625E-2</v>
      </c>
      <c r="W62" s="12">
        <f t="shared" si="0"/>
        <v>59</v>
      </c>
      <c r="X62" s="62">
        <f t="array" aca="1" ref="X62:AA62" ca="1">simulate!AE62:AH62</f>
        <v>0.80070547187677743</v>
      </c>
      <c r="Y62" s="62">
        <f ca="1"/>
        <v>-0.16212881455617917</v>
      </c>
      <c r="Z62" s="62">
        <f ca="1"/>
        <v>0.70982480522467339</v>
      </c>
      <c r="AA62" s="62">
        <f ca="1"/>
        <v>0.54908085339002577</v>
      </c>
      <c r="AB62" s="98">
        <f t="shared" si="1"/>
        <v>0</v>
      </c>
      <c r="AC62" s="62">
        <f t="array" aca="1" ref="AC62:AF62" ca="1">TRANSPOSE($G$44:$G$47 + MMULT($I$44:$L$47,TRANSPOSE(AR61:AU61)))</f>
        <v>0.60596252733720379</v>
      </c>
      <c r="AD62" s="62">
        <f ca="1"/>
        <v>0.45475418458803551</v>
      </c>
      <c r="AE62" s="62">
        <f ca="1"/>
        <v>0.53029516405480115</v>
      </c>
      <c r="AF62" s="62">
        <f ca="1"/>
        <v>0.68480259333623827</v>
      </c>
      <c r="AG62" s="66" t="str">
        <f t="array" ref="AG62">IF($AB62, Push(MMULT($I$44:$L$47,MMULT(Fetch(AV61),TRANSPOSE($I$44:$L$47))) + $N$44:$Q$47), "")</f>
        <v/>
      </c>
      <c r="AH62" s="62">
        <f t="array" aca="1" ref="AH62:AK62" ca="1">TRANSPOSE($G$38:$G$41 + MMULT($I$38:$L$41,TRANSPOSE(AC62:AF62)))</f>
        <v>0.81511756724671991</v>
      </c>
      <c r="AI62" s="62">
        <f ca="1"/>
        <v>0.65767777295102336</v>
      </c>
      <c r="AJ62" s="62">
        <f ca="1"/>
        <v>0.7153822162120469</v>
      </c>
      <c r="AK62" s="62">
        <f ca="1"/>
        <v>0.66398297504272663</v>
      </c>
      <c r="AL62" s="66" t="str">
        <f t="array" ref="AL62">IF($AB62, Push(MINVERSE(MMULT($I$38:$L$41,MMULT(Fetch(AG62),TRANSPOSE($I$38:$L$41))) + $N$38:$Q$41)), "")</f>
        <v/>
      </c>
      <c r="AM62" s="62">
        <f t="array" aca="1" ref="AM62:AP62" ca="1">X62:AA62 - AH62:AK62</f>
        <v>-1.4412095369942479E-2</v>
      </c>
      <c r="AN62" s="62">
        <f ca="1"/>
        <v>-0.81980658750720248</v>
      </c>
      <c r="AO62" s="62">
        <f ca="1"/>
        <v>-5.5574109873735011E-3</v>
      </c>
      <c r="AP62" s="62">
        <f ca="1"/>
        <v>-0.11490212165270086</v>
      </c>
      <c r="AQ62" s="66" t="str">
        <f t="array" ref="AQ62">IF($AB62, Push(MMULT(Fetch(AG62),MMULT(TRANSPOSE($I$38:$L$41),Fetch(AL62)))), "")</f>
        <v/>
      </c>
      <c r="AR62" s="62">
        <f t="array" aca="1" ref="AR62:AU62" ca="1">AC62:AF62 + TRANSPOSE(MMULT(IF($AB62,Fetch(AQ62),$L$61:$O$64),TRANSPOSE(AM62:AP62)))</f>
        <v>0.49529603850259474</v>
      </c>
      <c r="AS62" s="62">
        <f ca="1"/>
        <v>-3.2016858015193994E-2</v>
      </c>
      <c r="AT62" s="62">
        <f ca="1"/>
        <v>0.55169045541266981</v>
      </c>
      <c r="AU62" s="62">
        <f ca="1"/>
        <v>0.63663717202853864</v>
      </c>
      <c r="AV62" s="66" t="str">
        <f t="array" ref="AV62">IF($AB62, Push(Fetch(AG62) - MMULT(Fetch(AQ62),MMULT($I$38:$L$41,Fetch(AG62)))), "")</f>
        <v/>
      </c>
      <c r="AW62" s="97">
        <f t="array" aca="1" ref="AW62" ca="1">IF($AB62,LN(MDETERM(Fetch(AL62))),$J$65)   -   MMULT(AM62:AP62,MMULT(IF($AB62,Fetch(AL62),$G$61:$J$64),TRANSPOSE(AM62:AP62)))</f>
        <v>2.449584883604393</v>
      </c>
    </row>
    <row r="63" spans="1:49" x14ac:dyDescent="0.15">
      <c r="A63" s="11"/>
      <c r="B63" s="36">
        <f ca="1"/>
        <v>4.8299491856264441E-2</v>
      </c>
      <c r="C63" s="37">
        <f ca="1"/>
        <v>-2.0554859439859872E-2</v>
      </c>
      <c r="D63" s="37">
        <f ca="1"/>
        <v>0.17190645334595733</v>
      </c>
      <c r="E63" s="38">
        <f ca="1"/>
        <v>6.2256379664288382E-2</v>
      </c>
      <c r="F63" s="13"/>
      <c r="G63" s="36">
        <f ca="1"/>
        <v>-1.0847118619529996</v>
      </c>
      <c r="H63" s="37">
        <f ca="1"/>
        <v>2.269829525336251</v>
      </c>
      <c r="I63" s="37">
        <f ca="1"/>
        <v>5.5007340142033305</v>
      </c>
      <c r="J63" s="38">
        <f ca="1"/>
        <v>0.28650650167323832</v>
      </c>
      <c r="K63" s="6"/>
      <c r="L63" s="36">
        <f ca="1"/>
        <v>0.36285317451340132</v>
      </c>
      <c r="M63" s="37">
        <f ca="1"/>
        <v>-0.12594101123049095</v>
      </c>
      <c r="N63" s="37">
        <f ca="1"/>
        <v>0.16881983490848096</v>
      </c>
      <c r="O63" s="38">
        <f ca="1"/>
        <v>0.65868499585400775</v>
      </c>
      <c r="Q63" s="36">
        <f ca="1"/>
        <v>7.2131072820120004E-3</v>
      </c>
      <c r="R63" s="37">
        <f ca="1"/>
        <v>8.4782791044453812E-3</v>
      </c>
      <c r="S63" s="37">
        <f ca="1"/>
        <v>3.030972345728683E-2</v>
      </c>
      <c r="T63" s="38">
        <f ca="1"/>
        <v>-6.3052785749489401E-3</v>
      </c>
      <c r="W63" s="12">
        <f t="shared" si="0"/>
        <v>60</v>
      </c>
      <c r="X63" s="62">
        <f t="array" aca="1" ref="X63:AA63" ca="1">simulate!AE63:AH63</f>
        <v>0.47266774547680074</v>
      </c>
      <c r="Y63" s="62">
        <f ca="1"/>
        <v>-0.50647749952482346</v>
      </c>
      <c r="Z63" s="62">
        <f ca="1"/>
        <v>0.4084928826671731</v>
      </c>
      <c r="AA63" s="62">
        <f ca="1"/>
        <v>0.70822797210584743</v>
      </c>
      <c r="AB63" s="98">
        <f t="shared" si="1"/>
        <v>0</v>
      </c>
      <c r="AC63" s="62">
        <f t="array" aca="1" ref="AC63:AF63" ca="1">TRANSPOSE($G$44:$G$47 + MMULT($I$44:$L$47,TRANSPOSE(AR62:AU62)))</f>
        <v>0.60663045990798792</v>
      </c>
      <c r="AD63" s="62">
        <f ca="1"/>
        <v>0.2419481207966856</v>
      </c>
      <c r="AE63" s="62">
        <f ca="1"/>
        <v>0.5244555877303787</v>
      </c>
      <c r="AF63" s="62">
        <f ca="1"/>
        <v>0.65165604083073614</v>
      </c>
      <c r="AG63" s="66" t="str">
        <f t="array" ref="AG63">IF($AB63, Push(MMULT($I$44:$L$47,MMULT(Fetch(AV62),TRANSPOSE($I$44:$L$47))) + $N$44:$Q$47), "")</f>
        <v/>
      </c>
      <c r="AH63" s="62">
        <f t="array" aca="1" ref="AH63:AK63" ca="1">TRANSPOSE($G$38:$G$41 + MMULT($I$38:$L$41,TRANSPOSE(AC63:AF63)))</f>
        <v>0.83260278174467173</v>
      </c>
      <c r="AI63" s="62">
        <f ca="1"/>
        <v>0.46748171070640909</v>
      </c>
      <c r="AJ63" s="62">
        <f ca="1"/>
        <v>0.76933170476576618</v>
      </c>
      <c r="AK63" s="62">
        <f ca="1"/>
        <v>0.58014480127724455</v>
      </c>
      <c r="AL63" s="66" t="str">
        <f t="array" ref="AL63">IF($AB63, Push(MINVERSE(MMULT($I$38:$L$41,MMULT(Fetch(AG63),TRANSPOSE($I$38:$L$41))) + $N$38:$Q$41)), "")</f>
        <v/>
      </c>
      <c r="AM63" s="62">
        <f t="array" aca="1" ref="AM63:AP63" ca="1">X63:AA63 - AH63:AK63</f>
        <v>-0.35993503626787099</v>
      </c>
      <c r="AN63" s="62">
        <f ca="1"/>
        <v>-0.97395921023123255</v>
      </c>
      <c r="AO63" s="62">
        <f ca="1"/>
        <v>-0.36083882209859308</v>
      </c>
      <c r="AP63" s="62">
        <f ca="1"/>
        <v>0.12808317082860288</v>
      </c>
      <c r="AQ63" s="66" t="str">
        <f t="array" ref="AQ63">IF($AB63, Push(MMULT(Fetch(AG63),MMULT(TRANSPOSE($I$38:$L$41),Fetch(AL63)))), "")</f>
        <v/>
      </c>
      <c r="AR63" s="62">
        <f t="array" aca="1" ref="AR63:AU63" ca="1">AC63:AF63 + TRANSPOSE(MMULT(IF($AB63,Fetch(AQ63),$L$61:$O$64),TRANSPOSE(AM63:AP63)))</f>
        <v>0.17087423163246768</v>
      </c>
      <c r="AS63" s="62">
        <f ca="1"/>
        <v>-0.1497590308165152</v>
      </c>
      <c r="AT63" s="62">
        <f ca="1"/>
        <v>0.53996313750670843</v>
      </c>
      <c r="AU63" s="62">
        <f ca="1"/>
        <v>0.54122716412517369</v>
      </c>
      <c r="AV63" s="66" t="str">
        <f t="array" ref="AV63">IF($AB63, Push(Fetch(AG63) - MMULT(Fetch(AQ63),MMULT($I$38:$L$41,Fetch(AG63)))), "")</f>
        <v/>
      </c>
      <c r="AW63" s="97">
        <f t="array" aca="1" ref="AW63" ca="1">IF($AB63,LN(MDETERM(Fetch(AL63))),$J$65)   -   MMULT(AM63:AP63,MMULT(IF($AB63,Fetch(AL63),$G$61:$J$64),TRANSPOSE(AM63:AP63)))</f>
        <v>-6.7858381464946937E-2</v>
      </c>
    </row>
    <row r="64" spans="1:49" x14ac:dyDescent="0.15">
      <c r="A64" s="11"/>
      <c r="B64" s="43">
        <f ca="1"/>
        <v>2.5851615093481647E-2</v>
      </c>
      <c r="C64" s="44">
        <f ca="1"/>
        <v>-5.111401396700864E-2</v>
      </c>
      <c r="D64" s="44">
        <f ca="1"/>
        <v>6.2256379664288382E-2</v>
      </c>
      <c r="E64" s="45">
        <f ca="1"/>
        <v>8.2952792424566782E-2</v>
      </c>
      <c r="F64" s="13"/>
      <c r="G64" s="43">
        <f ca="1"/>
        <v>-5.1226000430272052</v>
      </c>
      <c r="H64" s="44">
        <f ca="1"/>
        <v>2.2443972469710727</v>
      </c>
      <c r="I64" s="44">
        <f ca="1"/>
        <v>0.28650650167323799</v>
      </c>
      <c r="J64" s="45">
        <f ca="1"/>
        <v>11.109152306316572</v>
      </c>
      <c r="K64" s="6"/>
      <c r="L64" s="43">
        <f ca="1"/>
        <v>3.6465804021646453E-3</v>
      </c>
      <c r="M64" s="44">
        <f ca="1"/>
        <v>6.9978350663489342E-3</v>
      </c>
      <c r="N64" s="44">
        <f ca="1"/>
        <v>0.40742278831867118</v>
      </c>
      <c r="O64" s="45">
        <f ca="1"/>
        <v>0.34909520120454929</v>
      </c>
      <c r="Q64" s="43">
        <f ca="1"/>
        <v>2.9611235960206733E-3</v>
      </c>
      <c r="R64" s="44">
        <f ca="1"/>
        <v>-1.5974116605093638E-2</v>
      </c>
      <c r="S64" s="44">
        <f ca="1"/>
        <v>-6.3052785749489401E-3</v>
      </c>
      <c r="T64" s="45">
        <f ca="1"/>
        <v>2.6646842749545652E-2</v>
      </c>
      <c r="W64" s="12">
        <f t="shared" si="0"/>
        <v>61</v>
      </c>
      <c r="X64" s="62">
        <f t="array" aca="1" ref="X64:AA64" ca="1">simulate!AE64:AH64</f>
        <v>1.0622469533112437</v>
      </c>
      <c r="Y64" s="62">
        <f ca="1"/>
        <v>0.7662424214231478</v>
      </c>
      <c r="Z64" s="62">
        <f ca="1"/>
        <v>0.60041424188281578</v>
      </c>
      <c r="AA64" s="62">
        <f ca="1"/>
        <v>0.18086862587499569</v>
      </c>
      <c r="AB64" s="98">
        <f t="shared" si="1"/>
        <v>0</v>
      </c>
      <c r="AC64" s="62">
        <f t="array" aca="1" ref="AC64:AF64" ca="1">TRANSPOSE($G$44:$G$47 + MMULT($I$44:$L$47,TRANSPOSE(AR63:AU63)))</f>
        <v>0.40857384716356737</v>
      </c>
      <c r="AD64" s="62">
        <f ca="1"/>
        <v>0.11715835202996183</v>
      </c>
      <c r="AE64" s="62">
        <f ca="1"/>
        <v>0.46179200489935351</v>
      </c>
      <c r="AF64" s="62">
        <f ca="1"/>
        <v>0.57425185387971622</v>
      </c>
      <c r="AG64" s="66" t="str">
        <f t="array" ref="AG64">IF($AB64, Push(MMULT($I$44:$L$47,MMULT(Fetch(AV63),TRANSPOSE($I$44:$L$47))) + $N$44:$Q$47), "")</f>
        <v/>
      </c>
      <c r="AH64" s="62">
        <f t="array" aca="1" ref="AH64:AK64" ca="1">TRANSPOSE($G$38:$G$41 + MMULT($I$38:$L$41,TRANSPOSE(AC64:AF64)))</f>
        <v>0.67969923165441415</v>
      </c>
      <c r="AI64" s="62">
        <f ca="1"/>
        <v>0.28627661308698987</v>
      </c>
      <c r="AJ64" s="62">
        <f ca="1"/>
        <v>0.68134209807818569</v>
      </c>
      <c r="AK64" s="62">
        <f ca="1"/>
        <v>0.55257512422232136</v>
      </c>
      <c r="AL64" s="66" t="str">
        <f t="array" ref="AL64">IF($AB64, Push(MINVERSE(MMULT($I$38:$L$41,MMULT(Fetch(AG64),TRANSPOSE($I$38:$L$41))) + $N$38:$Q$41)), "")</f>
        <v/>
      </c>
      <c r="AM64" s="62">
        <f t="array" aca="1" ref="AM64:AP64" ca="1">X64:AA64 - AH64:AK64</f>
        <v>0.3825477216568296</v>
      </c>
      <c r="AN64" s="62">
        <f ca="1"/>
        <v>0.47996580833615793</v>
      </c>
      <c r="AO64" s="62">
        <f ca="1"/>
        <v>-8.0927856195369907E-2</v>
      </c>
      <c r="AP64" s="62">
        <f ca="1"/>
        <v>-0.37170649834732566</v>
      </c>
      <c r="AQ64" s="66" t="str">
        <f t="array" ref="AQ64">IF($AB64, Push(MMULT(Fetch(AG64),MMULT(TRANSPOSE($I$38:$L$41),Fetch(AL64)))), "")</f>
        <v/>
      </c>
      <c r="AR64" s="62">
        <f t="array" aca="1" ref="AR64:AU64" ca="1">AC64:AF64 + TRANSPOSE(MMULT(IF($AB64,Fetch(AQ64),$L$61:$O$64),TRANSPOSE(AM64:AP64)))</f>
        <v>0.7210512072329085</v>
      </c>
      <c r="AS64" s="62">
        <f ca="1"/>
        <v>0.26740435370785332</v>
      </c>
      <c r="AT64" s="62">
        <f ca="1"/>
        <v>0.28165356020227184</v>
      </c>
      <c r="AU64" s="62">
        <f ca="1"/>
        <v>0.41627275881525783</v>
      </c>
      <c r="AV64" s="66" t="str">
        <f t="array" ref="AV64">IF($AB64, Push(Fetch(AG64) - MMULT(Fetch(AQ64),MMULT($I$38:$L$41,Fetch(AG64)))), "")</f>
        <v/>
      </c>
      <c r="AW64" s="97">
        <f t="array" aca="1" ref="AW64" ca="1">IF($AB64,LN(MDETERM(Fetch(AL64))),$J$65)   -   MMULT(AM64:AP64,MMULT(IF($AB64,Fetch(AL64),$G$61:$J$64),TRANSPOSE(AM64:AP64)))</f>
        <v>3.5480066934224821</v>
      </c>
    </row>
    <row r="65" spans="1:49" x14ac:dyDescent="0.15">
      <c r="A65" s="11"/>
      <c r="B65" s="14"/>
      <c r="G65" s="127" t="s">
        <v>22</v>
      </c>
      <c r="H65" s="128"/>
      <c r="I65" s="128"/>
      <c r="J65" s="13">
        <f ca="1">LN(MDETERM(G61:J64))</f>
        <v>7.3284829478274087</v>
      </c>
      <c r="K65" s="6"/>
      <c r="W65" s="12">
        <f t="shared" si="0"/>
        <v>62</v>
      </c>
      <c r="X65" s="62">
        <f t="array" aca="1" ref="X65:AA65" ca="1">simulate!AE65:AH65</f>
        <v>1.5867751841993423</v>
      </c>
      <c r="Y65" s="62">
        <f ca="1"/>
        <v>0.56989076656424531</v>
      </c>
      <c r="Z65" s="62">
        <f ca="1"/>
        <v>-0.37607097199910933</v>
      </c>
      <c r="AA65" s="62">
        <f ca="1"/>
        <v>0.78877574660650684</v>
      </c>
      <c r="AB65" s="98">
        <f t="shared" si="1"/>
        <v>0</v>
      </c>
      <c r="AC65" s="62">
        <f t="array" aca="1" ref="AC65:AF65" ca="1">TRANSPOSE($G$44:$G$47 + MMULT($I$44:$L$47,TRANSPOSE(AR64:AU64)))</f>
        <v>0.74305487617386312</v>
      </c>
      <c r="AD65" s="62">
        <f ca="1"/>
        <v>0.38466205931804731</v>
      </c>
      <c r="AE65" s="62">
        <f ca="1"/>
        <v>0.41068749208272937</v>
      </c>
      <c r="AF65" s="62">
        <f ca="1"/>
        <v>0.52096238072412016</v>
      </c>
      <c r="AG65" s="66" t="str">
        <f t="array" ref="AG65">IF($AB65, Push(MMULT($I$44:$L$47,MMULT(Fetch(AV64),TRANSPOSE($I$44:$L$47))) + $N$44:$Q$47), "")</f>
        <v/>
      </c>
      <c r="AH65" s="62">
        <f t="array" aca="1" ref="AH65:AK65" ca="1">TRANSPOSE($G$38:$G$41 + MMULT($I$38:$L$41,TRANSPOSE(AC65:AF65)))</f>
        <v>0.88744501258381092</v>
      </c>
      <c r="AI65" s="62">
        <f ca="1"/>
        <v>0.6456895251821666</v>
      </c>
      <c r="AJ65" s="62">
        <f ca="1"/>
        <v>0.66928900943825598</v>
      </c>
      <c r="AK65" s="62">
        <f ca="1"/>
        <v>0.4244892017342547</v>
      </c>
      <c r="AL65" s="66" t="str">
        <f t="array" ref="AL65">IF($AB65, Push(MINVERSE(MMULT($I$38:$L$41,MMULT(Fetch(AG65),TRANSPOSE($I$38:$L$41))) + $N$38:$Q$41)), "")</f>
        <v/>
      </c>
      <c r="AM65" s="62">
        <f t="array" aca="1" ref="AM65:AP65" ca="1">X65:AA65 - AH65:AK65</f>
        <v>0.69933017161553135</v>
      </c>
      <c r="AN65" s="62">
        <f ca="1"/>
        <v>-7.5798758617921291E-2</v>
      </c>
      <c r="AO65" s="62">
        <f ca="1"/>
        <v>-1.0453599814373653</v>
      </c>
      <c r="AP65" s="62">
        <f ca="1"/>
        <v>0.36428654487225215</v>
      </c>
      <c r="AQ65" s="66" t="str">
        <f t="array" ref="AQ65">IF($AB65, Push(MMULT(Fetch(AG65),MMULT(TRANSPOSE($I$38:$L$41),Fetch(AL65)))), "")</f>
        <v/>
      </c>
      <c r="AR65" s="62">
        <f t="array" aca="1" ref="AR65:AU65" ca="1">AC65:AF65 + TRANSPOSE(MMULT(IF($AB65,Fetch(AQ65),$L$61:$O$64),TRANSPOSE(AM65:AP65)))</f>
        <v>0.70557587325822513</v>
      </c>
      <c r="AS65" s="62">
        <f ca="1"/>
        <v>0.51094619173776501</v>
      </c>
      <c r="AT65" s="62">
        <f ca="1"/>
        <v>0.73746041900944503</v>
      </c>
      <c r="AU65" s="62">
        <f ca="1"/>
        <v>0.2242493234558568</v>
      </c>
      <c r="AV65" s="66" t="str">
        <f t="array" ref="AV65">IF($AB65, Push(Fetch(AG65) - MMULT(Fetch(AQ65),MMULT($I$38:$L$41,Fetch(AG65)))), "")</f>
        <v/>
      </c>
      <c r="AW65" s="97">
        <f t="array" aca="1" ref="AW65" ca="1">IF($AB65,LN(MDETERM(Fetch(AL65))),$J$65)   -   MMULT(AM65:AP65,MMULT(IF($AB65,Fetch(AL65),$G$61:$J$64),TRANSPOSE(AM65:AP65)))</f>
        <v>-3.2171378427065012</v>
      </c>
    </row>
    <row r="66" spans="1:49" x14ac:dyDescent="0.15">
      <c r="G66" s="13"/>
      <c r="H66" s="13"/>
      <c r="I66" s="13"/>
      <c r="J66" s="13"/>
      <c r="K66" s="13"/>
      <c r="W66" s="12">
        <f t="shared" si="0"/>
        <v>63</v>
      </c>
      <c r="X66" s="62">
        <f t="array" aca="1" ref="X66:AA66" ca="1">simulate!AE66:AH66</f>
        <v>1.0333802322951873</v>
      </c>
      <c r="Y66" s="62">
        <f ca="1"/>
        <v>1.4313505301052625</v>
      </c>
      <c r="Z66" s="62">
        <f ca="1"/>
        <v>7.7528596483753542E-3</v>
      </c>
      <c r="AA66" s="62">
        <f ca="1"/>
        <v>1.0124424454936993</v>
      </c>
      <c r="AB66" s="98">
        <f t="shared" si="1"/>
        <v>0</v>
      </c>
      <c r="AC66" s="62">
        <f t="array" aca="1" ref="AC66:AF66" ca="1">TRANSPOSE($G$44:$G$47 + MMULT($I$44:$L$47,TRANSPOSE(AR65:AU65)))</f>
        <v>0.79395728574567648</v>
      </c>
      <c r="AD66" s="62">
        <f ca="1"/>
        <v>0.56746676976861332</v>
      </c>
      <c r="AE66" s="62">
        <f ca="1"/>
        <v>0.66687926729756852</v>
      </c>
      <c r="AF66" s="62">
        <f ca="1"/>
        <v>0.50785255087557324</v>
      </c>
      <c r="AG66" s="66" t="str">
        <f t="array" ref="AG66">IF($AB66, Push(MMULT($I$44:$L$47,MMULT(Fetch(AV65),TRANSPOSE($I$44:$L$47))) + $N$44:$Q$47), "")</f>
        <v/>
      </c>
      <c r="AH66" s="62">
        <f t="array" aca="1" ref="AH66:AK66" ca="1">TRANSPOSE($G$38:$G$41 + MMULT($I$38:$L$41,TRANSPOSE(AC66:AF66)))</f>
        <v>1.080824599514389</v>
      </c>
      <c r="AI66" s="62">
        <f ca="1"/>
        <v>0.75575471308971953</v>
      </c>
      <c r="AJ66" s="62">
        <f ca="1"/>
        <v>0.58474949781097041</v>
      </c>
      <c r="AK66" s="62">
        <f ca="1"/>
        <v>0.63699278178121066</v>
      </c>
      <c r="AL66" s="66" t="str">
        <f t="array" ref="AL66">IF($AB66, Push(MINVERSE(MMULT($I$38:$L$41,MMULT(Fetch(AG66),TRANSPOSE($I$38:$L$41))) + $N$38:$Q$41)), "")</f>
        <v/>
      </c>
      <c r="AM66" s="62">
        <f t="array" aca="1" ref="AM66:AP66" ca="1">X66:AA66 - AH66:AK66</f>
        <v>-4.7444367219201755E-2</v>
      </c>
      <c r="AN66" s="62">
        <f ca="1"/>
        <v>0.67559581701554294</v>
      </c>
      <c r="AO66" s="62">
        <f ca="1"/>
        <v>-0.57699663816259505</v>
      </c>
      <c r="AP66" s="62">
        <f ca="1"/>
        <v>0.37544966371248867</v>
      </c>
      <c r="AQ66" s="66" t="str">
        <f t="array" ref="AQ66">IF($AB66, Push(MMULT(Fetch(AG66),MMULT(TRANSPOSE($I$38:$L$41),Fetch(AL66)))), "")</f>
        <v/>
      </c>
      <c r="AR66" s="62">
        <f t="array" aca="1" ref="AR66:AU66" ca="1">AC66:AF66 + TRANSPOSE(MMULT(IF($AB66,Fetch(AQ66),$L$61:$O$64),TRANSPOSE(AM66:AP66)))</f>
        <v>0.64927584214396994</v>
      </c>
      <c r="AS66" s="62">
        <f ca="1"/>
        <v>1.156634888162384</v>
      </c>
      <c r="AT66" s="62">
        <f ca="1"/>
        <v>0.71447329064976572</v>
      </c>
      <c r="AU66" s="62">
        <f ca="1"/>
        <v>0.40839334600005633</v>
      </c>
      <c r="AV66" s="66" t="str">
        <f t="array" ref="AV66">IF($AB66, Push(Fetch(AG66) - MMULT(Fetch(AQ66),MMULT($I$38:$L$41,Fetch(AG66)))), "")</f>
        <v/>
      </c>
      <c r="AW66" s="97">
        <f t="array" aca="1" ref="AW66" ca="1">IF($AB66,LN(MDETERM(Fetch(AL66))),$J$65)   -   MMULT(AM66:AP66,MMULT(IF($AB66,Fetch(AL66),$G$61:$J$64),TRANSPOSE(AM66:AP66)))</f>
        <v>1.4108654597887913</v>
      </c>
    </row>
    <row r="67" spans="1:49" x14ac:dyDescent="0.15">
      <c r="F67" s="2"/>
      <c r="G67" s="13"/>
      <c r="W67" s="12">
        <f t="shared" si="0"/>
        <v>64</v>
      </c>
      <c r="X67" s="62">
        <f t="array" aca="1" ref="X67:AA67" ca="1">simulate!AE67:AH67</f>
        <v>0.74642638125469851</v>
      </c>
      <c r="Y67" s="62">
        <f ca="1"/>
        <v>0.23502912488809408</v>
      </c>
      <c r="Z67" s="62">
        <f ca="1"/>
        <v>0.60583643878951554</v>
      </c>
      <c r="AA67" s="62">
        <f ca="1"/>
        <v>0.94291271576160485</v>
      </c>
      <c r="AB67" s="98">
        <f t="shared" si="1"/>
        <v>0</v>
      </c>
      <c r="AC67" s="62">
        <f t="array" aca="1" ref="AC67:AF67" ca="1">TRANSPOSE($G$44:$G$47 + MMULT($I$44:$L$47,TRANSPOSE(AR66:AU66)))</f>
        <v>0.86632016673121481</v>
      </c>
      <c r="AD67" s="62">
        <f ca="1"/>
        <v>0.91675222355944108</v>
      </c>
      <c r="AE67" s="62">
        <f ca="1"/>
        <v>0.78254236928650844</v>
      </c>
      <c r="AF67" s="62">
        <f ca="1"/>
        <v>0.64682885089051934</v>
      </c>
      <c r="AG67" s="66" t="str">
        <f t="array" ref="AG67">IF($AB67, Push(MMULT($I$44:$L$47,MMULT(Fetch(AV66),TRANSPOSE($I$44:$L$47))) + $N$44:$Q$47), "")</f>
        <v/>
      </c>
      <c r="AH67" s="62">
        <f t="array" aca="1" ref="AH67:AK67" ca="1">TRANSPOSE($G$38:$G$41 + MMULT($I$38:$L$41,TRANSPOSE(AC67:AF67)))</f>
        <v>1.1480878025178607</v>
      </c>
      <c r="AI67" s="62">
        <f ca="1"/>
        <v>1.0846206816600854</v>
      </c>
      <c r="AJ67" s="62">
        <f ca="1"/>
        <v>0.58536890827468135</v>
      </c>
      <c r="AK67" s="62">
        <f ca="1"/>
        <v>0.85436695796275464</v>
      </c>
      <c r="AL67" s="66" t="str">
        <f t="array" ref="AL67">IF($AB67, Push(MINVERSE(MMULT($I$38:$L$41,MMULT(Fetch(AG67),TRANSPOSE($I$38:$L$41))) + $N$38:$Q$41)), "")</f>
        <v/>
      </c>
      <c r="AM67" s="62">
        <f t="array" aca="1" ref="AM67:AP67" ca="1">X67:AA67 - AH67:AK67</f>
        <v>-0.40166142126316218</v>
      </c>
      <c r="AN67" s="62">
        <f ca="1"/>
        <v>-0.84959155677199139</v>
      </c>
      <c r="AO67" s="62">
        <f ca="1"/>
        <v>2.0467530514834187E-2</v>
      </c>
      <c r="AP67" s="62">
        <f ca="1"/>
        <v>8.8545757798850211E-2</v>
      </c>
      <c r="AQ67" s="66" t="str">
        <f t="array" ref="AQ67">IF($AB67, Push(MMULT(Fetch(AG67),MMULT(TRANSPOSE($I$38:$L$41),Fetch(AL67)))), "")</f>
        <v/>
      </c>
      <c r="AR67" s="62">
        <f t="array" aca="1" ref="AR67:AU67" ca="1">AC67:AF67 + TRANSPOSE(MMULT(IF($AB67,Fetch(AQ67),$L$61:$O$64),TRANSPOSE(AM67:AP67)))</f>
        <v>0.53557813269777044</v>
      </c>
      <c r="AS67" s="62">
        <f ca="1"/>
        <v>0.51546493060127929</v>
      </c>
      <c r="AT67" s="62">
        <f ca="1"/>
        <v>0.80557575452548136</v>
      </c>
      <c r="AU67" s="62">
        <f ca="1"/>
        <v>0.6786686961223326</v>
      </c>
      <c r="AV67" s="66" t="str">
        <f t="array" ref="AV67">IF($AB67, Push(Fetch(AG67) - MMULT(Fetch(AQ67),MMULT($I$38:$L$41,Fetch(AG67)))), "")</f>
        <v/>
      </c>
      <c r="AW67" s="97">
        <f t="array" aca="1" ref="AW67" ca="1">IF($AB67,LN(MDETERM(Fetch(AL67))),$J$65)   -   MMULT(AM67:AP67,MMULT(IF($AB67,Fetch(AL67),$G$61:$J$64),TRANSPOSE(AM67:AP67)))</f>
        <v>3.1545811537996018</v>
      </c>
    </row>
    <row r="68" spans="1:49" x14ac:dyDescent="0.15">
      <c r="D68" s="15"/>
      <c r="E68" s="15"/>
      <c r="F68" s="15"/>
      <c r="G68" s="13"/>
      <c r="W68" s="12">
        <f t="shared" si="0"/>
        <v>65</v>
      </c>
      <c r="X68" s="62">
        <f t="array" aca="1" ref="X68:AA68" ca="1">simulate!AE68:AH68</f>
        <v>1.4501233036927941</v>
      </c>
      <c r="Y68" s="62">
        <f ca="1"/>
        <v>0.68191439197536674</v>
      </c>
      <c r="Z68" s="62">
        <f ca="1"/>
        <v>0.88476625572029111</v>
      </c>
      <c r="AA68" s="62">
        <f ca="1"/>
        <v>0.50520641234097463</v>
      </c>
      <c r="AB68" s="98">
        <f t="shared" si="1"/>
        <v>0</v>
      </c>
      <c r="AC68" s="62">
        <f t="array" aca="1" ref="AC68:AF68" ca="1">TRANSPOSE($G$44:$G$47 + MMULT($I$44:$L$47,TRANSPOSE(AR67:AU67)))</f>
        <v>0.72950063420836497</v>
      </c>
      <c r="AD68" s="62">
        <f ca="1"/>
        <v>0.58473414942564428</v>
      </c>
      <c r="AE68" s="62">
        <f ca="1"/>
        <v>0.7595493190625523</v>
      </c>
      <c r="AF68" s="62">
        <f ca="1"/>
        <v>0.75648447630462656</v>
      </c>
      <c r="AG68" s="66" t="str">
        <f t="array" ref="AG68">IF($AB68, Push(MMULT($I$44:$L$47,MMULT(Fetch(AV67),TRANSPOSE($I$44:$L$47))) + $N$44:$Q$47), "")</f>
        <v/>
      </c>
      <c r="AH68" s="62">
        <f t="array" aca="1" ref="AH68:AK68" ca="1">TRANSPOSE($G$38:$G$41 + MMULT($I$38:$L$41,TRANSPOSE(AC68:AF68)))</f>
        <v>1.0220136643185915</v>
      </c>
      <c r="AI68" s="62">
        <f ca="1"/>
        <v>0.77213830127893823</v>
      </c>
      <c r="AJ68" s="62">
        <f ca="1"/>
        <v>0.75231513419092955</v>
      </c>
      <c r="AK68" s="62">
        <f ca="1"/>
        <v>0.84448496141294283</v>
      </c>
      <c r="AL68" s="66" t="str">
        <f t="array" ref="AL68">IF($AB68, Push(MINVERSE(MMULT($I$38:$L$41,MMULT(Fetch(AG68),TRANSPOSE($I$38:$L$41))) + $N$38:$Q$41)), "")</f>
        <v/>
      </c>
      <c r="AM68" s="62">
        <f t="array" aca="1" ref="AM68:AP68" ca="1">X68:AA68 - AH68:AK68</f>
        <v>0.42810963937420254</v>
      </c>
      <c r="AN68" s="62">
        <f ca="1"/>
        <v>-9.0223909303571492E-2</v>
      </c>
      <c r="AO68" s="62">
        <f ca="1"/>
        <v>0.13245112152936156</v>
      </c>
      <c r="AP68" s="62">
        <f ca="1"/>
        <v>-0.33927854907196819</v>
      </c>
      <c r="AQ68" s="66" t="str">
        <f t="array" ref="AQ68">IF($AB68, Push(MMULT(Fetch(AG68),MMULT(TRANSPOSE($I$38:$L$41),Fetch(AL68)))), "")</f>
        <v/>
      </c>
      <c r="AR68" s="62">
        <f t="array" aca="1" ref="AR68:AU68" ca="1">AC68:AF68 + TRANSPOSE(MMULT(IF($AB68,Fetch(AQ68),$L$61:$O$64),TRANSPOSE(AM68:AP68)))</f>
        <v>1.0195959968928237</v>
      </c>
      <c r="AS68" s="62">
        <f ca="1"/>
        <v>0.36347469872373284</v>
      </c>
      <c r="AT68" s="62">
        <f ca="1"/>
        <v>0.72513583790533587</v>
      </c>
      <c r="AU68" s="62">
        <f ca="1"/>
        <v>0.69293733238596</v>
      </c>
      <c r="AV68" s="66" t="str">
        <f t="array" ref="AV68">IF($AB68, Push(Fetch(AG68) - MMULT(Fetch(AQ68),MMULT($I$38:$L$41,Fetch(AG68)))), "")</f>
        <v/>
      </c>
      <c r="AW68" s="97">
        <f t="array" aca="1" ref="AW68" ca="1">IF($AB68,LN(MDETERM(Fetch(AL68))),$J$65)   -   MMULT(AM68:AP68,MMULT(IF($AB68,Fetch(AL68),$G$61:$J$64),TRANSPOSE(AM68:AP68)))</f>
        <v>2.8683608340754425</v>
      </c>
    </row>
    <row r="69" spans="1:49" x14ac:dyDescent="0.15">
      <c r="G69" s="13"/>
      <c r="W69" s="12">
        <f t="shared" ref="W69:W132" si="2">W68+1</f>
        <v>66</v>
      </c>
      <c r="X69" s="62">
        <f t="array" aca="1" ref="X69:AA69" ca="1">simulate!AE69:AH69</f>
        <v>0.441920384106681</v>
      </c>
      <c r="Y69" s="62">
        <f ca="1"/>
        <v>-0.43949873390298844</v>
      </c>
      <c r="Z69" s="62">
        <f ca="1"/>
        <v>0.60674140368706375</v>
      </c>
      <c r="AA69" s="62">
        <f ca="1"/>
        <v>0.52636974714497364</v>
      </c>
      <c r="AB69" s="98">
        <f t="shared" ref="AB69:AB132" si="3">($W69&lt;=$D$51) * 1</f>
        <v>0</v>
      </c>
      <c r="AC69" s="62">
        <f t="array" aca="1" ref="AC69:AF69" ca="1">TRANSPOSE($G$44:$G$47 + MMULT($I$44:$L$47,TRANSPOSE(AR68:AU68)))</f>
        <v>0.96337291979874662</v>
      </c>
      <c r="AD69" s="62">
        <f ca="1"/>
        <v>0.57034434296993919</v>
      </c>
      <c r="AE69" s="62">
        <f ca="1"/>
        <v>0.72799445781121497</v>
      </c>
      <c r="AF69" s="62">
        <f ca="1"/>
        <v>0.76357096380664458</v>
      </c>
      <c r="AG69" s="66" t="str">
        <f t="array" ref="AG69">IF($AB69, Push(MMULT($I$44:$L$47,MMULT(Fetch(AV68),TRANSPOSE($I$44:$L$47))) + $N$44:$Q$47), "")</f>
        <v/>
      </c>
      <c r="AH69" s="62">
        <f t="array" aca="1" ref="AH69:AK69" ca="1">TRANSPOSE($G$38:$G$41 + MMULT($I$38:$L$41,TRANSPOSE(AC69:AF69)))</f>
        <v>1.1680042025386075</v>
      </c>
      <c r="AI69" s="62">
        <f ca="1"/>
        <v>0.85558228498989919</v>
      </c>
      <c r="AJ69" s="62">
        <f ca="1"/>
        <v>0.8570508357345159</v>
      </c>
      <c r="AK69" s="62">
        <f ca="1"/>
        <v>0.71524279636740884</v>
      </c>
      <c r="AL69" s="66" t="str">
        <f t="array" ref="AL69">IF($AB69, Push(MINVERSE(MMULT($I$38:$L$41,MMULT(Fetch(AG69),TRANSPOSE($I$38:$L$41))) + $N$38:$Q$41)), "")</f>
        <v/>
      </c>
      <c r="AM69" s="62">
        <f t="array" aca="1" ref="AM69:AP69" ca="1">X69:AA69 - AH69:AK69</f>
        <v>-0.72608381843192649</v>
      </c>
      <c r="AN69" s="62">
        <f ca="1"/>
        <v>-1.2950810188928876</v>
      </c>
      <c r="AO69" s="62">
        <f ca="1"/>
        <v>-0.25030943204745215</v>
      </c>
      <c r="AP69" s="62">
        <f ca="1"/>
        <v>-0.1888730492224352</v>
      </c>
      <c r="AQ69" s="66" t="str">
        <f t="array" ref="AQ69">IF($AB69, Push(MMULT(Fetch(AG69),MMULT(TRANSPOSE($I$38:$L$41),Fetch(AL69)))), "")</f>
        <v/>
      </c>
      <c r="AR69" s="62">
        <f t="array" aca="1" ref="AR69:AU69" ca="1">AC69:AF69 + TRANSPOSE(MMULT(IF($AB69,Fetch(AQ69),$L$61:$O$64),TRANSPOSE(AM69:AP69)))</f>
        <v>0.40944857474458529</v>
      </c>
      <c r="AS69" s="62">
        <f ca="1"/>
        <v>-2.6765588656541661E-2</v>
      </c>
      <c r="AT69" s="62">
        <f ca="1"/>
        <v>0.46097141183686319</v>
      </c>
      <c r="AU69" s="62">
        <f ca="1"/>
        <v>0.58394403554859164</v>
      </c>
      <c r="AV69" s="66" t="str">
        <f t="array" ref="AV69">IF($AB69, Push(Fetch(AG69) - MMULT(Fetch(AQ69),MMULT($I$38:$L$41,Fetch(AG69)))), "")</f>
        <v/>
      </c>
      <c r="AW69" s="97">
        <f t="array" aca="1" ref="AW69" ca="1">IF($AB69,LN(MDETERM(Fetch(AL69))),$J$65)   -   MMULT(AM69:AP69,MMULT(IF($AB69,Fetch(AL69),$G$61:$J$64),TRANSPOSE(AM69:AP69)))</f>
        <v>-4.1649816415503125</v>
      </c>
    </row>
    <row r="70" spans="1:49" x14ac:dyDescent="0.15">
      <c r="W70" s="12">
        <f t="shared" si="2"/>
        <v>67</v>
      </c>
      <c r="X70" s="62">
        <f t="array" aca="1" ref="X70:AA70" ca="1">simulate!AE70:AH70</f>
        <v>-0.40700447470615519</v>
      </c>
      <c r="Y70" s="62">
        <f ca="1"/>
        <v>-6.496796258145443E-2</v>
      </c>
      <c r="Z70" s="62">
        <f ca="1"/>
        <v>0.78418442716027648</v>
      </c>
      <c r="AA70" s="62">
        <f ca="1"/>
        <v>0.20885803856999044</v>
      </c>
      <c r="AB70" s="98">
        <f t="shared" si="3"/>
        <v>0</v>
      </c>
      <c r="AC70" s="62">
        <f t="array" aca="1" ref="AC70:AF70" ca="1">TRANSPOSE($G$44:$G$47 + MMULT($I$44:$L$47,TRANSPOSE(AR69:AU69)))</f>
        <v>0.55205364059755069</v>
      </c>
      <c r="AD70" s="62">
        <f ca="1"/>
        <v>0.21366951969654077</v>
      </c>
      <c r="AE70" s="62">
        <f ca="1"/>
        <v>0.46240406016179769</v>
      </c>
      <c r="AF70" s="62">
        <f ca="1"/>
        <v>0.60471704515472524</v>
      </c>
      <c r="AG70" s="66" t="str">
        <f t="array" ref="AG70">IF($AB70, Push(MMULT($I$44:$L$47,MMULT(Fetch(AV69),TRANSPOSE($I$44:$L$47))) + $N$44:$Q$47), "")</f>
        <v/>
      </c>
      <c r="AH70" s="62">
        <f t="array" aca="1" ref="AH70:AK70" ca="1">TRANSPOSE($G$38:$G$41 + MMULT($I$38:$L$41,TRANSPOSE(AC70:AF70)))</f>
        <v>0.76894624890417895</v>
      </c>
      <c r="AI70" s="62">
        <f ca="1"/>
        <v>0.42928235328589748</v>
      </c>
      <c r="AJ70" s="62">
        <f ca="1"/>
        <v>0.72554108773578729</v>
      </c>
      <c r="AK70" s="62">
        <f ca="1"/>
        <v>0.53112432948827504</v>
      </c>
      <c r="AL70" s="66" t="str">
        <f t="array" ref="AL70">IF($AB70, Push(MINVERSE(MMULT($I$38:$L$41,MMULT(Fetch(AG70),TRANSPOSE($I$38:$L$41))) + $N$38:$Q$41)), "")</f>
        <v/>
      </c>
      <c r="AM70" s="62">
        <f t="array" aca="1" ref="AM70:AP70" ca="1">X70:AA70 - AH70:AK70</f>
        <v>-1.1759507236103341</v>
      </c>
      <c r="AN70" s="62">
        <f ca="1"/>
        <v>-0.49425031586735191</v>
      </c>
      <c r="AO70" s="62">
        <f ca="1"/>
        <v>5.8643339424489183E-2</v>
      </c>
      <c r="AP70" s="62">
        <f ca="1"/>
        <v>-0.32226629091828463</v>
      </c>
      <c r="AQ70" s="66" t="str">
        <f t="array" ref="AQ70">IF($AB70, Push(MMULT(Fetch(AG70),MMULT(TRANSPOSE($I$38:$L$41),Fetch(AL70)))), "")</f>
        <v/>
      </c>
      <c r="AR70" s="62">
        <f t="array" aca="1" ref="AR70:AU70" ca="1">AC70:AF70 + TRANSPOSE(MMULT(IF($AB70,Fetch(AQ70),$L$61:$O$64),TRANSPOSE(AM70:AP70)))</f>
        <v>2.6284904005730025E-2</v>
      </c>
      <c r="AS70" s="62">
        <f ca="1"/>
        <v>6.0586004405766974E-2</v>
      </c>
      <c r="AT70" s="62">
        <f ca="1"/>
        <v>-0.10441882000749203</v>
      </c>
      <c r="AU70" s="62">
        <f ca="1"/>
        <v>0.5083611812952471</v>
      </c>
      <c r="AV70" s="66" t="str">
        <f t="array" ref="AV70">IF($AB70, Push(Fetch(AG70) - MMULT(Fetch(AQ70),MMULT($I$38:$L$41,Fetch(AG70)))), "")</f>
        <v/>
      </c>
      <c r="AW70" s="97">
        <f t="array" aca="1" ref="AW70" ca="1">IF($AB70,LN(MDETERM(Fetch(AL70))),$J$65)   -   MMULT(AM70:AP70,MMULT(IF($AB70,Fetch(AL70),$G$61:$J$64),TRANSPOSE(AM70:AP70)))</f>
        <v>0.20922602040098681</v>
      </c>
    </row>
    <row r="71" spans="1:49" x14ac:dyDescent="0.15">
      <c r="W71" s="12">
        <f t="shared" si="2"/>
        <v>68</v>
      </c>
      <c r="X71" s="62">
        <f t="array" aca="1" ref="X71:AA71" ca="1">simulate!AE71:AH71</f>
        <v>1.1372617591034373</v>
      </c>
      <c r="Y71" s="62">
        <f ca="1"/>
        <v>0.13813047649882806</v>
      </c>
      <c r="Z71" s="62">
        <f ca="1"/>
        <v>-0.39504657191018638</v>
      </c>
      <c r="AA71" s="62">
        <f ca="1"/>
        <v>0.90950625415799968</v>
      </c>
      <c r="AB71" s="98">
        <f t="shared" si="3"/>
        <v>0</v>
      </c>
      <c r="AC71" s="62">
        <f t="array" aca="1" ref="AC71:AF71" ca="1">TRANSPOSE($G$44:$G$47 + MMULT($I$44:$L$47,TRANSPOSE(AR70:AU70)))</f>
        <v>0.31416516559074148</v>
      </c>
      <c r="AD71" s="62">
        <f ca="1"/>
        <v>0.10958252180268799</v>
      </c>
      <c r="AE71" s="62">
        <f ca="1"/>
        <v>0.13277286335908672</v>
      </c>
      <c r="AF71" s="62">
        <f ca="1"/>
        <v>0.45990491452418453</v>
      </c>
      <c r="AG71" s="66" t="str">
        <f t="array" ref="AG71">IF($AB71, Push(MMULT($I$44:$L$47,MMULT(Fetch(AV70),TRANSPOSE($I$44:$L$47))) + $N$44:$Q$47), "")</f>
        <v/>
      </c>
      <c r="AH71" s="62">
        <f t="array" aca="1" ref="AH71:AK71" ca="1">TRANSPOSE($G$38:$G$41 + MMULT($I$38:$L$41,TRANSPOSE(AC71:AF71)))</f>
        <v>0.43583206702559257</v>
      </c>
      <c r="AI71" s="62">
        <f ca="1"/>
        <v>0.30635500909896529</v>
      </c>
      <c r="AJ71" s="62">
        <f ca="1"/>
        <v>0.58282173850368757</v>
      </c>
      <c r="AK71" s="62">
        <f ca="1"/>
        <v>0.30616365294182268</v>
      </c>
      <c r="AL71" s="66" t="str">
        <f t="array" ref="AL71">IF($AB71, Push(MINVERSE(MMULT($I$38:$L$41,MMULT(Fetch(AG71),TRANSPOSE($I$38:$L$41))) + $N$38:$Q$41)), "")</f>
        <v/>
      </c>
      <c r="AM71" s="62">
        <f t="array" aca="1" ref="AM71:AP71" ca="1">X71:AA71 - AH71:AK71</f>
        <v>0.70142969207784467</v>
      </c>
      <c r="AN71" s="62">
        <f ca="1"/>
        <v>-0.16822453260013723</v>
      </c>
      <c r="AO71" s="62">
        <f ca="1"/>
        <v>-0.9778683104138739</v>
      </c>
      <c r="AP71" s="62">
        <f ca="1"/>
        <v>0.603342601216177</v>
      </c>
      <c r="AQ71" s="66" t="str">
        <f t="array" ref="AQ71">IF($AB71, Push(MMULT(Fetch(AG71),MMULT(TRANSPOSE($I$38:$L$41),Fetch(AL71)))), "")</f>
        <v/>
      </c>
      <c r="AR71" s="62">
        <f t="array" aca="1" ref="AR71:AU71" ca="1">AC71:AF71 + TRANSPOSE(MMULT(IF($AB71,Fetch(AQ71),$L$61:$O$64),TRANSPOSE(AM71:AP71)))</f>
        <v>0.22644519809482003</v>
      </c>
      <c r="AS71" s="62">
        <f ca="1"/>
        <v>0.21607856153691363</v>
      </c>
      <c r="AT71" s="62">
        <f ca="1"/>
        <v>0.64080437363124654</v>
      </c>
      <c r="AU71" s="62">
        <f ca="1"/>
        <v>0.27350369988911166</v>
      </c>
      <c r="AV71" s="66" t="str">
        <f t="array" ref="AV71">IF($AB71, Push(Fetch(AG71) - MMULT(Fetch(AQ71),MMULT($I$38:$L$41,Fetch(AG71)))), "")</f>
        <v/>
      </c>
      <c r="AW71" s="97">
        <f t="array" aca="1" ref="AW71" ca="1">IF($AB71,LN(MDETERM(Fetch(AL71))),$J$65)   -   MMULT(AM71:AP71,MMULT(IF($AB71,Fetch(AL71),$G$61:$J$64),TRANSPOSE(AM71:AP71)))</f>
        <v>-3.6610164582647435</v>
      </c>
    </row>
    <row r="72" spans="1:49" x14ac:dyDescent="0.15">
      <c r="W72" s="12">
        <f t="shared" si="2"/>
        <v>69</v>
      </c>
      <c r="X72" s="62">
        <f t="array" aca="1" ref="X72:AA72" ca="1">simulate!AE72:AH72</f>
        <v>0.58571205335208176</v>
      </c>
      <c r="Y72" s="62">
        <f ca="1"/>
        <v>6.3911818025157441E-3</v>
      </c>
      <c r="Z72" s="62">
        <f ca="1"/>
        <v>0.91115291201958315</v>
      </c>
      <c r="AA72" s="62">
        <f ca="1"/>
        <v>0.55162448161388511</v>
      </c>
      <c r="AB72" s="98">
        <f t="shared" si="3"/>
        <v>0</v>
      </c>
      <c r="AC72" s="62">
        <f t="array" aca="1" ref="AC72:AF72" ca="1">TRANSPOSE($G$44:$G$47 + MMULT($I$44:$L$47,TRANSPOSE(AR71:AU71)))</f>
        <v>0.48703970658133</v>
      </c>
      <c r="AD72" s="62">
        <f ca="1"/>
        <v>0.3196265648738974</v>
      </c>
      <c r="AE72" s="62">
        <f ca="1"/>
        <v>0.53998610719345264</v>
      </c>
      <c r="AF72" s="62">
        <f ca="1"/>
        <v>0.47474587623510339</v>
      </c>
      <c r="AG72" s="66" t="str">
        <f t="array" ref="AG72">IF($AB72, Push(MMULT($I$44:$L$47,MMULT(Fetch(AV71),TRANSPOSE($I$44:$L$47))) + $N$44:$Q$47), "")</f>
        <v/>
      </c>
      <c r="AH72" s="62">
        <f t="array" aca="1" ref="AH72:AK72" ca="1">TRANSPOSE($G$38:$G$41 + MMULT($I$38:$L$41,TRANSPOSE(AC72:AF72)))</f>
        <v>0.80312294522269645</v>
      </c>
      <c r="AI72" s="62">
        <f ca="1"/>
        <v>0.45217957768515143</v>
      </c>
      <c r="AJ72" s="62">
        <f ca="1"/>
        <v>0.54438711443726584</v>
      </c>
      <c r="AK72" s="62">
        <f ca="1"/>
        <v>0.59322178767021083</v>
      </c>
      <c r="AL72" s="66" t="str">
        <f t="array" ref="AL72">IF($AB72, Push(MINVERSE(MMULT($I$38:$L$41,MMULT(Fetch(AG72),TRANSPOSE($I$38:$L$41))) + $N$38:$Q$41)), "")</f>
        <v/>
      </c>
      <c r="AM72" s="62">
        <f t="array" aca="1" ref="AM72:AP72" ca="1">X72:AA72 - AH72:AK72</f>
        <v>-0.21741089187061469</v>
      </c>
      <c r="AN72" s="62">
        <f ca="1"/>
        <v>-0.44578839588263569</v>
      </c>
      <c r="AO72" s="62">
        <f ca="1"/>
        <v>0.36676579758231731</v>
      </c>
      <c r="AP72" s="62">
        <f ca="1"/>
        <v>-4.1597306056325722E-2</v>
      </c>
      <c r="AQ72" s="66" t="str">
        <f t="array" ref="AQ72">IF($AB72, Push(MMULT(Fetch(AG72),MMULT(TRANSPOSE($I$38:$L$41),Fetch(AL72)))), "")</f>
        <v/>
      </c>
      <c r="AR72" s="62">
        <f t="array" aca="1" ref="AR72:AU72" ca="1">AC72:AF72 + TRANSPOSE(MMULT(IF($AB72,Fetch(AQ72),$L$61:$O$64),TRANSPOSE(AM72:AP72)))</f>
        <v>0.4195287195541002</v>
      </c>
      <c r="AS72" s="62">
        <f ca="1"/>
        <v>1.8096477765272567E-2</v>
      </c>
      <c r="AT72" s="62">
        <f ca="1"/>
        <v>0.55175873630736316</v>
      </c>
      <c r="AU72" s="62">
        <f ca="1"/>
        <v>0.60574084025232078</v>
      </c>
      <c r="AV72" s="66" t="str">
        <f t="array" ref="AV72">IF($AB72, Push(Fetch(AG72) - MMULT(Fetch(AQ72),MMULT($I$38:$L$41,Fetch(AG72)))), "")</f>
        <v/>
      </c>
      <c r="AW72" s="97">
        <f t="array" aca="1" ref="AW72" ca="1">IF($AB72,LN(MDETERM(Fetch(AL72))),$J$65)   -   MMULT(AM72:AP72,MMULT(IF($AB72,Fetch(AL72),$G$61:$J$64),TRANSPOSE(AM72:AP72)))</f>
        <v>6.0168691530603251</v>
      </c>
    </row>
    <row r="73" spans="1:49" x14ac:dyDescent="0.15">
      <c r="W73" s="12">
        <f t="shared" si="2"/>
        <v>70</v>
      </c>
      <c r="X73" s="62">
        <f t="array" aca="1" ref="X73:AA73" ca="1">simulate!AE73:AH73</f>
        <v>0.2806432636570298</v>
      </c>
      <c r="Y73" s="62">
        <f ca="1"/>
        <v>1.134717102116003</v>
      </c>
      <c r="Z73" s="62">
        <f ca="1"/>
        <v>1.0188430741801537</v>
      </c>
      <c r="AA73" s="62">
        <f ca="1"/>
        <v>0.23486384094856322</v>
      </c>
      <c r="AB73" s="98">
        <f t="shared" si="3"/>
        <v>0</v>
      </c>
      <c r="AC73" s="62">
        <f t="array" aca="1" ref="AC73:AF73" ca="1">TRANSPOSE($G$44:$G$47 + MMULT($I$44:$L$47,TRANSPOSE(AR72:AU72)))</f>
        <v>0.5716468964655308</v>
      </c>
      <c r="AD73" s="62">
        <f ca="1"/>
        <v>0.25452230116957869</v>
      </c>
      <c r="AE73" s="62">
        <f ca="1"/>
        <v>0.52266306948428909</v>
      </c>
      <c r="AF73" s="62">
        <f ca="1"/>
        <v>0.63490700346095208</v>
      </c>
      <c r="AG73" s="66" t="str">
        <f t="array" ref="AG73">IF($AB73, Push(MMULT($I$44:$L$47,MMULT(Fetch(AV72),TRANSPOSE($I$44:$L$47))) + $N$44:$Q$47), "")</f>
        <v/>
      </c>
      <c r="AH73" s="62">
        <f t="array" aca="1" ref="AH73:AK73" ca="1">TRANSPOSE($G$38:$G$41 + MMULT($I$38:$L$41,TRANSPOSE(AC73:AF73)))</f>
        <v>0.81053241689031563</v>
      </c>
      <c r="AI73" s="62">
        <f ca="1"/>
        <v>0.46266110826081419</v>
      </c>
      <c r="AJ73" s="62">
        <f ca="1"/>
        <v>0.73720824109300254</v>
      </c>
      <c r="AK73" s="62">
        <f ca="1"/>
        <v>0.59125547032016179</v>
      </c>
      <c r="AL73" s="66" t="str">
        <f t="array" ref="AL73">IF($AB73, Push(MINVERSE(MMULT($I$38:$L$41,MMULT(Fetch(AG73),TRANSPOSE($I$38:$L$41))) + $N$38:$Q$41)), "")</f>
        <v/>
      </c>
      <c r="AM73" s="62">
        <f t="array" aca="1" ref="AM73:AP73" ca="1">X73:AA73 - AH73:AK73</f>
        <v>-0.52988915323328589</v>
      </c>
      <c r="AN73" s="62">
        <f ca="1"/>
        <v>0.67205599385518877</v>
      </c>
      <c r="AO73" s="62">
        <f ca="1"/>
        <v>0.2816348330871512</v>
      </c>
      <c r="AP73" s="62">
        <f ca="1"/>
        <v>-0.35639162937159857</v>
      </c>
      <c r="AQ73" s="66" t="str">
        <f t="array" ref="AQ73">IF($AB73, Push(MMULT(Fetch(AG73),MMULT(TRANSPOSE($I$38:$L$41),Fetch(AL73)))), "")</f>
        <v/>
      </c>
      <c r="AR73" s="62">
        <f t="array" aca="1" ref="AR73:AU73" ca="1">AC73:AF73 + TRANSPOSE(MMULT(IF($AB73,Fetch(AQ73),$L$61:$O$64),TRANSPOSE(AM73:AP73)))</f>
        <v>0.58637488853176134</v>
      </c>
      <c r="AS73" s="62">
        <f ca="1"/>
        <v>0.60051296356134443</v>
      </c>
      <c r="AT73" s="62">
        <f ca="1"/>
        <v>5.8547423734954029E-2</v>
      </c>
      <c r="AU73" s="62">
        <f ca="1"/>
        <v>0.62800749848073711</v>
      </c>
      <c r="AV73" s="66" t="str">
        <f t="array" ref="AV73">IF($AB73, Push(Fetch(AG73) - MMULT(Fetch(AQ73),MMULT($I$38:$L$41,Fetch(AG73)))), "")</f>
        <v/>
      </c>
      <c r="AW73" s="97">
        <f t="array" aca="1" ref="AW73" ca="1">IF($AB73,LN(MDETERM(Fetch(AL73))),$J$65)   -   MMULT(AM73:AP73,MMULT(IF($AB73,Fetch(AL73),$G$61:$J$64),TRANSPOSE(AM73:AP73)))</f>
        <v>0.39224315736346149</v>
      </c>
    </row>
    <row r="74" spans="1:49" x14ac:dyDescent="0.15">
      <c r="W74" s="12">
        <f t="shared" si="2"/>
        <v>71</v>
      </c>
      <c r="X74" s="62">
        <f t="array" aca="1" ref="X74:AA74" ca="1">simulate!AE74:AH74</f>
        <v>0.67970834476361153</v>
      </c>
      <c r="Y74" s="62">
        <f ca="1"/>
        <v>-0.51612739507864813</v>
      </c>
      <c r="Z74" s="62">
        <f ca="1"/>
        <v>0.28123899262073682</v>
      </c>
      <c r="AA74" s="62">
        <f ca="1"/>
        <v>0.21969363292288491</v>
      </c>
      <c r="AB74" s="98">
        <f t="shared" si="3"/>
        <v>0</v>
      </c>
      <c r="AC74" s="62">
        <f t="array" aca="1" ref="AC74:AF74" ca="1">TRANSPOSE($G$44:$G$47 + MMULT($I$44:$L$47,TRANSPOSE(AR73:AU73)))</f>
        <v>0.71391028166033066</v>
      </c>
      <c r="AD74" s="62">
        <f ca="1"/>
        <v>0.52475390468844807</v>
      </c>
      <c r="AE74" s="62">
        <f ca="1"/>
        <v>0.36602504139897546</v>
      </c>
      <c r="AF74" s="62">
        <f ca="1"/>
        <v>0.61633145854213467</v>
      </c>
      <c r="AG74" s="66" t="str">
        <f t="array" ref="AG74">IF($AB74, Push(MMULT($I$44:$L$47,MMULT(Fetch(AV73),TRANSPOSE($I$44:$L$47))) + $N$44:$Q$47), "")</f>
        <v/>
      </c>
      <c r="AH74" s="62">
        <f t="array" aca="1" ref="AH74:AK74" ca="1">TRANSPOSE($G$38:$G$41 + MMULT($I$38:$L$41,TRANSPOSE(AC74:AF74)))</f>
        <v>0.803629142376316</v>
      </c>
      <c r="AI74" s="62">
        <f ca="1"/>
        <v>0.78712872904831421</v>
      </c>
      <c r="AJ74" s="62">
        <f ca="1"/>
        <v>0.68861814689239442</v>
      </c>
      <c r="AK74" s="62">
        <f ca="1"/>
        <v>0.48899783673709324</v>
      </c>
      <c r="AL74" s="66" t="str">
        <f t="array" ref="AL74">IF($AB74, Push(MINVERSE(MMULT($I$38:$L$41,MMULT(Fetch(AG74),TRANSPOSE($I$38:$L$41))) + $N$38:$Q$41)), "")</f>
        <v/>
      </c>
      <c r="AM74" s="62">
        <f t="array" aca="1" ref="AM74:AP74" ca="1">X74:AA74 - AH74:AK74</f>
        <v>-0.12392079761270447</v>
      </c>
      <c r="AN74" s="62">
        <f ca="1"/>
        <v>-1.3032561241269622</v>
      </c>
      <c r="AO74" s="62">
        <f ca="1"/>
        <v>-0.40737915427165761</v>
      </c>
      <c r="AP74" s="62">
        <f ca="1"/>
        <v>-0.26930420381420833</v>
      </c>
      <c r="AQ74" s="66" t="str">
        <f t="array" ref="AQ74">IF($AB74, Push(MMULT(Fetch(AG74),MMULT(TRANSPOSE($I$38:$L$41),Fetch(AL74)))), "")</f>
        <v/>
      </c>
      <c r="AR74" s="62">
        <f t="array" aca="1" ref="AR74:AU74" ca="1">AC74:AF74 + TRANSPOSE(MMULT(IF($AB74,Fetch(AQ74),$L$61:$O$64),TRANSPOSE(AM74:AP74)))</f>
        <v>0.41147270109783052</v>
      </c>
      <c r="AS74" s="62">
        <f ca="1"/>
        <v>-0.16508363151233574</v>
      </c>
      <c r="AT74" s="62">
        <f ca="1"/>
        <v>0.23903306081972625</v>
      </c>
      <c r="AU74" s="62">
        <f ca="1"/>
        <v>0.34677124383227709</v>
      </c>
      <c r="AV74" s="66" t="str">
        <f t="array" ref="AV74">IF($AB74, Push(Fetch(AG74) - MMULT(Fetch(AQ74),MMULT($I$38:$L$41,Fetch(AG74)))), "")</f>
        <v/>
      </c>
      <c r="AW74" s="97">
        <f t="array" aca="1" ref="AW74" ca="1">IF($AB74,LN(MDETERM(Fetch(AL74))),$J$65)   -   MMULT(AM74:AP74,MMULT(IF($AB74,Fetch(AL74),$G$61:$J$64),TRANSPOSE(AM74:AP74)))</f>
        <v>-8.2836807781940784</v>
      </c>
    </row>
    <row r="75" spans="1:49" x14ac:dyDescent="0.15">
      <c r="W75" s="12">
        <f t="shared" si="2"/>
        <v>72</v>
      </c>
      <c r="X75" s="62">
        <f t="array" aca="1" ref="X75:AA75" ca="1">simulate!AE75:AH75</f>
        <v>7.3749926332286941E-2</v>
      </c>
      <c r="Y75" s="62">
        <f ca="1"/>
        <v>0.22806529822966382</v>
      </c>
      <c r="Z75" s="62">
        <f ca="1"/>
        <v>0.60569280106894907</v>
      </c>
      <c r="AA75" s="62">
        <f ca="1"/>
        <v>0.1219288296543328</v>
      </c>
      <c r="AB75" s="98">
        <f t="shared" si="3"/>
        <v>0</v>
      </c>
      <c r="AC75" s="62">
        <f t="array" aca="1" ref="AC75:AF75" ca="1">TRANSPOSE($G$44:$G$47 + MMULT($I$44:$L$47,TRANSPOSE(AR74:AU74)))</f>
        <v>0.50548109697193588</v>
      </c>
      <c r="AD75" s="62">
        <f ca="1"/>
        <v>8.9568321176930893E-2</v>
      </c>
      <c r="AE75" s="62">
        <f ca="1"/>
        <v>0.28512808154321867</v>
      </c>
      <c r="AF75" s="62">
        <f ca="1"/>
        <v>0.43084345687640285</v>
      </c>
      <c r="AG75" s="66" t="str">
        <f t="array" ref="AG75">IF($AB75, Push(MMULT($I$44:$L$47,MMULT(Fetch(AV74),TRANSPOSE($I$44:$L$47))) + $N$44:$Q$47), "")</f>
        <v/>
      </c>
      <c r="AH75" s="62">
        <f t="array" aca="1" ref="AH75:AK75" ca="1">TRANSPOSE($G$38:$G$41 + MMULT($I$38:$L$41,TRANSPOSE(AC75:AF75)))</f>
        <v>0.67892393235144333</v>
      </c>
      <c r="AI75" s="62">
        <f ca="1"/>
        <v>0.31505045309675717</v>
      </c>
      <c r="AJ75" s="62">
        <f ca="1"/>
        <v>0.62594182962891631</v>
      </c>
      <c r="AK75" s="62">
        <f ca="1"/>
        <v>0.31167968982729849</v>
      </c>
      <c r="AL75" s="66" t="str">
        <f t="array" ref="AL75">IF($AB75, Push(MINVERSE(MMULT($I$38:$L$41,MMULT(Fetch(AG75),TRANSPOSE($I$38:$L$41))) + $N$38:$Q$41)), "")</f>
        <v/>
      </c>
      <c r="AM75" s="62">
        <f t="array" aca="1" ref="AM75:AP75" ca="1">X75:AA75 - AH75:AK75</f>
        <v>-0.60517400601915639</v>
      </c>
      <c r="AN75" s="62">
        <f ca="1"/>
        <v>-8.6985154867093351E-2</v>
      </c>
      <c r="AO75" s="62">
        <f ca="1"/>
        <v>-2.0249028559967241E-2</v>
      </c>
      <c r="AP75" s="62">
        <f ca="1"/>
        <v>-0.18975086017296569</v>
      </c>
      <c r="AQ75" s="66" t="str">
        <f t="array" ref="AQ75">IF($AB75, Push(MMULT(Fetch(AG75),MMULT(TRANSPOSE($I$38:$L$41),Fetch(AL75)))), "")</f>
        <v/>
      </c>
      <c r="AR75" s="62">
        <f t="array" aca="1" ref="AR75:AU75" ca="1">AC75:AF75 + TRANSPOSE(MMULT(IF($AB75,Fetch(AQ75),$L$61:$O$64),TRANSPOSE(AM75:AP75)))</f>
        <v>0.25385446799032679</v>
      </c>
      <c r="AS75" s="62">
        <f ca="1"/>
        <v>0.11208865040272036</v>
      </c>
      <c r="AT75" s="62">
        <f ca="1"/>
        <v>-5.1910711512696994E-2</v>
      </c>
      <c r="AU75" s="62">
        <f ca="1"/>
        <v>0.35353690305170915</v>
      </c>
      <c r="AV75" s="66" t="str">
        <f t="array" ref="AV75">IF($AB75, Push(Fetch(AG75) - MMULT(Fetch(AQ75),MMULT($I$38:$L$41,Fetch(AG75)))), "")</f>
        <v/>
      </c>
      <c r="AW75" s="97">
        <f t="array" aca="1" ref="AW75" ca="1">IF($AB75,LN(MDETERM(Fetch(AL75))),$J$65)   -   MMULT(AM75:AP75,MMULT(IF($AB75,Fetch(AL75),$G$61:$J$64),TRANSPOSE(AM75:AP75)))</f>
        <v>5.4676025476847183</v>
      </c>
    </row>
    <row r="76" spans="1:49" x14ac:dyDescent="0.15">
      <c r="W76" s="12">
        <f t="shared" si="2"/>
        <v>73</v>
      </c>
      <c r="X76" s="62">
        <f t="array" aca="1" ref="X76:AA76" ca="1">simulate!AE76:AH76</f>
        <v>0.88191875341174875</v>
      </c>
      <c r="Y76" s="62">
        <f ca="1"/>
        <v>-5.1473259171631369E-2</v>
      </c>
      <c r="Z76" s="62">
        <f ca="1"/>
        <v>1.3909561476646823</v>
      </c>
      <c r="AA76" s="62">
        <f ca="1"/>
        <v>1.0283226318088334</v>
      </c>
      <c r="AB76" s="98">
        <f t="shared" si="3"/>
        <v>0</v>
      </c>
      <c r="AC76" s="62">
        <f t="array" aca="1" ref="AC76:AF76" ca="1">TRANSPOSE($G$44:$G$47 + MMULT($I$44:$L$47,TRANSPOSE(AR75:AU75)))</f>
        <v>0.44098922227075221</v>
      </c>
      <c r="AD76" s="62">
        <f ca="1"/>
        <v>0.17109570418362319</v>
      </c>
      <c r="AE76" s="62">
        <f ca="1"/>
        <v>0.16277971849867054</v>
      </c>
      <c r="AF76" s="62">
        <f ca="1"/>
        <v>0.39941557377561809</v>
      </c>
      <c r="AG76" s="66" t="str">
        <f t="array" ref="AG76">IF($AB76, Push(MMULT($I$44:$L$47,MMULT(Fetch(AV75),TRANSPOSE($I$44:$L$47))) + $N$44:$Q$47), "")</f>
        <v/>
      </c>
      <c r="AH76" s="62">
        <f t="array" aca="1" ref="AH76:AK76" ca="1">TRANSPOSE($G$38:$G$41 + MMULT($I$38:$L$41,TRANSPOSE(AC76:AF76)))</f>
        <v>0.55958667062099199</v>
      </c>
      <c r="AI76" s="62">
        <f ca="1"/>
        <v>0.38731589606221106</v>
      </c>
      <c r="AJ76" s="62">
        <f ca="1"/>
        <v>0.5551732515480865</v>
      </c>
      <c r="AK76" s="62">
        <f ca="1"/>
        <v>0.26381653144454803</v>
      </c>
      <c r="AL76" s="66" t="str">
        <f t="array" ref="AL76">IF($AB76, Push(MINVERSE(MMULT($I$38:$L$41,MMULT(Fetch(AG76),TRANSPOSE($I$38:$L$41))) + $N$38:$Q$41)), "")</f>
        <v/>
      </c>
      <c r="AM76" s="62">
        <f t="array" aca="1" ref="AM76:AP76" ca="1">X76:AA76 - AH76:AK76</f>
        <v>0.32233208279075676</v>
      </c>
      <c r="AN76" s="62">
        <f ca="1"/>
        <v>-0.43878915523384243</v>
      </c>
      <c r="AO76" s="62">
        <f ca="1"/>
        <v>0.83578289611659584</v>
      </c>
      <c r="AP76" s="62">
        <f ca="1"/>
        <v>0.76450610036428546</v>
      </c>
      <c r="AQ76" s="66" t="str">
        <f t="array" ref="AQ76">IF($AB76, Push(MMULT(Fetch(AG76),MMULT(TRANSPOSE($I$38:$L$41),Fetch(AL76)))), "")</f>
        <v/>
      </c>
      <c r="AR76" s="62">
        <f t="array" aca="1" ref="AR76:AU76" ca="1">AC76:AF76 + TRANSPOSE(MMULT(IF($AB76,Fetch(AQ76),$L$61:$O$64),TRANSPOSE(AM76:AP76)))</f>
        <v>0.55705142684725639</v>
      </c>
      <c r="AS76" s="62">
        <f ca="1"/>
        <v>-0.15892160280966228</v>
      </c>
      <c r="AT76" s="62">
        <f ca="1"/>
        <v>0.97966591600448494</v>
      </c>
      <c r="AU76" s="62">
        <f ca="1"/>
        <v>1.004922818388136</v>
      </c>
      <c r="AV76" s="66" t="str">
        <f t="array" ref="AV76">IF($AB76, Push(Fetch(AG76) - MMULT(Fetch(AQ76),MMULT($I$38:$L$41,Fetch(AG76)))), "")</f>
        <v/>
      </c>
      <c r="AW76" s="97">
        <f t="array" aca="1" ref="AW76" ca="1">IF($AB76,LN(MDETERM(Fetch(AL76))),$J$65)   -   MMULT(AM76:AP76,MMULT(IF($AB76,Fetch(AL76),$G$61:$J$64),TRANSPOSE(AM76:AP76)))</f>
        <v>0.11008181409654405</v>
      </c>
    </row>
    <row r="77" spans="1:49" x14ac:dyDescent="0.15">
      <c r="W77" s="12">
        <f t="shared" si="2"/>
        <v>74</v>
      </c>
      <c r="X77" s="62">
        <f t="array" aca="1" ref="X77:AA77" ca="1">simulate!AE77:AH77</f>
        <v>0.49646513249192847</v>
      </c>
      <c r="Y77" s="62">
        <f ca="1"/>
        <v>0.16237736899760266</v>
      </c>
      <c r="Z77" s="62">
        <f ca="1"/>
        <v>1.1604941057225</v>
      </c>
      <c r="AA77" s="62">
        <f ca="1"/>
        <v>0.55308417082714556</v>
      </c>
      <c r="AB77" s="98">
        <f t="shared" si="3"/>
        <v>0</v>
      </c>
      <c r="AC77" s="62">
        <f t="array" aca="1" ref="AC77:AF77" ca="1">TRANSPOSE($G$44:$G$47 + MMULT($I$44:$L$47,TRANSPOSE(AR76:AU76)))</f>
        <v>0.66936524712711942</v>
      </c>
      <c r="AD77" s="62">
        <f ca="1"/>
        <v>0.27298918713688153</v>
      </c>
      <c r="AE77" s="62">
        <f ca="1"/>
        <v>0.79388912832685421</v>
      </c>
      <c r="AF77" s="62">
        <f ca="1"/>
        <v>0.91397792779384823</v>
      </c>
      <c r="AG77" s="66" t="str">
        <f t="array" ref="AG77">IF($AB77, Push(MMULT($I$44:$L$47,MMULT(Fetch(AV76),TRANSPOSE($I$44:$L$47))) + $N$44:$Q$47), "")</f>
        <v/>
      </c>
      <c r="AH77" s="62">
        <f t="array" aca="1" ref="AH77:AK77" ca="1">TRANSPOSE($G$38:$G$41 + MMULT($I$38:$L$41,TRANSPOSE(AC77:AF77)))</f>
        <v>0.97257967897111786</v>
      </c>
      <c r="AI77" s="62">
        <f ca="1"/>
        <v>0.50044152347904747</v>
      </c>
      <c r="AJ77" s="62">
        <f ca="1"/>
        <v>0.97582923394355126</v>
      </c>
      <c r="AK77" s="62">
        <f ca="1"/>
        <v>0.86821648668475904</v>
      </c>
      <c r="AL77" s="66" t="str">
        <f t="array" ref="AL77">IF($AB77, Push(MINVERSE(MMULT($I$38:$L$41,MMULT(Fetch(AG77),TRANSPOSE($I$38:$L$41))) + $N$38:$Q$41)), "")</f>
        <v/>
      </c>
      <c r="AM77" s="62">
        <f t="array" aca="1" ref="AM77:AP77" ca="1">X77:AA77 - AH77:AK77</f>
        <v>-0.47611454647918938</v>
      </c>
      <c r="AN77" s="62">
        <f ca="1"/>
        <v>-0.33806415448144478</v>
      </c>
      <c r="AO77" s="62">
        <f ca="1"/>
        <v>0.18466487177894875</v>
      </c>
      <c r="AP77" s="62">
        <f ca="1"/>
        <v>-0.31513231585761348</v>
      </c>
      <c r="AQ77" s="66" t="str">
        <f t="array" ref="AQ77">IF($AB77, Push(MMULT(Fetch(AG77),MMULT(TRANSPOSE($I$38:$L$41),Fetch(AL77)))), "")</f>
        <v/>
      </c>
      <c r="AR77" s="62">
        <f t="array" aca="1" ref="AR77:AU77" ca="1">AC77:AF77 + TRANSPOSE(MMULT(IF($AB77,Fetch(AQ77),$L$61:$O$64),TRANSPOSE(AM77:AP77)))</f>
        <v>0.51666900306686803</v>
      </c>
      <c r="AS77" s="62">
        <f ca="1"/>
        <v>6.1920126885108895E-2</v>
      </c>
      <c r="AT77" s="62">
        <f ca="1"/>
        <v>0.48730776018402799</v>
      </c>
      <c r="AU77" s="62">
        <f ca="1"/>
        <v>0.87510151837888595</v>
      </c>
      <c r="AV77" s="66" t="str">
        <f t="array" ref="AV77">IF($AB77, Push(Fetch(AG77) - MMULT(Fetch(AQ77),MMULT($I$38:$L$41,Fetch(AG77)))), "")</f>
        <v/>
      </c>
      <c r="AW77" s="97">
        <f t="array" aca="1" ref="AW77" ca="1">IF($AB77,LN(MDETERM(Fetch(AL77))),$J$65)   -   MMULT(AM77:AP77,MMULT(IF($AB77,Fetch(AL77),$G$61:$J$64),TRANSPOSE(AM77:AP77)))</f>
        <v>5.5954549927786141</v>
      </c>
    </row>
    <row r="78" spans="1:49" x14ac:dyDescent="0.15">
      <c r="W78" s="12">
        <f t="shared" si="2"/>
        <v>75</v>
      </c>
      <c r="X78" s="62">
        <f t="array" aca="1" ref="X78:AA78" ca="1">simulate!AE78:AH78</f>
        <v>-1.2412176230491678E-2</v>
      </c>
      <c r="Y78" s="62">
        <f ca="1"/>
        <v>0.21701471611341927</v>
      </c>
      <c r="Z78" s="62">
        <f ca="1"/>
        <v>0.782048990177173</v>
      </c>
      <c r="AA78" s="62">
        <f ca="1"/>
        <v>0.93411995111173907</v>
      </c>
      <c r="AB78" s="98">
        <f t="shared" si="3"/>
        <v>0</v>
      </c>
      <c r="AC78" s="62">
        <f t="array" aca="1" ref="AC78:AF78" ca="1">TRANSPOSE($G$44:$G$47 + MMULT($I$44:$L$47,TRANSPOSE(AR77:AU77)))</f>
        <v>0.63895186316161046</v>
      </c>
      <c r="AD78" s="62">
        <f ca="1"/>
        <v>0.30359791105930012</v>
      </c>
      <c r="AE78" s="62">
        <f ca="1"/>
        <v>0.54174773485527916</v>
      </c>
      <c r="AF78" s="62">
        <f ca="1"/>
        <v>0.77770532653640356</v>
      </c>
      <c r="AG78" s="66" t="str">
        <f t="array" ref="AG78">IF($AB78, Push(MMULT($I$44:$L$47,MMULT(Fetch(AV77),TRANSPOSE($I$44:$L$47))) + $N$44:$Q$47), "")</f>
        <v/>
      </c>
      <c r="AH78" s="62">
        <f t="array" aca="1" ref="AH78:AK78" ca="1">TRANSPOSE($G$38:$G$41 + MMULT($I$38:$L$41,TRANSPOSE(AC78:AF78)))</f>
        <v>0.82759834699762691</v>
      </c>
      <c r="AI78" s="62">
        <f ca="1"/>
        <v>0.55351113080931547</v>
      </c>
      <c r="AJ78" s="62">
        <f ca="1"/>
        <v>0.86208119304239328</v>
      </c>
      <c r="AK78" s="62">
        <f ca="1"/>
        <v>0.65088543642317687</v>
      </c>
      <c r="AL78" s="66" t="str">
        <f t="array" ref="AL78">IF($AB78, Push(MINVERSE(MMULT($I$38:$L$41,MMULT(Fetch(AG78),TRANSPOSE($I$38:$L$41))) + $N$38:$Q$41)), "")</f>
        <v/>
      </c>
      <c r="AM78" s="62">
        <f t="array" aca="1" ref="AM78:AP78" ca="1">X78:AA78 - AH78:AK78</f>
        <v>-0.84001052322811853</v>
      </c>
      <c r="AN78" s="62">
        <f ca="1"/>
        <v>-0.3364964146958962</v>
      </c>
      <c r="AO78" s="62">
        <f ca="1"/>
        <v>-8.0032202865220281E-2</v>
      </c>
      <c r="AP78" s="62">
        <f ca="1"/>
        <v>0.2832345146885622</v>
      </c>
      <c r="AQ78" s="66" t="str">
        <f t="array" ref="AQ78">IF($AB78, Push(MMULT(Fetch(AG78),MMULT(TRANSPOSE($I$38:$L$41),Fetch(AL78)))), "")</f>
        <v/>
      </c>
      <c r="AR78" s="62">
        <f t="array" aca="1" ref="AR78:AU78" ca="1">AC78:AF78 + TRANSPOSE(MMULT(IF($AB78,Fetch(AQ78),$L$61:$O$64),TRANSPOSE(AM78:AP78)))</f>
        <v>0.12019012463203571</v>
      </c>
      <c r="AS78" s="62">
        <f ca="1"/>
        <v>0.33117396733408366</v>
      </c>
      <c r="AT78" s="62">
        <f ca="1"/>
        <v>0.45237725047780786</v>
      </c>
      <c r="AU78" s="62">
        <f ca="1"/>
        <v>0.83855628086097111</v>
      </c>
      <c r="AV78" s="66" t="str">
        <f t="array" ref="AV78">IF($AB78, Push(Fetch(AG78) - MMULT(Fetch(AQ78),MMULT($I$38:$L$41,Fetch(AG78)))), "")</f>
        <v/>
      </c>
      <c r="AW78" s="97">
        <f t="array" aca="1" ref="AW78" ca="1">IF($AB78,LN(MDETERM(Fetch(AL78))),$J$65)   -   MMULT(AM78:AP78,MMULT(IF($AB78,Fetch(AL78),$G$61:$J$64),TRANSPOSE(AM78:AP78)))</f>
        <v>-0.21756008506591851</v>
      </c>
    </row>
    <row r="79" spans="1:49" x14ac:dyDescent="0.15">
      <c r="W79" s="12">
        <f t="shared" si="2"/>
        <v>76</v>
      </c>
      <c r="X79" s="62">
        <f t="array" aca="1" ref="X79:AA79" ca="1">simulate!AE79:AH79</f>
        <v>-0.42864480536947158</v>
      </c>
      <c r="Y79" s="62">
        <f ca="1"/>
        <v>-0.68159752432922582</v>
      </c>
      <c r="Z79" s="62">
        <f ca="1"/>
        <v>0.94928915486944199</v>
      </c>
      <c r="AA79" s="62">
        <f ca="1"/>
        <v>0.22294288661217332</v>
      </c>
      <c r="AB79" s="98">
        <f t="shared" si="3"/>
        <v>0</v>
      </c>
      <c r="AC79" s="62">
        <f t="array" aca="1" ref="AC79:AF79" ca="1">TRANSPOSE($G$44:$G$47 + MMULT($I$44:$L$47,TRANSPOSE(AR78:AU78)))</f>
        <v>0.46042815365786005</v>
      </c>
      <c r="AD79" s="62">
        <f ca="1"/>
        <v>0.37687209283948131</v>
      </c>
      <c r="AE79" s="62">
        <f ca="1"/>
        <v>0.5329674281357426</v>
      </c>
      <c r="AF79" s="62">
        <f ca="1"/>
        <v>0.75241029518098834</v>
      </c>
      <c r="AG79" s="66" t="str">
        <f t="array" ref="AG79">IF($AB79, Push(MMULT($I$44:$L$47,MMULT(Fetch(AV78),TRANSPOSE($I$44:$L$47))) + $N$44:$Q$47), "")</f>
        <v/>
      </c>
      <c r="AH79" s="62">
        <f t="array" aca="1" ref="AH79:AK79" ca="1">TRANSPOSE($G$38:$G$41 + MMULT($I$38:$L$41,TRANSPOSE(AC79:AF79)))</f>
        <v>0.69760533853173312</v>
      </c>
      <c r="AI79" s="62">
        <f ca="1"/>
        <v>0.54858005440386315</v>
      </c>
      <c r="AJ79" s="62">
        <f ca="1"/>
        <v>0.74492040191838749</v>
      </c>
      <c r="AK79" s="62">
        <f ca="1"/>
        <v>0.73636996266367261</v>
      </c>
      <c r="AL79" s="66" t="str">
        <f t="array" ref="AL79">IF($AB79, Push(MINVERSE(MMULT($I$38:$L$41,MMULT(Fetch(AG79),TRANSPOSE($I$38:$L$41))) + $N$38:$Q$41)), "")</f>
        <v/>
      </c>
      <c r="AM79" s="62">
        <f t="array" aca="1" ref="AM79:AP79" ca="1">X79:AA79 - AH79:AK79</f>
        <v>-1.1262501439012047</v>
      </c>
      <c r="AN79" s="62">
        <f ca="1"/>
        <v>-1.2301775787330889</v>
      </c>
      <c r="AO79" s="62">
        <f ca="1"/>
        <v>0.2043687529510545</v>
      </c>
      <c r="AP79" s="62">
        <f ca="1"/>
        <v>-0.51342707605149929</v>
      </c>
      <c r="AQ79" s="66" t="str">
        <f t="array" ref="AQ79">IF($AB79, Push(MMULT(Fetch(AG79),MMULT(TRANSPOSE($I$38:$L$41),Fetch(AL79)))), "")</f>
        <v/>
      </c>
      <c r="AR79" s="62">
        <f t="array" aca="1" ref="AR79:AU79" ca="1">AC79:AF79 + TRANSPOSE(MMULT(IF($AB79,Fetch(AQ79),$L$61:$O$64),TRANSPOSE(AM79:AP79)))</f>
        <v>-7.8616599666723075E-2</v>
      </c>
      <c r="AS79" s="62">
        <f ca="1"/>
        <v>-0.27317679116884164</v>
      </c>
      <c r="AT79" s="62">
        <f ca="1"/>
        <v>-2.4451415942930543E-2</v>
      </c>
      <c r="AU79" s="62">
        <f ca="1"/>
        <v>0.64372431243447514</v>
      </c>
      <c r="AV79" s="66" t="str">
        <f t="array" ref="AV79">IF($AB79, Push(Fetch(AG79) - MMULT(Fetch(AQ79),MMULT($I$38:$L$41,Fetch(AG79)))), "")</f>
        <v/>
      </c>
      <c r="AW79" s="97">
        <f t="array" aca="1" ref="AW79" ca="1">IF($AB79,LN(MDETERM(Fetch(AL79))),$J$65)   -   MMULT(AM79:AP79,MMULT(IF($AB79,Fetch(AL79),$G$61:$J$64),TRANSPOSE(AM79:AP79)))</f>
        <v>-4.2517733134049127</v>
      </c>
    </row>
    <row r="80" spans="1:49" x14ac:dyDescent="0.15">
      <c r="W80" s="12">
        <f t="shared" si="2"/>
        <v>77</v>
      </c>
      <c r="X80" s="62">
        <f t="array" aca="1" ref="X80:AA80" ca="1">simulate!AE80:AH80</f>
        <v>0.83165818014091508</v>
      </c>
      <c r="Y80" s="62">
        <f ca="1"/>
        <v>0.88145044768683334</v>
      </c>
      <c r="Z80" s="62">
        <f ca="1"/>
        <v>0.77789654531706653</v>
      </c>
      <c r="AA80" s="62">
        <f ca="1"/>
        <v>0.61283938645305647</v>
      </c>
      <c r="AB80" s="98">
        <f t="shared" si="3"/>
        <v>0</v>
      </c>
      <c r="AC80" s="62">
        <f t="array" aca="1" ref="AC80:AF80" ca="1">TRANSPOSE($G$44:$G$47 + MMULT($I$44:$L$47,TRANSPOSE(AR79:AU79)))</f>
        <v>0.22031387923265622</v>
      </c>
      <c r="AD80" s="62">
        <f ca="1"/>
        <v>-6.6235994025792472E-2</v>
      </c>
      <c r="AE80" s="62">
        <f ca="1"/>
        <v>0.13433689995254183</v>
      </c>
      <c r="AF80" s="62">
        <f ca="1"/>
        <v>0.51719504440908293</v>
      </c>
      <c r="AG80" s="66" t="str">
        <f t="array" ref="AG80">IF($AB80, Push(MMULT($I$44:$L$47,MMULT(Fetch(AV79),TRANSPOSE($I$44:$L$47))) + $N$44:$Q$47), "")</f>
        <v/>
      </c>
      <c r="AH80" s="62">
        <f t="array" aca="1" ref="AH80:AK80" ca="1">TRANSPOSE($G$38:$G$41 + MMULT($I$38:$L$41,TRANSPOSE(AC80:AF80)))</f>
        <v>0.3627208726535498</v>
      </c>
      <c r="AI80" s="62">
        <f ca="1"/>
        <v>0.12930043391017854</v>
      </c>
      <c r="AJ80" s="62">
        <f ca="1"/>
        <v>0.66102681494778182</v>
      </c>
      <c r="AK80" s="62">
        <f ca="1"/>
        <v>0.32013563678363405</v>
      </c>
      <c r="AL80" s="66" t="str">
        <f t="array" ref="AL80">IF($AB80, Push(MINVERSE(MMULT($I$38:$L$41,MMULT(Fetch(AG80),TRANSPOSE($I$38:$L$41))) + $N$38:$Q$41)), "")</f>
        <v/>
      </c>
      <c r="AM80" s="62">
        <f t="array" aca="1" ref="AM80:AP80" ca="1">X80:AA80 - AH80:AK80</f>
        <v>0.46893730748736528</v>
      </c>
      <c r="AN80" s="62">
        <f ca="1"/>
        <v>0.7521500137766548</v>
      </c>
      <c r="AO80" s="62">
        <f ca="1"/>
        <v>0.11686973036928472</v>
      </c>
      <c r="AP80" s="62">
        <f ca="1"/>
        <v>0.29270374966942242</v>
      </c>
      <c r="AQ80" s="66" t="str">
        <f t="array" ref="AQ80">IF($AB80, Push(MMULT(Fetch(AG80),MMULT(TRANSPOSE($I$38:$L$41),Fetch(AL80)))), "")</f>
        <v/>
      </c>
      <c r="AR80" s="62">
        <f t="array" aca="1" ref="AR80:AU80" ca="1">AC80:AF80 + TRANSPOSE(MMULT(IF($AB80,Fetch(AQ80),$L$61:$O$64),TRANSPOSE(AM80:AP80)))</f>
        <v>0.51531294511701553</v>
      </c>
      <c r="AS80" s="62">
        <f ca="1"/>
        <v>0.31461338971826258</v>
      </c>
      <c r="AT80" s="62">
        <f ca="1"/>
        <v>0.42229525401423706</v>
      </c>
      <c r="AU80" s="62">
        <f ca="1"/>
        <v>0.67396534954724963</v>
      </c>
      <c r="AV80" s="66" t="str">
        <f t="array" ref="AV80">IF($AB80, Push(Fetch(AG80) - MMULT(Fetch(AQ80),MMULT($I$38:$L$41,Fetch(AG80)))), "")</f>
        <v/>
      </c>
      <c r="AW80" s="97">
        <f t="array" aca="1" ref="AW80" ca="1">IF($AB80,LN(MDETERM(Fetch(AL80))),$J$65)   -   MMULT(AM80:AP80,MMULT(IF($AB80,Fetch(AL80),$G$61:$J$64),TRANSPOSE(AM80:AP80)))</f>
        <v>2.9277310965739574</v>
      </c>
    </row>
    <row r="81" spans="23:49" x14ac:dyDescent="0.15">
      <c r="W81" s="12">
        <f t="shared" si="2"/>
        <v>78</v>
      </c>
      <c r="X81" s="62">
        <f t="array" aca="1" ref="X81:AA81" ca="1">simulate!AE81:AH81</f>
        <v>0.33680135580750581</v>
      </c>
      <c r="Y81" s="62">
        <f ca="1"/>
        <v>-0.37807570525506495</v>
      </c>
      <c r="Z81" s="62">
        <f ca="1"/>
        <v>0.47434704399655225</v>
      </c>
      <c r="AA81" s="62">
        <f ca="1"/>
        <v>0.35323523880457613</v>
      </c>
      <c r="AB81" s="98">
        <f t="shared" si="3"/>
        <v>0</v>
      </c>
      <c r="AC81" s="62">
        <f t="array" aca="1" ref="AC81:AF81" ca="1">TRANSPOSE($G$44:$G$47 + MMULT($I$44:$L$47,TRANSPOSE(AR80:AU80)))</f>
        <v>0.6613223251855288</v>
      </c>
      <c r="AD81" s="62">
        <f ca="1"/>
        <v>0.41591210416106594</v>
      </c>
      <c r="AE81" s="62">
        <f ca="1"/>
        <v>0.51780040373222447</v>
      </c>
      <c r="AF81" s="62">
        <f ca="1"/>
        <v>0.67644381458130076</v>
      </c>
      <c r="AG81" s="66" t="str">
        <f t="array" ref="AG81">IF($AB81, Push(MMULT($I$44:$L$47,MMULT(Fetch(AV80),TRANSPOSE($I$44:$L$47))) + $N$44:$Q$47), "")</f>
        <v/>
      </c>
      <c r="AH81" s="62">
        <f t="array" aca="1" ref="AH81:AK81" ca="1">TRANSPOSE($G$38:$G$41 + MMULT($I$38:$L$41,TRANSPOSE(AC81:AF81)))</f>
        <v>0.85121396548428807</v>
      </c>
      <c r="AI81" s="62">
        <f ca="1"/>
        <v>0.64586571079086486</v>
      </c>
      <c r="AJ81" s="62">
        <f ca="1"/>
        <v>0.74571919210163728</v>
      </c>
      <c r="AK81" s="62">
        <f ca="1"/>
        <v>0.61462108930920689</v>
      </c>
      <c r="AL81" s="66" t="str">
        <f t="array" ref="AL81">IF($AB81, Push(MINVERSE(MMULT($I$38:$L$41,MMULT(Fetch(AG81),TRANSPOSE($I$38:$L$41))) + $N$38:$Q$41)), "")</f>
        <v/>
      </c>
      <c r="AM81" s="62">
        <f t="array" aca="1" ref="AM81:AP81" ca="1">X81:AA81 - AH81:AK81</f>
        <v>-0.51441260967678226</v>
      </c>
      <c r="AN81" s="62">
        <f ca="1"/>
        <v>-1.0239414160459299</v>
      </c>
      <c r="AO81" s="62">
        <f ca="1"/>
        <v>-0.27137214810508503</v>
      </c>
      <c r="AP81" s="62">
        <f ca="1"/>
        <v>-0.26138585050463076</v>
      </c>
      <c r="AQ81" s="66" t="str">
        <f t="array" ref="AQ81">IF($AB81, Push(MMULT(Fetch(AG81),MMULT(TRANSPOSE($I$38:$L$41),Fetch(AL81)))), "")</f>
        <v/>
      </c>
      <c r="AR81" s="62">
        <f t="array" aca="1" ref="AR81:AU81" ca="1">AC81:AF81 + TRANSPOSE(MMULT(IF($AB81,Fetch(AQ81),$L$61:$O$64),TRANSPOSE(AM81:AP81)))</f>
        <v>0.25724055251182765</v>
      </c>
      <c r="AS81" s="62">
        <f ca="1"/>
        <v>-7.3430098291920154E-2</v>
      </c>
      <c r="AT81" s="62">
        <f ca="1"/>
        <v>0.24211643358108675</v>
      </c>
      <c r="AU81" s="62">
        <f ca="1"/>
        <v>0.46559085116619636</v>
      </c>
      <c r="AV81" s="66" t="str">
        <f t="array" ref="AV81">IF($AB81, Push(Fetch(AG81) - MMULT(Fetch(AQ81),MMULT($I$38:$L$41,Fetch(AG81)))), "")</f>
        <v/>
      </c>
      <c r="AW81" s="97">
        <f t="array" aca="1" ref="AW81" ca="1">IF($AB81,LN(MDETERM(Fetch(AL81))),$J$65)   -   MMULT(AM81:AP81,MMULT(IF($AB81,Fetch(AL81),$G$61:$J$64),TRANSPOSE(AM81:AP81)))</f>
        <v>-0.70763329821484078</v>
      </c>
    </row>
    <row r="82" spans="23:49" x14ac:dyDescent="0.15">
      <c r="W82" s="12">
        <f t="shared" si="2"/>
        <v>79</v>
      </c>
      <c r="X82" s="62">
        <f t="array" aca="1" ref="X82:AA82" ca="1">simulate!AE82:AH82</f>
        <v>0.24369001728608652</v>
      </c>
      <c r="Y82" s="62">
        <f ca="1"/>
        <v>0.25341736197699033</v>
      </c>
      <c r="Z82" s="62">
        <f ca="1"/>
        <v>1.0595483573516569</v>
      </c>
      <c r="AA82" s="62">
        <f ca="1"/>
        <v>4.5945751619068997E-2</v>
      </c>
      <c r="AB82" s="98">
        <f t="shared" si="3"/>
        <v>0</v>
      </c>
      <c r="AC82" s="62">
        <f t="array" aca="1" ref="AC82:AF82" ca="1">TRANSPOSE($G$44:$G$47 + MMULT($I$44:$L$47,TRANSPOSE(AR81:AU81)))</f>
        <v>0.44167756216078335</v>
      </c>
      <c r="AD82" s="62">
        <f ca="1"/>
        <v>0.1229413226442416</v>
      </c>
      <c r="AE82" s="62">
        <f ca="1"/>
        <v>0.30827962323706654</v>
      </c>
      <c r="AF82" s="62">
        <f ca="1"/>
        <v>0.49462805378007652</v>
      </c>
      <c r="AG82" s="66" t="str">
        <f t="array" ref="AG82">IF($AB82, Push(MMULT($I$44:$L$47,MMULT(Fetch(AV81),TRANSPOSE($I$44:$L$47))) + $N$44:$Q$47), "")</f>
        <v/>
      </c>
      <c r="AH82" s="62">
        <f t="array" aca="1" ref="AH82:AK82" ca="1">TRANSPOSE($G$38:$G$41 + MMULT($I$38:$L$41,TRANSPOSE(AC82:AF82)))</f>
        <v>0.62808964015309354</v>
      </c>
      <c r="AI82" s="62">
        <f ca="1"/>
        <v>0.3271436031317283</v>
      </c>
      <c r="AJ82" s="62">
        <f ca="1"/>
        <v>0.63971968840714011</v>
      </c>
      <c r="AK82" s="62">
        <f ca="1"/>
        <v>0.39455862582863105</v>
      </c>
      <c r="AL82" s="66" t="str">
        <f t="array" ref="AL82">IF($AB82, Push(MINVERSE(MMULT($I$38:$L$41,MMULT(Fetch(AG82),TRANSPOSE($I$38:$L$41))) + $N$38:$Q$41)), "")</f>
        <v/>
      </c>
      <c r="AM82" s="62">
        <f t="array" aca="1" ref="AM82:AP82" ca="1">X82:AA82 - AH82:AK82</f>
        <v>-0.38439962286700702</v>
      </c>
      <c r="AN82" s="62">
        <f ca="1"/>
        <v>-7.372624115473797E-2</v>
      </c>
      <c r="AO82" s="62">
        <f ca="1"/>
        <v>0.41982866894451676</v>
      </c>
      <c r="AP82" s="62">
        <f ca="1"/>
        <v>-0.34861287420956205</v>
      </c>
      <c r="AQ82" s="66" t="str">
        <f t="array" ref="AQ82">IF($AB82, Push(MMULT(Fetch(AG82),MMULT(TRANSPOSE($I$38:$L$41),Fetch(AL82)))), "")</f>
        <v/>
      </c>
      <c r="AR82" s="62">
        <f t="array" aca="1" ref="AR82:AU82" ca="1">AC82:AF82 + TRANSPOSE(MMULT(IF($AB82,Fetch(AQ82),$L$61:$O$64),TRANSPOSE(AM82:AP82)))</f>
        <v>0.43866310441245743</v>
      </c>
      <c r="AS82" s="62">
        <f ca="1"/>
        <v>-9.2946177109046457E-3</v>
      </c>
      <c r="AT82" s="62">
        <f ca="1"/>
        <v>1.9333494140951035E-2</v>
      </c>
      <c r="AU82" s="62">
        <f ca="1"/>
        <v>0.54205907102587547</v>
      </c>
      <c r="AV82" s="66" t="str">
        <f t="array" ref="AV82">IF($AB82, Push(Fetch(AG82) - MMULT(Fetch(AQ82),MMULT($I$38:$L$41,Fetch(AG82)))), "")</f>
        <v/>
      </c>
      <c r="AW82" s="97">
        <f t="array" aca="1" ref="AW82" ca="1">IF($AB82,LN(MDETERM(Fetch(AL82))),$J$65)   -   MMULT(AM82:AP82,MMULT(IF($AB82,Fetch(AL82),$G$61:$J$64),TRANSPOSE(AM82:AP82)))</f>
        <v>5.1229182115272236</v>
      </c>
    </row>
    <row r="83" spans="23:49" x14ac:dyDescent="0.15">
      <c r="W83" s="12">
        <f t="shared" si="2"/>
        <v>80</v>
      </c>
      <c r="X83" s="62">
        <f t="array" aca="1" ref="X83:AA83" ca="1">simulate!AE83:AH83</f>
        <v>0.79616638614379209</v>
      </c>
      <c r="Y83" s="62">
        <f ca="1"/>
        <v>0.333748310118966</v>
      </c>
      <c r="Z83" s="62">
        <f ca="1"/>
        <v>0.67310682702604319</v>
      </c>
      <c r="AA83" s="62">
        <f ca="1"/>
        <v>8.6598263773794981E-3</v>
      </c>
      <c r="AB83" s="98">
        <f t="shared" si="3"/>
        <v>0</v>
      </c>
      <c r="AC83" s="62">
        <f t="array" aca="1" ref="AC83:AF83" ca="1">TRANSPOSE($G$44:$G$47 + MMULT($I$44:$L$47,TRANSPOSE(AR82:AU82)))</f>
        <v>0.53696701296049132</v>
      </c>
      <c r="AD83" s="62">
        <f ca="1"/>
        <v>0.15950835177055186</v>
      </c>
      <c r="AE83" s="62">
        <f ca="1"/>
        <v>0.22260414542793097</v>
      </c>
      <c r="AF83" s="62">
        <f ca="1"/>
        <v>0.51303941082064553</v>
      </c>
      <c r="AG83" s="66" t="str">
        <f t="array" ref="AG83">IF($AB83, Push(MMULT($I$44:$L$47,MMULT(Fetch(AV82),TRANSPOSE($I$44:$L$47))) + $N$44:$Q$47), "")</f>
        <v/>
      </c>
      <c r="AH83" s="62">
        <f t="array" aca="1" ref="AH83:AK83" ca="1">TRANSPOSE($G$38:$G$41 + MMULT($I$38:$L$41,TRANSPOSE(AC83:AF83)))</f>
        <v>0.63459282724392319</v>
      </c>
      <c r="AI83" s="62">
        <f ca="1"/>
        <v>0.41977225538006713</v>
      </c>
      <c r="AJ83" s="62">
        <f ca="1"/>
        <v>0.68601656364954811</v>
      </c>
      <c r="AK83" s="62">
        <f ca="1"/>
        <v>0.30893892422999031</v>
      </c>
      <c r="AL83" s="66" t="str">
        <f t="array" ref="AL83">IF($AB83, Push(MINVERSE(MMULT($I$38:$L$41,MMULT(Fetch(AG83),TRANSPOSE($I$38:$L$41))) + $N$38:$Q$41)), "")</f>
        <v/>
      </c>
      <c r="AM83" s="62">
        <f t="array" aca="1" ref="AM83:AP83" ca="1">X83:AA83 - AH83:AK83</f>
        <v>0.16157355889986891</v>
      </c>
      <c r="AN83" s="62">
        <f ca="1"/>
        <v>-8.6023945261101131E-2</v>
      </c>
      <c r="AO83" s="62">
        <f ca="1"/>
        <v>-1.2909736623504919E-2</v>
      </c>
      <c r="AP83" s="62">
        <f ca="1"/>
        <v>-0.30027909785261081</v>
      </c>
      <c r="AQ83" s="66" t="str">
        <f t="array" ref="AQ83">IF($AB83, Push(MMULT(Fetch(AG83),MMULT(TRANSPOSE($I$38:$L$41),Fetch(AL83)))), "")</f>
        <v/>
      </c>
      <c r="AR83" s="62">
        <f t="array" aca="1" ref="AR83:AU83" ca="1">AC83:AF83 + TRANSPOSE(MMULT(IF($AB83,Fetch(AQ83),$L$61:$O$64),TRANSPOSE(AM83:AP83)))</f>
        <v>0.66117468682255254</v>
      </c>
      <c r="AS83" s="62">
        <f ca="1"/>
        <v>2.5356773722225556E-2</v>
      </c>
      <c r="AT83" s="62">
        <f ca="1"/>
        <v>9.2096810918811695E-2</v>
      </c>
      <c r="AU83" s="62">
        <f ca="1"/>
        <v>0.40294090743935823</v>
      </c>
      <c r="AV83" s="66" t="str">
        <f t="array" ref="AV83">IF($AB83, Push(Fetch(AG83) - MMULT(Fetch(AQ83),MMULT($I$38:$L$41,Fetch(AG83)))), "")</f>
        <v/>
      </c>
      <c r="AW83" s="97">
        <f t="array" aca="1" ref="AW83" ca="1">IF($AB83,LN(MDETERM(Fetch(AL83))),$J$65)   -   MMULT(AM83:AP83,MMULT(IF($AB83,Fetch(AL83),$G$61:$J$64),TRANSPOSE(AM83:AP83)))</f>
        <v>5.3792526572889177</v>
      </c>
    </row>
    <row r="84" spans="23:49" x14ac:dyDescent="0.15">
      <c r="W84" s="12">
        <f t="shared" si="2"/>
        <v>81</v>
      </c>
      <c r="X84" s="62">
        <f t="array" aca="1" ref="X84:AA84" ca="1">simulate!AE84:AH84</f>
        <v>1.8017935900258106</v>
      </c>
      <c r="Y84" s="62">
        <f ca="1"/>
        <v>1.4655475861797638</v>
      </c>
      <c r="Z84" s="62">
        <f ca="1"/>
        <v>0.98144329599974411</v>
      </c>
      <c r="AA84" s="62">
        <f ca="1"/>
        <v>1.8876846585018046</v>
      </c>
      <c r="AB84" s="98">
        <f t="shared" si="3"/>
        <v>0</v>
      </c>
      <c r="AC84" s="62">
        <f t="array" aca="1" ref="AC84:AF84" ca="1">TRANSPOSE($G$44:$G$47 + MMULT($I$44:$L$47,TRANSPOSE(AR83:AU83)))</f>
        <v>0.66076215048699316</v>
      </c>
      <c r="AD84" s="62">
        <f ca="1"/>
        <v>0.21521499647743444</v>
      </c>
      <c r="AE84" s="62">
        <f ca="1"/>
        <v>0.26277868416471906</v>
      </c>
      <c r="AF84" s="62">
        <f ca="1"/>
        <v>0.46287857688733741</v>
      </c>
      <c r="AG84" s="66" t="str">
        <f t="array" ref="AG84">IF($AB84, Push(MMULT($I$44:$L$47,MMULT(Fetch(AV83),TRANSPOSE($I$44:$L$47))) + $N$44:$Q$47), "")</f>
        <v/>
      </c>
      <c r="AH84" s="62">
        <f t="array" aca="1" ref="AH84:AK84" ca="1">TRANSPOSE($G$38:$G$41 + MMULT($I$38:$L$41,TRANSPOSE(AC84:AF84)))</f>
        <v>0.76001746944105775</v>
      </c>
      <c r="AI84" s="62">
        <f ca="1"/>
        <v>0.49398485916445634</v>
      </c>
      <c r="AJ84" s="62">
        <f ca="1"/>
        <v>0.66708348215825342</v>
      </c>
      <c r="AK84" s="62">
        <f ca="1"/>
        <v>0.27793479292771262</v>
      </c>
      <c r="AL84" s="66" t="str">
        <f t="array" ref="AL84">IF($AB84, Push(MINVERSE(MMULT($I$38:$L$41,MMULT(Fetch(AG84),TRANSPOSE($I$38:$L$41))) + $N$38:$Q$41)), "")</f>
        <v/>
      </c>
      <c r="AM84" s="62">
        <f t="array" aca="1" ref="AM84:AP84" ca="1">X84:AA84 - AH84:AK84</f>
        <v>1.0417761205847529</v>
      </c>
      <c r="AN84" s="62">
        <f ca="1"/>
        <v>0.97156272701530744</v>
      </c>
      <c r="AO84" s="62">
        <f ca="1"/>
        <v>0.3143598138414907</v>
      </c>
      <c r="AP84" s="62">
        <f ca="1"/>
        <v>1.6097498655740918</v>
      </c>
      <c r="AQ84" s="66" t="str">
        <f t="array" ref="AQ84">IF($AB84, Push(MMULT(Fetch(AG84),MMULT(TRANSPOSE($I$38:$L$41),Fetch(AL84)))), "")</f>
        <v/>
      </c>
      <c r="AR84" s="62">
        <f t="array" aca="1" ref="AR84:AU84" ca="1">AC84:AF84 + TRANSPOSE(MMULT(IF($AB84,Fetch(AQ84),$L$61:$O$64),TRANSPOSE(AM84:AP84)))</f>
        <v>1.0049396132827033</v>
      </c>
      <c r="AS84" s="62">
        <f ca="1"/>
        <v>0.8413273956820374</v>
      </c>
      <c r="AT84" s="62">
        <f ca="1"/>
        <v>1.6318191197432328</v>
      </c>
      <c r="AU84" s="62">
        <f ca="1"/>
        <v>1.1635096380945924</v>
      </c>
      <c r="AV84" s="66" t="str">
        <f t="array" ref="AV84">IF($AB84, Push(Fetch(AG84) - MMULT(Fetch(AQ84),MMULT($I$38:$L$41,Fetch(AG84)))), "")</f>
        <v/>
      </c>
      <c r="AW84" s="97">
        <f t="array" aca="1" ref="AW84" ca="1">IF($AB84,LN(MDETERM(Fetch(AL84))),$J$65)   -   MMULT(AM84:AP84,MMULT(IF($AB84,Fetch(AL84),$G$61:$J$64),TRANSPOSE(AM84:AP84)))</f>
        <v>-21.895724097220196</v>
      </c>
    </row>
    <row r="85" spans="23:49" x14ac:dyDescent="0.15">
      <c r="W85" s="12">
        <f t="shared" si="2"/>
        <v>82</v>
      </c>
      <c r="X85" s="62">
        <f t="array" aca="1" ref="X85:AA85" ca="1">simulate!AE85:AH85</f>
        <v>1.2025454111256879</v>
      </c>
      <c r="Y85" s="62">
        <f ca="1"/>
        <v>1.5509594994802824</v>
      </c>
      <c r="Z85" s="62">
        <f ca="1"/>
        <v>0.62380455509618149</v>
      </c>
      <c r="AA85" s="62">
        <f ca="1"/>
        <v>1.3264089573857374</v>
      </c>
      <c r="AB85" s="98">
        <f t="shared" si="3"/>
        <v>0</v>
      </c>
      <c r="AC85" s="62">
        <f t="array" aca="1" ref="AC85:AF85" ca="1">TRANSPOSE($G$44:$G$47 + MMULT($I$44:$L$47,TRANSPOSE(AR84:AU84)))</f>
        <v>1.1133300510251145</v>
      </c>
      <c r="AD85" s="62">
        <f ca="1"/>
        <v>0.99371913292726421</v>
      </c>
      <c r="AE85" s="62">
        <f ca="1"/>
        <v>1.3638524885484355</v>
      </c>
      <c r="AF85" s="62">
        <f ca="1"/>
        <v>1.1982349711453668</v>
      </c>
      <c r="AG85" s="66" t="str">
        <f t="array" ref="AG85">IF($AB85, Push(MMULT($I$44:$L$47,MMULT(Fetch(AV84),TRANSPOSE($I$44:$L$47))) + $N$44:$Q$47), "")</f>
        <v/>
      </c>
      <c r="AH85" s="62">
        <f t="array" aca="1" ref="AH85:AK85" ca="1">TRANSPOSE($G$38:$G$41 + MMULT($I$38:$L$41,TRANSPOSE(AC85:AF85)))</f>
        <v>1.5335824253737709</v>
      </c>
      <c r="AI85" s="62">
        <f ca="1"/>
        <v>1.2028891910137964</v>
      </c>
      <c r="AJ85" s="62">
        <f ca="1"/>
        <v>1.058102366985965</v>
      </c>
      <c r="AK85" s="62">
        <f ca="1"/>
        <v>1.4225548535982024</v>
      </c>
      <c r="AL85" s="66" t="str">
        <f t="array" ref="AL85">IF($AB85, Push(MINVERSE(MMULT($I$38:$L$41,MMULT(Fetch(AG85),TRANSPOSE($I$38:$L$41))) + $N$38:$Q$41)), "")</f>
        <v/>
      </c>
      <c r="AM85" s="62">
        <f t="array" aca="1" ref="AM85:AP85" ca="1">X85:AA85 - AH85:AK85</f>
        <v>-0.33103701424808296</v>
      </c>
      <c r="AN85" s="62">
        <f ca="1"/>
        <v>0.34807030846648601</v>
      </c>
      <c r="AO85" s="62">
        <f ca="1"/>
        <v>-0.43429781188978356</v>
      </c>
      <c r="AP85" s="62">
        <f ca="1"/>
        <v>-9.6145896212465054E-2</v>
      </c>
      <c r="AQ85" s="66" t="str">
        <f t="array" ref="AQ85">IF($AB85, Push(MMULT(Fetch(AG85),MMULT(TRANSPOSE($I$38:$L$41),Fetch(AL85)))), "")</f>
        <v/>
      </c>
      <c r="AR85" s="62">
        <f t="array" aca="1" ref="AR85:AU85" ca="1">AC85:AF85 + TRANSPOSE(MMULT(IF($AB85,Fetch(AQ85),$L$61:$O$64),TRANSPOSE(AM85:AP85)))</f>
        <v>0.92982559572262391</v>
      </c>
      <c r="AS85" s="62">
        <f ca="1"/>
        <v>1.3219904714902881</v>
      </c>
      <c r="AT85" s="62">
        <f ca="1"/>
        <v>1.0632503862670672</v>
      </c>
      <c r="AU85" s="62">
        <f ca="1"/>
        <v>0.98895666020284478</v>
      </c>
      <c r="AV85" s="66" t="str">
        <f t="array" ref="AV85">IF($AB85, Push(Fetch(AG85) - MMULT(Fetch(AQ85),MMULT($I$38:$L$41,Fetch(AG85)))), "")</f>
        <v/>
      </c>
      <c r="AW85" s="97">
        <f t="array" aca="1" ref="AW85" ca="1">IF($AB85,LN(MDETERM(Fetch(AL85))),$J$65)   -   MMULT(AM85:AP85,MMULT(IF($AB85,Fetch(AL85),$G$61:$J$64),TRANSPOSE(AM85:AP85)))</f>
        <v>5.4012125354266978</v>
      </c>
    </row>
    <row r="86" spans="23:49" x14ac:dyDescent="0.15">
      <c r="W86" s="12">
        <f t="shared" si="2"/>
        <v>83</v>
      </c>
      <c r="X86" s="62">
        <f t="array" aca="1" ref="X86:AA86" ca="1">simulate!AE86:AH86</f>
        <v>2.2938316262731355</v>
      </c>
      <c r="Y86" s="62">
        <f ca="1"/>
        <v>1.1571253957258845</v>
      </c>
      <c r="Z86" s="62">
        <f ca="1"/>
        <v>1.65392546734816</v>
      </c>
      <c r="AA86" s="62">
        <f ca="1"/>
        <v>1.2818142189387076</v>
      </c>
      <c r="AB86" s="98">
        <f t="shared" si="3"/>
        <v>0</v>
      </c>
      <c r="AC86" s="62">
        <f t="array" aca="1" ref="AC86:AF86" ca="1">TRANSPOSE($G$44:$G$47 + MMULT($I$44:$L$47,TRANSPOSE(AR85:AU85)))</f>
        <v>1.0950357333544523</v>
      </c>
      <c r="AD86" s="62">
        <f ca="1"/>
        <v>1.1445491328623241</v>
      </c>
      <c r="AE86" s="62">
        <f ca="1"/>
        <v>1.1036439809181551</v>
      </c>
      <c r="AF86" s="62">
        <f ca="1"/>
        <v>1.0422563792585493</v>
      </c>
      <c r="AG86" s="66" t="str">
        <f t="array" ref="AG86">IF($AB86, Push(MMULT($I$44:$L$47,MMULT(Fetch(AV85),TRANSPOSE($I$44:$L$47))) + $N$44:$Q$47), "")</f>
        <v/>
      </c>
      <c r="AH86" s="62">
        <f t="array" aca="1" ref="AH86:AK86" ca="1">TRANSPOSE($G$38:$G$41 + MMULT($I$38:$L$41,TRANSPOSE(AC86:AF86)))</f>
        <v>1.3913655947276087</v>
      </c>
      <c r="AI86" s="62">
        <f ca="1"/>
        <v>1.363381306855932</v>
      </c>
      <c r="AJ86" s="62">
        <f ca="1"/>
        <v>0.88766580330523892</v>
      </c>
      <c r="AK86" s="62">
        <f ca="1"/>
        <v>1.2223295027961656</v>
      </c>
      <c r="AL86" s="66" t="str">
        <f t="array" ref="AL86">IF($AB86, Push(MINVERSE(MMULT($I$38:$L$41,MMULT(Fetch(AG86),TRANSPOSE($I$38:$L$41))) + $N$38:$Q$41)), "")</f>
        <v/>
      </c>
      <c r="AM86" s="62">
        <f t="array" aca="1" ref="AM86:AP86" ca="1">X86:AA86 - AH86:AK86</f>
        <v>0.90246603154552685</v>
      </c>
      <c r="AN86" s="62">
        <f ca="1"/>
        <v>-0.20625591113004749</v>
      </c>
      <c r="AO86" s="62">
        <f ca="1"/>
        <v>0.76625966404292112</v>
      </c>
      <c r="AP86" s="62">
        <f ca="1"/>
        <v>5.9484716142542027E-2</v>
      </c>
      <c r="AQ86" s="66" t="str">
        <f t="array" ref="AQ86">IF($AB86, Push(MMULT(Fetch(AG86),MMULT(TRANSPOSE($I$38:$L$41),Fetch(AL86)))), "")</f>
        <v/>
      </c>
      <c r="AR86" s="62">
        <f t="array" aca="1" ref="AR86:AU86" ca="1">AC86:AF86 + TRANSPOSE(MMULT(IF($AB86,Fetch(AQ86),$L$61:$O$64),TRANSPOSE(AM86:AP86)))</f>
        <v>1.6523896740453716</v>
      </c>
      <c r="AS86" s="62">
        <f ca="1"/>
        <v>0.72061648717350679</v>
      </c>
      <c r="AT86" s="62">
        <f ca="1"/>
        <v>1.6256242433614263</v>
      </c>
      <c r="AU86" s="62">
        <f ca="1"/>
        <v>1.3770614272061263</v>
      </c>
      <c r="AV86" s="66" t="str">
        <f t="array" ref="AV86">IF($AB86, Push(Fetch(AG86) - MMULT(Fetch(AQ86),MMULT($I$38:$L$41,Fetch(AG86)))), "")</f>
        <v/>
      </c>
      <c r="AW86" s="97">
        <f t="array" aca="1" ref="AW86" ca="1">IF($AB86,LN(MDETERM(Fetch(AL86))),$J$65)   -   MMULT(AM86:AP86,MMULT(IF($AB86,Fetch(AL86),$G$61:$J$64),TRANSPOSE(AM86:AP86)))</f>
        <v>-0.64927487641625969</v>
      </c>
    </row>
    <row r="87" spans="23:49" x14ac:dyDescent="0.15">
      <c r="W87" s="12">
        <f t="shared" si="2"/>
        <v>84</v>
      </c>
      <c r="X87" s="62">
        <f t="array" aca="1" ref="X87:AA87" ca="1">simulate!AE87:AH87</f>
        <v>0.65400059746451411</v>
      </c>
      <c r="Y87" s="62">
        <f ca="1"/>
        <v>0.46306054023655885</v>
      </c>
      <c r="Z87" s="62">
        <f ca="1"/>
        <v>0.70265435124573461</v>
      </c>
      <c r="AA87" s="62">
        <f ca="1"/>
        <v>0.91558701253161823</v>
      </c>
      <c r="AB87" s="98">
        <f t="shared" si="3"/>
        <v>0</v>
      </c>
      <c r="AC87" s="62">
        <f t="array" aca="1" ref="AC87:AF87" ca="1">TRANSPOSE($G$44:$G$47 + MMULT($I$44:$L$47,TRANSPOSE(AR86:AU86)))</f>
        <v>1.4549587115977531</v>
      </c>
      <c r="AD87" s="62">
        <f ca="1"/>
        <v>1.0479306156289923</v>
      </c>
      <c r="AE87" s="62">
        <f ca="1"/>
        <v>1.4185998574762531</v>
      </c>
      <c r="AF87" s="62">
        <f ca="1"/>
        <v>1.3350840692225359</v>
      </c>
      <c r="AG87" s="66" t="str">
        <f t="array" ref="AG87">IF($AB87, Push(MMULT($I$44:$L$47,MMULT(Fetch(AV86),TRANSPOSE($I$44:$L$47))) + $N$44:$Q$47), "")</f>
        <v/>
      </c>
      <c r="AH87" s="62">
        <f t="array" aca="1" ref="AH87:AK87" ca="1">TRANSPOSE($G$38:$G$41 + MMULT($I$38:$L$41,TRANSPOSE(AC87:AF87)))</f>
        <v>1.7709992680568045</v>
      </c>
      <c r="AI87" s="62">
        <f ca="1"/>
        <v>1.3894221607030772</v>
      </c>
      <c r="AJ87" s="62">
        <f ca="1"/>
        <v>1.2787923973716762</v>
      </c>
      <c r="AK87" s="62">
        <f ca="1"/>
        <v>1.383714395978594</v>
      </c>
      <c r="AL87" s="66" t="str">
        <f t="array" ref="AL87">IF($AB87, Push(MINVERSE(MMULT($I$38:$L$41,MMULT(Fetch(AG87),TRANSPOSE($I$38:$L$41))) + $N$38:$Q$41)), "")</f>
        <v/>
      </c>
      <c r="AM87" s="62">
        <f t="array" aca="1" ref="AM87:AP87" ca="1">X87:AA87 - AH87:AK87</f>
        <v>-1.1169986705922903</v>
      </c>
      <c r="AN87" s="62">
        <f ca="1"/>
        <v>-0.92636162046651838</v>
      </c>
      <c r="AO87" s="62">
        <f ca="1"/>
        <v>-0.57613804612594155</v>
      </c>
      <c r="AP87" s="62">
        <f ca="1"/>
        <v>-0.4681273834469758</v>
      </c>
      <c r="AQ87" s="66" t="str">
        <f t="array" ref="AQ87">IF($AB87, Push(MMULT(Fetch(AG87),MMULT(TRANSPOSE($I$38:$L$41),Fetch(AL87)))), "")</f>
        <v/>
      </c>
      <c r="AR87" s="62">
        <f t="array" aca="1" ref="AR87:AU87" ca="1">AC87:AF87 + TRANSPOSE(MMULT(IF($AB87,Fetch(AQ87),$L$61:$O$64),TRANSPOSE(AM87:AP87)))</f>
        <v>0.76180222871422032</v>
      </c>
      <c r="AS87" s="62">
        <f ca="1"/>
        <v>0.74222428161587062</v>
      </c>
      <c r="AT87" s="62">
        <f ca="1"/>
        <v>0.72434824971486611</v>
      </c>
      <c r="AU87" s="62">
        <f ca="1"/>
        <v>0.92637552560640612</v>
      </c>
      <c r="AV87" s="66" t="str">
        <f t="array" ref="AV87">IF($AB87, Push(Fetch(AG87) - MMULT(Fetch(AQ87),MMULT($I$38:$L$41,Fetch(AG87)))), "")</f>
        <v/>
      </c>
      <c r="AW87" s="97">
        <f t="array" aca="1" ref="AW87" ca="1">IF($AB87,LN(MDETERM(Fetch(AL87))),$J$65)   -   MMULT(AM87:AP87,MMULT(IF($AB87,Fetch(AL87),$G$61:$J$64),TRANSPOSE(AM87:AP87)))</f>
        <v>-4.3585959504381098</v>
      </c>
    </row>
    <row r="88" spans="23:49" x14ac:dyDescent="0.15">
      <c r="W88" s="12">
        <f t="shared" si="2"/>
        <v>85</v>
      </c>
      <c r="X88" s="62">
        <f t="array" aca="1" ref="X88:AA88" ca="1">simulate!AE88:AH88</f>
        <v>0.55131826107998705</v>
      </c>
      <c r="Y88" s="62">
        <f ca="1"/>
        <v>-0.10081535961944926</v>
      </c>
      <c r="Z88" s="62">
        <f ca="1"/>
        <v>1.7193727340587328</v>
      </c>
      <c r="AA88" s="62">
        <f ca="1"/>
        <v>1.006396007501503</v>
      </c>
      <c r="AB88" s="98">
        <f t="shared" si="3"/>
        <v>0</v>
      </c>
      <c r="AC88" s="62">
        <f t="array" aca="1" ref="AC88:AF88" ca="1">TRANSPOSE($G$44:$G$47 + MMULT($I$44:$L$47,TRANSPOSE(AR87:AU87)))</f>
        <v>0.89135858252330591</v>
      </c>
      <c r="AD88" s="62">
        <f ca="1"/>
        <v>0.74954253983525165</v>
      </c>
      <c r="AE88" s="62">
        <f ca="1"/>
        <v>0.80525886530690272</v>
      </c>
      <c r="AF88" s="62">
        <f ca="1"/>
        <v>0.90408950417841316</v>
      </c>
      <c r="AG88" s="66" t="str">
        <f t="array" ref="AG88">IF($AB88, Push(MMULT($I$44:$L$47,MMULT(Fetch(AV87),TRANSPOSE($I$44:$L$47))) + $N$44:$Q$47), "")</f>
        <v/>
      </c>
      <c r="AH88" s="62">
        <f t="array" aca="1" ref="AH88:AK88" ca="1">TRANSPOSE($G$38:$G$41 + MMULT($I$38:$L$41,TRANSPOSE(AC88:AF88)))</f>
        <v>1.1161467435401418</v>
      </c>
      <c r="AI88" s="62">
        <f ca="1"/>
        <v>0.99295005953877524</v>
      </c>
      <c r="AJ88" s="62">
        <f ca="1"/>
        <v>0.87132018423486302</v>
      </c>
      <c r="AK88" s="62">
        <f ca="1"/>
        <v>0.9183452127537215</v>
      </c>
      <c r="AL88" s="66" t="str">
        <f t="array" ref="AL88">IF($AB88, Push(MINVERSE(MMULT($I$38:$L$41,MMULT(Fetch(AG88),TRANSPOSE($I$38:$L$41))) + $N$38:$Q$41)), "")</f>
        <v/>
      </c>
      <c r="AM88" s="62">
        <f t="array" aca="1" ref="AM88:AP88" ca="1">X88:AA88 - AH88:AK88</f>
        <v>-0.56482848246015471</v>
      </c>
      <c r="AN88" s="62">
        <f ca="1"/>
        <v>-1.0937654191582245</v>
      </c>
      <c r="AO88" s="62">
        <f ca="1"/>
        <v>0.84805254982386979</v>
      </c>
      <c r="AP88" s="62">
        <f ca="1"/>
        <v>8.8050794747781547E-2</v>
      </c>
      <c r="AQ88" s="66" t="str">
        <f t="array" ref="AQ88">IF($AB88, Push(MMULT(Fetch(AG88),MMULT(TRANSPOSE($I$38:$L$41),Fetch(AL88)))), "")</f>
        <v/>
      </c>
      <c r="AR88" s="62">
        <f t="array" aca="1" ref="AR88:AU88" ca="1">AC88:AF88 + TRANSPOSE(MMULT(IF($AB88,Fetch(AQ88),$L$61:$O$64),TRANSPOSE(AM88:AP88)))</f>
        <v>0.65576574083261785</v>
      </c>
      <c r="AS88" s="62">
        <f ca="1"/>
        <v>6.3803598663729977E-2</v>
      </c>
      <c r="AT88" s="62">
        <f ca="1"/>
        <v>0.93922480915674367</v>
      </c>
      <c r="AU88" s="62">
        <f ca="1"/>
        <v>1.2706298660978415</v>
      </c>
      <c r="AV88" s="66" t="str">
        <f t="array" ref="AV88">IF($AB88, Push(Fetch(AG88) - MMULT(Fetch(AQ88),MMULT($I$38:$L$41,Fetch(AG88)))), "")</f>
        <v/>
      </c>
      <c r="AW88" s="97">
        <f t="array" aca="1" ref="AW88" ca="1">IF($AB88,LN(MDETERM(Fetch(AL88))),$J$65)   -   MMULT(AM88:AP88,MMULT(IF($AB88,Fetch(AL88),$G$61:$J$64),TRANSPOSE(AM88:AP88)))</f>
        <v>-0.60624219445579364</v>
      </c>
    </row>
    <row r="89" spans="23:49" x14ac:dyDescent="0.15">
      <c r="W89" s="12">
        <f t="shared" si="2"/>
        <v>86</v>
      </c>
      <c r="X89" s="62">
        <f t="array" aca="1" ref="X89:AA89" ca="1">simulate!AE89:AH89</f>
        <v>0.40482254166626097</v>
      </c>
      <c r="Y89" s="62">
        <f ca="1"/>
        <v>0.44098003143831643</v>
      </c>
      <c r="Z89" s="62">
        <f ca="1"/>
        <v>1.6242634897110151</v>
      </c>
      <c r="AA89" s="62">
        <f ca="1"/>
        <v>0.28277399468870801</v>
      </c>
      <c r="AB89" s="98">
        <f t="shared" si="3"/>
        <v>0</v>
      </c>
      <c r="AC89" s="62">
        <f t="array" aca="1" ref="AC89:AF89" ca="1">TRANSPOSE($G$44:$G$47 + MMULT($I$44:$L$47,TRANSPOSE(AR88:AU88)))</f>
        <v>0.76552970001490661</v>
      </c>
      <c r="AD89" s="62">
        <f ca="1"/>
        <v>0.42223373756089339</v>
      </c>
      <c r="AE89" s="62">
        <f ca="1"/>
        <v>0.85455865714926127</v>
      </c>
      <c r="AF89" s="62">
        <f ca="1"/>
        <v>1.0715117589907419</v>
      </c>
      <c r="AG89" s="66" t="str">
        <f t="array" ref="AG89">IF($AB89, Push(MMULT($I$44:$L$47,MMULT(Fetch(AV88),TRANSPOSE($I$44:$L$47))) + $N$44:$Q$47), "")</f>
        <v/>
      </c>
      <c r="AH89" s="62">
        <f t="array" aca="1" ref="AH89:AK89" ca="1">TRANSPOSE($G$38:$G$41 + MMULT($I$38:$L$41,TRANSPOSE(AC89:AF89)))</f>
        <v>1.0272321847980908</v>
      </c>
      <c r="AI89" s="62">
        <f ca="1"/>
        <v>0.68151619919596307</v>
      </c>
      <c r="AJ89" s="62">
        <f ca="1"/>
        <v>1.0822499975123137</v>
      </c>
      <c r="AK89" s="62">
        <f ca="1"/>
        <v>0.98187793147526548</v>
      </c>
      <c r="AL89" s="66" t="str">
        <f t="array" ref="AL89">IF($AB89, Push(MINVERSE(MMULT($I$38:$L$41,MMULT(Fetch(AG89),TRANSPOSE($I$38:$L$41))) + $N$38:$Q$41)), "")</f>
        <v/>
      </c>
      <c r="AM89" s="62">
        <f t="array" aca="1" ref="AM89:AP89" ca="1">X89:AA89 - AH89:AK89</f>
        <v>-0.62240964313182978</v>
      </c>
      <c r="AN89" s="62">
        <f ca="1"/>
        <v>-0.24053616775764664</v>
      </c>
      <c r="AO89" s="62">
        <f ca="1"/>
        <v>0.54201349219870143</v>
      </c>
      <c r="AP89" s="62">
        <f ca="1"/>
        <v>-0.69910393678655747</v>
      </c>
      <c r="AQ89" s="66" t="str">
        <f t="array" ref="AQ89">IF($AB89, Push(MMULT(Fetch(AG89),MMULT(TRANSPOSE($I$38:$L$41),Fetch(AL89)))), "")</f>
        <v/>
      </c>
      <c r="AR89" s="62">
        <f t="array" aca="1" ref="AR89:AU89" ca="1">AC89:AF89 + TRANSPOSE(MMULT(IF($AB89,Fetch(AQ89),$L$61:$O$64),TRANSPOSE(AM89:AP89)))</f>
        <v>0.73731346813836551</v>
      </c>
      <c r="AS89" s="62">
        <f ca="1"/>
        <v>0.14116769651988553</v>
      </c>
      <c r="AT89" s="62">
        <f ca="1"/>
        <v>0.29002206506340855</v>
      </c>
      <c r="AU89" s="62">
        <f ca="1"/>
        <v>1.0443336785770589</v>
      </c>
      <c r="AV89" s="66" t="str">
        <f t="array" ref="AV89">IF($AB89, Push(Fetch(AG89) - MMULT(Fetch(AQ89),MMULT($I$38:$L$41,Fetch(AG89)))), "")</f>
        <v/>
      </c>
      <c r="AW89" s="97">
        <f t="array" aca="1" ref="AW89" ca="1">IF($AB89,LN(MDETERM(Fetch(AL89))),$J$65)   -   MMULT(AM89:AP89,MMULT(IF($AB89,Fetch(AL89),$G$61:$J$64),TRANSPOSE(AM89:AP89)))</f>
        <v>1.5112034398305561</v>
      </c>
    </row>
    <row r="90" spans="23:49" x14ac:dyDescent="0.15">
      <c r="W90" s="12">
        <f t="shared" si="2"/>
        <v>87</v>
      </c>
      <c r="X90" s="62">
        <f t="array" aca="1" ref="X90:AA90" ca="1">simulate!AE90:AH90</f>
        <v>2.4103721376760467</v>
      </c>
      <c r="Y90" s="62">
        <f ca="1"/>
        <v>0.26410796216767879</v>
      </c>
      <c r="Z90" s="62">
        <f ca="1"/>
        <v>0.36312759488093949</v>
      </c>
      <c r="AA90" s="62">
        <f ca="1"/>
        <v>1.0323018510208306</v>
      </c>
      <c r="AB90" s="98">
        <f t="shared" si="3"/>
        <v>0</v>
      </c>
      <c r="AC90" s="62">
        <f t="array" aca="1" ref="AC90:AF90" ca="1">TRANSPOSE($G$44:$G$47 + MMULT($I$44:$L$47,TRANSPOSE(AR89:AU89)))</f>
        <v>0.76393335051010069</v>
      </c>
      <c r="AD90" s="62">
        <f ca="1"/>
        <v>0.36507129963907903</v>
      </c>
      <c r="AE90" s="62">
        <f ca="1"/>
        <v>0.4888164766873172</v>
      </c>
      <c r="AF90" s="62">
        <f ca="1"/>
        <v>0.85331643642259203</v>
      </c>
      <c r="AG90" s="66" t="str">
        <f t="array" ref="AG90">IF($AB90, Push(MMULT($I$44:$L$47,MMULT(Fetch(AV89),TRANSPOSE($I$44:$L$47))) + $N$44:$Q$47), "")</f>
        <v/>
      </c>
      <c r="AH90" s="62">
        <f t="array" aca="1" ref="AH90:AK90" ca="1">TRANSPOSE($G$38:$G$41 + MMULT($I$38:$L$41,TRANSPOSE(AC90:AF90)))</f>
        <v>0.85857674898184744</v>
      </c>
      <c r="AI90" s="62">
        <f ca="1"/>
        <v>0.68170055379926497</v>
      </c>
      <c r="AJ90" s="62">
        <f ca="1"/>
        <v>0.95512539473184788</v>
      </c>
      <c r="AK90" s="62">
        <f ca="1"/>
        <v>0.60765703500968304</v>
      </c>
      <c r="AL90" s="66" t="str">
        <f t="array" ref="AL90">IF($AB90, Push(MINVERSE(MMULT($I$38:$L$41,MMULT(Fetch(AG90),TRANSPOSE($I$38:$L$41))) + $N$38:$Q$41)), "")</f>
        <v/>
      </c>
      <c r="AM90" s="62">
        <f t="array" aca="1" ref="AM90:AP90" ca="1">X90:AA90 - AH90:AK90</f>
        <v>1.5517953886941993</v>
      </c>
      <c r="AN90" s="62">
        <f ca="1"/>
        <v>-0.41759259163158619</v>
      </c>
      <c r="AO90" s="62">
        <f ca="1"/>
        <v>-0.59199779985090839</v>
      </c>
      <c r="AP90" s="62">
        <f ca="1"/>
        <v>0.42464481601114756</v>
      </c>
      <c r="AQ90" s="66" t="str">
        <f t="array" ref="AQ90">IF($AB90, Push(MMULT(Fetch(AG90),MMULT(TRANSPOSE($I$38:$L$41),Fetch(AL90)))), "")</f>
        <v/>
      </c>
      <c r="AR90" s="62">
        <f t="array" aca="1" ref="AR90:AU90" ca="1">AC90:AF90 + TRANSPOSE(MMULT(IF($AB90,Fetch(AQ90),$L$61:$O$64),TRANSPOSE(AM90:AP90)))</f>
        <v>1.1611215288541388</v>
      </c>
      <c r="AS90" s="62">
        <f ca="1"/>
        <v>6.4611905949759629E-2</v>
      </c>
      <c r="AT90" s="62">
        <f ca="1"/>
        <v>1.2842485909794226</v>
      </c>
      <c r="AU90" s="62">
        <f ca="1"/>
        <v>0.76310101218611137</v>
      </c>
      <c r="AV90" s="66" t="str">
        <f t="array" ref="AV90">IF($AB90, Push(Fetch(AG90) - MMULT(Fetch(AQ90),MMULT($I$38:$L$41,Fetch(AG90)))), "")</f>
        <v/>
      </c>
      <c r="AW90" s="97">
        <f t="array" aca="1" ref="AW90" ca="1">IF($AB90,LN(MDETERM(Fetch(AL90))),$J$65)   -   MMULT(AM90:AP90,MMULT(IF($AB90,Fetch(AL90),$G$61:$J$64),TRANSPOSE(AM90:AP90)))</f>
        <v>-15.050658233291285</v>
      </c>
    </row>
    <row r="91" spans="23:49" x14ac:dyDescent="0.15">
      <c r="W91" s="12">
        <f t="shared" si="2"/>
        <v>88</v>
      </c>
      <c r="X91" s="62">
        <f t="array" aca="1" ref="X91:AA91" ca="1">simulate!AE91:AH91</f>
        <v>0.43980881686290374</v>
      </c>
      <c r="Y91" s="62">
        <f ca="1"/>
        <v>0.78146169567958479</v>
      </c>
      <c r="Z91" s="62">
        <f ca="1"/>
        <v>0.31727020124561545</v>
      </c>
      <c r="AA91" s="62">
        <f ca="1"/>
        <v>0.14751764617051283</v>
      </c>
      <c r="AB91" s="98">
        <f t="shared" si="3"/>
        <v>0</v>
      </c>
      <c r="AC91" s="62">
        <f t="array" aca="1" ref="AC91:AF91" ca="1">TRANSPOSE($G$44:$G$47 + MMULT($I$44:$L$47,TRANSPOSE(AR90:AU90)))</f>
        <v>1.0387496620122569</v>
      </c>
      <c r="AD91" s="62">
        <f ca="1"/>
        <v>0.51965242345984952</v>
      </c>
      <c r="AE91" s="62">
        <f ca="1"/>
        <v>1.0018917799820088</v>
      </c>
      <c r="AF91" s="62">
        <f ca="1"/>
        <v>0.87776891646379207</v>
      </c>
      <c r="AG91" s="66" t="str">
        <f t="array" ref="AG91">IF($AB91, Push(MMULT($I$44:$L$47,MMULT(Fetch(AV90),TRANSPOSE($I$44:$L$47))) + $N$44:$Q$47), "")</f>
        <v/>
      </c>
      <c r="AH91" s="62">
        <f t="array" aca="1" ref="AH91:AK91" ca="1">TRANSPOSE($G$38:$G$41 + MMULT($I$38:$L$41,TRANSPOSE(AC91:AF91)))</f>
        <v>1.3663333945894836</v>
      </c>
      <c r="AI91" s="62">
        <f ca="1"/>
        <v>0.79175048336446674</v>
      </c>
      <c r="AJ91" s="62">
        <f ca="1"/>
        <v>0.97534916033138641</v>
      </c>
      <c r="AK91" s="62">
        <f ca="1"/>
        <v>0.91249587880980476</v>
      </c>
      <c r="AL91" s="66" t="str">
        <f t="array" ref="AL91">IF($AB91, Push(MINVERSE(MMULT($I$38:$L$41,MMULT(Fetch(AG91),TRANSPOSE($I$38:$L$41))) + $N$38:$Q$41)), "")</f>
        <v/>
      </c>
      <c r="AM91" s="62">
        <f t="array" aca="1" ref="AM91:AP91" ca="1">X91:AA91 - AH91:AK91</f>
        <v>-0.92652457772657981</v>
      </c>
      <c r="AN91" s="62">
        <f ca="1"/>
        <v>-1.028878768488195E-2</v>
      </c>
      <c r="AO91" s="62">
        <f ca="1"/>
        <v>-0.65807895908577096</v>
      </c>
      <c r="AP91" s="62">
        <f ca="1"/>
        <v>-0.76497823263929199</v>
      </c>
      <c r="AQ91" s="66" t="str">
        <f t="array" ref="AQ91">IF($AB91, Push(MMULT(Fetch(AG91),MMULT(TRANSPOSE($I$38:$L$41),Fetch(AL91)))), "")</f>
        <v/>
      </c>
      <c r="AR91" s="62">
        <f t="array" aca="1" ref="AR91:AU91" ca="1">AC91:AF91 + TRANSPOSE(MMULT(IF($AB91,Fetch(AQ91),$L$61:$O$64),TRANSPOSE(AM91:AP91)))</f>
        <v>0.62193750296313055</v>
      </c>
      <c r="AS91" s="62">
        <f ca="1"/>
        <v>0.66153463945951785</v>
      </c>
      <c r="AT91" s="62">
        <f ca="1"/>
        <v>5.2018710790577516E-2</v>
      </c>
      <c r="AU91" s="62">
        <f ca="1"/>
        <v>0.3391516763723913</v>
      </c>
      <c r="AV91" s="66" t="str">
        <f t="array" ref="AV91">IF($AB91, Push(Fetch(AG91) - MMULT(Fetch(AQ91),MMULT($I$38:$L$41,Fetch(AG91)))), "")</f>
        <v/>
      </c>
      <c r="AW91" s="97">
        <f t="array" aca="1" ref="AW91" ca="1">IF($AB91,LN(MDETERM(Fetch(AL91))),$J$65)   -   MMULT(AM91:AP91,MMULT(IF($AB91,Fetch(AL91),$G$61:$J$64),TRANSPOSE(AM91:AP91)))</f>
        <v>0.14490657016213504</v>
      </c>
    </row>
    <row r="92" spans="23:49" x14ac:dyDescent="0.15">
      <c r="W92" s="12">
        <f t="shared" si="2"/>
        <v>89</v>
      </c>
      <c r="X92" s="62">
        <f t="array" aca="1" ref="X92:AA92" ca="1">simulate!AE92:AH92</f>
        <v>0.81465291310024524</v>
      </c>
      <c r="Y92" s="62">
        <f ca="1"/>
        <v>4.4136039274119243E-2</v>
      </c>
      <c r="Z92" s="62">
        <f ca="1"/>
        <v>0.64709423086291273</v>
      </c>
      <c r="AA92" s="62">
        <f ca="1"/>
        <v>1.1399286218361113</v>
      </c>
      <c r="AB92" s="98">
        <f t="shared" si="3"/>
        <v>0</v>
      </c>
      <c r="AC92" s="62">
        <f t="array" aca="1" ref="AC92:AF92" ca="1">TRANSPOSE($G$44:$G$47 + MMULT($I$44:$L$47,TRANSPOSE(AR91:AU91)))</f>
        <v>0.72780154189598867</v>
      </c>
      <c r="AD92" s="62">
        <f ca="1"/>
        <v>0.54195610102626424</v>
      </c>
      <c r="AE92" s="62">
        <f ca="1"/>
        <v>0.33218985905697412</v>
      </c>
      <c r="AF92" s="62">
        <f ca="1"/>
        <v>0.46532045333417321</v>
      </c>
      <c r="AG92" s="66" t="str">
        <f t="array" ref="AG92">IF($AB92, Push(MMULT($I$44:$L$47,MMULT(Fetch(AV91),TRANSPOSE($I$44:$L$47))) + $N$44:$Q$47), "")</f>
        <v/>
      </c>
      <c r="AH92" s="62">
        <f t="array" aca="1" ref="AH92:AK92" ca="1">TRANSPOSE($G$38:$G$41 + MMULT($I$38:$L$41,TRANSPOSE(AC92:AF92)))</f>
        <v>0.83408817397963908</v>
      </c>
      <c r="AI92" s="62">
        <f ca="1"/>
        <v>0.78622281315726084</v>
      </c>
      <c r="AJ92" s="62">
        <f ca="1"/>
        <v>0.56447338915541279</v>
      </c>
      <c r="AK92" s="62">
        <f ca="1"/>
        <v>0.39901155020171414</v>
      </c>
      <c r="AL92" s="66" t="str">
        <f t="array" ref="AL92">IF($AB92, Push(MINVERSE(MMULT($I$38:$L$41,MMULT(Fetch(AG92),TRANSPOSE($I$38:$L$41))) + $N$38:$Q$41)), "")</f>
        <v/>
      </c>
      <c r="AM92" s="62">
        <f t="array" aca="1" ref="AM92:AP92" ca="1">X92:AA92 - AH92:AK92</f>
        <v>-1.9435260879393845E-2</v>
      </c>
      <c r="AN92" s="62">
        <f ca="1"/>
        <v>-0.74208677388314159</v>
      </c>
      <c r="AO92" s="62">
        <f ca="1"/>
        <v>8.2620841707499948E-2</v>
      </c>
      <c r="AP92" s="62">
        <f ca="1"/>
        <v>0.74091707163439713</v>
      </c>
      <c r="AQ92" s="66" t="str">
        <f t="array" ref="AQ92">IF($AB92, Push(MMULT(Fetch(AG92),MMULT(TRANSPOSE($I$38:$L$41),Fetch(AL92)))), "")</f>
        <v/>
      </c>
      <c r="AR92" s="62">
        <f t="array" aca="1" ref="AR92:AU92" ca="1">AC92:AF92 + TRANSPOSE(MMULT(IF($AB92,Fetch(AQ92),$L$61:$O$64),TRANSPOSE(AM92:AP92)))</f>
        <v>0.45711909796632277</v>
      </c>
      <c r="AS92" s="62">
        <f ca="1"/>
        <v>0.25178470781628481</v>
      </c>
      <c r="AT92" s="62">
        <f ca="1"/>
        <v>0.92057586678773173</v>
      </c>
      <c r="AU92" s="62">
        <f ca="1"/>
        <v>0.75236878814398678</v>
      </c>
      <c r="AV92" s="66" t="str">
        <f t="array" ref="AV92">IF($AB92, Push(Fetch(AG92) - MMULT(Fetch(AQ92),MMULT($I$38:$L$41,Fetch(AG92)))), "")</f>
        <v/>
      </c>
      <c r="AW92" s="97">
        <f t="array" aca="1" ref="AW92" ca="1">IF($AB92,LN(MDETERM(Fetch(AL92))),$J$65)   -   MMULT(AM92:AP92,MMULT(IF($AB92,Fetch(AL92),$G$61:$J$64),TRANSPOSE(AM92:AP92)))</f>
        <v>0.24860039634232223</v>
      </c>
    </row>
    <row r="93" spans="23:49" x14ac:dyDescent="0.15">
      <c r="W93" s="12">
        <f t="shared" si="2"/>
        <v>90</v>
      </c>
      <c r="X93" s="62">
        <f t="array" aca="1" ref="X93:AA93" ca="1">simulate!AE93:AH93</f>
        <v>0.64996845355775057</v>
      </c>
      <c r="Y93" s="62">
        <f ca="1"/>
        <v>0.75708331274853202</v>
      </c>
      <c r="Z93" s="62">
        <f ca="1"/>
        <v>1.112083135714111</v>
      </c>
      <c r="AA93" s="62">
        <f ca="1"/>
        <v>0.40140826214579323</v>
      </c>
      <c r="AB93" s="98">
        <f t="shared" si="3"/>
        <v>0</v>
      </c>
      <c r="AC93" s="62">
        <f t="array" aca="1" ref="AC93:AF93" ca="1">TRANSPOSE($G$44:$G$47 + MMULT($I$44:$L$47,TRANSPOSE(AR92:AU92)))</f>
        <v>0.65983236390553146</v>
      </c>
      <c r="AD93" s="62">
        <f ca="1"/>
        <v>0.4518537851042897</v>
      </c>
      <c r="AE93" s="62">
        <f ca="1"/>
        <v>0.78416890393796268</v>
      </c>
      <c r="AF93" s="62">
        <f ca="1"/>
        <v>0.79241929807327338</v>
      </c>
      <c r="AG93" s="66" t="str">
        <f t="array" ref="AG93">IF($AB93, Push(MMULT($I$44:$L$47,MMULT(Fetch(AV92),TRANSPOSE($I$44:$L$47))) + $N$44:$Q$47), "")</f>
        <v/>
      </c>
      <c r="AH93" s="62">
        <f t="array" aca="1" ref="AH93:AK93" ca="1">TRANSPOSE($G$38:$G$41 + MMULT($I$38:$L$41,TRANSPOSE(AC93:AF93)))</f>
        <v>0.98466168295914258</v>
      </c>
      <c r="AI93" s="62">
        <f ca="1"/>
        <v>0.63135405799620281</v>
      </c>
      <c r="AJ93" s="62">
        <f ca="1"/>
        <v>0.80357844141680235</v>
      </c>
      <c r="AK93" s="62">
        <f ca="1"/>
        <v>0.86825456696800329</v>
      </c>
      <c r="AL93" s="66" t="str">
        <f t="array" ref="AL93">IF($AB93, Push(MINVERSE(MMULT($I$38:$L$41,MMULT(Fetch(AG93),TRANSPOSE($I$38:$L$41))) + $N$38:$Q$41)), "")</f>
        <v/>
      </c>
      <c r="AM93" s="62">
        <f t="array" aca="1" ref="AM93:AP93" ca="1">X93:AA93 - AH93:AK93</f>
        <v>-0.33469322940139201</v>
      </c>
      <c r="AN93" s="62">
        <f ca="1"/>
        <v>0.12572925475232921</v>
      </c>
      <c r="AO93" s="62">
        <f ca="1"/>
        <v>0.30850469429730865</v>
      </c>
      <c r="AP93" s="62">
        <f ca="1"/>
        <v>-0.46684630482221007</v>
      </c>
      <c r="AQ93" s="66" t="str">
        <f t="array" ref="AQ93">IF($AB93, Push(MMULT(Fetch(AG93),MMULT(TRANSPOSE($I$38:$L$41),Fetch(AL93)))), "")</f>
        <v/>
      </c>
      <c r="AR93" s="62">
        <f t="array" aca="1" ref="AR93:AU93" ca="1">AC93:AF93 + TRANSPOSE(MMULT(IF($AB93,Fetch(AQ93),$L$61:$O$64),TRANSPOSE(AM93:AP93)))</f>
        <v>0.70931279000640812</v>
      </c>
      <c r="AS93" s="62">
        <f ca="1"/>
        <v>0.4245965707657518</v>
      </c>
      <c r="AT93" s="62">
        <f ca="1"/>
        <v>0.39146698888024795</v>
      </c>
      <c r="AU93" s="62">
        <f ca="1"/>
        <v>0.75479668293647184</v>
      </c>
      <c r="AV93" s="66" t="str">
        <f t="array" ref="AV93">IF($AB93, Push(Fetch(AG93) - MMULT(Fetch(AQ93),MMULT($I$38:$L$41,Fetch(AG93)))), "")</f>
        <v/>
      </c>
      <c r="AW93" s="97">
        <f t="array" aca="1" ref="AW93" ca="1">IF($AB93,LN(MDETERM(Fetch(AL93))),$J$65)   -   MMULT(AM93:AP93,MMULT(IF($AB93,Fetch(AL93),$G$61:$J$64),TRANSPOSE(AM93:AP93)))</f>
        <v>4.7462068380997913</v>
      </c>
    </row>
    <row r="94" spans="23:49" x14ac:dyDescent="0.15">
      <c r="W94" s="12">
        <f t="shared" si="2"/>
        <v>91</v>
      </c>
      <c r="X94" s="62">
        <f t="array" aca="1" ref="X94:AA94" ca="1">simulate!AE94:AH94</f>
        <v>1.2926993724815254</v>
      </c>
      <c r="Y94" s="62">
        <f ca="1"/>
        <v>1.0218726728214962</v>
      </c>
      <c r="Z94" s="62">
        <f ca="1"/>
        <v>0.54611553267432833</v>
      </c>
      <c r="AA94" s="62">
        <f ca="1"/>
        <v>0.6750481351040456</v>
      </c>
      <c r="AB94" s="98">
        <f t="shared" si="3"/>
        <v>0</v>
      </c>
      <c r="AC94" s="62">
        <f t="array" aca="1" ref="AC94:AF94" ca="1">TRANSPOSE($G$44:$G$47 + MMULT($I$44:$L$47,TRANSPOSE(AR93:AU93)))</f>
        <v>0.78406321837104098</v>
      </c>
      <c r="AD94" s="62">
        <f ca="1"/>
        <v>0.5080005529336209</v>
      </c>
      <c r="AE94" s="62">
        <f ca="1"/>
        <v>0.54477961602829739</v>
      </c>
      <c r="AF94" s="62">
        <f ca="1"/>
        <v>0.7322452955308596</v>
      </c>
      <c r="AG94" s="66" t="str">
        <f t="array" ref="AG94">IF($AB94, Push(MMULT($I$44:$L$47,MMULT(Fetch(AV93),TRANSPOSE($I$44:$L$47))) + $N$44:$Q$47), "")</f>
        <v/>
      </c>
      <c r="AH94" s="62">
        <f t="array" aca="1" ref="AH94:AK94" ca="1">TRANSPOSE($G$38:$G$41 + MMULT($I$38:$L$41,TRANSPOSE(AC94:AF94)))</f>
        <v>0.93542193257232498</v>
      </c>
      <c r="AI94" s="62">
        <f ca="1"/>
        <v>0.77558665902201329</v>
      </c>
      <c r="AJ94" s="62">
        <f ca="1"/>
        <v>0.80228920770259626</v>
      </c>
      <c r="AK94" s="62">
        <f ca="1"/>
        <v>0.63101070899400735</v>
      </c>
      <c r="AL94" s="66" t="str">
        <f t="array" ref="AL94">IF($AB94, Push(MINVERSE(MMULT($I$38:$L$41,MMULT(Fetch(AG94),TRANSPOSE($I$38:$L$41))) + $N$38:$Q$41)), "")</f>
        <v/>
      </c>
      <c r="AM94" s="62">
        <f t="array" aca="1" ref="AM94:AP94" ca="1">X94:AA94 - AH94:AK94</f>
        <v>0.35727743990920047</v>
      </c>
      <c r="AN94" s="62">
        <f ca="1"/>
        <v>0.24628601379948289</v>
      </c>
      <c r="AO94" s="62">
        <f ca="1"/>
        <v>-0.25617367502826793</v>
      </c>
      <c r="AP94" s="62">
        <f ca="1"/>
        <v>4.4037426110038247E-2</v>
      </c>
      <c r="AQ94" s="66" t="str">
        <f t="array" ref="AQ94">IF($AB94, Push(MMULT(Fetch(AG94),MMULT(TRANSPOSE($I$38:$L$41),Fetch(AL94)))), "")</f>
        <v/>
      </c>
      <c r="AR94" s="62">
        <f t="array" aca="1" ref="AR94:AU94" ca="1">AC94:AF94 + TRANSPOSE(MMULT(IF($AB94,Fetch(AQ94),$L$61:$O$64),TRANSPOSE(AM94:AP94)))</f>
        <v>0.91116839760664559</v>
      </c>
      <c r="AS94" s="62">
        <f ca="1"/>
        <v>0.64862711892087355</v>
      </c>
      <c r="AT94" s="62">
        <f ca="1"/>
        <v>0.62916095396007887</v>
      </c>
      <c r="AU94" s="62">
        <f ca="1"/>
        <v>0.64627386649964158</v>
      </c>
      <c r="AV94" s="66" t="str">
        <f t="array" ref="AV94">IF($AB94, Push(Fetch(AG94) - MMULT(Fetch(AQ94),MMULT($I$38:$L$41,Fetch(AG94)))), "")</f>
        <v/>
      </c>
      <c r="AW94" s="97">
        <f t="array" aca="1" ref="AW94" ca="1">IF($AB94,LN(MDETERM(Fetch(AL94))),$J$65)   -   MMULT(AM94:AP94,MMULT(IF($AB94,Fetch(AL94),$G$61:$J$64),TRANSPOSE(AM94:AP94)))</f>
        <v>6.2465338054328203</v>
      </c>
    </row>
    <row r="95" spans="23:49" x14ac:dyDescent="0.15">
      <c r="W95" s="12">
        <f t="shared" si="2"/>
        <v>92</v>
      </c>
      <c r="X95" s="62">
        <f t="array" aca="1" ref="X95:AA95" ca="1">simulate!AE95:AH95</f>
        <v>0.61653172512987386</v>
      </c>
      <c r="Y95" s="62">
        <f ca="1"/>
        <v>0.56260112930486206</v>
      </c>
      <c r="Z95" s="62">
        <f ca="1"/>
        <v>0.40977606815504547</v>
      </c>
      <c r="AA95" s="62">
        <f ca="1"/>
        <v>0.74290358254202993</v>
      </c>
      <c r="AB95" s="98">
        <f t="shared" si="3"/>
        <v>0</v>
      </c>
      <c r="AC95" s="62">
        <f t="array" aca="1" ref="AC95:AF95" ca="1">TRANSPOSE($G$44:$G$47 + MMULT($I$44:$L$47,TRANSPOSE(AR94:AU94)))</f>
        <v>0.93793968254194326</v>
      </c>
      <c r="AD95" s="62">
        <f ca="1"/>
        <v>0.68921857667062181</v>
      </c>
      <c r="AE95" s="62">
        <f ca="1"/>
        <v>0.70783404765640456</v>
      </c>
      <c r="AF95" s="62">
        <f ca="1"/>
        <v>0.7378743881769203</v>
      </c>
      <c r="AG95" s="66" t="str">
        <f t="array" ref="AG95">IF($AB95, Push(MMULT($I$44:$L$47,MMULT(Fetch(AV94),TRANSPOSE($I$44:$L$47))) + $N$44:$Q$47), "")</f>
        <v/>
      </c>
      <c r="AH95" s="62">
        <f t="array" aca="1" ref="AH95:AK95" ca="1">TRANSPOSE($G$38:$G$41 + MMULT($I$38:$L$41,TRANSPOSE(AC95:AF95)))</f>
        <v>1.1379881111075547</v>
      </c>
      <c r="AI95" s="62">
        <f ca="1"/>
        <v>0.94985100600076355</v>
      </c>
      <c r="AJ95" s="62">
        <f ca="1"/>
        <v>0.78247760777413156</v>
      </c>
      <c r="AK95" s="62">
        <f ca="1"/>
        <v>0.73751307471629102</v>
      </c>
      <c r="AL95" s="66" t="str">
        <f t="array" ref="AL95">IF($AB95, Push(MINVERSE(MMULT($I$38:$L$41,MMULT(Fetch(AG95),TRANSPOSE($I$38:$L$41))) + $N$38:$Q$41)), "")</f>
        <v/>
      </c>
      <c r="AM95" s="62">
        <f t="array" aca="1" ref="AM95:AP95" ca="1">X95:AA95 - AH95:AK95</f>
        <v>-0.52145638597768085</v>
      </c>
      <c r="AN95" s="62">
        <f ca="1"/>
        <v>-0.3872498766959015</v>
      </c>
      <c r="AO95" s="62">
        <f ca="1"/>
        <v>-0.37270153961908609</v>
      </c>
      <c r="AP95" s="62">
        <f ca="1"/>
        <v>5.3905078257389105E-3</v>
      </c>
      <c r="AQ95" s="66" t="str">
        <f t="array" ref="AQ95">IF($AB95, Push(MMULT(Fetch(AG95),MMULT(TRANSPOSE($I$38:$L$41),Fetch(AL95)))), "")</f>
        <v/>
      </c>
      <c r="AR95" s="62">
        <f t="array" aca="1" ref="AR95:AU95" ca="1">AC95:AF95 + TRANSPOSE(MMULT(IF($AB95,Fetch(AQ95),$L$61:$O$64),TRANSPOSE(AM95:AP95)))</f>
        <v>0.54516790592796194</v>
      </c>
      <c r="AS95" s="62">
        <f ca="1"/>
        <v>0.63849475309571913</v>
      </c>
      <c r="AT95" s="62">
        <f ca="1"/>
        <v>0.50802381794029938</v>
      </c>
      <c r="AU95" s="62">
        <f ca="1"/>
        <v>0.58329764470439982</v>
      </c>
      <c r="AV95" s="66" t="str">
        <f t="array" ref="AV95">IF($AB95, Push(Fetch(AG95) - MMULT(Fetch(AQ95),MMULT($I$38:$L$41,Fetch(AG95)))), "")</f>
        <v/>
      </c>
      <c r="AW95" s="97">
        <f t="array" aca="1" ref="AW95" ca="1">IF($AB95,LN(MDETERM(Fetch(AL95))),$J$65)   -   MMULT(AM95:AP95,MMULT(IF($AB95,Fetch(AL95),$G$61:$J$64),TRANSPOSE(AM95:AP95)))</f>
        <v>4.3236668737225914</v>
      </c>
    </row>
    <row r="96" spans="23:49" x14ac:dyDescent="0.15">
      <c r="W96" s="12">
        <f t="shared" si="2"/>
        <v>93</v>
      </c>
      <c r="X96" s="62">
        <f t="array" aca="1" ref="X96:AA96" ca="1">simulate!AE96:AH96</f>
        <v>0.74201916952412095</v>
      </c>
      <c r="Y96" s="62">
        <f ca="1"/>
        <v>1.3318142599402545</v>
      </c>
      <c r="Z96" s="62">
        <f ca="1"/>
        <v>0.17680867739813816</v>
      </c>
      <c r="AA96" s="62">
        <f ca="1"/>
        <v>0.97906845387612729</v>
      </c>
      <c r="AB96" s="98">
        <f t="shared" si="3"/>
        <v>0</v>
      </c>
      <c r="AC96" s="62">
        <f t="array" aca="1" ref="AC96:AF96" ca="1">TRANSPOSE($G$44:$G$47 + MMULT($I$44:$L$47,TRANSPOSE(AR95:AU95)))</f>
        <v>0.72712321417811543</v>
      </c>
      <c r="AD96" s="62">
        <f ca="1"/>
        <v>0.60191250753988368</v>
      </c>
      <c r="AE96" s="62">
        <f ca="1"/>
        <v>0.60539267239265115</v>
      </c>
      <c r="AF96" s="62">
        <f ca="1"/>
        <v>0.66588509630767623</v>
      </c>
      <c r="AG96" s="66" t="str">
        <f t="array" ref="AG96">IF($AB96, Push(MMULT($I$44:$L$47,MMULT(Fetch(AV95),TRANSPOSE($I$44:$L$47))) + $N$44:$Q$47), "")</f>
        <v/>
      </c>
      <c r="AH96" s="62">
        <f t="array" aca="1" ref="AH96:AK96" ca="1">TRANSPOSE($G$38:$G$41 + MMULT($I$38:$L$41,TRANSPOSE(AC96:AF96)))</f>
        <v>0.94712839989711184</v>
      </c>
      <c r="AI96" s="62">
        <f ca="1"/>
        <v>0.80781480876202372</v>
      </c>
      <c r="AJ96" s="62">
        <f ca="1"/>
        <v>0.68353998842033925</v>
      </c>
      <c r="AK96" s="62">
        <f ca="1"/>
        <v>0.70073994135168927</v>
      </c>
      <c r="AL96" s="66" t="str">
        <f t="array" ref="AL96">IF($AB96, Push(MINVERSE(MMULT($I$38:$L$41,MMULT(Fetch(AG96),TRANSPOSE($I$38:$L$41))) + $N$38:$Q$41)), "")</f>
        <v/>
      </c>
      <c r="AM96" s="62">
        <f t="array" aca="1" ref="AM96:AP96" ca="1">X96:AA96 - AH96:AK96</f>
        <v>-0.20510923037299089</v>
      </c>
      <c r="AN96" s="62">
        <f ca="1"/>
        <v>0.52399945117823077</v>
      </c>
      <c r="AO96" s="62">
        <f ca="1"/>
        <v>-0.50673131102220115</v>
      </c>
      <c r="AP96" s="62">
        <f ca="1"/>
        <v>0.27832851252443802</v>
      </c>
      <c r="AQ96" s="66" t="str">
        <f t="array" ref="AQ96">IF($AB96, Push(MMULT(Fetch(AG96),MMULT(TRANSPOSE($I$38:$L$41),Fetch(AL96)))), "")</f>
        <v/>
      </c>
      <c r="AR96" s="62">
        <f t="array" aca="1" ref="AR96:AU96" ca="1">AC96:AF96 + TRANSPOSE(MMULT(IF($AB96,Fetch(AQ96),$L$61:$O$64),TRANSPOSE(AM96:AP96)))</f>
        <v>0.52632520579870268</v>
      </c>
      <c r="AS96" s="62">
        <f ca="1"/>
        <v>1.0980946884126113</v>
      </c>
      <c r="AT96" s="62">
        <f ca="1"/>
        <v>0.56275963511268767</v>
      </c>
      <c r="AU96" s="62">
        <f ca="1"/>
        <v>0.5595132751577383</v>
      </c>
      <c r="AV96" s="66" t="str">
        <f t="array" ref="AV96">IF($AB96, Push(Fetch(AG96) - MMULT(Fetch(AQ96),MMULT($I$38:$L$41,Fetch(AG96)))), "")</f>
        <v/>
      </c>
      <c r="AW96" s="97">
        <f t="array" aca="1" ref="AW96" ca="1">IF($AB96,LN(MDETERM(Fetch(AL96))),$J$65)   -   MMULT(AM96:AP96,MMULT(IF($AB96,Fetch(AL96),$G$61:$J$64),TRANSPOSE(AM96:AP96)))</f>
        <v>2.6518291499936995</v>
      </c>
    </row>
    <row r="97" spans="23:49" x14ac:dyDescent="0.15">
      <c r="W97" s="12">
        <f t="shared" si="2"/>
        <v>94</v>
      </c>
      <c r="X97" s="62">
        <f t="array" aca="1" ref="X97:AA97" ca="1">simulate!AE97:AH97</f>
        <v>1.8758887262013264</v>
      </c>
      <c r="Y97" s="62">
        <f ca="1"/>
        <v>1.1827188002103444</v>
      </c>
      <c r="Z97" s="62">
        <f ca="1"/>
        <v>0.49423115182259653</v>
      </c>
      <c r="AA97" s="62">
        <f ca="1"/>
        <v>0.93745680385574537</v>
      </c>
      <c r="AB97" s="98">
        <f t="shared" si="3"/>
        <v>0</v>
      </c>
      <c r="AC97" s="62">
        <f t="array" aca="1" ref="AC97:AF97" ca="1">TRANSPOSE($G$44:$G$47 + MMULT($I$44:$L$47,TRANSPOSE(AR96:AU96)))</f>
        <v>0.78771682663854148</v>
      </c>
      <c r="AD97" s="62">
        <f ca="1"/>
        <v>0.8534788928649798</v>
      </c>
      <c r="AE97" s="62">
        <f ca="1"/>
        <v>0.70471343480196891</v>
      </c>
      <c r="AF97" s="62">
        <f ca="1"/>
        <v>0.69373715326351482</v>
      </c>
      <c r="AG97" s="66" t="str">
        <f t="array" ref="AG97">IF($AB97, Push(MMULT($I$44:$L$47,MMULT(Fetch(AV96),TRANSPOSE($I$44:$L$47))) + $N$44:$Q$47), "")</f>
        <v/>
      </c>
      <c r="AH97" s="62">
        <f t="array" aca="1" ref="AH97:AK97" ca="1">TRANSPOSE($G$38:$G$41 + MMULT($I$38:$L$41,TRANSPOSE(AC97:AF97)))</f>
        <v>1.0323719107445208</v>
      </c>
      <c r="AI97" s="62">
        <f ca="1"/>
        <v>1.0295180662775776</v>
      </c>
      <c r="AJ97" s="62">
        <f ca="1"/>
        <v>0.6254335394537045</v>
      </c>
      <c r="AK97" s="62">
        <f ca="1"/>
        <v>0.83416570000669954</v>
      </c>
      <c r="AL97" s="66" t="str">
        <f t="array" ref="AL97">IF($AB97, Push(MINVERSE(MMULT($I$38:$L$41,MMULT(Fetch(AG97),TRANSPOSE($I$38:$L$41))) + $N$38:$Q$41)), "")</f>
        <v/>
      </c>
      <c r="AM97" s="62">
        <f t="array" aca="1" ref="AM97:AP97" ca="1">X97:AA97 - AH97:AK97</f>
        <v>0.84351681545680557</v>
      </c>
      <c r="AN97" s="62">
        <f ca="1"/>
        <v>0.15320073393276679</v>
      </c>
      <c r="AO97" s="62">
        <f ca="1"/>
        <v>-0.13120238763110798</v>
      </c>
      <c r="AP97" s="62">
        <f ca="1"/>
        <v>0.10329110384904583</v>
      </c>
      <c r="AQ97" s="66" t="str">
        <f t="array" ref="AQ97">IF($AB97, Push(MMULT(Fetch(AG97),MMULT(TRANSPOSE($I$38:$L$41),Fetch(AL97)))), "")</f>
        <v/>
      </c>
      <c r="AR97" s="62">
        <f t="array" aca="1" ref="AR97:AU97" ca="1">AC97:AF97 + TRANSPOSE(MMULT(IF($AB97,Fetch(AQ97),$L$61:$O$64),TRANSPOSE(AM97:AP97)))</f>
        <v>1.1396320051598567</v>
      </c>
      <c r="AS97" s="62">
        <f ca="1"/>
        <v>0.84175100689447524</v>
      </c>
      <c r="AT97" s="62">
        <f ca="1"/>
        <v>1.0373786685842421</v>
      </c>
      <c r="AU97" s="62">
        <f ca="1"/>
        <v>0.68048876469785058</v>
      </c>
      <c r="AV97" s="66" t="str">
        <f t="array" ref="AV97">IF($AB97, Push(Fetch(AG97) - MMULT(Fetch(AQ97),MMULT($I$38:$L$41,Fetch(AG97)))), "")</f>
        <v/>
      </c>
      <c r="AW97" s="97">
        <f t="array" aca="1" ref="AW97" ca="1">IF($AB97,LN(MDETERM(Fetch(AL97))),$J$65)   -   MMULT(AM97:AP97,MMULT(IF($AB97,Fetch(AL97),$G$61:$J$64),TRANSPOSE(AM97:AP97)))</f>
        <v>2.8742639612162897</v>
      </c>
    </row>
    <row r="98" spans="23:49" x14ac:dyDescent="0.15">
      <c r="W98" s="12">
        <f t="shared" si="2"/>
        <v>95</v>
      </c>
      <c r="X98" s="62">
        <f t="array" aca="1" ref="X98:AA98" ca="1">simulate!AE98:AH98</f>
        <v>1.525430935263616</v>
      </c>
      <c r="Y98" s="62">
        <f ca="1"/>
        <v>1.3507234415774345</v>
      </c>
      <c r="Z98" s="62">
        <f ca="1"/>
        <v>0.51673483298525891</v>
      </c>
      <c r="AA98" s="62">
        <f ca="1"/>
        <v>0.39794251973151928</v>
      </c>
      <c r="AB98" s="98">
        <f t="shared" si="3"/>
        <v>0</v>
      </c>
      <c r="AC98" s="62">
        <f t="array" aca="1" ref="AC98:AF98" ca="1">TRANSPOSE($G$44:$G$47 + MMULT($I$44:$L$47,TRANSPOSE(AR97:AU97)))</f>
        <v>1.1206103931509475</v>
      </c>
      <c r="AD98" s="62">
        <f ca="1"/>
        <v>0.89346137013982252</v>
      </c>
      <c r="AE98" s="62">
        <f ca="1"/>
        <v>0.98098403774455412</v>
      </c>
      <c r="AF98" s="62">
        <f ca="1"/>
        <v>0.8473573125687639</v>
      </c>
      <c r="AG98" s="66" t="str">
        <f t="array" ref="AG98">IF($AB98, Push(MMULT($I$44:$L$47,MMULT(Fetch(AV97),TRANSPOSE($I$44:$L$47))) + $N$44:$Q$47), "")</f>
        <v/>
      </c>
      <c r="AH98" s="62">
        <f t="array" aca="1" ref="AH98:AK98" ca="1">TRANSPOSE($G$38:$G$41 + MMULT($I$38:$L$41,TRANSPOSE(AC98:AF98)))</f>
        <v>1.4004119022701991</v>
      </c>
      <c r="AI98" s="62">
        <f ca="1"/>
        <v>1.1471067704131532</v>
      </c>
      <c r="AJ98" s="62">
        <f ca="1"/>
        <v>0.84155225339481166</v>
      </c>
      <c r="AK98" s="62">
        <f ca="1"/>
        <v>0.96204645419414447</v>
      </c>
      <c r="AL98" s="66" t="str">
        <f t="array" ref="AL98">IF($AB98, Push(MINVERSE(MMULT($I$38:$L$41,MMULT(Fetch(AG98),TRANSPOSE($I$38:$L$41))) + $N$38:$Q$41)), "")</f>
        <v/>
      </c>
      <c r="AM98" s="62">
        <f t="array" aca="1" ref="AM98:AP98" ca="1">X98:AA98 - AH98:AK98</f>
        <v>0.12501903299341688</v>
      </c>
      <c r="AN98" s="62">
        <f ca="1"/>
        <v>0.20361667116428128</v>
      </c>
      <c r="AO98" s="62">
        <f ca="1"/>
        <v>-0.32481742040955275</v>
      </c>
      <c r="AP98" s="62">
        <f ca="1"/>
        <v>-0.56410393446262519</v>
      </c>
      <c r="AQ98" s="66" t="str">
        <f t="array" ref="AQ98">IF($AB98, Push(MMULT(Fetch(AG98),MMULT(TRANSPOSE($I$38:$L$41),Fetch(AL98)))), "")</f>
        <v/>
      </c>
      <c r="AR98" s="62">
        <f t="array" aca="1" ref="AR98:AU98" ca="1">AC98:AF98 + TRANSPOSE(MMULT(IF($AB98,Fetch(AQ98),$L$61:$O$64),TRANSPOSE(AM98:AP98)))</f>
        <v>1.2545347116993364</v>
      </c>
      <c r="AS98" s="62">
        <f ca="1"/>
        <v>0.94393820331010025</v>
      </c>
      <c r="AT98" s="62">
        <f ca="1"/>
        <v>0.57430148024931205</v>
      </c>
      <c r="AU98" s="62">
        <f ca="1"/>
        <v>0.51997408478669582</v>
      </c>
      <c r="AV98" s="66" t="str">
        <f t="array" ref="AV98">IF($AB98, Push(Fetch(AG98) - MMULT(Fetch(AQ98),MMULT($I$38:$L$41,Fetch(AG98)))), "")</f>
        <v/>
      </c>
      <c r="AW98" s="97">
        <f t="array" aca="1" ref="AW98" ca="1">IF($AB98,LN(MDETERM(Fetch(AL98))),$J$65)   -   MMULT(AM98:AP98,MMULT(IF($AB98,Fetch(AL98),$G$61:$J$64),TRANSPOSE(AM98:AP98)))</f>
        <v>2.8589776963518183</v>
      </c>
    </row>
    <row r="99" spans="23:49" x14ac:dyDescent="0.15">
      <c r="W99" s="12">
        <f t="shared" si="2"/>
        <v>96</v>
      </c>
      <c r="X99" s="62">
        <f t="array" aca="1" ref="X99:AA99" ca="1">simulate!AE99:AH99</f>
        <v>1.0830346759571887</v>
      </c>
      <c r="Y99" s="62">
        <f ca="1"/>
        <v>1.0805767370383081</v>
      </c>
      <c r="Z99" s="62">
        <f ca="1"/>
        <v>0.77318576881033141</v>
      </c>
      <c r="AA99" s="62">
        <f ca="1"/>
        <v>0.79103676493294395</v>
      </c>
      <c r="AB99" s="98">
        <f t="shared" si="3"/>
        <v>0</v>
      </c>
      <c r="AC99" s="62">
        <f t="array" aca="1" ref="AC99:AF99" ca="1">TRANSPOSE($G$44:$G$47 + MMULT($I$44:$L$47,TRANSPOSE(AR98:AU98)))</f>
        <v>1.1571120939182211</v>
      </c>
      <c r="AD99" s="62">
        <f ca="1"/>
        <v>0.88734828112578656</v>
      </c>
      <c r="AE99" s="62">
        <f ca="1"/>
        <v>0.73190325474917006</v>
      </c>
      <c r="AF99" s="62">
        <f ca="1"/>
        <v>0.69827810016469405</v>
      </c>
      <c r="AG99" s="66" t="str">
        <f t="array" ref="AG99">IF($AB99, Push(MMULT($I$44:$L$47,MMULT(Fetch(AV98),TRANSPOSE($I$44:$L$47))) + $N$44:$Q$47), "")</f>
        <v/>
      </c>
      <c r="AH99" s="62">
        <f t="array" aca="1" ref="AH99:AK99" ca="1">TRANSPOSE($G$38:$G$41 + MMULT($I$38:$L$41,TRANSPOSE(AC99:AF99)))</f>
        <v>1.3108393021919609</v>
      </c>
      <c r="AI99" s="62">
        <f ca="1"/>
        <v>1.1896374008324362</v>
      </c>
      <c r="AJ99" s="62">
        <f ca="1"/>
        <v>0.75664116958393524</v>
      </c>
      <c r="AK99" s="62">
        <f ca="1"/>
        <v>0.70014266521385338</v>
      </c>
      <c r="AL99" s="66" t="str">
        <f t="array" ref="AL99">IF($AB99, Push(MINVERSE(MMULT($I$38:$L$41,MMULT(Fetch(AG99),TRANSPOSE($I$38:$L$41))) + $N$38:$Q$41)), "")</f>
        <v/>
      </c>
      <c r="AM99" s="62">
        <f t="array" aca="1" ref="AM99:AP99" ca="1">X99:AA99 - AH99:AK99</f>
        <v>-0.22780462623477216</v>
      </c>
      <c r="AN99" s="62">
        <f ca="1"/>
        <v>-0.10906066379412804</v>
      </c>
      <c r="AO99" s="62">
        <f ca="1"/>
        <v>1.6544599226396173E-2</v>
      </c>
      <c r="AP99" s="62">
        <f ca="1"/>
        <v>9.0894099719090571E-2</v>
      </c>
      <c r="AQ99" s="66" t="str">
        <f t="array" ref="AQ99">IF($AB99, Push(MMULT(Fetch(AG99),MMULT(TRANSPOSE($I$38:$L$41),Fetch(AL99)))), "")</f>
        <v/>
      </c>
      <c r="AR99" s="62">
        <f t="array" aca="1" ref="AR99:AU99" ca="1">AC99:AF99 + TRANSPOSE(MMULT(IF($AB99,Fetch(AQ99),$L$61:$O$64),TRANSPOSE(AM99:AP99)))</f>
        <v>1.0200711622301362</v>
      </c>
      <c r="AS99" s="62">
        <f ca="1"/>
        <v>0.87944537918995924</v>
      </c>
      <c r="AT99" s="62">
        <f ca="1"/>
        <v>0.72564246944139532</v>
      </c>
      <c r="AU99" s="62">
        <f ca="1"/>
        <v>0.73515554451986165</v>
      </c>
      <c r="AV99" s="66" t="str">
        <f t="array" ref="AV99">IF($AB99, Push(Fetch(AG99) - MMULT(Fetch(AQ99),MMULT($I$38:$L$41,Fetch(AG99)))), "")</f>
        <v/>
      </c>
      <c r="AW99" s="97">
        <f t="array" aca="1" ref="AW99" ca="1">IF($AB99,LN(MDETERM(Fetch(AL99))),$J$65)   -   MMULT(AM99:AP99,MMULT(IF($AB99,Fetch(AL99),$G$61:$J$64),TRANSPOSE(AM99:AP99)))</f>
        <v>6.7233015148457058</v>
      </c>
    </row>
    <row r="100" spans="23:49" x14ac:dyDescent="0.15">
      <c r="W100" s="12">
        <f t="shared" si="2"/>
        <v>97</v>
      </c>
      <c r="X100" s="62">
        <f t="array" aca="1" ref="X100:AA100" ca="1">simulate!AE100:AH100</f>
        <v>0.80097461577254703</v>
      </c>
      <c r="Y100" s="62">
        <f ca="1"/>
        <v>0.69611863381722605</v>
      </c>
      <c r="Z100" s="62">
        <f ca="1"/>
        <v>1.3986039214626245</v>
      </c>
      <c r="AA100" s="62">
        <f ca="1"/>
        <v>0.21343890749012792</v>
      </c>
      <c r="AB100" s="98">
        <f t="shared" si="3"/>
        <v>0</v>
      </c>
      <c r="AC100" s="62">
        <f t="array" aca="1" ref="AC100:AF100" ca="1">TRANSPOSE($G$44:$G$47 + MMULT($I$44:$L$47,TRANSPOSE(AR99:AU99)))</f>
        <v>1.0420535622273059</v>
      </c>
      <c r="AD100" s="62">
        <f ca="1"/>
        <v>0.85216444799717372</v>
      </c>
      <c r="AE100" s="62">
        <f ca="1"/>
        <v>0.81832266188188529</v>
      </c>
      <c r="AF100" s="62">
        <f ca="1"/>
        <v>0.8232057222657303</v>
      </c>
      <c r="AG100" s="66" t="str">
        <f t="array" ref="AG100">IF($AB100, Push(MMULT($I$44:$L$47,MMULT(Fetch(AV99),TRANSPOSE($I$44:$L$47))) + $N$44:$Q$47), "")</f>
        <v/>
      </c>
      <c r="AH100" s="62">
        <f t="array" aca="1" ref="AH100:AK100" ca="1">TRANSPOSE($G$38:$G$41 + MMULT($I$38:$L$41,TRANSPOSE(AC100:AF100)))</f>
        <v>1.2498222015899205</v>
      </c>
      <c r="AI100" s="62">
        <f ca="1"/>
        <v>1.1188824245813991</v>
      </c>
      <c r="AJ100" s="62">
        <f ca="1"/>
        <v>0.82182749643346598</v>
      </c>
      <c r="AK100" s="62">
        <f ca="1"/>
        <v>0.85690038299254057</v>
      </c>
      <c r="AL100" s="66" t="str">
        <f t="array" ref="AL100">IF($AB100, Push(MINVERSE(MMULT($I$38:$L$41,MMULT(Fetch(AG100),TRANSPOSE($I$38:$L$41))) + $N$38:$Q$41)), "")</f>
        <v/>
      </c>
      <c r="AM100" s="62">
        <f t="array" aca="1" ref="AM100:AP100" ca="1">X100:AA100 - AH100:AK100</f>
        <v>-0.4488475858173735</v>
      </c>
      <c r="AN100" s="62">
        <f ca="1"/>
        <v>-0.42276379076417303</v>
      </c>
      <c r="AO100" s="62">
        <f ca="1"/>
        <v>0.57677642502915849</v>
      </c>
      <c r="AP100" s="62">
        <f ca="1"/>
        <v>-0.64346147550241262</v>
      </c>
      <c r="AQ100" s="66" t="str">
        <f t="array" ref="AQ100">IF($AB100, Push(MMULT(Fetch(AG100),MMULT(TRANSPOSE($I$38:$L$41),Fetch(AL100)))), "")</f>
        <v/>
      </c>
      <c r="AR100" s="62">
        <f t="array" aca="1" ref="AR100:AU100" ca="1">AC100:AF100 + TRANSPOSE(MMULT(IF($AB100,Fetch(AQ100),$L$61:$O$64),TRANSPOSE(AM100:AP100)))</f>
        <v>1.0605200117933529</v>
      </c>
      <c r="AS100" s="62">
        <f ca="1"/>
        <v>0.44063217556251272</v>
      </c>
      <c r="AT100" s="62">
        <f ca="1"/>
        <v>0.38223307134485668</v>
      </c>
      <c r="AU100" s="62">
        <f ca="1"/>
        <v>0.82897307823990152</v>
      </c>
      <c r="AV100" s="66" t="str">
        <f t="array" ref="AV100">IF($AB100, Push(Fetch(AG100) - MMULT(Fetch(AQ100),MMULT($I$38:$L$41,Fetch(AG100)))), "")</f>
        <v/>
      </c>
      <c r="AW100" s="97">
        <f t="array" aca="1" ref="AW100" ca="1">IF($AB100,LN(MDETERM(Fetch(AL100))),$J$65)   -   MMULT(AM100:AP100,MMULT(IF($AB100,Fetch(AL100),$G$61:$J$64),TRANSPOSE(AM100:AP100)))</f>
        <v>1.6948077086148903</v>
      </c>
    </row>
    <row r="101" spans="23:49" x14ac:dyDescent="0.15">
      <c r="W101" s="12">
        <f t="shared" si="2"/>
        <v>98</v>
      </c>
      <c r="X101" s="62">
        <f t="array" aca="1" ref="X101:AA101" ca="1">simulate!AE101:AH101</f>
        <v>1.0073988256183968</v>
      </c>
      <c r="Y101" s="62">
        <f ca="1"/>
        <v>5.8563252784842201E-2</v>
      </c>
      <c r="Z101" s="62">
        <f ca="1"/>
        <v>2.3020256905152818</v>
      </c>
      <c r="AA101" s="62">
        <f ca="1"/>
        <v>0.94546436113888654</v>
      </c>
      <c r="AB101" s="98">
        <f t="shared" si="3"/>
        <v>0</v>
      </c>
      <c r="AC101" s="62">
        <f t="array" aca="1" ref="AC101:AF101" ca="1">TRANSPOSE($G$44:$G$47 + MMULT($I$44:$L$47,TRANSPOSE(AR100:AU100)))</f>
        <v>0.97902178633669723</v>
      </c>
      <c r="AD101" s="62">
        <f ca="1"/>
        <v>0.57759647944563541</v>
      </c>
      <c r="AE101" s="62">
        <f ca="1"/>
        <v>0.57837381415908595</v>
      </c>
      <c r="AF101" s="62">
        <f ca="1"/>
        <v>0.78882582967732406</v>
      </c>
      <c r="AG101" s="66" t="str">
        <f t="array" ref="AG101">IF($AB101, Push(MMULT($I$44:$L$47,MMULT(Fetch(AV100),TRANSPOSE($I$44:$L$47))) + $N$44:$Q$47), "")</f>
        <v/>
      </c>
      <c r="AH101" s="62">
        <f t="array" aca="1" ref="AH101:AK101" ca="1">TRANSPOSE($G$38:$G$41 + MMULT($I$38:$L$41,TRANSPOSE(AC101:AF101)))</f>
        <v>1.0764732550810305</v>
      </c>
      <c r="AI101" s="62">
        <f ca="1"/>
        <v>0.91089044644277828</v>
      </c>
      <c r="AJ101" s="62">
        <f ca="1"/>
        <v>0.89535775181506416</v>
      </c>
      <c r="AK101" s="62">
        <f ca="1"/>
        <v>0.61317762660305519</v>
      </c>
      <c r="AL101" s="66" t="str">
        <f t="array" ref="AL101">IF($AB101, Push(MINVERSE(MMULT($I$38:$L$41,MMULT(Fetch(AG101),TRANSPOSE($I$38:$L$41))) + $N$38:$Q$41)), "")</f>
        <v/>
      </c>
      <c r="AM101" s="62">
        <f t="array" aca="1" ref="AM101:AP101" ca="1">X101:AA101 - AH101:AK101</f>
        <v>-6.9074429462633757E-2</v>
      </c>
      <c r="AN101" s="62">
        <f ca="1"/>
        <v>-0.85232719365793608</v>
      </c>
      <c r="AO101" s="62">
        <f ca="1"/>
        <v>1.4066679387002177</v>
      </c>
      <c r="AP101" s="62">
        <f ca="1"/>
        <v>0.33228673453583135</v>
      </c>
      <c r="AQ101" s="66" t="str">
        <f t="array" ref="AQ101">IF($AB101, Push(MMULT(Fetch(AG101),MMULT(TRANSPOSE($I$38:$L$41),Fetch(AL101)))), "")</f>
        <v/>
      </c>
      <c r="AR101" s="62">
        <f t="array" aca="1" ref="AR101:AU101" ca="1">AC101:AF101 + TRANSPOSE(MMULT(IF($AB101,Fetch(AQ101),$L$61:$O$64),TRANSPOSE(AM101:AP101)))</f>
        <v>1.0922687182107229</v>
      </c>
      <c r="AS101" s="62">
        <f ca="1"/>
        <v>-0.1255430813559818</v>
      </c>
      <c r="AT101" s="62">
        <f ca="1"/>
        <v>1.1169986223618942</v>
      </c>
      <c r="AU101" s="62">
        <f ca="1"/>
        <v>1.4717177773668817</v>
      </c>
      <c r="AV101" s="66" t="str">
        <f t="array" ref="AV101">IF($AB101, Push(Fetch(AG101) - MMULT(Fetch(AQ101),MMULT($I$38:$L$41,Fetch(AG101)))), "")</f>
        <v/>
      </c>
      <c r="AW101" s="97">
        <f t="array" aca="1" ref="AW101" ca="1">IF($AB101,LN(MDETERM(Fetch(AL101))),$J$65)   -   MMULT(AM101:AP101,MMULT(IF($AB101,Fetch(AL101),$G$61:$J$64),TRANSPOSE(AM101:AP101)))</f>
        <v>-3.2264448034248048</v>
      </c>
    </row>
    <row r="102" spans="23:49" x14ac:dyDescent="0.15">
      <c r="W102" s="12">
        <f t="shared" si="2"/>
        <v>99</v>
      </c>
      <c r="X102" s="62">
        <f t="array" aca="1" ref="X102:AA102" ca="1">simulate!AE102:AH102</f>
        <v>0.880037428207471</v>
      </c>
      <c r="Y102" s="62">
        <f ca="1"/>
        <v>1.0926339113852319</v>
      </c>
      <c r="Z102" s="62">
        <f ca="1"/>
        <v>1.525711640975786</v>
      </c>
      <c r="AA102" s="62">
        <f ca="1"/>
        <v>0.96255272874634623</v>
      </c>
      <c r="AB102" s="98">
        <f t="shared" si="3"/>
        <v>0</v>
      </c>
      <c r="AC102" s="62">
        <f t="array" aca="1" ref="AC102:AF102" ca="1">TRANSPOSE($G$44:$G$47 + MMULT($I$44:$L$47,TRANSPOSE(AR101:AU101)))</f>
        <v>0.99557028043650764</v>
      </c>
      <c r="AD102" s="62">
        <f ca="1"/>
        <v>0.43146599861599755</v>
      </c>
      <c r="AE102" s="62">
        <f ca="1"/>
        <v>0.98065865879186098</v>
      </c>
      <c r="AF102" s="62">
        <f ca="1"/>
        <v>1.216475592724571</v>
      </c>
      <c r="AG102" s="66" t="str">
        <f t="array" ref="AG102">IF($AB102, Push(MMULT($I$44:$L$47,MMULT(Fetch(AV101),TRANSPOSE($I$44:$L$47))) + $N$44:$Q$47), "")</f>
        <v/>
      </c>
      <c r="AH102" s="62">
        <f t="array" aca="1" ref="AH102:AK102" ca="1">TRANSPOSE($G$38:$G$41 + MMULT($I$38:$L$41,TRANSPOSE(AC102:AF102)))</f>
        <v>1.2302780414583161</v>
      </c>
      <c r="AI102" s="62">
        <f ca="1"/>
        <v>0.77093469960222727</v>
      </c>
      <c r="AJ102" s="62">
        <f ca="1"/>
        <v>1.2770250329475366</v>
      </c>
      <c r="AK102" s="62">
        <f ca="1"/>
        <v>1.034404346157672</v>
      </c>
      <c r="AL102" s="66" t="str">
        <f t="array" ref="AL102">IF($AB102, Push(MINVERSE(MMULT($I$38:$L$41,MMULT(Fetch(AG102),TRANSPOSE($I$38:$L$41))) + $N$38:$Q$41)), "")</f>
        <v/>
      </c>
      <c r="AM102" s="62">
        <f t="array" aca="1" ref="AM102:AP102" ca="1">X102:AA102 - AH102:AK102</f>
        <v>-0.3502406132508451</v>
      </c>
      <c r="AN102" s="62">
        <f ca="1"/>
        <v>0.32169921178300465</v>
      </c>
      <c r="AO102" s="62">
        <f ca="1"/>
        <v>0.24868660802824949</v>
      </c>
      <c r="AP102" s="62">
        <f ca="1"/>
        <v>-7.185161741132573E-2</v>
      </c>
      <c r="AQ102" s="66" t="str">
        <f t="array" ref="AQ102">IF($AB102, Push(MMULT(Fetch(AG102),MMULT(TRANSPOSE($I$38:$L$41),Fetch(AL102)))), "")</f>
        <v/>
      </c>
      <c r="AR102" s="62">
        <f t="array" aca="1" ref="AR102:AU102" ca="1">AC102:AF102 + TRANSPOSE(MMULT(IF($AB102,Fetch(AQ102),$L$61:$O$64),TRANSPOSE(AM102:AP102)))</f>
        <v>0.96505533628280393</v>
      </c>
      <c r="AS102" s="62">
        <f ca="1"/>
        <v>0.60965663304069828</v>
      </c>
      <c r="AT102" s="62">
        <f ca="1"/>
        <v>0.80771326618086425</v>
      </c>
      <c r="AU102" s="62">
        <f ca="1"/>
        <v>1.2936871466165829</v>
      </c>
      <c r="AV102" s="66" t="str">
        <f t="array" ref="AV102">IF($AB102, Push(Fetch(AG102) - MMULT(Fetch(AQ102),MMULT($I$38:$L$41,Fetch(AG102)))), "")</f>
        <v/>
      </c>
      <c r="AW102" s="97">
        <f t="array" aca="1" ref="AW102" ca="1">IF($AB102,LN(MDETERM(Fetch(AL102))),$J$65)   -   MMULT(AM102:AP102,MMULT(IF($AB102,Fetch(AL102),$G$61:$J$64),TRANSPOSE(AM102:AP102)))</f>
        <v>4.5410345007936588</v>
      </c>
    </row>
    <row r="103" spans="23:49" x14ac:dyDescent="0.15">
      <c r="W103" s="12">
        <f t="shared" si="2"/>
        <v>100</v>
      </c>
      <c r="X103" s="62">
        <f t="array" aca="1" ref="X103:AA103" ca="1">simulate!AE103:AH103</f>
        <v>1.7147384042243883</v>
      </c>
      <c r="Y103" s="62">
        <f ca="1"/>
        <v>1.2235400205510307</v>
      </c>
      <c r="Z103" s="62">
        <f ca="1"/>
        <v>-0.29434721372977118</v>
      </c>
      <c r="AA103" s="62">
        <f ca="1"/>
        <v>1.2532960062397867</v>
      </c>
      <c r="AB103" s="98">
        <f t="shared" si="3"/>
        <v>0</v>
      </c>
      <c r="AC103" s="62">
        <f t="array" aca="1" ref="AC103:AF103" ca="1">TRANSPOSE($G$44:$G$47 + MMULT($I$44:$L$47,TRANSPOSE(AR102:AU102)))</f>
        <v>1.0050972170054451</v>
      </c>
      <c r="AD103" s="62">
        <f ca="1"/>
        <v>0.74943008431534641</v>
      </c>
      <c r="AE103" s="62">
        <f ca="1"/>
        <v>0.89758575804215146</v>
      </c>
      <c r="AF103" s="62">
        <f ca="1"/>
        <v>1.1163311558996518</v>
      </c>
      <c r="AG103" s="66" t="str">
        <f t="array" ref="AG103">IF($AB103, Push(MMULT($I$44:$L$47,MMULT(Fetch(AV102),TRANSPOSE($I$44:$L$47))) + $N$44:$Q$47), "")</f>
        <v/>
      </c>
      <c r="AH103" s="62">
        <f t="array" aca="1" ref="AH103:AK103" ca="1">TRANSPOSE($G$38:$G$41 + MMULT($I$38:$L$41,TRANSPOSE(AC103:AF103)))</f>
        <v>1.1958707829233226</v>
      </c>
      <c r="AI103" s="62">
        <f ca="1"/>
        <v>1.0530523027524832</v>
      </c>
      <c r="AJ103" s="62">
        <f ca="1"/>
        <v>1.0840160123409792</v>
      </c>
      <c r="AK103" s="62">
        <f ca="1"/>
        <v>1.0246445357947209</v>
      </c>
      <c r="AL103" s="66" t="str">
        <f t="array" ref="AL103">IF($AB103, Push(MINVERSE(MMULT($I$38:$L$41,MMULT(Fetch(AG103),TRANSPOSE($I$38:$L$41))) + $N$38:$Q$41)), "")</f>
        <v/>
      </c>
      <c r="AM103" s="62">
        <f t="array" aca="1" ref="AM103:AP103" ca="1">X103:AA103 - AH103:AK103</f>
        <v>0.51886762130106567</v>
      </c>
      <c r="AN103" s="62">
        <f ca="1"/>
        <v>0.17048771779854754</v>
      </c>
      <c r="AO103" s="62">
        <f ca="1"/>
        <v>-1.3783632260707503</v>
      </c>
      <c r="AP103" s="62">
        <f ca="1"/>
        <v>0.22865147044506573</v>
      </c>
      <c r="AQ103" s="66" t="str">
        <f t="array" ref="AQ103">IF($AB103, Push(MMULT(Fetch(AG103),MMULT(TRANSPOSE($I$38:$L$41),Fetch(AL103)))), "")</f>
        <v/>
      </c>
      <c r="AR103" s="62">
        <f t="array" aca="1" ref="AR103:AU103" ca="1">AC103:AF103 + TRANSPOSE(MMULT(IF($AB103,Fetch(AQ103),$L$61:$O$64),TRANSPOSE(AM103:AP103)))</f>
        <v>0.87097447211038825</v>
      </c>
      <c r="AS103" s="62">
        <f ca="1"/>
        <v>1.0905824862847897</v>
      </c>
      <c r="AT103" s="62">
        <f ca="1"/>
        <v>0.98230136659446843</v>
      </c>
      <c r="AU103" s="62">
        <f ca="1"/>
        <v>0.63766083552787078</v>
      </c>
      <c r="AV103" s="66" t="str">
        <f t="array" ref="AV103">IF($AB103, Push(Fetch(AG103) - MMULT(Fetch(AQ103),MMULT($I$38:$L$41,Fetch(AG103)))), "")</f>
        <v/>
      </c>
      <c r="AW103" s="97">
        <f t="array" aca="1" ref="AW103" ca="1">IF($AB103,LN(MDETERM(Fetch(AL103))),$J$65)   -   MMULT(AM103:AP103,MMULT(IF($AB103,Fetch(AL103),$G$61:$J$64),TRANSPOSE(AM103:AP103)))</f>
        <v>-4.7504483946423051</v>
      </c>
    </row>
    <row r="104" spans="23:49" x14ac:dyDescent="0.15">
      <c r="W104" s="12">
        <f t="shared" si="2"/>
        <v>101</v>
      </c>
      <c r="X104" s="62">
        <f t="array" aca="1" ref="X104:AA104" ca="1">simulate!AE104:AH104</f>
        <v>1.4151772699338121</v>
      </c>
      <c r="Y104" s="62">
        <f ca="1"/>
        <v>1.5187143949671214</v>
      </c>
      <c r="Z104" s="62">
        <f ca="1"/>
        <v>-0.38279393822116425</v>
      </c>
      <c r="AA104" s="62">
        <f ca="1"/>
        <v>1.4912209820010736</v>
      </c>
      <c r="AB104" s="98">
        <f t="shared" si="3"/>
        <v>0</v>
      </c>
      <c r="AC104" s="62">
        <f t="array" aca="1" ref="AC104:AF104" ca="1">TRANSPOSE($G$44:$G$47 + MMULT($I$44:$L$47,TRANSPOSE(AR103:AU103)))</f>
        <v>1.0063613931485687</v>
      </c>
      <c r="AD104" s="62">
        <f ca="1"/>
        <v>0.97303021030467307</v>
      </c>
      <c r="AE104" s="62">
        <f ca="1"/>
        <v>0.96617619620044404</v>
      </c>
      <c r="AF104" s="62">
        <f ca="1"/>
        <v>0.82008692654145787</v>
      </c>
      <c r="AG104" s="66" t="str">
        <f t="array" ref="AG104">IF($AB104, Push(MMULT($I$44:$L$47,MMULT(Fetch(AV103),TRANSPOSE($I$44:$L$47))) + $N$44:$Q$47), "")</f>
        <v/>
      </c>
      <c r="AH104" s="62">
        <f t="array" aca="1" ref="AH104:AK104" ca="1">TRANSPOSE($G$38:$G$41 + MMULT($I$38:$L$41,TRANSPOSE(AC104:AF104)))</f>
        <v>1.312795096500021</v>
      </c>
      <c r="AI104" s="62">
        <f ca="1"/>
        <v>1.1725920069995881</v>
      </c>
      <c r="AJ104" s="62">
        <f ca="1"/>
        <v>0.7457600906761932</v>
      </c>
      <c r="AK104" s="62">
        <f ca="1"/>
        <v>1.015381621546005</v>
      </c>
      <c r="AL104" s="66" t="str">
        <f t="array" ref="AL104">IF($AB104, Push(MINVERSE(MMULT($I$38:$L$41,MMULT(Fetch(AG104),TRANSPOSE($I$38:$L$41))) + $N$38:$Q$41)), "")</f>
        <v/>
      </c>
      <c r="AM104" s="62">
        <f t="array" aca="1" ref="AM104:AP104" ca="1">X104:AA104 - AH104:AK104</f>
        <v>0.10238217343379108</v>
      </c>
      <c r="AN104" s="62">
        <f ca="1"/>
        <v>0.34612238796753325</v>
      </c>
      <c r="AO104" s="62">
        <f ca="1"/>
        <v>-1.1285540288973575</v>
      </c>
      <c r="AP104" s="62">
        <f ca="1"/>
        <v>0.47583936045506858</v>
      </c>
      <c r="AQ104" s="66" t="str">
        <f t="array" ref="AQ104">IF($AB104, Push(MMULT(Fetch(AG104),MMULT(TRANSPOSE($I$38:$L$41),Fetch(AL104)))), "")</f>
        <v/>
      </c>
      <c r="AR104" s="62">
        <f t="array" aca="1" ref="AR104:AU104" ca="1">AC104:AF104 + TRANSPOSE(MMULT(IF($AB104,Fetch(AQ104),$L$61:$O$64),TRANSPOSE(AM104:AP104)))</f>
        <v>0.7173692101032294</v>
      </c>
      <c r="AS104" s="62">
        <f ca="1"/>
        <v>1.4837021632574057</v>
      </c>
      <c r="AT104" s="62">
        <f ca="1"/>
        <v>1.082640831619101</v>
      </c>
      <c r="AU104" s="62">
        <f ca="1"/>
        <v>0.52919698680987481</v>
      </c>
      <c r="AV104" s="66" t="str">
        <f t="array" ref="AV104">IF($AB104, Push(Fetch(AG104) - MMULT(Fetch(AQ104),MMULT($I$38:$L$41,Fetch(AG104)))), "")</f>
        <v/>
      </c>
      <c r="AW104" s="97">
        <f t="array" aca="1" ref="AW104" ca="1">IF($AB104,LN(MDETERM(Fetch(AL104))),$J$65)   -   MMULT(AM104:AP104,MMULT(IF($AB104,Fetch(AL104),$G$61:$J$64),TRANSPOSE(AM104:AP104)))</f>
        <v>-1.2735595577662604</v>
      </c>
    </row>
    <row r="105" spans="23:49" x14ac:dyDescent="0.15">
      <c r="W105" s="12">
        <f t="shared" si="2"/>
        <v>102</v>
      </c>
      <c r="X105" s="62">
        <f t="array" aca="1" ref="X105:AA105" ca="1">simulate!AE105:AH105</f>
        <v>0.72591832539361056</v>
      </c>
      <c r="Y105" s="62">
        <f ca="1"/>
        <v>0.92169741340354905</v>
      </c>
      <c r="Z105" s="62">
        <f ca="1"/>
        <v>0.54265596175884123</v>
      </c>
      <c r="AA105" s="62">
        <f ca="1"/>
        <v>1.1921837704846592</v>
      </c>
      <c r="AB105" s="98">
        <f t="shared" si="3"/>
        <v>0</v>
      </c>
      <c r="AC105" s="62">
        <f t="array" aca="1" ref="AC105:AF105" ca="1">TRANSPOSE($G$44:$G$47 + MMULT($I$44:$L$47,TRANSPOSE(AR104:AU104)))</f>
        <v>0.98351156433465503</v>
      </c>
      <c r="AD105" s="62">
        <f ca="1"/>
        <v>1.1675334251462612</v>
      </c>
      <c r="AE105" s="62">
        <f ca="1"/>
        <v>1.0572079124775262</v>
      </c>
      <c r="AF105" s="62">
        <f ca="1"/>
        <v>0.79840152369226458</v>
      </c>
      <c r="AG105" s="66" t="str">
        <f t="array" ref="AG105">IF($AB105, Push(MMULT($I$44:$L$47,MMULT(Fetch(AV104),TRANSPOSE($I$44:$L$47))) + $N$44:$Q$47), "")</f>
        <v/>
      </c>
      <c r="AH105" s="62">
        <f t="array" aca="1" ref="AH105:AK105" ca="1">TRANSPOSE($G$38:$G$41 + MMULT($I$38:$L$41,TRANSPOSE(AC105:AF105)))</f>
        <v>1.3501902597618696</v>
      </c>
      <c r="AI105" s="62">
        <f ca="1"/>
        <v>1.306085935037288</v>
      </c>
      <c r="AJ105" s="62">
        <f ca="1"/>
        <v>0.63646528134121394</v>
      </c>
      <c r="AK105" s="62">
        <f ca="1"/>
        <v>1.1416601348399784</v>
      </c>
      <c r="AL105" s="66" t="str">
        <f t="array" ref="AL105">IF($AB105, Push(MINVERSE(MMULT($I$38:$L$41,MMULT(Fetch(AG105),TRANSPOSE($I$38:$L$41))) + $N$38:$Q$41)), "")</f>
        <v/>
      </c>
      <c r="AM105" s="62">
        <f t="array" aca="1" ref="AM105:AP105" ca="1">X105:AA105 - AH105:AK105</f>
        <v>-0.62427193436825901</v>
      </c>
      <c r="AN105" s="62">
        <f ca="1"/>
        <v>-0.38438852163373893</v>
      </c>
      <c r="AO105" s="62">
        <f ca="1"/>
        <v>-9.3809319582372708E-2</v>
      </c>
      <c r="AP105" s="62">
        <f ca="1"/>
        <v>5.0523635644680764E-2</v>
      </c>
      <c r="AQ105" s="66" t="str">
        <f t="array" ref="AQ105">IF($AB105, Push(MMULT(Fetch(AG105),MMULT(TRANSPOSE($I$38:$L$41),Fetch(AL105)))), "")</f>
        <v/>
      </c>
      <c r="AR105" s="62">
        <f t="array" aca="1" ref="AR105:AU105" ca="1">AC105:AF105 + TRANSPOSE(MMULT(IF($AB105,Fetch(AQ105),$L$61:$O$64),TRANSPOSE(AM105:AP105)))</f>
        <v>0.60421285608097053</v>
      </c>
      <c r="AS105" s="62">
        <f ca="1"/>
        <v>1.0868556914118563</v>
      </c>
      <c r="AT105" s="62">
        <f ca="1"/>
        <v>0.89654142534270109</v>
      </c>
      <c r="AU105" s="62">
        <f ca="1"/>
        <v>0.77285268261142281</v>
      </c>
      <c r="AV105" s="66" t="str">
        <f t="array" ref="AV105">IF($AB105, Push(Fetch(AG105) - MMULT(Fetch(AQ105),MMULT($I$38:$L$41,Fetch(AG105)))), "")</f>
        <v/>
      </c>
      <c r="AW105" s="97">
        <f t="array" aca="1" ref="AW105" ca="1">IF($AB105,LN(MDETERM(Fetch(AL105))),$J$65)   -   MMULT(AM105:AP105,MMULT(IF($AB105,Fetch(AL105),$G$61:$J$64),TRANSPOSE(AM105:AP105)))</f>
        <v>4.3061926157458634</v>
      </c>
    </row>
    <row r="106" spans="23:49" x14ac:dyDescent="0.15">
      <c r="W106" s="12">
        <f t="shared" si="2"/>
        <v>103</v>
      </c>
      <c r="X106" s="62">
        <f t="array" aca="1" ref="X106:AA106" ca="1">simulate!AE106:AH106</f>
        <v>1.8971635880476962</v>
      </c>
      <c r="Y106" s="62">
        <f ca="1"/>
        <v>0.82242367235773228</v>
      </c>
      <c r="Z106" s="62">
        <f ca="1"/>
        <v>1.0037541169848738</v>
      </c>
      <c r="AA106" s="62">
        <f ca="1"/>
        <v>2.0364356454739041</v>
      </c>
      <c r="AB106" s="98">
        <f t="shared" si="3"/>
        <v>0</v>
      </c>
      <c r="AC106" s="62">
        <f t="array" aca="1" ref="AC106:AF106" ca="1">TRANSPOSE($G$44:$G$47 + MMULT($I$44:$L$47,TRANSPOSE(AR105:AU105)))</f>
        <v>0.86213067007408162</v>
      </c>
      <c r="AD106" s="62">
        <f ca="1"/>
        <v>0.92463786186710162</v>
      </c>
      <c r="AE106" s="62">
        <f ca="1"/>
        <v>0.92027247714633398</v>
      </c>
      <c r="AF106" s="62">
        <f ca="1"/>
        <v>0.86609199135486614</v>
      </c>
      <c r="AG106" s="66" t="str">
        <f t="array" ref="AG106">IF($AB106, Push(MMULT($I$44:$L$47,MMULT(Fetch(AV105),TRANSPOSE($I$44:$L$47))) + $N$44:$Q$47), "")</f>
        <v/>
      </c>
      <c r="AH106" s="62">
        <f t="array" aca="1" ref="AH106:AK106" ca="1">TRANSPOSE($G$38:$G$41 + MMULT($I$38:$L$41,TRANSPOSE(AC106:AF106)))</f>
        <v>1.169901098155109</v>
      </c>
      <c r="AI106" s="62">
        <f ca="1"/>
        <v>1.0978392468895632</v>
      </c>
      <c r="AJ106" s="62">
        <f ca="1"/>
        <v>0.75107636622046403</v>
      </c>
      <c r="AK106" s="62">
        <f ca="1"/>
        <v>1.0518919705535386</v>
      </c>
      <c r="AL106" s="66" t="str">
        <f t="array" ref="AL106">IF($AB106, Push(MINVERSE(MMULT($I$38:$L$41,MMULT(Fetch(AG106),TRANSPOSE($I$38:$L$41))) + $N$38:$Q$41)), "")</f>
        <v/>
      </c>
      <c r="AM106" s="62">
        <f t="array" aca="1" ref="AM106:AP106" ca="1">X106:AA106 - AH106:AK106</f>
        <v>0.72726248989258724</v>
      </c>
      <c r="AN106" s="62">
        <f ca="1"/>
        <v>-0.27541557453183096</v>
      </c>
      <c r="AO106" s="62">
        <f ca="1"/>
        <v>0.25267775076440979</v>
      </c>
      <c r="AP106" s="62">
        <f ca="1"/>
        <v>0.98454367492036554</v>
      </c>
      <c r="AQ106" s="66" t="str">
        <f t="array" ref="AQ106">IF($AB106, Push(MMULT(Fetch(AG106),MMULT(TRANSPOSE($I$38:$L$41),Fetch(AL106)))), "")</f>
        <v/>
      </c>
      <c r="AR106" s="62">
        <f t="array" aca="1" ref="AR106:AU106" ca="1">AC106:AF106 + TRANSPOSE(MMULT(IF($AB106,Fetch(AQ106),$L$61:$O$64),TRANSPOSE(AM106:AP106)))</f>
        <v>0.99249886827645617</v>
      </c>
      <c r="AS106" s="62">
        <f ca="1"/>
        <v>0.78312705358917301</v>
      </c>
      <c r="AT106" s="62">
        <f ca="1"/>
        <v>1.9100092588756497</v>
      </c>
      <c r="AU106" s="62">
        <f ca="1"/>
        <v>1.3134628457859778</v>
      </c>
      <c r="AV106" s="66" t="str">
        <f t="array" ref="AV106">IF($AB106, Push(Fetch(AG106) - MMULT(Fetch(AQ106),MMULT($I$38:$L$41,Fetch(AG106)))), "")</f>
        <v/>
      </c>
      <c r="AW106" s="97">
        <f t="array" aca="1" ref="AW106" ca="1">IF($AB106,LN(MDETERM(Fetch(AL106))),$J$65)   -   MMULT(AM106:AP106,MMULT(IF($AB106,Fetch(AL106),$G$61:$J$64),TRANSPOSE(AM106:AP106)))</f>
        <v>-0.27426378766232062</v>
      </c>
    </row>
    <row r="107" spans="23:49" x14ac:dyDescent="0.15">
      <c r="W107" s="12">
        <f t="shared" si="2"/>
        <v>104</v>
      </c>
      <c r="X107" s="62">
        <f t="array" aca="1" ref="X107:AA107" ca="1">simulate!AE107:AH107</f>
        <v>0.76656073765948862</v>
      </c>
      <c r="Y107" s="62">
        <f ca="1"/>
        <v>0.55838223610908577</v>
      </c>
      <c r="Z107" s="62">
        <f ca="1"/>
        <v>2.3008728006661237</v>
      </c>
      <c r="AA107" s="62">
        <f ca="1"/>
        <v>0.85408748263650147</v>
      </c>
      <c r="AB107" s="98">
        <f t="shared" si="3"/>
        <v>0</v>
      </c>
      <c r="AC107" s="62">
        <f t="array" aca="1" ref="AC107:AF107" ca="1">TRANSPOSE($G$44:$G$47 + MMULT($I$44:$L$47,TRANSPOSE(AR106:AU106)))</f>
        <v>1.1250066629171436</v>
      </c>
      <c r="AD107" s="62">
        <f ca="1"/>
        <v>1.0121106382029312</v>
      </c>
      <c r="AE107" s="62">
        <f ca="1"/>
        <v>1.5259527487374336</v>
      </c>
      <c r="AF107" s="62">
        <f ca="1"/>
        <v>1.3196470139512491</v>
      </c>
      <c r="AG107" s="66" t="str">
        <f t="array" ref="AG107">IF($AB107, Push(MMULT($I$44:$L$47,MMULT(Fetch(AV106),TRANSPOSE($I$44:$L$47))) + $N$44:$Q$47), "")</f>
        <v/>
      </c>
      <c r="AH107" s="62">
        <f t="array" aca="1" ref="AH107:AK107" ca="1">TRANSPOSE($G$38:$G$41 + MMULT($I$38:$L$41,TRANSPOSE(AC107:AF107)))</f>
        <v>1.6095204934327079</v>
      </c>
      <c r="AI107" s="62">
        <f ca="1"/>
        <v>1.2056716286466627</v>
      </c>
      <c r="AJ107" s="62">
        <f ca="1"/>
        <v>1.1419582636456007</v>
      </c>
      <c r="AK107" s="62">
        <f ca="1"/>
        <v>1.5919237577067313</v>
      </c>
      <c r="AL107" s="66" t="str">
        <f t="array" ref="AL107">IF($AB107, Push(MINVERSE(MMULT($I$38:$L$41,MMULT(Fetch(AG107),TRANSPOSE($I$38:$L$41))) + $N$38:$Q$41)), "")</f>
        <v/>
      </c>
      <c r="AM107" s="62">
        <f t="array" aca="1" ref="AM107:AP107" ca="1">X107:AA107 - AH107:AK107</f>
        <v>-0.84295975577321924</v>
      </c>
      <c r="AN107" s="62">
        <f ca="1"/>
        <v>-0.64728939253757689</v>
      </c>
      <c r="AO107" s="62">
        <f ca="1"/>
        <v>1.1589145370205229</v>
      </c>
      <c r="AP107" s="62">
        <f ca="1"/>
        <v>-0.73783627507022986</v>
      </c>
      <c r="AQ107" s="66" t="str">
        <f t="array" ref="AQ107">IF($AB107, Push(MMULT(Fetch(AG107),MMULT(TRANSPOSE($I$38:$L$41),Fetch(AL107)))), "")</f>
        <v/>
      </c>
      <c r="AR107" s="62">
        <f t="array" aca="1" ref="AR107:AU107" ca="1">AC107:AF107 + TRANSPOSE(MMULT(IF($AB107,Fetch(AQ107),$L$61:$O$64),TRANSPOSE(AM107:AP107)))</f>
        <v>1.0960682866121121</v>
      </c>
      <c r="AS107" s="62">
        <f ca="1"/>
        <v>0.40044862445881824</v>
      </c>
      <c r="AT107" s="62">
        <f ca="1"/>
        <v>1.0112484830503046</v>
      </c>
      <c r="AU107" s="62">
        <f ca="1"/>
        <v>1.5266365582111441</v>
      </c>
      <c r="AV107" s="66" t="str">
        <f t="array" ref="AV107">IF($AB107, Push(Fetch(AG107) - MMULT(Fetch(AQ107),MMULT($I$38:$L$41,Fetch(AG107)))), "")</f>
        <v/>
      </c>
      <c r="AW107" s="97">
        <f t="array" aca="1" ref="AW107" ca="1">IF($AB107,LN(MDETERM(Fetch(AL107))),$J$65)   -   MMULT(AM107:AP107,MMULT(IF($AB107,Fetch(AL107),$G$61:$J$64),TRANSPOSE(AM107:AP107)))</f>
        <v>-5.3804193863980903</v>
      </c>
    </row>
    <row r="108" spans="23:49" x14ac:dyDescent="0.15">
      <c r="W108" s="12">
        <f t="shared" si="2"/>
        <v>105</v>
      </c>
      <c r="X108" s="62">
        <f t="array" aca="1" ref="X108:AA108" ca="1">simulate!AE108:AH108</f>
        <v>0.7342193387149224</v>
      </c>
      <c r="Y108" s="62">
        <f ca="1"/>
        <v>0.68147775226240004</v>
      </c>
      <c r="Z108" s="62">
        <f ca="1"/>
        <v>1.6195890810367453</v>
      </c>
      <c r="AA108" s="62">
        <f ca="1"/>
        <v>1.4094161875096964</v>
      </c>
      <c r="AB108" s="98">
        <f t="shared" si="3"/>
        <v>0</v>
      </c>
      <c r="AC108" s="62">
        <f t="array" aca="1" ref="AC108:AF108" ca="1">TRANSPOSE($G$44:$G$47 + MMULT($I$44:$L$47,TRANSPOSE(AR107:AU107)))</f>
        <v>1.0705759614363979</v>
      </c>
      <c r="AD108" s="62">
        <f ca="1"/>
        <v>0.70441695887671296</v>
      </c>
      <c r="AE108" s="62">
        <f ca="1"/>
        <v>1.0173434907592167</v>
      </c>
      <c r="AF108" s="62">
        <f ca="1"/>
        <v>1.2665908813311322</v>
      </c>
      <c r="AG108" s="66" t="str">
        <f t="array" ref="AG108">IF($AB108, Push(MMULT($I$44:$L$47,MMULT(Fetch(AV107),TRANSPOSE($I$44:$L$47))) + $N$44:$Q$47), "")</f>
        <v/>
      </c>
      <c r="AH108" s="62">
        <f t="array" aca="1" ref="AH108:AK108" ca="1">TRANSPOSE($G$38:$G$41 + MMULT($I$38:$L$41,TRANSPOSE(AC108:AF108)))</f>
        <v>1.2785284947104265</v>
      </c>
      <c r="AI108" s="62">
        <f ca="1"/>
        <v>1.0369851364787124</v>
      </c>
      <c r="AJ108" s="62">
        <f ca="1"/>
        <v>1.2407889731851955</v>
      </c>
      <c r="AK108" s="62">
        <f ca="1"/>
        <v>1.1321867817470592</v>
      </c>
      <c r="AL108" s="66" t="str">
        <f t="array" ref="AL108">IF($AB108, Push(MINVERSE(MMULT($I$38:$L$41,MMULT(Fetch(AG108),TRANSPOSE($I$38:$L$41))) + $N$38:$Q$41)), "")</f>
        <v/>
      </c>
      <c r="AM108" s="62">
        <f t="array" aca="1" ref="AM108:AP108" ca="1">X108:AA108 - AH108:AK108</f>
        <v>-0.54430915599550411</v>
      </c>
      <c r="AN108" s="62">
        <f ca="1"/>
        <v>-0.35550738421631234</v>
      </c>
      <c r="AO108" s="62">
        <f ca="1"/>
        <v>0.37880010785154972</v>
      </c>
      <c r="AP108" s="62">
        <f ca="1"/>
        <v>0.27722940576263722</v>
      </c>
      <c r="AQ108" s="66" t="str">
        <f t="array" ref="AQ108">IF($AB108, Push(MMULT(Fetch(AG108),MMULT(TRANSPOSE($I$38:$L$41),Fetch(AL108)))), "")</f>
        <v/>
      </c>
      <c r="AR108" s="62">
        <f t="array" aca="1" ref="AR108:AU108" ca="1">AC108:AF108 + TRANSPOSE(MMULT(IF($AB108,Fetch(AQ108),$L$61:$O$64),TRANSPOSE(AM108:AP108)))</f>
        <v>0.79988336138448424</v>
      </c>
      <c r="AS108" s="62">
        <f ca="1"/>
        <v>0.57216915962878701</v>
      </c>
      <c r="AT108" s="62">
        <f ca="1"/>
        <v>1.1111679667138321</v>
      </c>
      <c r="AU108" s="62">
        <f ca="1"/>
        <v>1.5132294835313624</v>
      </c>
      <c r="AV108" s="66" t="str">
        <f t="array" ref="AV108">IF($AB108, Push(Fetch(AG108) - MMULT(Fetch(AQ108),MMULT($I$38:$L$41,Fetch(AG108)))), "")</f>
        <v/>
      </c>
      <c r="AW108" s="97">
        <f t="array" aca="1" ref="AW108" ca="1">IF($AB108,LN(MDETERM(Fetch(AL108))),$J$65)   -   MMULT(AM108:AP108,MMULT(IF($AB108,Fetch(AL108),$G$61:$J$64),TRANSPOSE(AM108:AP108)))</f>
        <v>2.6189426232393043</v>
      </c>
    </row>
    <row r="109" spans="23:49" x14ac:dyDescent="0.15">
      <c r="W109" s="12">
        <f t="shared" si="2"/>
        <v>106</v>
      </c>
      <c r="X109" s="62">
        <f t="array" aca="1" ref="X109:AA109" ca="1">simulate!AE109:AH109</f>
        <v>0.90218290154509173</v>
      </c>
      <c r="Y109" s="62">
        <f ca="1"/>
        <v>0.44009982755264243</v>
      </c>
      <c r="Z109" s="62">
        <f ca="1"/>
        <v>1.2895604578784079</v>
      </c>
      <c r="AA109" s="62">
        <f ca="1"/>
        <v>1.3989953257572432</v>
      </c>
      <c r="AB109" s="98">
        <f t="shared" si="3"/>
        <v>0</v>
      </c>
      <c r="AC109" s="62">
        <f t="array" aca="1" ref="AC109:AF109" ca="1">TRANSPOSE($G$44:$G$47 + MMULT($I$44:$L$47,TRANSPOSE(AR108:AU108)))</f>
        <v>0.94249544379302108</v>
      </c>
      <c r="AD109" s="62">
        <f ca="1"/>
        <v>0.76290323440468055</v>
      </c>
      <c r="AE109" s="62">
        <f ca="1"/>
        <v>1.0761203181429191</v>
      </c>
      <c r="AF109" s="62">
        <f ca="1"/>
        <v>1.2735633004433311</v>
      </c>
      <c r="AG109" s="66" t="str">
        <f t="array" ref="AG109">IF($AB109, Push(MMULT($I$44:$L$47,MMULT(Fetch(AV108),TRANSPOSE($I$44:$L$47))) + $N$44:$Q$47), "")</f>
        <v/>
      </c>
      <c r="AH109" s="62">
        <f t="array" aca="1" ref="AH109:AK109" ca="1">TRANSPOSE($G$38:$G$41 + MMULT($I$38:$L$41,TRANSPOSE(AC109:AF109)))</f>
        <v>1.2191949585844748</v>
      </c>
      <c r="AI109" s="62">
        <f ca="1"/>
        <v>1.0269091059641273</v>
      </c>
      <c r="AJ109" s="62">
        <f ca="1"/>
        <v>1.1694130306744426</v>
      </c>
      <c r="AK109" s="62">
        <f ca="1"/>
        <v>1.2530671913304965</v>
      </c>
      <c r="AL109" s="66" t="str">
        <f t="array" ref="AL109">IF($AB109, Push(MINVERSE(MMULT($I$38:$L$41,MMULT(Fetch(AG109),TRANSPOSE($I$38:$L$41))) + $N$38:$Q$41)), "")</f>
        <v/>
      </c>
      <c r="AM109" s="62">
        <f t="array" aca="1" ref="AM109:AP109" ca="1">X109:AA109 - AH109:AK109</f>
        <v>-0.31701205703938307</v>
      </c>
      <c r="AN109" s="62">
        <f ca="1"/>
        <v>-0.58680927841148489</v>
      </c>
      <c r="AO109" s="62">
        <f ca="1"/>
        <v>0.12014742720396532</v>
      </c>
      <c r="AP109" s="62">
        <f ca="1"/>
        <v>0.14592813442674668</v>
      </c>
      <c r="AQ109" s="66" t="str">
        <f t="array" ref="AQ109">IF($AB109, Push(MMULT(Fetch(AG109),MMULT(TRANSPOSE($I$38:$L$41),Fetch(AL109)))), "")</f>
        <v/>
      </c>
      <c r="AR109" s="62">
        <f t="array" aca="1" ref="AR109:AU109" ca="1">AC109:AF109 + TRANSPOSE(MMULT(IF($AB109,Fetch(AQ109),$L$61:$O$64),TRANSPOSE(AM109:AP109)))</f>
        <v>0.70360309387060305</v>
      </c>
      <c r="AS109" s="62">
        <f ca="1"/>
        <v>0.48723889931444653</v>
      </c>
      <c r="AT109" s="62">
        <f ca="1"/>
        <v>1.1513987822548495</v>
      </c>
      <c r="AU109" s="62">
        <f ca="1"/>
        <v>1.3681945071930184</v>
      </c>
      <c r="AV109" s="66" t="str">
        <f t="array" ref="AV109">IF($AB109, Push(Fetch(AG109) - MMULT(Fetch(AQ109),MMULT($I$38:$L$41,Fetch(AG109)))), "")</f>
        <v/>
      </c>
      <c r="AW109" s="97">
        <f t="array" aca="1" ref="AW109" ca="1">IF($AB109,LN(MDETERM(Fetch(AL109))),$J$65)   -   MMULT(AM109:AP109,MMULT(IF($AB109,Fetch(AL109),$G$61:$J$64),TRANSPOSE(AM109:AP109)))</f>
        <v>5.1285644640194015</v>
      </c>
    </row>
    <row r="110" spans="23:49" x14ac:dyDescent="0.15">
      <c r="W110" s="12">
        <f t="shared" si="2"/>
        <v>107</v>
      </c>
      <c r="X110" s="62">
        <f t="array" aca="1" ref="X110:AA110" ca="1">simulate!AE110:AH110</f>
        <v>0.73617516247022063</v>
      </c>
      <c r="Y110" s="62">
        <f ca="1"/>
        <v>1.2724040764885149</v>
      </c>
      <c r="Z110" s="62">
        <f ca="1"/>
        <v>0.14566295671388474</v>
      </c>
      <c r="AA110" s="62">
        <f ca="1"/>
        <v>0.58759445847303593</v>
      </c>
      <c r="AB110" s="98">
        <f t="shared" si="3"/>
        <v>0</v>
      </c>
      <c r="AC110" s="62">
        <f t="array" aca="1" ref="AC110:AF110" ca="1">TRANSPOSE($G$44:$G$47 + MMULT($I$44:$L$47,TRANSPOSE(AR109:AU109)))</f>
        <v>0.87382200108558328</v>
      </c>
      <c r="AD110" s="62">
        <f ca="1"/>
        <v>0.6970322002093815</v>
      </c>
      <c r="AE110" s="62">
        <f ca="1"/>
        <v>1.0557412309573462</v>
      </c>
      <c r="AF110" s="62">
        <f ca="1"/>
        <v>1.1910929813679882</v>
      </c>
      <c r="AG110" s="66" t="str">
        <f t="array" ref="AG110">IF($AB110, Push(MMULT($I$44:$L$47,MMULT(Fetch(AV109),TRANSPOSE($I$44:$L$47))) + $N$44:$Q$47), "")</f>
        <v/>
      </c>
      <c r="AH110" s="62">
        <f t="array" aca="1" ref="AH110:AK110" ca="1">TRANSPOSE($G$38:$G$41 + MMULT($I$38:$L$41,TRANSPOSE(AC110:AF110)))</f>
        <v>1.184058558819709</v>
      </c>
      <c r="AI110" s="62">
        <f ca="1"/>
        <v>0.93310666148098698</v>
      </c>
      <c r="AJ110" s="62">
        <f ca="1"/>
        <v>1.1008986385929367</v>
      </c>
      <c r="AK110" s="62">
        <f ca="1"/>
        <v>1.2137733177569265</v>
      </c>
      <c r="AL110" s="66" t="str">
        <f t="array" ref="AL110">IF($AB110, Push(MINVERSE(MMULT($I$38:$L$41,MMULT(Fetch(AG110),TRANSPOSE($I$38:$L$41))) + $N$38:$Q$41)), "")</f>
        <v/>
      </c>
      <c r="AM110" s="62">
        <f t="array" aca="1" ref="AM110:AP110" ca="1">X110:AA110 - AH110:AK110</f>
        <v>-0.44788339634948837</v>
      </c>
      <c r="AN110" s="62">
        <f ca="1"/>
        <v>0.33929741500752797</v>
      </c>
      <c r="AO110" s="62">
        <f ca="1"/>
        <v>-0.95523568187905195</v>
      </c>
      <c r="AP110" s="62">
        <f ca="1"/>
        <v>-0.62617885928389061</v>
      </c>
      <c r="AQ110" s="66" t="str">
        <f t="array" ref="AQ110">IF($AB110, Push(MMULT(Fetch(AG110),MMULT(TRANSPOSE($I$38:$L$41),Fetch(AL110)))), "")</f>
        <v/>
      </c>
      <c r="AR110" s="62">
        <f t="array" aca="1" ref="AR110:AU110" ca="1">AC110:AF110 + TRANSPOSE(MMULT(IF($AB110,Fetch(AQ110),$L$61:$O$64),TRANSPOSE(AM110:AP110)))</f>
        <v>0.62401101357156474</v>
      </c>
      <c r="AS110" s="62">
        <f ca="1"/>
        <v>1.044700952331592</v>
      </c>
      <c r="AT110" s="62">
        <f ca="1"/>
        <v>0.27677650978136215</v>
      </c>
      <c r="AU110" s="62">
        <f ca="1"/>
        <v>0.58405326601667107</v>
      </c>
      <c r="AV110" s="66" t="str">
        <f t="array" ref="AV110">IF($AB110, Push(Fetch(AG110) - MMULT(Fetch(AQ110),MMULT($I$38:$L$41,Fetch(AG110)))), "")</f>
        <v/>
      </c>
      <c r="AW110" s="97">
        <f t="array" aca="1" ref="AW110" ca="1">IF($AB110,LN(MDETERM(Fetch(AL110))),$J$65)   -   MMULT(AM110:AP110,MMULT(IF($AB110,Fetch(AL110),$G$61:$J$64),TRANSPOSE(AM110:AP110)))</f>
        <v>0.74637832080350996</v>
      </c>
    </row>
    <row r="111" spans="23:49" x14ac:dyDescent="0.15">
      <c r="W111" s="12">
        <f t="shared" si="2"/>
        <v>108</v>
      </c>
      <c r="X111" s="62">
        <f t="array" aca="1" ref="X111:AA111" ca="1">simulate!AE111:AH111</f>
        <v>2.0708430488831242</v>
      </c>
      <c r="Y111" s="62">
        <f ca="1"/>
        <v>1.4777813520052618</v>
      </c>
      <c r="Z111" s="62">
        <f ca="1"/>
        <v>-0.20707952076175828</v>
      </c>
      <c r="AA111" s="62">
        <f ca="1"/>
        <v>1.6088336916230217</v>
      </c>
      <c r="AB111" s="98">
        <f t="shared" si="3"/>
        <v>0</v>
      </c>
      <c r="AC111" s="62">
        <f t="array" aca="1" ref="AC111:AF111" ca="1">TRANSPOSE($G$44:$G$47 + MMULT($I$44:$L$47,TRANSPOSE(AR110:AU110)))</f>
        <v>0.81339462121170025</v>
      </c>
      <c r="AD111" s="62">
        <f ca="1"/>
        <v>0.7999263752444179</v>
      </c>
      <c r="AE111" s="62">
        <f ca="1"/>
        <v>0.55217751695437367</v>
      </c>
      <c r="AF111" s="62">
        <f ca="1"/>
        <v>0.66145204339672015</v>
      </c>
      <c r="AG111" s="66" t="str">
        <f t="array" ref="AG111">IF($AB111, Push(MMULT($I$44:$L$47,MMULT(Fetch(AV110),TRANSPOSE($I$44:$L$47))) + $N$44:$Q$47), "")</f>
        <v/>
      </c>
      <c r="AH111" s="62">
        <f t="array" aca="1" ref="AH111:AK111" ca="1">TRANSPOSE($G$38:$G$41 + MMULT($I$38:$L$41,TRANSPOSE(AC111:AF111)))</f>
        <v>0.96575480960514115</v>
      </c>
      <c r="AI111" s="62">
        <f ca="1"/>
        <v>1.0249925452146607</v>
      </c>
      <c r="AJ111" s="62">
        <f ca="1"/>
        <v>0.64292615054402136</v>
      </c>
      <c r="AK111" s="62">
        <f ca="1"/>
        <v>0.68226953190987549</v>
      </c>
      <c r="AL111" s="66" t="str">
        <f t="array" ref="AL111">IF($AB111, Push(MINVERSE(MMULT($I$38:$L$41,MMULT(Fetch(AG111),TRANSPOSE($I$38:$L$41))) + $N$38:$Q$41)), "")</f>
        <v/>
      </c>
      <c r="AM111" s="62">
        <f t="array" aca="1" ref="AM111:AP111" ca="1">X111:AA111 - AH111:AK111</f>
        <v>1.1050882392779831</v>
      </c>
      <c r="AN111" s="62">
        <f ca="1"/>
        <v>0.45278880679060118</v>
      </c>
      <c r="AO111" s="62">
        <f ca="1"/>
        <v>-0.85000567130577964</v>
      </c>
      <c r="AP111" s="62">
        <f ca="1"/>
        <v>0.92656415971314621</v>
      </c>
      <c r="AQ111" s="66" t="str">
        <f t="array" ref="AQ111">IF($AB111, Push(MMULT(Fetch(AG111),MMULT(TRANSPOSE($I$38:$L$41),Fetch(AL111)))), "")</f>
        <v/>
      </c>
      <c r="AR111" s="62">
        <f t="array" aca="1" ref="AR111:AU111" ca="1">AC111:AF111 + TRANSPOSE(MMULT(IF($AB111,Fetch(AQ111),$L$61:$O$64),TRANSPOSE(AM111:AP111)))</f>
        <v>0.96631313792906948</v>
      </c>
      <c r="AS111" s="62">
        <f ca="1"/>
        <v>1.2276066266262962</v>
      </c>
      <c r="AT111" s="62">
        <f ca="1"/>
        <v>1.362953705090771</v>
      </c>
      <c r="AU111" s="62">
        <f ca="1"/>
        <v>0.64579779897644363</v>
      </c>
      <c r="AV111" s="66" t="str">
        <f t="array" ref="AV111">IF($AB111, Push(Fetch(AG111) - MMULT(Fetch(AQ111),MMULT($I$38:$L$41,Fetch(AG111)))), "")</f>
        <v/>
      </c>
      <c r="AW111" s="97">
        <f t="array" aca="1" ref="AW111" ca="1">IF($AB111,LN(MDETERM(Fetch(AL111))),$J$65)   -   MMULT(AM111:AP111,MMULT(IF($AB111,Fetch(AL111),$G$61:$J$64),TRANSPOSE(AM111:AP111)))</f>
        <v>-5.456725960142828</v>
      </c>
    </row>
    <row r="112" spans="23:49" x14ac:dyDescent="0.15">
      <c r="W112" s="12">
        <f t="shared" si="2"/>
        <v>109</v>
      </c>
      <c r="X112" s="62">
        <f t="array" aca="1" ref="X112:AA112" ca="1">simulate!AE112:AH112</f>
        <v>2.1473346653597134</v>
      </c>
      <c r="Y112" s="62">
        <f ca="1"/>
        <v>1.5898507003075499</v>
      </c>
      <c r="Z112" s="62">
        <f ca="1"/>
        <v>0.45454469395780384</v>
      </c>
      <c r="AA112" s="62">
        <f ca="1"/>
        <v>1.2195831622861928</v>
      </c>
      <c r="AB112" s="98">
        <f t="shared" si="3"/>
        <v>0</v>
      </c>
      <c r="AC112" s="62">
        <f t="array" aca="1" ref="AC112:AF112" ca="1">TRANSPOSE($G$44:$G$47 + MMULT($I$44:$L$47,TRANSPOSE(AR111:AU111)))</f>
        <v>1.1056170191980061</v>
      </c>
      <c r="AD112" s="62">
        <f ca="1"/>
        <v>1.1194250671285626</v>
      </c>
      <c r="AE112" s="62">
        <f ca="1"/>
        <v>1.2019948605635742</v>
      </c>
      <c r="AF112" s="62">
        <f ca="1"/>
        <v>0.90061952523505484</v>
      </c>
      <c r="AG112" s="66" t="str">
        <f t="array" ref="AG112">IF($AB112, Push(MMULT($I$44:$L$47,MMULT(Fetch(AV111),TRANSPOSE($I$44:$L$47))) + $N$44:$Q$47), "")</f>
        <v/>
      </c>
      <c r="AH112" s="62">
        <f t="array" aca="1" ref="AH112:AK112" ca="1">TRANSPOSE($G$38:$G$41 + MMULT($I$38:$L$41,TRANSPOSE(AC112:AF112)))</f>
        <v>1.5031060171746575</v>
      </c>
      <c r="AI112" s="62">
        <f ca="1"/>
        <v>1.29243328725355</v>
      </c>
      <c r="AJ112" s="62">
        <f ca="1"/>
        <v>0.77385195469596368</v>
      </c>
      <c r="AK112" s="62">
        <f ca="1"/>
        <v>1.2203444072322485</v>
      </c>
      <c r="AL112" s="66" t="str">
        <f t="array" ref="AL112">IF($AB112, Push(MINVERSE(MMULT($I$38:$L$41,MMULT(Fetch(AG112),TRANSPOSE($I$38:$L$41))) + $N$38:$Q$41)), "")</f>
        <v/>
      </c>
      <c r="AM112" s="62">
        <f t="array" aca="1" ref="AM112:AP112" ca="1">X112:AA112 - AH112:AK112</f>
        <v>0.64422864818505587</v>
      </c>
      <c r="AN112" s="62">
        <f ca="1"/>
        <v>0.29741741305399994</v>
      </c>
      <c r="AO112" s="62">
        <f ca="1"/>
        <v>-0.31930726073815985</v>
      </c>
      <c r="AP112" s="62">
        <f ca="1"/>
        <v>-7.612449460556725E-4</v>
      </c>
      <c r="AQ112" s="66" t="str">
        <f t="array" ref="AQ112">IF($AB112, Push(MMULT(Fetch(AG112),MMULT(TRANSPOSE($I$38:$L$41),Fetch(AL112)))), "")</f>
        <v/>
      </c>
      <c r="AR112" s="62">
        <f t="array" aca="1" ref="AR112:AU112" ca="1">AC112:AF112 + TRANSPOSE(MMULT(IF($AB112,Fetch(AQ112),$L$61:$O$64),TRANSPOSE(AM112:AP112)))</f>
        <v>1.3655794632923215</v>
      </c>
      <c r="AS112" s="62">
        <f ca="1"/>
        <v>1.243511966776208</v>
      </c>
      <c r="AT112" s="62">
        <f ca="1"/>
        <v>1.3438914012453895</v>
      </c>
      <c r="AU112" s="62">
        <f ca="1"/>
        <v>0.77469123334250423</v>
      </c>
      <c r="AV112" s="66" t="str">
        <f t="array" ref="AV112">IF($AB112, Push(Fetch(AG112) - MMULT(Fetch(AQ112),MMULT($I$38:$L$41,Fetch(AG112)))), "")</f>
        <v/>
      </c>
      <c r="AW112" s="97">
        <f t="array" aca="1" ref="AW112" ca="1">IF($AB112,LN(MDETERM(Fetch(AL112))),$J$65)   -   MMULT(AM112:AP112,MMULT(IF($AB112,Fetch(AL112),$G$61:$J$64),TRANSPOSE(AM112:AP112)))</f>
        <v>4.0076922798845329</v>
      </c>
    </row>
    <row r="113" spans="23:49" x14ac:dyDescent="0.15">
      <c r="W113" s="12">
        <f t="shared" si="2"/>
        <v>110</v>
      </c>
      <c r="X113" s="62">
        <f t="array" aca="1" ref="X113:AA113" ca="1">simulate!AE113:AH113</f>
        <v>0.80794121433229582</v>
      </c>
      <c r="Y113" s="62">
        <f ca="1"/>
        <v>0.56068251603918995</v>
      </c>
      <c r="Z113" s="62">
        <f ca="1"/>
        <v>0.63771546124690337</v>
      </c>
      <c r="AA113" s="62">
        <f ca="1"/>
        <v>1.3675417750431731</v>
      </c>
      <c r="AB113" s="98">
        <f t="shared" si="3"/>
        <v>0</v>
      </c>
      <c r="AC113" s="62">
        <f t="array" aca="1" ref="AC113:AF113" ca="1">TRANSPOSE($G$44:$G$47 + MMULT($I$44:$L$47,TRANSPOSE(AR112:AU112)))</f>
        <v>1.3284416578418476</v>
      </c>
      <c r="AD113" s="62">
        <f ca="1"/>
        <v>1.1991939456092942</v>
      </c>
      <c r="AE113" s="62">
        <f ca="1"/>
        <v>1.2417785097226848</v>
      </c>
      <c r="AF113" s="62">
        <f ca="1"/>
        <v>0.98745585373258482</v>
      </c>
      <c r="AG113" s="66" t="str">
        <f t="array" ref="AG113">IF($AB113, Push(MMULT($I$44:$L$47,MMULT(Fetch(AV112),TRANSPOSE($I$44:$L$47))) + $N$44:$Q$47), "")</f>
        <v/>
      </c>
      <c r="AH113" s="62">
        <f t="array" aca="1" ref="AH113:AK113" ca="1">TRANSPOSE($G$38:$G$41 + MMULT($I$38:$L$41,TRANSPOSE(AC113:AF113)))</f>
        <v>1.6588833329671271</v>
      </c>
      <c r="AI113" s="62">
        <f ca="1"/>
        <v>1.4512753403870435</v>
      </c>
      <c r="AJ113" s="62">
        <f ca="1"/>
        <v>0.89852416785874767</v>
      </c>
      <c r="AK113" s="62">
        <f ca="1"/>
        <v>1.2105133567237008</v>
      </c>
      <c r="AL113" s="66" t="str">
        <f t="array" ref="AL113">IF($AB113, Push(MINVERSE(MMULT($I$38:$L$41,MMULT(Fetch(AG113),TRANSPOSE($I$38:$L$41))) + $N$38:$Q$41)), "")</f>
        <v/>
      </c>
      <c r="AM113" s="62">
        <f t="array" aca="1" ref="AM113:AP113" ca="1">X113:AA113 - AH113:AK113</f>
        <v>-0.85094211863483127</v>
      </c>
      <c r="AN113" s="62">
        <f ca="1"/>
        <v>-0.89059282434785358</v>
      </c>
      <c r="AO113" s="62">
        <f ca="1"/>
        <v>-0.2608087066118443</v>
      </c>
      <c r="AP113" s="62">
        <f ca="1"/>
        <v>0.15702841831947234</v>
      </c>
      <c r="AQ113" s="66" t="str">
        <f t="array" ref="AQ113">IF($AB113, Push(MMULT(Fetch(AG113),MMULT(TRANSPOSE($I$38:$L$41),Fetch(AL113)))), "")</f>
        <v/>
      </c>
      <c r="AR113" s="62">
        <f t="array" aca="1" ref="AR113:AU113" ca="1">AC113:AF113 + TRANSPOSE(MMULT(IF($AB113,Fetch(AQ113),$L$61:$O$64),TRANSPOSE(AM113:AP113)))</f>
        <v>0.70082972259676457</v>
      </c>
      <c r="AS113" s="62">
        <f ca="1"/>
        <v>0.92545745849856598</v>
      </c>
      <c r="AT113" s="62">
        <f ca="1"/>
        <v>1.1045762018186815</v>
      </c>
      <c r="AU113" s="62">
        <f ca="1"/>
        <v>0.9266790600058189</v>
      </c>
      <c r="AV113" s="66" t="str">
        <f t="array" ref="AV113">IF($AB113, Push(Fetch(AG113) - MMULT(Fetch(AQ113),MMULT($I$38:$L$41,Fetch(AG113)))), "")</f>
        <v/>
      </c>
      <c r="AW113" s="97">
        <f t="array" aca="1" ref="AW113" ca="1">IF($AB113,LN(MDETERM(Fetch(AL113))),$J$65)   -   MMULT(AM113:AP113,MMULT(IF($AB113,Fetch(AL113),$G$61:$J$64),TRANSPOSE(AM113:AP113)))</f>
        <v>-1.2980590103332688</v>
      </c>
    </row>
    <row r="114" spans="23:49" x14ac:dyDescent="0.15">
      <c r="W114" s="12">
        <f t="shared" si="2"/>
        <v>111</v>
      </c>
      <c r="X114" s="62">
        <f t="array" aca="1" ref="X114:AA114" ca="1">simulate!AE114:AH114</f>
        <v>1.7761407346667886</v>
      </c>
      <c r="Y114" s="62">
        <f ca="1"/>
        <v>-0.10064952237803115</v>
      </c>
      <c r="Z114" s="62">
        <f ca="1"/>
        <v>0.97464420293812315</v>
      </c>
      <c r="AA114" s="62">
        <f ca="1"/>
        <v>1.8387868538435732</v>
      </c>
      <c r="AB114" s="98">
        <f t="shared" si="3"/>
        <v>0</v>
      </c>
      <c r="AC114" s="62">
        <f t="array" aca="1" ref="AC114:AF114" ca="1">TRANSPOSE($G$44:$G$47 + MMULT($I$44:$L$47,TRANSPOSE(AR113:AU113)))</f>
        <v>0.91262637437312932</v>
      </c>
      <c r="AD114" s="62">
        <f ca="1"/>
        <v>0.89489468034811626</v>
      </c>
      <c r="AE114" s="62">
        <f ca="1"/>
        <v>1.0360647350271452</v>
      </c>
      <c r="AF114" s="62">
        <f ca="1"/>
        <v>0.97610026076691581</v>
      </c>
      <c r="AG114" s="66" t="str">
        <f t="array" ref="AG114">IF($AB114, Push(MMULT($I$44:$L$47,MMULT(Fetch(AV113),TRANSPOSE($I$44:$L$47))) + $N$44:$Q$47), "")</f>
        <v/>
      </c>
      <c r="AH114" s="62">
        <f t="array" aca="1" ref="AH114:AK114" ca="1">TRANSPOSE($G$38:$G$41 + MMULT($I$38:$L$41,TRANSPOSE(AC114:AF114)))</f>
        <v>1.2499566503327706</v>
      </c>
      <c r="AI114" s="62">
        <f ca="1"/>
        <v>1.0826359150471279</v>
      </c>
      <c r="AJ114" s="62">
        <f ca="1"/>
        <v>0.86300643445891589</v>
      </c>
      <c r="AK114" s="62">
        <f ca="1"/>
        <v>1.1507644460674686</v>
      </c>
      <c r="AL114" s="66" t="str">
        <f t="array" ref="AL114">IF($AB114, Push(MINVERSE(MMULT($I$38:$L$41,MMULT(Fetch(AG114),TRANSPOSE($I$38:$L$41))) + $N$38:$Q$41)), "")</f>
        <v/>
      </c>
      <c r="AM114" s="62">
        <f t="array" aca="1" ref="AM114:AP114" ca="1">X114:AA114 - AH114:AK114</f>
        <v>0.52618408433401798</v>
      </c>
      <c r="AN114" s="62">
        <f ca="1"/>
        <v>-1.1832854374251589</v>
      </c>
      <c r="AO114" s="62">
        <f ca="1"/>
        <v>0.11163776847920726</v>
      </c>
      <c r="AP114" s="62">
        <f ca="1"/>
        <v>0.68802240777610457</v>
      </c>
      <c r="AQ114" s="66" t="str">
        <f t="array" ref="AQ114">IF($AB114, Push(MMULT(Fetch(AG114),MMULT(TRANSPOSE($I$38:$L$41),Fetch(AL114)))), "")</f>
        <v/>
      </c>
      <c r="AR114" s="62">
        <f t="array" aca="1" ref="AR114:AU114" ca="1">AC114:AF114 + TRANSPOSE(MMULT(IF($AB114,Fetch(AQ114),$L$61:$O$64),TRANSPOSE(AM114:AP114)))</f>
        <v>0.84031834432022534</v>
      </c>
      <c r="AS114" s="62">
        <f ca="1"/>
        <v>0.24129567383824524</v>
      </c>
      <c r="AT114" s="62">
        <f ca="1"/>
        <v>1.8480531714274882</v>
      </c>
      <c r="AU114" s="62">
        <f ca="1"/>
        <v>1.2554076888005761</v>
      </c>
      <c r="AV114" s="66" t="str">
        <f t="array" ref="AV114">IF($AB114, Push(Fetch(AG114) - MMULT(Fetch(AQ114),MMULT($I$38:$L$41,Fetch(AG114)))), "")</f>
        <v/>
      </c>
      <c r="AW114" s="97">
        <f t="array" aca="1" ref="AW114" ca="1">IF($AB114,LN(MDETERM(Fetch(AL114))),$J$65)   -   MMULT(AM114:AP114,MMULT(IF($AB114,Fetch(AL114),$G$61:$J$64),TRANSPOSE(AM114:AP114)))</f>
        <v>-4.4698850265402061</v>
      </c>
    </row>
    <row r="115" spans="23:49" x14ac:dyDescent="0.15">
      <c r="W115" s="12">
        <f t="shared" si="2"/>
        <v>112</v>
      </c>
      <c r="X115" s="62">
        <f t="array" aca="1" ref="X115:AA115" ca="1">simulate!AE115:AH115</f>
        <v>1.8448683284867442</v>
      </c>
      <c r="Y115" s="62">
        <f ca="1"/>
        <v>0.46760026903054486</v>
      </c>
      <c r="Z115" s="62">
        <f ca="1"/>
        <v>1.9345283862493119</v>
      </c>
      <c r="AA115" s="62">
        <f ca="1"/>
        <v>1.7935460524077018</v>
      </c>
      <c r="AB115" s="98">
        <f t="shared" si="3"/>
        <v>0</v>
      </c>
      <c r="AC115" s="62">
        <f t="array" aca="1" ref="AC115:AF115" ca="1">TRANSPOSE($G$44:$G$47 + MMULT($I$44:$L$47,TRANSPOSE(AR114:AU114)))</f>
        <v>0.95543138026491303</v>
      </c>
      <c r="AD115" s="62">
        <f ca="1"/>
        <v>0.68147167694346134</v>
      </c>
      <c r="AE115" s="62">
        <f ca="1"/>
        <v>1.385095840183129</v>
      </c>
      <c r="AF115" s="62">
        <f ca="1"/>
        <v>1.232351053854061</v>
      </c>
      <c r="AG115" s="66" t="str">
        <f t="array" ref="AG115">IF($AB115, Push(MMULT($I$44:$L$47,MMULT(Fetch(AV114),TRANSPOSE($I$44:$L$47))) + $N$44:$Q$47), "")</f>
        <v/>
      </c>
      <c r="AH115" s="62">
        <f t="array" aca="1" ref="AH115:AK115" ca="1">TRANSPOSE($G$38:$G$41 + MMULT($I$38:$L$41,TRANSPOSE(AC115:AF115)))</f>
        <v>1.4409994994154522</v>
      </c>
      <c r="AI115" s="62">
        <f ca="1"/>
        <v>0.87368296381469379</v>
      </c>
      <c r="AJ115" s="62">
        <f ca="1"/>
        <v>1.1421819390308168</v>
      </c>
      <c r="AK115" s="62">
        <f ca="1"/>
        <v>1.4278405364623457</v>
      </c>
      <c r="AL115" s="66" t="str">
        <f t="array" ref="AL115">IF($AB115, Push(MINVERSE(MMULT($I$38:$L$41,MMULT(Fetch(AG115),TRANSPOSE($I$38:$L$41))) + $N$38:$Q$41)), "")</f>
        <v/>
      </c>
      <c r="AM115" s="62">
        <f t="array" aca="1" ref="AM115:AP115" ca="1">X115:AA115 - AH115:AK115</f>
        <v>0.40386882907129196</v>
      </c>
      <c r="AN115" s="62">
        <f ca="1"/>
        <v>-0.40608269478414893</v>
      </c>
      <c r="AO115" s="62">
        <f ca="1"/>
        <v>0.79234644721849512</v>
      </c>
      <c r="AP115" s="62">
        <f ca="1"/>
        <v>0.36570551594535616</v>
      </c>
      <c r="AQ115" s="66" t="str">
        <f t="array" ref="AQ115">IF($AB115, Push(MMULT(Fetch(AG115),MMULT(TRANSPOSE($I$38:$L$41),Fetch(AL115)))), "")</f>
        <v/>
      </c>
      <c r="AR115" s="62">
        <f t="array" aca="1" ref="AR115:AU115" ca="1">AC115:AF115 + TRANSPOSE(MMULT(IF($AB115,Fetch(AQ115),$L$61:$O$64),TRANSPOSE(AM115:AP115)))</f>
        <v>1.1923250401088299</v>
      </c>
      <c r="AS115" s="62">
        <f ca="1"/>
        <v>0.2858352688002912</v>
      </c>
      <c r="AT115" s="62">
        <f ca="1"/>
        <v>1.9574319247869787</v>
      </c>
      <c r="AU115" s="62">
        <f ca="1"/>
        <v>1.6814681338005093</v>
      </c>
      <c r="AV115" s="66" t="str">
        <f t="array" ref="AV115">IF($AB115, Push(Fetch(AG115) - MMULT(Fetch(AQ115),MMULT($I$38:$L$41,Fetch(AG115)))), "")</f>
        <v/>
      </c>
      <c r="AW115" s="97">
        <f t="array" aca="1" ref="AW115" ca="1">IF($AB115,LN(MDETERM(Fetch(AL115))),$J$65)   -   MMULT(AM115:AP115,MMULT(IF($AB115,Fetch(AL115),$G$61:$J$64),TRANSPOSE(AM115:AP115)))</f>
        <v>3.3674409366960858</v>
      </c>
    </row>
    <row r="116" spans="23:49" x14ac:dyDescent="0.15">
      <c r="W116" s="12">
        <f t="shared" si="2"/>
        <v>113</v>
      </c>
      <c r="X116" s="62">
        <f t="array" aca="1" ref="X116:AA116" ca="1">simulate!AE116:AH116</f>
        <v>0.52341676929365444</v>
      </c>
      <c r="Y116" s="62">
        <f ca="1"/>
        <v>1.7954210448741041</v>
      </c>
      <c r="Z116" s="62">
        <f ca="1"/>
        <v>-0.1305947031705702</v>
      </c>
      <c r="AA116" s="62">
        <f ca="1"/>
        <v>0.97847021162122594</v>
      </c>
      <c r="AB116" s="98">
        <f t="shared" si="3"/>
        <v>0</v>
      </c>
      <c r="AC116" s="62">
        <f t="array" aca="1" ref="AC116:AF116" ca="1">TRANSPOSE($G$44:$G$47 + MMULT($I$44:$L$47,TRANSPOSE(AR115:AU115)))</f>
        <v>1.1803933521334746</v>
      </c>
      <c r="AD116" s="62">
        <f ca="1"/>
        <v>0.80919371691112829</v>
      </c>
      <c r="AE116" s="62">
        <f ca="1"/>
        <v>1.5395103051709487</v>
      </c>
      <c r="AF116" s="62">
        <f ca="1"/>
        <v>1.5003006295209402</v>
      </c>
      <c r="AG116" s="66" t="str">
        <f t="array" ref="AG116">IF($AB116, Push(MMULT($I$44:$L$47,MMULT(Fetch(AV115),TRANSPOSE($I$44:$L$47))) + $N$44:$Q$47), "")</f>
        <v/>
      </c>
      <c r="AH116" s="62">
        <f t="array" aca="1" ref="AH116:AK116" ca="1">TRANSPOSE($G$38:$G$41 + MMULT($I$38:$L$41,TRANSPOSE(AC116:AF116)))</f>
        <v>1.6171502322900175</v>
      </c>
      <c r="AI116" s="62">
        <f ca="1"/>
        <v>1.0814005965164997</v>
      </c>
      <c r="AJ116" s="62">
        <f ca="1"/>
        <v>1.3900731455799289</v>
      </c>
      <c r="AK116" s="62">
        <f ca="1"/>
        <v>1.5919620294672734</v>
      </c>
      <c r="AL116" s="66" t="str">
        <f t="array" ref="AL116">IF($AB116, Push(MINVERSE(MMULT($I$38:$L$41,MMULT(Fetch(AG116),TRANSPOSE($I$38:$L$41))) + $N$38:$Q$41)), "")</f>
        <v/>
      </c>
      <c r="AM116" s="62">
        <f t="array" aca="1" ref="AM116:AP116" ca="1">X116:AA116 - AH116:AK116</f>
        <v>-1.0937334629963631</v>
      </c>
      <c r="AN116" s="62">
        <f ca="1"/>
        <v>0.71402044835760448</v>
      </c>
      <c r="AO116" s="62">
        <f ca="1"/>
        <v>-1.5206678487504992</v>
      </c>
      <c r="AP116" s="62">
        <f ca="1"/>
        <v>-0.61349181784604745</v>
      </c>
      <c r="AQ116" s="66" t="str">
        <f t="array" ref="AQ116">IF($AB116, Push(MMULT(Fetch(AG116),MMULT(TRANSPOSE($I$38:$L$41),Fetch(AL116)))), "")</f>
        <v/>
      </c>
      <c r="AR116" s="62">
        <f t="array" aca="1" ref="AR116:AU116" ca="1">AC116:AF116 + TRANSPOSE(MMULT(IF($AB116,Fetch(AQ116),$L$61:$O$64),TRANSPOSE(AM116:AP116)))</f>
        <v>0.5506317592589034</v>
      </c>
      <c r="AS116" s="62">
        <f ca="1"/>
        <v>1.604349044198798</v>
      </c>
      <c r="AT116" s="62">
        <f ca="1"/>
        <v>0.39190443807469166</v>
      </c>
      <c r="AU116" s="62">
        <f ca="1"/>
        <v>0.66758705520839856</v>
      </c>
      <c r="AV116" s="66" t="str">
        <f t="array" ref="AV116">IF($AB116, Push(Fetch(AG116) - MMULT(Fetch(AQ116),MMULT($I$38:$L$41,Fetch(AG116)))), "")</f>
        <v/>
      </c>
      <c r="AW116" s="97">
        <f t="array" aca="1" ref="AW116" ca="1">IF($AB116,LN(MDETERM(Fetch(AL116))),$J$65)   -   MMULT(AM116:AP116,MMULT(IF($AB116,Fetch(AL116),$G$61:$J$64),TRANSPOSE(AM116:AP116)))</f>
        <v>-9.3484510443714814</v>
      </c>
    </row>
    <row r="117" spans="23:49" x14ac:dyDescent="0.15">
      <c r="W117" s="12">
        <f t="shared" si="2"/>
        <v>114</v>
      </c>
      <c r="X117" s="62">
        <f t="array" aca="1" ref="X117:AA117" ca="1">simulate!AE117:AH117</f>
        <v>0.93701824754562324</v>
      </c>
      <c r="Y117" s="62">
        <f ca="1"/>
        <v>1.0203688891019058</v>
      </c>
      <c r="Z117" s="62">
        <f ca="1"/>
        <v>0.4437120337068361</v>
      </c>
      <c r="AA117" s="62">
        <f ca="1"/>
        <v>1.3974522891984522</v>
      </c>
      <c r="AB117" s="98">
        <f t="shared" si="3"/>
        <v>0</v>
      </c>
      <c r="AC117" s="62">
        <f t="array" aca="1" ref="AC117:AF117" ca="1">TRANSPOSE($G$44:$G$47 + MMULT($I$44:$L$47,TRANSPOSE(AR116:AU116)))</f>
        <v>0.86879683826784282</v>
      </c>
      <c r="AD117" s="62">
        <f ca="1"/>
        <v>1.1132485063540376</v>
      </c>
      <c r="AE117" s="62">
        <f ca="1"/>
        <v>0.71235835478416554</v>
      </c>
      <c r="AF117" s="62">
        <f ca="1"/>
        <v>0.76157017709924069</v>
      </c>
      <c r="AG117" s="66" t="str">
        <f t="array" ref="AG117">IF($AB117, Push(MMULT($I$44:$L$47,MMULT(Fetch(AV116),TRANSPOSE($I$44:$L$47))) + $N$44:$Q$47), "")</f>
        <v/>
      </c>
      <c r="AH117" s="62">
        <f t="array" aca="1" ref="AH117:AK117" ca="1">TRANSPOSE($G$38:$G$41 + MMULT($I$38:$L$41,TRANSPOSE(AC117:AF117)))</f>
        <v>1.0621586372615834</v>
      </c>
      <c r="AI117" s="62">
        <f ca="1"/>
        <v>1.2972342917272077</v>
      </c>
      <c r="AJ117" s="62">
        <f ca="1"/>
        <v>0.61405238659757488</v>
      </c>
      <c r="AK117" s="62">
        <f ca="1"/>
        <v>0.91178803710343903</v>
      </c>
      <c r="AL117" s="66" t="str">
        <f t="array" ref="AL117">IF($AB117, Push(MINVERSE(MMULT($I$38:$L$41,MMULT(Fetch(AG117),TRANSPOSE($I$38:$L$41))) + $N$38:$Q$41)), "")</f>
        <v/>
      </c>
      <c r="AM117" s="62">
        <f t="array" aca="1" ref="AM117:AP117" ca="1">X117:AA117 - AH117:AK117</f>
        <v>-0.1251403897159602</v>
      </c>
      <c r="AN117" s="62">
        <f ca="1"/>
        <v>-0.2768654026253019</v>
      </c>
      <c r="AO117" s="62">
        <f ca="1"/>
        <v>-0.17034035289073879</v>
      </c>
      <c r="AP117" s="62">
        <f ca="1"/>
        <v>0.48566425209501318</v>
      </c>
      <c r="AQ117" s="66" t="str">
        <f t="array" ref="AQ117">IF($AB117, Push(MMULT(Fetch(AG117),MMULT(TRANSPOSE($I$38:$L$41),Fetch(AL117)))), "")</f>
        <v/>
      </c>
      <c r="AR117" s="62">
        <f t="array" aca="1" ref="AR117:AU117" ca="1">AC117:AF117 + TRANSPOSE(MMULT(IF($AB117,Fetch(AQ117),$L$61:$O$64),TRANSPOSE(AM117:AP117)))</f>
        <v>0.61673428940698827</v>
      </c>
      <c r="AS117" s="62">
        <f ca="1"/>
        <v>1.1092652788086492</v>
      </c>
      <c r="AT117" s="62">
        <f ca="1"/>
        <v>0.9929624015216294</v>
      </c>
      <c r="AU117" s="62">
        <f ca="1"/>
        <v>0.85931890244846743</v>
      </c>
      <c r="AV117" s="66" t="str">
        <f t="array" ref="AV117">IF($AB117, Push(Fetch(AG117) - MMULT(Fetch(AQ117),MMULT($I$38:$L$41,Fetch(AG117)))), "")</f>
        <v/>
      </c>
      <c r="AW117" s="97">
        <f t="array" aca="1" ref="AW117" ca="1">IF($AB117,LN(MDETERM(Fetch(AL117))),$J$65)   -   MMULT(AM117:AP117,MMULT(IF($AB117,Fetch(AL117),$G$61:$J$64),TRANSPOSE(AM117:AP117)))</f>
        <v>3.9745693227022105</v>
      </c>
    </row>
    <row r="118" spans="23:49" x14ac:dyDescent="0.15">
      <c r="W118" s="12">
        <f t="shared" si="2"/>
        <v>115</v>
      </c>
      <c r="X118" s="62">
        <f t="array" aca="1" ref="X118:AA118" ca="1">simulate!AE118:AH118</f>
        <v>1.0670332955015955</v>
      </c>
      <c r="Y118" s="62">
        <f ca="1"/>
        <v>1.2553417832749116</v>
      </c>
      <c r="Z118" s="62">
        <f ca="1"/>
        <v>1.0213887904138854</v>
      </c>
      <c r="AA118" s="62">
        <f ca="1"/>
        <v>0.88922808533904263</v>
      </c>
      <c r="AB118" s="98">
        <f t="shared" si="3"/>
        <v>0</v>
      </c>
      <c r="AC118" s="62">
        <f t="array" aca="1" ref="AC118:AF118" ca="1">TRANSPOSE($G$44:$G$47 + MMULT($I$44:$L$47,TRANSPOSE(AR117:AU117)))</f>
        <v>0.88322838688624894</v>
      </c>
      <c r="AD118" s="62">
        <f ca="1"/>
        <v>0.95919812942991378</v>
      </c>
      <c r="AE118" s="62">
        <f ca="1"/>
        <v>0.98967298770125556</v>
      </c>
      <c r="AF118" s="62">
        <f ca="1"/>
        <v>0.93064201363863108</v>
      </c>
      <c r="AG118" s="66" t="str">
        <f t="array" ref="AG118">IF($AB118, Push(MMULT($I$44:$L$47,MMULT(Fetch(AV117),TRANSPOSE($I$44:$L$47))) + $N$44:$Q$47), "")</f>
        <v/>
      </c>
      <c r="AH118" s="62">
        <f t="array" aca="1" ref="AH118:AK118" ca="1">TRANSPOSE($G$38:$G$41 + MMULT($I$38:$L$41,TRANSPOSE(AC118:AF118)))</f>
        <v>1.208938143162152</v>
      </c>
      <c r="AI118" s="62">
        <f ca="1"/>
        <v>1.1307090064166643</v>
      </c>
      <c r="AJ118" s="62">
        <f ca="1"/>
        <v>0.79356340090871269</v>
      </c>
      <c r="AK118" s="62">
        <f ca="1"/>
        <v>1.1307158368629635</v>
      </c>
      <c r="AL118" s="66" t="str">
        <f t="array" ref="AL118">IF($AB118, Push(MINVERSE(MMULT($I$38:$L$41,MMULT(Fetch(AG118),TRANSPOSE($I$38:$L$41))) + $N$38:$Q$41)), "")</f>
        <v/>
      </c>
      <c r="AM118" s="62">
        <f t="array" aca="1" ref="AM118:AP118" ca="1">X118:AA118 - AH118:AK118</f>
        <v>-0.14190484766055644</v>
      </c>
      <c r="AN118" s="62">
        <f ca="1"/>
        <v>0.12463277685824736</v>
      </c>
      <c r="AO118" s="62">
        <f ca="1"/>
        <v>0.22782538950517273</v>
      </c>
      <c r="AP118" s="62">
        <f ca="1"/>
        <v>-0.24148775152392088</v>
      </c>
      <c r="AQ118" s="66" t="str">
        <f t="array" ref="AQ118">IF($AB118, Push(MMULT(Fetch(AG118),MMULT(TRANSPOSE($I$38:$L$41),Fetch(AL118)))), "")</f>
        <v/>
      </c>
      <c r="AR118" s="62">
        <f t="array" aca="1" ref="AR118:AU118" ca="1">AC118:AF118 + TRANSPOSE(MMULT(IF($AB118,Fetch(AQ118),$L$61:$O$64),TRANSPOSE(AM118:AP118)))</f>
        <v>0.94949581546687889</v>
      </c>
      <c r="AS118" s="62">
        <f ca="1"/>
        <v>0.95933840105335089</v>
      </c>
      <c r="AT118" s="62">
        <f ca="1"/>
        <v>0.80188307133168646</v>
      </c>
      <c r="AU118" s="62">
        <f ca="1"/>
        <v>0.9395157460538025</v>
      </c>
      <c r="AV118" s="66" t="str">
        <f t="array" ref="AV118">IF($AB118, Push(Fetch(AG118) - MMULT(Fetch(AQ118),MMULT($I$38:$L$41,Fetch(AG118)))), "")</f>
        <v/>
      </c>
      <c r="AW118" s="97">
        <f t="array" aca="1" ref="AW118" ca="1">IF($AB118,LN(MDETERM(Fetch(AL118))),$J$65)   -   MMULT(AM118:AP118,MMULT(IF($AB118,Fetch(AL118),$G$61:$J$64),TRANSPOSE(AM118:AP118)))</f>
        <v>6.3648263364059501</v>
      </c>
    </row>
    <row r="119" spans="23:49" x14ac:dyDescent="0.15">
      <c r="W119" s="12">
        <f t="shared" si="2"/>
        <v>116</v>
      </c>
      <c r="X119" s="62">
        <f t="array" aca="1" ref="X119:AA119" ca="1">simulate!AE119:AH119</f>
        <v>0.45297230897068341</v>
      </c>
      <c r="Y119" s="62">
        <f ca="1"/>
        <v>1.1844050195548281</v>
      </c>
      <c r="Z119" s="62">
        <f ca="1"/>
        <v>1.0356258780639751</v>
      </c>
      <c r="AA119" s="62">
        <f ca="1"/>
        <v>1.5410151069509439</v>
      </c>
      <c r="AB119" s="98">
        <f t="shared" si="3"/>
        <v>0</v>
      </c>
      <c r="AC119" s="62">
        <f t="array" aca="1" ref="AC119:AF119" ca="1">TRANSPOSE($G$44:$G$47 + MMULT($I$44:$L$47,TRANSPOSE(AR118:AU118)))</f>
        <v>1.031008805585552</v>
      </c>
      <c r="AD119" s="62">
        <f ca="1"/>
        <v>0.90968410579239256</v>
      </c>
      <c r="AE119" s="62">
        <f ca="1"/>
        <v>0.89768939630411448</v>
      </c>
      <c r="AF119" s="62">
        <f ca="1"/>
        <v>0.94824944134334777</v>
      </c>
      <c r="AG119" s="66" t="str">
        <f t="array" ref="AG119">IF($AB119, Push(MMULT($I$44:$L$47,MMULT(Fetch(AV118),TRANSPOSE($I$44:$L$47))) + $N$44:$Q$47), "")</f>
        <v/>
      </c>
      <c r="AH119" s="62">
        <f t="array" aca="1" ref="AH119:AK119" ca="1">TRANSPOSE($G$38:$G$41 + MMULT($I$38:$L$41,TRANSPOSE(AC119:AF119)))</f>
        <v>1.2537780490635924</v>
      </c>
      <c r="AI119" s="62">
        <f ca="1"/>
        <v>1.1692081348440806</v>
      </c>
      <c r="AJ119" s="62">
        <f ca="1"/>
        <v>0.8927660728399287</v>
      </c>
      <c r="AK119" s="62">
        <f ca="1"/>
        <v>0.99026042359883126</v>
      </c>
      <c r="AL119" s="66" t="str">
        <f t="array" ref="AL119">IF($AB119, Push(MINVERSE(MMULT($I$38:$L$41,MMULT(Fetch(AG119),TRANSPOSE($I$38:$L$41))) + $N$38:$Q$41)), "")</f>
        <v/>
      </c>
      <c r="AM119" s="62">
        <f t="array" aca="1" ref="AM119:AP119" ca="1">X119:AA119 - AH119:AK119</f>
        <v>-0.80080574009290895</v>
      </c>
      <c r="AN119" s="62">
        <f ca="1"/>
        <v>1.5196884710747538E-2</v>
      </c>
      <c r="AO119" s="62">
        <f ca="1"/>
        <v>0.1428598052240464</v>
      </c>
      <c r="AP119" s="62">
        <f ca="1"/>
        <v>0.55075468335211264</v>
      </c>
      <c r="AQ119" s="66" t="str">
        <f t="array" ref="AQ119">IF($AB119, Push(MMULT(Fetch(AG119),MMULT(TRANSPOSE($I$38:$L$41),Fetch(AL119)))), "")</f>
        <v/>
      </c>
      <c r="AR119" s="62">
        <f t="array" aca="1" ref="AR119:AU119" ca="1">AC119:AF119 + TRANSPOSE(MMULT(IF($AB119,Fetch(AQ119),$L$61:$O$64),TRANSPOSE(AM119:AP119)))</f>
        <v>0.58109990435087522</v>
      </c>
      <c r="AS119" s="62">
        <f ca="1"/>
        <v>1.1374041052610353</v>
      </c>
      <c r="AT119" s="62">
        <f ca="1"/>
        <v>0.99209199536816683</v>
      </c>
      <c r="AU119" s="62">
        <f ca="1"/>
        <v>1.195905741300509</v>
      </c>
      <c r="AV119" s="66" t="str">
        <f t="array" ref="AV119">IF($AB119, Push(Fetch(AG119) - MMULT(Fetch(AQ119),MMULT($I$38:$L$41,Fetch(AG119)))), "")</f>
        <v/>
      </c>
      <c r="AW119" s="97">
        <f t="array" aca="1" ref="AW119" ca="1">IF($AB119,LN(MDETERM(Fetch(AL119))),$J$65)   -   MMULT(AM119:AP119,MMULT(IF($AB119,Fetch(AL119),$G$61:$J$64),TRANSPOSE(AM119:AP119)))</f>
        <v>-5.9942753325259606</v>
      </c>
    </row>
    <row r="120" spans="23:49" x14ac:dyDescent="0.15">
      <c r="W120" s="12">
        <f t="shared" si="2"/>
        <v>117</v>
      </c>
      <c r="X120" s="62">
        <f t="array" aca="1" ref="X120:AA120" ca="1">simulate!AE120:AH120</f>
        <v>0.46158553224961685</v>
      </c>
      <c r="Y120" s="62">
        <f ca="1"/>
        <v>1.4034543957352779</v>
      </c>
      <c r="Z120" s="62">
        <f ca="1"/>
        <v>0.79795951125050379</v>
      </c>
      <c r="AA120" s="62">
        <f ca="1"/>
        <v>0.48743809471306965</v>
      </c>
      <c r="AB120" s="98">
        <f t="shared" si="3"/>
        <v>0</v>
      </c>
      <c r="AC120" s="62">
        <f t="array" aca="1" ref="AC120:AF120" ca="1">TRANSPOSE($G$44:$G$47 + MMULT($I$44:$L$47,TRANSPOSE(AR119:AU119)))</f>
        <v>0.8842603839425589</v>
      </c>
      <c r="AD120" s="62">
        <f ca="1"/>
        <v>0.99244027943755542</v>
      </c>
      <c r="AE120" s="62">
        <f ca="1"/>
        <v>1.0410468262252834</v>
      </c>
      <c r="AF120" s="62">
        <f ca="1"/>
        <v>1.1125733381149518</v>
      </c>
      <c r="AG120" s="66" t="str">
        <f t="array" ref="AG120">IF($AB120, Push(MMULT($I$44:$L$47,MMULT(Fetch(AV119),TRANSPOSE($I$44:$L$47))) + $N$44:$Q$47), "")</f>
        <v/>
      </c>
      <c r="AH120" s="62">
        <f t="array" aca="1" ref="AH120:AK120" ca="1">TRANSPOSE($G$38:$G$41 + MMULT($I$38:$L$41,TRANSPOSE(AC120:AF120)))</f>
        <v>1.1888377545430233</v>
      </c>
      <c r="AI120" s="62">
        <f ca="1"/>
        <v>1.1826840422716443</v>
      </c>
      <c r="AJ120" s="62">
        <f ca="1"/>
        <v>0.92851057580619734</v>
      </c>
      <c r="AK120" s="62">
        <f ca="1"/>
        <v>1.2553280901845265</v>
      </c>
      <c r="AL120" s="66" t="str">
        <f t="array" ref="AL120">IF($AB120, Push(MINVERSE(MMULT($I$38:$L$41,MMULT(Fetch(AG120),TRANSPOSE($I$38:$L$41))) + $N$38:$Q$41)), "")</f>
        <v/>
      </c>
      <c r="AM120" s="62">
        <f t="array" aca="1" ref="AM120:AP120" ca="1">X120:AA120 - AH120:AK120</f>
        <v>-0.72725222229340647</v>
      </c>
      <c r="AN120" s="62">
        <f ca="1"/>
        <v>0.22077035346363361</v>
      </c>
      <c r="AO120" s="62">
        <f ca="1"/>
        <v>-0.13055106455569354</v>
      </c>
      <c r="AP120" s="62">
        <f ca="1"/>
        <v>-0.76788999547145687</v>
      </c>
      <c r="AQ120" s="66" t="str">
        <f t="array" ref="AQ120">IF($AB120, Push(MMULT(Fetch(AG120),MMULT(TRANSPOSE($I$38:$L$41),Fetch(AL120)))), "")</f>
        <v/>
      </c>
      <c r="AR120" s="62">
        <f t="array" aca="1" ref="AR120:AU120" ca="1">AC120:AF120 + TRANSPOSE(MMULT(IF($AB120,Fetch(AQ120),$L$61:$O$64),TRANSPOSE(AM120:AP120)))</f>
        <v>0.72735271749088504</v>
      </c>
      <c r="AS120" s="62">
        <f ca="1"/>
        <v>1.1201757244015322</v>
      </c>
      <c r="AT120" s="62">
        <f ca="1"/>
        <v>0.22151977948040291</v>
      </c>
      <c r="AU120" s="62">
        <f ca="1"/>
        <v>0.79021007772346386</v>
      </c>
      <c r="AV120" s="66" t="str">
        <f t="array" ref="AV120">IF($AB120, Push(Fetch(AG120) - MMULT(Fetch(AQ120),MMULT($I$38:$L$41,Fetch(AG120)))), "")</f>
        <v/>
      </c>
      <c r="AW120" s="97">
        <f t="array" aca="1" ref="AW120" ca="1">IF($AB120,LN(MDETERM(Fetch(AL120))),$J$65)   -   MMULT(AM120:AP120,MMULT(IF($AB120,Fetch(AL120),$G$61:$J$64),TRANSPOSE(AM120:AP120)))</f>
        <v>2.2246373975182108</v>
      </c>
    </row>
    <row r="121" spans="23:49" x14ac:dyDescent="0.15">
      <c r="W121" s="12">
        <f t="shared" si="2"/>
        <v>118</v>
      </c>
      <c r="X121" s="62">
        <f t="array" aca="1" ref="X121:AA121" ca="1">simulate!AE121:AH121</f>
        <v>1.7587600276709261</v>
      </c>
      <c r="Y121" s="62">
        <f ca="1"/>
        <v>0.6627501112190568</v>
      </c>
      <c r="Z121" s="62">
        <f ca="1"/>
        <v>-0.45217222985303079</v>
      </c>
      <c r="AA121" s="62">
        <f ca="1"/>
        <v>0.75217111952598281</v>
      </c>
      <c r="AB121" s="98">
        <f t="shared" si="3"/>
        <v>0</v>
      </c>
      <c r="AC121" s="62">
        <f t="array" aca="1" ref="AC121:AF121" ca="1">TRANSPOSE($G$44:$G$47 + MMULT($I$44:$L$47,TRANSPOSE(AR120:AU120)))</f>
        <v>0.88635008608404209</v>
      </c>
      <c r="AD121" s="62">
        <f ca="1"/>
        <v>0.86396440358974425</v>
      </c>
      <c r="AE121" s="62">
        <f ca="1"/>
        <v>0.57245445092004543</v>
      </c>
      <c r="AF121" s="62">
        <f ca="1"/>
        <v>0.77415938486180957</v>
      </c>
      <c r="AG121" s="66" t="str">
        <f t="array" ref="AG121">IF($AB121, Push(MMULT($I$44:$L$47,MMULT(Fetch(AV120),TRANSPOSE($I$44:$L$47))) + $N$44:$Q$47), "")</f>
        <v/>
      </c>
      <c r="AH121" s="62">
        <f t="array" aca="1" ref="AH121:AK121" ca="1">TRANSPOSE($G$38:$G$41 + MMULT($I$38:$L$41,TRANSPOSE(AC121:AF121)))</f>
        <v>0.99538632375926772</v>
      </c>
      <c r="AI121" s="62">
        <f ca="1"/>
        <v>1.1247511115674478</v>
      </c>
      <c r="AJ121" s="62">
        <f ca="1"/>
        <v>0.73905651905895486</v>
      </c>
      <c r="AK121" s="62">
        <f ca="1"/>
        <v>0.73193462888578331</v>
      </c>
      <c r="AL121" s="66" t="str">
        <f t="array" ref="AL121">IF($AB121, Push(MINVERSE(MMULT($I$38:$L$41,MMULT(Fetch(AG121),TRANSPOSE($I$38:$L$41))) + $N$38:$Q$41)), "")</f>
        <v/>
      </c>
      <c r="AM121" s="62">
        <f t="array" aca="1" ref="AM121:AP121" ca="1">X121:AA121 - AH121:AK121</f>
        <v>0.76337370391165837</v>
      </c>
      <c r="AN121" s="62">
        <f ca="1"/>
        <v>-0.46200100034839098</v>
      </c>
      <c r="AO121" s="62">
        <f ca="1"/>
        <v>-1.1912287489119857</v>
      </c>
      <c r="AP121" s="62">
        <f ca="1"/>
        <v>2.02364906401995E-2</v>
      </c>
      <c r="AQ121" s="66" t="str">
        <f t="array" ref="AQ121">IF($AB121, Push(MMULT(Fetch(AG121),MMULT(TRANSPOSE($I$38:$L$41),Fetch(AL121)))), "")</f>
        <v/>
      </c>
      <c r="AR121" s="62">
        <f t="array" aca="1" ref="AR121:AU121" ca="1">AC121:AF121 + TRANSPOSE(MMULT(IF($AB121,Fetch(AQ121),$L$61:$O$64),TRANSPOSE(AM121:AP121)))</f>
        <v>0.85810247869972911</v>
      </c>
      <c r="AS121" s="62">
        <f ca="1"/>
        <v>0.72106883048100701</v>
      </c>
      <c r="AT121" s="62">
        <f ca="1"/>
        <v>0.71985832792170046</v>
      </c>
      <c r="AU121" s="62">
        <f ca="1"/>
        <v>0.29544080501372638</v>
      </c>
      <c r="AV121" s="66" t="str">
        <f t="array" ref="AV121">IF($AB121, Push(Fetch(AG121) - MMULT(Fetch(AQ121),MMULT($I$38:$L$41,Fetch(AG121)))), "")</f>
        <v/>
      </c>
      <c r="AW121" s="97">
        <f t="array" aca="1" ref="AW121" ca="1">IF($AB121,LN(MDETERM(Fetch(AL121))),$J$65)   -   MMULT(AM121:AP121,MMULT(IF($AB121,Fetch(AL121),$G$61:$J$64),TRANSPOSE(AM121:AP121)))</f>
        <v>-12.460879082273239</v>
      </c>
    </row>
    <row r="122" spans="23:49" x14ac:dyDescent="0.15">
      <c r="W122" s="12">
        <f t="shared" si="2"/>
        <v>119</v>
      </c>
      <c r="X122" s="62">
        <f t="array" aca="1" ref="X122:AA122" ca="1">simulate!AE122:AH122</f>
        <v>1.6237754728586498</v>
      </c>
      <c r="Y122" s="62">
        <f ca="1"/>
        <v>1.4610678096578034</v>
      </c>
      <c r="Z122" s="62">
        <f ca="1"/>
        <v>0.52048402674909444</v>
      </c>
      <c r="AA122" s="62">
        <f ca="1"/>
        <v>0.94028415561984058</v>
      </c>
      <c r="AB122" s="98">
        <f t="shared" si="3"/>
        <v>0</v>
      </c>
      <c r="AC122" s="62">
        <f t="array" aca="1" ref="AC122:AF122" ca="1">TRANSPOSE($G$44:$G$47 + MMULT($I$44:$L$47,TRANSPOSE(AR121:AU121)))</f>
        <v>0.90959752878011657</v>
      </c>
      <c r="AD122" s="62">
        <f ca="1"/>
        <v>0.7081755864142617</v>
      </c>
      <c r="AE122" s="62">
        <f ca="1"/>
        <v>0.71288138272588675</v>
      </c>
      <c r="AF122" s="62">
        <f ca="1"/>
        <v>0.56573045898367003</v>
      </c>
      <c r="AG122" s="66" t="str">
        <f t="array" ref="AG122">IF($AB122, Push(MMULT($I$44:$L$47,MMULT(Fetch(AV121),TRANSPOSE($I$44:$L$47))) + $N$44:$Q$47), "")</f>
        <v/>
      </c>
      <c r="AH122" s="62">
        <f t="array" aca="1" ref="AH122:AK122" ca="1">TRANSPOSE($G$38:$G$41 + MMULT($I$38:$L$41,TRANSPOSE(AC122:AF122)))</f>
        <v>1.1688804387271396</v>
      </c>
      <c r="AI122" s="62">
        <f ca="1"/>
        <v>0.92075896541503566</v>
      </c>
      <c r="AJ122" s="62">
        <f ca="1"/>
        <v>0.62007098605296407</v>
      </c>
      <c r="AK122" s="62">
        <f ca="1"/>
        <v>0.68608292463295695</v>
      </c>
      <c r="AL122" s="66" t="str">
        <f t="array" ref="AL122">IF($AB122, Push(MINVERSE(MMULT($I$38:$L$41,MMULT(Fetch(AG122),TRANSPOSE($I$38:$L$41))) + $N$38:$Q$41)), "")</f>
        <v/>
      </c>
      <c r="AM122" s="62">
        <f t="array" aca="1" ref="AM122:AP122" ca="1">X122:AA122 - AH122:AK122</f>
        <v>0.45489503413151011</v>
      </c>
      <c r="AN122" s="62">
        <f ca="1"/>
        <v>0.54030884424276771</v>
      </c>
      <c r="AO122" s="62">
        <f ca="1"/>
        <v>-9.9586959303869627E-2</v>
      </c>
      <c r="AP122" s="62">
        <f ca="1"/>
        <v>0.25420123098688363</v>
      </c>
      <c r="AQ122" s="66" t="str">
        <f t="array" ref="AQ122">IF($AB122, Push(MMULT(Fetch(AG122),MMULT(TRANSPOSE($I$38:$L$41),Fetch(AL122)))), "")</f>
        <v/>
      </c>
      <c r="AR122" s="62">
        <f t="array" aca="1" ref="AR122:AU122" ca="1">AC122:AF122 + TRANSPOSE(MMULT(IF($AB122,Fetch(AQ122),$L$61:$O$64),TRANSPOSE(AM122:AP122)))</f>
        <v>1.1193454256214148</v>
      </c>
      <c r="AS122" s="62">
        <f ca="1"/>
        <v>1.008378234922672</v>
      </c>
      <c r="AT122" s="62">
        <f ca="1"/>
        <v>0.96052073046013753</v>
      </c>
      <c r="AU122" s="62">
        <f ca="1"/>
        <v>0.61933669571512617</v>
      </c>
      <c r="AV122" s="66" t="str">
        <f t="array" ref="AV122">IF($AB122, Push(Fetch(AG122) - MMULT(Fetch(AQ122),MMULT($I$38:$L$41,Fetch(AG122)))), "")</f>
        <v/>
      </c>
      <c r="AW122" s="97">
        <f t="array" aca="1" ref="AW122" ca="1">IF($AB122,LN(MDETERM(Fetch(AL122))),$J$65)   -   MMULT(AM122:AP122,MMULT(IF($AB122,Fetch(AL122),$G$61:$J$64),TRANSPOSE(AM122:AP122)))</f>
        <v>5.104316520921425</v>
      </c>
    </row>
    <row r="123" spans="23:49" x14ac:dyDescent="0.15">
      <c r="W123" s="12">
        <f t="shared" si="2"/>
        <v>120</v>
      </c>
      <c r="X123" s="62">
        <f t="array" aca="1" ref="X123:AA123" ca="1">simulate!AE123:AH123</f>
        <v>1.062567731096034</v>
      </c>
      <c r="Y123" s="62">
        <f ca="1"/>
        <v>0.75715311365831972</v>
      </c>
      <c r="Z123" s="62">
        <f ca="1"/>
        <v>1.0919371194682008</v>
      </c>
      <c r="AA123" s="62">
        <f ca="1"/>
        <v>1.1767603267271161</v>
      </c>
      <c r="AB123" s="98">
        <f t="shared" si="3"/>
        <v>0</v>
      </c>
      <c r="AC123" s="62">
        <f t="array" aca="1" ref="AC123:AF123" ca="1">TRANSPOSE($G$44:$G$47 + MMULT($I$44:$L$47,TRANSPOSE(AR122:AU122)))</f>
        <v>1.1259037619150041</v>
      </c>
      <c r="AD123" s="62">
        <f ca="1"/>
        <v>0.96443147743842395</v>
      </c>
      <c r="AE123" s="62">
        <f ca="1"/>
        <v>0.95603450815409019</v>
      </c>
      <c r="AF123" s="62">
        <f ca="1"/>
        <v>0.81273824453849453</v>
      </c>
      <c r="AG123" s="66" t="str">
        <f t="array" ref="AG123">IF($AB123, Push(MMULT($I$44:$L$47,MMULT(Fetch(AV122),TRANSPOSE($I$44:$L$47))) + $N$44:$Q$47), "")</f>
        <v/>
      </c>
      <c r="AH123" s="62">
        <f t="array" aca="1" ref="AH123:AK123" ca="1">TRANSPOSE($G$38:$G$41 + MMULT($I$38:$L$41,TRANSPOSE(AC123:AF123)))</f>
        <v>1.394411712676475</v>
      </c>
      <c r="AI123" s="62">
        <f ca="1"/>
        <v>1.2104740630099404</v>
      </c>
      <c r="AJ123" s="62">
        <f ca="1"/>
        <v>0.79004726726752339</v>
      </c>
      <c r="AK123" s="62">
        <f ca="1"/>
        <v>0.94857221437375072</v>
      </c>
      <c r="AL123" s="66" t="str">
        <f t="array" ref="AL123">IF($AB123, Push(MINVERSE(MMULT($I$38:$L$41,MMULT(Fetch(AG123),TRANSPOSE($I$38:$L$41))) + $N$38:$Q$41)), "")</f>
        <v/>
      </c>
      <c r="AM123" s="62">
        <f t="array" aca="1" ref="AM123:AP123" ca="1">X123:AA123 - AH123:AK123</f>
        <v>-0.33184398158044104</v>
      </c>
      <c r="AN123" s="62">
        <f ca="1"/>
        <v>-0.45332094935162071</v>
      </c>
      <c r="AO123" s="62">
        <f ca="1"/>
        <v>0.30188985220067743</v>
      </c>
      <c r="AP123" s="62">
        <f ca="1"/>
        <v>0.22818811235336534</v>
      </c>
      <c r="AQ123" s="66" t="str">
        <f t="array" ref="AQ123">IF($AB123, Push(MMULT(Fetch(AG123),MMULT(TRANSPOSE($I$38:$L$41),Fetch(AL123)))), "")</f>
        <v/>
      </c>
      <c r="AR123" s="62">
        <f t="array" aca="1" ref="AR123:AU123" ca="1">AC123:AF123 + TRANSPOSE(MMULT(IF($AB123,Fetch(AQ123),$L$61:$O$64),TRANSPOSE(AM123:AP123)))</f>
        <v>0.92831175520612397</v>
      </c>
      <c r="AS123" s="62">
        <f ca="1"/>
        <v>0.74572029330651401</v>
      </c>
      <c r="AT123" s="62">
        <f ca="1"/>
        <v>1.0939846456162441</v>
      </c>
      <c r="AU123" s="62">
        <f ca="1"/>
        <v>1.0110120638861995</v>
      </c>
      <c r="AV123" s="66" t="str">
        <f t="array" ref="AV123">IF($AB123, Push(Fetch(AG123) - MMULT(Fetch(AQ123),MMULT($I$38:$L$41,Fetch(AG123)))), "")</f>
        <v/>
      </c>
      <c r="AW123" s="97">
        <f t="array" aca="1" ref="AW123" ca="1">IF($AB123,LN(MDETERM(Fetch(AL123))),$J$65)   -   MMULT(AM123:AP123,MMULT(IF($AB123,Fetch(AL123),$G$61:$J$64),TRANSPOSE(AM123:AP123)))</f>
        <v>4.9196212622061992</v>
      </c>
    </row>
    <row r="124" spans="23:49" x14ac:dyDescent="0.15">
      <c r="W124" s="12">
        <f t="shared" si="2"/>
        <v>121</v>
      </c>
      <c r="X124" s="62">
        <f t="array" aca="1" ref="X124:AA124" ca="1">simulate!AE124:AH124</f>
        <v>0.81534976712062202</v>
      </c>
      <c r="Y124" s="62">
        <f ca="1"/>
        <v>1.419308119241308</v>
      </c>
      <c r="Z124" s="62">
        <f ca="1"/>
        <v>0.22057163403663044</v>
      </c>
      <c r="AA124" s="62">
        <f ca="1"/>
        <v>1.2259774644053141</v>
      </c>
      <c r="AB124" s="98">
        <f t="shared" si="3"/>
        <v>0</v>
      </c>
      <c r="AC124" s="62">
        <f t="array" aca="1" ref="AC124:AF124" ca="1">TRANSPOSE($G$44:$G$47 + MMULT($I$44:$L$47,TRANSPOSE(AR123:AU123)))</f>
        <v>1.0121828812396694</v>
      </c>
      <c r="AD124" s="62">
        <f ca="1"/>
        <v>0.83919276132236897</v>
      </c>
      <c r="AE124" s="62">
        <f ca="1"/>
        <v>1.0298359799292132</v>
      </c>
      <c r="AF124" s="62">
        <f ca="1"/>
        <v>1.0180641860000375</v>
      </c>
      <c r="AG124" s="66" t="str">
        <f t="array" ref="AG124">IF($AB124, Push(MMULT($I$44:$L$47,MMULT(Fetch(AV123),TRANSPOSE($I$44:$L$47))) + $N$44:$Q$47), "")</f>
        <v/>
      </c>
      <c r="AH124" s="62">
        <f t="array" aca="1" ref="AH124:AK124" ca="1">TRANSPOSE($G$38:$G$41 + MMULT($I$38:$L$41,TRANSPOSE(AC124:AF124)))</f>
        <v>1.3082374037338413</v>
      </c>
      <c r="AI124" s="62">
        <f ca="1"/>
        <v>1.0807743885832712</v>
      </c>
      <c r="AJ124" s="62">
        <f ca="1"/>
        <v>0.95828207586517644</v>
      </c>
      <c r="AK124" s="62">
        <f ca="1"/>
        <v>1.1024280114605074</v>
      </c>
      <c r="AL124" s="66" t="str">
        <f t="array" ref="AL124">IF($AB124, Push(MINVERSE(MMULT($I$38:$L$41,MMULT(Fetch(AG124),TRANSPOSE($I$38:$L$41))) + $N$38:$Q$41)), "")</f>
        <v/>
      </c>
      <c r="AM124" s="62">
        <f t="array" aca="1" ref="AM124:AP124" ca="1">X124:AA124 - AH124:AK124</f>
        <v>-0.49288763661321933</v>
      </c>
      <c r="AN124" s="62">
        <f ca="1"/>
        <v>0.33853373065803671</v>
      </c>
      <c r="AO124" s="62">
        <f ca="1"/>
        <v>-0.73771044182854606</v>
      </c>
      <c r="AP124" s="62">
        <f ca="1"/>
        <v>0.12354945294480668</v>
      </c>
      <c r="AQ124" s="66" t="str">
        <f t="array" ref="AQ124">IF($AB124, Push(MMULT(Fetch(AG124),MMULT(TRANSPOSE($I$38:$L$41),Fetch(AL124)))), "")</f>
        <v/>
      </c>
      <c r="AR124" s="62">
        <f t="array" aca="1" ref="AR124:AU124" ca="1">AC124:AF124 + TRANSPOSE(MMULT(IF($AB124,Fetch(AQ124),$L$61:$O$64),TRANSPOSE(AM124:AP124)))</f>
        <v>0.62810371336541415</v>
      </c>
      <c r="AS124" s="62">
        <f ca="1"/>
        <v>1.2974848846645894</v>
      </c>
      <c r="AT124" s="62">
        <f ca="1"/>
        <v>0.76519487183195212</v>
      </c>
      <c r="AU124" s="62">
        <f ca="1"/>
        <v>0.76120631076832934</v>
      </c>
      <c r="AV124" s="66" t="str">
        <f t="array" ref="AV124">IF($AB124, Push(Fetch(AG124) - MMULT(Fetch(AQ124),MMULT($I$38:$L$41,Fetch(AG124)))), "")</f>
        <v/>
      </c>
      <c r="AW124" s="97">
        <f t="array" aca="1" ref="AW124" ca="1">IF($AB124,LN(MDETERM(Fetch(AL124))),$J$65)   -   MMULT(AM124:AP124,MMULT(IF($AB124,Fetch(AL124),$G$61:$J$64),TRANSPOSE(AM124:AP124)))</f>
        <v>1.837700230990686</v>
      </c>
    </row>
    <row r="125" spans="23:49" x14ac:dyDescent="0.15">
      <c r="W125" s="12">
        <f t="shared" si="2"/>
        <v>122</v>
      </c>
      <c r="X125" s="62">
        <f t="array" aca="1" ref="X125:AA125" ca="1">simulate!AE125:AH125</f>
        <v>1.2443109645317803</v>
      </c>
      <c r="Y125" s="62">
        <f ca="1"/>
        <v>1.1818617878596656</v>
      </c>
      <c r="Z125" s="62">
        <f ca="1"/>
        <v>1.502987692150725</v>
      </c>
      <c r="AA125" s="62">
        <f ca="1"/>
        <v>0.8997712097237186</v>
      </c>
      <c r="AB125" s="98">
        <f t="shared" si="3"/>
        <v>0</v>
      </c>
      <c r="AC125" s="62">
        <f t="array" aca="1" ref="AC125:AF125" ca="1">TRANSPOSE($G$44:$G$47 + MMULT($I$44:$L$47,TRANSPOSE(AR124:AU124)))</f>
        <v>0.8962953895110215</v>
      </c>
      <c r="AD125" s="62">
        <f ca="1"/>
        <v>1.0220051135227679</v>
      </c>
      <c r="AE125" s="62">
        <f ca="1"/>
        <v>0.88351028754184013</v>
      </c>
      <c r="AF125" s="62">
        <f ca="1"/>
        <v>0.85461814026741112</v>
      </c>
      <c r="AG125" s="66" t="str">
        <f t="array" ref="AG125">IF($AB125, Push(MMULT($I$44:$L$47,MMULT(Fetch(AV124),TRANSPOSE($I$44:$L$47))) + $N$44:$Q$47), "")</f>
        <v/>
      </c>
      <c r="AH125" s="62">
        <f t="array" aca="1" ref="AH125:AK125" ca="1">TRANSPOSE($G$38:$G$41 + MMULT($I$38:$L$41,TRANSPOSE(AC125:AF125)))</f>
        <v>1.1690583696979138</v>
      </c>
      <c r="AI125" s="62">
        <f ca="1"/>
        <v>1.2024560236138353</v>
      </c>
      <c r="AJ125" s="62">
        <f ca="1"/>
        <v>0.72113670625066439</v>
      </c>
      <c r="AK125" s="62">
        <f ca="1"/>
        <v>1.0348933179616275</v>
      </c>
      <c r="AL125" s="66" t="str">
        <f t="array" ref="AL125">IF($AB125, Push(MINVERSE(MMULT($I$38:$L$41,MMULT(Fetch(AG125),TRANSPOSE($I$38:$L$41))) + $N$38:$Q$41)), "")</f>
        <v/>
      </c>
      <c r="AM125" s="62">
        <f t="array" aca="1" ref="AM125:AP125" ca="1">X125:AA125 - AH125:AK125</f>
        <v>7.5252594833866482E-2</v>
      </c>
      <c r="AN125" s="62">
        <f ca="1"/>
        <v>-2.0594235754169743E-2</v>
      </c>
      <c r="AO125" s="62">
        <f ca="1"/>
        <v>0.78185098590006064</v>
      </c>
      <c r="AP125" s="62">
        <f ca="1"/>
        <v>-0.13512210823790893</v>
      </c>
      <c r="AQ125" s="66" t="str">
        <f t="array" ref="AQ125">IF($AB125, Push(MMULT(Fetch(AG125),MMULT(TRANSPOSE($I$38:$L$41),Fetch(AL125)))), "")</f>
        <v/>
      </c>
      <c r="AR125" s="62">
        <f t="array" aca="1" ref="AR125:AU125" ca="1">AC125:AF125 + TRANSPOSE(MMULT(IF($AB125,Fetch(AQ125),$L$61:$O$64),TRANSPOSE(AM125:AP125)))</f>
        <v>1.1537581462143087</v>
      </c>
      <c r="AS125" s="62">
        <f ca="1"/>
        <v>0.80636941645601434</v>
      </c>
      <c r="AT125" s="62">
        <f ca="1"/>
        <v>0.95639863840228811</v>
      </c>
      <c r="AU125" s="62">
        <f ca="1"/>
        <v>1.1261218690024282</v>
      </c>
      <c r="AV125" s="66" t="str">
        <f t="array" ref="AV125">IF($AB125, Push(Fetch(AG125) - MMULT(Fetch(AQ125),MMULT($I$38:$L$41,Fetch(AG125)))), "")</f>
        <v/>
      </c>
      <c r="AW125" s="97">
        <f t="array" aca="1" ref="AW125" ca="1">IF($AB125,LN(MDETERM(Fetch(AL125))),$J$65)   -   MMULT(AM125:AP125,MMULT(IF($AB125,Fetch(AL125),$G$61:$J$64),TRANSPOSE(AM125:AP125)))</f>
        <v>3.8533358972747775</v>
      </c>
    </row>
    <row r="126" spans="23:49" x14ac:dyDescent="0.15">
      <c r="W126" s="12">
        <f t="shared" si="2"/>
        <v>123</v>
      </c>
      <c r="X126" s="62">
        <f t="array" aca="1" ref="X126:AA126" ca="1">simulate!AE126:AH126</f>
        <v>0.8937645503513636</v>
      </c>
      <c r="Y126" s="62">
        <f ca="1"/>
        <v>1.3704790238586364</v>
      </c>
      <c r="Z126" s="62">
        <f ca="1"/>
        <v>0.48652237862101239</v>
      </c>
      <c r="AA126" s="62">
        <f ca="1"/>
        <v>0.74280962994893407</v>
      </c>
      <c r="AB126" s="98">
        <f t="shared" si="3"/>
        <v>0</v>
      </c>
      <c r="AC126" s="62">
        <f t="array" aca="1" ref="AC126:AF126" ca="1">TRANSPOSE($G$44:$G$47 + MMULT($I$44:$L$47,TRANSPOSE(AR125:AU125)))</f>
        <v>1.1386541193937718</v>
      </c>
      <c r="AD126" s="62">
        <f ca="1"/>
        <v>0.8963836407078315</v>
      </c>
      <c r="AE126" s="62">
        <f ca="1"/>
        <v>0.9984595627670767</v>
      </c>
      <c r="AF126" s="62">
        <f ca="1"/>
        <v>1.0730448553518588</v>
      </c>
      <c r="AG126" s="66" t="str">
        <f t="array" ref="AG126">IF($AB126, Push(MMULT($I$44:$L$47,MMULT(Fetch(AV125),TRANSPOSE($I$44:$L$47))) + $N$44:$Q$47), "")</f>
        <v/>
      </c>
      <c r="AH126" s="62">
        <f t="array" aca="1" ref="AH126:AK126" ca="1">TRANSPOSE($G$38:$G$41 + MMULT($I$38:$L$41,TRANSPOSE(AC126:AF126)))</f>
        <v>1.3600856401834678</v>
      </c>
      <c r="AI126" s="62">
        <f ca="1"/>
        <v>1.1962203589211744</v>
      </c>
      <c r="AJ126" s="62">
        <f ca="1"/>
        <v>1.0342927064308149</v>
      </c>
      <c r="AK126" s="62">
        <f ca="1"/>
        <v>1.0639637855845239</v>
      </c>
      <c r="AL126" s="66" t="str">
        <f t="array" ref="AL126">IF($AB126, Push(MINVERSE(MMULT($I$38:$L$41,MMULT(Fetch(AG126),TRANSPOSE($I$38:$L$41))) + $N$38:$Q$41)), "")</f>
        <v/>
      </c>
      <c r="AM126" s="62">
        <f t="array" aca="1" ref="AM126:AP126" ca="1">X126:AA126 - AH126:AK126</f>
        <v>-0.46632108983210419</v>
      </c>
      <c r="AN126" s="62">
        <f ca="1"/>
        <v>0.174258664937462</v>
      </c>
      <c r="AO126" s="62">
        <f ca="1"/>
        <v>-0.5477703278098025</v>
      </c>
      <c r="AP126" s="62">
        <f ca="1"/>
        <v>-0.3211541556355898</v>
      </c>
      <c r="AQ126" s="66" t="str">
        <f t="array" ref="AQ126">IF($AB126, Push(MMULT(Fetch(AG126),MMULT(TRANSPOSE($I$38:$L$41),Fetch(AL126)))), "")</f>
        <v/>
      </c>
      <c r="AR126" s="62">
        <f t="array" aca="1" ref="AR126:AU126" ca="1">AC126:AF126 + TRANSPOSE(MMULT(IF($AB126,Fetch(AQ126),$L$61:$O$64),TRANSPOSE(AM126:AP126)))</f>
        <v>0.88834702947933908</v>
      </c>
      <c r="AS126" s="62">
        <f ca="1"/>
        <v>1.128234115243715</v>
      </c>
      <c r="AT126" s="62">
        <f ca="1"/>
        <v>0.50329324251910823</v>
      </c>
      <c r="AU126" s="62">
        <f ca="1"/>
        <v>0.7372763225068899</v>
      </c>
      <c r="AV126" s="66" t="str">
        <f t="array" ref="AV126">IF($AB126, Push(Fetch(AG126) - MMULT(Fetch(AQ126),MMULT($I$38:$L$41,Fetch(AG126)))), "")</f>
        <v/>
      </c>
      <c r="AW126" s="97">
        <f t="array" aca="1" ref="AW126" ca="1">IF($AB126,LN(MDETERM(Fetch(AL126))),$J$65)   -   MMULT(AM126:AP126,MMULT(IF($AB126,Fetch(AL126),$G$61:$J$64),TRANSPOSE(AM126:AP126)))</f>
        <v>4.9097759522425024</v>
      </c>
    </row>
    <row r="127" spans="23:49" x14ac:dyDescent="0.15">
      <c r="W127" s="12">
        <f t="shared" si="2"/>
        <v>124</v>
      </c>
      <c r="X127" s="62">
        <f t="array" aca="1" ref="X127:AA127" ca="1">simulate!AE127:AH127</f>
        <v>1.224400492550358</v>
      </c>
      <c r="Y127" s="62">
        <f ca="1"/>
        <v>2.1862787136944073</v>
      </c>
      <c r="Z127" s="62">
        <f ca="1"/>
        <v>0.7309794012259242</v>
      </c>
      <c r="AA127" s="62">
        <f ca="1"/>
        <v>0.71159574864597419</v>
      </c>
      <c r="AB127" s="98">
        <f t="shared" si="3"/>
        <v>0</v>
      </c>
      <c r="AC127" s="62">
        <f t="array" aca="1" ref="AC127:AF127" ca="1">TRANSPOSE($G$44:$G$47 + MMULT($I$44:$L$47,TRANSPOSE(AR126:AU126)))</f>
        <v>0.99200551916586677</v>
      </c>
      <c r="AD127" s="62">
        <f ca="1"/>
        <v>0.93238750363590306</v>
      </c>
      <c r="AE127" s="62">
        <f ca="1"/>
        <v>0.7295679719313638</v>
      </c>
      <c r="AF127" s="62">
        <f ca="1"/>
        <v>0.79963015728629516</v>
      </c>
      <c r="AG127" s="66" t="str">
        <f t="array" ref="AG127">IF($AB127, Push(MMULT($I$44:$L$47,MMULT(Fetch(AV126),TRANSPOSE($I$44:$L$47))) + $N$44:$Q$47), "")</f>
        <v/>
      </c>
      <c r="AH127" s="62">
        <f t="array" aca="1" ref="AH127:AK127" ca="1">TRANSPOSE($G$38:$G$41 + MMULT($I$38:$L$41,TRANSPOSE(AC127:AF127)))</f>
        <v>1.1600190921204836</v>
      </c>
      <c r="AI127" s="62">
        <f ca="1"/>
        <v>1.1883135167148962</v>
      </c>
      <c r="AJ127" s="62">
        <f ca="1"/>
        <v>0.76057187029799556</v>
      </c>
      <c r="AK127" s="62">
        <f ca="1"/>
        <v>0.82976699462822445</v>
      </c>
      <c r="AL127" s="66" t="str">
        <f t="array" ref="AL127">IF($AB127, Push(MINVERSE(MMULT($I$38:$L$41,MMULT(Fetch(AG127),TRANSPOSE($I$38:$L$41))) + $N$38:$Q$41)), "")</f>
        <v/>
      </c>
      <c r="AM127" s="62">
        <f t="array" aca="1" ref="AM127:AP127" ca="1">X127:AA127 - AH127:AK127</f>
        <v>6.4381400429874391E-2</v>
      </c>
      <c r="AN127" s="62">
        <f ca="1"/>
        <v>0.99796519697951114</v>
      </c>
      <c r="AO127" s="62">
        <f ca="1"/>
        <v>-2.9592469072071359E-2</v>
      </c>
      <c r="AP127" s="62">
        <f ca="1"/>
        <v>-0.11817124598225026</v>
      </c>
      <c r="AQ127" s="66" t="str">
        <f t="array" ref="AQ127">IF($AB127, Push(MMULT(Fetch(AG127),MMULT(TRANSPOSE($I$38:$L$41),Fetch(AL127)))), "")</f>
        <v/>
      </c>
      <c r="AR127" s="62">
        <f t="array" aca="1" ref="AR127:AU127" ca="1">AC127:AF127 + TRANSPOSE(MMULT(IF($AB127,Fetch(AQ127),$L$61:$O$64),TRANSPOSE(AM127:AP127)))</f>
        <v>1.1968234713780419</v>
      </c>
      <c r="AS127" s="62">
        <f ca="1"/>
        <v>1.473175054334054</v>
      </c>
      <c r="AT127" s="62">
        <f ca="1"/>
        <v>0.54441079896336353</v>
      </c>
      <c r="AU127" s="62">
        <f ca="1"/>
        <v>0.75353886393444236</v>
      </c>
      <c r="AV127" s="66" t="str">
        <f t="array" ref="AV127">IF($AB127, Push(Fetch(AG127) - MMULT(Fetch(AQ127),MMULT($I$38:$L$41,Fetch(AG127)))), "")</f>
        <v/>
      </c>
      <c r="AW127" s="97">
        <f t="array" aca="1" ref="AW127" ca="1">IF($AB127,LN(MDETERM(Fetch(AL127))),$J$65)   -   MMULT(AM127:AP127,MMULT(IF($AB127,Fetch(AL127),$G$61:$J$64),TRANSPOSE(AM127:AP127)))</f>
        <v>1.5862429463561796</v>
      </c>
    </row>
    <row r="128" spans="23:49" x14ac:dyDescent="0.15">
      <c r="W128" s="12">
        <f t="shared" si="2"/>
        <v>125</v>
      </c>
      <c r="X128" s="62">
        <f t="array" aca="1" ref="X128:AA128" ca="1">simulate!AE128:AH128</f>
        <v>0.80422109012689602</v>
      </c>
      <c r="Y128" s="62">
        <f ca="1"/>
        <v>1.2166993030339419</v>
      </c>
      <c r="Z128" s="62">
        <f ca="1"/>
        <v>0.92317151307765355</v>
      </c>
      <c r="AA128" s="62">
        <f ca="1"/>
        <v>0.82810102613798353</v>
      </c>
      <c r="AB128" s="98">
        <f t="shared" si="3"/>
        <v>0</v>
      </c>
      <c r="AC128" s="62">
        <f t="array" aca="1" ref="AC128:AF128" ca="1">TRANSPOSE($G$44:$G$47 + MMULT($I$44:$L$47,TRANSPOSE(AR127:AU127)))</f>
        <v>1.2133624903262421</v>
      </c>
      <c r="AD128" s="62">
        <f ca="1"/>
        <v>1.1760081954113017</v>
      </c>
      <c r="AE128" s="62">
        <f ca="1"/>
        <v>0.83214422053204551</v>
      </c>
      <c r="AF128" s="62">
        <f ca="1"/>
        <v>0.85446715986846833</v>
      </c>
      <c r="AG128" s="66" t="str">
        <f t="array" ref="AG128">IF($AB128, Push(MMULT($I$44:$L$47,MMULT(Fetch(AV127),TRANSPOSE($I$44:$L$47))) + $N$44:$Q$47), "")</f>
        <v/>
      </c>
      <c r="AH128" s="62">
        <f t="array" aca="1" ref="AH128:AK128" ca="1">TRANSPOSE($G$38:$G$41 + MMULT($I$38:$L$41,TRANSPOSE(AC128:AF128)))</f>
        <v>1.3550886492319987</v>
      </c>
      <c r="AI128" s="62">
        <f ca="1"/>
        <v>1.4670426859902908</v>
      </c>
      <c r="AJ128" s="62">
        <f ca="1"/>
        <v>0.78987082349801474</v>
      </c>
      <c r="AK128" s="62">
        <f ca="1"/>
        <v>0.90241975229339033</v>
      </c>
      <c r="AL128" s="66" t="str">
        <f t="array" ref="AL128">IF($AB128, Push(MINVERSE(MMULT($I$38:$L$41,MMULT(Fetch(AG128),TRANSPOSE($I$38:$L$41))) + $N$38:$Q$41)), "")</f>
        <v/>
      </c>
      <c r="AM128" s="62">
        <f t="array" aca="1" ref="AM128:AP128" ca="1">X128:AA128 - AH128:AK128</f>
        <v>-0.55086755910510266</v>
      </c>
      <c r="AN128" s="62">
        <f ca="1"/>
        <v>-0.25034338295634884</v>
      </c>
      <c r="AO128" s="62">
        <f ca="1"/>
        <v>0.13330068957963881</v>
      </c>
      <c r="AP128" s="62">
        <f ca="1"/>
        <v>-7.43187261554068E-2</v>
      </c>
      <c r="AQ128" s="66" t="str">
        <f t="array" ref="AQ128">IF($AB128, Push(MMULT(Fetch(AG128),MMULT(TRANSPOSE($I$38:$L$41),Fetch(AL128)))), "")</f>
        <v/>
      </c>
      <c r="AR128" s="62">
        <f t="array" aca="1" ref="AR128:AU128" ca="1">AC128:AF128 + TRANSPOSE(MMULT(IF($AB128,Fetch(AQ128),$L$61:$O$64),TRANSPOSE(AM128:AP128)))</f>
        <v>0.97346815660895292</v>
      </c>
      <c r="AS128" s="62">
        <f ca="1"/>
        <v>1.0865880517698467</v>
      </c>
      <c r="AT128" s="62">
        <f ca="1"/>
        <v>0.63733984735716698</v>
      </c>
      <c r="AU128" s="62">
        <f ca="1"/>
        <v>0.87907194329221761</v>
      </c>
      <c r="AV128" s="66" t="str">
        <f t="array" ref="AV128">IF($AB128, Push(Fetch(AG128) - MMULT(Fetch(AQ128),MMULT($I$38:$L$41,Fetch(AG128)))), "")</f>
        <v/>
      </c>
      <c r="AW128" s="97">
        <f t="array" aca="1" ref="AW128" ca="1">IF($AB128,LN(MDETERM(Fetch(AL128))),$J$65)   -   MMULT(AM128:AP128,MMULT(IF($AB128,Fetch(AL128),$G$61:$J$64),TRANSPOSE(AM128:AP128)))</f>
        <v>5.5007340173600676</v>
      </c>
    </row>
    <row r="129" spans="23:49" x14ac:dyDescent="0.15">
      <c r="W129" s="12">
        <f t="shared" si="2"/>
        <v>126</v>
      </c>
      <c r="X129" s="62">
        <f t="array" aca="1" ref="X129:AA129" ca="1">simulate!AE129:AH129</f>
        <v>0.93584553563149608</v>
      </c>
      <c r="Y129" s="62">
        <f ca="1"/>
        <v>0.32776528000179528</v>
      </c>
      <c r="Z129" s="62">
        <f ca="1"/>
        <v>0.56903852904609731</v>
      </c>
      <c r="AA129" s="62">
        <f ca="1"/>
        <v>0.70544624823690705</v>
      </c>
      <c r="AB129" s="98">
        <f t="shared" si="3"/>
        <v>0</v>
      </c>
      <c r="AC129" s="62">
        <f t="array" aca="1" ref="AC129:AF129" ca="1">TRANSPOSE($G$44:$G$47 + MMULT($I$44:$L$47,TRANSPOSE(AR128:AU128)))</f>
        <v>1.0481700411601547</v>
      </c>
      <c r="AD129" s="62">
        <f ca="1"/>
        <v>0.95364700677477121</v>
      </c>
      <c r="AE129" s="62">
        <f ca="1"/>
        <v>0.82224525610547139</v>
      </c>
      <c r="AF129" s="62">
        <f ca="1"/>
        <v>0.89910018468774822</v>
      </c>
      <c r="AG129" s="66" t="str">
        <f t="array" ref="AG129">IF($AB129, Push(MMULT($I$44:$L$47,MMULT(Fetch(AV128),TRANSPOSE($I$44:$L$47))) + $N$44:$Q$47), "")</f>
        <v/>
      </c>
      <c r="AH129" s="62">
        <f t="array" aca="1" ref="AH129:AK129" ca="1">TRANSPOSE($G$38:$G$41 + MMULT($I$38:$L$41,TRANSPOSE(AC129:AF129)))</f>
        <v>1.229719966830723</v>
      </c>
      <c r="AI129" s="62">
        <f ca="1"/>
        <v>1.2234826373220136</v>
      </c>
      <c r="AJ129" s="62">
        <f ca="1"/>
        <v>0.84866889262191125</v>
      </c>
      <c r="AK129" s="62">
        <f ca="1"/>
        <v>0.92050629722473798</v>
      </c>
      <c r="AL129" s="66" t="str">
        <f t="array" ref="AL129">IF($AB129, Push(MINVERSE(MMULT($I$38:$L$41,MMULT(Fetch(AG129),TRANSPOSE($I$38:$L$41))) + $N$38:$Q$41)), "")</f>
        <v/>
      </c>
      <c r="AM129" s="62">
        <f t="array" aca="1" ref="AM129:AP129" ca="1">X129:AA129 - AH129:AK129</f>
        <v>-0.29387443119922696</v>
      </c>
      <c r="AN129" s="62">
        <f ca="1"/>
        <v>-0.89571735732021829</v>
      </c>
      <c r="AO129" s="62">
        <f ca="1"/>
        <v>-0.27963036357581394</v>
      </c>
      <c r="AP129" s="62">
        <f ca="1"/>
        <v>-0.21506004898783093</v>
      </c>
      <c r="AQ129" s="66" t="str">
        <f t="array" ref="AQ129">IF($AB129, Push(MMULT(Fetch(AG129),MMULT(TRANSPOSE($I$38:$L$41),Fetch(AL129)))), "")</f>
        <v/>
      </c>
      <c r="AR129" s="62">
        <f t="array" aca="1" ref="AR129:AU129" ca="1">AC129:AF129 + TRANSPOSE(MMULT(IF($AB129,Fetch(AQ129),$L$61:$O$64),TRANSPOSE(AM129:AP129)))</f>
        <v>0.75211400682461793</v>
      </c>
      <c r="AS129" s="62">
        <f ca="1"/>
        <v>0.5099070408716071</v>
      </c>
      <c r="AT129" s="62">
        <f ca="1"/>
        <v>0.63955555630394345</v>
      </c>
      <c r="AU129" s="62">
        <f ca="1"/>
        <v>0.70275625211455806</v>
      </c>
      <c r="AV129" s="66" t="str">
        <f t="array" ref="AV129">IF($AB129, Push(Fetch(AG129) - MMULT(Fetch(AQ129),MMULT($I$38:$L$41,Fetch(AG129)))), "")</f>
        <v/>
      </c>
      <c r="AW129" s="97">
        <f t="array" aca="1" ref="AW129" ca="1">IF($AB129,LN(MDETERM(Fetch(AL129))),$J$65)   -   MMULT(AM129:AP129,MMULT(IF($AB129,Fetch(AL129),$G$61:$J$64),TRANSPOSE(AM129:AP129)))</f>
        <v>0.69450957274652403</v>
      </c>
    </row>
    <row r="130" spans="23:49" x14ac:dyDescent="0.15">
      <c r="W130" s="12">
        <f t="shared" si="2"/>
        <v>127</v>
      </c>
      <c r="X130" s="62">
        <f t="array" aca="1" ref="X130:AA130" ca="1">simulate!AE130:AH130</f>
        <v>1.1955637237952288</v>
      </c>
      <c r="Y130" s="62">
        <f ca="1"/>
        <v>0.651128489122344</v>
      </c>
      <c r="Z130" s="62">
        <f ca="1"/>
        <v>0.15154596730062422</v>
      </c>
      <c r="AA130" s="62">
        <f ca="1"/>
        <v>0.7239273490056557</v>
      </c>
      <c r="AB130" s="98">
        <f t="shared" si="3"/>
        <v>0</v>
      </c>
      <c r="AC130" s="62">
        <f t="array" aca="1" ref="AC130:AF130" ca="1">TRANSPOSE($G$44:$G$47 + MMULT($I$44:$L$47,TRANSPOSE(AR129:AU129)))</f>
        <v>0.83496329067573938</v>
      </c>
      <c r="AD130" s="62">
        <f ca="1"/>
        <v>0.59403427771005324</v>
      </c>
      <c r="AE130" s="62">
        <f ca="1"/>
        <v>0.6879621867643485</v>
      </c>
      <c r="AF130" s="62">
        <f ca="1"/>
        <v>0.75254870405363183</v>
      </c>
      <c r="AG130" s="66" t="str">
        <f t="array" ref="AG130">IF($AB130, Push(MMULT($I$44:$L$47,MMULT(Fetch(AV129),TRANSPOSE($I$44:$L$47))) + $N$44:$Q$47), "")</f>
        <v/>
      </c>
      <c r="AH130" s="62">
        <f t="array" aca="1" ref="AH130:AK130" ca="1">TRANSPOSE($G$38:$G$41 + MMULT($I$38:$L$41,TRANSPOSE(AC130:AF130)))</f>
        <v>1.0525581751276341</v>
      </c>
      <c r="AI130" s="62">
        <f ca="1"/>
        <v>0.83678017767140467</v>
      </c>
      <c r="AJ130" s="62">
        <f ca="1"/>
        <v>0.79292668250610543</v>
      </c>
      <c r="AK130" s="62">
        <f ca="1"/>
        <v>0.74656542848668939</v>
      </c>
      <c r="AL130" s="66" t="str">
        <f t="array" ref="AL130">IF($AB130, Push(MINVERSE(MMULT($I$38:$L$41,MMULT(Fetch(AG130),TRANSPOSE($I$38:$L$41))) + $N$38:$Q$41)), "")</f>
        <v/>
      </c>
      <c r="AM130" s="62">
        <f t="array" aca="1" ref="AM130:AP130" ca="1">X130:AA130 - AH130:AK130</f>
        <v>0.14300554866759474</v>
      </c>
      <c r="AN130" s="62">
        <f ca="1"/>
        <v>-0.18565168854906067</v>
      </c>
      <c r="AO130" s="62">
        <f ca="1"/>
        <v>-0.64138071520548123</v>
      </c>
      <c r="AP130" s="62">
        <f ca="1"/>
        <v>-2.263807948103369E-2</v>
      </c>
      <c r="AQ130" s="66" t="str">
        <f t="array" ref="AQ130">IF($AB130, Push(MMULT(Fetch(AG130),MMULT(TRANSPOSE($I$38:$L$41),Fetch(AL130)))), "")</f>
        <v/>
      </c>
      <c r="AR130" s="62">
        <f t="array" aca="1" ref="AR130:AU130" ca="1">AC130:AF130 + TRANSPOSE(MMULT(IF($AB130,Fetch(AQ130),$L$61:$O$64),TRANSPOSE(AM130:AP130)))</f>
        <v>0.71516380254296463</v>
      </c>
      <c r="AS130" s="62">
        <f ca="1"/>
        <v>0.59318160289800359</v>
      </c>
      <c r="AT130" s="62">
        <f ca="1"/>
        <v>0.64004421572035264</v>
      </c>
      <c r="AU130" s="62">
        <f ca="1"/>
        <v>0.48255506111439167</v>
      </c>
      <c r="AV130" s="66" t="str">
        <f t="array" ref="AV130">IF($AB130, Push(Fetch(AG130) - MMULT(Fetch(AQ130),MMULT($I$38:$L$41,Fetch(AG130)))), "")</f>
        <v/>
      </c>
      <c r="AW130" s="97">
        <f t="array" aca="1" ref="AW130" ca="1">IF($AB130,LN(MDETERM(Fetch(AL130))),$J$65)   -   MMULT(AM130:AP130,MMULT(IF($AB130,Fetch(AL130),$G$61:$J$64),TRANSPOSE(AM130:AP130)))</f>
        <v>3.7387280119776234</v>
      </c>
    </row>
    <row r="131" spans="23:49" x14ac:dyDescent="0.15">
      <c r="W131" s="12">
        <f t="shared" si="2"/>
        <v>128</v>
      </c>
      <c r="X131" s="62">
        <f t="array" aca="1" ref="X131:AA131" ca="1">simulate!AE131:AH131</f>
        <v>0.1387390725458838</v>
      </c>
      <c r="Y131" s="62">
        <f ca="1"/>
        <v>-8.7667776757351046E-2</v>
      </c>
      <c r="Z131" s="62">
        <f ca="1"/>
        <v>1.2939109002498492</v>
      </c>
      <c r="AA131" s="62">
        <f ca="1"/>
        <v>0.99022480482486996</v>
      </c>
      <c r="AB131" s="98">
        <f t="shared" si="3"/>
        <v>0</v>
      </c>
      <c r="AC131" s="62">
        <f t="array" aca="1" ref="AC131:AF131" ca="1">TRANSPOSE($G$44:$G$47 + MMULT($I$44:$L$47,TRANSPOSE(AR130:AU130)))</f>
        <v>0.81678420341134572</v>
      </c>
      <c r="AD131" s="62">
        <f ca="1"/>
        <v>0.61740713444544248</v>
      </c>
      <c r="AE131" s="62">
        <f ca="1"/>
        <v>0.6665284370611243</v>
      </c>
      <c r="AF131" s="62">
        <f ca="1"/>
        <v>0.63785506314085949</v>
      </c>
      <c r="AG131" s="66" t="str">
        <f t="array" ref="AG131">IF($AB131, Push(MMULT($I$44:$L$47,MMULT(Fetch(AV130),TRANSPOSE($I$44:$L$47))) + $N$44:$Q$47), "")</f>
        <v/>
      </c>
      <c r="AH131" s="62">
        <f t="array" aca="1" ref="AH131:AK131" ca="1">TRANSPOSE($G$38:$G$41 + MMULT($I$38:$L$41,TRANSPOSE(AC131:AF131)))</f>
        <v>1.0573039770715458</v>
      </c>
      <c r="AI131" s="62">
        <f ca="1"/>
        <v>0.83335460091768998</v>
      </c>
      <c r="AJ131" s="62">
        <f ca="1"/>
        <v>0.68321918044050967</v>
      </c>
      <c r="AK131" s="62">
        <f ca="1"/>
        <v>0.69736366717422316</v>
      </c>
      <c r="AL131" s="66" t="str">
        <f t="array" ref="AL131">IF($AB131, Push(MINVERSE(MMULT($I$38:$L$41,MMULT(Fetch(AG131),TRANSPOSE($I$38:$L$41))) + $N$38:$Q$41)), "")</f>
        <v/>
      </c>
      <c r="AM131" s="62">
        <f t="array" aca="1" ref="AM131:AP131" ca="1">X131:AA131 - AH131:AK131</f>
        <v>-0.91856490452566197</v>
      </c>
      <c r="AN131" s="62">
        <f ca="1"/>
        <v>-0.92102237767504103</v>
      </c>
      <c r="AO131" s="62">
        <f ca="1"/>
        <v>0.61069171980933956</v>
      </c>
      <c r="AP131" s="62">
        <f ca="1"/>
        <v>0.29286113765064681</v>
      </c>
      <c r="AQ131" s="66" t="str">
        <f t="array" ref="AQ131">IF($AB131, Push(MMULT(Fetch(AG131),MMULT(TRANSPOSE($I$38:$L$41),Fetch(AL131)))), "")</f>
        <v/>
      </c>
      <c r="AR131" s="62">
        <f t="array" aca="1" ref="AR131:AU131" ca="1">AC131:AF131 + TRANSPOSE(MMULT(IF($AB131,Fetch(AQ131),$L$61:$O$64),TRANSPOSE(AM131:AP131)))</f>
        <v>0.34174332499803595</v>
      </c>
      <c r="AS131" s="62">
        <f ca="1"/>
        <v>0.1823322565011356</v>
      </c>
      <c r="AT131" s="62">
        <f ca="1"/>
        <v>0.7452188476250996</v>
      </c>
      <c r="AU131" s="62">
        <f ca="1"/>
        <v>0.979106420731505</v>
      </c>
      <c r="AV131" s="66" t="str">
        <f t="array" ref="AV131">IF($AB131, Push(Fetch(AG131) - MMULT(Fetch(AQ131),MMULT($I$38:$L$41,Fetch(AG131)))), "")</f>
        <v/>
      </c>
      <c r="AW131" s="97">
        <f t="array" aca="1" ref="AW131" ca="1">IF($AB131,LN(MDETERM(Fetch(AL131))),$J$65)   -   MMULT(AM131:AP131,MMULT(IF($AB131,Fetch(AL131),$G$61:$J$64),TRANSPOSE(AM131:AP131)))</f>
        <v>-3.4829885067964028</v>
      </c>
    </row>
    <row r="132" spans="23:49" x14ac:dyDescent="0.15">
      <c r="W132" s="12">
        <f t="shared" si="2"/>
        <v>129</v>
      </c>
      <c r="X132" s="62">
        <f t="array" aca="1" ref="X132:AA132" ca="1">simulate!AE132:AH132</f>
        <v>1.247905399576541</v>
      </c>
      <c r="Y132" s="62">
        <f ca="1"/>
        <v>0.41335974046591051</v>
      </c>
      <c r="Z132" s="62">
        <f ca="1"/>
        <v>0.91525704493439308</v>
      </c>
      <c r="AA132" s="62">
        <f ca="1"/>
        <v>1.1217276127849656</v>
      </c>
      <c r="AB132" s="98">
        <f t="shared" si="3"/>
        <v>0</v>
      </c>
      <c r="AC132" s="62">
        <f t="array" aca="1" ref="AC132:AF132" ca="1">TRANSPOSE($G$44:$G$47 + MMULT($I$44:$L$47,TRANSPOSE(AR131:AU131)))</f>
        <v>0.58565593312100439</v>
      </c>
      <c r="AD132" s="62">
        <f ca="1"/>
        <v>0.38580060936080529</v>
      </c>
      <c r="AE132" s="62">
        <f ca="1"/>
        <v>0.70352903893776364</v>
      </c>
      <c r="AF132" s="62">
        <f ca="1"/>
        <v>0.87591532413170525</v>
      </c>
      <c r="AG132" s="66" t="str">
        <f t="array" ref="AG132">IF($AB132, Push(MMULT($I$44:$L$47,MMULT(Fetch(AV131),TRANSPOSE($I$44:$L$47))) + $N$44:$Q$47), "")</f>
        <v/>
      </c>
      <c r="AH132" s="62">
        <f t="array" aca="1" ref="AH132:AK132" ca="1">TRANSPOSE($G$38:$G$41 + MMULT($I$38:$L$41,TRANSPOSE(AC132:AF132)))</f>
        <v>0.86006566335647383</v>
      </c>
      <c r="AI132" s="62">
        <f ca="1"/>
        <v>0.58337660738297781</v>
      </c>
      <c r="AJ132" s="62">
        <f ca="1"/>
        <v>0.87723096879189222</v>
      </c>
      <c r="AK132" s="62">
        <f ca="1"/>
        <v>0.85882904588848841</v>
      </c>
      <c r="AL132" s="66" t="str">
        <f t="array" ref="AL132">IF($AB132, Push(MINVERSE(MMULT($I$38:$L$41,MMULT(Fetch(AG132),TRANSPOSE($I$38:$L$41))) + $N$38:$Q$41)), "")</f>
        <v/>
      </c>
      <c r="AM132" s="62">
        <f t="array" aca="1" ref="AM132:AP132" ca="1">X132:AA132 - AH132:AK132</f>
        <v>0.38783973622006718</v>
      </c>
      <c r="AN132" s="62">
        <f ca="1"/>
        <v>-0.1700168669170673</v>
      </c>
      <c r="AO132" s="62">
        <f ca="1"/>
        <v>3.8026076142500864E-2</v>
      </c>
      <c r="AP132" s="62">
        <f ca="1"/>
        <v>0.26289856689647717</v>
      </c>
      <c r="AQ132" s="66" t="str">
        <f t="array" ref="AQ132">IF($AB132, Push(MMULT(Fetch(AG132),MMULT(TRANSPOSE($I$38:$L$41),Fetch(AL132)))), "")</f>
        <v/>
      </c>
      <c r="AR132" s="62">
        <f t="array" aca="1" ref="AR132:AU132" ca="1">AC132:AF132 + TRANSPOSE(MMULT(IF($AB132,Fetch(AQ132),$L$61:$O$64),TRANSPOSE(AM132:AP132)))</f>
        <v>0.68611127991368981</v>
      </c>
      <c r="AS132" s="62">
        <f ca="1"/>
        <v>0.26537981729646049</v>
      </c>
      <c r="AT132" s="62">
        <f ca="1"/>
        <v>1.0452569119162554</v>
      </c>
      <c r="AU132" s="62">
        <f ca="1"/>
        <v>0.98340918099771213</v>
      </c>
      <c r="AV132" s="66" t="str">
        <f t="array" ref="AV132">IF($AB132, Push(Fetch(AG132) - MMULT(Fetch(AQ132),MMULT($I$38:$L$41,Fetch(AG132)))), "")</f>
        <v/>
      </c>
      <c r="AW132" s="97">
        <f t="array" aca="1" ref="AW132" ca="1">IF($AB132,LN(MDETERM(Fetch(AL132))),$J$65)   -   MMULT(AM132:AP132,MMULT(IF($AB132,Fetch(AL132),$G$61:$J$64),TRANSPOSE(AM132:AP132)))</f>
        <v>6.1634647456551503</v>
      </c>
    </row>
    <row r="133" spans="23:49" x14ac:dyDescent="0.15">
      <c r="W133" s="12">
        <f t="shared" ref="W133:W196" si="4">W132+1</f>
        <v>130</v>
      </c>
      <c r="X133" s="62">
        <f t="array" aca="1" ref="X133:AA133" ca="1">simulate!AE133:AH133</f>
        <v>2.0619622072001591</v>
      </c>
      <c r="Y133" s="62">
        <f ca="1"/>
        <v>1.4546677215750117</v>
      </c>
      <c r="Z133" s="62">
        <f ca="1"/>
        <v>1.6664062265916411</v>
      </c>
      <c r="AA133" s="62">
        <f ca="1"/>
        <v>1.4419826811681209</v>
      </c>
      <c r="AB133" s="98">
        <f t="shared" ref="AB133:AB196" si="5">($W133&lt;=$D$51) * 1</f>
        <v>0</v>
      </c>
      <c r="AC133" s="62">
        <f t="array" aca="1" ref="AC133:AF133" ca="1">TRANSPOSE($G$44:$G$47 + MMULT($I$44:$L$47,TRANSPOSE(AR132:AU132)))</f>
        <v>0.8054952556162982</v>
      </c>
      <c r="AD133" s="62">
        <f ca="1"/>
        <v>0.53127325774996725</v>
      </c>
      <c r="AE133" s="62">
        <f ca="1"/>
        <v>0.90420573518580583</v>
      </c>
      <c r="AF133" s="62">
        <f ca="1"/>
        <v>0.94941366429294805</v>
      </c>
      <c r="AG133" s="66" t="str">
        <f t="array" ref="AG133">IF($AB133, Push(MMULT($I$44:$L$47,MMULT(Fetch(AV132),TRANSPOSE($I$44:$L$47))) + $N$44:$Q$47), "")</f>
        <v/>
      </c>
      <c r="AH133" s="62">
        <f t="array" aca="1" ref="AH133:AK133" ca="1">TRANSPOSE($G$38:$G$41 + MMULT($I$38:$L$41,TRANSPOSE(AC133:AF133)))</f>
        <v>1.1163413264383568</v>
      </c>
      <c r="AI133" s="62">
        <f ca="1"/>
        <v>0.75462455038569876</v>
      </c>
      <c r="AJ133" s="62">
        <f ca="1"/>
        <v>0.94968492782942326</v>
      </c>
      <c r="AK133" s="62">
        <f ca="1"/>
        <v>0.98094420431322527</v>
      </c>
      <c r="AL133" s="66" t="str">
        <f t="array" ref="AL133">IF($AB133, Push(MINVERSE(MMULT($I$38:$L$41,MMULT(Fetch(AG133),TRANSPOSE($I$38:$L$41))) + $N$38:$Q$41)), "")</f>
        <v/>
      </c>
      <c r="AM133" s="62">
        <f t="array" aca="1" ref="AM133:AP133" ca="1">X133:AA133 - AH133:AK133</f>
        <v>0.94562088076180228</v>
      </c>
      <c r="AN133" s="62">
        <f ca="1"/>
        <v>0.70004317118931292</v>
      </c>
      <c r="AO133" s="62">
        <f ca="1"/>
        <v>0.7167212987622178</v>
      </c>
      <c r="AP133" s="62">
        <f ca="1"/>
        <v>0.46103847685489563</v>
      </c>
      <c r="AQ133" s="66" t="str">
        <f t="array" ref="AQ133">IF($AB133, Push(MMULT(Fetch(AG133),MMULT(TRANSPOSE($I$38:$L$41),Fetch(AL133)))), "")</f>
        <v/>
      </c>
      <c r="AR133" s="62">
        <f t="array" aca="1" ref="AR133:AU133" ca="1">AC133:AF133 + TRANSPOSE(MMULT(IF($AB133,Fetch(AQ133),$L$61:$O$64),TRANSPOSE(AM133:AP133)))</f>
        <v>1.4220177317333058</v>
      </c>
      <c r="AS133" s="62">
        <f ca="1"/>
        <v>0.70688871298307665</v>
      </c>
      <c r="AT133" s="62">
        <f ca="1"/>
        <v>1.5838390273199372</v>
      </c>
      <c r="AU133" s="62">
        <f ca="1"/>
        <v>1.4107156433456993</v>
      </c>
      <c r="AV133" s="66" t="str">
        <f t="array" ref="AV133">IF($AB133, Push(Fetch(AG133) - MMULT(Fetch(AQ133),MMULT($I$38:$L$41,Fetch(AG133)))), "")</f>
        <v/>
      </c>
      <c r="AW133" s="97">
        <f t="array" aca="1" ref="AW133" ca="1">IF($AB133,LN(MDETERM(Fetch(AL133))),$J$65)   -   MMULT(AM133:AP133,MMULT(IF($AB133,Fetch(AL133),$G$61:$J$64),TRANSPOSE(AM133:AP133)))</f>
        <v>-2.3677186716149414</v>
      </c>
    </row>
    <row r="134" spans="23:49" x14ac:dyDescent="0.15">
      <c r="W134" s="12">
        <f t="shared" si="4"/>
        <v>131</v>
      </c>
      <c r="X134" s="62">
        <f t="array" aca="1" ref="X134:AA134" ca="1">simulate!AE134:AH134</f>
        <v>1.0181549567681809</v>
      </c>
      <c r="Y134" s="62">
        <f ca="1"/>
        <v>2.0381686722733123</v>
      </c>
      <c r="Z134" s="62">
        <f ca="1"/>
        <v>6.7219057702923524E-2</v>
      </c>
      <c r="AA134" s="62">
        <f ca="1"/>
        <v>0.67675425860791494</v>
      </c>
      <c r="AB134" s="98">
        <f t="shared" si="5"/>
        <v>0</v>
      </c>
      <c r="AC134" s="62">
        <f t="array" aca="1" ref="AC134:AF134" ca="1">TRANSPOSE($G$44:$G$47 + MMULT($I$44:$L$47,TRANSPOSE(AR133:AU133)))</f>
        <v>1.3271519032759933</v>
      </c>
      <c r="AD134" s="62">
        <f ca="1"/>
        <v>0.99932526067192562</v>
      </c>
      <c r="AE134" s="62">
        <f ca="1"/>
        <v>1.3823856928820895</v>
      </c>
      <c r="AF134" s="62">
        <f ca="1"/>
        <v>1.3344277682928019</v>
      </c>
      <c r="AG134" s="66" t="str">
        <f t="array" ref="AG134">IF($AB134, Push(MMULT($I$44:$L$47,MMULT(Fetch(AV133),TRANSPOSE($I$44:$L$47))) + $N$44:$Q$47), "")</f>
        <v/>
      </c>
      <c r="AH134" s="62">
        <f t="array" aca="1" ref="AH134:AK134" ca="1">TRANSPOSE($G$38:$G$41 + MMULT($I$38:$L$41,TRANSPOSE(AC134:AF134)))</f>
        <v>1.6593008947270937</v>
      </c>
      <c r="AI134" s="62">
        <f ca="1"/>
        <v>1.3089128892807822</v>
      </c>
      <c r="AJ134" s="62">
        <f ca="1"/>
        <v>1.2506649305959214</v>
      </c>
      <c r="AK134" s="62">
        <f ca="1"/>
        <v>1.3998244380451976</v>
      </c>
      <c r="AL134" s="66" t="str">
        <f t="array" ref="AL134">IF($AB134, Push(MINVERSE(MMULT($I$38:$L$41,MMULT(Fetch(AG134),TRANSPOSE($I$38:$L$41))) + $N$38:$Q$41)), "")</f>
        <v/>
      </c>
      <c r="AM134" s="62">
        <f t="array" aca="1" ref="AM134:AP134" ca="1">X134:AA134 - AH134:AK134</f>
        <v>-0.64114593795891284</v>
      </c>
      <c r="AN134" s="62">
        <f ca="1"/>
        <v>0.72925578299253013</v>
      </c>
      <c r="AO134" s="62">
        <f ca="1"/>
        <v>-1.183445872892998</v>
      </c>
      <c r="AP134" s="62">
        <f ca="1"/>
        <v>-0.72307017943728269</v>
      </c>
      <c r="AQ134" s="66" t="str">
        <f t="array" ref="AQ134">IF($AB134, Push(MMULT(Fetch(AG134),MMULT(TRANSPOSE($I$38:$L$41),Fetch(AL134)))), "")</f>
        <v/>
      </c>
      <c r="AR134" s="62">
        <f t="array" aca="1" ref="AR134:AU134" ca="1">AC134:AF134 + TRANSPOSE(MMULT(IF($AB134,Fetch(AQ134),$L$61:$O$64),TRANSPOSE(AM134:AP134)))</f>
        <v>1.01498127699749</v>
      </c>
      <c r="AS134" s="62">
        <f ca="1"/>
        <v>1.631767028277868</v>
      </c>
      <c r="AT134" s="62">
        <f ca="1"/>
        <v>0.3818360281818407</v>
      </c>
      <c r="AU134" s="62">
        <f ca="1"/>
        <v>0.60260984263711959</v>
      </c>
      <c r="AV134" s="66" t="str">
        <f t="array" ref="AV134">IF($AB134, Push(Fetch(AG134) - MMULT(Fetch(AQ134),MMULT($I$38:$L$41,Fetch(AG134)))), "")</f>
        <v/>
      </c>
      <c r="AW134" s="97">
        <f t="array" aca="1" ref="AW134" ca="1">IF($AB134,LN(MDETERM(Fetch(AL134))),$J$65)   -   MMULT(AM134:AP134,MMULT(IF($AB134,Fetch(AL134),$G$61:$J$64),TRANSPOSE(AM134:AP134)))</f>
        <v>-3.0767523445616778</v>
      </c>
    </row>
    <row r="135" spans="23:49" x14ac:dyDescent="0.15">
      <c r="W135" s="12">
        <f t="shared" si="4"/>
        <v>132</v>
      </c>
      <c r="X135" s="62">
        <f t="array" aca="1" ref="X135:AA135" ca="1">simulate!AE135:AH135</f>
        <v>1.3906190558231455</v>
      </c>
      <c r="Y135" s="62">
        <f ca="1"/>
        <v>0.59293964751629724</v>
      </c>
      <c r="Z135" s="62">
        <f ca="1"/>
        <v>0.91020510149533851</v>
      </c>
      <c r="AA135" s="62">
        <f ca="1"/>
        <v>0.988714674247403</v>
      </c>
      <c r="AB135" s="98">
        <f t="shared" si="5"/>
        <v>0</v>
      </c>
      <c r="AC135" s="62">
        <f t="array" aca="1" ref="AC135:AF135" ca="1">TRANSPOSE($G$44:$G$47 + MMULT($I$44:$L$47,TRANSPOSE(AR134:AU134)))</f>
        <v>1.1197986805611839</v>
      </c>
      <c r="AD135" s="62">
        <f ca="1"/>
        <v>1.1973325562632131</v>
      </c>
      <c r="AE135" s="62">
        <f ca="1"/>
        <v>0.73481027350894357</v>
      </c>
      <c r="AF135" s="62">
        <f ca="1"/>
        <v>0.7491092360606133</v>
      </c>
      <c r="AG135" s="66" t="str">
        <f t="array" ref="AG135">IF($AB135, Push(MMULT($I$44:$L$47,MMULT(Fetch(AV134),TRANSPOSE($I$44:$L$47))) + $N$44:$Q$47), "")</f>
        <v/>
      </c>
      <c r="AH135" s="62">
        <f t="array" aca="1" ref="AH135:AK135" ca="1">TRANSPOSE($G$38:$G$41 + MMULT($I$38:$L$41,TRANSPOSE(AC135:AF135)))</f>
        <v>1.2550857652946772</v>
      </c>
      <c r="AI135" s="62">
        <f ca="1"/>
        <v>1.4551736938553301</v>
      </c>
      <c r="AJ135" s="62">
        <f ca="1"/>
        <v>0.66665538544997593</v>
      </c>
      <c r="AK135" s="62">
        <f ca="1"/>
        <v>0.83563943878528146</v>
      </c>
      <c r="AL135" s="66" t="str">
        <f t="array" ref="AL135">IF($AB135, Push(MINVERSE(MMULT($I$38:$L$41,MMULT(Fetch(AG135),TRANSPOSE($I$38:$L$41))) + $N$38:$Q$41)), "")</f>
        <v/>
      </c>
      <c r="AM135" s="62">
        <f t="array" aca="1" ref="AM135:AP135" ca="1">X135:AA135 - AH135:AK135</f>
        <v>0.1355332905284683</v>
      </c>
      <c r="AN135" s="62">
        <f ca="1"/>
        <v>-0.86223404633903289</v>
      </c>
      <c r="AO135" s="62">
        <f ca="1"/>
        <v>0.24354971604536257</v>
      </c>
      <c r="AP135" s="62">
        <f ca="1"/>
        <v>0.15307523546212154</v>
      </c>
      <c r="AQ135" s="66" t="str">
        <f t="array" ref="AQ135">IF($AB135, Push(MMULT(Fetch(AG135),MMULT(TRANSPOSE($I$38:$L$41),Fetch(AL135)))), "")</f>
        <v/>
      </c>
      <c r="AR135" s="62">
        <f t="array" aca="1" ref="AR135:AU135" ca="1">AC135:AF135 + TRANSPOSE(MMULT(IF($AB135,Fetch(AQ135),$L$61:$O$64),TRANSPOSE(AM135:AP135)))</f>
        <v>1.0730968751371393</v>
      </c>
      <c r="AS135" s="62">
        <f ca="1"/>
        <v>0.66116490396875527</v>
      </c>
      <c r="AT135" s="62">
        <f ca="1"/>
        <v>1.0345239696332456</v>
      </c>
      <c r="AU135" s="62">
        <f ca="1"/>
        <v>0.89623523198532939</v>
      </c>
      <c r="AV135" s="66" t="str">
        <f t="array" ref="AV135">IF($AB135, Push(Fetch(AG135) - MMULT(Fetch(AQ135),MMULT($I$38:$L$41,Fetch(AG135)))), "")</f>
        <v/>
      </c>
      <c r="AW135" s="97">
        <f t="array" aca="1" ref="AW135" ca="1">IF($AB135,LN(MDETERM(Fetch(AL135))),$J$65)   -   MMULT(AM135:AP135,MMULT(IF($AB135,Fetch(AL135),$G$61:$J$64),TRANSPOSE(AM135:AP135)))</f>
        <v>2.9605189820864224</v>
      </c>
    </row>
    <row r="136" spans="23:49" x14ac:dyDescent="0.15">
      <c r="W136" s="12">
        <f t="shared" si="4"/>
        <v>133</v>
      </c>
      <c r="X136" s="62">
        <f t="array" aca="1" ref="X136:AA136" ca="1">simulate!AE136:AH136</f>
        <v>1.0083099865728633</v>
      </c>
      <c r="Y136" s="62">
        <f ca="1"/>
        <v>1.6323309181969889</v>
      </c>
      <c r="Z136" s="62">
        <f ca="1"/>
        <v>1.0345056020965084</v>
      </c>
      <c r="AA136" s="62">
        <f ca="1"/>
        <v>0.74177339344779536</v>
      </c>
      <c r="AB136" s="98">
        <f t="shared" si="5"/>
        <v>0</v>
      </c>
      <c r="AC136" s="62">
        <f t="array" aca="1" ref="AC136:AF136" ca="1">TRANSPOSE($G$44:$G$47 + MMULT($I$44:$L$47,TRANSPOSE(AR135:AU135)))</f>
        <v>1.0681159131708133</v>
      </c>
      <c r="AD136" s="62">
        <f ca="1"/>
        <v>0.80006390504037317</v>
      </c>
      <c r="AE136" s="62">
        <f ca="1"/>
        <v>0.97731475423224834</v>
      </c>
      <c r="AF136" s="62">
        <f ca="1"/>
        <v>0.94736087792589574</v>
      </c>
      <c r="AG136" s="66" t="str">
        <f t="array" ref="AG136">IF($AB136, Push(MMULT($I$44:$L$47,MMULT(Fetch(AV135),TRANSPOSE($I$44:$L$47))) + $N$44:$Q$47), "")</f>
        <v/>
      </c>
      <c r="AH136" s="62">
        <f t="array" aca="1" ref="AH136:AK136" ca="1">TRANSPOSE($G$38:$G$41 + MMULT($I$38:$L$41,TRANSPOSE(AC136:AF136)))</f>
        <v>1.3370356241331454</v>
      </c>
      <c r="AI136" s="62">
        <f ca="1"/>
        <v>1.0668999241654207</v>
      </c>
      <c r="AJ136" s="62">
        <f ca="1"/>
        <v>0.94060114080440438</v>
      </c>
      <c r="AK136" s="62">
        <f ca="1"/>
        <v>0.99715429845192394</v>
      </c>
      <c r="AL136" s="66" t="str">
        <f t="array" ref="AL136">IF($AB136, Push(MINVERSE(MMULT($I$38:$L$41,MMULT(Fetch(AG136),TRANSPOSE($I$38:$L$41))) + $N$38:$Q$41)), "")</f>
        <v/>
      </c>
      <c r="AM136" s="62">
        <f t="array" aca="1" ref="AM136:AP136" ca="1">X136:AA136 - AH136:AK136</f>
        <v>-0.32872563756028206</v>
      </c>
      <c r="AN136" s="62">
        <f ca="1"/>
        <v>0.56543099403156827</v>
      </c>
      <c r="AO136" s="62">
        <f ca="1"/>
        <v>9.3904461292104058E-2</v>
      </c>
      <c r="AP136" s="62">
        <f ca="1"/>
        <v>-0.25538090500412858</v>
      </c>
      <c r="AQ136" s="66" t="str">
        <f t="array" ref="AQ136">IF($AB136, Push(MMULT(Fetch(AG136),MMULT(TRANSPOSE($I$38:$L$41),Fetch(AL136)))), "")</f>
        <v/>
      </c>
      <c r="AR136" s="62">
        <f t="array" aca="1" ref="AR136:AU136" ca="1">AC136:AF136 + TRANSPOSE(MMULT(IF($AB136,Fetch(AQ136),$L$61:$O$64),TRANSPOSE(AM136:AP136)))</f>
        <v>1.0879524329835049</v>
      </c>
      <c r="AS136" s="62">
        <f ca="1"/>
        <v>1.1095583920484104</v>
      </c>
      <c r="AT136" s="62">
        <f ca="1"/>
        <v>0.63446202722882639</v>
      </c>
      <c r="AU136" s="62">
        <f ca="1"/>
        <v>0.89922551533488959</v>
      </c>
      <c r="AV136" s="66" t="str">
        <f t="array" ref="AV136">IF($AB136, Push(Fetch(AG136) - MMULT(Fetch(AQ136),MMULT($I$38:$L$41,Fetch(AG136)))), "")</f>
        <v/>
      </c>
      <c r="AW136" s="97">
        <f t="array" aca="1" ref="AW136" ca="1">IF($AB136,LN(MDETERM(Fetch(AL136))),$J$65)   -   MMULT(AM136:AP136,MMULT(IF($AB136,Fetch(AL136),$G$61:$J$64),TRANSPOSE(AM136:AP136)))</f>
        <v>3.8792607638028409</v>
      </c>
    </row>
    <row r="137" spans="23:49" x14ac:dyDescent="0.15">
      <c r="W137" s="12">
        <f t="shared" si="4"/>
        <v>134</v>
      </c>
      <c r="X137" s="62">
        <f t="array" aca="1" ref="X137:AA137" ca="1">simulate!AE137:AH137</f>
        <v>0.77051908701399197</v>
      </c>
      <c r="Y137" s="62">
        <f ca="1"/>
        <v>0.9617368470983032</v>
      </c>
      <c r="Z137" s="62">
        <f ca="1"/>
        <v>1.1877669554849852</v>
      </c>
      <c r="AA137" s="62">
        <f ca="1"/>
        <v>1.0890563803831981</v>
      </c>
      <c r="AB137" s="98">
        <f t="shared" si="5"/>
        <v>0</v>
      </c>
      <c r="AC137" s="62">
        <f t="array" aca="1" ref="AC137:AF137" ca="1">TRANSPOSE($G$44:$G$47 + MMULT($I$44:$L$47,TRANSPOSE(AR136:AU136)))</f>
        <v>1.114163154854569</v>
      </c>
      <c r="AD137" s="62">
        <f ca="1"/>
        <v>0.98564905106543377</v>
      </c>
      <c r="AE137" s="62">
        <f ca="1"/>
        <v>0.83555243596300743</v>
      </c>
      <c r="AF137" s="62">
        <f ca="1"/>
        <v>0.91665410313645967</v>
      </c>
      <c r="AG137" s="66" t="str">
        <f t="array" ref="AG137">IF($AB137, Push(MMULT($I$44:$L$47,MMULT(Fetch(AV136),TRANSPOSE($I$44:$L$47))) + $N$44:$Q$47), "")</f>
        <v/>
      </c>
      <c r="AH137" s="62">
        <f t="array" aca="1" ref="AH137:AK137" ca="1">TRANSPOSE($G$38:$G$41 + MMULT($I$38:$L$41,TRANSPOSE(AC137:AF137)))</f>
        <v>1.2787031764905032</v>
      </c>
      <c r="AI137" s="62">
        <f ca="1"/>
        <v>1.2758312208355564</v>
      </c>
      <c r="AJ137" s="62">
        <f ca="1"/>
        <v>0.87544988844212623</v>
      </c>
      <c r="AK137" s="62">
        <f ca="1"/>
        <v>0.91776910505765885</v>
      </c>
      <c r="AL137" s="66" t="str">
        <f t="array" ref="AL137">IF($AB137, Push(MINVERSE(MMULT($I$38:$L$41,MMULT(Fetch(AG137),TRANSPOSE($I$38:$L$41))) + $N$38:$Q$41)), "")</f>
        <v/>
      </c>
      <c r="AM137" s="62">
        <f t="array" aca="1" ref="AM137:AP137" ca="1">X137:AA137 - AH137:AK137</f>
        <v>-0.50818408947651128</v>
      </c>
      <c r="AN137" s="62">
        <f ca="1"/>
        <v>-0.31409437373725324</v>
      </c>
      <c r="AO137" s="62">
        <f ca="1"/>
        <v>0.312317067042859</v>
      </c>
      <c r="AP137" s="62">
        <f ca="1"/>
        <v>0.17128727532553922</v>
      </c>
      <c r="AQ137" s="66" t="str">
        <f t="array" ref="AQ137">IF($AB137, Push(MMULT(Fetch(AG137),MMULT(TRANSPOSE($I$38:$L$41),Fetch(AL137)))), "")</f>
        <v/>
      </c>
      <c r="AR137" s="62">
        <f t="array" aca="1" ref="AR137:AU137" ca="1">AC137:AF137 + TRANSPOSE(MMULT(IF($AB137,Fetch(AQ137),$L$61:$O$64),TRANSPOSE(AM137:AP137)))</f>
        <v>0.87350159508166658</v>
      </c>
      <c r="AS137" s="62">
        <f ca="1"/>
        <v>0.86363421172444488</v>
      </c>
      <c r="AT137" s="62">
        <f ca="1"/>
        <v>0.85626326284445387</v>
      </c>
      <c r="AU137" s="62">
        <f ca="1"/>
        <v>1.0996436445100604</v>
      </c>
      <c r="AV137" s="66" t="str">
        <f t="array" ref="AV137">IF($AB137, Push(Fetch(AG137) - MMULT(Fetch(AQ137),MMULT($I$38:$L$41,Fetch(AG137)))), "")</f>
        <v/>
      </c>
      <c r="AW137" s="97">
        <f t="array" aca="1" ref="AW137" ca="1">IF($AB137,LN(MDETERM(Fetch(AL137))),$J$65)   -   MMULT(AM137:AP137,MMULT(IF($AB137,Fetch(AL137),$G$61:$J$64),TRANSPOSE(AM137:AP137)))</f>
        <v>4.1113657641818646</v>
      </c>
    </row>
    <row r="138" spans="23:49" x14ac:dyDescent="0.15">
      <c r="W138" s="12">
        <f t="shared" si="4"/>
        <v>135</v>
      </c>
      <c r="X138" s="62">
        <f t="array" aca="1" ref="X138:AA138" ca="1">simulate!AE138:AH138</f>
        <v>1.0986979334726732</v>
      </c>
      <c r="Y138" s="62">
        <f ca="1"/>
        <v>1.6148153088836168</v>
      </c>
      <c r="Z138" s="62">
        <f ca="1"/>
        <v>0.25905670816040682</v>
      </c>
      <c r="AA138" s="62">
        <f ca="1"/>
        <v>0.29058990559033981</v>
      </c>
      <c r="AB138" s="98">
        <f t="shared" si="5"/>
        <v>0</v>
      </c>
      <c r="AC138" s="62">
        <f t="array" aca="1" ref="AC138:AF138" ca="1">TRANSPOSE($G$44:$G$47 + MMULT($I$44:$L$47,TRANSPOSE(AR137:AU137)))</f>
        <v>0.98736889185953314</v>
      </c>
      <c r="AD138" s="62">
        <f ca="1"/>
        <v>0.86510457216736225</v>
      </c>
      <c r="AE138" s="62">
        <f ca="1"/>
        <v>0.92980823973142246</v>
      </c>
      <c r="AF138" s="62">
        <f ca="1"/>
        <v>1.0330951032003501</v>
      </c>
      <c r="AG138" s="66" t="str">
        <f t="array" ref="AG138">IF($AB138, Push(MMULT($I$44:$L$47,MMULT(Fetch(AV137),TRANSPOSE($I$44:$L$47))) + $N$44:$Q$47), "")</f>
        <v/>
      </c>
      <c r="AH138" s="62">
        <f t="array" aca="1" ref="AH138:AK138" ca="1">TRANSPOSE($G$38:$G$41 + MMULT($I$38:$L$41,TRANSPOSE(AC138:AF138)))</f>
        <v>1.2212181158274766</v>
      </c>
      <c r="AI138" s="62">
        <f ca="1"/>
        <v>1.1226879337541091</v>
      </c>
      <c r="AJ138" s="62">
        <f ca="1"/>
        <v>0.96070559269120892</v>
      </c>
      <c r="AK138" s="62">
        <f ca="1"/>
        <v>1.0556983835906135</v>
      </c>
      <c r="AL138" s="66" t="str">
        <f t="array" ref="AL138">IF($AB138, Push(MINVERSE(MMULT($I$38:$L$41,MMULT(Fetch(AG138),TRANSPOSE($I$38:$L$41))) + $N$38:$Q$41)), "")</f>
        <v/>
      </c>
      <c r="AM138" s="62">
        <f t="array" aca="1" ref="AM138:AP138" ca="1">X138:AA138 - AH138:AK138</f>
        <v>-0.12252018235480344</v>
      </c>
      <c r="AN138" s="62">
        <f ca="1"/>
        <v>0.49212737512950766</v>
      </c>
      <c r="AO138" s="62">
        <f ca="1"/>
        <v>-0.7016488845308021</v>
      </c>
      <c r="AP138" s="62">
        <f ca="1"/>
        <v>-0.76510847800027371</v>
      </c>
      <c r="AQ138" s="66" t="str">
        <f t="array" ref="AQ138">IF($AB138, Push(MMULT(Fetch(AG138),MMULT(TRANSPOSE($I$38:$L$41),Fetch(AL138)))), "")</f>
        <v/>
      </c>
      <c r="AR138" s="62">
        <f t="array" aca="1" ref="AR138:AU138" ca="1">AC138:AF138 + TRANSPOSE(MMULT(IF($AB138,Fetch(AQ138),$L$61:$O$64),TRANSPOSE(AM138:AP138)))</f>
        <v>1.004406592116031</v>
      </c>
      <c r="AS138" s="62">
        <f ca="1"/>
        <v>1.16244986694948</v>
      </c>
      <c r="AT138" s="62">
        <f ca="1"/>
        <v>0.20095465983431748</v>
      </c>
      <c r="AU138" s="62">
        <f ca="1"/>
        <v>0.48312870668026031</v>
      </c>
      <c r="AV138" s="66" t="str">
        <f t="array" ref="AV138">IF($AB138, Push(Fetch(AG138) - MMULT(Fetch(AQ138),MMULT($I$38:$L$41,Fetch(AG138)))), "")</f>
        <v/>
      </c>
      <c r="AW138" s="97">
        <f t="array" aca="1" ref="AW138" ca="1">IF($AB138,LN(MDETERM(Fetch(AL138))),$J$65)   -   MMULT(AM138:AP138,MMULT(IF($AB138,Fetch(AL138),$G$61:$J$64),TRANSPOSE(AM138:AP138)))</f>
        <v>0.20624161728384838</v>
      </c>
    </row>
    <row r="139" spans="23:49" x14ac:dyDescent="0.15">
      <c r="W139" s="12">
        <f t="shared" si="4"/>
        <v>136</v>
      </c>
      <c r="X139" s="62">
        <f t="array" aca="1" ref="X139:AA139" ca="1">simulate!AE139:AH139</f>
        <v>1.192778959788672</v>
      </c>
      <c r="Y139" s="62">
        <f ca="1"/>
        <v>0.65366025505667469</v>
      </c>
      <c r="Z139" s="62">
        <f ca="1"/>
        <v>0.20197206212502222</v>
      </c>
      <c r="AA139" s="62">
        <f ca="1"/>
        <v>0.42765332338982009</v>
      </c>
      <c r="AB139" s="98">
        <f t="shared" si="5"/>
        <v>0</v>
      </c>
      <c r="AC139" s="62">
        <f t="array" aca="1" ref="AC139:AF139" ca="1">TRANSPOSE($G$44:$G$47 + MMULT($I$44:$L$47,TRANSPOSE(AR138:AU138)))</f>
        <v>1.0260152040972297</v>
      </c>
      <c r="AD139" s="62">
        <f ca="1"/>
        <v>0.9068753490807302</v>
      </c>
      <c r="AE139" s="62">
        <f ca="1"/>
        <v>0.54248772480897556</v>
      </c>
      <c r="AF139" s="62">
        <f ca="1"/>
        <v>0.62129676777039622</v>
      </c>
      <c r="AG139" s="66" t="str">
        <f t="array" ref="AG139">IF($AB139, Push(MMULT($I$44:$L$47,MMULT(Fetch(AV138),TRANSPOSE($I$44:$L$47))) + $N$44:$Q$47), "")</f>
        <v/>
      </c>
      <c r="AH139" s="62">
        <f t="array" aca="1" ref="AH139:AK139" ca="1">TRANSPOSE($G$38:$G$41 + MMULT($I$38:$L$41,TRANSPOSE(AC139:AF139)))</f>
        <v>1.1174461158066082</v>
      </c>
      <c r="AI139" s="62">
        <f ca="1"/>
        <v>1.1914253497783456</v>
      </c>
      <c r="AJ139" s="62">
        <f ca="1"/>
        <v>0.65186462059721517</v>
      </c>
      <c r="AK139" s="62">
        <f ca="1"/>
        <v>0.59531030902502757</v>
      </c>
      <c r="AL139" s="66" t="str">
        <f t="array" ref="AL139">IF($AB139, Push(MINVERSE(MMULT($I$38:$L$41,MMULT(Fetch(AG139),TRANSPOSE($I$38:$L$41))) + $N$38:$Q$41)), "")</f>
        <v/>
      </c>
      <c r="AM139" s="62">
        <f t="array" aca="1" ref="AM139:AP139" ca="1">X139:AA139 - AH139:AK139</f>
        <v>7.5332843982063746E-2</v>
      </c>
      <c r="AN139" s="62">
        <f ca="1"/>
        <v>-0.53776509472167089</v>
      </c>
      <c r="AO139" s="62">
        <f ca="1"/>
        <v>-0.44989255847219295</v>
      </c>
      <c r="AP139" s="62">
        <f ca="1"/>
        <v>-0.16765698563520748</v>
      </c>
      <c r="AQ139" s="66" t="str">
        <f t="array" ref="AQ139">IF($AB139, Push(MMULT(Fetch(AG139),MMULT(TRANSPOSE($I$38:$L$41),Fetch(AL139)))), "")</f>
        <v/>
      </c>
      <c r="AR139" s="62">
        <f t="array" aca="1" ref="AR139:AU139" ca="1">AC139:AF139 + TRANSPOSE(MMULT(IF($AB139,Fetch(AQ139),$L$61:$O$64),TRANSPOSE(AM139:AP139)))</f>
        <v>0.90079163318146493</v>
      </c>
      <c r="AS139" s="62">
        <f ca="1"/>
        <v>0.64803278187038726</v>
      </c>
      <c r="AT139" s="62">
        <f ca="1"/>
        <v>0.45116523789084639</v>
      </c>
      <c r="AU139" s="62">
        <f ca="1"/>
        <v>0.37598355385536614</v>
      </c>
      <c r="AV139" s="66" t="str">
        <f t="array" ref="AV139">IF($AB139, Push(Fetch(AG139) - MMULT(Fetch(AQ139),MMULT($I$38:$L$41,Fetch(AG139)))), "")</f>
        <v/>
      </c>
      <c r="AW139" s="97">
        <f t="array" aca="1" ref="AW139" ca="1">IF($AB139,LN(MDETERM(Fetch(AL139))),$J$65)   -   MMULT(AM139:AP139,MMULT(IF($AB139,Fetch(AL139),$G$61:$J$64),TRANSPOSE(AM139:AP139)))</f>
        <v>2.0167483206996364</v>
      </c>
    </row>
    <row r="140" spans="23:49" x14ac:dyDescent="0.15">
      <c r="W140" s="12">
        <f t="shared" si="4"/>
        <v>137</v>
      </c>
      <c r="X140" s="62">
        <f t="array" aca="1" ref="X140:AA140" ca="1">simulate!AE140:AH140</f>
        <v>0.43691183940343492</v>
      </c>
      <c r="Y140" s="62">
        <f ca="1"/>
        <v>0.33974901210947711</v>
      </c>
      <c r="Z140" s="62">
        <f ca="1"/>
        <v>1.0461442748265997</v>
      </c>
      <c r="AA140" s="62">
        <f ca="1"/>
        <v>0.7168092988611906</v>
      </c>
      <c r="AB140" s="98">
        <f t="shared" si="5"/>
        <v>0</v>
      </c>
      <c r="AC140" s="62">
        <f t="array" aca="1" ref="AC140:AF140" ca="1">TRANSPOSE($G$44:$G$47 + MMULT($I$44:$L$47,TRANSPOSE(AR139:AU139)))</f>
        <v>0.90658814489060568</v>
      </c>
      <c r="AD140" s="62">
        <f ca="1"/>
        <v>0.64163076693188148</v>
      </c>
      <c r="AE140" s="62">
        <f ca="1"/>
        <v>0.57086731060344176</v>
      </c>
      <c r="AF140" s="62">
        <f ca="1"/>
        <v>0.5624571194342054</v>
      </c>
      <c r="AG140" s="66" t="str">
        <f t="array" ref="AG140">IF($AB140, Push(MMULT($I$44:$L$47,MMULT(Fetch(AV139),TRANSPOSE($I$44:$L$47))) + $N$44:$Q$47), "")</f>
        <v/>
      </c>
      <c r="AH140" s="62">
        <f t="array" aca="1" ref="AH140:AK140" ca="1">TRANSPOSE($G$38:$G$41 + MMULT($I$38:$L$41,TRANSPOSE(AC140:AF140)))</f>
        <v>1.080869930429889</v>
      </c>
      <c r="AI140" s="62">
        <f ca="1"/>
        <v>0.89731296518778958</v>
      </c>
      <c r="AJ140" s="62">
        <f ca="1"/>
        <v>0.65466073250073986</v>
      </c>
      <c r="AK140" s="62">
        <f ca="1"/>
        <v>0.56310339069651749</v>
      </c>
      <c r="AL140" s="66" t="str">
        <f t="array" ref="AL140">IF($AB140, Push(MINVERSE(MMULT($I$38:$L$41,MMULT(Fetch(AG140),TRANSPOSE($I$38:$L$41))) + $N$38:$Q$41)), "")</f>
        <v/>
      </c>
      <c r="AM140" s="62">
        <f t="array" aca="1" ref="AM140:AP140" ca="1">X140:AA140 - AH140:AK140</f>
        <v>-0.64395809102645407</v>
      </c>
      <c r="AN140" s="62">
        <f ca="1"/>
        <v>-0.55756395307831252</v>
      </c>
      <c r="AO140" s="62">
        <f ca="1"/>
        <v>0.3914835423258598</v>
      </c>
      <c r="AP140" s="62">
        <f ca="1"/>
        <v>0.15370590816467311</v>
      </c>
      <c r="AQ140" s="66" t="str">
        <f t="array" ref="AQ140">IF($AB140, Push(MMULT(Fetch(AG140),MMULT(TRANSPOSE($I$38:$L$41),Fetch(AL140)))), "")</f>
        <v/>
      </c>
      <c r="AR140" s="62">
        <f t="array" aca="1" ref="AR140:AU140" ca="1">AC140:AF140 + TRANSPOSE(MMULT(IF($AB140,Fetch(AQ140),$L$61:$O$64),TRANSPOSE(AM140:AP140)))</f>
        <v>0.58976095778434545</v>
      </c>
      <c r="AS140" s="62">
        <f ca="1"/>
        <v>0.38432654384045845</v>
      </c>
      <c r="AT140" s="62">
        <f ca="1"/>
        <v>0.5747592035642789</v>
      </c>
      <c r="AU140" s="62">
        <f ca="1"/>
        <v>0.76936444522941627</v>
      </c>
      <c r="AV140" s="66" t="str">
        <f t="array" ref="AV140">IF($AB140, Push(Fetch(AG140) - MMULT(Fetch(AQ140),MMULT($I$38:$L$41,Fetch(AG140)))), "")</f>
        <v/>
      </c>
      <c r="AW140" s="97">
        <f t="array" aca="1" ref="AW140" ca="1">IF($AB140,LN(MDETERM(Fetch(AL140))),$J$65)   -   MMULT(AM140:AP140,MMULT(IF($AB140,Fetch(AL140),$G$61:$J$64),TRANSPOSE(AM140:AP140)))</f>
        <v>2.7073285926503408</v>
      </c>
    </row>
    <row r="141" spans="23:49" x14ac:dyDescent="0.15">
      <c r="W141" s="12">
        <f t="shared" si="4"/>
        <v>138</v>
      </c>
      <c r="X141" s="62">
        <f t="array" aca="1" ref="X141:AA141" ca="1">simulate!AE141:AH141</f>
        <v>0.38062207800424674</v>
      </c>
      <c r="Y141" s="62">
        <f ca="1"/>
        <v>1.5838247752027952</v>
      </c>
      <c r="Z141" s="62">
        <f ca="1"/>
        <v>0.91224841082765051</v>
      </c>
      <c r="AA141" s="62">
        <f ca="1"/>
        <v>0.86347195604717375</v>
      </c>
      <c r="AB141" s="98">
        <f t="shared" si="5"/>
        <v>0</v>
      </c>
      <c r="AC141" s="62">
        <f t="array" aca="1" ref="AC141:AF141" ca="1">TRANSPOSE($G$44:$G$47 + MMULT($I$44:$L$47,TRANSPOSE(AR140:AU140)))</f>
        <v>0.72728415457421802</v>
      </c>
      <c r="AD141" s="62">
        <f ca="1"/>
        <v>0.49500395613533565</v>
      </c>
      <c r="AE141" s="62">
        <f ca="1"/>
        <v>0.63087864826305506</v>
      </c>
      <c r="AF141" s="62">
        <f ca="1"/>
        <v>0.76126053747783429</v>
      </c>
      <c r="AG141" s="66" t="str">
        <f t="array" ref="AG141">IF($AB141, Push(MMULT($I$44:$L$47,MMULT(Fetch(AV140),TRANSPOSE($I$44:$L$47))) + $N$44:$Q$47), "")</f>
        <v/>
      </c>
      <c r="AH141" s="62">
        <f t="array" aca="1" ref="AH141:AK141" ca="1">TRANSPOSE($G$38:$G$41 + MMULT($I$38:$L$41,TRANSPOSE(AC141:AF141)))</f>
        <v>0.94199757124575312</v>
      </c>
      <c r="AI141" s="62">
        <f ca="1"/>
        <v>0.72695605207683422</v>
      </c>
      <c r="AJ141" s="62">
        <f ca="1"/>
        <v>0.80150006167339605</v>
      </c>
      <c r="AK141" s="62">
        <f ca="1"/>
        <v>0.72712992415782751</v>
      </c>
      <c r="AL141" s="66" t="str">
        <f t="array" ref="AL141">IF($AB141, Push(MINVERSE(MMULT($I$38:$L$41,MMULT(Fetch(AG141),TRANSPOSE($I$38:$L$41))) + $N$38:$Q$41)), "")</f>
        <v/>
      </c>
      <c r="AM141" s="62">
        <f t="array" aca="1" ref="AM141:AP141" ca="1">X141:AA141 - AH141:AK141</f>
        <v>-0.56137549324150637</v>
      </c>
      <c r="AN141" s="62">
        <f ca="1"/>
        <v>0.85686872312596096</v>
      </c>
      <c r="AO141" s="62">
        <f ca="1"/>
        <v>0.11074834915425447</v>
      </c>
      <c r="AP141" s="62">
        <f ca="1"/>
        <v>0.13634203188934624</v>
      </c>
      <c r="AQ141" s="66" t="str">
        <f t="array" ref="AQ141">IF($AB141, Push(MMULT(Fetch(AG141),MMULT(TRANSPOSE($I$38:$L$41),Fetch(AL141)))), "")</f>
        <v/>
      </c>
      <c r="AR141" s="62">
        <f t="array" aca="1" ref="AR141:AU141" ca="1">AC141:AF141 + TRANSPOSE(MMULT(IF($AB141,Fetch(AQ141),$L$61:$O$64),TRANSPOSE(AM141:AP141)))</f>
        <v>0.60322176522763149</v>
      </c>
      <c r="AS141" s="62">
        <f ca="1"/>
        <v>1.0855484133875097</v>
      </c>
      <c r="AT141" s="62">
        <f ca="1"/>
        <v>0.42776982369445399</v>
      </c>
      <c r="AU141" s="62">
        <f ca="1"/>
        <v>0.85792741287303731</v>
      </c>
      <c r="AV141" s="66" t="str">
        <f t="array" ref="AV141">IF($AB141, Push(Fetch(AG141) - MMULT(Fetch(AQ141),MMULT($I$38:$L$41,Fetch(AG141)))), "")</f>
        <v/>
      </c>
      <c r="AW141" s="97">
        <f t="array" aca="1" ref="AW141" ca="1">IF($AB141,LN(MDETERM(Fetch(AL141))),$J$65)   -   MMULT(AM141:AP141,MMULT(IF($AB141,Fetch(AL141),$G$61:$J$64),TRANSPOSE(AM141:AP141)))</f>
        <v>-4.56267373189627</v>
      </c>
    </row>
    <row r="142" spans="23:49" x14ac:dyDescent="0.15">
      <c r="W142" s="12">
        <f t="shared" si="4"/>
        <v>139</v>
      </c>
      <c r="X142" s="62">
        <f t="array" aca="1" ref="X142:AA142" ca="1">simulate!AE142:AH142</f>
        <v>-0.25725368985832642</v>
      </c>
      <c r="Y142" s="62">
        <f ca="1"/>
        <v>0.3970671250330281</v>
      </c>
      <c r="Z142" s="62">
        <f ca="1"/>
        <v>1.2750611924503237</v>
      </c>
      <c r="AA142" s="62">
        <f ca="1"/>
        <v>0.56117735060017215</v>
      </c>
      <c r="AB142" s="98">
        <f t="shared" si="5"/>
        <v>0</v>
      </c>
      <c r="AC142" s="62">
        <f t="array" aca="1" ref="AC142:AF142" ca="1">TRANSPOSE($G$44:$G$47 + MMULT($I$44:$L$47,TRANSPOSE(AR141:AU141)))</f>
        <v>0.8321213852317908</v>
      </c>
      <c r="AD142" s="62">
        <f ca="1"/>
        <v>0.86045276861960673</v>
      </c>
      <c r="AE142" s="62">
        <f ca="1"/>
        <v>0.67940828841030088</v>
      </c>
      <c r="AF142" s="62">
        <f ca="1"/>
        <v>0.8357884114552474</v>
      </c>
      <c r="AG142" s="66" t="str">
        <f t="array" ref="AG142">IF($AB142, Push(MMULT($I$44:$L$47,MMULT(Fetch(AV141),TRANSPOSE($I$44:$L$47))) + $N$44:$Q$47), "")</f>
        <v/>
      </c>
      <c r="AH142" s="62">
        <f t="array" aca="1" ref="AH142:AK142" ca="1">TRANSPOSE($G$38:$G$41 + MMULT($I$38:$L$41,TRANSPOSE(AC142:AF142)))</f>
        <v>1.0072700890194328</v>
      </c>
      <c r="AI142" s="62">
        <f ca="1"/>
        <v>1.0864089903683842</v>
      </c>
      <c r="AJ142" s="62">
        <f ca="1"/>
        <v>0.76095049006280324</v>
      </c>
      <c r="AK142" s="62">
        <f ca="1"/>
        <v>0.85881904773976725</v>
      </c>
      <c r="AL142" s="66" t="str">
        <f t="array" ref="AL142">IF($AB142, Push(MINVERSE(MMULT($I$38:$L$41,MMULT(Fetch(AG142),TRANSPOSE($I$38:$L$41))) + $N$38:$Q$41)), "")</f>
        <v/>
      </c>
      <c r="AM142" s="62">
        <f t="array" aca="1" ref="AM142:AP142" ca="1">X142:AA142 - AH142:AK142</f>
        <v>-1.2645237788777592</v>
      </c>
      <c r="AN142" s="62">
        <f ca="1"/>
        <v>-0.68934186533535613</v>
      </c>
      <c r="AO142" s="62">
        <f ca="1"/>
        <v>0.51411070238752044</v>
      </c>
      <c r="AP142" s="62">
        <f ca="1"/>
        <v>-0.2976416971395951</v>
      </c>
      <c r="AQ142" s="66" t="str">
        <f t="array" ref="AQ142">IF($AB142, Push(MMULT(Fetch(AG142),MMULT(TRANSPOSE($I$38:$L$41),Fetch(AL142)))), "")</f>
        <v/>
      </c>
      <c r="AR142" s="62">
        <f t="array" aca="1" ref="AR142:AU142" ca="1">AC142:AF142 + TRANSPOSE(MMULT(IF($AB142,Fetch(AQ142),$L$61:$O$64),TRANSPOSE(AM142:AP142)))</f>
        <v>0.34417564101288634</v>
      </c>
      <c r="AS142" s="62">
        <f ca="1"/>
        <v>0.52091716404084187</v>
      </c>
      <c r="AT142" s="62">
        <f ca="1"/>
        <v>0.19812819645604168</v>
      </c>
      <c r="AU142" s="62">
        <f ca="1"/>
        <v>0.93190845086855811</v>
      </c>
      <c r="AV142" s="66" t="str">
        <f t="array" ref="AV142">IF($AB142, Push(Fetch(AG142) - MMULT(Fetch(AQ142),MMULT($I$38:$L$41,Fetch(AG142)))), "")</f>
        <v/>
      </c>
      <c r="AW142" s="97">
        <f t="array" aca="1" ref="AW142" ca="1">IF($AB142,LN(MDETERM(Fetch(AL142))),$J$65)   -   MMULT(AM142:AP142,MMULT(IF($AB142,Fetch(AL142),$G$61:$J$64),TRANSPOSE(AM142:AP142)))</f>
        <v>-2.613330951621208</v>
      </c>
    </row>
    <row r="143" spans="23:49" x14ac:dyDescent="0.15">
      <c r="W143" s="12">
        <f t="shared" si="4"/>
        <v>140</v>
      </c>
      <c r="X143" s="62">
        <f t="array" aca="1" ref="X143:AA143" ca="1">simulate!AE143:AH143</f>
        <v>1.2194542965550987</v>
      </c>
      <c r="Y143" s="62">
        <f ca="1"/>
        <v>-0.1218322074936634</v>
      </c>
      <c r="Z143" s="62">
        <f ca="1"/>
        <v>0.65620534003696462</v>
      </c>
      <c r="AA143" s="62">
        <f ca="1"/>
        <v>0.99783937399620826</v>
      </c>
      <c r="AB143" s="98">
        <f t="shared" si="5"/>
        <v>0</v>
      </c>
      <c r="AC143" s="62">
        <f t="array" aca="1" ref="AC143:AF143" ca="1">TRANSPOSE($G$44:$G$47 + MMULT($I$44:$L$47,TRANSPOSE(AR142:AU142)))</f>
        <v>0.59586512173807438</v>
      </c>
      <c r="AD143" s="62">
        <f ca="1"/>
        <v>0.48473233917164216</v>
      </c>
      <c r="AE143" s="62">
        <f ca="1"/>
        <v>0.45621998921361806</v>
      </c>
      <c r="AF143" s="62">
        <f ca="1"/>
        <v>0.78581802432942949</v>
      </c>
      <c r="AG143" s="66" t="str">
        <f t="array" ref="AG143">IF($AB143, Push(MMULT($I$44:$L$47,MMULT(Fetch(AV142),TRANSPOSE($I$44:$L$47))) + $N$44:$Q$47), "")</f>
        <v/>
      </c>
      <c r="AH143" s="62">
        <f t="array" aca="1" ref="AH143:AK143" ca="1">TRANSPOSE($G$38:$G$41 + MMULT($I$38:$L$41,TRANSPOSE(AC143:AF143)))</f>
        <v>0.73045915227421987</v>
      </c>
      <c r="AI143" s="62">
        <f ca="1"/>
        <v>0.71884659103765602</v>
      </c>
      <c r="AJ143" s="62">
        <f ca="1"/>
        <v>0.79135303546224356</v>
      </c>
      <c r="AK143" s="62">
        <f ca="1"/>
        <v>0.66739754225489256</v>
      </c>
      <c r="AL143" s="66" t="str">
        <f t="array" ref="AL143">IF($AB143, Push(MINVERSE(MMULT($I$38:$L$41,MMULT(Fetch(AG143),TRANSPOSE($I$38:$L$41))) + $N$38:$Q$41)), "")</f>
        <v/>
      </c>
      <c r="AM143" s="62">
        <f t="array" aca="1" ref="AM143:AP143" ca="1">X143:AA143 - AH143:AK143</f>
        <v>0.48899514428087887</v>
      </c>
      <c r="AN143" s="62">
        <f ca="1"/>
        <v>-0.84067879853131944</v>
      </c>
      <c r="AO143" s="62">
        <f ca="1"/>
        <v>-0.13514769542527894</v>
      </c>
      <c r="AP143" s="62">
        <f ca="1"/>
        <v>0.33044183174131569</v>
      </c>
      <c r="AQ143" s="66" t="str">
        <f t="array" ref="AQ143">IF($AB143, Push(MMULT(Fetch(AG143),MMULT(TRANSPOSE($I$38:$L$41),Fetch(AL143)))), "")</f>
        <v/>
      </c>
      <c r="AR143" s="62">
        <f t="array" aca="1" ref="AR143:AU143" ca="1">AC143:AF143 + TRANSPOSE(MMULT(IF($AB143,Fetch(AQ143),$L$61:$O$64),TRANSPOSE(AM143:AP143)))</f>
        <v>0.57865846434551549</v>
      </c>
      <c r="AS143" s="62">
        <f ca="1"/>
        <v>1.3820407693669323E-2</v>
      </c>
      <c r="AT143" s="62">
        <f ca="1"/>
        <v>0.93437083258520415</v>
      </c>
      <c r="AU143" s="62">
        <f ca="1"/>
        <v>0.84201165969654401</v>
      </c>
      <c r="AV143" s="66" t="str">
        <f t="array" ref="AV143">IF($AB143, Push(Fetch(AG143) - MMULT(Fetch(AQ143),MMULT($I$38:$L$41,Fetch(AG143)))), "")</f>
        <v/>
      </c>
      <c r="AW143" s="97">
        <f t="array" aca="1" ref="AW143" ca="1">IF($AB143,LN(MDETERM(Fetch(AL143))),$J$65)   -   MMULT(AM143:AP143,MMULT(IF($AB143,Fetch(AL143),$G$61:$J$64),TRANSPOSE(AM143:AP143)))</f>
        <v>-0.31857535876227949</v>
      </c>
    </row>
    <row r="144" spans="23:49" x14ac:dyDescent="0.15">
      <c r="W144" s="12">
        <f t="shared" si="4"/>
        <v>141</v>
      </c>
      <c r="X144" s="62">
        <f t="array" aca="1" ref="X144:AA144" ca="1">simulate!AE144:AH144</f>
        <v>0.29418542387596369</v>
      </c>
      <c r="Y144" s="62">
        <f ca="1"/>
        <v>0.86346971815579887</v>
      </c>
      <c r="Z144" s="62">
        <f ca="1"/>
        <v>0.65237353143173904</v>
      </c>
      <c r="AA144" s="62">
        <f ca="1"/>
        <v>0.7025517857272664</v>
      </c>
      <c r="AB144" s="98">
        <f t="shared" si="5"/>
        <v>0</v>
      </c>
      <c r="AC144" s="62">
        <f t="array" aca="1" ref="AC144:AF144" ca="1">TRANSPOSE($G$44:$G$47 + MMULT($I$44:$L$47,TRANSPOSE(AR143:AU143)))</f>
        <v>0.69554589810317413</v>
      </c>
      <c r="AD144" s="62">
        <f ca="1"/>
        <v>0.35149101022716384</v>
      </c>
      <c r="AE144" s="62">
        <f ca="1"/>
        <v>0.77490138221208371</v>
      </c>
      <c r="AF144" s="62">
        <f ca="1"/>
        <v>0.83197437653455908</v>
      </c>
      <c r="AG144" s="66" t="str">
        <f t="array" ref="AG144">IF($AB144, Push(MMULT($I$44:$L$47,MMULT(Fetch(AV143),TRANSPOSE($I$44:$L$47))) + $N$44:$Q$47), "")</f>
        <v/>
      </c>
      <c r="AH144" s="62">
        <f t="array" aca="1" ref="AH144:AK144" ca="1">TRANSPOSE($G$38:$G$41 + MMULT($I$38:$L$41,TRANSPOSE(AC144:AF144)))</f>
        <v>0.99839203370077723</v>
      </c>
      <c r="AI144" s="62">
        <f ca="1"/>
        <v>0.56726220387934112</v>
      </c>
      <c r="AJ144" s="62">
        <f ca="1"/>
        <v>0.88940707634198102</v>
      </c>
      <c r="AK144" s="62">
        <f ca="1"/>
        <v>0.83170608644971278</v>
      </c>
      <c r="AL144" s="66" t="str">
        <f t="array" ref="AL144">IF($AB144, Push(MINVERSE(MMULT($I$38:$L$41,MMULT(Fetch(AG144),TRANSPOSE($I$38:$L$41))) + $N$38:$Q$41)), "")</f>
        <v/>
      </c>
      <c r="AM144" s="62">
        <f t="array" aca="1" ref="AM144:AP144" ca="1">X144:AA144 - AH144:AK144</f>
        <v>-0.70420660982481353</v>
      </c>
      <c r="AN144" s="62">
        <f ca="1"/>
        <v>0.29620751427645775</v>
      </c>
      <c r="AO144" s="62">
        <f ca="1"/>
        <v>-0.23703354491024198</v>
      </c>
      <c r="AP144" s="62">
        <f ca="1"/>
        <v>-0.12915430072244638</v>
      </c>
      <c r="AQ144" s="66" t="str">
        <f t="array" ref="AQ144">IF($AB144, Push(MMULT(Fetch(AG144),MMULT(TRANSPOSE($I$38:$L$41),Fetch(AL144)))), "")</f>
        <v/>
      </c>
      <c r="AR144" s="62">
        <f t="array" aca="1" ref="AR144:AU144" ca="1">AC144:AF144 + TRANSPOSE(MMULT(IF($AB144,Fetch(AQ144),$L$61:$O$64),TRANSPOSE(AM144:AP144)))</f>
        <v>0.39092376206375001</v>
      </c>
      <c r="AS144" s="62">
        <f ca="1"/>
        <v>0.66735415529487718</v>
      </c>
      <c r="AT144" s="62">
        <f ca="1"/>
        <v>0.35698514048637181</v>
      </c>
      <c r="AU144" s="62">
        <f ca="1"/>
        <v>0.68981922745289193</v>
      </c>
      <c r="AV144" s="66" t="str">
        <f t="array" ref="AV144">IF($AB144, Push(Fetch(AG144) - MMULT(Fetch(AQ144),MMULT($I$38:$L$41,Fetch(AG144)))), "")</f>
        <v/>
      </c>
      <c r="AW144" s="97">
        <f t="array" aca="1" ref="AW144" ca="1">IF($AB144,LN(MDETERM(Fetch(AL144))),$J$65)   -   MMULT(AM144:AP144,MMULT(IF($AB144,Fetch(AL144),$G$61:$J$64),TRANSPOSE(AM144:AP144)))</f>
        <v>3.1246459008096847</v>
      </c>
    </row>
    <row r="145" spans="23:49" x14ac:dyDescent="0.15">
      <c r="W145" s="12">
        <f t="shared" si="4"/>
        <v>142</v>
      </c>
      <c r="X145" s="62">
        <f t="array" aca="1" ref="X145:AA145" ca="1">simulate!AE145:AH145</f>
        <v>0.62570664788957897</v>
      </c>
      <c r="Y145" s="62">
        <f ca="1"/>
        <v>1.4087897281244066</v>
      </c>
      <c r="Z145" s="62">
        <f ca="1"/>
        <v>0.14615937336891194</v>
      </c>
      <c r="AA145" s="62">
        <f ca="1"/>
        <v>0.35001869144127074</v>
      </c>
      <c r="AB145" s="98">
        <f t="shared" si="5"/>
        <v>0</v>
      </c>
      <c r="AC145" s="62">
        <f t="array" aca="1" ref="AC145:AF145" ca="1">TRANSPOSE($G$44:$G$47 + MMULT($I$44:$L$47,TRANSPOSE(AR144:AU144)))</f>
        <v>0.64245826128509254</v>
      </c>
      <c r="AD145" s="62">
        <f ca="1"/>
        <v>0.5776859082816368</v>
      </c>
      <c r="AE145" s="62">
        <f ca="1"/>
        <v>0.53329069829319764</v>
      </c>
      <c r="AF145" s="62">
        <f ca="1"/>
        <v>0.69353414141239389</v>
      </c>
      <c r="AG145" s="66" t="str">
        <f t="array" ref="AG145">IF($AB145, Push(MMULT($I$44:$L$47,MMULT(Fetch(AV144),TRANSPOSE($I$44:$L$47))) + $N$44:$Q$47), "")</f>
        <v/>
      </c>
      <c r="AH145" s="62">
        <f t="array" aca="1" ref="AH145:AK145" ca="1">TRANSPOSE($G$38:$G$41 + MMULT($I$38:$L$41,TRANSPOSE(AC145:AF145)))</f>
        <v>0.83412428082256618</v>
      </c>
      <c r="AI145" s="62">
        <f ca="1"/>
        <v>0.77924267349681364</v>
      </c>
      <c r="AJ145" s="62">
        <f ca="1"/>
        <v>0.68981095605768772</v>
      </c>
      <c r="AK145" s="62">
        <f ca="1"/>
        <v>0.69111581293909219</v>
      </c>
      <c r="AL145" s="66" t="str">
        <f t="array" ref="AL145">IF($AB145, Push(MINVERSE(MMULT($I$38:$L$41,MMULT(Fetch(AG145),TRANSPOSE($I$38:$L$41))) + $N$38:$Q$41)), "")</f>
        <v/>
      </c>
      <c r="AM145" s="62">
        <f t="array" aca="1" ref="AM145:AP145" ca="1">X145:AA145 - AH145:AK145</f>
        <v>-0.20841763293298721</v>
      </c>
      <c r="AN145" s="62">
        <f ca="1"/>
        <v>0.62954705462759297</v>
      </c>
      <c r="AO145" s="62">
        <f ca="1"/>
        <v>-0.54365158268877578</v>
      </c>
      <c r="AP145" s="62">
        <f ca="1"/>
        <v>-0.34109712149782145</v>
      </c>
      <c r="AQ145" s="66" t="str">
        <f t="array" ref="AQ145">IF($AB145, Push(MMULT(Fetch(AG145),MMULT(TRANSPOSE($I$38:$L$41),Fetch(AL145)))), "")</f>
        <v/>
      </c>
      <c r="AR145" s="62">
        <f t="array" aca="1" ref="AR145:AU145" ca="1">AC145:AF145 + TRANSPOSE(MMULT(IF($AB145,Fetch(AQ145),$L$61:$O$64),TRANSPOSE(AM145:AP145)))</f>
        <v>0.58642335738063789</v>
      </c>
      <c r="AS145" s="62">
        <f ca="1"/>
        <v>1.0194388871296465</v>
      </c>
      <c r="AT145" s="62">
        <f ca="1"/>
        <v>6.1925179385058149E-2</v>
      </c>
      <c r="AU145" s="62">
        <f ca="1"/>
        <v>0.35660818425897034</v>
      </c>
      <c r="AV145" s="66" t="str">
        <f t="array" ref="AV145">IF($AB145, Push(Fetch(AG145) - MMULT(Fetch(AQ145),MMULT($I$38:$L$41,Fetch(AG145)))), "")</f>
        <v/>
      </c>
      <c r="AW145" s="97">
        <f t="array" aca="1" ref="AW145" ca="1">IF($AB145,LN(MDETERM(Fetch(AL145))),$J$65)   -   MMULT(AM145:AP145,MMULT(IF($AB145,Fetch(AL145),$G$61:$J$64),TRANSPOSE(AM145:AP145)))</f>
        <v>4.1927081771174208</v>
      </c>
    </row>
    <row r="146" spans="23:49" x14ac:dyDescent="0.15">
      <c r="W146" s="12">
        <f t="shared" si="4"/>
        <v>143</v>
      </c>
      <c r="X146" s="62">
        <f t="array" aca="1" ref="X146:AA146" ca="1">simulate!AE146:AH146</f>
        <v>-0.46663911441059758</v>
      </c>
      <c r="Y146" s="62">
        <f ca="1"/>
        <v>0.8304367995187939</v>
      </c>
      <c r="Z146" s="62">
        <f ca="1"/>
        <v>-0.29257733389742524</v>
      </c>
      <c r="AA146" s="62">
        <f ca="1"/>
        <v>0.53242968069014551</v>
      </c>
      <c r="AB146" s="98">
        <f t="shared" si="5"/>
        <v>0</v>
      </c>
      <c r="AC146" s="62">
        <f t="array" aca="1" ref="AC146:AF146" ca="1">TRANSPOSE($G$44:$G$47 + MMULT($I$44:$L$47,TRANSPOSE(AR145:AU145)))</f>
        <v>0.76313199762134443</v>
      </c>
      <c r="AD146" s="62">
        <f ca="1"/>
        <v>0.7321937693390056</v>
      </c>
      <c r="AE146" s="62">
        <f ca="1"/>
        <v>0.39570469627650934</v>
      </c>
      <c r="AF146" s="62">
        <f ca="1"/>
        <v>0.50012696078986374</v>
      </c>
      <c r="AG146" s="66" t="str">
        <f t="array" ref="AG146">IF($AB146, Push(MMULT($I$44:$L$47,MMULT(Fetch(AV145),TRANSPOSE($I$44:$L$47))) + $N$44:$Q$47), "")</f>
        <v/>
      </c>
      <c r="AH146" s="62">
        <f t="array" aca="1" ref="AH146:AK146" ca="1">TRANSPOSE($G$38:$G$41 + MMULT($I$38:$L$41,TRANSPOSE(AC146:AF146)))</f>
        <v>0.87976267283266041</v>
      </c>
      <c r="AI146" s="62">
        <f ca="1"/>
        <v>0.95566016337501125</v>
      </c>
      <c r="AJ146" s="62">
        <f ca="1"/>
        <v>0.52903474837285036</v>
      </c>
      <c r="AK146" s="62">
        <f ca="1"/>
        <v>0.50212879560864798</v>
      </c>
      <c r="AL146" s="66" t="str">
        <f t="array" ref="AL146">IF($AB146, Push(MINVERSE(MMULT($I$38:$L$41,MMULT(Fetch(AG146),TRANSPOSE($I$38:$L$41))) + $N$38:$Q$41)), "")</f>
        <v/>
      </c>
      <c r="AM146" s="62">
        <f t="array" aca="1" ref="AM146:AP146" ca="1">X146:AA146 - AH146:AK146</f>
        <v>-1.3464017872432579</v>
      </c>
      <c r="AN146" s="62">
        <f ca="1"/>
        <v>-0.12522336385621735</v>
      </c>
      <c r="AO146" s="62">
        <f ca="1"/>
        <v>-0.8216120822702756</v>
      </c>
      <c r="AP146" s="62">
        <f ca="1"/>
        <v>3.0300885081497531E-2</v>
      </c>
      <c r="AQ146" s="66" t="str">
        <f t="array" ref="AQ146">IF($AB146, Push(MMULT(Fetch(AG146),MMULT(TRANSPOSE($I$38:$L$41),Fetch(AL146)))), "")</f>
        <v/>
      </c>
      <c r="AR146" s="62">
        <f t="array" aca="1" ref="AR146:AU146" ca="1">AC146:AF146 + TRANSPOSE(MMULT(IF($AB146,Fetch(AQ146),$L$61:$O$64),TRANSPOSE(AM146:AP146)))</f>
        <v>-8.2297684106989122E-2</v>
      </c>
      <c r="AS146" s="62">
        <f ca="1"/>
        <v>1.0739039053660235</v>
      </c>
      <c r="AT146" s="62">
        <f ca="1"/>
        <v>-0.19581638704489041</v>
      </c>
      <c r="AU146" s="62">
        <f ca="1"/>
        <v>0.17017531407167996</v>
      </c>
      <c r="AV146" s="66" t="str">
        <f t="array" ref="AV146">IF($AB146, Push(Fetch(AG146) - MMULT(Fetch(AQ146),MMULT($I$38:$L$41,Fetch(AG146)))), "")</f>
        <v/>
      </c>
      <c r="AW146" s="97">
        <f t="array" aca="1" ref="AW146" ca="1">IF($AB146,LN(MDETERM(Fetch(AL146))),$J$65)   -   MMULT(AM146:AP146,MMULT(IF($AB146,Fetch(AL146),$G$61:$J$64),TRANSPOSE(AM146:AP146)))</f>
        <v>-7.9523778390200448</v>
      </c>
    </row>
    <row r="147" spans="23:49" x14ac:dyDescent="0.15">
      <c r="W147" s="12">
        <f t="shared" si="4"/>
        <v>144</v>
      </c>
      <c r="X147" s="62">
        <f t="array" aca="1" ref="X147:AA147" ca="1">simulate!AE147:AH147</f>
        <v>0.62110354050004313</v>
      </c>
      <c r="Y147" s="62">
        <f ca="1"/>
        <v>0.79563554386191881</v>
      </c>
      <c r="Z147" s="62">
        <f ca="1"/>
        <v>7.3761504416874846E-2</v>
      </c>
      <c r="AA147" s="62">
        <f ca="1"/>
        <v>-0.15444804376083826</v>
      </c>
      <c r="AB147" s="98">
        <f t="shared" si="5"/>
        <v>0</v>
      </c>
      <c r="AC147" s="62">
        <f t="array" aca="1" ref="AC147:AF147" ca="1">TRANSPOSE($G$44:$G$47 + MMULT($I$44:$L$47,TRANSPOSE(AR146:AU146)))</f>
        <v>0.38272686373212256</v>
      </c>
      <c r="AD147" s="62">
        <f ca="1"/>
        <v>0.60162115159616347</v>
      </c>
      <c r="AE147" s="62">
        <f ca="1"/>
        <v>0.19015547433096622</v>
      </c>
      <c r="AF147" s="62">
        <f ca="1"/>
        <v>0.32933365414454641</v>
      </c>
      <c r="AG147" s="66" t="str">
        <f t="array" ref="AG147">IF($AB147, Push(MMULT($I$44:$L$47,MMULT(Fetch(AV146),TRANSPOSE($I$44:$L$47))) + $N$44:$Q$47), "")</f>
        <v/>
      </c>
      <c r="AH147" s="62">
        <f t="array" aca="1" ref="AH147:AK147" ca="1">TRANSPOSE($G$38:$G$41 + MMULT($I$38:$L$41,TRANSPOSE(AC147:AF147)))</f>
        <v>0.53240358770871876</v>
      </c>
      <c r="AI147" s="62">
        <f ca="1"/>
        <v>0.72011297557967169</v>
      </c>
      <c r="AJ147" s="62">
        <f ca="1"/>
        <v>0.30803579618753357</v>
      </c>
      <c r="AK147" s="62">
        <f ca="1"/>
        <v>0.41159282448494061</v>
      </c>
      <c r="AL147" s="66" t="str">
        <f t="array" ref="AL147">IF($AB147, Push(MINVERSE(MMULT($I$38:$L$41,MMULT(Fetch(AG147),TRANSPOSE($I$38:$L$41))) + $N$38:$Q$41)), "")</f>
        <v/>
      </c>
      <c r="AM147" s="62">
        <f t="array" aca="1" ref="AM147:AP147" ca="1">X147:AA147 - AH147:AK147</f>
        <v>8.8699952791324366E-2</v>
      </c>
      <c r="AN147" s="62">
        <f ca="1"/>
        <v>7.5522568282247127E-2</v>
      </c>
      <c r="AO147" s="62">
        <f ca="1"/>
        <v>-0.23427429177065873</v>
      </c>
      <c r="AP147" s="62">
        <f ca="1"/>
        <v>-0.56604086824577893</v>
      </c>
      <c r="AQ147" s="66" t="str">
        <f t="array" ref="AQ147">IF($AB147, Push(MMULT(Fetch(AG147),MMULT(TRANSPOSE($I$38:$L$41),Fetch(AL147)))), "")</f>
        <v/>
      </c>
      <c r="AR147" s="62">
        <f t="array" aca="1" ref="AR147:AU147" ca="1">AC147:AF147 + TRANSPOSE(MMULT(IF($AB147,Fetch(AQ147),$L$61:$O$64),TRANSPOSE(AM147:AP147)))</f>
        <v>0.50318676953945296</v>
      </c>
      <c r="AS147" s="62">
        <f ca="1"/>
        <v>0.56599451575918525</v>
      </c>
      <c r="AT147" s="62">
        <f ca="1"/>
        <v>-0.19956362905339661</v>
      </c>
      <c r="AU147" s="62">
        <f ca="1"/>
        <v>3.7134764155852762E-2</v>
      </c>
      <c r="AV147" s="66" t="str">
        <f t="array" ref="AV147">IF($AB147, Push(Fetch(AG147) - MMULT(Fetch(AQ147),MMULT($I$38:$L$41,Fetch(AG147)))), "")</f>
        <v/>
      </c>
      <c r="AW147" s="97">
        <f t="array" aca="1" ref="AW147" ca="1">IF($AB147,LN(MDETERM(Fetch(AL147))),$J$65)   -   MMULT(AM147:AP147,MMULT(IF($AB147,Fetch(AL147),$G$61:$J$64),TRANSPOSE(AM147:AP147)))</f>
        <v>3.0420685697899126</v>
      </c>
    </row>
    <row r="148" spans="23:49" x14ac:dyDescent="0.15">
      <c r="W148" s="12">
        <f t="shared" si="4"/>
        <v>145</v>
      </c>
      <c r="X148" s="62">
        <f t="array" aca="1" ref="X148:AA148" ca="1">simulate!AE148:AH148</f>
        <v>1.1261387031682046</v>
      </c>
      <c r="Y148" s="62">
        <f ca="1"/>
        <v>-0.18650499088853448</v>
      </c>
      <c r="Z148" s="62">
        <f ca="1"/>
        <v>1.7607165662427355</v>
      </c>
      <c r="AA148" s="62">
        <f ca="1"/>
        <v>0.56722907397765965</v>
      </c>
      <c r="AB148" s="98">
        <f t="shared" si="5"/>
        <v>0</v>
      </c>
      <c r="AC148" s="62">
        <f t="array" aca="1" ref="AC148:AF148" ca="1">TRANSPOSE($G$44:$G$47 + MMULT($I$44:$L$47,TRANSPOSE(AR147:AU147)))</f>
        <v>0.61710601164425838</v>
      </c>
      <c r="AD148" s="62">
        <f ca="1"/>
        <v>0.41234631684399947</v>
      </c>
      <c r="AE148" s="62">
        <f ca="1"/>
        <v>0.12765576390424524</v>
      </c>
      <c r="AF148" s="62">
        <f ca="1"/>
        <v>0.24885438279162772</v>
      </c>
      <c r="AG148" s="66" t="str">
        <f t="array" ref="AG148">IF($AB148, Push(MMULT($I$44:$L$47,MMULT(Fetch(AV147),TRANSPOSE($I$44:$L$47))) + $N$44:$Q$47), "")</f>
        <v/>
      </c>
      <c r="AH148" s="62">
        <f t="array" aca="1" ref="AH148:AK148" ca="1">TRANSPOSE($G$38:$G$41 + MMULT($I$38:$L$41,TRANSPOSE(AC148:AF148)))</f>
        <v>0.6932637603319991</v>
      </c>
      <c r="AI148" s="62">
        <f ca="1"/>
        <v>0.64206231961512183</v>
      </c>
      <c r="AJ148" s="62">
        <f ca="1"/>
        <v>0.40913764304735828</v>
      </c>
      <c r="AK148" s="62">
        <f ca="1"/>
        <v>0.16879210064738115</v>
      </c>
      <c r="AL148" s="66" t="str">
        <f t="array" ref="AL148">IF($AB148, Push(MINVERSE(MMULT($I$38:$L$41,MMULT(Fetch(AG148),TRANSPOSE($I$38:$L$41))) + $N$38:$Q$41)), "")</f>
        <v/>
      </c>
      <c r="AM148" s="62">
        <f t="array" aca="1" ref="AM148:AP148" ca="1">X148:AA148 - AH148:AK148</f>
        <v>0.43287494283620553</v>
      </c>
      <c r="AN148" s="62">
        <f ca="1"/>
        <v>-0.82856731050365628</v>
      </c>
      <c r="AO148" s="62">
        <f ca="1"/>
        <v>1.3515789231953772</v>
      </c>
      <c r="AP148" s="62">
        <f ca="1"/>
        <v>0.3984369733302785</v>
      </c>
      <c r="AQ148" s="66" t="str">
        <f t="array" ref="AQ148">IF($AB148, Push(MMULT(Fetch(AG148),MMULT(TRANSPOSE($I$38:$L$41),Fetch(AL148)))), "")</f>
        <v/>
      </c>
      <c r="AR148" s="62">
        <f t="array" aca="1" ref="AR148:AU148" ca="1">AC148:AF148 + TRANSPOSE(MMULT(IF($AB148,Fetch(AQ148),$L$61:$O$64),TRANSPOSE(AM148:AP148)))</f>
        <v>0.93391565417371103</v>
      </c>
      <c r="AS148" s="62">
        <f ca="1"/>
        <v>-0.34011151423905817</v>
      </c>
      <c r="AT148" s="62">
        <f ca="1"/>
        <v>0.87969420284279221</v>
      </c>
      <c r="AU148" s="62">
        <f ca="1"/>
        <v>0.93439120758756233</v>
      </c>
      <c r="AV148" s="66" t="str">
        <f t="array" ref="AV148">IF($AB148, Push(Fetch(AG148) - MMULT(Fetch(AQ148),MMULT($I$38:$L$41,Fetch(AG148)))), "")</f>
        <v/>
      </c>
      <c r="AW148" s="97">
        <f t="array" aca="1" ref="AW148" ca="1">IF($AB148,LN(MDETERM(Fetch(AL148))),$J$65)   -   MMULT(AM148:AP148,MMULT(IF($AB148,Fetch(AL148),$G$61:$J$64),TRANSPOSE(AM148:AP148)))</f>
        <v>-2.9870146940139648</v>
      </c>
    </row>
    <row r="149" spans="23:49" x14ac:dyDescent="0.15">
      <c r="W149" s="12">
        <f t="shared" si="4"/>
        <v>146</v>
      </c>
      <c r="X149" s="62">
        <f t="array" aca="1" ref="X149:AA149" ca="1">simulate!AE149:AH149</f>
        <v>0.9817109030777873</v>
      </c>
      <c r="Y149" s="62">
        <f ca="1"/>
        <v>1.2588038263284425</v>
      </c>
      <c r="Z149" s="62">
        <f ca="1"/>
        <v>0.25970279675954444</v>
      </c>
      <c r="AA149" s="62">
        <f ca="1"/>
        <v>0.75479314696438427</v>
      </c>
      <c r="AB149" s="98">
        <f t="shared" si="5"/>
        <v>0</v>
      </c>
      <c r="AC149" s="62">
        <f t="array" aca="1" ref="AC149:AF149" ca="1">TRANSPOSE($G$44:$G$47 + MMULT($I$44:$L$47,TRANSPOSE(AR148:AU148)))</f>
        <v>0.83557979061151233</v>
      </c>
      <c r="AD149" s="62">
        <f ca="1"/>
        <v>0.21650501489971855</v>
      </c>
      <c r="AE149" s="62">
        <f ca="1"/>
        <v>0.72686750690437762</v>
      </c>
      <c r="AF149" s="62">
        <f ca="1"/>
        <v>0.86486689331412281</v>
      </c>
      <c r="AG149" s="66" t="str">
        <f t="array" ref="AG149">IF($AB149, Push(MMULT($I$44:$L$47,MMULT(Fetch(AV148),TRANSPOSE($I$44:$L$47))) + $N$44:$Q$47), "")</f>
        <v/>
      </c>
      <c r="AH149" s="62">
        <f t="array" aca="1" ref="AH149:AK149" ca="1">TRANSPOSE($G$38:$G$41 + MMULT($I$38:$L$41,TRANSPOSE(AC149:AF149)))</f>
        <v>1.0658300385869457</v>
      </c>
      <c r="AI149" s="62">
        <f ca="1"/>
        <v>0.52019524089087665</v>
      </c>
      <c r="AJ149" s="62">
        <f ca="1"/>
        <v>1.0267590580534731</v>
      </c>
      <c r="AK149" s="62">
        <f ca="1"/>
        <v>0.70684163820807111</v>
      </c>
      <c r="AL149" s="66" t="str">
        <f t="array" ref="AL149">IF($AB149, Push(MINVERSE(MMULT($I$38:$L$41,MMULT(Fetch(AG149),TRANSPOSE($I$38:$L$41))) + $N$38:$Q$41)), "")</f>
        <v/>
      </c>
      <c r="AM149" s="62">
        <f t="array" aca="1" ref="AM149:AP149" ca="1">X149:AA149 - AH149:AK149</f>
        <v>-8.4119135509158394E-2</v>
      </c>
      <c r="AN149" s="62">
        <f ca="1"/>
        <v>0.7386085854375658</v>
      </c>
      <c r="AO149" s="62">
        <f ca="1"/>
        <v>-0.76705626129392868</v>
      </c>
      <c r="AP149" s="62">
        <f ca="1"/>
        <v>4.7951508756313155E-2</v>
      </c>
      <c r="AQ149" s="66" t="str">
        <f t="array" ref="AQ149">IF($AB149, Push(MMULT(Fetch(AG149),MMULT(TRANSPOSE($I$38:$L$41),Fetch(AL149)))), "")</f>
        <v/>
      </c>
      <c r="AR149" s="62">
        <f t="array" aca="1" ref="AR149:AU149" ca="1">AC149:AF149 + TRANSPOSE(MMULT(IF($AB149,Fetch(AQ149),$L$61:$O$64),TRANSPOSE(AM149:AP149)))</f>
        <v>0.70989013388445499</v>
      </c>
      <c r="AS149" s="62">
        <f ca="1"/>
        <v>0.82285871448029113</v>
      </c>
      <c r="AT149" s="62">
        <f ca="1"/>
        <v>0.50541412734321489</v>
      </c>
      <c r="AU149" s="62">
        <f ca="1"/>
        <v>0.57395224800628863</v>
      </c>
      <c r="AV149" s="66" t="str">
        <f t="array" ref="AV149">IF($AB149, Push(Fetch(AG149) - MMULT(Fetch(AQ149),MMULT($I$38:$L$41,Fetch(AG149)))), "")</f>
        <v/>
      </c>
      <c r="AW149" s="97">
        <f t="array" aca="1" ref="AW149" ca="1">IF($AB149,LN(MDETERM(Fetch(AL149))),$J$65)   -   MMULT(AM149:AP149,MMULT(IF($AB149,Fetch(AL149),$G$61:$J$64),TRANSPOSE(AM149:AP149)))</f>
        <v>2.6714872403651215</v>
      </c>
    </row>
    <row r="150" spans="23:49" x14ac:dyDescent="0.15">
      <c r="W150" s="12">
        <f t="shared" si="4"/>
        <v>147</v>
      </c>
      <c r="X150" s="62">
        <f t="array" aca="1" ref="X150:AA150" ca="1">simulate!AE150:AH150</f>
        <v>1.1757559113973621</v>
      </c>
      <c r="Y150" s="62">
        <f ca="1"/>
        <v>-0.20904314736537508</v>
      </c>
      <c r="Z150" s="62">
        <f ca="1"/>
        <v>1.5688698288742051</v>
      </c>
      <c r="AA150" s="62">
        <f ca="1"/>
        <v>1.8240133163739403</v>
      </c>
      <c r="AB150" s="98">
        <f t="shared" si="5"/>
        <v>0</v>
      </c>
      <c r="AC150" s="62">
        <f t="array" aca="1" ref="AC150:AF150" ca="1">TRANSPOSE($G$44:$G$47 + MMULT($I$44:$L$47,TRANSPOSE(AR149:AU149)))</f>
        <v>0.84273491132288902</v>
      </c>
      <c r="AD150" s="62">
        <f ca="1"/>
        <v>0.72717562503491817</v>
      </c>
      <c r="AE150" s="62">
        <f ca="1"/>
        <v>0.64425901190792312</v>
      </c>
      <c r="AF150" s="62">
        <f ca="1"/>
        <v>0.68145370323448162</v>
      </c>
      <c r="AG150" s="66" t="str">
        <f t="array" ref="AG150">IF($AB150, Push(MMULT($I$44:$L$47,MMULT(Fetch(AV149),TRANSPOSE($I$44:$L$47))) + $N$44:$Q$47), "")</f>
        <v/>
      </c>
      <c r="AH150" s="62">
        <f t="array" aca="1" ref="AH150:AK150" ca="1">TRANSPOSE($G$38:$G$41 + MMULT($I$38:$L$41,TRANSPOSE(AC150:AF150)))</f>
        <v>1.0434795171522073</v>
      </c>
      <c r="AI150" s="62">
        <f ca="1"/>
        <v>0.9528583579734512</v>
      </c>
      <c r="AJ150" s="62">
        <f ca="1"/>
        <v>0.69004330559889548</v>
      </c>
      <c r="AK150" s="62">
        <f ca="1"/>
        <v>0.72186871064262137</v>
      </c>
      <c r="AL150" s="66" t="str">
        <f t="array" ref="AL150">IF($AB150, Push(MINVERSE(MMULT($I$38:$L$41,MMULT(Fetch(AG150),TRANSPOSE($I$38:$L$41))) + $N$38:$Q$41)), "")</f>
        <v/>
      </c>
      <c r="AM150" s="62">
        <f t="array" aca="1" ref="AM150:AP150" ca="1">X150:AA150 - AH150:AK150</f>
        <v>0.1322763942451548</v>
      </c>
      <c r="AN150" s="62">
        <f ca="1"/>
        <v>-1.1619015053388262</v>
      </c>
      <c r="AO150" s="62">
        <f ca="1"/>
        <v>0.87882652327530963</v>
      </c>
      <c r="AP150" s="62">
        <f ca="1"/>
        <v>1.1021446057313189</v>
      </c>
      <c r="AQ150" s="66" t="str">
        <f t="array" ref="AQ150">IF($AB150, Push(MMULT(Fetch(AG150),MMULT(TRANSPOSE($I$38:$L$41),Fetch(AL150)))), "")</f>
        <v/>
      </c>
      <c r="AR150" s="62">
        <f t="array" aca="1" ref="AR150:AU150" ca="1">AC150:AF150 + TRANSPOSE(MMULT(IF($AB150,Fetch(AQ150),$L$61:$O$64),TRANSPOSE(AM150:AP150)))</f>
        <v>0.69397847091471676</v>
      </c>
      <c r="AS150" s="62">
        <f ca="1"/>
        <v>7.5819613960437904E-2</v>
      </c>
      <c r="AT150" s="62">
        <f ca="1"/>
        <v>1.7129164356347482</v>
      </c>
      <c r="AU150" s="62">
        <f ca="1"/>
        <v>1.4166126100992149</v>
      </c>
      <c r="AV150" s="66" t="str">
        <f t="array" ref="AV150">IF($AB150, Push(Fetch(AG150) - MMULT(Fetch(AQ150),MMULT($I$38:$L$41,Fetch(AG150)))), "")</f>
        <v/>
      </c>
      <c r="AW150" s="97">
        <f t="array" aca="1" ref="AW150" ca="1">IF($AB150,LN(MDETERM(Fetch(AL150))),$J$65)   -   MMULT(AM150:AP150,MMULT(IF($AB150,Fetch(AL150),$G$61:$J$64),TRANSPOSE(AM150:AP150)))</f>
        <v>-8.5590090440051778</v>
      </c>
    </row>
    <row r="151" spans="23:49" x14ac:dyDescent="0.15">
      <c r="W151" s="12">
        <f t="shared" si="4"/>
        <v>148</v>
      </c>
      <c r="X151" s="62">
        <f t="array" aca="1" ref="X151:AA151" ca="1">simulate!AE151:AH151</f>
        <v>0.69998058558154508</v>
      </c>
      <c r="Y151" s="62">
        <f ca="1"/>
        <v>0.73654150518726758</v>
      </c>
      <c r="Z151" s="62">
        <f ca="1"/>
        <v>1.0112590009903151</v>
      </c>
      <c r="AA151" s="62">
        <f ca="1"/>
        <v>0.79152983034774516</v>
      </c>
      <c r="AB151" s="98">
        <f t="shared" si="5"/>
        <v>0</v>
      </c>
      <c r="AC151" s="62">
        <f t="array" aca="1" ref="AC151:AF151" ca="1">TRANSPOSE($G$44:$G$47 + MMULT($I$44:$L$47,TRANSPOSE(AR150:AU150)))</f>
        <v>0.85003518149856783</v>
      </c>
      <c r="AD151" s="62">
        <f ca="1"/>
        <v>0.55981864489358968</v>
      </c>
      <c r="AE151" s="62">
        <f ca="1"/>
        <v>1.2986851680021567</v>
      </c>
      <c r="AF151" s="62">
        <f ca="1"/>
        <v>1.2786613599756207</v>
      </c>
      <c r="AG151" s="66" t="str">
        <f t="array" ref="AG151">IF($AB151, Push(MMULT($I$44:$L$47,MMULT(Fetch(AV150),TRANSPOSE($I$44:$L$47))) + $N$44:$Q$47), "")</f>
        <v/>
      </c>
      <c r="AH151" s="62">
        <f t="array" aca="1" ref="AH151:AK151" ca="1">TRANSPOSE($G$38:$G$41 + MMULT($I$38:$L$41,TRANSPOSE(AC151:AF151)))</f>
        <v>1.3039263656842168</v>
      </c>
      <c r="AI151" s="62">
        <f ca="1"/>
        <v>0.75987640282603497</v>
      </c>
      <c r="AJ151" s="62">
        <f ca="1"/>
        <v>1.194362346761813</v>
      </c>
      <c r="AK151" s="62">
        <f ca="1"/>
        <v>1.3953521481486384</v>
      </c>
      <c r="AL151" s="66" t="str">
        <f t="array" ref="AL151">IF($AB151, Push(MINVERSE(MMULT($I$38:$L$41,MMULT(Fetch(AG151),TRANSPOSE($I$38:$L$41))) + $N$38:$Q$41)), "")</f>
        <v/>
      </c>
      <c r="AM151" s="62">
        <f t="array" aca="1" ref="AM151:AP151" ca="1">X151:AA151 - AH151:AK151</f>
        <v>-0.60394578010267175</v>
      </c>
      <c r="AN151" s="62">
        <f ca="1"/>
        <v>-2.3334897638767393E-2</v>
      </c>
      <c r="AO151" s="62">
        <f ca="1"/>
        <v>-0.18310334577149789</v>
      </c>
      <c r="AP151" s="62">
        <f ca="1"/>
        <v>-0.60382231780089324</v>
      </c>
      <c r="AQ151" s="66" t="str">
        <f t="array" ref="AQ151">IF($AB151, Push(MMULT(Fetch(AG151),MMULT(TRANSPOSE($I$38:$L$41),Fetch(AL151)))), "")</f>
        <v/>
      </c>
      <c r="AR151" s="62">
        <f t="array" aca="1" ref="AR151:AU151" ca="1">AC151:AF151 + TRANSPOSE(MMULT(IF($AB151,Fetch(AQ151),$L$61:$O$64),TRANSPOSE(AM151:AP151)))</f>
        <v>0.66100399729637394</v>
      </c>
      <c r="AS151" s="62">
        <f ca="1"/>
        <v>0.57038770505064595</v>
      </c>
      <c r="AT151" s="62">
        <f ca="1"/>
        <v>0.65384016756194252</v>
      </c>
      <c r="AU151" s="62">
        <f ca="1"/>
        <v>0.99090378015576053</v>
      </c>
      <c r="AV151" s="66" t="str">
        <f t="array" ref="AV151">IF($AB151, Push(Fetch(AG151) - MMULT(Fetch(AQ151),MMULT($I$38:$L$41,Fetch(AG151)))), "")</f>
        <v/>
      </c>
      <c r="AW151" s="97">
        <f t="array" aca="1" ref="AW151" ca="1">IF($AB151,LN(MDETERM(Fetch(AL151))),$J$65)   -   MMULT(AM151:AP151,MMULT(IF($AB151,Fetch(AL151),$G$61:$J$64),TRANSPOSE(AM151:AP151)))</f>
        <v>4.1990772457395007</v>
      </c>
    </row>
    <row r="152" spans="23:49" x14ac:dyDescent="0.15">
      <c r="W152" s="12">
        <f t="shared" si="4"/>
        <v>149</v>
      </c>
      <c r="X152" s="62">
        <f t="array" aca="1" ref="X152:AA152" ca="1">simulate!AE152:AH152</f>
        <v>0.51798294252385135</v>
      </c>
      <c r="Y152" s="62">
        <f ca="1"/>
        <v>0.22000500767983586</v>
      </c>
      <c r="Z152" s="62">
        <f ca="1"/>
        <v>1.3690163849038628</v>
      </c>
      <c r="AA152" s="62">
        <f ca="1"/>
        <v>0.85104867539183005</v>
      </c>
      <c r="AB152" s="98">
        <f t="shared" si="5"/>
        <v>0</v>
      </c>
      <c r="AC152" s="62">
        <f t="array" aca="1" ref="AC152:AF152" ca="1">TRANSPOSE($G$44:$G$47 + MMULT($I$44:$L$47,TRANSPOSE(AR151:AU151)))</f>
        <v>0.80957162063878152</v>
      </c>
      <c r="AD152" s="62">
        <f ca="1"/>
        <v>0.6345311551577768</v>
      </c>
      <c r="AE152" s="62">
        <f ca="1"/>
        <v>0.74165432763719352</v>
      </c>
      <c r="AF152" s="62">
        <f ca="1"/>
        <v>0.9104160387356337</v>
      </c>
      <c r="AG152" s="66" t="str">
        <f t="array" ref="AG152">IF($AB152, Push(MMULT($I$44:$L$47,MMULT(Fetch(AV151),TRANSPOSE($I$44:$L$47))) + $N$44:$Q$47), "")</f>
        <v/>
      </c>
      <c r="AH152" s="62">
        <f t="array" aca="1" ref="AH152:AK152" ca="1">TRANSPOSE($G$38:$G$41 + MMULT($I$38:$L$41,TRANSPOSE(AC152:AF152)))</f>
        <v>1.0214885291818177</v>
      </c>
      <c r="AI152" s="62">
        <f ca="1"/>
        <v>0.87997834228126004</v>
      </c>
      <c r="AJ152" s="62">
        <f ca="1"/>
        <v>0.89458818558191378</v>
      </c>
      <c r="AK152" s="62">
        <f ca="1"/>
        <v>0.87665466635400602</v>
      </c>
      <c r="AL152" s="66" t="str">
        <f t="array" ref="AL152">IF($AB152, Push(MINVERSE(MMULT($I$38:$L$41,MMULT(Fetch(AG152),TRANSPOSE($I$38:$L$41))) + $N$38:$Q$41)), "")</f>
        <v/>
      </c>
      <c r="AM152" s="62">
        <f t="array" aca="1" ref="AM152:AP152" ca="1">X152:AA152 - AH152:AK152</f>
        <v>-0.5035055866579663</v>
      </c>
      <c r="AN152" s="62">
        <f ca="1"/>
        <v>-0.65997333460142416</v>
      </c>
      <c r="AO152" s="62">
        <f ca="1"/>
        <v>0.47442819932194902</v>
      </c>
      <c r="AP152" s="62">
        <f ca="1"/>
        <v>-2.5605990962175973E-2</v>
      </c>
      <c r="AQ152" s="66" t="str">
        <f t="array" ref="AQ152">IF($AB152, Push(MMULT(Fetch(AG152),MMULT(TRANSPOSE($I$38:$L$41),Fetch(AL152)))), "")</f>
        <v/>
      </c>
      <c r="AR152" s="62">
        <f t="array" aca="1" ref="AR152:AU152" ca="1">AC152:AF152 + TRANSPOSE(MMULT(IF($AB152,Fetch(AQ152),$L$61:$O$64),TRANSPOSE(AM152:AP152)))</f>
        <v>0.60167000830472117</v>
      </c>
      <c r="AS152" s="62">
        <f ca="1"/>
        <v>0.24132556857122983</v>
      </c>
      <c r="AT152" s="62">
        <f ca="1"/>
        <v>0.70530004451268113</v>
      </c>
      <c r="AU152" s="62">
        <f ca="1"/>
        <v>1.0883155118449894</v>
      </c>
      <c r="AV152" s="66" t="str">
        <f t="array" ref="AV152">IF($AB152, Push(Fetch(AG152) - MMULT(Fetch(AQ152),MMULT($I$38:$L$41,Fetch(AG152)))), "")</f>
        <v/>
      </c>
      <c r="AW152" s="97">
        <f t="array" aca="1" ref="AW152" ca="1">IF($AB152,LN(MDETERM(Fetch(AL152))),$J$65)   -   MMULT(AM152:AP152,MMULT(IF($AB152,Fetch(AL152),$G$61:$J$64),TRANSPOSE(AM152:AP152)))</f>
        <v>4.0372045816453408</v>
      </c>
    </row>
    <row r="153" spans="23:49" x14ac:dyDescent="0.15">
      <c r="W153" s="12">
        <f t="shared" si="4"/>
        <v>150</v>
      </c>
      <c r="X153" s="62">
        <f t="array" aca="1" ref="X153:AA153" ca="1">simulate!AE153:AH153</f>
        <v>-0.76937487000189175</v>
      </c>
      <c r="Y153" s="62">
        <f ca="1"/>
        <v>0.75513834199512375</v>
      </c>
      <c r="Z153" s="62">
        <f ca="1"/>
        <v>0.2165588275003224</v>
      </c>
      <c r="AA153" s="62">
        <f ca="1"/>
        <v>-0.49441596228330015</v>
      </c>
      <c r="AB153" s="98">
        <f t="shared" si="5"/>
        <v>0</v>
      </c>
      <c r="AC153" s="62">
        <f t="array" aca="1" ref="AC153:AF153" ca="1">TRANSPOSE($G$44:$G$47 + MMULT($I$44:$L$47,TRANSPOSE(AR152:AU152)))</f>
        <v>0.73717280667777108</v>
      </c>
      <c r="AD153" s="62">
        <f ca="1"/>
        <v>0.46172929086244519</v>
      </c>
      <c r="AE153" s="62">
        <f ca="1"/>
        <v>0.72621255443756638</v>
      </c>
      <c r="AF153" s="62">
        <f ca="1"/>
        <v>0.94510548822006668</v>
      </c>
      <c r="AG153" s="66" t="str">
        <f t="array" ref="AG153">IF($AB153, Push(MMULT($I$44:$L$47,MMULT(Fetch(AV152),TRANSPOSE($I$44:$L$47))) + $N$44:$Q$47), "")</f>
        <v/>
      </c>
      <c r="AH153" s="62">
        <f t="array" aca="1" ref="AH153:AK153" ca="1">TRANSPOSE($G$38:$G$41 + MMULT($I$38:$L$41,TRANSPOSE(AC153:AF153)))</f>
        <v>0.95917713882162992</v>
      </c>
      <c r="AI153" s="62">
        <f ca="1"/>
        <v>0.71339278311891818</v>
      </c>
      <c r="AJ153" s="62">
        <f ca="1"/>
        <v>0.96264622505285113</v>
      </c>
      <c r="AK153" s="62">
        <f ca="1"/>
        <v>0.85996562188443915</v>
      </c>
      <c r="AL153" s="66" t="str">
        <f t="array" ref="AL153">IF($AB153, Push(MINVERSE(MMULT($I$38:$L$41,MMULT(Fetch(AG153),TRANSPOSE($I$38:$L$41))) + $N$38:$Q$41)), "")</f>
        <v/>
      </c>
      <c r="AM153" s="62">
        <f t="array" aca="1" ref="AM153:AP153" ca="1">X153:AA153 - AH153:AK153</f>
        <v>-1.7285520088235216</v>
      </c>
      <c r="AN153" s="62">
        <f ca="1"/>
        <v>4.1745558876205568E-2</v>
      </c>
      <c r="AO153" s="62">
        <f ca="1"/>
        <v>-0.74608739755252873</v>
      </c>
      <c r="AP153" s="62">
        <f ca="1"/>
        <v>-1.3543815841677393</v>
      </c>
      <c r="AQ153" s="66" t="str">
        <f t="array" ref="AQ153">IF($AB153, Push(MMULT(Fetch(AG153),MMULT(TRANSPOSE($I$38:$L$41),Fetch(AL153)))), "")</f>
        <v/>
      </c>
      <c r="AR153" s="62">
        <f t="array" aca="1" ref="AR153:AU153" ca="1">AC153:AF153 + TRANSPOSE(MMULT(IF($AB153,Fetch(AQ153),$L$61:$O$64),TRANSPOSE(AM153:AP153)))</f>
        <v>7.3588663420613543E-2</v>
      </c>
      <c r="AS153" s="62">
        <f ca="1"/>
        <v>0.67464666484270053</v>
      </c>
      <c r="AT153" s="62">
        <f ca="1"/>
        <v>-0.92432068660920441</v>
      </c>
      <c r="AU153" s="62">
        <f ca="1"/>
        <v>0.16231319340329131</v>
      </c>
      <c r="AV153" s="66" t="str">
        <f t="array" ref="AV153">IF($AB153, Push(Fetch(AG153) - MMULT(Fetch(AQ153),MMULT($I$38:$L$41,Fetch(AG153)))), "")</f>
        <v/>
      </c>
      <c r="AW153" s="97">
        <f t="array" aca="1" ref="AW153" ca="1">IF($AB153,LN(MDETERM(Fetch(AL153))),$J$65)   -   MMULT(AM153:AP153,MMULT(IF($AB153,Fetch(AL153),$G$61:$J$64),TRANSPOSE(AM153:AP153)))</f>
        <v>-12.808014000572749</v>
      </c>
    </row>
    <row r="154" spans="23:49" x14ac:dyDescent="0.15">
      <c r="W154" s="12">
        <f t="shared" si="4"/>
        <v>151</v>
      </c>
      <c r="X154" s="62">
        <f t="array" aca="1" ref="X154:AA154" ca="1">simulate!AE154:AH154</f>
        <v>0.94887921961475163</v>
      </c>
      <c r="Y154" s="62">
        <f ca="1"/>
        <v>-0.97321428040527891</v>
      </c>
      <c r="Z154" s="62">
        <f ca="1"/>
        <v>0.93554672541721529</v>
      </c>
      <c r="AA154" s="62">
        <f ca="1"/>
        <v>0.63778335925656371</v>
      </c>
      <c r="AB154" s="98">
        <f t="shared" si="5"/>
        <v>0</v>
      </c>
      <c r="AC154" s="62">
        <f t="array" aca="1" ref="AC154:AF154" ca="1">TRANSPOSE($G$44:$G$47 + MMULT($I$44:$L$47,TRANSPOSE(AR153:AU153)))</f>
        <v>0.35559516056030954</v>
      </c>
      <c r="AD154" s="62">
        <f ca="1"/>
        <v>0.30293016114457233</v>
      </c>
      <c r="AE154" s="62">
        <f ca="1"/>
        <v>-0.2581815441574582</v>
      </c>
      <c r="AF154" s="62">
        <f ca="1"/>
        <v>0.18587841979324904</v>
      </c>
      <c r="AG154" s="66" t="str">
        <f t="array" ref="AG154">IF($AB154, Push(MMULT($I$44:$L$47,MMULT(Fetch(AV153),TRANSPOSE($I$44:$L$47))) + $N$44:$Q$47), "")</f>
        <v/>
      </c>
      <c r="AH154" s="62">
        <f t="array" aca="1" ref="AH154:AK154" ca="1">TRANSPOSE($G$38:$G$41 + MMULT($I$38:$L$41,TRANSPOSE(AC154:AF154)))</f>
        <v>0.28450905459894599</v>
      </c>
      <c r="AI154" s="62">
        <f ca="1"/>
        <v>0.53620018845399764</v>
      </c>
      <c r="AJ154" s="62">
        <f ca="1"/>
        <v>0.33289029460831998</v>
      </c>
      <c r="AK154" s="62">
        <f ca="1"/>
        <v>-5.2782632013390063E-2</v>
      </c>
      <c r="AL154" s="66" t="str">
        <f t="array" ref="AL154">IF($AB154, Push(MINVERSE(MMULT($I$38:$L$41,MMULT(Fetch(AG154),TRANSPOSE($I$38:$L$41))) + $N$38:$Q$41)), "")</f>
        <v/>
      </c>
      <c r="AM154" s="62">
        <f t="array" aca="1" ref="AM154:AP154" ca="1">X154:AA154 - AH154:AK154</f>
        <v>0.66437016501580559</v>
      </c>
      <c r="AN154" s="62">
        <f ca="1"/>
        <v>-1.5094144688592765</v>
      </c>
      <c r="AO154" s="62">
        <f ca="1"/>
        <v>0.6026564308088953</v>
      </c>
      <c r="AP154" s="62">
        <f ca="1"/>
        <v>0.69056599126995377</v>
      </c>
      <c r="AQ154" s="66" t="str">
        <f t="array" ref="AQ154">IF($AB154, Push(MMULT(Fetch(AG154),MMULT(TRANSPOSE($I$38:$L$41),Fetch(AL154)))), "")</f>
        <v/>
      </c>
      <c r="AR154" s="62">
        <f t="array" aca="1" ref="AR154:AU154" ca="1">AC154:AF154 + TRANSPOSE(MMULT(IF($AB154,Fetch(AQ154),$L$61:$O$64),TRANSPOSE(AM154:AP154)))</f>
        <v>0.4176701435475183</v>
      </c>
      <c r="AS154" s="62">
        <f ca="1"/>
        <v>-0.66325912025127698</v>
      </c>
      <c r="AT154" s="62">
        <f ca="1"/>
        <v>0.72959028009685112</v>
      </c>
      <c r="AU154" s="62">
        <f ca="1"/>
        <v>0.66434770262268261</v>
      </c>
      <c r="AV154" s="66" t="str">
        <f t="array" ref="AV154">IF($AB154, Push(Fetch(AG154) - MMULT(Fetch(AQ154),MMULT($I$38:$L$41,Fetch(AG154)))), "")</f>
        <v/>
      </c>
      <c r="AW154" s="97">
        <f t="array" aca="1" ref="AW154" ca="1">IF($AB154,LN(MDETERM(Fetch(AL154))),$J$65)   -   MMULT(AM154:AP154,MMULT(IF($AB154,Fetch(AL154),$G$61:$J$64),TRANSPOSE(AM154:AP154)))</f>
        <v>-9.3263431038253319</v>
      </c>
    </row>
    <row r="155" spans="23:49" x14ac:dyDescent="0.15">
      <c r="W155" s="12">
        <f t="shared" si="4"/>
        <v>152</v>
      </c>
      <c r="X155" s="62">
        <f t="array" aca="1" ref="X155:AA155" ca="1">simulate!AE155:AH155</f>
        <v>-0.50199493985240096</v>
      </c>
      <c r="Y155" s="62">
        <f ca="1"/>
        <v>-0.62802273802119846</v>
      </c>
      <c r="Z155" s="62">
        <f ca="1"/>
        <v>1.2160964033792612</v>
      </c>
      <c r="AA155" s="62">
        <f ca="1"/>
        <v>0.50650256254850101</v>
      </c>
      <c r="AB155" s="98">
        <f t="shared" si="5"/>
        <v>0</v>
      </c>
      <c r="AC155" s="62">
        <f t="array" aca="1" ref="AC155:AF155" ca="1">TRANSPOSE($G$44:$G$47 + MMULT($I$44:$L$47,TRANSPOSE(AR154:AU154)))</f>
        <v>0.48528356649270099</v>
      </c>
      <c r="AD155" s="62">
        <f ca="1"/>
        <v>-8.3273049650375131E-2</v>
      </c>
      <c r="AE155" s="62">
        <f ca="1"/>
        <v>0.51662171691790981</v>
      </c>
      <c r="AF155" s="62">
        <f ca="1"/>
        <v>0.6468410680414729</v>
      </c>
      <c r="AG155" s="66" t="str">
        <f t="array" ref="AG155">IF($AB155, Push(MMULT($I$44:$L$47,MMULT(Fetch(AV154),TRANSPOSE($I$44:$L$47))) + $N$44:$Q$47), "")</f>
        <v/>
      </c>
      <c r="AH155" s="62">
        <f t="array" aca="1" ref="AH155:AK155" ca="1">TRANSPOSE($G$38:$G$41 + MMULT($I$38:$L$41,TRANSPOSE(AC155:AF155)))</f>
        <v>0.75943783815849453</v>
      </c>
      <c r="AI155" s="62">
        <f ca="1"/>
        <v>0.14027337894104897</v>
      </c>
      <c r="AJ155" s="62">
        <f ca="1"/>
        <v>0.84265885385621808</v>
      </c>
      <c r="AK155" s="62">
        <f ca="1"/>
        <v>0.52738914183683816</v>
      </c>
      <c r="AL155" s="66" t="str">
        <f t="array" ref="AL155">IF($AB155, Push(MINVERSE(MMULT($I$38:$L$41,MMULT(Fetch(AG155),TRANSPOSE($I$38:$L$41))) + $N$38:$Q$41)), "")</f>
        <v/>
      </c>
      <c r="AM155" s="62">
        <f t="array" aca="1" ref="AM155:AP155" ca="1">X155:AA155 - AH155:AK155</f>
        <v>-1.2614327780108954</v>
      </c>
      <c r="AN155" s="62">
        <f ca="1"/>
        <v>-0.76829611696224742</v>
      </c>
      <c r="AO155" s="62">
        <f ca="1"/>
        <v>0.37343754952304309</v>
      </c>
      <c r="AP155" s="62">
        <f ca="1"/>
        <v>-2.0886579288337148E-2</v>
      </c>
      <c r="AQ155" s="66" t="str">
        <f t="array" ref="AQ155">IF($AB155, Push(MMULT(Fetch(AG155),MMULT(TRANSPOSE($I$38:$L$41),Fetch(AL155)))), "")</f>
        <v/>
      </c>
      <c r="AR155" s="62">
        <f t="array" aca="1" ref="AR155:AU155" ca="1">AC155:AF155 + TRANSPOSE(MMULT(IF($AB155,Fetch(AQ155),$L$61:$O$64),TRANSPOSE(AM155:AP155)))</f>
        <v>-0.11101412478453421</v>
      </c>
      <c r="AS155" s="62">
        <f ca="1"/>
        <v>-0.38395339105322579</v>
      </c>
      <c r="AT155" s="62">
        <f ca="1"/>
        <v>0.20495280794324783</v>
      </c>
      <c r="AU155" s="62">
        <f ca="1"/>
        <v>0.78172030557634531</v>
      </c>
      <c r="AV155" s="66" t="str">
        <f t="array" ref="AV155">IF($AB155, Push(Fetch(AG155) - MMULT(Fetch(AQ155),MMULT($I$38:$L$41,Fetch(AG155)))), "")</f>
        <v/>
      </c>
      <c r="AW155" s="97">
        <f t="array" aca="1" ref="AW155" ca="1">IF($AB155,LN(MDETERM(Fetch(AL155))),$J$65)   -   MMULT(AM155:AP155,MMULT(IF($AB155,Fetch(AL155),$G$61:$J$64),TRANSPOSE(AM155:AP155)))</f>
        <v>-3.8569615781000053</v>
      </c>
    </row>
    <row r="156" spans="23:49" x14ac:dyDescent="0.15">
      <c r="W156" s="12">
        <f t="shared" si="4"/>
        <v>153</v>
      </c>
      <c r="X156" s="62">
        <f t="array" aca="1" ref="X156:AA156" ca="1">simulate!AE156:AH156</f>
        <v>2.2460988609851684E-2</v>
      </c>
      <c r="Y156" s="62">
        <f ca="1"/>
        <v>0.68584822579450322</v>
      </c>
      <c r="Z156" s="62">
        <f ca="1"/>
        <v>0.58452138895854988</v>
      </c>
      <c r="AA156" s="62">
        <f ca="1"/>
        <v>0.33311464625559906</v>
      </c>
      <c r="AB156" s="98">
        <f t="shared" si="5"/>
        <v>0</v>
      </c>
      <c r="AC156" s="62">
        <f t="array" aca="1" ref="AC156:AF156" ca="1">TRANSPOSE($G$44:$G$47 + MMULT($I$44:$L$47,TRANSPOSE(AR155:AU155)))</f>
        <v>0.2093841426206175</v>
      </c>
      <c r="AD156" s="62">
        <f ca="1"/>
        <v>-8.7550819700874943E-2</v>
      </c>
      <c r="AE156" s="62">
        <f ca="1"/>
        <v>0.25836269553602176</v>
      </c>
      <c r="AF156" s="62">
        <f ca="1"/>
        <v>0.61952682645387003</v>
      </c>
      <c r="AG156" s="66" t="str">
        <f t="array" ref="AG156">IF($AB156, Push(MMULT($I$44:$L$47,MMULT(Fetch(AV155),TRANSPOSE($I$44:$L$47))) + $N$44:$Q$47), "")</f>
        <v/>
      </c>
      <c r="AH156" s="62">
        <f t="array" aca="1" ref="AH156:AK156" ca="1">TRANSPOSE($G$38:$G$41 + MMULT($I$38:$L$41,TRANSPOSE(AC156:AF156)))</f>
        <v>0.40580560166665347</v>
      </c>
      <c r="AI156" s="62">
        <f ca="1"/>
        <v>9.5102513794181109E-2</v>
      </c>
      <c r="AJ156" s="62">
        <f ca="1"/>
        <v>0.7388306647378331</v>
      </c>
      <c r="AK156" s="62">
        <f ca="1"/>
        <v>0.45185025960888864</v>
      </c>
      <c r="AL156" s="66" t="str">
        <f t="array" ref="AL156">IF($AB156, Push(MINVERSE(MMULT($I$38:$L$41,MMULT(Fetch(AG156),TRANSPOSE($I$38:$L$41))) + $N$38:$Q$41)), "")</f>
        <v/>
      </c>
      <c r="AM156" s="62">
        <f t="array" aca="1" ref="AM156:AP156" ca="1">X156:AA156 - AH156:AK156</f>
        <v>-0.38334461305680179</v>
      </c>
      <c r="AN156" s="62">
        <f ca="1"/>
        <v>0.59074571200032211</v>
      </c>
      <c r="AO156" s="62">
        <f ca="1"/>
        <v>-0.15430927577928322</v>
      </c>
      <c r="AP156" s="62">
        <f ca="1"/>
        <v>-0.11873561335328958</v>
      </c>
      <c r="AQ156" s="66" t="str">
        <f t="array" ref="AQ156">IF($AB156, Push(MMULT(Fetch(AG156),MMULT(TRANSPOSE($I$38:$L$41),Fetch(AL156)))), "")</f>
        <v/>
      </c>
      <c r="AR156" s="62">
        <f t="array" aca="1" ref="AR156:AU156" ca="1">AC156:AF156 + TRANSPOSE(MMULT(IF($AB156,Fetch(AQ156),$L$61:$O$64),TRANSPOSE(AM156:AP156)))</f>
        <v>0.11540346933559877</v>
      </c>
      <c r="AS156" s="62">
        <f ca="1"/>
        <v>0.32508098310432976</v>
      </c>
      <c r="AT156" s="62">
        <f ca="1"/>
        <v>-5.9394060044887675E-2</v>
      </c>
      <c r="AU156" s="62">
        <f ca="1"/>
        <v>0.51794372232421027</v>
      </c>
      <c r="AV156" s="66" t="str">
        <f t="array" ref="AV156">IF($AB156, Push(Fetch(AG156) - MMULT(Fetch(AQ156),MMULT($I$38:$L$41,Fetch(AG156)))), "")</f>
        <v/>
      </c>
      <c r="AW156" s="97">
        <f t="array" aca="1" ref="AW156" ca="1">IF($AB156,LN(MDETERM(Fetch(AL156))),$J$65)   -   MMULT(AM156:AP156,MMULT(IF($AB156,Fetch(AL156),$G$61:$J$64),TRANSPOSE(AM156:AP156)))</f>
        <v>3.7602255525530737</v>
      </c>
    </row>
    <row r="157" spans="23:49" x14ac:dyDescent="0.15">
      <c r="W157" s="12">
        <f t="shared" si="4"/>
        <v>154</v>
      </c>
      <c r="X157" s="62">
        <f t="array" aca="1" ref="X157:AA157" ca="1">simulate!AE157:AH157</f>
        <v>0.84184225548111191</v>
      </c>
      <c r="Y157" s="62">
        <f ca="1"/>
        <v>0.44370472601855154</v>
      </c>
      <c r="Z157" s="62">
        <f ca="1"/>
        <v>0.5664749270755467</v>
      </c>
      <c r="AA157" s="62">
        <f ca="1"/>
        <v>0.80627193579262735</v>
      </c>
      <c r="AB157" s="98">
        <f t="shared" si="5"/>
        <v>0</v>
      </c>
      <c r="AC157" s="62">
        <f t="array" aca="1" ref="AC157:AF157" ca="1">TRANSPOSE($G$44:$G$47 + MMULT($I$44:$L$47,TRANSPOSE(AR156:AU156)))</f>
        <v>0.40510430894550004</v>
      </c>
      <c r="AD157" s="62">
        <f ca="1"/>
        <v>0.27424423160878419</v>
      </c>
      <c r="AE157" s="62">
        <f ca="1"/>
        <v>0.20779483705076607</v>
      </c>
      <c r="AF157" s="62">
        <f ca="1"/>
        <v>0.49550077479304139</v>
      </c>
      <c r="AG157" s="66" t="str">
        <f t="array" ref="AG157">IF($AB157, Push(MMULT($I$44:$L$47,MMULT(Fetch(AV156),TRANSPOSE($I$44:$L$47))) + $N$44:$Q$47), "")</f>
        <v/>
      </c>
      <c r="AH157" s="62">
        <f t="array" aca="1" ref="AH157:AK157" ca="1">TRANSPOSE($G$38:$G$41 + MMULT($I$38:$L$41,TRANSPOSE(AC157:AF157)))</f>
        <v>0.52974000117359343</v>
      </c>
      <c r="AI157" s="62">
        <f ca="1"/>
        <v>0.47129558724676107</v>
      </c>
      <c r="AJ157" s="62">
        <f ca="1"/>
        <v>0.57818528811755365</v>
      </c>
      <c r="AK157" s="62">
        <f ca="1"/>
        <v>0.38511412594472211</v>
      </c>
      <c r="AL157" s="66" t="str">
        <f t="array" ref="AL157">IF($AB157, Push(MINVERSE(MMULT($I$38:$L$41,MMULT(Fetch(AG157),TRANSPOSE($I$38:$L$41))) + $N$38:$Q$41)), "")</f>
        <v/>
      </c>
      <c r="AM157" s="62">
        <f t="array" aca="1" ref="AM157:AP157" ca="1">X157:AA157 - AH157:AK157</f>
        <v>0.31210225430751848</v>
      </c>
      <c r="AN157" s="62">
        <f ca="1"/>
        <v>-2.7590861228209529E-2</v>
      </c>
      <c r="AO157" s="62">
        <f ca="1"/>
        <v>-1.1710361042006956E-2</v>
      </c>
      <c r="AP157" s="62">
        <f ca="1"/>
        <v>0.42115780984790524</v>
      </c>
      <c r="AQ157" s="66" t="str">
        <f t="array" ref="AQ157">IF($AB157, Push(MMULT(Fetch(AG157),MMULT(TRANSPOSE($I$38:$L$41),Fetch(AL157)))), "")</f>
        <v/>
      </c>
      <c r="AR157" s="62">
        <f t="array" aca="1" ref="AR157:AU157" ca="1">AC157:AF157 + TRANSPOSE(MMULT(IF($AB157,Fetch(AQ157),$L$61:$O$64),TRANSPOSE(AM157:AP157)))</f>
        <v>0.44541957350618211</v>
      </c>
      <c r="AS157" s="62">
        <f ca="1"/>
        <v>0.29012132002707142</v>
      </c>
      <c r="AT157" s="62">
        <f ca="1"/>
        <v>0.59995034077855902</v>
      </c>
      <c r="AU157" s="62">
        <f ca="1"/>
        <v>0.63869890688062603</v>
      </c>
      <c r="AV157" s="66" t="str">
        <f t="array" ref="AV157">IF($AB157, Push(Fetch(AG157) - MMULT(Fetch(AQ157),MMULT($I$38:$L$41,Fetch(AG157)))), "")</f>
        <v/>
      </c>
      <c r="AW157" s="97">
        <f t="array" aca="1" ref="AW157" ca="1">IF($AB157,LN(MDETERM(Fetch(AL157))),$J$65)   -   MMULT(AM157:AP157,MMULT(IF($AB157,Fetch(AL157),$G$61:$J$64),TRANSPOSE(AM157:AP157)))</f>
        <v>5.9523223859478467</v>
      </c>
    </row>
    <row r="158" spans="23:49" x14ac:dyDescent="0.15">
      <c r="W158" s="12">
        <f t="shared" si="4"/>
        <v>155</v>
      </c>
      <c r="X158" s="62">
        <f t="array" aca="1" ref="X158:AA158" ca="1">simulate!AE158:AH158</f>
        <v>1.6993405519755069</v>
      </c>
      <c r="Y158" s="62">
        <f ca="1"/>
        <v>0.97606176625663899</v>
      </c>
      <c r="Z158" s="62">
        <f ca="1"/>
        <v>0.57486556105450082</v>
      </c>
      <c r="AA158" s="62">
        <f ca="1"/>
        <v>0.1814215850552871</v>
      </c>
      <c r="AB158" s="98">
        <f t="shared" si="5"/>
        <v>0</v>
      </c>
      <c r="AC158" s="62">
        <f t="array" aca="1" ref="AC158:AF158" ca="1">TRANSPOSE($G$44:$G$47 + MMULT($I$44:$L$47,TRANSPOSE(AR157:AU157)))</f>
        <v>0.63090145625683292</v>
      </c>
      <c r="AD158" s="62">
        <f ca="1"/>
        <v>0.41511768938540117</v>
      </c>
      <c r="AE158" s="62">
        <f ca="1"/>
        <v>0.59957651537379408</v>
      </c>
      <c r="AF158" s="62">
        <f ca="1"/>
        <v>0.68113911920698955</v>
      </c>
      <c r="AG158" s="66" t="str">
        <f t="array" ref="AG158">IF($AB158, Push(MMULT($I$44:$L$47,MMULT(Fetch(AV157),TRANSPOSE($I$44:$L$47))) + $N$44:$Q$47), "")</f>
        <v/>
      </c>
      <c r="AH158" s="62">
        <f t="array" aca="1" ref="AH158:AK158" ca="1">TRANSPOSE($G$38:$G$41 + MMULT($I$38:$L$41,TRANSPOSE(AC158:AF158)))</f>
        <v>0.88016674284088392</v>
      </c>
      <c r="AI158" s="62">
        <f ca="1"/>
        <v>0.61394349353599487</v>
      </c>
      <c r="AJ158" s="62">
        <f ca="1"/>
        <v>0.73057474422970436</v>
      </c>
      <c r="AK158" s="62">
        <f ca="1"/>
        <v>0.68911131087876387</v>
      </c>
      <c r="AL158" s="66" t="str">
        <f t="array" ref="AL158">IF($AB158, Push(MINVERSE(MMULT($I$38:$L$41,MMULT(Fetch(AG158),TRANSPOSE($I$38:$L$41))) + $N$38:$Q$41)), "")</f>
        <v/>
      </c>
      <c r="AM158" s="62">
        <f t="array" aca="1" ref="AM158:AP158" ca="1">X158:AA158 - AH158:AK158</f>
        <v>0.81917380913462301</v>
      </c>
      <c r="AN158" s="62">
        <f ca="1"/>
        <v>0.36211827272064412</v>
      </c>
      <c r="AO158" s="62">
        <f ca="1"/>
        <v>-0.15570918317520355</v>
      </c>
      <c r="AP158" s="62">
        <f ca="1"/>
        <v>-0.50768972582347671</v>
      </c>
      <c r="AQ158" s="66" t="str">
        <f t="array" ref="AQ158">IF($AB158, Push(MMULT(Fetch(AG158),MMULT(TRANSPOSE($I$38:$L$41),Fetch(AL158)))), "")</f>
        <v/>
      </c>
      <c r="AR158" s="62">
        <f t="array" aca="1" ref="AR158:AU158" ca="1">AC158:AF158 + TRANSPOSE(MMULT(IF($AB158,Fetch(AQ158),$L$61:$O$64),TRANSPOSE(AM158:AP158)))</f>
        <v>1.1354249796420814</v>
      </c>
      <c r="AS158" s="62">
        <f ca="1"/>
        <v>0.41066831158292783</v>
      </c>
      <c r="AT158" s="62">
        <f ca="1"/>
        <v>0.49051638749851911</v>
      </c>
      <c r="AU158" s="62">
        <f ca="1"/>
        <v>0.44598882975046344</v>
      </c>
      <c r="AV158" s="66" t="str">
        <f t="array" ref="AV158">IF($AB158, Push(Fetch(AG158) - MMULT(Fetch(AQ158),MMULT($I$38:$L$41,Fetch(AG158)))), "")</f>
        <v/>
      </c>
      <c r="AW158" s="97">
        <f t="array" aca="1" ref="AW158" ca="1">IF($AB158,LN(MDETERM(Fetch(AL158))),$J$65)   -   MMULT(AM158:AP158,MMULT(IF($AB158,Fetch(AL158),$G$61:$J$64),TRANSPOSE(AM158:AP158)))</f>
        <v>-3.5936109376955141</v>
      </c>
    </row>
    <row r="159" spans="23:49" x14ac:dyDescent="0.15">
      <c r="W159" s="12">
        <f t="shared" si="4"/>
        <v>156</v>
      </c>
      <c r="X159" s="62">
        <f t="array" aca="1" ref="X159:AA159" ca="1">simulate!AE159:AH159</f>
        <v>0.66260692484721229</v>
      </c>
      <c r="Y159" s="62">
        <f ca="1"/>
        <v>1.2898552705705217</v>
      </c>
      <c r="Z159" s="62">
        <f ca="1"/>
        <v>-1.078925291062526</v>
      </c>
      <c r="AA159" s="62">
        <f ca="1"/>
        <v>0.23849032023738714</v>
      </c>
      <c r="AB159" s="98">
        <f t="shared" si="5"/>
        <v>0</v>
      </c>
      <c r="AC159" s="62">
        <f t="array" aca="1" ref="AC159:AF159" ca="1">TRANSPOSE($G$44:$G$47 + MMULT($I$44:$L$47,TRANSPOSE(AR158:AU158)))</f>
        <v>1.0043451368577205</v>
      </c>
      <c r="AD159" s="62">
        <f ca="1"/>
        <v>0.56233806290560817</v>
      </c>
      <c r="AE159" s="62">
        <f ca="1"/>
        <v>0.58064367726938548</v>
      </c>
      <c r="AF159" s="62">
        <f ca="1"/>
        <v>0.60103322128932946</v>
      </c>
      <c r="AG159" s="66" t="str">
        <f t="array" ref="AG159">IF($AB159, Push(MMULT($I$44:$L$47,MMULT(Fetch(AV158),TRANSPOSE($I$44:$L$47))) + $N$44:$Q$47), "")</f>
        <v/>
      </c>
      <c r="AH159" s="62">
        <f t="array" aca="1" ref="AH159:AK159" ca="1">TRANSPOSE($G$38:$G$41 + MMULT($I$38:$L$41,TRANSPOSE(AC159:AF159)))</f>
        <v>1.150258016427298</v>
      </c>
      <c r="AI159" s="62">
        <f ca="1"/>
        <v>0.86947470110019676</v>
      </c>
      <c r="AJ159" s="62">
        <f ca="1"/>
        <v>0.7538830318593559</v>
      </c>
      <c r="AK159" s="62">
        <f ca="1"/>
        <v>0.51846355138256484</v>
      </c>
      <c r="AL159" s="66" t="str">
        <f t="array" ref="AL159">IF($AB159, Push(MINVERSE(MMULT($I$38:$L$41,MMULT(Fetch(AG159),TRANSPOSE($I$38:$L$41))) + $N$38:$Q$41)), "")</f>
        <v/>
      </c>
      <c r="AM159" s="62">
        <f t="array" aca="1" ref="AM159:AP159" ca="1">X159:AA159 - AH159:AK159</f>
        <v>-0.48765109158008568</v>
      </c>
      <c r="AN159" s="62">
        <f ca="1"/>
        <v>0.42038056947032498</v>
      </c>
      <c r="AO159" s="62">
        <f ca="1"/>
        <v>-1.8328083229218819</v>
      </c>
      <c r="AP159" s="62">
        <f ca="1"/>
        <v>-0.27997323114517769</v>
      </c>
      <c r="AQ159" s="66" t="str">
        <f t="array" ref="AQ159">IF($AB159, Push(MMULT(Fetch(AG159),MMULT(TRANSPOSE($I$38:$L$41),Fetch(AL159)))), "")</f>
        <v/>
      </c>
      <c r="AR159" s="62">
        <f t="array" aca="1" ref="AR159:AU159" ca="1">AC159:AF159 + TRANSPOSE(MMULT(IF($AB159,Fetch(AQ159),$L$61:$O$64),TRANSPOSE(AM159:AP159)))</f>
        <v>0.45133255348466061</v>
      </c>
      <c r="AS159" s="62">
        <f ca="1"/>
        <v>1.21592868189103</v>
      </c>
      <c r="AT159" s="62">
        <f ca="1"/>
        <v>-0.14307378847677288</v>
      </c>
      <c r="AU159" s="62">
        <f ca="1"/>
        <v>-0.24226847257108375</v>
      </c>
      <c r="AV159" s="66" t="str">
        <f t="array" ref="AV159">IF($AB159, Push(Fetch(AG159) - MMULT(Fetch(AQ159),MMULT($I$38:$L$41,Fetch(AG159)))), "")</f>
        <v/>
      </c>
      <c r="AW159" s="97">
        <f t="array" aca="1" ref="AW159" ca="1">IF($AB159,LN(MDETERM(Fetch(AL159))),$J$65)   -   MMULT(AM159:AP159,MMULT(IF($AB159,Fetch(AL159),$G$61:$J$64),TRANSPOSE(AM159:AP159)))</f>
        <v>-9.0076090639004125</v>
      </c>
    </row>
    <row r="160" spans="23:49" x14ac:dyDescent="0.15">
      <c r="W160" s="12">
        <f t="shared" si="4"/>
        <v>157</v>
      </c>
      <c r="X160" s="62">
        <f t="array" aca="1" ref="X160:AA160" ca="1">simulate!AE160:AH160</f>
        <v>-6.0314002039604964E-2</v>
      </c>
      <c r="Y160" s="62">
        <f ca="1"/>
        <v>5.2091872955516538E-2</v>
      </c>
      <c r="Z160" s="62">
        <f ca="1"/>
        <v>-7.2372587172948893E-2</v>
      </c>
      <c r="AA160" s="62">
        <f ca="1"/>
        <v>-0.12585214730639177</v>
      </c>
      <c r="AB160" s="98">
        <f t="shared" si="5"/>
        <v>0</v>
      </c>
      <c r="AC160" s="62">
        <f t="array" aca="1" ref="AC160:AF160" ca="1">TRANSPOSE($G$44:$G$47 + MMULT($I$44:$L$47,TRANSPOSE(AR159:AU159)))</f>
        <v>0.67587966915564779</v>
      </c>
      <c r="AD160" s="62">
        <f ca="1"/>
        <v>0.74341136966717358</v>
      </c>
      <c r="AE160" s="62">
        <f ca="1"/>
        <v>0.21864720672126453</v>
      </c>
      <c r="AF160" s="62">
        <f ca="1"/>
        <v>0.15090022480146115</v>
      </c>
      <c r="AG160" s="66" t="str">
        <f t="array" ref="AG160">IF($AB160, Push(MMULT($I$44:$L$47,MMULT(Fetch(AV159),TRANSPOSE($I$44:$L$47))) + $N$44:$Q$47), "")</f>
        <v/>
      </c>
      <c r="AH160" s="62">
        <f t="array" aca="1" ref="AH160:AK160" ca="1">TRANSPOSE($G$38:$G$41 + MMULT($I$38:$L$41,TRANSPOSE(AC160:AF160)))</f>
        <v>0.80347300570072777</v>
      </c>
      <c r="AI160" s="62">
        <f ca="1"/>
        <v>0.90976251865375191</v>
      </c>
      <c r="AJ160" s="62">
        <f ca="1"/>
        <v>0.21582863432267702</v>
      </c>
      <c r="AK160" s="62">
        <f ca="1"/>
        <v>0.26755962854686571</v>
      </c>
      <c r="AL160" s="66" t="str">
        <f t="array" ref="AL160">IF($AB160, Push(MINVERSE(MMULT($I$38:$L$41,MMULT(Fetch(AG160),TRANSPOSE($I$38:$L$41))) + $N$38:$Q$41)), "")</f>
        <v/>
      </c>
      <c r="AM160" s="62">
        <f t="array" aca="1" ref="AM160:AP160" ca="1">X160:AA160 - AH160:AK160</f>
        <v>-0.86378700774033268</v>
      </c>
      <c r="AN160" s="62">
        <f ca="1"/>
        <v>-0.85767064569823537</v>
      </c>
      <c r="AO160" s="62">
        <f ca="1"/>
        <v>-0.28820122149562588</v>
      </c>
      <c r="AP160" s="62">
        <f ca="1"/>
        <v>-0.39341177585325748</v>
      </c>
      <c r="AQ160" s="66" t="str">
        <f t="array" ref="AQ160">IF($AB160, Push(MMULT(Fetch(AG160),MMULT(TRANSPOSE($I$38:$L$41),Fetch(AL160)))), "")</f>
        <v/>
      </c>
      <c r="AR160" s="62">
        <f t="array" aca="1" ref="AR160:AU160" ca="1">AC160:AF160 + TRANSPOSE(MMULT(IF($AB160,Fetch(AQ160),$L$61:$O$64),TRANSPOSE(AM160:AP160)))</f>
        <v>0.1642174647596597</v>
      </c>
      <c r="AS160" s="62">
        <f ca="1"/>
        <v>0.38717711602607641</v>
      </c>
      <c r="AT160" s="62">
        <f ca="1"/>
        <v>-0.29455325929893811</v>
      </c>
      <c r="AU160" s="62">
        <f ca="1"/>
        <v>-0.11300938999878124</v>
      </c>
      <c r="AV160" s="66" t="str">
        <f t="array" ref="AV160">IF($AB160, Push(Fetch(AG160) - MMULT(Fetch(AQ160),MMULT($I$38:$L$41,Fetch(AG160)))), "")</f>
        <v/>
      </c>
      <c r="AW160" s="97">
        <f t="array" aca="1" ref="AW160" ca="1">IF($AB160,LN(MDETERM(Fetch(AL160))),$J$65)   -   MMULT(AM160:AP160,MMULT(IF($AB160,Fetch(AL160),$G$61:$J$64),TRANSPOSE(AM160:AP160)))</f>
        <v>-0.10052064280777007</v>
      </c>
    </row>
    <row r="161" spans="23:49" x14ac:dyDescent="0.15">
      <c r="W161" s="12">
        <f t="shared" si="4"/>
        <v>158</v>
      </c>
      <c r="X161" s="62">
        <f t="array" aca="1" ref="X161:AA161" ca="1">simulate!AE161:AH161</f>
        <v>0.34862789620843637</v>
      </c>
      <c r="Y161" s="62">
        <f ca="1"/>
        <v>-0.37101466366069719</v>
      </c>
      <c r="Z161" s="62">
        <f ca="1"/>
        <v>0.39286603243580054</v>
      </c>
      <c r="AA161" s="62">
        <f ca="1"/>
        <v>0.97922526494245299</v>
      </c>
      <c r="AB161" s="98">
        <f t="shared" si="5"/>
        <v>0</v>
      </c>
      <c r="AC161" s="62">
        <f t="array" aca="1" ref="AC161:AF161" ca="1">TRANSPOSE($G$44:$G$47 + MMULT($I$44:$L$47,TRANSPOSE(AR160:AU160)))</f>
        <v>0.39359686661657156</v>
      </c>
      <c r="AD161" s="62">
        <f ca="1"/>
        <v>0.23599116551787996</v>
      </c>
      <c r="AE161" s="62">
        <f ca="1"/>
        <v>9.7243721516662718E-4</v>
      </c>
      <c r="AF161" s="62">
        <f ca="1"/>
        <v>0.12332457639619282</v>
      </c>
      <c r="AG161" s="66" t="str">
        <f t="array" ref="AG161">IF($AB161, Push(MMULT($I$44:$L$47,MMULT(Fetch(AV160),TRANSPOSE($I$44:$L$47))) + $N$44:$Q$47), "")</f>
        <v/>
      </c>
      <c r="AH161" s="62">
        <f t="array" aca="1" ref="AH161:AK161" ca="1">TRANSPOSE($G$38:$G$41 + MMULT($I$38:$L$41,TRANSPOSE(AC161:AF161)))</f>
        <v>0.49786060117794545</v>
      </c>
      <c r="AI161" s="62">
        <f ca="1"/>
        <v>0.41341259934644298</v>
      </c>
      <c r="AJ161" s="62">
        <f ca="1"/>
        <v>0.29665426570866738</v>
      </c>
      <c r="AK161" s="62">
        <f ca="1"/>
        <v>7.0058745082479557E-2</v>
      </c>
      <c r="AL161" s="66" t="str">
        <f t="array" ref="AL161">IF($AB161, Push(MINVERSE(MMULT($I$38:$L$41,MMULT(Fetch(AG161),TRANSPOSE($I$38:$L$41))) + $N$38:$Q$41)), "")</f>
        <v/>
      </c>
      <c r="AM161" s="62">
        <f t="array" aca="1" ref="AM161:AP161" ca="1">X161:AA161 - AH161:AK161</f>
        <v>-0.14923270496950908</v>
      </c>
      <c r="AN161" s="62">
        <f ca="1"/>
        <v>-0.78442726300714016</v>
      </c>
      <c r="AO161" s="62">
        <f ca="1"/>
        <v>9.6211766727133163E-2</v>
      </c>
      <c r="AP161" s="62">
        <f ca="1"/>
        <v>0.90916651985997343</v>
      </c>
      <c r="AQ161" s="66" t="str">
        <f t="array" ref="AQ161">IF($AB161, Push(MMULT(Fetch(AG161),MMULT(TRANSPOSE($I$38:$L$41),Fetch(AL161)))), "")</f>
        <v/>
      </c>
      <c r="AR161" s="62">
        <f t="array" aca="1" ref="AR161:AU161" ca="1">AC161:AF161 + TRANSPOSE(MMULT(IF($AB161,Fetch(AQ161),$L$61:$O$64),TRANSPOSE(AM161:AP161)))</f>
        <v>2.2848352866224719E-2</v>
      </c>
      <c r="AS161" s="62">
        <f ca="1"/>
        <v>-2.5144763050866159E-2</v>
      </c>
      <c r="AT161" s="62">
        <f ca="1"/>
        <v>0.66071123915534102</v>
      </c>
      <c r="AU161" s="62">
        <f ca="1"/>
        <v>0.4738756301788089</v>
      </c>
      <c r="AV161" s="66" t="str">
        <f t="array" ref="AV161">IF($AB161, Push(Fetch(AG161) - MMULT(Fetch(AQ161),MMULT($I$38:$L$41,Fetch(AG161)))), "")</f>
        <v/>
      </c>
      <c r="AW161" s="97">
        <f t="array" aca="1" ref="AW161" ca="1">IF($AB161,LN(MDETERM(Fetch(AL161))),$J$65)   -   MMULT(AM161:AP161,MMULT(IF($AB161,Fetch(AL161),$G$61:$J$64),TRANSPOSE(AM161:AP161)))</f>
        <v>-3.3805316822568532</v>
      </c>
    </row>
    <row r="162" spans="23:49" x14ac:dyDescent="0.15">
      <c r="W162" s="12">
        <f t="shared" si="4"/>
        <v>159</v>
      </c>
      <c r="X162" s="62">
        <f t="array" aca="1" ref="X162:AA162" ca="1">simulate!AE162:AH162</f>
        <v>1.1075998694123474</v>
      </c>
      <c r="Y162" s="62">
        <f ca="1"/>
        <v>8.9664002506185059E-2</v>
      </c>
      <c r="Z162" s="62">
        <f ca="1"/>
        <v>0.12578656722866327</v>
      </c>
      <c r="AA162" s="62">
        <f ca="1"/>
        <v>0.36265830950800343</v>
      </c>
      <c r="AB162" s="98">
        <f t="shared" si="5"/>
        <v>0</v>
      </c>
      <c r="AC162" s="62">
        <f t="array" aca="1" ref="AC162:AF162" ca="1">TRANSPOSE($G$44:$G$47 + MMULT($I$44:$L$47,TRANSPOSE(AR161:AU161)))</f>
        <v>0.35242929758681407</v>
      </c>
      <c r="AD162" s="62">
        <f ca="1"/>
        <v>0.17350126708866837</v>
      </c>
      <c r="AE162" s="62">
        <f ca="1"/>
        <v>0.52673287973290051</v>
      </c>
      <c r="AF162" s="62">
        <f ca="1"/>
        <v>0.55923863880746771</v>
      </c>
      <c r="AG162" s="66" t="str">
        <f t="array" ref="AG162">IF($AB162, Push(MMULT($I$44:$L$47,MMULT(Fetch(AV161),TRANSPOSE($I$44:$L$47))) + $N$44:$Q$47), "")</f>
        <v/>
      </c>
      <c r="AH162" s="62">
        <f t="array" aca="1" ref="AH162:AK162" ca="1">TRANSPOSE($G$38:$G$41 + MMULT($I$38:$L$41,TRANSPOSE(AC162:AF162)))</f>
        <v>0.6821159569396873</v>
      </c>
      <c r="AI162" s="62">
        <f ca="1"/>
        <v>0.29505065050378376</v>
      </c>
      <c r="AJ162" s="62">
        <f ca="1"/>
        <v>0.61965455020126459</v>
      </c>
      <c r="AK162" s="62">
        <f ca="1"/>
        <v>0.63552854801349379</v>
      </c>
      <c r="AL162" s="66" t="str">
        <f t="array" ref="AL162">IF($AB162, Push(MINVERSE(MMULT($I$38:$L$41,MMULT(Fetch(AG162),TRANSPOSE($I$38:$L$41))) + $N$38:$Q$41)), "")</f>
        <v/>
      </c>
      <c r="AM162" s="62">
        <f t="array" aca="1" ref="AM162:AP162" ca="1">X162:AA162 - AH162:AK162</f>
        <v>0.42548391247266015</v>
      </c>
      <c r="AN162" s="62">
        <f ca="1"/>
        <v>-0.2053866479975987</v>
      </c>
      <c r="AO162" s="62">
        <f ca="1"/>
        <v>-0.49386798297260132</v>
      </c>
      <c r="AP162" s="62">
        <f ca="1"/>
        <v>-0.27287023850549036</v>
      </c>
      <c r="AQ162" s="66" t="str">
        <f t="array" ref="AQ162">IF($AB162, Push(MMULT(Fetch(AG162),MMULT(TRANSPOSE($I$38:$L$41),Fetch(AL162)))), "")</f>
        <v/>
      </c>
      <c r="AR162" s="62">
        <f t="array" aca="1" ref="AR162:AU162" ca="1">AC162:AF162 + TRANSPOSE(MMULT(IF($AB162,Fetch(AQ162),$L$61:$O$64),TRANSPOSE(AM162:AP162)))</f>
        <v>0.45127613432464025</v>
      </c>
      <c r="AS162" s="62">
        <f ca="1"/>
        <v>3.1517649335706943E-2</v>
      </c>
      <c r="AT162" s="62">
        <f ca="1"/>
        <v>0.44387742694935584</v>
      </c>
      <c r="AU162" s="62">
        <f ca="1"/>
        <v>0.26288217671878661</v>
      </c>
      <c r="AV162" s="66" t="str">
        <f t="array" ref="AV162">IF($AB162, Push(Fetch(AG162) - MMULT(Fetch(AQ162),MMULT($I$38:$L$41,Fetch(AG162)))), "")</f>
        <v/>
      </c>
      <c r="AW162" s="97">
        <f t="array" aca="1" ref="AW162" ca="1">IF($AB162,LN(MDETERM(Fetch(AL162))),$J$65)   -   MMULT(AM162:AP162,MMULT(IF($AB162,Fetch(AL162),$G$61:$J$64),TRANSPOSE(AM162:AP162)))</f>
        <v>0.60032183053265076</v>
      </c>
    </row>
    <row r="163" spans="23:49" x14ac:dyDescent="0.15">
      <c r="W163" s="12">
        <f t="shared" si="4"/>
        <v>160</v>
      </c>
      <c r="X163" s="62">
        <f t="array" aca="1" ref="X163:AA163" ca="1">simulate!AE163:AH163</f>
        <v>-0.47301707622449335</v>
      </c>
      <c r="Y163" s="62">
        <f ca="1"/>
        <v>0.49733830858824729</v>
      </c>
      <c r="Z163" s="62">
        <f ca="1"/>
        <v>0.76561837387702258</v>
      </c>
      <c r="AA163" s="62">
        <f ca="1"/>
        <v>0.37668958427805455</v>
      </c>
      <c r="AB163" s="98">
        <f t="shared" si="5"/>
        <v>0</v>
      </c>
      <c r="AC163" s="62">
        <f t="array" aca="1" ref="AC163:AF163" ca="1">TRANSPOSE($G$44:$G$47 + MMULT($I$44:$L$47,TRANSPOSE(AR162:AU162)))</f>
        <v>0.56662341914195324</v>
      </c>
      <c r="AD163" s="62">
        <f ca="1"/>
        <v>0.2265538185722219</v>
      </c>
      <c r="AE163" s="62">
        <f ca="1"/>
        <v>0.41809798029841982</v>
      </c>
      <c r="AF163" s="62">
        <f ca="1"/>
        <v>0.43470313244852804</v>
      </c>
      <c r="AG163" s="66" t="str">
        <f t="array" ref="AG163">IF($AB163, Push(MMULT($I$44:$L$47,MMULT(Fetch(AV162),TRANSPOSE($I$44:$L$47))) + $N$44:$Q$47), "")</f>
        <v/>
      </c>
      <c r="AH163" s="62">
        <f t="array" aca="1" ref="AH163:AK163" ca="1">TRANSPOSE($G$38:$G$41 + MMULT($I$38:$L$41,TRANSPOSE(AC163:AF163)))</f>
        <v>0.7988655383694534</v>
      </c>
      <c r="AI163" s="62">
        <f ca="1"/>
        <v>0.4238061737587388</v>
      </c>
      <c r="AJ163" s="62">
        <f ca="1"/>
        <v>0.58840106350870203</v>
      </c>
      <c r="AK163" s="62">
        <f ca="1"/>
        <v>0.423823331535994</v>
      </c>
      <c r="AL163" s="66" t="str">
        <f t="array" ref="AL163">IF($AB163, Push(MINVERSE(MMULT($I$38:$L$41,MMULT(Fetch(AG163),TRANSPOSE($I$38:$L$41))) + $N$38:$Q$41)), "")</f>
        <v/>
      </c>
      <c r="AM163" s="62">
        <f t="array" aca="1" ref="AM163:AP163" ca="1">X163:AA163 - AH163:AK163</f>
        <v>-1.2718826145939468</v>
      </c>
      <c r="AN163" s="62">
        <f ca="1"/>
        <v>7.3532134829508489E-2</v>
      </c>
      <c r="AO163" s="62">
        <f ca="1"/>
        <v>0.17721731036832056</v>
      </c>
      <c r="AP163" s="62">
        <f ca="1"/>
        <v>-4.7133747257939451E-2</v>
      </c>
      <c r="AQ163" s="66" t="str">
        <f t="array" ref="AQ163">IF($AB163, Push(MMULT(Fetch(AG163),MMULT(TRANSPOSE($I$38:$L$41),Fetch(AL163)))), "")</f>
        <v/>
      </c>
      <c r="AR163" s="62">
        <f t="array" aca="1" ref="AR163:AU163" ca="1">AC163:AF163 + TRANSPOSE(MMULT(IF($AB163,Fetch(AQ163),$L$61:$O$64),TRANSPOSE(AM163:AP163)))</f>
        <v>5.4184407299253001E-2</v>
      </c>
      <c r="AS163" s="62">
        <f ca="1"/>
        <v>0.44383418348893755</v>
      </c>
      <c r="AT163" s="62">
        <f ca="1"/>
        <v>-5.3797870471638587E-2</v>
      </c>
      <c r="AU163" s="62">
        <f ca="1"/>
        <v>0.48632788172997105</v>
      </c>
      <c r="AV163" s="66" t="str">
        <f t="array" ref="AV163">IF($AB163, Push(Fetch(AG163) - MMULT(Fetch(AQ163),MMULT($I$38:$L$41,Fetch(AG163)))), "")</f>
        <v/>
      </c>
      <c r="AW163" s="97">
        <f t="array" aca="1" ref="AW163" ca="1">IF($AB163,LN(MDETERM(Fetch(AL163))),$J$65)   -   MMULT(AM163:AP163,MMULT(IF($AB163,Fetch(AL163),$G$61:$J$64),TRANSPOSE(AM163:AP163)))</f>
        <v>-5.7126872086210465</v>
      </c>
    </row>
    <row r="164" spans="23:49" x14ac:dyDescent="0.15">
      <c r="W164" s="12">
        <f t="shared" si="4"/>
        <v>161</v>
      </c>
      <c r="X164" s="62">
        <f t="array" aca="1" ref="X164:AA164" ca="1">simulate!AE164:AH164</f>
        <v>-8.3969712439054323E-2</v>
      </c>
      <c r="Y164" s="62">
        <f ca="1"/>
        <v>0.4164293468727096</v>
      </c>
      <c r="Z164" s="62">
        <f ca="1"/>
        <v>0.24460278873788033</v>
      </c>
      <c r="AA164" s="62">
        <f ca="1"/>
        <v>0.50951117479882335</v>
      </c>
      <c r="AB164" s="98">
        <f t="shared" si="5"/>
        <v>0</v>
      </c>
      <c r="AC164" s="62">
        <f t="array" aca="1" ref="AC164:AF164" ca="1">TRANSPOSE($G$44:$G$47 + MMULT($I$44:$L$47,TRANSPOSE(AR163:AU163)))</f>
        <v>0.38849490938285502</v>
      </c>
      <c r="AD164" s="62">
        <f ca="1"/>
        <v>0.32701798445196706</v>
      </c>
      <c r="AE164" s="62">
        <f ca="1"/>
        <v>0.22106126643551952</v>
      </c>
      <c r="AF164" s="62">
        <f ca="1"/>
        <v>0.48484582007225802</v>
      </c>
      <c r="AG164" s="66" t="str">
        <f t="array" ref="AG164">IF($AB164, Push(MMULT($I$44:$L$47,MMULT(Fetch(AV163),TRANSPOSE($I$44:$L$47))) + $N$44:$Q$47), "")</f>
        <v/>
      </c>
      <c r="AH164" s="62">
        <f t="array" aca="1" ref="AH164:AK164" ca="1">TRANSPOSE($G$38:$G$41 + MMULT($I$38:$L$41,TRANSPOSE(AC164:AF164)))</f>
        <v>0.52652513761074871</v>
      </c>
      <c r="AI164" s="62">
        <f ca="1"/>
        <v>0.50564865476406995</v>
      </c>
      <c r="AJ164" s="62">
        <f ca="1"/>
        <v>0.54158490668910075</v>
      </c>
      <c r="AK164" s="62">
        <f ca="1"/>
        <v>0.41375694067063179</v>
      </c>
      <c r="AL164" s="66" t="str">
        <f t="array" ref="AL164">IF($AB164, Push(MINVERSE(MMULT($I$38:$L$41,MMULT(Fetch(AG164),TRANSPOSE($I$38:$L$41))) + $N$38:$Q$41)), "")</f>
        <v/>
      </c>
      <c r="AM164" s="62">
        <f t="array" aca="1" ref="AM164:AP164" ca="1">X164:AA164 - AH164:AK164</f>
        <v>-0.61049485004980308</v>
      </c>
      <c r="AN164" s="62">
        <f ca="1"/>
        <v>-8.9219307891360344E-2</v>
      </c>
      <c r="AO164" s="62">
        <f ca="1"/>
        <v>-0.29698211795122043</v>
      </c>
      <c r="AP164" s="62">
        <f ca="1"/>
        <v>9.5754234128191562E-2</v>
      </c>
      <c r="AQ164" s="66" t="str">
        <f t="array" ref="AQ164">IF($AB164, Push(MMULT(Fetch(AG164),MMULT(TRANSPOSE($I$38:$L$41),Fetch(AL164)))), "")</f>
        <v/>
      </c>
      <c r="AR164" s="62">
        <f t="array" aca="1" ref="AR164:AU164" ca="1">AC164:AF164 + TRANSPOSE(MMULT(IF($AB164,Fetch(AQ164),$L$61:$O$64),TRANSPOSE(AM164:AP164)))</f>
        <v>6.2006328750136008E-4</v>
      </c>
      <c r="AS164" s="62">
        <f ca="1"/>
        <v>0.46389051781712398</v>
      </c>
      <c r="AT164" s="62">
        <f ca="1"/>
        <v>2.3713047114423513E-2</v>
      </c>
      <c r="AU164" s="62">
        <f ca="1"/>
        <v>0.39442532056778423</v>
      </c>
      <c r="AV164" s="66" t="str">
        <f t="array" ref="AV164">IF($AB164, Push(Fetch(AG164) - MMULT(Fetch(AQ164),MMULT($I$38:$L$41,Fetch(AG164)))), "")</f>
        <v/>
      </c>
      <c r="AW164" s="97">
        <f t="array" aca="1" ref="AW164" ca="1">IF($AB164,LN(MDETERM(Fetch(AL164))),$J$65)   -   MMULT(AM164:AP164,MMULT(IF($AB164,Fetch(AL164),$G$61:$J$64),TRANSPOSE(AM164:AP164)))</f>
        <v>3.8503773236403069</v>
      </c>
    </row>
    <row r="165" spans="23:49" x14ac:dyDescent="0.15">
      <c r="W165" s="12">
        <f t="shared" si="4"/>
        <v>162</v>
      </c>
      <c r="X165" s="62">
        <f t="array" aca="1" ref="X165:AA165" ca="1">simulate!AE165:AH165</f>
        <v>1.3291991552225073</v>
      </c>
      <c r="Y165" s="62">
        <f ca="1"/>
        <v>-2.5248120735111679E-2</v>
      </c>
      <c r="Z165" s="62">
        <f ca="1"/>
        <v>1.9071967002276589</v>
      </c>
      <c r="AA165" s="62">
        <f ca="1"/>
        <v>0.36391354125299202</v>
      </c>
      <c r="AB165" s="98">
        <f t="shared" si="5"/>
        <v>0</v>
      </c>
      <c r="AC165" s="62">
        <f t="array" aca="1" ref="AC165:AF165" ca="1">TRANSPOSE($G$44:$G$47 + MMULT($I$44:$L$47,TRANSPOSE(AR164:AU164)))</f>
        <v>0.36363539737159628</v>
      </c>
      <c r="AD165" s="62">
        <f ca="1"/>
        <v>0.33408218964451236</v>
      </c>
      <c r="AE165" s="62">
        <f ca="1"/>
        <v>0.24876561762883387</v>
      </c>
      <c r="AF165" s="62">
        <f ca="1"/>
        <v>0.44664983139359937</v>
      </c>
      <c r="AG165" s="66" t="str">
        <f t="array" ref="AG165">IF($AB165, Push(MMULT($I$44:$L$47,MMULT(Fetch(AV164),TRANSPOSE($I$44:$L$47))) + $N$44:$Q$47), "")</f>
        <v/>
      </c>
      <c r="AH165" s="62">
        <f t="array" aca="1" ref="AH165:AK165" ca="1">TRANSPOSE($G$38:$G$41 + MMULT($I$38:$L$41,TRANSPOSE(AC165:AF165)))</f>
        <v>0.53685001592365644</v>
      </c>
      <c r="AI165" s="62">
        <f ca="1"/>
        <v>0.48801941814759708</v>
      </c>
      <c r="AJ165" s="62">
        <f ca="1"/>
        <v>0.49481139876846514</v>
      </c>
      <c r="AK165" s="62">
        <f ca="1"/>
        <v>0.43076308131350921</v>
      </c>
      <c r="AL165" s="66" t="str">
        <f t="array" ref="AL165">IF($AB165, Push(MINVERSE(MMULT($I$38:$L$41,MMULT(Fetch(AG165),TRANSPOSE($I$38:$L$41))) + $N$38:$Q$41)), "")</f>
        <v/>
      </c>
      <c r="AM165" s="62">
        <f t="array" aca="1" ref="AM165:AP165" ca="1">X165:AA165 - AH165:AK165</f>
        <v>0.79234913929885087</v>
      </c>
      <c r="AN165" s="62">
        <f ca="1"/>
        <v>-0.51326753888270882</v>
      </c>
      <c r="AO165" s="62">
        <f ca="1"/>
        <v>1.4123853014591936</v>
      </c>
      <c r="AP165" s="62">
        <f ca="1"/>
        <v>-6.6849540060517187E-2</v>
      </c>
      <c r="AQ165" s="66" t="str">
        <f t="array" ref="AQ165">IF($AB165, Push(MMULT(Fetch(AG165),MMULT(TRANSPOSE($I$38:$L$41),Fetch(AL165)))), "")</f>
        <v/>
      </c>
      <c r="AR165" s="62">
        <f t="array" aca="1" ref="AR165:AU165" ca="1">AC165:AF165 + TRANSPOSE(MMULT(IF($AB165,Fetch(AQ165),$L$61:$O$64),TRANSPOSE(AM165:AP165)))</f>
        <v>1.0131589217795962</v>
      </c>
      <c r="AS165" s="62">
        <f ca="1"/>
        <v>-0.40633015053962379</v>
      </c>
      <c r="AT165" s="62">
        <f ca="1"/>
        <v>0.79531931542695888</v>
      </c>
      <c r="AU165" s="62">
        <f ca="1"/>
        <v>0.99804853871758037</v>
      </c>
      <c r="AV165" s="66" t="str">
        <f t="array" ref="AV165">IF($AB165, Push(Fetch(AG165) - MMULT(Fetch(AQ165),MMULT($I$38:$L$41,Fetch(AG165)))), "")</f>
        <v/>
      </c>
      <c r="AW165" s="97">
        <f t="array" aca="1" ref="AW165" ca="1">IF($AB165,LN(MDETERM(Fetch(AL165))),$J$65)   -   MMULT(AM165:AP165,MMULT(IF($AB165,Fetch(AL165),$G$61:$J$64),TRANSPOSE(AM165:AP165)))</f>
        <v>-7.2965515861368129</v>
      </c>
    </row>
    <row r="166" spans="23:49" x14ac:dyDescent="0.15">
      <c r="W166" s="12">
        <f t="shared" si="4"/>
        <v>163</v>
      </c>
      <c r="X166" s="62">
        <f t="array" aca="1" ref="X166:AA166" ca="1">simulate!AE166:AH166</f>
        <v>1.5836100488158367</v>
      </c>
      <c r="Y166" s="62">
        <f ca="1"/>
        <v>0.79068917298367158</v>
      </c>
      <c r="Z166" s="62">
        <f ca="1"/>
        <v>0.43601056950239525</v>
      </c>
      <c r="AA166" s="62">
        <f ca="1"/>
        <v>1.3019011015334108</v>
      </c>
      <c r="AB166" s="98">
        <f t="shared" si="5"/>
        <v>0</v>
      </c>
      <c r="AC166" s="62">
        <f t="array" aca="1" ref="AC166:AF166" ca="1">TRANSPOSE($G$44:$G$47 + MMULT($I$44:$L$47,TRANSPOSE(AR165:AU165)))</f>
        <v>0.86563028089038507</v>
      </c>
      <c r="AD166" s="62">
        <f ca="1"/>
        <v>0.185652532226906</v>
      </c>
      <c r="AE166" s="62">
        <f ca="1"/>
        <v>0.68560907566996165</v>
      </c>
      <c r="AF166" s="62">
        <f ca="1"/>
        <v>0.88464192985840162</v>
      </c>
      <c r="AG166" s="66" t="str">
        <f t="array" ref="AG166">IF($AB166, Push(MMULT($I$44:$L$47,MMULT(Fetch(AV165),TRANSPOSE($I$44:$L$47))) + $N$44:$Q$47), "")</f>
        <v/>
      </c>
      <c r="AH166" s="62">
        <f t="array" aca="1" ref="AH166:AK166" ca="1">TRANSPOSE($G$38:$G$41 + MMULT($I$38:$L$41,TRANSPOSE(AC166:AF166)))</f>
        <v>1.0571004535217754</v>
      </c>
      <c r="AI166" s="62">
        <f ca="1"/>
        <v>0.51886117849391256</v>
      </c>
      <c r="AJ166" s="62">
        <f ca="1"/>
        <v>1.0704503928400984</v>
      </c>
      <c r="AK166" s="62">
        <f ca="1"/>
        <v>0.66255507412816783</v>
      </c>
      <c r="AL166" s="66" t="str">
        <f t="array" ref="AL166">IF($AB166, Push(MINVERSE(MMULT($I$38:$L$41,MMULT(Fetch(AG166),TRANSPOSE($I$38:$L$41))) + $N$38:$Q$41)), "")</f>
        <v/>
      </c>
      <c r="AM166" s="62">
        <f t="array" aca="1" ref="AM166:AP166" ca="1">X166:AA166 - AH166:AK166</f>
        <v>0.52650959529406127</v>
      </c>
      <c r="AN166" s="62">
        <f ca="1"/>
        <v>0.27182799448975903</v>
      </c>
      <c r="AO166" s="62">
        <f ca="1"/>
        <v>-0.6344398233377031</v>
      </c>
      <c r="AP166" s="62">
        <f ca="1"/>
        <v>0.63934602740524293</v>
      </c>
      <c r="AQ166" s="66" t="str">
        <f t="array" ref="AQ166">IF($AB166, Push(MMULT(Fetch(AG166),MMULT(TRANSPOSE($I$38:$L$41),Fetch(AL166)))), "")</f>
        <v/>
      </c>
      <c r="AR166" s="62">
        <f t="array" aca="1" ref="AR166:AU166" ca="1">AC166:AF166 + TRANSPOSE(MMULT(IF($AB166,Fetch(AQ166),$L$61:$O$64),TRANSPOSE(AM166:AP166)))</f>
        <v>0.84531982148788709</v>
      </c>
      <c r="AS166" s="62">
        <f ca="1"/>
        <v>0.50881423573140205</v>
      </c>
      <c r="AT166" s="62">
        <f ca="1"/>
        <v>1.1564420704028433</v>
      </c>
      <c r="AU166" s="62">
        <f ca="1"/>
        <v>0.85317148513371877</v>
      </c>
      <c r="AV166" s="66" t="str">
        <f t="array" ref="AV166">IF($AB166, Push(Fetch(AG166) - MMULT(Fetch(AQ166),MMULT($I$38:$L$41,Fetch(AG166)))), "")</f>
        <v/>
      </c>
      <c r="AW166" s="97">
        <f t="array" aca="1" ref="AW166" ca="1">IF($AB166,LN(MDETERM(Fetch(AL166))),$J$65)   -   MMULT(AM166:AP166,MMULT(IF($AB166,Fetch(AL166),$G$61:$J$64),TRANSPOSE(AM166:AP166)))</f>
        <v>1.6861041058005277</v>
      </c>
    </row>
    <row r="167" spans="23:49" x14ac:dyDescent="0.15">
      <c r="W167" s="12">
        <f t="shared" si="4"/>
        <v>164</v>
      </c>
      <c r="X167" s="62">
        <f t="array" aca="1" ref="X167:AA167" ca="1">simulate!AE167:AH167</f>
        <v>0.95470345167483661</v>
      </c>
      <c r="Y167" s="62">
        <f ca="1"/>
        <v>0.27480413002461979</v>
      </c>
      <c r="Z167" s="62">
        <f ca="1"/>
        <v>0.74275217043753461</v>
      </c>
      <c r="AA167" s="62">
        <f ca="1"/>
        <v>-3.1531859063553158E-2</v>
      </c>
      <c r="AB167" s="98">
        <f t="shared" si="5"/>
        <v>0</v>
      </c>
      <c r="AC167" s="62">
        <f t="array" aca="1" ref="AC167:AF167" ca="1">TRANSPOSE($G$44:$G$47 + MMULT($I$44:$L$47,TRANSPOSE(AR166:AU166)))</f>
        <v>0.92916183816598896</v>
      </c>
      <c r="AD167" s="62">
        <f ca="1"/>
        <v>0.69577872033008636</v>
      </c>
      <c r="AE167" s="62">
        <f ca="1"/>
        <v>0.99583697610907973</v>
      </c>
      <c r="AF167" s="62">
        <f ca="1"/>
        <v>0.92210697649490703</v>
      </c>
      <c r="AG167" s="66" t="str">
        <f t="array" ref="AG167">IF($AB167, Push(MMULT($I$44:$L$47,MMULT(Fetch(AV166),TRANSPOSE($I$44:$L$47))) + $N$44:$Q$47), "")</f>
        <v/>
      </c>
      <c r="AH167" s="62">
        <f t="array" aca="1" ref="AH167:AK167" ca="1">TRANSPOSE($G$38:$G$41 + MMULT($I$38:$L$41,TRANSPOSE(AC167:AF167)))</f>
        <v>1.2621258363808796</v>
      </c>
      <c r="AI167" s="62">
        <f ca="1"/>
        <v>0.9149293834224782</v>
      </c>
      <c r="AJ167" s="62">
        <f ca="1"/>
        <v>0.90367739787892765</v>
      </c>
      <c r="AK167" s="62">
        <f ca="1"/>
        <v>1.0302387752473514</v>
      </c>
      <c r="AL167" s="66" t="str">
        <f t="array" ref="AL167">IF($AB167, Push(MINVERSE(MMULT($I$38:$L$41,MMULT(Fetch(AG167),TRANSPOSE($I$38:$L$41))) + $N$38:$Q$41)), "")</f>
        <v/>
      </c>
      <c r="AM167" s="62">
        <f t="array" aca="1" ref="AM167:AP167" ca="1">X167:AA167 - AH167:AK167</f>
        <v>-0.30742238470604299</v>
      </c>
      <c r="AN167" s="62">
        <f ca="1"/>
        <v>-0.64012525339785842</v>
      </c>
      <c r="AO167" s="62">
        <f ca="1"/>
        <v>-0.16092522744139304</v>
      </c>
      <c r="AP167" s="62">
        <f ca="1"/>
        <v>-1.0617706343109046</v>
      </c>
      <c r="AQ167" s="66" t="str">
        <f t="array" ref="AQ167">IF($AB167, Push(MMULT(Fetch(AG167),MMULT(TRANSPOSE($I$38:$L$41),Fetch(AL167)))), "")</f>
        <v/>
      </c>
      <c r="AR167" s="62">
        <f t="array" aca="1" ref="AR167:AU167" ca="1">AC167:AF167 + TRANSPOSE(MMULT(IF($AB167,Fetch(AQ167),$L$61:$O$64),TRANSPOSE(AM167:AP167)))</f>
        <v>0.8867594981561594</v>
      </c>
      <c r="AS167" s="62">
        <f ca="1"/>
        <v>0.20723774801600414</v>
      </c>
      <c r="AT167" s="62">
        <f ca="1"/>
        <v>0.23836605344086148</v>
      </c>
      <c r="AU167" s="62">
        <f ca="1"/>
        <v>0.48028280701373238</v>
      </c>
      <c r="AV167" s="66" t="str">
        <f t="array" ref="AV167">IF($AB167, Push(Fetch(AG167) - MMULT(Fetch(AQ167),MMULT($I$38:$L$41,Fetch(AG167)))), "")</f>
        <v/>
      </c>
      <c r="AW167" s="97">
        <f t="array" aca="1" ref="AW167" ca="1">IF($AB167,LN(MDETERM(Fetch(AL167))),$J$65)   -   MMULT(AM167:AP167,MMULT(IF($AB167,Fetch(AL167),$G$61:$J$64),TRANSPOSE(AM167:AP167)))</f>
        <v>-7.8467146495505737</v>
      </c>
    </row>
    <row r="168" spans="23:49" x14ac:dyDescent="0.15">
      <c r="W168" s="12">
        <f t="shared" si="4"/>
        <v>165</v>
      </c>
      <c r="X168" s="62">
        <f t="array" aca="1" ref="X168:AA168" ca="1">simulate!AE168:AH168</f>
        <v>1.4751942751690317</v>
      </c>
      <c r="Y168" s="62">
        <f ca="1"/>
        <v>0.30456659764873983</v>
      </c>
      <c r="Z168" s="62">
        <f ca="1"/>
        <v>1.2212257605381687</v>
      </c>
      <c r="AA168" s="62">
        <f ca="1"/>
        <v>0.33020779370051995</v>
      </c>
      <c r="AB168" s="98">
        <f t="shared" si="5"/>
        <v>0</v>
      </c>
      <c r="AC168" s="62">
        <f t="array" aca="1" ref="AC168:AF168" ca="1">TRANSPOSE($G$44:$G$47 + MMULT($I$44:$L$47,TRANSPOSE(AR167:AU167)))</f>
        <v>0.82364028914156018</v>
      </c>
      <c r="AD168" s="62">
        <f ca="1"/>
        <v>0.37722223871556837</v>
      </c>
      <c r="AE168" s="62">
        <f ca="1"/>
        <v>0.39880901842708172</v>
      </c>
      <c r="AF168" s="62">
        <f ca="1"/>
        <v>0.55218478056155118</v>
      </c>
      <c r="AG168" s="66" t="str">
        <f t="array" ref="AG168">IF($AB168, Push(MMULT($I$44:$L$47,MMULT(Fetch(AV167),TRANSPOSE($I$44:$L$47))) + $N$44:$Q$47), "")</f>
        <v/>
      </c>
      <c r="AH168" s="62">
        <f t="array" aca="1" ref="AH168:AK168" ca="1">TRANSPOSE($G$38:$G$41 + MMULT($I$38:$L$41,TRANSPOSE(AC168:AF168)))</f>
        <v>0.92905485179098224</v>
      </c>
      <c r="AI168" s="62">
        <f ca="1"/>
        <v>0.67819331261044635</v>
      </c>
      <c r="AJ168" s="62">
        <f ca="1"/>
        <v>0.73045228245966798</v>
      </c>
      <c r="AK168" s="62">
        <f ca="1"/>
        <v>0.39077755361307126</v>
      </c>
      <c r="AL168" s="66" t="str">
        <f t="array" ref="AL168">IF($AB168, Push(MINVERSE(MMULT($I$38:$L$41,MMULT(Fetch(AG168),TRANSPOSE($I$38:$L$41))) + $N$38:$Q$41)), "")</f>
        <v/>
      </c>
      <c r="AM168" s="62">
        <f t="array" aca="1" ref="AM168:AP168" ca="1">X168:AA168 - AH168:AK168</f>
        <v>0.54613942337804944</v>
      </c>
      <c r="AN168" s="62">
        <f ca="1"/>
        <v>-0.37362671496170652</v>
      </c>
      <c r="AO168" s="62">
        <f ca="1"/>
        <v>0.49077347807850069</v>
      </c>
      <c r="AP168" s="62">
        <f ca="1"/>
        <v>-6.0569759912551313E-2</v>
      </c>
      <c r="AQ168" s="66" t="str">
        <f t="array" ref="AQ168">IF($AB168, Push(MMULT(Fetch(AG168),MMULT(TRANSPOSE($I$38:$L$41),Fetch(AL168)))), "")</f>
        <v/>
      </c>
      <c r="AR168" s="62">
        <f t="array" aca="1" ref="AR168:AU168" ca="1">AC168:AF168 + TRANSPOSE(MMULT(IF($AB168,Fetch(AQ168),$L$61:$O$64),TRANSPOSE(AM168:AP168)))</f>
        <v>1.1503889672474883</v>
      </c>
      <c r="AS168" s="62">
        <f ca="1"/>
        <v>-4.6096776088782099E-2</v>
      </c>
      <c r="AT168" s="62">
        <f ca="1"/>
        <v>0.6869882737215256</v>
      </c>
      <c r="AU168" s="62">
        <f ca="1"/>
        <v>0.73036943010001898</v>
      </c>
      <c r="AV168" s="66" t="str">
        <f t="array" ref="AV168">IF($AB168, Push(Fetch(AG168) - MMULT(Fetch(AQ168),MMULT($I$38:$L$41,Fetch(AG168)))), "")</f>
        <v/>
      </c>
      <c r="AW168" s="97">
        <f t="array" aca="1" ref="AW168" ca="1">IF($AB168,LN(MDETERM(Fetch(AL168))),$J$65)   -   MMULT(AM168:AP168,MMULT(IF($AB168,Fetch(AL168),$G$61:$J$64),TRANSPOSE(AM168:AP168)))</f>
        <v>2.6789714847862207</v>
      </c>
    </row>
    <row r="169" spans="23:49" x14ac:dyDescent="0.15">
      <c r="W169" s="12">
        <f t="shared" si="4"/>
        <v>166</v>
      </c>
      <c r="X169" s="62">
        <f t="array" aca="1" ref="X169:AA169" ca="1">simulate!AE169:AH169</f>
        <v>1.0989038038796906</v>
      </c>
      <c r="Y169" s="62">
        <f ca="1"/>
        <v>0.62502741290700925</v>
      </c>
      <c r="Z169" s="62">
        <f ca="1"/>
        <v>0.78748706494054066</v>
      </c>
      <c r="AA169" s="62">
        <f ca="1"/>
        <v>0.24609841573410929</v>
      </c>
      <c r="AB169" s="98">
        <f t="shared" si="5"/>
        <v>0</v>
      </c>
      <c r="AC169" s="62">
        <f t="array" aca="1" ref="AC169:AF169" ca="1">TRANSPOSE($G$44:$G$47 + MMULT($I$44:$L$47,TRANSPOSE(AR168:AU168)))</f>
        <v>0.97248125642805872</v>
      </c>
      <c r="AD169" s="62">
        <f ca="1"/>
        <v>0.3673996871088564</v>
      </c>
      <c r="AE169" s="62">
        <f ca="1"/>
        <v>0.65574396997570417</v>
      </c>
      <c r="AF169" s="62">
        <f ca="1"/>
        <v>0.75472401138551737</v>
      </c>
      <c r="AG169" s="66" t="str">
        <f t="array" ref="AG169">IF($AB169, Push(MMULT($I$44:$L$47,MMULT(Fetch(AV168),TRANSPOSE($I$44:$L$47))) + $N$44:$Q$47), "")</f>
        <v/>
      </c>
      <c r="AH169" s="62">
        <f t="array" aca="1" ref="AH169:AK169" ca="1">TRANSPOSE($G$38:$G$41 + MMULT($I$38:$L$41,TRANSPOSE(AC169:AF169)))</f>
        <v>1.1418556842599168</v>
      </c>
      <c r="AI169" s="62">
        <f ca="1"/>
        <v>0.69884873547281479</v>
      </c>
      <c r="AJ169" s="62">
        <f ca="1"/>
        <v>0.93699103805314521</v>
      </c>
      <c r="AK169" s="62">
        <f ca="1"/>
        <v>0.59306133214636658</v>
      </c>
      <c r="AL169" s="66" t="str">
        <f t="array" ref="AL169">IF($AB169, Push(MINVERSE(MMULT($I$38:$L$41,MMULT(Fetch(AG169),TRANSPOSE($I$38:$L$41))) + $N$38:$Q$41)), "")</f>
        <v/>
      </c>
      <c r="AM169" s="62">
        <f t="array" aca="1" ref="AM169:AP169" ca="1">X169:AA169 - AH169:AK169</f>
        <v>-4.2951880380226237E-2</v>
      </c>
      <c r="AN169" s="62">
        <f ca="1"/>
        <v>-7.3821322565805536E-2</v>
      </c>
      <c r="AO169" s="62">
        <f ca="1"/>
        <v>-0.14950397311260455</v>
      </c>
      <c r="AP169" s="62">
        <f ca="1"/>
        <v>-0.34696291641225729</v>
      </c>
      <c r="AQ169" s="66" t="str">
        <f t="array" ref="AQ169">IF($AB169, Push(MMULT(Fetch(AG169),MMULT(TRANSPOSE($I$38:$L$41),Fetch(AL169)))), "")</f>
        <v/>
      </c>
      <c r="AR169" s="62">
        <f t="array" aca="1" ref="AR169:AU169" ca="1">AC169:AF169 + TRANSPOSE(MMULT(IF($AB169,Fetch(AQ169),$L$61:$O$64),TRANSPOSE(AM169:AP169)))</f>
        <v>0.98170892264776732</v>
      </c>
      <c r="AS169" s="62">
        <f ca="1"/>
        <v>0.29525835751946078</v>
      </c>
      <c r="AT169" s="62">
        <f ca="1"/>
        <v>0.39567737262519498</v>
      </c>
      <c r="AU169" s="62">
        <f ca="1"/>
        <v>0.57201637975488029</v>
      </c>
      <c r="AV169" s="66" t="str">
        <f t="array" ref="AV169">IF($AB169, Push(Fetch(AG169) - MMULT(Fetch(AQ169),MMULT($I$38:$L$41,Fetch(AG169)))), "")</f>
        <v/>
      </c>
      <c r="AW169" s="97">
        <f t="array" aca="1" ref="AW169" ca="1">IF($AB169,LN(MDETERM(Fetch(AL169))),$J$65)   -   MMULT(AM169:AP169,MMULT(IF($AB169,Fetch(AL169),$G$61:$J$64),TRANSPOSE(AM169:AP169)))</f>
        <v>5.8072462615279976</v>
      </c>
    </row>
    <row r="170" spans="23:49" x14ac:dyDescent="0.15">
      <c r="W170" s="12">
        <f t="shared" si="4"/>
        <v>167</v>
      </c>
      <c r="X170" s="62">
        <f t="array" aca="1" ref="X170:AA170" ca="1">simulate!AE170:AH170</f>
        <v>0.62692546132774352</v>
      </c>
      <c r="Y170" s="62">
        <f ca="1"/>
        <v>1.5025714012436537</v>
      </c>
      <c r="Z170" s="62">
        <f ca="1"/>
        <v>4.4205617060183056E-2</v>
      </c>
      <c r="AA170" s="62">
        <f ca="1"/>
        <v>0.9992775137858313</v>
      </c>
      <c r="AB170" s="98">
        <f t="shared" si="5"/>
        <v>0</v>
      </c>
      <c r="AC170" s="62">
        <f t="array" aca="1" ref="AC170:AF170" ca="1">TRANSPOSE($G$44:$G$47 + MMULT($I$44:$L$47,TRANSPOSE(AR169:AU169)))</f>
        <v>0.90355266050357375</v>
      </c>
      <c r="AD170" s="62">
        <f ca="1"/>
        <v>0.46998653057120476</v>
      </c>
      <c r="AE170" s="62">
        <f ca="1"/>
        <v>0.51839449768570556</v>
      </c>
      <c r="AF170" s="62">
        <f ca="1"/>
        <v>0.63809726399635158</v>
      </c>
      <c r="AG170" s="66" t="str">
        <f t="array" ref="AG170">IF($AB170, Push(MMULT($I$44:$L$47,MMULT(Fetch(AV169),TRANSPOSE($I$44:$L$47))) + $N$44:$Q$47), "")</f>
        <v/>
      </c>
      <c r="AH170" s="62">
        <f t="array" aca="1" ref="AH170:AK170" ca="1">TRANSPOSE($G$38:$G$41 + MMULT($I$38:$L$41,TRANSPOSE(AC170:AF170)))</f>
        <v>1.0329199332930785</v>
      </c>
      <c r="AI170" s="62">
        <f ca="1"/>
        <v>0.77491030766390812</v>
      </c>
      <c r="AJ170" s="62">
        <f ca="1"/>
        <v>0.7867429734803999</v>
      </c>
      <c r="AK170" s="62">
        <f ca="1"/>
        <v>0.50637196704394405</v>
      </c>
      <c r="AL170" s="66" t="str">
        <f t="array" ref="AL170">IF($AB170, Push(MINVERSE(MMULT($I$38:$L$41,MMULT(Fetch(AG170),TRANSPOSE($I$38:$L$41))) + $N$38:$Q$41)), "")</f>
        <v/>
      </c>
      <c r="AM170" s="62">
        <f t="array" aca="1" ref="AM170:AP170" ca="1">X170:AA170 - AH170:AK170</f>
        <v>-0.405994471965335</v>
      </c>
      <c r="AN170" s="62">
        <f ca="1"/>
        <v>0.72766109357974562</v>
      </c>
      <c r="AO170" s="62">
        <f ca="1"/>
        <v>-0.7425373564202169</v>
      </c>
      <c r="AP170" s="62">
        <f ca="1"/>
        <v>0.49290554674188725</v>
      </c>
      <c r="AQ170" s="66" t="str">
        <f t="array" ref="AQ170">IF($AB170, Push(MMULT(Fetch(AG170),MMULT(TRANSPOSE($I$38:$L$41),Fetch(AL170)))), "")</f>
        <v/>
      </c>
      <c r="AR170" s="62">
        <f t="array" aca="1" ref="AR170:AU170" ca="1">AC170:AF170 + TRANSPOSE(MMULT(IF($AB170,Fetch(AQ170),$L$61:$O$64),TRANSPOSE(AM170:AP170)))</f>
        <v>0.53593284155758347</v>
      </c>
      <c r="AS170" s="62">
        <f ca="1"/>
        <v>1.2094209502134512</v>
      </c>
      <c r="AT170" s="62">
        <f ca="1"/>
        <v>0.47875019482753006</v>
      </c>
      <c r="AU170" s="62">
        <f ca="1"/>
        <v>0.51125314565976354</v>
      </c>
      <c r="AV170" s="66" t="str">
        <f t="array" ref="AV170">IF($AB170, Push(Fetch(AG170) - MMULT(Fetch(AQ170),MMULT($I$38:$L$41,Fetch(AG170)))), "")</f>
        <v/>
      </c>
      <c r="AW170" s="97">
        <f t="array" aca="1" ref="AW170" ca="1">IF($AB170,LN(MDETERM(Fetch(AL170))),$J$65)   -   MMULT(AM170:AP170,MMULT(IF($AB170,Fetch(AL170),$G$61:$J$64),TRANSPOSE(AM170:AP170)))</f>
        <v>-5.015767370493224</v>
      </c>
    </row>
    <row r="171" spans="23:49" x14ac:dyDescent="0.15">
      <c r="W171" s="12">
        <f t="shared" si="4"/>
        <v>168</v>
      </c>
      <c r="X171" s="62">
        <f t="array" aca="1" ref="X171:AA171" ca="1">simulate!AE171:AH171</f>
        <v>0.96401313708966052</v>
      </c>
      <c r="Y171" s="62">
        <f ca="1"/>
        <v>1.8716610999005878</v>
      </c>
      <c r="Z171" s="62">
        <f ca="1"/>
        <v>0.41187397996589353</v>
      </c>
      <c r="AA171" s="62">
        <f ca="1"/>
        <v>1.1092825518763698</v>
      </c>
      <c r="AB171" s="98">
        <f t="shared" si="5"/>
        <v>0</v>
      </c>
      <c r="AC171" s="62">
        <f t="array" aca="1" ref="AC171:AF171" ca="1">TRANSPOSE($G$44:$G$47 + MMULT($I$44:$L$47,TRANSPOSE(AR170:AU170)))</f>
        <v>0.8010817085895483</v>
      </c>
      <c r="AD171" s="62">
        <f ca="1"/>
        <v>0.89929529604201597</v>
      </c>
      <c r="AE171" s="62">
        <f ca="1"/>
        <v>0.67095878543169996</v>
      </c>
      <c r="AF171" s="62">
        <f ca="1"/>
        <v>0.66241964072859894</v>
      </c>
      <c r="AG171" s="66" t="str">
        <f t="array" ref="AG171">IF($AB171, Push(MMULT($I$44:$L$47,MMULT(Fetch(AV170),TRANSPOSE($I$44:$L$47))) + $N$44:$Q$47), "")</f>
        <v/>
      </c>
      <c r="AH171" s="62">
        <f t="array" aca="1" ref="AH171:AK171" ca="1">TRANSPOSE($G$38:$G$41 + MMULT($I$38:$L$41,TRANSPOSE(AC171:AF171)))</f>
        <v>1.0269418193615329</v>
      </c>
      <c r="AI171" s="62">
        <f ca="1"/>
        <v>1.0768538851380645</v>
      </c>
      <c r="AJ171" s="62">
        <f ca="1"/>
        <v>0.5901801136304321</v>
      </c>
      <c r="AK171" s="62">
        <f ca="1"/>
        <v>0.80441748756910747</v>
      </c>
      <c r="AL171" s="66" t="str">
        <f t="array" ref="AL171">IF($AB171, Push(MINVERSE(MMULT($I$38:$L$41,MMULT(Fetch(AG171),TRANSPOSE($I$38:$L$41))) + $N$38:$Q$41)), "")</f>
        <v/>
      </c>
      <c r="AM171" s="62">
        <f t="array" aca="1" ref="AM171:AP171" ca="1">X171:AA171 - AH171:AK171</f>
        <v>-6.2928682271872427E-2</v>
      </c>
      <c r="AN171" s="62">
        <f ca="1"/>
        <v>0.79480721476252336</v>
      </c>
      <c r="AO171" s="62">
        <f ca="1"/>
        <v>-0.17830613366453857</v>
      </c>
      <c r="AP171" s="62">
        <f ca="1"/>
        <v>0.30486506430726235</v>
      </c>
      <c r="AQ171" s="66" t="str">
        <f t="array" ref="AQ171">IF($AB171, Push(MMULT(Fetch(AG171),MMULT(TRANSPOSE($I$38:$L$41),Fetch(AL171)))), "")</f>
        <v/>
      </c>
      <c r="AR171" s="62">
        <f t="array" aca="1" ref="AR171:AU171" ca="1">AC171:AF171 + TRANSPOSE(MMULT(IF($AB171,Fetch(AQ171),$L$61:$O$64),TRANSPOSE(AM171:AP171)))</f>
        <v>0.78387923966356476</v>
      </c>
      <c r="AS171" s="62">
        <f ca="1"/>
        <v>1.4615566770684261</v>
      </c>
      <c r="AT171" s="62">
        <f ca="1"/>
        <v>0.71873452051176767</v>
      </c>
      <c r="AU171" s="62">
        <f ca="1"/>
        <v>0.70153304484019818</v>
      </c>
      <c r="AV171" s="66" t="str">
        <f t="array" ref="AV171">IF($AB171, Push(Fetch(AG171) - MMULT(Fetch(AQ171),MMULT($I$38:$L$41,Fetch(AG171)))), "")</f>
        <v/>
      </c>
      <c r="AW171" s="97">
        <f t="array" aca="1" ref="AW171" ca="1">IF($AB171,LN(MDETERM(Fetch(AL171))),$J$65)   -   MMULT(AM171:AP171,MMULT(IF($AB171,Fetch(AL171),$G$61:$J$64),TRANSPOSE(AM171:AP171)))</f>
        <v>1.1362489839319947</v>
      </c>
    </row>
    <row r="172" spans="23:49" x14ac:dyDescent="0.15">
      <c r="W172" s="12">
        <f t="shared" si="4"/>
        <v>169</v>
      </c>
      <c r="X172" s="62">
        <f t="array" aca="1" ref="X172:AA172" ca="1">simulate!AE172:AH172</f>
        <v>1.134626693887955</v>
      </c>
      <c r="Y172" s="62">
        <f ca="1"/>
        <v>0.33033776733940912</v>
      </c>
      <c r="Z172" s="62">
        <f ca="1"/>
        <v>1.0080647085438719</v>
      </c>
      <c r="AA172" s="62">
        <f ca="1"/>
        <v>0.47487206490338019</v>
      </c>
      <c r="AB172" s="98">
        <f t="shared" si="5"/>
        <v>0</v>
      </c>
      <c r="AC172" s="62">
        <f t="array" aca="1" ref="AC172:AF172" ca="1">TRANSPOSE($G$44:$G$47 + MMULT($I$44:$L$47,TRANSPOSE(AR171:AU171)))</f>
        <v>0.99853214921983957</v>
      </c>
      <c r="AD172" s="62">
        <f ca="1"/>
        <v>1.1247843249741099</v>
      </c>
      <c r="AE172" s="62">
        <f ca="1"/>
        <v>0.88731442073703348</v>
      </c>
      <c r="AF172" s="62">
        <f ca="1"/>
        <v>0.83401194669229306</v>
      </c>
      <c r="AG172" s="66" t="str">
        <f t="array" ref="AG172">IF($AB172, Push(MMULT($I$44:$L$47,MMULT(Fetch(AV171),TRANSPOSE($I$44:$L$47))) + $N$44:$Q$47), "")</f>
        <v/>
      </c>
      <c r="AH172" s="62">
        <f t="array" aca="1" ref="AH172:AK172" ca="1">TRANSPOSE($G$38:$G$41 + MMULT($I$38:$L$41,TRANSPOSE(AC172:AF172)))</f>
        <v>1.2450243996026225</v>
      </c>
      <c r="AI172" s="62">
        <f ca="1"/>
        <v>1.3248110337854775</v>
      </c>
      <c r="AJ172" s="62">
        <f ca="1"/>
        <v>0.70405701415829358</v>
      </c>
      <c r="AK172" s="62">
        <f ca="1"/>
        <v>1.0143578391558086</v>
      </c>
      <c r="AL172" s="66" t="str">
        <f t="array" ref="AL172">IF($AB172, Push(MINVERSE(MMULT($I$38:$L$41,MMULT(Fetch(AG172),TRANSPOSE($I$38:$L$41))) + $N$38:$Q$41)), "")</f>
        <v/>
      </c>
      <c r="AM172" s="62">
        <f t="array" aca="1" ref="AM172:AP172" ca="1">X172:AA172 - AH172:AK172</f>
        <v>-0.11039770571466745</v>
      </c>
      <c r="AN172" s="62">
        <f ca="1"/>
        <v>-0.99447326644606837</v>
      </c>
      <c r="AO172" s="62">
        <f ca="1"/>
        <v>0.30400769438557829</v>
      </c>
      <c r="AP172" s="62">
        <f ca="1"/>
        <v>-0.53948577425242839</v>
      </c>
      <c r="AQ172" s="66" t="str">
        <f t="array" ref="AQ172">IF($AB172, Push(MMULT(Fetch(AG172),MMULT(TRANSPOSE($I$38:$L$41),Fetch(AL172)))), "")</f>
        <v/>
      </c>
      <c r="AR172" s="62">
        <f t="array" aca="1" ref="AR172:AU172" ca="1">AC172:AF172 + TRANSPOSE(MMULT(IF($AB172,Fetch(AQ172),$L$61:$O$64),TRANSPOSE(AM172:AP172)))</f>
        <v>0.98971177073167516</v>
      </c>
      <c r="AS172" s="62">
        <f ca="1"/>
        <v>0.40593088970812885</v>
      </c>
      <c r="AT172" s="62">
        <f ca="1"/>
        <v>0.66847257537770177</v>
      </c>
      <c r="AU172" s="62">
        <f ca="1"/>
        <v>0.76217798029296635</v>
      </c>
      <c r="AV172" s="66" t="str">
        <f t="array" ref="AV172">IF($AB172, Push(Fetch(AG172) - MMULT(Fetch(AQ172),MMULT($I$38:$L$41,Fetch(AG172)))), "")</f>
        <v/>
      </c>
      <c r="AW172" s="97">
        <f t="array" aca="1" ref="AW172" ca="1">IF($AB172,LN(MDETERM(Fetch(AL172))),$J$65)   -   MMULT(AM172:AP172,MMULT(IF($AB172,Fetch(AL172),$G$61:$J$64),TRANSPOSE(AM172:AP172)))</f>
        <v>-2.7544110199502523</v>
      </c>
    </row>
    <row r="173" spans="23:49" x14ac:dyDescent="0.15">
      <c r="W173" s="12">
        <f t="shared" si="4"/>
        <v>170</v>
      </c>
      <c r="X173" s="62">
        <f t="array" aca="1" ref="X173:AA173" ca="1">simulate!AE173:AH173</f>
        <v>0.53559059429722211</v>
      </c>
      <c r="Y173" s="62">
        <f ca="1"/>
        <v>0.32219211947220422</v>
      </c>
      <c r="Z173" s="62">
        <f ca="1"/>
        <v>1.0329428114882258</v>
      </c>
      <c r="AA173" s="62">
        <f ca="1"/>
        <v>0.44051456407163431</v>
      </c>
      <c r="AB173" s="98">
        <f t="shared" si="5"/>
        <v>0</v>
      </c>
      <c r="AC173" s="62">
        <f t="array" aca="1" ref="AC173:AF173" ca="1">TRANSPOSE($G$44:$G$47 + MMULT($I$44:$L$47,TRANSPOSE(AR172:AU172)))</f>
        <v>0.95281025157603905</v>
      </c>
      <c r="AD173" s="62">
        <f ca="1"/>
        <v>0.58496500271976637</v>
      </c>
      <c r="AE173" s="62">
        <f ca="1"/>
        <v>0.71240497421207338</v>
      </c>
      <c r="AF173" s="62">
        <f ca="1"/>
        <v>0.79335234154702827</v>
      </c>
      <c r="AG173" s="66" t="str">
        <f t="array" ref="AG173">IF($AB173, Push(MMULT($I$44:$L$47,MMULT(Fetch(AV172),TRANSPOSE($I$44:$L$47))) + $N$44:$Q$47), "")</f>
        <v/>
      </c>
      <c r="AH173" s="62">
        <f t="array" aca="1" ref="AH173:AK173" ca="1">TRANSPOSE($G$38:$G$41 + MMULT($I$38:$L$41,TRANSPOSE(AC173:AF173)))</f>
        <v>1.1412860795272539</v>
      </c>
      <c r="AI173" s="62">
        <f ca="1"/>
        <v>0.87425091879517403</v>
      </c>
      <c r="AJ173" s="62">
        <f ca="1"/>
        <v>0.87373810975526256</v>
      </c>
      <c r="AK173" s="62">
        <f ca="1"/>
        <v>0.72594116123582597</v>
      </c>
      <c r="AL173" s="66" t="str">
        <f t="array" ref="AL173">IF($AB173, Push(MINVERSE(MMULT($I$38:$L$41,MMULT(Fetch(AG173),TRANSPOSE($I$38:$L$41))) + $N$38:$Q$41)), "")</f>
        <v/>
      </c>
      <c r="AM173" s="62">
        <f t="array" aca="1" ref="AM173:AP173" ca="1">X173:AA173 - AH173:AK173</f>
        <v>-0.6056954852300318</v>
      </c>
      <c r="AN173" s="62">
        <f ca="1"/>
        <v>-0.55205879932296975</v>
      </c>
      <c r="AO173" s="62">
        <f ca="1"/>
        <v>0.15920470173296319</v>
      </c>
      <c r="AP173" s="62">
        <f ca="1"/>
        <v>-0.28542659716419166</v>
      </c>
      <c r="AQ173" s="66" t="str">
        <f t="array" ref="AQ173">IF($AB173, Push(MMULT(Fetch(AG173),MMULT(TRANSPOSE($I$38:$L$41),Fetch(AL173)))), "")</f>
        <v/>
      </c>
      <c r="AR173" s="62">
        <f t="array" aca="1" ref="AR173:AU173" ca="1">AC173:AF173 + TRANSPOSE(MMULT(IF($AB173,Fetch(AQ173),$L$61:$O$64),TRANSPOSE(AM173:AP173)))</f>
        <v>0.69453316760772132</v>
      </c>
      <c r="AS173" s="62">
        <f ca="1"/>
        <v>0.28566451563525697</v>
      </c>
      <c r="AT173" s="62">
        <f ca="1"/>
        <v>0.40102398254684052</v>
      </c>
      <c r="AU173" s="62">
        <f ca="1"/>
        <v>0.75250297596364302</v>
      </c>
      <c r="AV173" s="66" t="str">
        <f t="array" ref="AV173">IF($AB173, Push(Fetch(AG173) - MMULT(Fetch(AQ173),MMULT($I$38:$L$41,Fetch(AG173)))), "")</f>
        <v/>
      </c>
      <c r="AW173" s="97">
        <f t="array" aca="1" ref="AW173" ca="1">IF($AB173,LN(MDETERM(Fetch(AL173))),$J$65)   -   MMULT(AM173:AP173,MMULT(IF($AB173,Fetch(AL173),$G$61:$J$64),TRANSPOSE(AM173:AP173)))</f>
        <v>4.5434365329860942</v>
      </c>
    </row>
    <row r="174" spans="23:49" x14ac:dyDescent="0.15">
      <c r="W174" s="12">
        <f t="shared" si="4"/>
        <v>171</v>
      </c>
      <c r="X174" s="62">
        <f t="array" aca="1" ref="X174:AA174" ca="1">simulate!AE174:AH174</f>
        <v>0.55466987503064491</v>
      </c>
      <c r="Y174" s="62">
        <f ca="1"/>
        <v>0.57723052550675236</v>
      </c>
      <c r="Z174" s="62">
        <f ca="1"/>
        <v>1.0540432659562993</v>
      </c>
      <c r="AA174" s="62">
        <f ca="1"/>
        <v>0.54086313380461482</v>
      </c>
      <c r="AB174" s="98">
        <f t="shared" si="5"/>
        <v>0</v>
      </c>
      <c r="AC174" s="62">
        <f t="array" aca="1" ref="AC174:AF174" ca="1">TRANSPOSE($G$44:$G$47 + MMULT($I$44:$L$47,TRANSPOSE(AR173:AU173)))</f>
        <v>0.7560904691557726</v>
      </c>
      <c r="AD174" s="62">
        <f ca="1"/>
        <v>0.43181832057578029</v>
      </c>
      <c r="AE174" s="62">
        <f ca="1"/>
        <v>0.52599262645609068</v>
      </c>
      <c r="AF174" s="62">
        <f ca="1"/>
        <v>0.72195825785638479</v>
      </c>
      <c r="AG174" s="66" t="str">
        <f t="array" ref="AG174">IF($AB174, Push(MMULT($I$44:$L$47,MMULT(Fetch(AV173),TRANSPOSE($I$44:$L$47))) + $N$44:$Q$47), "")</f>
        <v/>
      </c>
      <c r="AH174" s="62">
        <f t="array" aca="1" ref="AH174:AK174" ca="1">TRANSPOSE($G$38:$G$41 + MMULT($I$38:$L$41,TRANSPOSE(AC174:AF174)))</f>
        <v>0.9104307934846072</v>
      </c>
      <c r="AI174" s="62">
        <f ca="1"/>
        <v>0.70163826447400679</v>
      </c>
      <c r="AJ174" s="62">
        <f ca="1"/>
        <v>0.81356777979870598</v>
      </c>
      <c r="AK174" s="62">
        <f ca="1"/>
        <v>0.60229045360986966</v>
      </c>
      <c r="AL174" s="66" t="str">
        <f t="array" ref="AL174">IF($AB174, Push(MINVERSE(MMULT($I$38:$L$41,MMULT(Fetch(AG174),TRANSPOSE($I$38:$L$41))) + $N$38:$Q$41)), "")</f>
        <v/>
      </c>
      <c r="AM174" s="62">
        <f t="array" aca="1" ref="AM174:AP174" ca="1">X174:AA174 - AH174:AK174</f>
        <v>-0.35576091845396229</v>
      </c>
      <c r="AN174" s="62">
        <f ca="1"/>
        <v>-0.12440773896725443</v>
      </c>
      <c r="AO174" s="62">
        <f ca="1"/>
        <v>0.24047548615759329</v>
      </c>
      <c r="AP174" s="62">
        <f ca="1"/>
        <v>-6.1427319805254843E-2</v>
      </c>
      <c r="AQ174" s="66" t="str">
        <f t="array" ref="AQ174">IF($AB174, Push(MMULT(Fetch(AG174),MMULT(TRANSPOSE($I$38:$L$41),Fetch(AL174)))), "")</f>
        <v/>
      </c>
      <c r="AR174" s="62">
        <f t="array" aca="1" ref="AR174:AU174" ca="1">AC174:AF174 + TRANSPOSE(MMULT(IF($AB174,Fetch(AQ174),$L$61:$O$64),TRANSPOSE(AM174:AP174)))</f>
        <v>0.64874271367701786</v>
      </c>
      <c r="AS174" s="62">
        <f ca="1"/>
        <v>0.36029001222390888</v>
      </c>
      <c r="AT174" s="62">
        <f ca="1"/>
        <v>0.41270746225911664</v>
      </c>
      <c r="AU174" s="62">
        <f ca="1"/>
        <v>0.79632157275076731</v>
      </c>
      <c r="AV174" s="66" t="str">
        <f t="array" ref="AV174">IF($AB174, Push(Fetch(AG174) - MMULT(Fetch(AQ174),MMULT($I$38:$L$41,Fetch(AG174)))), "")</f>
        <v/>
      </c>
      <c r="AW174" s="97">
        <f t="array" aca="1" ref="AW174" ca="1">IF($AB174,LN(MDETERM(Fetch(AL174))),$J$65)   -   MMULT(AM174:AP174,MMULT(IF($AB174,Fetch(AL174),$G$61:$J$64),TRANSPOSE(AM174:AP174)))</f>
        <v>6.2805705543398886</v>
      </c>
    </row>
    <row r="175" spans="23:49" x14ac:dyDescent="0.15">
      <c r="W175" s="12">
        <f t="shared" si="4"/>
        <v>172</v>
      </c>
      <c r="X175" s="62">
        <f t="array" aca="1" ref="X175:AA175" ca="1">simulate!AE175:AH175</f>
        <v>0.14333571406202122</v>
      </c>
      <c r="Y175" s="62">
        <f ca="1"/>
        <v>-0.55018072823196107</v>
      </c>
      <c r="Z175" s="62">
        <f ca="1"/>
        <v>1.1571442252875745</v>
      </c>
      <c r="AA175" s="62">
        <f ca="1"/>
        <v>0.93855482983506</v>
      </c>
      <c r="AB175" s="98">
        <f t="shared" si="5"/>
        <v>0</v>
      </c>
      <c r="AC175" s="62">
        <f t="array" aca="1" ref="AC175:AF175" ca="1">TRANSPOSE($G$44:$G$47 + MMULT($I$44:$L$47,TRANSPOSE(AR174:AU174)))</f>
        <v>0.74534152226774786</v>
      </c>
      <c r="AD175" s="62">
        <f ca="1"/>
        <v>0.4695353632148066</v>
      </c>
      <c r="AE175" s="62">
        <f ca="1"/>
        <v>0.54764398673730907</v>
      </c>
      <c r="AF175" s="62">
        <f ca="1"/>
        <v>0.75063212833658333</v>
      </c>
      <c r="AG175" s="66" t="str">
        <f t="array" ref="AG175">IF($AB175, Push(MMULT($I$44:$L$47,MMULT(Fetch(AV174),TRANSPOSE($I$44:$L$47))) + $N$44:$Q$47), "")</f>
        <v/>
      </c>
      <c r="AH175" s="62">
        <f t="array" aca="1" ref="AH175:AK175" ca="1">TRANSPOSE($G$38:$G$41 + MMULT($I$38:$L$41,TRANSPOSE(AC175:AF175)))</f>
        <v>0.9063536898382718</v>
      </c>
      <c r="AI175" s="62">
        <f ca="1"/>
        <v>0.73062748238578545</v>
      </c>
      <c r="AJ175" s="62">
        <f ca="1"/>
        <v>0.81702076087376652</v>
      </c>
      <c r="AK175" s="62">
        <f ca="1"/>
        <v>0.64656422470962727</v>
      </c>
      <c r="AL175" s="66" t="str">
        <f t="array" ref="AL175">IF($AB175, Push(MINVERSE(MMULT($I$38:$L$41,MMULT(Fetch(AG175),TRANSPOSE($I$38:$L$41))) + $N$38:$Q$41)), "")</f>
        <v/>
      </c>
      <c r="AM175" s="62">
        <f t="array" aca="1" ref="AM175:AP175" ca="1">X175:AA175 - AH175:AK175</f>
        <v>-0.76301797577625052</v>
      </c>
      <c r="AN175" s="62">
        <f ca="1"/>
        <v>-1.2808082106177465</v>
      </c>
      <c r="AO175" s="62">
        <f ca="1"/>
        <v>0.34012346441380803</v>
      </c>
      <c r="AP175" s="62">
        <f ca="1"/>
        <v>0.29199060512543273</v>
      </c>
      <c r="AQ175" s="66" t="str">
        <f t="array" ref="AQ175">IF($AB175, Push(MMULT(Fetch(AG175),MMULT(TRANSPOSE($I$38:$L$41),Fetch(AL175)))), "")</f>
        <v/>
      </c>
      <c r="AR175" s="62">
        <f t="array" aca="1" ref="AR175:AU175" ca="1">AC175:AF175 + TRANSPOSE(MMULT(IF($AB175,Fetch(AQ175),$L$61:$O$64),TRANSPOSE(AM175:AP175)))</f>
        <v>0.21704542366115243</v>
      </c>
      <c r="AS175" s="62">
        <f ca="1"/>
        <v>-0.14134311634271168</v>
      </c>
      <c r="AT175" s="62">
        <f ca="1"/>
        <v>0.68183619089091629</v>
      </c>
      <c r="AU175" s="62">
        <f ca="1"/>
        <v>0.97939340662027086</v>
      </c>
      <c r="AV175" s="66" t="str">
        <f t="array" ref="AV175">IF($AB175, Push(Fetch(AG175) - MMULT(Fetch(AQ175),MMULT($I$38:$L$41,Fetch(AG175)))), "")</f>
        <v/>
      </c>
      <c r="AW175" s="97">
        <f t="array" aca="1" ref="AW175" ca="1">IF($AB175,LN(MDETERM(Fetch(AL175))),$J$65)   -   MMULT(AM175:AP175,MMULT(IF($AB175,Fetch(AL175),$G$61:$J$64),TRANSPOSE(AM175:AP175)))</f>
        <v>-3.4432147043615569</v>
      </c>
    </row>
    <row r="176" spans="23:49" x14ac:dyDescent="0.15">
      <c r="W176" s="12">
        <f t="shared" si="4"/>
        <v>173</v>
      </c>
      <c r="X176" s="62">
        <f t="array" aca="1" ref="X176:AA176" ca="1">simulate!AE176:AH176</f>
        <v>-0.13973378334816533</v>
      </c>
      <c r="Y176" s="62">
        <f ca="1"/>
        <v>0.27671435807274247</v>
      </c>
      <c r="Z176" s="62">
        <f ca="1"/>
        <v>-1.8089989604785917E-5</v>
      </c>
      <c r="AA176" s="62">
        <f ca="1"/>
        <v>0.49811043932759203</v>
      </c>
      <c r="AB176" s="98">
        <f t="shared" si="5"/>
        <v>0</v>
      </c>
      <c r="AC176" s="62">
        <f t="array" aca="1" ref="AC176:AF176" ca="1">TRANSPOSE($G$44:$G$47 + MMULT($I$44:$L$47,TRANSPOSE(AR175:AU175)))</f>
        <v>0.46591061414333856</v>
      </c>
      <c r="AD176" s="62">
        <f ca="1"/>
        <v>0.181386154925157</v>
      </c>
      <c r="AE176" s="62">
        <f ca="1"/>
        <v>0.60791185503792355</v>
      </c>
      <c r="AF176" s="62">
        <f ca="1"/>
        <v>0.83674670029602694</v>
      </c>
      <c r="AG176" s="66" t="str">
        <f t="array" ref="AG176">IF($AB176, Push(MMULT($I$44:$L$47,MMULT(Fetch(AV175),TRANSPOSE($I$44:$L$47))) + $N$44:$Q$47), "")</f>
        <v/>
      </c>
      <c r="AH176" s="62">
        <f t="array" aca="1" ref="AH176:AK176" ca="1">TRANSPOSE($G$38:$G$41 + MMULT($I$38:$L$41,TRANSPOSE(AC176:AF176)))</f>
        <v>0.73557731256182257</v>
      </c>
      <c r="AI176" s="62">
        <f ca="1"/>
        <v>0.37770253556998301</v>
      </c>
      <c r="AJ176" s="62">
        <f ca="1"/>
        <v>0.88476244056995368</v>
      </c>
      <c r="AK176" s="62">
        <f ca="1"/>
        <v>0.76425028938075079</v>
      </c>
      <c r="AL176" s="66" t="str">
        <f t="array" ref="AL176">IF($AB176, Push(MINVERSE(MMULT($I$38:$L$41,MMULT(Fetch(AG176),TRANSPOSE($I$38:$L$41))) + $N$38:$Q$41)), "")</f>
        <v/>
      </c>
      <c r="AM176" s="62">
        <f t="array" aca="1" ref="AM176:AP176" ca="1">X176:AA176 - AH176:AK176</f>
        <v>-0.8753110959099879</v>
      </c>
      <c r="AN176" s="62">
        <f ca="1"/>
        <v>-0.10098817749724054</v>
      </c>
      <c r="AO176" s="62">
        <f ca="1"/>
        <v>-0.88478053055955841</v>
      </c>
      <c r="AP176" s="62">
        <f ca="1"/>
        <v>-0.26613985005315877</v>
      </c>
      <c r="AQ176" s="66" t="str">
        <f t="array" ref="AQ176">IF($AB176, Push(MMULT(Fetch(AG176),MMULT(TRANSPOSE($I$38:$L$41),Fetch(AL176)))), "")</f>
        <v/>
      </c>
      <c r="AR176" s="62">
        <f t="array" aca="1" ref="AR176:AU176" ca="1">AC176:AF176 + TRANSPOSE(MMULT(IF($AB176,Fetch(AQ176),$L$61:$O$64),TRANSPOSE(AM176:AP176)))</f>
        <v>-0.11059782833556908</v>
      </c>
      <c r="AS176" s="62">
        <f ca="1"/>
        <v>0.4091519323481303</v>
      </c>
      <c r="AT176" s="62">
        <f ca="1"/>
        <v>-2.1649830731646946E-2</v>
      </c>
      <c r="AU176" s="62">
        <f ca="1"/>
        <v>0.37946021408460284</v>
      </c>
      <c r="AV176" s="66" t="str">
        <f t="array" ref="AV176">IF($AB176, Push(Fetch(AG176) - MMULT(Fetch(AQ176),MMULT($I$38:$L$41,Fetch(AG176)))), "")</f>
        <v/>
      </c>
      <c r="AW176" s="97">
        <f t="array" aca="1" ref="AW176" ca="1">IF($AB176,LN(MDETERM(Fetch(AL176))),$J$65)   -   MMULT(AM176:AP176,MMULT(IF($AB176,Fetch(AL176),$G$61:$J$64),TRANSPOSE(AM176:AP176)))</f>
        <v>0.17050099450722023</v>
      </c>
    </row>
    <row r="177" spans="23:49" x14ac:dyDescent="0.15">
      <c r="W177" s="12">
        <f t="shared" si="4"/>
        <v>174</v>
      </c>
      <c r="X177" s="62">
        <f t="array" aca="1" ref="X177:AA177" ca="1">simulate!AE177:AH177</f>
        <v>1.227771731397038</v>
      </c>
      <c r="Y177" s="62">
        <f ca="1"/>
        <v>-0.22095885905824034</v>
      </c>
      <c r="Z177" s="62">
        <f ca="1"/>
        <v>0.84548999155424687</v>
      </c>
      <c r="AA177" s="62">
        <f ca="1"/>
        <v>0.90289389788467234</v>
      </c>
      <c r="AB177" s="98">
        <f t="shared" si="5"/>
        <v>0</v>
      </c>
      <c r="AC177" s="62">
        <f t="array" aca="1" ref="AC177:AF177" ca="1">TRANSPOSE($G$44:$G$47 + MMULT($I$44:$L$47,TRANSPOSE(AR176:AU176)))</f>
        <v>0.29152034000843707</v>
      </c>
      <c r="AD177" s="62">
        <f ca="1"/>
        <v>0.27868338170118545</v>
      </c>
      <c r="AE177" s="62">
        <f ca="1"/>
        <v>0.20524733342490564</v>
      </c>
      <c r="AF177" s="62">
        <f ca="1"/>
        <v>0.4219613161248964</v>
      </c>
      <c r="AG177" s="66" t="str">
        <f t="array" ref="AG177">IF($AB177, Push(MMULT($I$44:$L$47,MMULT(Fetch(AV176),TRANSPOSE($I$44:$L$47))) + $N$44:$Q$47), "")</f>
        <v/>
      </c>
      <c r="AH177" s="62">
        <f t="array" aca="1" ref="AH177:AK177" ca="1">TRANSPOSE($G$38:$G$41 + MMULT($I$38:$L$41,TRANSPOSE(AC177:AF177)))</f>
        <v>0.46754408280577081</v>
      </c>
      <c r="AI177" s="62">
        <f ca="1"/>
        <v>0.41933827201685597</v>
      </c>
      <c r="AJ177" s="62">
        <f ca="1"/>
        <v>0.4714020623785255</v>
      </c>
      <c r="AK177" s="62">
        <f ca="1"/>
        <v>0.40421945614907862</v>
      </c>
      <c r="AL177" s="66" t="str">
        <f t="array" ref="AL177">IF($AB177, Push(MINVERSE(MMULT($I$38:$L$41,MMULT(Fetch(AG177),TRANSPOSE($I$38:$L$41))) + $N$38:$Q$41)), "")</f>
        <v/>
      </c>
      <c r="AM177" s="62">
        <f t="array" aca="1" ref="AM177:AP177" ca="1">X177:AA177 - AH177:AK177</f>
        <v>0.76022764859126712</v>
      </c>
      <c r="AN177" s="62">
        <f ca="1"/>
        <v>-0.64029713107509634</v>
      </c>
      <c r="AO177" s="62">
        <f ca="1"/>
        <v>0.37408792917572137</v>
      </c>
      <c r="AP177" s="62">
        <f ca="1"/>
        <v>0.49867444173559372</v>
      </c>
      <c r="AQ177" s="66" t="str">
        <f t="array" ref="AQ177">IF($AB177, Push(MMULT(Fetch(AG177),MMULT(TRANSPOSE($I$38:$L$41),Fetch(AL177)))), "")</f>
        <v/>
      </c>
      <c r="AR177" s="62">
        <f t="array" aca="1" ref="AR177:AU177" ca="1">AC177:AF177 + TRANSPOSE(MMULT(IF($AB177,Fetch(AQ177),$L$61:$O$64),TRANSPOSE(AM177:AP177)))</f>
        <v>0.51917817816200418</v>
      </c>
      <c r="AS177" s="62">
        <f ca="1"/>
        <v>-0.19861892759188415</v>
      </c>
      <c r="AT177" s="62">
        <f ca="1"/>
        <v>0.95336085227649525</v>
      </c>
      <c r="AU177" s="62">
        <f ca="1"/>
        <v>0.74674965540709648</v>
      </c>
      <c r="AV177" s="66" t="str">
        <f t="array" ref="AV177">IF($AB177, Push(Fetch(AG177) - MMULT(Fetch(AQ177),MMULT($I$38:$L$41,Fetch(AG177)))), "")</f>
        <v/>
      </c>
      <c r="AW177" s="97">
        <f t="array" aca="1" ref="AW177" ca="1">IF($AB177,LN(MDETERM(Fetch(AL177))),$J$65)   -   MMULT(AM177:AP177,MMULT(IF($AB177,Fetch(AL177),$G$61:$J$64),TRANSPOSE(AM177:AP177)))</f>
        <v>1.0382682380420096</v>
      </c>
    </row>
    <row r="178" spans="23:49" x14ac:dyDescent="0.15">
      <c r="W178" s="12">
        <f t="shared" si="4"/>
        <v>175</v>
      </c>
      <c r="X178" s="62">
        <f t="array" aca="1" ref="X178:AA178" ca="1">simulate!AE178:AH178</f>
        <v>6.6576696157678472E-2</v>
      </c>
      <c r="Y178" s="62">
        <f ca="1"/>
        <v>-0.68961515342494628</v>
      </c>
      <c r="Z178" s="62">
        <f ca="1"/>
        <v>1.2886762460838392</v>
      </c>
      <c r="AA178" s="62">
        <f ca="1"/>
        <v>5.3125088968885265E-2</v>
      </c>
      <c r="AB178" s="98">
        <f t="shared" si="5"/>
        <v>0</v>
      </c>
      <c r="AC178" s="62">
        <f t="array" aca="1" ref="AC178:AF178" ca="1">TRANSPOSE($G$44:$G$47 + MMULT($I$44:$L$47,TRANSPOSE(AR177:AU177)))</f>
        <v>0.62875684551321021</v>
      </c>
      <c r="AD178" s="62">
        <f ca="1"/>
        <v>0.22312994876446227</v>
      </c>
      <c r="AE178" s="62">
        <f ca="1"/>
        <v>0.73233386459511807</v>
      </c>
      <c r="AF178" s="62">
        <f ca="1"/>
        <v>0.76562841790671143</v>
      </c>
      <c r="AG178" s="66" t="str">
        <f t="array" ref="AG178">IF($AB178, Push(MMULT($I$44:$L$47,MMULT(Fetch(AV177),TRANSPOSE($I$44:$L$47))) + $N$44:$Q$47), "")</f>
        <v/>
      </c>
      <c r="AH178" s="62">
        <f t="array" aca="1" ref="AH178:AK178" ca="1">TRANSPOSE($G$38:$G$41 + MMULT($I$38:$L$41,TRANSPOSE(AC178:AF178)))</f>
        <v>0.94922187155831672</v>
      </c>
      <c r="AI178" s="62">
        <f ca="1"/>
        <v>0.42854801813096666</v>
      </c>
      <c r="AJ178" s="62">
        <f ca="1"/>
        <v>0.86088914293215169</v>
      </c>
      <c r="AK178" s="62">
        <f ca="1"/>
        <v>0.76330640275821326</v>
      </c>
      <c r="AL178" s="66" t="str">
        <f t="array" ref="AL178">IF($AB178, Push(MINVERSE(MMULT($I$38:$L$41,MMULT(Fetch(AG178),TRANSPOSE($I$38:$L$41))) + $N$38:$Q$41)), "")</f>
        <v/>
      </c>
      <c r="AM178" s="62">
        <f t="array" aca="1" ref="AM178:AP178" ca="1">X178:AA178 - AH178:AK178</f>
        <v>-0.88264517540063825</v>
      </c>
      <c r="AN178" s="62">
        <f ca="1"/>
        <v>-1.118163171555913</v>
      </c>
      <c r="AO178" s="62">
        <f ca="1"/>
        <v>0.42778710315168755</v>
      </c>
      <c r="AP178" s="62">
        <f ca="1"/>
        <v>-0.71018131378932803</v>
      </c>
      <c r="AQ178" s="66" t="str">
        <f t="array" ref="AQ178">IF($AB178, Push(MMULT(Fetch(AG178),MMULT(TRANSPOSE($I$38:$L$41),Fetch(AL178)))), "")</f>
        <v/>
      </c>
      <c r="AR178" s="62">
        <f t="array" aca="1" ref="AR178:AU178" ca="1">AC178:AF178 + TRANSPOSE(MMULT(IF($AB178,Fetch(AQ178),$L$61:$O$64),TRANSPOSE(AM178:AP178)))</f>
        <v>0.31835255561087683</v>
      </c>
      <c r="AS178" s="62">
        <f ca="1"/>
        <v>-0.49141628447017593</v>
      </c>
      <c r="AT178" s="62">
        <f ca="1"/>
        <v>0.15731903367963107</v>
      </c>
      <c r="AU178" s="62">
        <f ca="1"/>
        <v>0.68095438560004729</v>
      </c>
      <c r="AV178" s="66" t="str">
        <f t="array" ref="AV178">IF($AB178, Push(Fetch(AG178) - MMULT(Fetch(AQ178),MMULT($I$38:$L$41,Fetch(AG178)))), "")</f>
        <v/>
      </c>
      <c r="AW178" s="97">
        <f t="array" aca="1" ref="AW178" ca="1">IF($AB178,LN(MDETERM(Fetch(AL178))),$J$65)   -   MMULT(AM178:AP178,MMULT(IF($AB178,Fetch(AL178),$G$61:$J$64),TRANSPOSE(AM178:AP178)))</f>
        <v>-3.7621418784336367</v>
      </c>
    </row>
    <row r="179" spans="23:49" x14ac:dyDescent="0.15">
      <c r="W179" s="12">
        <f t="shared" si="4"/>
        <v>176</v>
      </c>
      <c r="X179" s="62">
        <f t="array" aca="1" ref="X179:AA179" ca="1">simulate!AE179:AH179</f>
        <v>0.6649318807169442</v>
      </c>
      <c r="Y179" s="62">
        <f ca="1"/>
        <v>0.86631783795792516</v>
      </c>
      <c r="Z179" s="62">
        <f ca="1"/>
        <v>0.25467633594072098</v>
      </c>
      <c r="AA179" s="62">
        <f ca="1"/>
        <v>-0.22905800185149164</v>
      </c>
      <c r="AB179" s="98">
        <f t="shared" si="5"/>
        <v>0</v>
      </c>
      <c r="AC179" s="62">
        <f t="array" aca="1" ref="AC179:AF179" ca="1">TRANSPOSE($G$44:$G$47 + MMULT($I$44:$L$47,TRANSPOSE(AR178:AU178)))</f>
        <v>0.41713756384772566</v>
      </c>
      <c r="AD179" s="62">
        <f ca="1"/>
        <v>-9.0099242814446784E-2</v>
      </c>
      <c r="AE179" s="62">
        <f ca="1"/>
        <v>0.23084067242534229</v>
      </c>
      <c r="AF179" s="62">
        <f ca="1"/>
        <v>0.57035577246205993</v>
      </c>
      <c r="AG179" s="66" t="str">
        <f t="array" ref="AG179">IF($AB179, Push(MMULT($I$44:$L$47,MMULT(Fetch(AV178),TRANSPOSE($I$44:$L$47))) + $N$44:$Q$47), "")</f>
        <v/>
      </c>
      <c r="AH179" s="62">
        <f t="array" aca="1" ref="AH179:AK179" ca="1">TRANSPOSE($G$38:$G$41 + MMULT($I$38:$L$41,TRANSPOSE(AC179:AF179)))</f>
        <v>0.55104900759315623</v>
      </c>
      <c r="AI179" s="62">
        <f ca="1"/>
        <v>0.16711317973029546</v>
      </c>
      <c r="AJ179" s="62">
        <f ca="1"/>
        <v>0.78160790737103225</v>
      </c>
      <c r="AK179" s="62">
        <f ca="1"/>
        <v>0.31682375355281356</v>
      </c>
      <c r="AL179" s="66" t="str">
        <f t="array" ref="AL179">IF($AB179, Push(MINVERSE(MMULT($I$38:$L$41,MMULT(Fetch(AG179),TRANSPOSE($I$38:$L$41))) + $N$38:$Q$41)), "")</f>
        <v/>
      </c>
      <c r="AM179" s="62">
        <f t="array" aca="1" ref="AM179:AP179" ca="1">X179:AA179 - AH179:AK179</f>
        <v>0.11388287312378798</v>
      </c>
      <c r="AN179" s="62">
        <f ca="1"/>
        <v>0.69920465822762967</v>
      </c>
      <c r="AO179" s="62">
        <f ca="1"/>
        <v>-0.52693157143031133</v>
      </c>
      <c r="AP179" s="62">
        <f ca="1"/>
        <v>-0.54588175540430517</v>
      </c>
      <c r="AQ179" s="66" t="str">
        <f t="array" ref="AQ179">IF($AB179, Push(MMULT(Fetch(AG179),MMULT(TRANSPOSE($I$38:$L$41),Fetch(AL179)))), "")</f>
        <v/>
      </c>
      <c r="AR179" s="62">
        <f t="array" aca="1" ref="AR179:AU179" ca="1">AC179:AF179 + TRANSPOSE(MMULT(IF($AB179,Fetch(AQ179),$L$61:$O$64),TRANSPOSE(AM179:AP179)))</f>
        <v>0.56888324059065021</v>
      </c>
      <c r="AS179" s="62">
        <f ca="1"/>
        <v>0.29101515465425132</v>
      </c>
      <c r="AT179" s="62">
        <f ca="1"/>
        <v>-0.26441572994543666</v>
      </c>
      <c r="AU179" s="62">
        <f ca="1"/>
        <v>0.1704153430692002</v>
      </c>
      <c r="AV179" s="66" t="str">
        <f t="array" ref="AV179">IF($AB179, Push(Fetch(AG179) - MMULT(Fetch(AQ179),MMULT($I$38:$L$41,Fetch(AG179)))), "")</f>
        <v/>
      </c>
      <c r="AW179" s="97">
        <f t="array" aca="1" ref="AW179" ca="1">IF($AB179,LN(MDETERM(Fetch(AL179))),$J$65)   -   MMULT(AM179:AP179,MMULT(IF($AB179,Fetch(AL179),$G$61:$J$64),TRANSPOSE(AM179:AP179)))</f>
        <v>2.091061843944324</v>
      </c>
    </row>
    <row r="180" spans="23:49" x14ac:dyDescent="0.15">
      <c r="W180" s="12">
        <f t="shared" si="4"/>
        <v>177</v>
      </c>
      <c r="X180" s="62">
        <f t="array" aca="1" ref="X180:AA180" ca="1">simulate!AE180:AH180</f>
        <v>0.20766861290756344</v>
      </c>
      <c r="Y180" s="62">
        <f ca="1"/>
        <v>-0.33583293775697304</v>
      </c>
      <c r="Z180" s="62">
        <f ca="1"/>
        <v>0.55514529485712716</v>
      </c>
      <c r="AA180" s="62">
        <f ca="1"/>
        <v>0.15546511448984718</v>
      </c>
      <c r="AB180" s="98">
        <f t="shared" si="5"/>
        <v>0</v>
      </c>
      <c r="AC180" s="62">
        <f t="array" aca="1" ref="AC180:AF180" ca="1">TRANSPOSE($G$44:$G$47 + MMULT($I$44:$L$47,TRANSPOSE(AR179:AU179)))</f>
        <v>0.61368095573949843</v>
      </c>
      <c r="AD180" s="62">
        <f ca="1"/>
        <v>0.27439322339406841</v>
      </c>
      <c r="AE180" s="62">
        <f ca="1"/>
        <v>7.2386090498774244E-2</v>
      </c>
      <c r="AF180" s="62">
        <f ca="1"/>
        <v>0.29388954013003676</v>
      </c>
      <c r="AG180" s="66" t="str">
        <f t="array" ref="AG180">IF($AB180, Push(MMULT($I$44:$L$47,MMULT(Fetch(AV179),TRANSPOSE($I$44:$L$47))) + $N$44:$Q$47), "")</f>
        <v/>
      </c>
      <c r="AH180" s="62">
        <f t="array" aca="1" ref="AH180:AK180" ca="1">TRANSPOSE($G$38:$G$41 + MMULT($I$38:$L$41,TRANSPOSE(AC180:AF180)))</f>
        <v>0.65017355062220972</v>
      </c>
      <c r="AI180" s="62">
        <f ca="1"/>
        <v>0.5435705652158519</v>
      </c>
      <c r="AJ180" s="62">
        <f ca="1"/>
        <v>0.50296998246949842</v>
      </c>
      <c r="AK180" s="62">
        <f ca="1"/>
        <v>0.10744237027888587</v>
      </c>
      <c r="AL180" s="66" t="str">
        <f t="array" ref="AL180">IF($AB180, Push(MINVERSE(MMULT($I$38:$L$41,MMULT(Fetch(AG180),TRANSPOSE($I$38:$L$41))) + $N$38:$Q$41)), "")</f>
        <v/>
      </c>
      <c r="AM180" s="62">
        <f t="array" aca="1" ref="AM180:AP180" ca="1">X180:AA180 - AH180:AK180</f>
        <v>-0.44250493771464627</v>
      </c>
      <c r="AN180" s="62">
        <f ca="1"/>
        <v>-0.87940350297282488</v>
      </c>
      <c r="AO180" s="62">
        <f ca="1"/>
        <v>5.2175312387628736E-2</v>
      </c>
      <c r="AP180" s="62">
        <f ca="1"/>
        <v>4.802274421096131E-2</v>
      </c>
      <c r="AQ180" s="66" t="str">
        <f t="array" ref="AQ180">IF($AB180, Push(MMULT(Fetch(AG180),MMULT(TRANSPOSE($I$38:$L$41),Fetch(AL180)))), "")</f>
        <v/>
      </c>
      <c r="AR180" s="62">
        <f t="array" aca="1" ref="AR180:AU180" ca="1">AC180:AF180 + TRANSPOSE(MMULT(IF($AB180,Fetch(AQ180),$L$61:$O$64),TRANSPOSE(AM180:AP180)))</f>
        <v>0.27671929628232173</v>
      </c>
      <c r="AS180" s="62">
        <f ca="1"/>
        <v>-0.15146782185237656</v>
      </c>
      <c r="AT180" s="62">
        <f ca="1"/>
        <v>6.3014824250266555E-2</v>
      </c>
      <c r="AU180" s="62">
        <f ca="1"/>
        <v>0.32414391043281765</v>
      </c>
      <c r="AV180" s="66" t="str">
        <f t="array" ref="AV180">IF($AB180, Push(Fetch(AG180) - MMULT(Fetch(AQ180),MMULT($I$38:$L$41,Fetch(AG180)))), "")</f>
        <v/>
      </c>
      <c r="AW180" s="97">
        <f t="array" aca="1" ref="AW180" ca="1">IF($AB180,LN(MDETERM(Fetch(AL180))),$J$65)   -   MMULT(AM180:AP180,MMULT(IF($AB180,Fetch(AL180),$G$61:$J$64),TRANSPOSE(AM180:AP180)))</f>
        <v>2.9532490928215402</v>
      </c>
    </row>
    <row r="181" spans="23:49" x14ac:dyDescent="0.15">
      <c r="W181" s="12">
        <f t="shared" si="4"/>
        <v>178</v>
      </c>
      <c r="X181" s="62">
        <f t="array" aca="1" ref="X181:AA181" ca="1">simulate!AE181:AH181</f>
        <v>-0.1868238157782805</v>
      </c>
      <c r="Y181" s="62">
        <f ca="1"/>
        <v>0.78538345840961898</v>
      </c>
      <c r="Z181" s="62">
        <f ca="1"/>
        <v>0.14080098137004704</v>
      </c>
      <c r="AA181" s="62">
        <f ca="1"/>
        <v>0.49017047558781157</v>
      </c>
      <c r="AB181" s="98">
        <f t="shared" si="5"/>
        <v>0</v>
      </c>
      <c r="AC181" s="62">
        <f t="array" aca="1" ref="AC181:AF181" ca="1">TRANSPOSE($G$44:$G$47 + MMULT($I$44:$L$47,TRANSPOSE(AR180:AU180)))</f>
        <v>0.42110221515653118</v>
      </c>
      <c r="AD181" s="62">
        <f ca="1"/>
        <v>4.7383505791222497E-2</v>
      </c>
      <c r="AE181" s="62">
        <f ca="1"/>
        <v>0.17933484961557622</v>
      </c>
      <c r="AF181" s="62">
        <f ca="1"/>
        <v>0.38453830556943641</v>
      </c>
      <c r="AG181" s="66" t="str">
        <f t="array" ref="AG181">IF($AB181, Push(MMULT($I$44:$L$47,MMULT(Fetch(AV180),TRANSPOSE($I$44:$L$47))) + $N$44:$Q$47), "")</f>
        <v/>
      </c>
      <c r="AH181" s="62">
        <f t="array" aca="1" ref="AH181:AK181" ca="1">TRANSPOSE($G$38:$G$41 + MMULT($I$38:$L$41,TRANSPOSE(AC181:AF181)))</f>
        <v>0.56668536215931364</v>
      </c>
      <c r="AI181" s="62">
        <f ca="1"/>
        <v>0.26501151713894883</v>
      </c>
      <c r="AJ181" s="62">
        <f ca="1"/>
        <v>0.58051021858126195</v>
      </c>
      <c r="AK181" s="62">
        <f ca="1"/>
        <v>0.24047360671740786</v>
      </c>
      <c r="AL181" s="66" t="str">
        <f t="array" ref="AL181">IF($AB181, Push(MINVERSE(MMULT($I$38:$L$41,MMULT(Fetch(AG181),TRANSPOSE($I$38:$L$41))) + $N$38:$Q$41)), "")</f>
        <v/>
      </c>
      <c r="AM181" s="62">
        <f t="array" aca="1" ref="AM181:AP181" ca="1">X181:AA181 - AH181:AK181</f>
        <v>-0.7535091779375942</v>
      </c>
      <c r="AN181" s="62">
        <f ca="1"/>
        <v>0.52037194127067021</v>
      </c>
      <c r="AO181" s="62">
        <f ca="1"/>
        <v>-0.43970923721121491</v>
      </c>
      <c r="AP181" s="62">
        <f ca="1"/>
        <v>0.24969686887040371</v>
      </c>
      <c r="AQ181" s="66" t="str">
        <f t="array" ref="AQ181">IF($AB181, Push(MMULT(Fetch(AG181),MMULT(TRANSPOSE($I$38:$L$41),Fetch(AL181)))), "")</f>
        <v/>
      </c>
      <c r="AR181" s="62">
        <f t="array" aca="1" ref="AR181:AU181" ca="1">AC181:AF181 + TRANSPOSE(MMULT(IF($AB181,Fetch(AQ181),$L$61:$O$64),TRANSPOSE(AM181:AP181)))</f>
        <v>-6.6736842737137869E-3</v>
      </c>
      <c r="AS181" s="62">
        <f ca="1"/>
        <v>0.61741555297136708</v>
      </c>
      <c r="AT181" s="62">
        <f ca="1"/>
        <v>-6.937457592073587E-2</v>
      </c>
      <c r="AU181" s="62">
        <f ca="1"/>
        <v>0.29345246599087632</v>
      </c>
      <c r="AV181" s="66" t="str">
        <f t="array" ref="AV181">IF($AB181, Push(Fetch(AG181) - MMULT(Fetch(AQ181),MMULT($I$38:$L$41,Fetch(AG181)))), "")</f>
        <v/>
      </c>
      <c r="AW181" s="97">
        <f t="array" aca="1" ref="AW181" ca="1">IF($AB181,LN(MDETERM(Fetch(AL181))),$J$65)   -   MMULT(AM181:AP181,MMULT(IF($AB181,Fetch(AL181),$G$61:$J$64),TRANSPOSE(AM181:AP181)))</f>
        <v>-3.3068849865233645</v>
      </c>
    </row>
    <row r="182" spans="23:49" x14ac:dyDescent="0.15">
      <c r="W182" s="12">
        <f t="shared" si="4"/>
        <v>179</v>
      </c>
      <c r="X182" s="62">
        <f t="array" aca="1" ref="X182:AA182" ca="1">simulate!AE182:AH182</f>
        <v>0.95815322320384511</v>
      </c>
      <c r="Y182" s="62">
        <f ca="1"/>
        <v>0.67061008337936856</v>
      </c>
      <c r="Z182" s="62">
        <f ca="1"/>
        <v>0.21134260881161349</v>
      </c>
      <c r="AA182" s="62">
        <f ca="1"/>
        <v>1.0864542099579655</v>
      </c>
      <c r="AB182" s="98">
        <f t="shared" si="5"/>
        <v>0</v>
      </c>
      <c r="AC182" s="62">
        <f t="array" aca="1" ref="AC182:AF182" ca="1">TRANSPOSE($G$44:$G$47 + MMULT($I$44:$L$47,TRANSPOSE(AR181:AU181)))</f>
        <v>0.37093795639682647</v>
      </c>
      <c r="AD182" s="62">
        <f ca="1"/>
        <v>0.39484920570123039</v>
      </c>
      <c r="AE182" s="62">
        <f ca="1"/>
        <v>0.20795532771408159</v>
      </c>
      <c r="AF182" s="62">
        <f ca="1"/>
        <v>0.38758123282901791</v>
      </c>
      <c r="AG182" s="66" t="str">
        <f t="array" ref="AG182">IF($AB182, Push(MMULT($I$44:$L$47,MMULT(Fetch(AV181),TRANSPOSE($I$44:$L$47))) + $N$44:$Q$47), "")</f>
        <v/>
      </c>
      <c r="AH182" s="62">
        <f t="array" aca="1" ref="AH182:AK182" ca="1">TRANSPOSE($G$38:$G$41 + MMULT($I$38:$L$41,TRANSPOSE(AC182:AF182)))</f>
        <v>0.52969565950255637</v>
      </c>
      <c r="AI182" s="62">
        <f ca="1"/>
        <v>0.54248779661840507</v>
      </c>
      <c r="AJ182" s="62">
        <f ca="1"/>
        <v>0.42901325295903631</v>
      </c>
      <c r="AK182" s="62">
        <f ca="1"/>
        <v>0.39135303631142815</v>
      </c>
      <c r="AL182" s="66" t="str">
        <f t="array" ref="AL182">IF($AB182, Push(MINVERSE(MMULT($I$38:$L$41,MMULT(Fetch(AG182),TRANSPOSE($I$38:$L$41))) + $N$38:$Q$41)), "")</f>
        <v/>
      </c>
      <c r="AM182" s="62">
        <f t="array" aca="1" ref="AM182:AP182" ca="1">X182:AA182 - AH182:AK182</f>
        <v>0.42845756370128874</v>
      </c>
      <c r="AN182" s="62">
        <f ca="1"/>
        <v>0.12812228676096349</v>
      </c>
      <c r="AO182" s="62">
        <f ca="1"/>
        <v>-0.21767064414742282</v>
      </c>
      <c r="AP182" s="62">
        <f ca="1"/>
        <v>0.69510117364653734</v>
      </c>
      <c r="AQ182" s="66" t="str">
        <f t="array" ref="AQ182">IF($AB182, Push(MMULT(Fetch(AG182),MMULT(TRANSPOSE($I$38:$L$41),Fetch(AL182)))), "")</f>
        <v/>
      </c>
      <c r="AR182" s="62">
        <f t="array" aca="1" ref="AR182:AU182" ca="1">AC182:AF182 + TRANSPOSE(MMULT(IF($AB182,Fetch(AQ182),$L$61:$O$64),TRANSPOSE(AM182:AP182)))</f>
        <v>0.37549754363921584</v>
      </c>
      <c r="AS182" s="62">
        <f ca="1"/>
        <v>0.57681794629841299</v>
      </c>
      <c r="AT182" s="62">
        <f ca="1"/>
        <v>0.76839225596362803</v>
      </c>
      <c r="AU182" s="62">
        <f ca="1"/>
        <v>0.54401271971303899</v>
      </c>
      <c r="AV182" s="66" t="str">
        <f t="array" ref="AV182">IF($AB182, Push(Fetch(AG182) - MMULT(Fetch(AQ182),MMULT($I$38:$L$41,Fetch(AG182)))), "")</f>
        <v/>
      </c>
      <c r="AW182" s="97">
        <f t="array" aca="1" ref="AW182" ca="1">IF($AB182,LN(MDETERM(Fetch(AL182))),$J$65)   -   MMULT(AM182:AP182,MMULT(IF($AB182,Fetch(AL182),$G$61:$J$64),TRANSPOSE(AM182:AP182)))</f>
        <v>3.1398634181110481</v>
      </c>
    </row>
    <row r="183" spans="23:49" x14ac:dyDescent="0.15">
      <c r="W183" s="12">
        <f t="shared" si="4"/>
        <v>180</v>
      </c>
      <c r="X183" s="62">
        <f t="array" aca="1" ref="X183:AA183" ca="1">simulate!AE183:AH183</f>
        <v>1.0897733182560883</v>
      </c>
      <c r="Y183" s="62">
        <f ca="1"/>
        <v>0.93312415451526987</v>
      </c>
      <c r="Z183" s="62">
        <f ca="1"/>
        <v>0.11329944094132721</v>
      </c>
      <c r="AA183" s="62">
        <f ca="1"/>
        <v>-7.2735677143214036E-2</v>
      </c>
      <c r="AB183" s="98">
        <f t="shared" si="5"/>
        <v>0</v>
      </c>
      <c r="AC183" s="62">
        <f t="array" aca="1" ref="AC183:AF183" ca="1">TRANSPOSE($G$44:$G$47 + MMULT($I$44:$L$47,TRANSPOSE(AR182:AU182)))</f>
        <v>0.64300702551866751</v>
      </c>
      <c r="AD183" s="62">
        <f ca="1"/>
        <v>0.57679059440898561</v>
      </c>
      <c r="AE183" s="62">
        <f ca="1"/>
        <v>0.71810568329495428</v>
      </c>
      <c r="AF183" s="62">
        <f ca="1"/>
        <v>0.67439764351204889</v>
      </c>
      <c r="AG183" s="66" t="str">
        <f t="array" ref="AG183">IF($AB183, Push(MMULT($I$44:$L$47,MMULT(Fetch(AV182),TRANSPOSE($I$44:$L$47))) + $N$44:$Q$47), "")</f>
        <v/>
      </c>
      <c r="AH183" s="62">
        <f t="array" aca="1" ref="AH183:AK183" ca="1">TRANSPOSE($G$38:$G$41 + MMULT($I$38:$L$41,TRANSPOSE(AC183:AF183)))</f>
        <v>0.95754869371496154</v>
      </c>
      <c r="AI183" s="62">
        <f ca="1"/>
        <v>0.72767441714209302</v>
      </c>
      <c r="AJ183" s="62">
        <f ca="1"/>
        <v>0.65718783873459041</v>
      </c>
      <c r="AK183" s="62">
        <f ca="1"/>
        <v>0.81588258903364586</v>
      </c>
      <c r="AL183" s="66" t="str">
        <f t="array" ref="AL183">IF($AB183, Push(MINVERSE(MMULT($I$38:$L$41,MMULT(Fetch(AG183),TRANSPOSE($I$38:$L$41))) + $N$38:$Q$41)), "")</f>
        <v/>
      </c>
      <c r="AM183" s="62">
        <f t="array" aca="1" ref="AM183:AP183" ca="1">X183:AA183 - AH183:AK183</f>
        <v>0.13222462454112671</v>
      </c>
      <c r="AN183" s="62">
        <f ca="1"/>
        <v>0.20544973737317684</v>
      </c>
      <c r="AO183" s="62">
        <f ca="1"/>
        <v>-0.54388839779326315</v>
      </c>
      <c r="AP183" s="62">
        <f ca="1"/>
        <v>-0.88861826617685991</v>
      </c>
      <c r="AQ183" s="66" t="str">
        <f t="array" ref="AQ183">IF($AB183, Push(MMULT(Fetch(AG183),MMULT(TRANSPOSE($I$38:$L$41),Fetch(AL183)))), "")</f>
        <v/>
      </c>
      <c r="AR183" s="62">
        <f t="array" aca="1" ref="AR183:AU183" ca="1">AC183:AF183 + TRANSPOSE(MMULT(IF($AB183,Fetch(AQ183),$L$61:$O$64),TRANSPOSE(AM183:AP183)))</f>
        <v>0.79836290951913835</v>
      </c>
      <c r="AS183" s="62">
        <f ca="1"/>
        <v>0.60857580737300898</v>
      </c>
      <c r="AT183" s="62">
        <f ca="1"/>
        <v>6.3070591880130533E-2</v>
      </c>
      <c r="AU183" s="62">
        <f ca="1"/>
        <v>0.14451261462499188</v>
      </c>
      <c r="AV183" s="66" t="str">
        <f t="array" ref="AV183">IF($AB183, Push(Fetch(AG183) - MMULT(Fetch(AQ183),MMULT($I$38:$L$41,Fetch(AG183)))), "")</f>
        <v/>
      </c>
      <c r="AW183" s="97">
        <f t="array" aca="1" ref="AW183" ca="1">IF($AB183,LN(MDETERM(Fetch(AL183))),$J$65)   -   MMULT(AM183:AP183,MMULT(IF($AB183,Fetch(AL183),$G$61:$J$64),TRANSPOSE(AM183:AP183)))</f>
        <v>-3.6452368649209301</v>
      </c>
    </row>
    <row r="184" spans="23:49" x14ac:dyDescent="0.15">
      <c r="W184" s="12">
        <f t="shared" si="4"/>
        <v>181</v>
      </c>
      <c r="X184" s="62">
        <f t="array" aca="1" ref="X184:AA184" ca="1">simulate!AE184:AH184</f>
        <v>0.1483215739567057</v>
      </c>
      <c r="Y184" s="62">
        <f ca="1"/>
        <v>0.92667997102154054</v>
      </c>
      <c r="Z184" s="62">
        <f ca="1"/>
        <v>0.53136620489099451</v>
      </c>
      <c r="AA184" s="62">
        <f ca="1"/>
        <v>-0.38252134419030326</v>
      </c>
      <c r="AB184" s="98">
        <f t="shared" si="5"/>
        <v>0</v>
      </c>
      <c r="AC184" s="62">
        <f t="array" aca="1" ref="AC184:AF184" ca="1">TRANSPOSE($G$44:$G$47 + MMULT($I$44:$L$47,TRANSPOSE(AR183:AU183)))</f>
        <v>0.80668021936901391</v>
      </c>
      <c r="AD184" s="62">
        <f ca="1"/>
        <v>0.52977920858247673</v>
      </c>
      <c r="AE184" s="62">
        <f ca="1"/>
        <v>0.31331405385105771</v>
      </c>
      <c r="AF184" s="62">
        <f ca="1"/>
        <v>0.36670362007130425</v>
      </c>
      <c r="AG184" s="66" t="str">
        <f t="array" ref="AG184">IF($AB184, Push(MMULT($I$44:$L$47,MMULT(Fetch(AV183),TRANSPOSE($I$44:$L$47))) + $N$44:$Q$47), "")</f>
        <v/>
      </c>
      <c r="AH184" s="62">
        <f t="array" aca="1" ref="AH184:AK184" ca="1">TRANSPOSE($G$38:$G$41 + MMULT($I$38:$L$41,TRANSPOSE(AC184:AF184)))</f>
        <v>0.90720924704737782</v>
      </c>
      <c r="AI184" s="62">
        <f ca="1"/>
        <v>0.79023666250237501</v>
      </c>
      <c r="AJ184" s="62">
        <f ca="1"/>
        <v>0.51898185849905176</v>
      </c>
      <c r="AK184" s="62">
        <f ca="1"/>
        <v>0.30404094095944462</v>
      </c>
      <c r="AL184" s="66" t="str">
        <f t="array" ref="AL184">IF($AB184, Push(MINVERSE(MMULT($I$38:$L$41,MMULT(Fetch(AG184),TRANSPOSE($I$38:$L$41))) + $N$38:$Q$41)), "")</f>
        <v/>
      </c>
      <c r="AM184" s="62">
        <f t="array" aca="1" ref="AM184:AP184" ca="1">X184:AA184 - AH184:AK184</f>
        <v>-0.75888767309067218</v>
      </c>
      <c r="AN184" s="62">
        <f ca="1"/>
        <v>0.13644330851916553</v>
      </c>
      <c r="AO184" s="62">
        <f ca="1"/>
        <v>1.2384346391942747E-2</v>
      </c>
      <c r="AP184" s="62">
        <f ca="1"/>
        <v>-0.68656228514974793</v>
      </c>
      <c r="AQ184" s="66" t="str">
        <f t="array" ref="AQ184">IF($AB184, Push(MMULT(Fetch(AG184),MMULT(TRANSPOSE($I$38:$L$41),Fetch(AL184)))), "")</f>
        <v/>
      </c>
      <c r="AR184" s="62">
        <f t="array" aca="1" ref="AR184:AU184" ca="1">AC184:AF184 + TRANSPOSE(MMULT(IF($AB184,Fetch(AQ184),$L$61:$O$64),TRANSPOSE(AM184:AP184)))</f>
        <v>0.63975897320029829</v>
      </c>
      <c r="AS184" s="62">
        <f ca="1"/>
        <v>0.60110247415159856</v>
      </c>
      <c r="AT184" s="62">
        <f ca="1"/>
        <v>-0.4293721083135611</v>
      </c>
      <c r="AU184" s="62">
        <f ca="1"/>
        <v>0.13026114878879475</v>
      </c>
      <c r="AV184" s="66" t="str">
        <f t="array" ref="AV184">IF($AB184, Push(Fetch(AG184) - MMULT(Fetch(AQ184),MMULT($I$38:$L$41,Fetch(AG184)))), "")</f>
        <v/>
      </c>
      <c r="AW184" s="97">
        <f t="array" aca="1" ref="AW184" ca="1">IF($AB184,LN(MDETERM(Fetch(AL184))),$J$65)   -   MMULT(AM184:AP184,MMULT(IF($AB184,Fetch(AL184),$G$61:$J$64),TRANSPOSE(AM184:AP184)))</f>
        <v>2.7425472088085243</v>
      </c>
    </row>
    <row r="185" spans="23:49" x14ac:dyDescent="0.15">
      <c r="W185" s="12">
        <f t="shared" si="4"/>
        <v>182</v>
      </c>
      <c r="X185" s="62">
        <f t="array" aca="1" ref="X185:AA185" ca="1">simulate!AE185:AH185</f>
        <v>0.712471954878237</v>
      </c>
      <c r="Y185" s="62">
        <f ca="1"/>
        <v>-0.47488286965604831</v>
      </c>
      <c r="Z185" s="62">
        <f ca="1"/>
        <v>-2.253211166510169E-2</v>
      </c>
      <c r="AA185" s="62">
        <f ca="1"/>
        <v>0.78680346114394362</v>
      </c>
      <c r="AB185" s="98">
        <f t="shared" si="5"/>
        <v>0</v>
      </c>
      <c r="AC185" s="62">
        <f t="array" aca="1" ref="AC185:AF185" ca="1">TRANSPOSE($G$44:$G$47 + MMULT($I$44:$L$47,TRANSPOSE(AR184:AU184)))</f>
        <v>0.68417751834963836</v>
      </c>
      <c r="AD185" s="62">
        <f ca="1"/>
        <v>0.42610049675804729</v>
      </c>
      <c r="AE185" s="62">
        <f ca="1"/>
        <v>3.2745720730193995E-2</v>
      </c>
      <c r="AF185" s="62">
        <f ca="1"/>
        <v>0.27090013335628876</v>
      </c>
      <c r="AG185" s="66" t="str">
        <f t="array" ref="AG185">IF($AB185, Push(MMULT($I$44:$L$47,MMULT(Fetch(AV184),TRANSPOSE($I$44:$L$47))) + $N$44:$Q$47), "")</f>
        <v/>
      </c>
      <c r="AH185" s="62">
        <f t="array" aca="1" ref="AH185:AK185" ca="1">TRANSPOSE($G$38:$G$41 + MMULT($I$38:$L$41,TRANSPOSE(AC185:AF185)))</f>
        <v>0.67388369871782272</v>
      </c>
      <c r="AI185" s="62">
        <f ca="1"/>
        <v>0.70744834123768197</v>
      </c>
      <c r="AJ185" s="62">
        <f ca="1"/>
        <v>0.45708525858893273</v>
      </c>
      <c r="AK185" s="62">
        <f ca="1"/>
        <v>8.3752089816128819E-2</v>
      </c>
      <c r="AL185" s="66" t="str">
        <f t="array" ref="AL185">IF($AB185, Push(MINVERSE(MMULT($I$38:$L$41,MMULT(Fetch(AG185),TRANSPOSE($I$38:$L$41))) + $N$38:$Q$41)), "")</f>
        <v/>
      </c>
      <c r="AM185" s="62">
        <f t="array" aca="1" ref="AM185:AP185" ca="1">X185:AA185 - AH185:AK185</f>
        <v>3.858825616041428E-2</v>
      </c>
      <c r="AN185" s="62">
        <f ca="1"/>
        <v>-1.1823312108937303</v>
      </c>
      <c r="AO185" s="62">
        <f ca="1"/>
        <v>-0.47961737025403439</v>
      </c>
      <c r="AP185" s="62">
        <f ca="1"/>
        <v>0.70305137132781481</v>
      </c>
      <c r="AQ185" s="66" t="str">
        <f t="array" ref="AQ185">IF($AB185, Push(MMULT(Fetch(AG185),MMULT(TRANSPOSE($I$38:$L$41),Fetch(AL185)))), "")</f>
        <v/>
      </c>
      <c r="AR185" s="62">
        <f t="array" aca="1" ref="AR185:AU185" ca="1">AC185:AF185 + TRANSPOSE(MMULT(IF($AB185,Fetch(AQ185),$L$61:$O$64),TRANSPOSE(AM185:AP185)))</f>
        <v>0.23837415986286797</v>
      </c>
      <c r="AS185" s="62">
        <f ca="1"/>
        <v>-1.4945197252460352E-2</v>
      </c>
      <c r="AT185" s="62">
        <f ca="1"/>
        <v>0.57777204462895415</v>
      </c>
      <c r="AU185" s="62">
        <f ca="1"/>
        <v>0.31279190334317675</v>
      </c>
      <c r="AV185" s="66" t="str">
        <f t="array" ref="AV185">IF($AB185, Push(Fetch(AG185) - MMULT(Fetch(AQ185),MMULT($I$38:$L$41,Fetch(AG185)))), "")</f>
        <v/>
      </c>
      <c r="AW185" s="97">
        <f t="array" aca="1" ref="AW185" ca="1">IF($AB185,LN(MDETERM(Fetch(AL185))),$J$65)   -   MMULT(AM185:AP185,MMULT(IF($AB185,Fetch(AL185),$G$61:$J$64),TRANSPOSE(AM185:AP185)))</f>
        <v>-7.1748710430099401</v>
      </c>
    </row>
    <row r="186" spans="23:49" x14ac:dyDescent="0.15">
      <c r="W186" s="12">
        <f t="shared" si="4"/>
        <v>183</v>
      </c>
      <c r="X186" s="62">
        <f t="array" aca="1" ref="X186:AA186" ca="1">simulate!AE186:AH186</f>
        <v>1.3799325742807558</v>
      </c>
      <c r="Y186" s="62">
        <f ca="1"/>
        <v>1.330480674161088</v>
      </c>
      <c r="Z186" s="62">
        <f ca="1"/>
        <v>1.4394291537762718</v>
      </c>
      <c r="AA186" s="62">
        <f ca="1"/>
        <v>1.0468965529636496</v>
      </c>
      <c r="AB186" s="98">
        <f t="shared" si="5"/>
        <v>0</v>
      </c>
      <c r="AC186" s="62">
        <f t="array" aca="1" ref="AC186:AF186" ca="1">TRANSPOSE($G$44:$G$47 + MMULT($I$44:$L$47,TRANSPOSE(AR185:AU185)))</f>
        <v>0.45669389661575444</v>
      </c>
      <c r="AD186" s="62">
        <f ca="1"/>
        <v>0.19026169607044791</v>
      </c>
      <c r="AE186" s="62">
        <f ca="1"/>
        <v>0.4750984501224671</v>
      </c>
      <c r="AF186" s="62">
        <f ca="1"/>
        <v>0.46985867245892571</v>
      </c>
      <c r="AG186" s="66" t="str">
        <f t="array" ref="AG186">IF($AB186, Push(MMULT($I$44:$L$47,MMULT(Fetch(AV185),TRANSPOSE($I$44:$L$47))) + $N$44:$Q$47), "")</f>
        <v/>
      </c>
      <c r="AH186" s="62">
        <f t="array" aca="1" ref="AH186:AK186" ca="1">TRANSPOSE($G$38:$G$41 + MMULT($I$38:$L$41,TRANSPOSE(AC186:AF186)))</f>
        <v>0.74840077483832002</v>
      </c>
      <c r="AI186" s="62">
        <f ca="1"/>
        <v>0.34385696546153999</v>
      </c>
      <c r="AJ186" s="62">
        <f ca="1"/>
        <v>0.58374782550432369</v>
      </c>
      <c r="AK186" s="62">
        <f ca="1"/>
        <v>0.51830276179771362</v>
      </c>
      <c r="AL186" s="66" t="str">
        <f t="array" ref="AL186">IF($AB186, Push(MINVERSE(MMULT($I$38:$L$41,MMULT(Fetch(AG186),TRANSPOSE($I$38:$L$41))) + $N$38:$Q$41)), "")</f>
        <v/>
      </c>
      <c r="AM186" s="62">
        <f t="array" aca="1" ref="AM186:AP186" ca="1">X186:AA186 - AH186:AK186</f>
        <v>0.63153179944243576</v>
      </c>
      <c r="AN186" s="62">
        <f ca="1"/>
        <v>0.98662370869954796</v>
      </c>
      <c r="AO186" s="62">
        <f ca="1"/>
        <v>0.85568132827194809</v>
      </c>
      <c r="AP186" s="62">
        <f ca="1"/>
        <v>0.52859379116593597</v>
      </c>
      <c r="AQ186" s="66" t="str">
        <f t="array" ref="AQ186">IF($AB186, Push(MMULT(Fetch(AG186),MMULT(TRANSPOSE($I$38:$L$41),Fetch(AL186)))), "")</f>
        <v/>
      </c>
      <c r="AR186" s="62">
        <f t="array" aca="1" ref="AR186:AU186" ca="1">AC186:AF186 + TRANSPOSE(MMULT(IF($AB186,Fetch(AQ186),$L$61:$O$64),TRANSPOSE(AM186:AP186)))</f>
        <v>0.99485076432353414</v>
      </c>
      <c r="AS186" s="62">
        <f ca="1"/>
        <v>0.56840910120231158</v>
      </c>
      <c r="AT186" s="62">
        <f ca="1"/>
        <v>1.0726281604944461</v>
      </c>
      <c r="AU186" s="62">
        <f ca="1"/>
        <v>1.0122194624874745</v>
      </c>
      <c r="AV186" s="66" t="str">
        <f t="array" ref="AV186">IF($AB186, Push(Fetch(AG186) - MMULT(Fetch(AQ186),MMULT($I$38:$L$41,Fetch(AG186)))), "")</f>
        <v/>
      </c>
      <c r="AW186" s="97">
        <f t="array" aca="1" ref="AW186" ca="1">IF($AB186,LN(MDETERM(Fetch(AL186))),$J$65)   -   MMULT(AM186:AP186,MMULT(IF($AB186,Fetch(AL186),$G$61:$J$64),TRANSPOSE(AM186:AP186)))</f>
        <v>-7.7231360061677368</v>
      </c>
    </row>
    <row r="187" spans="23:49" x14ac:dyDescent="0.15">
      <c r="W187" s="12">
        <f t="shared" si="4"/>
        <v>184</v>
      </c>
      <c r="X187" s="62">
        <f t="array" aca="1" ref="X187:AA187" ca="1">simulate!AE187:AH187</f>
        <v>0.6996054367847846</v>
      </c>
      <c r="Y187" s="62">
        <f ca="1"/>
        <v>0.54301167807882511</v>
      </c>
      <c r="Z187" s="62">
        <f ca="1"/>
        <v>4.8475179436108462E-2</v>
      </c>
      <c r="AA187" s="62">
        <f ca="1"/>
        <v>0.93986330564159415</v>
      </c>
      <c r="AB187" s="98">
        <f t="shared" si="5"/>
        <v>0</v>
      </c>
      <c r="AC187" s="62">
        <f t="array" aca="1" ref="AC187:AF187" ca="1">TRANSPOSE($G$44:$G$47 + MMULT($I$44:$L$47,TRANSPOSE(AR186:AU186)))</f>
        <v>1.0204162093047606</v>
      </c>
      <c r="AD187" s="62">
        <f ca="1"/>
        <v>0.75116009159178609</v>
      </c>
      <c r="AE187" s="62">
        <f ca="1"/>
        <v>0.9944288667113107</v>
      </c>
      <c r="AF187" s="62">
        <f ca="1"/>
        <v>1.0058247541875522</v>
      </c>
      <c r="AG187" s="66" t="str">
        <f t="array" ref="AG187">IF($AB187, Push(MMULT($I$44:$L$47,MMULT(Fetch(AV186),TRANSPOSE($I$44:$L$47))) + $N$44:$Q$47), "")</f>
        <v/>
      </c>
      <c r="AH187" s="62">
        <f t="array" aca="1" ref="AH187:AK187" ca="1">TRANSPOSE($G$38:$G$41 + MMULT($I$38:$L$41,TRANSPOSE(AC187:AF187)))</f>
        <v>1.2997618582474868</v>
      </c>
      <c r="AI187" s="62">
        <f ca="1"/>
        <v>1.0137592306060468</v>
      </c>
      <c r="AJ187" s="62">
        <f ca="1"/>
        <v>0.98797468746324091</v>
      </c>
      <c r="AK187" s="62">
        <f ca="1"/>
        <v>1.0409748704917832</v>
      </c>
      <c r="AL187" s="66" t="str">
        <f t="array" ref="AL187">IF($AB187, Push(MINVERSE(MMULT($I$38:$L$41,MMULT(Fetch(AG187),TRANSPOSE($I$38:$L$41))) + $N$38:$Q$41)), "")</f>
        <v/>
      </c>
      <c r="AM187" s="62">
        <f t="array" aca="1" ref="AM187:AP187" ca="1">X187:AA187 - AH187:AK187</f>
        <v>-0.60015642146270221</v>
      </c>
      <c r="AN187" s="62">
        <f ca="1"/>
        <v>-0.47074755252722167</v>
      </c>
      <c r="AO187" s="62">
        <f ca="1"/>
        <v>-0.93949950802713245</v>
      </c>
      <c r="AP187" s="62">
        <f ca="1"/>
        <v>-0.10111156485018902</v>
      </c>
      <c r="AQ187" s="66" t="str">
        <f t="array" ref="AQ187">IF($AB187, Push(MMULT(Fetch(AG187),MMULT(TRANSPOSE($I$38:$L$41),Fetch(AL187)))), "")</f>
        <v/>
      </c>
      <c r="AR187" s="62">
        <f t="array" aca="1" ref="AR187:AU187" ca="1">AC187:AF187 + TRANSPOSE(MMULT(IF($AB187,Fetch(AQ187),$L$61:$O$64),TRANSPOSE(AM187:AP187)))</f>
        <v>0.46045570059458918</v>
      </c>
      <c r="AS187" s="62">
        <f ca="1"/>
        <v>0.76424115767239842</v>
      </c>
      <c r="AT187" s="62">
        <f ca="1"/>
        <v>0.61073980426264474</v>
      </c>
      <c r="AU187" s="62">
        <f ca="1"/>
        <v>0.58227095055242251</v>
      </c>
      <c r="AV187" s="66" t="str">
        <f t="array" ref="AV187">IF($AB187, Push(Fetch(AG187) - MMULT(Fetch(AQ187),MMULT($I$38:$L$41,Fetch(AG187)))), "")</f>
        <v/>
      </c>
      <c r="AW187" s="97">
        <f t="array" aca="1" ref="AW187" ca="1">IF($AB187,LN(MDETERM(Fetch(AL187))),$J$65)   -   MMULT(AM187:AP187,MMULT(IF($AB187,Fetch(AL187),$G$61:$J$64),TRANSPOSE(AM187:AP187)))</f>
        <v>-0.77484507821819903</v>
      </c>
    </row>
    <row r="188" spans="23:49" x14ac:dyDescent="0.15">
      <c r="W188" s="12">
        <f t="shared" si="4"/>
        <v>185</v>
      </c>
      <c r="X188" s="62">
        <f t="array" aca="1" ref="X188:AA188" ca="1">simulate!AE188:AH188</f>
        <v>1.2215409818917744</v>
      </c>
      <c r="Y188" s="62">
        <f ca="1"/>
        <v>0.19073682390967231</v>
      </c>
      <c r="Z188" s="62">
        <f ca="1"/>
        <v>1.3804420737231233</v>
      </c>
      <c r="AA188" s="62">
        <f ca="1"/>
        <v>1.1638205886047435</v>
      </c>
      <c r="AB188" s="98">
        <f t="shared" si="5"/>
        <v>0</v>
      </c>
      <c r="AC188" s="62">
        <f t="array" aca="1" ref="AC188:AF188" ca="1">TRANSPOSE($G$44:$G$47 + MMULT($I$44:$L$47,TRANSPOSE(AR187:AU187)))</f>
        <v>0.70724401616459387</v>
      </c>
      <c r="AD188" s="62">
        <f ca="1"/>
        <v>0.67119909861234983</v>
      </c>
      <c r="AE188" s="62">
        <f ca="1"/>
        <v>0.67510106310651796</v>
      </c>
      <c r="AF188" s="62">
        <f ca="1"/>
        <v>0.68688773085940391</v>
      </c>
      <c r="AG188" s="66" t="str">
        <f t="array" ref="AG188">IF($AB188, Push(MMULT($I$44:$L$47,MMULT(Fetch(AV187),TRANSPOSE($I$44:$L$47))) + $N$44:$Q$47), "")</f>
        <v/>
      </c>
      <c r="AH188" s="62">
        <f t="array" aca="1" ref="AH188:AK188" ca="1">TRANSPOSE($G$38:$G$41 + MMULT($I$38:$L$41,TRANSPOSE(AC188:AF188)))</f>
        <v>0.96759017649887702</v>
      </c>
      <c r="AI188" s="62">
        <f ca="1"/>
        <v>0.8471442334283048</v>
      </c>
      <c r="AJ188" s="62">
        <f ca="1"/>
        <v>0.6605940804746866</v>
      </c>
      <c r="AK188" s="62">
        <f ca="1"/>
        <v>0.79020603533372658</v>
      </c>
      <c r="AL188" s="66" t="str">
        <f t="array" ref="AL188">IF($AB188, Push(MINVERSE(MMULT($I$38:$L$41,MMULT(Fetch(AG188),TRANSPOSE($I$38:$L$41))) + $N$38:$Q$41)), "")</f>
        <v/>
      </c>
      <c r="AM188" s="62">
        <f t="array" aca="1" ref="AM188:AP188" ca="1">X188:AA188 - AH188:AK188</f>
        <v>0.25395080539289738</v>
      </c>
      <c r="AN188" s="62">
        <f ca="1"/>
        <v>-0.65640740951863252</v>
      </c>
      <c r="AO188" s="62">
        <f ca="1"/>
        <v>0.71984799324843673</v>
      </c>
      <c r="AP188" s="62">
        <f ca="1"/>
        <v>0.37361455327101689</v>
      </c>
      <c r="AQ188" s="66" t="str">
        <f t="array" ref="AQ188">IF($AB188, Push(MMULT(Fetch(AG188),MMULT(TRANSPOSE($I$38:$L$41),Fetch(AL188)))), "")</f>
        <v/>
      </c>
      <c r="AR188" s="62">
        <f t="array" aca="1" ref="AR188:AU188" ca="1">AC188:AF188 + TRANSPOSE(MMULT(IF($AB188,Fetch(AQ188),$L$61:$O$64),TRANSPOSE(AM188:AP188)))</f>
        <v>0.81669658037299375</v>
      </c>
      <c r="AS188" s="62">
        <f ca="1"/>
        <v>0.17569132705899815</v>
      </c>
      <c r="AT188" s="62">
        <f ca="1"/>
        <v>1.2175354517992485</v>
      </c>
      <c r="AU188" s="62">
        <f ca="1"/>
        <v>1.1069298763232944</v>
      </c>
      <c r="AV188" s="66" t="str">
        <f t="array" ref="AV188">IF($AB188, Push(Fetch(AG188) - MMULT(Fetch(AQ188),MMULT($I$38:$L$41,Fetch(AG188)))), "")</f>
        <v/>
      </c>
      <c r="AW188" s="97">
        <f t="array" aca="1" ref="AW188" ca="1">IF($AB188,LN(MDETERM(Fetch(AL188))),$J$65)   -   MMULT(AM188:AP188,MMULT(IF($AB188,Fetch(AL188),$G$61:$J$64),TRANSPOSE(AM188:AP188)))</f>
        <v>3.2110478331733852</v>
      </c>
    </row>
    <row r="189" spans="23:49" x14ac:dyDescent="0.15">
      <c r="W189" s="12">
        <f t="shared" si="4"/>
        <v>186</v>
      </c>
      <c r="X189" s="62">
        <f t="array" aca="1" ref="X189:AA189" ca="1">simulate!AE189:AH189</f>
        <v>1.8905227676870262</v>
      </c>
      <c r="Y189" s="62">
        <f ca="1"/>
        <v>1.095387782787629</v>
      </c>
      <c r="Z189" s="62">
        <f ca="1"/>
        <v>1.1397994760787207</v>
      </c>
      <c r="AA189" s="62">
        <f ca="1"/>
        <v>1.3872665664907227</v>
      </c>
      <c r="AB189" s="98">
        <f t="shared" si="5"/>
        <v>0</v>
      </c>
      <c r="AC189" s="62">
        <f t="array" aca="1" ref="AC189:AF189" ca="1">TRANSPOSE($G$44:$G$47 + MMULT($I$44:$L$47,TRANSPOSE(AR188:AU188)))</f>
        <v>0.88094724795254442</v>
      </c>
      <c r="AD189" s="62">
        <f ca="1"/>
        <v>0.53832492314035763</v>
      </c>
      <c r="AE189" s="62">
        <f ca="1"/>
        <v>1.0102627460796698</v>
      </c>
      <c r="AF189" s="62">
        <f ca="1"/>
        <v>1.043986164316691</v>
      </c>
      <c r="AG189" s="66" t="str">
        <f t="array" ref="AG189">IF($AB189, Push(MMULT($I$44:$L$47,MMULT(Fetch(AV188),TRANSPOSE($I$44:$L$47))) + $N$44:$Q$47), "")</f>
        <v/>
      </c>
      <c r="AH189" s="62">
        <f t="array" aca="1" ref="AH189:AK189" ca="1">TRANSPOSE($G$38:$G$41 + MMULT($I$38:$L$41,TRANSPOSE(AC189:AF189)))</f>
        <v>1.2104968210196989</v>
      </c>
      <c r="AI189" s="62">
        <f ca="1"/>
        <v>0.78016813129331419</v>
      </c>
      <c r="AJ189" s="62">
        <f ca="1"/>
        <v>1.0453001228890355</v>
      </c>
      <c r="AK189" s="62">
        <f ca="1"/>
        <v>1.0662365207376279</v>
      </c>
      <c r="AL189" s="66" t="str">
        <f t="array" ref="AL189">IF($AB189, Push(MINVERSE(MMULT($I$38:$L$41,MMULT(Fetch(AG189),TRANSPOSE($I$38:$L$41))) + $N$38:$Q$41)), "")</f>
        <v/>
      </c>
      <c r="AM189" s="62">
        <f t="array" aca="1" ref="AM189:AP189" ca="1">X189:AA189 - AH189:AK189</f>
        <v>0.6800259466673273</v>
      </c>
      <c r="AN189" s="62">
        <f ca="1"/>
        <v>0.31521965149431486</v>
      </c>
      <c r="AO189" s="62">
        <f ca="1"/>
        <v>9.4499353189685165E-2</v>
      </c>
      <c r="AP189" s="62">
        <f ca="1"/>
        <v>0.32103004575309479</v>
      </c>
      <c r="AQ189" s="66" t="str">
        <f t="array" ref="AQ189">IF($AB189, Push(MMULT(Fetch(AG189),MMULT(TRANSPOSE($I$38:$L$41),Fetch(AL189)))), "")</f>
        <v/>
      </c>
      <c r="AR189" s="62">
        <f t="array" aca="1" ref="AR189:AU189" ca="1">AC189:AF189 + TRANSPOSE(MMULT(IF($AB189,Fetch(AQ189),$L$61:$O$64),TRANSPOSE(AM189:AP189)))</f>
        <v>1.1915890429816358</v>
      </c>
      <c r="AS189" s="62">
        <f ca="1"/>
        <v>0.64342997089746889</v>
      </c>
      <c r="AT189" s="62">
        <f ca="1"/>
        <v>1.4447242774708036</v>
      </c>
      <c r="AU189" s="62">
        <f ca="1"/>
        <v>1.1992430271233354</v>
      </c>
      <c r="AV189" s="66" t="str">
        <f t="array" ref="AV189">IF($AB189, Push(Fetch(AG189) - MMULT(Fetch(AQ189),MMULT($I$38:$L$41,Fetch(AG189)))), "")</f>
        <v/>
      </c>
      <c r="AW189" s="97">
        <f t="array" aca="1" ref="AW189" ca="1">IF($AB189,LN(MDETERM(Fetch(AL189))),$J$65)   -   MMULT(AM189:AP189,MMULT(IF($AB189,Fetch(AL189),$G$61:$J$64),TRANSPOSE(AM189:AP189)))</f>
        <v>4.8493143542534689</v>
      </c>
    </row>
    <row r="190" spans="23:49" x14ac:dyDescent="0.15">
      <c r="W190" s="12">
        <f t="shared" si="4"/>
        <v>187</v>
      </c>
      <c r="X190" s="62">
        <f t="array" aca="1" ref="X190:AA190" ca="1">simulate!AE190:AH190</f>
        <v>1.7850026292765961</v>
      </c>
      <c r="Y190" s="62">
        <f ca="1"/>
        <v>0.91720570240118526</v>
      </c>
      <c r="Z190" s="62">
        <f ca="1"/>
        <v>0.55516239108516663</v>
      </c>
      <c r="AA190" s="62">
        <f ca="1"/>
        <v>1.9446849626459577</v>
      </c>
      <c r="AB190" s="98">
        <f t="shared" si="5"/>
        <v>0</v>
      </c>
      <c r="AC190" s="62">
        <f t="array" aca="1" ref="AC190:AF190" ca="1">TRANSPOSE($G$44:$G$47 + MMULT($I$44:$L$47,TRANSPOSE(AR189:AU189)))</f>
        <v>1.1732467083361009</v>
      </c>
      <c r="AD190" s="62">
        <f ca="1"/>
        <v>0.89199931276435096</v>
      </c>
      <c r="AE190" s="62">
        <f ca="1"/>
        <v>1.2492513420047029</v>
      </c>
      <c r="AF190" s="62">
        <f ca="1"/>
        <v>1.1820395046280776</v>
      </c>
      <c r="AG190" s="66" t="str">
        <f t="array" ref="AG190">IF($AB190, Push(MMULT($I$44:$L$47,MMULT(Fetch(AV189),TRANSPOSE($I$44:$L$47))) + $N$44:$Q$47), "")</f>
        <v/>
      </c>
      <c r="AH190" s="62">
        <f t="array" aca="1" ref="AH190:AK190" ca="1">TRANSPOSE($G$38:$G$41 + MMULT($I$38:$L$41,TRANSPOSE(AC190:AF190)))</f>
        <v>1.5135655962231991</v>
      </c>
      <c r="AI190" s="62">
        <f ca="1"/>
        <v>1.1625301444762883</v>
      </c>
      <c r="AJ190" s="62">
        <f ca="1"/>
        <v>1.1170375434465809</v>
      </c>
      <c r="AK190" s="62">
        <f ca="1"/>
        <v>1.2748058689957891</v>
      </c>
      <c r="AL190" s="66" t="str">
        <f t="array" ref="AL190">IF($AB190, Push(MINVERSE(MMULT($I$38:$L$41,MMULT(Fetch(AG190),TRANSPOSE($I$38:$L$41))) + $N$38:$Q$41)), "")</f>
        <v/>
      </c>
      <c r="AM190" s="62">
        <f t="array" aca="1" ref="AM190:AP190" ca="1">X190:AA190 - AH190:AK190</f>
        <v>0.27143703305339706</v>
      </c>
      <c r="AN190" s="62">
        <f ca="1"/>
        <v>-0.24532444207510307</v>
      </c>
      <c r="AO190" s="62">
        <f ca="1"/>
        <v>-0.56187515236141428</v>
      </c>
      <c r="AP190" s="62">
        <f ca="1"/>
        <v>0.66987909365016862</v>
      </c>
      <c r="AQ190" s="66" t="str">
        <f t="array" ref="AQ190">IF($AB190, Push(MMULT(Fetch(AG190),MMULT(TRANSPOSE($I$38:$L$41),Fetch(AL190)))), "")</f>
        <v/>
      </c>
      <c r="AR190" s="62">
        <f t="array" aca="1" ref="AR190:AU190" ca="1">AC190:AF190 + TRANSPOSE(MMULT(IF($AB190,Fetch(AQ190),$L$61:$O$64),TRANSPOSE(AM190:AP190)))</f>
        <v>0.96711503070416316</v>
      </c>
      <c r="AS190" s="62">
        <f ca="1"/>
        <v>0.95549857682087969</v>
      </c>
      <c r="AT190" s="62">
        <f ca="1"/>
        <v>1.7250231770059377</v>
      </c>
      <c r="AU190" s="62">
        <f ca="1"/>
        <v>1.1862434173283074</v>
      </c>
      <c r="AV190" s="66" t="str">
        <f t="array" ref="AV190">IF($AB190, Push(Fetch(AG190) - MMULT(Fetch(AQ190),MMULT($I$38:$L$41,Fetch(AG190)))), "")</f>
        <v/>
      </c>
      <c r="AW190" s="97">
        <f t="array" aca="1" ref="AW190" ca="1">IF($AB190,LN(MDETERM(Fetch(AL190))),$J$65)   -   MMULT(AM190:AP190,MMULT(IF($AB190,Fetch(AL190),$G$61:$J$64),TRANSPOSE(AM190:AP190)))</f>
        <v>1.15783773498769</v>
      </c>
    </row>
    <row r="191" spans="23:49" x14ac:dyDescent="0.15">
      <c r="W191" s="12">
        <f t="shared" si="4"/>
        <v>188</v>
      </c>
      <c r="X191" s="62">
        <f t="array" aca="1" ref="X191:AA191" ca="1">simulate!AE191:AH191</f>
        <v>1.3774147203547384</v>
      </c>
      <c r="Y191" s="62">
        <f ca="1"/>
        <v>0.86739435225907346</v>
      </c>
      <c r="Z191" s="62">
        <f ca="1"/>
        <v>0.98288790961972172</v>
      </c>
      <c r="AA191" s="62">
        <f ca="1"/>
        <v>1.2784291510834302</v>
      </c>
      <c r="AB191" s="98">
        <f t="shared" si="5"/>
        <v>0</v>
      </c>
      <c r="AC191" s="62">
        <f t="array" aca="1" ref="AC191:AF191" ca="1">TRANSPOSE($G$44:$G$47 + MMULT($I$44:$L$47,TRANSPOSE(AR190:AU190)))</f>
        <v>1.1175253727970957</v>
      </c>
      <c r="AD191" s="62">
        <f ca="1"/>
        <v>1.0646505730047335</v>
      </c>
      <c r="AE191" s="62">
        <f ca="1"/>
        <v>1.4333983507037369</v>
      </c>
      <c r="AF191" s="62">
        <f ca="1"/>
        <v>1.2319549304295268</v>
      </c>
      <c r="AG191" s="66" t="str">
        <f t="array" ref="AG191">IF($AB191, Push(MMULT($I$44:$L$47,MMULT(Fetch(AV190),TRANSPOSE($I$44:$L$47))) + $N$44:$Q$47), "")</f>
        <v/>
      </c>
      <c r="AH191" s="62">
        <f t="array" aca="1" ref="AH191:AK191" ca="1">TRANSPOSE($G$38:$G$41 + MMULT($I$38:$L$41,TRANSPOSE(AC191:AF191)))</f>
        <v>1.5674590775015798</v>
      </c>
      <c r="AI191" s="62">
        <f ca="1"/>
        <v>1.255099653974185</v>
      </c>
      <c r="AJ191" s="62">
        <f ca="1"/>
        <v>1.0544759226935327</v>
      </c>
      <c r="AK191" s="62">
        <f ca="1"/>
        <v>1.5070286448778101</v>
      </c>
      <c r="AL191" s="66" t="str">
        <f t="array" ref="AL191">IF($AB191, Push(MINVERSE(MMULT($I$38:$L$41,MMULT(Fetch(AG191),TRANSPOSE($I$38:$L$41))) + $N$38:$Q$41)), "")</f>
        <v/>
      </c>
      <c r="AM191" s="62">
        <f t="array" aca="1" ref="AM191:AP191" ca="1">X191:AA191 - AH191:AK191</f>
        <v>-0.19004435714684131</v>
      </c>
      <c r="AN191" s="62">
        <f ca="1"/>
        <v>-0.38770530171511153</v>
      </c>
      <c r="AO191" s="62">
        <f ca="1"/>
        <v>-7.1588013073811019E-2</v>
      </c>
      <c r="AP191" s="62">
        <f ca="1"/>
        <v>-0.22859949379437983</v>
      </c>
      <c r="AQ191" s="66" t="str">
        <f t="array" ref="AQ191">IF($AB191, Push(MMULT(Fetch(AG191),MMULT(TRANSPOSE($I$38:$L$41),Fetch(AL191)))), "")</f>
        <v/>
      </c>
      <c r="AR191" s="62">
        <f t="array" aca="1" ref="AR191:AU191" ca="1">AC191:AF191 + TRANSPOSE(MMULT(IF($AB191,Fetch(AQ191),$L$61:$O$64),TRANSPOSE(AM191:AP191)))</f>
        <v>1.003581463594438</v>
      </c>
      <c r="AS191" s="62">
        <f ca="1"/>
        <v>0.84627473127536834</v>
      </c>
      <c r="AT191" s="62">
        <f ca="1"/>
        <v>1.2506076170013443</v>
      </c>
      <c r="AU191" s="62">
        <f ca="1"/>
        <v>1.1195792464673291</v>
      </c>
      <c r="AV191" s="66" t="str">
        <f t="array" ref="AV191">IF($AB191, Push(Fetch(AG191) - MMULT(Fetch(AQ191),MMULT($I$38:$L$41,Fetch(AG191)))), "")</f>
        <v/>
      </c>
      <c r="AW191" s="97">
        <f t="array" aca="1" ref="AW191" ca="1">IF($AB191,LN(MDETERM(Fetch(AL191))),$J$65)   -   MMULT(AM191:AP191,MMULT(IF($AB191,Fetch(AL191),$G$61:$J$64),TRANSPOSE(AM191:AP191)))</f>
        <v>5.7981549440811833</v>
      </c>
    </row>
    <row r="192" spans="23:49" x14ac:dyDescent="0.15">
      <c r="W192" s="12">
        <f t="shared" si="4"/>
        <v>189</v>
      </c>
      <c r="X192" s="62">
        <f t="array" aca="1" ref="X192:AA192" ca="1">simulate!AE192:AH192</f>
        <v>0.64130254114752427</v>
      </c>
      <c r="Y192" s="62">
        <f ca="1"/>
        <v>0.39301641832110468</v>
      </c>
      <c r="Z192" s="62">
        <f ca="1"/>
        <v>2.0413494582927116</v>
      </c>
      <c r="AA192" s="62">
        <f ca="1"/>
        <v>0.96294148264496959</v>
      </c>
      <c r="AB192" s="98">
        <f t="shared" si="5"/>
        <v>0</v>
      </c>
      <c r="AC192" s="62">
        <f t="array" aca="1" ref="AC192:AF192" ca="1">TRANSPOSE($G$44:$G$47 + MMULT($I$44:$L$47,TRANSPOSE(AR191:AU191)))</f>
        <v>1.0840815819124874</v>
      </c>
      <c r="AD192" s="62">
        <f ca="1"/>
        <v>0.93662747330961693</v>
      </c>
      <c r="AE192" s="62">
        <f ca="1"/>
        <v>1.1521750407760751</v>
      </c>
      <c r="AF192" s="62">
        <f ca="1"/>
        <v>1.1129027998550014</v>
      </c>
      <c r="AG192" s="66" t="str">
        <f t="array" ref="AG192">IF($AB192, Push(MMULT($I$44:$L$47,MMULT(Fetch(AV191),TRANSPOSE($I$44:$L$47))) + $N$44:$Q$47), "")</f>
        <v/>
      </c>
      <c r="AH192" s="62">
        <f t="array" aca="1" ref="AH192:AK192" ca="1">TRANSPOSE($G$38:$G$41 + MMULT($I$38:$L$41,TRANSPOSE(AC192:AF192)))</f>
        <v>1.4053340266295233</v>
      </c>
      <c r="AI192" s="62">
        <f ca="1"/>
        <v>1.1796466783108497</v>
      </c>
      <c r="AJ192" s="62">
        <f ca="1"/>
        <v>1.016899830704306</v>
      </c>
      <c r="AK192" s="62">
        <f ca="1"/>
        <v>1.228858346859887</v>
      </c>
      <c r="AL192" s="66" t="str">
        <f t="array" ref="AL192">IF($AB192, Push(MINVERSE(MMULT($I$38:$L$41,MMULT(Fetch(AG192),TRANSPOSE($I$38:$L$41))) + $N$38:$Q$41)), "")</f>
        <v/>
      </c>
      <c r="AM192" s="62">
        <f t="array" aca="1" ref="AM192:AP192" ca="1">X192:AA192 - AH192:AK192</f>
        <v>-0.76403148548199906</v>
      </c>
      <c r="AN192" s="62">
        <f ca="1"/>
        <v>-0.78663025998974501</v>
      </c>
      <c r="AO192" s="62">
        <f ca="1"/>
        <v>1.0244496275884056</v>
      </c>
      <c r="AP192" s="62">
        <f ca="1"/>
        <v>-0.26591686421491745</v>
      </c>
      <c r="AQ192" s="66" t="str">
        <f t="array" ref="AQ192">IF($AB192, Push(MMULT(Fetch(AG192),MMULT(TRANSPOSE($I$38:$L$41),Fetch(AL192)))), "")</f>
        <v/>
      </c>
      <c r="AR192" s="62">
        <f t="array" aca="1" ref="AR192:AU192" ca="1">AC192:AF192 + TRANSPOSE(MMULT(IF($AB192,Fetch(AQ192),$L$61:$O$64),TRANSPOSE(AM192:AP192)))</f>
        <v>0.92961569160258906</v>
      </c>
      <c r="AS192" s="62">
        <f ca="1"/>
        <v>0.35358445653672943</v>
      </c>
      <c r="AT192" s="62">
        <f ca="1"/>
        <v>0.97180476964697038</v>
      </c>
      <c r="AU192" s="62">
        <f ca="1"/>
        <v>1.4291658113431016</v>
      </c>
      <c r="AV192" s="66" t="str">
        <f t="array" ref="AV192">IF($AB192, Push(Fetch(AG192) - MMULT(Fetch(AQ192),MMULT($I$38:$L$41,Fetch(AG192)))), "")</f>
        <v/>
      </c>
      <c r="AW192" s="97">
        <f t="array" aca="1" ref="AW192" ca="1">IF($AB192,LN(MDETERM(Fetch(AL192))),$J$65)   -   MMULT(AM192:AP192,MMULT(IF($AB192,Fetch(AL192),$G$61:$J$64),TRANSPOSE(AM192:AP192)))</f>
        <v>-1.2811251911161072</v>
      </c>
    </row>
    <row r="193" spans="23:49" x14ac:dyDescent="0.15">
      <c r="W193" s="12">
        <f t="shared" si="4"/>
        <v>190</v>
      </c>
      <c r="X193" s="62">
        <f t="array" aca="1" ref="X193:AA193" ca="1">simulate!AE193:AH193</f>
        <v>0.77869595577277506</v>
      </c>
      <c r="Y193" s="62">
        <f ca="1"/>
        <v>1.7478113741425956</v>
      </c>
      <c r="Z193" s="62">
        <f ca="1"/>
        <v>0.78344282907114571</v>
      </c>
      <c r="AA193" s="62">
        <f ca="1"/>
        <v>0.75186632695560307</v>
      </c>
      <c r="AB193" s="98">
        <f t="shared" si="5"/>
        <v>0</v>
      </c>
      <c r="AC193" s="62">
        <f t="array" aca="1" ref="AC193:AF193" ca="1">TRANSPOSE($G$44:$G$47 + MMULT($I$44:$L$47,TRANSPOSE(AR192:AU192)))</f>
        <v>0.96625186876537783</v>
      </c>
      <c r="AD193" s="62">
        <f ca="1"/>
        <v>0.63930596760549285</v>
      </c>
      <c r="AE193" s="62">
        <f ca="1"/>
        <v>0.96215856726680749</v>
      </c>
      <c r="AF193" s="62">
        <f ca="1"/>
        <v>1.1962103791244634</v>
      </c>
      <c r="AG193" s="66" t="str">
        <f t="array" ref="AG193">IF($AB193, Push(MMULT($I$44:$L$47,MMULT(Fetch(AV192),TRANSPOSE($I$44:$L$47))) + $N$44:$Q$47), "")</f>
        <v/>
      </c>
      <c r="AH193" s="62">
        <f t="array" aca="1" ref="AH193:AK193" ca="1">TRANSPOSE($G$38:$G$41 + MMULT($I$38:$L$41,TRANSPOSE(AC193:AF193)))</f>
        <v>1.1922723458251625</v>
      </c>
      <c r="AI193" s="62">
        <f ca="1"/>
        <v>0.94192624958740279</v>
      </c>
      <c r="AJ193" s="62">
        <f ca="1"/>
        <v>1.17153872501057</v>
      </c>
      <c r="AK193" s="62">
        <f ca="1"/>
        <v>1.0891770584522087</v>
      </c>
      <c r="AL193" s="66" t="str">
        <f t="array" ref="AL193">IF($AB193, Push(MINVERSE(MMULT($I$38:$L$41,MMULT(Fetch(AG193),TRANSPOSE($I$38:$L$41))) + $N$38:$Q$41)), "")</f>
        <v/>
      </c>
      <c r="AM193" s="62">
        <f t="array" aca="1" ref="AM193:AP193" ca="1">X193:AA193 - AH193:AK193</f>
        <v>-0.41357639005238744</v>
      </c>
      <c r="AN193" s="62">
        <f ca="1"/>
        <v>0.80588512455519279</v>
      </c>
      <c r="AO193" s="62">
        <f ca="1"/>
        <v>-0.38809589593942428</v>
      </c>
      <c r="AP193" s="62">
        <f ca="1"/>
        <v>-0.33731073149660562</v>
      </c>
      <c r="AQ193" s="66" t="str">
        <f t="array" ref="AQ193">IF($AB193, Push(MMULT(Fetch(AG193),MMULT(TRANSPOSE($I$38:$L$41),Fetch(AL193)))), "")</f>
        <v/>
      </c>
      <c r="AR193" s="62">
        <f t="array" aca="1" ref="AR193:AU193" ca="1">AC193:AF193 + TRANSPOSE(MMULT(IF($AB193,Fetch(AQ193),$L$61:$O$64),TRANSPOSE(AM193:AP193)))</f>
        <v>0.88263136031387002</v>
      </c>
      <c r="AS193" s="62">
        <f ca="1"/>
        <v>1.1855670071190882</v>
      </c>
      <c r="AT193" s="62">
        <f ca="1"/>
        <v>0.42289727085190831</v>
      </c>
      <c r="AU193" s="62">
        <f ca="1"/>
        <v>0.92446902101082729</v>
      </c>
      <c r="AV193" s="66" t="str">
        <f t="array" ref="AV193">IF($AB193, Push(Fetch(AG193) - MMULT(Fetch(AQ193),MMULT($I$38:$L$41,Fetch(AG193)))), "")</f>
        <v/>
      </c>
      <c r="AW193" s="97">
        <f t="array" aca="1" ref="AW193" ca="1">IF($AB193,LN(MDETERM(Fetch(AL193))),$J$65)   -   MMULT(AM193:AP193,MMULT(IF($AB193,Fetch(AL193),$G$61:$J$64),TRANSPOSE(AM193:AP193)))</f>
        <v>2.2821632229955302</v>
      </c>
    </row>
    <row r="194" spans="23:49" x14ac:dyDescent="0.15">
      <c r="W194" s="12">
        <f t="shared" si="4"/>
        <v>191</v>
      </c>
      <c r="X194" s="62">
        <f t="array" aca="1" ref="X194:AA194" ca="1">simulate!AE194:AH194</f>
        <v>-0.30967414406414395</v>
      </c>
      <c r="Y194" s="62">
        <f ca="1"/>
        <v>0.58434464279973808</v>
      </c>
      <c r="Z194" s="62">
        <f ca="1"/>
        <v>0.24267564826848625</v>
      </c>
      <c r="AA194" s="62">
        <f ca="1"/>
        <v>0.77351319819663722</v>
      </c>
      <c r="AB194" s="98">
        <f t="shared" si="5"/>
        <v>0</v>
      </c>
      <c r="AC194" s="62">
        <f t="array" aca="1" ref="AC194:AF194" ca="1">TRANSPOSE($G$44:$G$47 + MMULT($I$44:$L$47,TRANSPOSE(AR193:AU193)))</f>
        <v>1.0006761768835095</v>
      </c>
      <c r="AD194" s="62">
        <f ca="1"/>
        <v>0.96385071819513535</v>
      </c>
      <c r="AE194" s="62">
        <f ca="1"/>
        <v>0.72275270220505805</v>
      </c>
      <c r="AF194" s="62">
        <f ca="1"/>
        <v>0.8914816363494027</v>
      </c>
      <c r="AG194" s="66" t="str">
        <f t="array" ref="AG194">IF($AB194, Push(MMULT($I$44:$L$47,MMULT(Fetch(AV193),TRANSPOSE($I$44:$L$47))) + $N$44:$Q$47), "")</f>
        <v/>
      </c>
      <c r="AH194" s="62">
        <f t="array" aca="1" ref="AH194:AK194" ca="1">TRANSPOSE($G$38:$G$41 + MMULT($I$38:$L$41,TRANSPOSE(AC194:AF194)))</f>
        <v>1.1340919133477529</v>
      </c>
      <c r="AI194" s="62">
        <f ca="1"/>
        <v>1.2387302798806439</v>
      </c>
      <c r="AJ194" s="62">
        <f ca="1"/>
        <v>0.82932369222620705</v>
      </c>
      <c r="AK194" s="62">
        <f ca="1"/>
        <v>0.86985907186933153</v>
      </c>
      <c r="AL194" s="66" t="str">
        <f t="array" ref="AL194">IF($AB194, Push(MINVERSE(MMULT($I$38:$L$41,MMULT(Fetch(AG194),TRANSPOSE($I$38:$L$41))) + $N$38:$Q$41)), "")</f>
        <v/>
      </c>
      <c r="AM194" s="62">
        <f t="array" aca="1" ref="AM194:AP194" ca="1">X194:AA194 - AH194:AK194</f>
        <v>-1.4437660574118969</v>
      </c>
      <c r="AN194" s="62">
        <f ca="1"/>
        <v>-0.6543856370809058</v>
      </c>
      <c r="AO194" s="62">
        <f ca="1"/>
        <v>-0.58664804395772085</v>
      </c>
      <c r="AP194" s="62">
        <f ca="1"/>
        <v>-9.6345873672694315E-2</v>
      </c>
      <c r="AQ194" s="66" t="str">
        <f t="array" ref="AQ194">IF($AB194, Push(MMULT(Fetch(AG194),MMULT(TRANSPOSE($I$38:$L$41),Fetch(AL194)))), "")</f>
        <v/>
      </c>
      <c r="AR194" s="62">
        <f t="array" aca="1" ref="AR194:AU194" ca="1">AC194:AF194 + TRANSPOSE(MMULT(IF($AB194,Fetch(AQ194),$L$61:$O$64),TRANSPOSE(AM194:AP194)))</f>
        <v>0.11533897629404355</v>
      </c>
      <c r="AS194" s="62">
        <f ca="1"/>
        <v>0.94628671739160741</v>
      </c>
      <c r="AT194" s="62">
        <f ca="1"/>
        <v>0.11879218655615686</v>
      </c>
      <c r="AU194" s="62">
        <f ca="1"/>
        <v>0.60898988059510772</v>
      </c>
      <c r="AV194" s="66" t="str">
        <f t="array" ref="AV194">IF($AB194, Push(Fetch(AG194) - MMULT(Fetch(AQ194),MMULT($I$38:$L$41,Fetch(AG194)))), "")</f>
        <v/>
      </c>
      <c r="AW194" s="97">
        <f t="array" aca="1" ref="AW194" ca="1">IF($AB194,LN(MDETERM(Fetch(AL194))),$J$65)   -   MMULT(AM194:AP194,MMULT(IF($AB194,Fetch(AL194),$G$61:$J$64),TRANSPOSE(AM194:AP194)))</f>
        <v>-7.216713894340641</v>
      </c>
    </row>
    <row r="195" spans="23:49" x14ac:dyDescent="0.15">
      <c r="W195" s="12">
        <f t="shared" si="4"/>
        <v>192</v>
      </c>
      <c r="X195" s="62">
        <f t="array" aca="1" ref="X195:AA195" ca="1">simulate!AE195:AH195</f>
        <v>1.4700710662952734</v>
      </c>
      <c r="Y195" s="62">
        <f ca="1"/>
        <v>0.62308054582223471</v>
      </c>
      <c r="Z195" s="62">
        <f ca="1"/>
        <v>1.3966192355601899</v>
      </c>
      <c r="AA195" s="62">
        <f ca="1"/>
        <v>1.3114368630935509</v>
      </c>
      <c r="AB195" s="98">
        <f t="shared" si="5"/>
        <v>0</v>
      </c>
      <c r="AC195" s="62">
        <f t="array" aca="1" ref="AC195:AF195" ca="1">TRANSPOSE($G$44:$G$47 + MMULT($I$44:$L$47,TRANSPOSE(AR194:AU194)))</f>
        <v>0.51406170065952961</v>
      </c>
      <c r="AD195" s="62">
        <f ca="1"/>
        <v>0.64258228765340286</v>
      </c>
      <c r="AE195" s="62">
        <f ca="1"/>
        <v>0.41835693655162776</v>
      </c>
      <c r="AF195" s="62">
        <f ca="1"/>
        <v>0.61781936172402419</v>
      </c>
      <c r="AG195" s="66" t="str">
        <f t="array" ref="AG195">IF($AB195, Push(MMULT($I$44:$L$47,MMULT(Fetch(AV194),TRANSPOSE($I$44:$L$47))) + $N$44:$Q$47), "")</f>
        <v/>
      </c>
      <c r="AH195" s="62">
        <f t="array" aca="1" ref="AH195:AK195" ca="1">TRANSPOSE($G$38:$G$41 + MMULT($I$38:$L$41,TRANSPOSE(AC195:AF195)))</f>
        <v>0.68726492666225125</v>
      </c>
      <c r="AI195" s="62">
        <f ca="1"/>
        <v>0.80277543686863939</v>
      </c>
      <c r="AJ195" s="62">
        <f ca="1"/>
        <v>0.56297448271222583</v>
      </c>
      <c r="AK195" s="62">
        <f ca="1"/>
        <v>0.65329039211722506</v>
      </c>
      <c r="AL195" s="66" t="str">
        <f t="array" ref="AL195">IF($AB195, Push(MINVERSE(MMULT($I$38:$L$41,MMULT(Fetch(AG195),TRANSPOSE($I$38:$L$41))) + $N$38:$Q$41)), "")</f>
        <v/>
      </c>
      <c r="AM195" s="62">
        <f t="array" aca="1" ref="AM195:AP195" ca="1">X195:AA195 - AH195:AK195</f>
        <v>0.78280613963302215</v>
      </c>
      <c r="AN195" s="62">
        <f ca="1"/>
        <v>-0.17969489104640468</v>
      </c>
      <c r="AO195" s="62">
        <f ca="1"/>
        <v>0.83364475284796402</v>
      </c>
      <c r="AP195" s="62">
        <f ca="1"/>
        <v>0.65814647097632584</v>
      </c>
      <c r="AQ195" s="66" t="str">
        <f t="array" ref="AQ195">IF($AB195, Push(MMULT(Fetch(AG195),MMULT(TRANSPOSE($I$38:$L$41),Fetch(AL195)))), "")</f>
        <v/>
      </c>
      <c r="AR195" s="62">
        <f t="array" aca="1" ref="AR195:AU195" ca="1">AC195:AF195 + TRANSPOSE(MMULT(IF($AB195,Fetch(AQ195),$L$61:$O$64),TRANSPOSE(AM195:AP195)))</f>
        <v>0.90368120132911289</v>
      </c>
      <c r="AS195" s="62">
        <f ca="1"/>
        <v>0.3593770187994183</v>
      </c>
      <c r="AT195" s="62">
        <f ca="1"/>
        <v>1.2992785606918735</v>
      </c>
      <c r="AU195" s="62">
        <f ca="1"/>
        <v>1.1888180964217874</v>
      </c>
      <c r="AV195" s="66" t="str">
        <f t="array" ref="AV195">IF($AB195, Push(Fetch(AG195) - MMULT(Fetch(AQ195),MMULT($I$38:$L$41,Fetch(AG195)))), "")</f>
        <v/>
      </c>
      <c r="AW195" s="97">
        <f t="array" aca="1" ref="AW195" ca="1">IF($AB195,LN(MDETERM(Fetch(AL195))),$J$65)   -   MMULT(AM195:AP195,MMULT(IF($AB195,Fetch(AL195),$G$61:$J$64),TRANSPOSE(AM195:AP195)))</f>
        <v>0.632206017827464</v>
      </c>
    </row>
    <row r="196" spans="23:49" x14ac:dyDescent="0.15">
      <c r="W196" s="12">
        <f t="shared" si="4"/>
        <v>193</v>
      </c>
      <c r="X196" s="62">
        <f t="array" aca="1" ref="X196:AA196" ca="1">simulate!AE196:AH196</f>
        <v>2.0471994806395091</v>
      </c>
      <c r="Y196" s="62">
        <f ca="1"/>
        <v>1.5652268174541732</v>
      </c>
      <c r="Z196" s="62">
        <f ca="1"/>
        <v>1.0551006647433785</v>
      </c>
      <c r="AA196" s="62">
        <f ca="1"/>
        <v>0.80605851159485098</v>
      </c>
      <c r="AB196" s="98">
        <f t="shared" si="5"/>
        <v>0</v>
      </c>
      <c r="AC196" s="62">
        <f t="array" aca="1" ref="AC196:AF196" ca="1">TRANSPOSE($G$44:$G$47 + MMULT($I$44:$L$47,TRANSPOSE(AR195:AU195)))</f>
        <v>0.96486327683022166</v>
      </c>
      <c r="AD196" s="62">
        <f ca="1"/>
        <v>0.66957808698144372</v>
      </c>
      <c r="AE196" s="62">
        <f ca="1"/>
        <v>1.1025439063170892</v>
      </c>
      <c r="AF196" s="62">
        <f ca="1"/>
        <v>1.1187392271178109</v>
      </c>
      <c r="AG196" s="66" t="str">
        <f t="array" ref="AG196">IF($AB196, Push(MMULT($I$44:$L$47,MMULT(Fetch(AV195),TRANSPOSE($I$44:$L$47))) + $N$44:$Q$47), "")</f>
        <v/>
      </c>
      <c r="AH196" s="62">
        <f t="array" aca="1" ref="AH196:AK196" ca="1">TRANSPOSE($G$38:$G$41 + MMULT($I$38:$L$41,TRANSPOSE(AC196:AF196)))</f>
        <v>1.3009923486264225</v>
      </c>
      <c r="AI196" s="62">
        <f ca="1"/>
        <v>0.91668658353111299</v>
      </c>
      <c r="AJ196" s="62">
        <f ca="1"/>
        <v>1.0817381795668293</v>
      </c>
      <c r="AK196" s="62">
        <f ca="1"/>
        <v>1.1673239361815335</v>
      </c>
      <c r="AL196" s="66" t="str">
        <f t="array" ref="AL196">IF($AB196, Push(MINVERSE(MMULT($I$38:$L$41,MMULT(Fetch(AG196),TRANSPOSE($I$38:$L$41))) + $N$38:$Q$41)), "")</f>
        <v/>
      </c>
      <c r="AM196" s="62">
        <f t="array" aca="1" ref="AM196:AP196" ca="1">X196:AA196 - AH196:AK196</f>
        <v>0.74620713201308653</v>
      </c>
      <c r="AN196" s="62">
        <f ca="1"/>
        <v>0.64854023392306026</v>
      </c>
      <c r="AO196" s="62">
        <f ca="1"/>
        <v>-2.6637514823450781E-2</v>
      </c>
      <c r="AP196" s="62">
        <f ca="1"/>
        <v>-0.36126542458668254</v>
      </c>
      <c r="AQ196" s="66" t="str">
        <f t="array" ref="AQ196">IF($AB196, Push(MMULT(Fetch(AG196),MMULT(TRANSPOSE($I$38:$L$41),Fetch(AL196)))), "")</f>
        <v/>
      </c>
      <c r="AR196" s="62">
        <f t="array" aca="1" ref="AR196:AU196" ca="1">AC196:AF196 + TRANSPOSE(MMULT(IF($AB196,Fetch(AQ196),$L$61:$O$64),TRANSPOSE(AM196:AP196)))</f>
        <v>1.4805841993376772</v>
      </c>
      <c r="AS196" s="62">
        <f ca="1"/>
        <v>0.84324074695514151</v>
      </c>
      <c r="AT196" s="62">
        <f ca="1"/>
        <v>1.0491726645777066</v>
      </c>
      <c r="AU196" s="62">
        <f ca="1"/>
        <v>0.98902995236466518</v>
      </c>
      <c r="AV196" s="66" t="str">
        <f t="array" ref="AV196">IF($AB196, Push(Fetch(AG196) - MMULT(Fetch(AQ196),MMULT($I$38:$L$41,Fetch(AG196)))), "")</f>
        <v/>
      </c>
      <c r="AW196" s="97">
        <f t="array" aca="1" ref="AW196" ca="1">IF($AB196,LN(MDETERM(Fetch(AL196))),$J$65)   -   MMULT(AM196:AP196,MMULT(IF($AB196,Fetch(AL196),$G$61:$J$64),TRANSPOSE(AM196:AP196)))</f>
        <v>-0.24211182157665156</v>
      </c>
    </row>
    <row r="197" spans="23:49" x14ac:dyDescent="0.15">
      <c r="W197" s="12">
        <f t="shared" ref="W197:W260" si="6">W196+1</f>
        <v>194</v>
      </c>
      <c r="X197" s="62">
        <f t="array" aca="1" ref="X197:AA197" ca="1">simulate!AE197:AH197</f>
        <v>0.60335303033973164</v>
      </c>
      <c r="Y197" s="62">
        <f ca="1"/>
        <v>1.0367564880781521</v>
      </c>
      <c r="Z197" s="62">
        <f ca="1"/>
        <v>0.54875146636533312</v>
      </c>
      <c r="AA197" s="62">
        <f ca="1"/>
        <v>0.80847047708378672</v>
      </c>
      <c r="AB197" s="98">
        <f t="shared" ref="AB197:AB260" si="7">($W197&lt;=$D$51) * 1</f>
        <v>0</v>
      </c>
      <c r="AC197" s="62">
        <f t="array" aca="1" ref="AC197:AF197" ca="1">TRANSPOSE($G$44:$G$47 + MMULT($I$44:$L$47,TRANSPOSE(AR196:AU196)))</f>
        <v>1.3206372075286639</v>
      </c>
      <c r="AD197" s="62">
        <f ca="1"/>
        <v>0.97333132788291665</v>
      </c>
      <c r="AE197" s="62">
        <f ca="1"/>
        <v>1.0575271606390737</v>
      </c>
      <c r="AF197" s="62">
        <f ca="1"/>
        <v>1.0323981981793278</v>
      </c>
      <c r="AG197" s="66" t="str">
        <f t="array" ref="AG197">IF($AB197, Push(MMULT($I$44:$L$47,MMULT(Fetch(AV196),TRANSPOSE($I$44:$L$47))) + $N$44:$Q$47), "")</f>
        <v/>
      </c>
      <c r="AH197" s="62">
        <f t="array" aca="1" ref="AH197:AK197" ca="1">TRANSPOSE($G$38:$G$41 + MMULT($I$38:$L$41,TRANSPOSE(AC197:AF197)))</f>
        <v>1.5353201619853412</v>
      </c>
      <c r="AI197" s="62">
        <f ca="1"/>
        <v>1.3075100270267244</v>
      </c>
      <c r="AJ197" s="62">
        <f ca="1"/>
        <v>1.0359759925954954</v>
      </c>
      <c r="AK197" s="62">
        <f ca="1"/>
        <v>1.0310311046142642</v>
      </c>
      <c r="AL197" s="66" t="str">
        <f t="array" ref="AL197">IF($AB197, Push(MINVERSE(MMULT($I$38:$L$41,MMULT(Fetch(AG197),TRANSPOSE($I$38:$L$41))) + $N$38:$Q$41)), "")</f>
        <v/>
      </c>
      <c r="AM197" s="62">
        <f t="array" aca="1" ref="AM197:AP197" ca="1">X197:AA197 - AH197:AK197</f>
        <v>-0.93196713164560951</v>
      </c>
      <c r="AN197" s="62">
        <f ca="1"/>
        <v>-0.27075353894857224</v>
      </c>
      <c r="AO197" s="62">
        <f ca="1"/>
        <v>-0.48722452623016232</v>
      </c>
      <c r="AP197" s="62">
        <f ca="1"/>
        <v>-0.22256062753047745</v>
      </c>
      <c r="AQ197" s="66" t="str">
        <f t="array" ref="AQ197">IF($AB197, Push(MMULT(Fetch(AG197),MMULT(TRANSPOSE($I$38:$L$41),Fetch(AL197)))), "")</f>
        <v/>
      </c>
      <c r="AR197" s="62">
        <f t="array" aca="1" ref="AR197:AU197" ca="1">AC197:AF197 + TRANSPOSE(MMULT(IF($AB197,Fetch(AQ197),$L$61:$O$64),TRANSPOSE(AM197:AP197)))</f>
        <v>0.78167150419167108</v>
      </c>
      <c r="AS197" s="62">
        <f ca="1"/>
        <v>1.0394301095658867</v>
      </c>
      <c r="AT197" s="62">
        <f ca="1"/>
        <v>0.52460839276501581</v>
      </c>
      <c r="AU197" s="62">
        <f ca="1"/>
        <v>0.7509037944305158</v>
      </c>
      <c r="AV197" s="66" t="str">
        <f t="array" ref="AV197">IF($AB197, Push(Fetch(AG197) - MMULT(Fetch(AQ197),MMULT($I$38:$L$41,Fetch(AG197)))), "")</f>
        <v/>
      </c>
      <c r="AW197" s="97">
        <f t="array" aca="1" ref="AW197" ca="1">IF($AB197,LN(MDETERM(Fetch(AL197))),$J$65)   -   MMULT(AM197:AP197,MMULT(IF($AB197,Fetch(AL197),$G$61:$J$64),TRANSPOSE(AM197:AP197)))</f>
        <v>1.8542953274698366</v>
      </c>
    </row>
    <row r="198" spans="23:49" x14ac:dyDescent="0.15">
      <c r="W198" s="12">
        <f t="shared" si="6"/>
        <v>195</v>
      </c>
      <c r="X198" s="62">
        <f t="array" aca="1" ref="X198:AA198" ca="1">simulate!AE198:AH198</f>
        <v>1.1125326618339022</v>
      </c>
      <c r="Y198" s="62">
        <f ca="1"/>
        <v>0.72934322841304233</v>
      </c>
      <c r="Z198" s="62">
        <f ca="1"/>
        <v>-0.13282531689249089</v>
      </c>
      <c r="AA198" s="62">
        <f ca="1"/>
        <v>1.1858073777705864</v>
      </c>
      <c r="AB198" s="98">
        <f t="shared" si="7"/>
        <v>0</v>
      </c>
      <c r="AC198" s="62">
        <f t="array" aca="1" ref="AC198:AF198" ca="1">TRANSPOSE($G$44:$G$47 + MMULT($I$44:$L$47,TRANSPOSE(AR197:AU197)))</f>
        <v>0.92342271549616695</v>
      </c>
      <c r="AD198" s="62">
        <f ca="1"/>
        <v>0.87123140672950872</v>
      </c>
      <c r="AE198" s="62">
        <f ca="1"/>
        <v>0.7210847487636084</v>
      </c>
      <c r="AF198" s="62">
        <f ca="1"/>
        <v>0.79900298024332939</v>
      </c>
      <c r="AG198" s="66" t="str">
        <f t="array" ref="AG198">IF($AB198, Push(MMULT($I$44:$L$47,MMULT(Fetch(AV197),TRANSPOSE($I$44:$L$47))) + $N$44:$Q$47), "")</f>
        <v/>
      </c>
      <c r="AH198" s="62">
        <f t="array" aca="1" ref="AH198:AK198" ca="1">TRANSPOSE($G$38:$G$41 + MMULT($I$38:$L$41,TRANSPOSE(AC198:AF198)))</f>
        <v>1.1089837907781475</v>
      </c>
      <c r="AI198" s="62">
        <f ca="1"/>
        <v>1.111698607632047</v>
      </c>
      <c r="AJ198" s="62">
        <f ca="1"/>
        <v>0.75755259562192712</v>
      </c>
      <c r="AK198" s="62">
        <f ca="1"/>
        <v>0.83546482561309743</v>
      </c>
      <c r="AL198" s="66" t="str">
        <f t="array" ref="AL198">IF($AB198, Push(MINVERSE(MMULT($I$38:$L$41,MMULT(Fetch(AG198),TRANSPOSE($I$38:$L$41))) + $N$38:$Q$41)), "")</f>
        <v/>
      </c>
      <c r="AM198" s="62">
        <f t="array" aca="1" ref="AM198:AP198" ca="1">X198:AA198 - AH198:AK198</f>
        <v>3.5488710557547432E-3</v>
      </c>
      <c r="AN198" s="62">
        <f ca="1"/>
        <v>-0.38235537921900464</v>
      </c>
      <c r="AO198" s="62">
        <f ca="1"/>
        <v>-0.890377912514418</v>
      </c>
      <c r="AP198" s="62">
        <f ca="1"/>
        <v>0.350342552157489</v>
      </c>
      <c r="AQ198" s="66" t="str">
        <f t="array" ref="AQ198">IF($AB198, Push(MMULT(Fetch(AG198),MMULT(TRANSPOSE($I$38:$L$41),Fetch(AL198)))), "")</f>
        <v/>
      </c>
      <c r="AR198" s="62">
        <f t="array" aca="1" ref="AR198:AU198" ca="1">AC198:AF198 + TRANSPOSE(MMULT(IF($AB198,Fetch(AQ198),$L$61:$O$64),TRANSPOSE(AM198:AP198)))</f>
        <v>0.56316195541227132</v>
      </c>
      <c r="AS198" s="62">
        <f ca="1"/>
        <v>0.90874467845025764</v>
      </c>
      <c r="AT198" s="62">
        <f ca="1"/>
        <v>0.85097862131888324</v>
      </c>
      <c r="AU198" s="62">
        <f ca="1"/>
        <v>0.55588291356841713</v>
      </c>
      <c r="AV198" s="66" t="str">
        <f t="array" ref="AV198">IF($AB198, Push(Fetch(AG198) - MMULT(Fetch(AQ198),MMULT($I$38:$L$41,Fetch(AG198)))), "")</f>
        <v/>
      </c>
      <c r="AW198" s="97">
        <f t="array" aca="1" ref="AW198" ca="1">IF($AB198,LN(MDETERM(Fetch(AL198))),$J$65)   -   MMULT(AM198:AP198,MMULT(IF($AB198,Fetch(AL198),$G$61:$J$64),TRANSPOSE(AM198:AP198)))</f>
        <v>-0.11252246511477182</v>
      </c>
    </row>
    <row r="199" spans="23:49" x14ac:dyDescent="0.15">
      <c r="W199" s="12">
        <f t="shared" si="6"/>
        <v>196</v>
      </c>
      <c r="X199" s="62">
        <f t="array" aca="1" ref="X199:AA199" ca="1">simulate!AE199:AH199</f>
        <v>0.24536894893957228</v>
      </c>
      <c r="Y199" s="62">
        <f ca="1"/>
        <v>6.8370575367136421E-2</v>
      </c>
      <c r="Z199" s="62">
        <f ca="1"/>
        <v>1.5730846181747382</v>
      </c>
      <c r="AA199" s="62">
        <f ca="1"/>
        <v>0.31564166535906396</v>
      </c>
      <c r="AB199" s="98">
        <f t="shared" si="7"/>
        <v>0</v>
      </c>
      <c r="AC199" s="62">
        <f t="array" aca="1" ref="AC199:AF199" ca="1">TRANSPOSE($G$44:$G$47 + MMULT($I$44:$L$47,TRANSPOSE(AR198:AU198)))</f>
        <v>0.79993130619861907</v>
      </c>
      <c r="AD199" s="62">
        <f ca="1"/>
        <v>0.7995919950846706</v>
      </c>
      <c r="AE199" s="62">
        <f ca="1"/>
        <v>0.83171533537947562</v>
      </c>
      <c r="AF199" s="62">
        <f ca="1"/>
        <v>0.72686321748687299</v>
      </c>
      <c r="AG199" s="66" t="str">
        <f t="array" ref="AG199">IF($AB199, Push(MMULT($I$44:$L$47,MMULT(Fetch(AV198),TRANSPOSE($I$44:$L$47))) + $N$44:$Q$47), "")</f>
        <v/>
      </c>
      <c r="AH199" s="62">
        <f t="array" aca="1" ref="AH199:AK199" ca="1">TRANSPOSE($G$38:$G$41 + MMULT($I$38:$L$41,TRANSPOSE(AC199:AF199)))</f>
        <v>1.1153199111274867</v>
      </c>
      <c r="AI199" s="62">
        <f ca="1"/>
        <v>0.96113972082619237</v>
      </c>
      <c r="AJ199" s="62">
        <f ca="1"/>
        <v>0.66647795993070402</v>
      </c>
      <c r="AK199" s="62">
        <f ca="1"/>
        <v>0.9180656213299272</v>
      </c>
      <c r="AL199" s="66" t="str">
        <f t="array" ref="AL199">IF($AB199, Push(MINVERSE(MMULT($I$38:$L$41,MMULT(Fetch(AG199),TRANSPOSE($I$38:$L$41))) + $N$38:$Q$41)), "")</f>
        <v/>
      </c>
      <c r="AM199" s="62">
        <f t="array" aca="1" ref="AM199:AP199" ca="1">X199:AA199 - AH199:AK199</f>
        <v>-0.86995096218791446</v>
      </c>
      <c r="AN199" s="62">
        <f ca="1"/>
        <v>-0.89276914545905595</v>
      </c>
      <c r="AO199" s="62">
        <f ca="1"/>
        <v>0.90660665824403419</v>
      </c>
      <c r="AP199" s="62">
        <f ca="1"/>
        <v>-0.60242395597086329</v>
      </c>
      <c r="AQ199" s="66" t="str">
        <f t="array" ref="AQ199">IF($AB199, Push(MMULT(Fetch(AG199),MMULT(TRANSPOSE($I$38:$L$41),Fetch(AL199)))), "")</f>
        <v/>
      </c>
      <c r="AR199" s="62">
        <f t="array" aca="1" ref="AR199:AU199" ca="1">AC199:AF199 + TRANSPOSE(MMULT(IF($AB199,Fetch(AQ199),$L$61:$O$64),TRANSPOSE(AM199:AP199)))</f>
        <v>0.62655893117632511</v>
      </c>
      <c r="AS199" s="62">
        <f ca="1"/>
        <v>0.13239271009942799</v>
      </c>
      <c r="AT199" s="62">
        <f ca="1"/>
        <v>0.38473268148376216</v>
      </c>
      <c r="AU199" s="62">
        <f ca="1"/>
        <v>0.87651232061503448</v>
      </c>
      <c r="AV199" s="66" t="str">
        <f t="array" ref="AV199">IF($AB199, Push(Fetch(AG199) - MMULT(Fetch(AQ199),MMULT($I$38:$L$41,Fetch(AG199)))), "")</f>
        <v/>
      </c>
      <c r="AW199" s="97">
        <f t="array" aca="1" ref="AW199" ca="1">IF($AB199,LN(MDETERM(Fetch(AL199))),$J$65)   -   MMULT(AM199:AP199,MMULT(IF($AB199,Fetch(AL199),$G$61:$J$64),TRANSPOSE(AM199:AP199)))</f>
        <v>-2.8569706084759812</v>
      </c>
    </row>
    <row r="200" spans="23:49" x14ac:dyDescent="0.15">
      <c r="W200" s="12">
        <f t="shared" si="6"/>
        <v>197</v>
      </c>
      <c r="X200" s="62">
        <f t="array" aca="1" ref="X200:AA200" ca="1">simulate!AE200:AH200</f>
        <v>0.84471731468893141</v>
      </c>
      <c r="Y200" s="62">
        <f ca="1"/>
        <v>0.74428354148179177</v>
      </c>
      <c r="Z200" s="62">
        <f ca="1"/>
        <v>0.43019149177076904</v>
      </c>
      <c r="AA200" s="62">
        <f ca="1"/>
        <v>1.4201533451366486</v>
      </c>
      <c r="AB200" s="98">
        <f t="shared" si="7"/>
        <v>0</v>
      </c>
      <c r="AC200" s="62">
        <f t="array" aca="1" ref="AC200:AF200" ca="1">TRANSPOSE($G$44:$G$47 + MMULT($I$44:$L$47,TRANSPOSE(AR199:AU199)))</f>
        <v>0.70149609005633951</v>
      </c>
      <c r="AD200" s="62">
        <f ca="1"/>
        <v>0.34442028223166071</v>
      </c>
      <c r="AE200" s="62">
        <f ca="1"/>
        <v>0.50582258442130046</v>
      </c>
      <c r="AF200" s="62">
        <f ca="1"/>
        <v>0.7721105319106818</v>
      </c>
      <c r="AG200" s="66" t="str">
        <f t="array" ref="AG200">IF($AB200, Push(MMULT($I$44:$L$47,MMULT(Fetch(AV199),TRANSPOSE($I$44:$L$47))) + $N$44:$Q$47), "")</f>
        <v/>
      </c>
      <c r="AH200" s="62">
        <f t="array" aca="1" ref="AH200:AK200" ca="1">TRANSPOSE($G$38:$G$41 + MMULT($I$38:$L$41,TRANSPOSE(AC200:AF200)))</f>
        <v>0.84891905593558836</v>
      </c>
      <c r="AI200" s="62">
        <f ca="1"/>
        <v>0.62030071047229529</v>
      </c>
      <c r="AJ200" s="62">
        <f ca="1"/>
        <v>0.86942380344670323</v>
      </c>
      <c r="AK200" s="62">
        <f ca="1"/>
        <v>0.60694422617724642</v>
      </c>
      <c r="AL200" s="66" t="str">
        <f t="array" ref="AL200">IF($AB200, Push(MINVERSE(MMULT($I$38:$L$41,MMULT(Fetch(AG200),TRANSPOSE($I$38:$L$41))) + $N$38:$Q$41)), "")</f>
        <v/>
      </c>
      <c r="AM200" s="62">
        <f t="array" aca="1" ref="AM200:AP200" ca="1">X200:AA200 - AH200:AK200</f>
        <v>-4.2017412466569537E-3</v>
      </c>
      <c r="AN200" s="62">
        <f ca="1"/>
        <v>0.12398283100949647</v>
      </c>
      <c r="AO200" s="62">
        <f ca="1"/>
        <v>-0.43923231167593418</v>
      </c>
      <c r="AP200" s="62">
        <f ca="1"/>
        <v>0.81320911895940218</v>
      </c>
      <c r="AQ200" s="66" t="str">
        <f t="array" ref="AQ200">IF($AB200, Push(MMULT(Fetch(AG200),MMULT(TRANSPOSE($I$38:$L$41),Fetch(AL200)))), "")</f>
        <v/>
      </c>
      <c r="AR200" s="62">
        <f t="array" aca="1" ref="AR200:AU200" ca="1">AC200:AF200 + TRANSPOSE(MMULT(IF($AB200,Fetch(AQ200),$L$61:$O$64),TRANSPOSE(AM200:AP200)))</f>
        <v>0.42637335842317725</v>
      </c>
      <c r="AS200" s="62">
        <f ca="1"/>
        <v>0.66939715747377737</v>
      </c>
      <c r="AT200" s="62">
        <f ca="1"/>
        <v>0.95018096496552551</v>
      </c>
      <c r="AU200" s="62">
        <f ca="1"/>
        <v>0.87789696918770233</v>
      </c>
      <c r="AV200" s="66" t="str">
        <f t="array" ref="AV200">IF($AB200, Push(Fetch(AG200) - MMULT(Fetch(AQ200),MMULT($I$38:$L$41,Fetch(AG200)))), "")</f>
        <v/>
      </c>
      <c r="AW200" s="97">
        <f t="array" aca="1" ref="AW200" ca="1">IF($AB200,LN(MDETERM(Fetch(AL200))),$J$65)   -   MMULT(AM200:AP200,MMULT(IF($AB200,Fetch(AL200),$G$61:$J$64),TRANSPOSE(AM200:AP200)))</f>
        <v>-1.2137812137491775</v>
      </c>
    </row>
    <row r="201" spans="23:49" x14ac:dyDescent="0.15">
      <c r="W201" s="12">
        <f t="shared" si="6"/>
        <v>198</v>
      </c>
      <c r="X201" s="62">
        <f t="array" aca="1" ref="X201:AA201" ca="1">simulate!AE201:AH201</f>
        <v>1.0597115377617432</v>
      </c>
      <c r="Y201" s="62">
        <f ca="1"/>
        <v>0.7676877941938528</v>
      </c>
      <c r="Z201" s="62">
        <f ca="1"/>
        <v>1.4746333205288737</v>
      </c>
      <c r="AA201" s="62">
        <f ca="1"/>
        <v>0.73724845692946051</v>
      </c>
      <c r="AB201" s="98">
        <f t="shared" si="7"/>
        <v>0</v>
      </c>
      <c r="AC201" s="62">
        <f t="array" aca="1" ref="AC201:AF201" ca="1">TRANSPOSE($G$44:$G$47 + MMULT($I$44:$L$47,TRANSPOSE(AR200:AU200)))</f>
        <v>0.71317007630240081</v>
      </c>
      <c r="AD201" s="62">
        <f ca="1"/>
        <v>0.68572070293402143</v>
      </c>
      <c r="AE201" s="62">
        <f ca="1"/>
        <v>0.88434976982510161</v>
      </c>
      <c r="AF201" s="62">
        <f ca="1"/>
        <v>0.89327024670344168</v>
      </c>
      <c r="AG201" s="66" t="str">
        <f t="array" ref="AG201">IF($AB201, Push(MMULT($I$44:$L$47,MMULT(Fetch(AV200),TRANSPOSE($I$44:$L$47))) + $N$44:$Q$47), "")</f>
        <v/>
      </c>
      <c r="AH201" s="62">
        <f t="array" aca="1" ref="AH201:AK201" ca="1">TRANSPOSE($G$38:$G$41 + MMULT($I$38:$L$41,TRANSPOSE(AC201:AF201)))</f>
        <v>1.0454370553286974</v>
      </c>
      <c r="AI201" s="62">
        <f ca="1"/>
        <v>0.84907883126566519</v>
      </c>
      <c r="AJ201" s="62">
        <f ca="1"/>
        <v>0.81028049954363879</v>
      </c>
      <c r="AK201" s="62">
        <f ca="1"/>
        <v>1.0313592149194899</v>
      </c>
      <c r="AL201" s="66" t="str">
        <f t="array" ref="AL201">IF($AB201, Push(MINVERSE(MMULT($I$38:$L$41,MMULT(Fetch(AG201),TRANSPOSE($I$38:$L$41))) + $N$38:$Q$41)), "")</f>
        <v/>
      </c>
      <c r="AM201" s="62">
        <f t="array" aca="1" ref="AM201:AP201" ca="1">X201:AA201 - AH201:AK201</f>
        <v>1.4274482433045854E-2</v>
      </c>
      <c r="AN201" s="62">
        <f ca="1"/>
        <v>-8.1391037071812389E-2</v>
      </c>
      <c r="AO201" s="62">
        <f ca="1"/>
        <v>0.66435282098523496</v>
      </c>
      <c r="AP201" s="62">
        <f ca="1"/>
        <v>-0.29411075799002939</v>
      </c>
      <c r="AQ201" s="66" t="str">
        <f t="array" ref="AQ201">IF($AB201, Push(MMULT(Fetch(AG201),MMULT(TRANSPOSE($I$38:$L$41),Fetch(AL201)))), "")</f>
        <v/>
      </c>
      <c r="AR201" s="62">
        <f t="array" aca="1" ref="AR201:AU201" ca="1">AC201:AF201 + TRANSPOSE(MMULT(IF($AB201,Fetch(AQ201),$L$61:$O$64),TRANSPOSE(AM201:AP201)))</f>
        <v>0.93954636995967633</v>
      </c>
      <c r="AS201" s="62">
        <f ca="1"/>
        <v>0.43911915124828116</v>
      </c>
      <c r="AT201" s="62">
        <f ca="1"/>
        <v>0.81820937075681988</v>
      </c>
      <c r="AU201" s="62">
        <f ca="1"/>
        <v>1.0607525632142532</v>
      </c>
      <c r="AV201" s="66" t="str">
        <f t="array" ref="AV201">IF($AB201, Push(Fetch(AG201) - MMULT(Fetch(AQ201),MMULT($I$38:$L$41,Fetch(AG201)))), "")</f>
        <v/>
      </c>
      <c r="AW201" s="97">
        <f t="array" aca="1" ref="AW201" ca="1">IF($AB201,LN(MDETERM(Fetch(AL201))),$J$65)   -   MMULT(AM201:AP201,MMULT(IF($AB201,Fetch(AL201),$G$61:$J$64),TRANSPOSE(AM201:AP201)))</f>
        <v>4.1164852801400542</v>
      </c>
    </row>
    <row r="202" spans="23:49" x14ac:dyDescent="0.15">
      <c r="W202" s="12">
        <f t="shared" si="6"/>
        <v>199</v>
      </c>
      <c r="X202" s="62">
        <f t="array" aca="1" ref="X202:AA202" ca="1">simulate!AE202:AH202</f>
        <v>0.53749527119106089</v>
      </c>
      <c r="Y202" s="62">
        <f ca="1"/>
        <v>1.2649796141209797</v>
      </c>
      <c r="Z202" s="62">
        <f ca="1"/>
        <v>5.9512043286628069E-3</v>
      </c>
      <c r="AA202" s="62">
        <f ca="1"/>
        <v>0.42105809009785228</v>
      </c>
      <c r="AB202" s="98">
        <f t="shared" si="7"/>
        <v>0</v>
      </c>
      <c r="AC202" s="62">
        <f t="array" aca="1" ref="AC202:AF202" ca="1">TRANSPOSE($G$44:$G$47 + MMULT($I$44:$L$47,TRANSPOSE(AR201:AU201)))</f>
        <v>0.95563575435285708</v>
      </c>
      <c r="AD202" s="62">
        <f ca="1"/>
        <v>0.63815766659163109</v>
      </c>
      <c r="AE202" s="62">
        <f ca="1"/>
        <v>0.83927793243728444</v>
      </c>
      <c r="AF202" s="62">
        <f ca="1"/>
        <v>0.97886788447592066</v>
      </c>
      <c r="AG202" s="66" t="str">
        <f t="array" ref="AG202">IF($AB202, Push(MMULT($I$44:$L$47,MMULT(Fetch(AV201),TRANSPOSE($I$44:$L$47))) + $N$44:$Q$47), "")</f>
        <v/>
      </c>
      <c r="AH202" s="62">
        <f t="array" aca="1" ref="AH202:AK202" ca="1">TRANSPOSE($G$38:$G$41 + MMULT($I$38:$L$41,TRANSPOSE(AC202:AF202)))</f>
        <v>1.1684075105022973</v>
      </c>
      <c r="AI202" s="62">
        <f ca="1"/>
        <v>0.92568307930154714</v>
      </c>
      <c r="AJ202" s="62">
        <f ca="1"/>
        <v>0.99777107819836663</v>
      </c>
      <c r="AK202" s="62">
        <f ca="1"/>
        <v>0.91191210181378146</v>
      </c>
      <c r="AL202" s="66" t="str">
        <f t="array" ref="AL202">IF($AB202, Push(MINVERSE(MMULT($I$38:$L$41,MMULT(Fetch(AG202),TRANSPOSE($I$38:$L$41))) + $N$38:$Q$41)), "")</f>
        <v/>
      </c>
      <c r="AM202" s="62">
        <f t="array" aca="1" ref="AM202:AP202" ca="1">X202:AA202 - AH202:AK202</f>
        <v>-0.63091223931123641</v>
      </c>
      <c r="AN202" s="62">
        <f ca="1"/>
        <v>0.33929653481943256</v>
      </c>
      <c r="AO202" s="62">
        <f ca="1"/>
        <v>-0.99181987386970383</v>
      </c>
      <c r="AP202" s="62">
        <f ca="1"/>
        <v>-0.49085401171592918</v>
      </c>
      <c r="AQ202" s="66" t="str">
        <f t="array" ref="AQ202">IF($AB202, Push(MMULT(Fetch(AG202),MMULT(TRANSPOSE($I$38:$L$41),Fetch(AL202)))), "")</f>
        <v/>
      </c>
      <c r="AR202" s="62">
        <f t="array" aca="1" ref="AR202:AU202" ca="1">AC202:AF202 + TRANSPOSE(MMULT(IF($AB202,Fetch(AQ202),$L$61:$O$64),TRANSPOSE(AM202:AP202)))</f>
        <v>0.5829646027190023</v>
      </c>
      <c r="AS202" s="62">
        <f ca="1"/>
        <v>1.0522840076817617</v>
      </c>
      <c r="AT202" s="62">
        <f ca="1"/>
        <v>7.686103482401907E-2</v>
      </c>
      <c r="AU202" s="62">
        <f ca="1"/>
        <v>0.40349675495391257</v>
      </c>
      <c r="AV202" s="66" t="str">
        <f t="array" ref="AV202">IF($AB202, Push(Fetch(AG202) - MMULT(Fetch(AQ202),MMULT($I$38:$L$41,Fetch(AG202)))), "")</f>
        <v/>
      </c>
      <c r="AW202" s="97">
        <f t="array" aca="1" ref="AW202" ca="1">IF($AB202,LN(MDETERM(Fetch(AL202))),$J$65)   -   MMULT(AM202:AP202,MMULT(IF($AB202,Fetch(AL202),$G$61:$J$64),TRANSPOSE(AM202:AP202)))</f>
        <v>0.83421871896590361</v>
      </c>
    </row>
    <row r="203" spans="23:49" x14ac:dyDescent="0.15">
      <c r="W203" s="12">
        <f t="shared" si="6"/>
        <v>200</v>
      </c>
      <c r="X203" s="62">
        <f t="array" aca="1" ref="X203:AA203" ca="1">simulate!AE203:AH203</f>
        <v>0.50737721205830089</v>
      </c>
      <c r="Y203" s="62">
        <f ca="1"/>
        <v>-0.11366908330969458</v>
      </c>
      <c r="Z203" s="62">
        <f ca="1"/>
        <v>0.56385189765630639</v>
      </c>
      <c r="AA203" s="62">
        <f ca="1"/>
        <v>0.6625458200056239</v>
      </c>
      <c r="AB203" s="98">
        <f t="shared" si="7"/>
        <v>0</v>
      </c>
      <c r="AC203" s="62">
        <f t="array" aca="1" ref="AC203:AF203" ca="1">TRANSPOSE($G$44:$G$47 + MMULT($I$44:$L$47,TRANSPOSE(AR202:AU202)))</f>
        <v>0.76944124899112532</v>
      </c>
      <c r="AD203" s="62">
        <f ca="1"/>
        <v>0.75491910234237358</v>
      </c>
      <c r="AE203" s="62">
        <f ca="1"/>
        <v>0.41579678806387127</v>
      </c>
      <c r="AF203" s="62">
        <f ca="1"/>
        <v>0.5300470974707745</v>
      </c>
      <c r="AG203" s="66" t="str">
        <f t="array" ref="AG203">IF($AB203, Push(MMULT($I$44:$L$47,MMULT(Fetch(AV202),TRANSPOSE($I$44:$L$47))) + $N$44:$Q$47), "")</f>
        <v/>
      </c>
      <c r="AH203" s="62">
        <f t="array" aca="1" ref="AH203:AK203" ca="1">TRANSPOSE($G$38:$G$41 + MMULT($I$38:$L$41,TRANSPOSE(AC203:AF203)))</f>
        <v>0.88733834424542302</v>
      </c>
      <c r="AI203" s="62">
        <f ca="1"/>
        <v>0.97854131811380829</v>
      </c>
      <c r="AJ203" s="62">
        <f ca="1"/>
        <v>0.54596293905054538</v>
      </c>
      <c r="AK203" s="62">
        <f ca="1"/>
        <v>0.53355573413599866</v>
      </c>
      <c r="AL203" s="66" t="str">
        <f t="array" ref="AL203">IF($AB203, Push(MINVERSE(MMULT($I$38:$L$41,MMULT(Fetch(AG203),TRANSPOSE($I$38:$L$41))) + $N$38:$Q$41)), "")</f>
        <v/>
      </c>
      <c r="AM203" s="62">
        <f t="array" aca="1" ref="AM203:AP203" ca="1">X203:AA203 - AH203:AK203</f>
        <v>-0.37996113218712213</v>
      </c>
      <c r="AN203" s="62">
        <f ca="1"/>
        <v>-1.0922104014235028</v>
      </c>
      <c r="AO203" s="62">
        <f ca="1"/>
        <v>1.7888958605761007E-2</v>
      </c>
      <c r="AP203" s="62">
        <f ca="1"/>
        <v>0.12899008586962524</v>
      </c>
      <c r="AQ203" s="66" t="str">
        <f t="array" ref="AQ203">IF($AB203, Push(MMULT(Fetch(AG203),MMULT(TRANSPOSE($I$38:$L$41),Fetch(AL203)))), "")</f>
        <v/>
      </c>
      <c r="AR203" s="62">
        <f t="array" aca="1" ref="AR203:AU203" ca="1">AC203:AF203 + TRANSPOSE(MMULT(IF($AB203,Fetch(AQ203),$L$61:$O$64),TRANSPOSE(AM203:AP203)))</f>
        <v>0.40082881370115259</v>
      </c>
      <c r="AS203" s="62">
        <f ca="1"/>
        <v>0.22001846830897442</v>
      </c>
      <c r="AT203" s="62">
        <f ca="1"/>
        <v>0.50346461270455567</v>
      </c>
      <c r="AU203" s="62">
        <f ca="1"/>
        <v>0.5733366197809695</v>
      </c>
      <c r="AV203" s="66" t="str">
        <f t="array" ref="AV203">IF($AB203, Push(Fetch(AG203) - MMULT(Fetch(AQ203),MMULT($I$38:$L$41,Fetch(AG203)))), "")</f>
        <v/>
      </c>
      <c r="AW203" s="97">
        <f t="array" aca="1" ref="AW203" ca="1">IF($AB203,LN(MDETERM(Fetch(AL203))),$J$65)   -   MMULT(AM203:AP203,MMULT(IF($AB203,Fetch(AL203),$G$61:$J$64),TRANSPOSE(AM203:AP203)))</f>
        <v>0.68696403578154808</v>
      </c>
    </row>
    <row r="204" spans="23:49" x14ac:dyDescent="0.15">
      <c r="W204" s="12">
        <f t="shared" si="6"/>
        <v>201</v>
      </c>
      <c r="X204" s="62">
        <f t="array" aca="1" ref="X204:AA204" ca="1">simulate!AE204:AH204</f>
        <v>0.34424920587972258</v>
      </c>
      <c r="Y204" s="62">
        <f ca="1"/>
        <v>0.59313121648939371</v>
      </c>
      <c r="Z204" s="62">
        <f ca="1"/>
        <v>-1.178506977468504</v>
      </c>
      <c r="AA204" s="62">
        <f ca="1"/>
        <v>1.1188166873615353</v>
      </c>
      <c r="AB204" s="98">
        <f t="shared" si="7"/>
        <v>0</v>
      </c>
      <c r="AC204" s="62">
        <f t="array" aca="1" ref="AC204:AF204" ca="1">TRANSPOSE($G$44:$G$47 + MMULT($I$44:$L$47,TRANSPOSE(AR203:AU203)))</f>
        <v>0.58643527485579794</v>
      </c>
      <c r="AD204" s="62">
        <f ca="1"/>
        <v>0.35108540084294587</v>
      </c>
      <c r="AE204" s="62">
        <f ca="1"/>
        <v>0.523237955674828</v>
      </c>
      <c r="AF204" s="62">
        <f ca="1"/>
        <v>0.62304019295148128</v>
      </c>
      <c r="AG204" s="66" t="str">
        <f t="array" ref="AG204">IF($AB204, Push(MMULT($I$44:$L$47,MMULT(Fetch(AV203),TRANSPOSE($I$44:$L$47))) + $N$44:$Q$47), "")</f>
        <v/>
      </c>
      <c r="AH204" s="62">
        <f t="array" aca="1" ref="AH204:AK204" ca="1">TRANSPOSE($G$38:$G$41 + MMULT($I$38:$L$41,TRANSPOSE(AC204:AF204)))</f>
        <v>0.81972853110655874</v>
      </c>
      <c r="AI204" s="62">
        <f ca="1"/>
        <v>0.5497897585092214</v>
      </c>
      <c r="AJ204" s="62">
        <f ca="1"/>
        <v>0.6962816708610986</v>
      </c>
      <c r="AK204" s="62">
        <f ca="1"/>
        <v>0.60951267925273434</v>
      </c>
      <c r="AL204" s="66" t="str">
        <f t="array" ref="AL204">IF($AB204, Push(MINVERSE(MMULT($I$38:$L$41,MMULT(Fetch(AG204),TRANSPOSE($I$38:$L$41))) + $N$38:$Q$41)), "")</f>
        <v/>
      </c>
      <c r="AM204" s="62">
        <f t="array" aca="1" ref="AM204:AP204" ca="1">X204:AA204 - AH204:AK204</f>
        <v>-0.47547932522683617</v>
      </c>
      <c r="AN204" s="62">
        <f ca="1"/>
        <v>4.3341457980172304E-2</v>
      </c>
      <c r="AO204" s="62">
        <f ca="1"/>
        <v>-1.8747886483296026</v>
      </c>
      <c r="AP204" s="62">
        <f ca="1"/>
        <v>0.50930400810880094</v>
      </c>
      <c r="AQ204" s="66" t="str">
        <f t="array" ref="AQ204">IF($AB204, Push(MMULT(Fetch(AG204),MMULT(TRANSPOSE($I$38:$L$41),Fetch(AL204)))), "")</f>
        <v/>
      </c>
      <c r="AR204" s="62">
        <f t="array" aca="1" ref="AR204:AU204" ca="1">AC204:AF204 + TRANSPOSE(MMULT(IF($AB204,Fetch(AQ204),$L$61:$O$64),TRANSPOSE(AM204:AP204)))</f>
        <v>-0.20776051808456264</v>
      </c>
      <c r="AS204" s="62">
        <f ca="1"/>
        <v>0.95295175259559506</v>
      </c>
      <c r="AT204" s="62">
        <f ca="1"/>
        <v>0.3642197044248312</v>
      </c>
      <c r="AU204" s="62">
        <f ca="1"/>
        <v>3.557358231134089E-2</v>
      </c>
      <c r="AV204" s="66" t="str">
        <f t="array" ref="AV204">IF($AB204, Push(Fetch(AG204) - MMULT(Fetch(AQ204),MMULT($I$38:$L$41,Fetch(AG204)))), "")</f>
        <v/>
      </c>
      <c r="AW204" s="97">
        <f t="array" aca="1" ref="AW204" ca="1">IF($AB204,LN(MDETERM(Fetch(AL204))),$J$65)   -   MMULT(AM204:AP204,MMULT(IF($AB204,Fetch(AL204),$G$61:$J$64),TRANSPOSE(AM204:AP204)))</f>
        <v>-16.471788476826205</v>
      </c>
    </row>
    <row r="205" spans="23:49" x14ac:dyDescent="0.15">
      <c r="W205" s="12">
        <f t="shared" si="6"/>
        <v>202</v>
      </c>
      <c r="X205" s="62">
        <f t="array" aca="1" ref="X205:AA205" ca="1">simulate!AE205:AH205</f>
        <v>1.172404967357314</v>
      </c>
      <c r="Y205" s="62">
        <f ca="1"/>
        <v>1.0823542499052408</v>
      </c>
      <c r="Z205" s="62">
        <f ca="1"/>
        <v>0.95192531100225852</v>
      </c>
      <c r="AA205" s="62">
        <f ca="1"/>
        <v>0.45194792238571091</v>
      </c>
      <c r="AB205" s="98">
        <f t="shared" si="7"/>
        <v>0</v>
      </c>
      <c r="AC205" s="62">
        <f t="array" aca="1" ref="AC205:AF205" ca="1">TRANSPOSE($G$44:$G$47 + MMULT($I$44:$L$47,TRANSPOSE(AR204:AU204)))</f>
        <v>0.33046474389356473</v>
      </c>
      <c r="AD205" s="62">
        <f ca="1"/>
        <v>0.58922682523619907</v>
      </c>
      <c r="AE205" s="62">
        <f ca="1"/>
        <v>0.44412829300269085</v>
      </c>
      <c r="AF205" s="62">
        <f ca="1"/>
        <v>0.33292693097717885</v>
      </c>
      <c r="AG205" s="66" t="str">
        <f t="array" ref="AG205">IF($AB205, Push(MMULT($I$44:$L$47,MMULT(Fetch(AV204),TRANSPOSE($I$44:$L$47))) + $N$44:$Q$47), "")</f>
        <v/>
      </c>
      <c r="AH205" s="62">
        <f t="array" aca="1" ref="AH205:AK205" ca="1">TRANSPOSE($G$38:$G$41 + MMULT($I$38:$L$41,TRANSPOSE(AC205:AF205)))</f>
        <v>0.65617630737958232</v>
      </c>
      <c r="AI205" s="62">
        <f ca="1"/>
        <v>0.62578107367697777</v>
      </c>
      <c r="AJ205" s="62">
        <f ca="1"/>
        <v>0.2719149229151937</v>
      </c>
      <c r="AK205" s="62">
        <f ca="1"/>
        <v>0.61623187603946472</v>
      </c>
      <c r="AL205" s="66" t="str">
        <f t="array" ref="AL205">IF($AB205, Push(MINVERSE(MMULT($I$38:$L$41,MMULT(Fetch(AG205),TRANSPOSE($I$38:$L$41))) + $N$38:$Q$41)), "")</f>
        <v/>
      </c>
      <c r="AM205" s="62">
        <f t="array" aca="1" ref="AM205:AP205" ca="1">X205:AA205 - AH205:AK205</f>
        <v>0.51622865997773171</v>
      </c>
      <c r="AN205" s="62">
        <f ca="1"/>
        <v>0.45657317622826299</v>
      </c>
      <c r="AO205" s="62">
        <f ca="1"/>
        <v>0.68001038808706482</v>
      </c>
      <c r="AP205" s="62">
        <f ca="1"/>
        <v>-0.16428395365375381</v>
      </c>
      <c r="AQ205" s="66" t="str">
        <f t="array" ref="AQ205">IF($AB205, Push(MMULT(Fetch(AG205),MMULT(TRANSPOSE($I$38:$L$41),Fetch(AL205)))), "")</f>
        <v/>
      </c>
      <c r="AR205" s="62">
        <f t="array" aca="1" ref="AR205:AU205" ca="1">AC205:AF205 + TRANSPOSE(MMULT(IF($AB205,Fetch(AQ205),$L$61:$O$64),TRANSPOSE(AM205:AP205)))</f>
        <v>0.84445837380206967</v>
      </c>
      <c r="AS205" s="62">
        <f ca="1"/>
        <v>0.5844291372993291</v>
      </c>
      <c r="AT205" s="62">
        <f ca="1"/>
        <v>0.5805300796571129</v>
      </c>
      <c r="AU205" s="62">
        <f ca="1"/>
        <v>0.55770541261931139</v>
      </c>
      <c r="AV205" s="66" t="str">
        <f t="array" ref="AV205">IF($AB205, Push(Fetch(AG205) - MMULT(Fetch(AQ205),MMULT($I$38:$L$41,Fetch(AG205)))), "")</f>
        <v/>
      </c>
      <c r="AW205" s="97">
        <f t="array" aca="1" ref="AW205" ca="1">IF($AB205,LN(MDETERM(Fetch(AL205))),$J$65)   -   MMULT(AM205:AP205,MMULT(IF($AB205,Fetch(AL205),$G$61:$J$64),TRANSPOSE(AM205:AP205)))</f>
        <v>1.2208628074677943</v>
      </c>
    </row>
    <row r="206" spans="23:49" x14ac:dyDescent="0.15">
      <c r="W206" s="12">
        <f t="shared" si="6"/>
        <v>203</v>
      </c>
      <c r="X206" s="62">
        <f t="array" aca="1" ref="X206:AA206" ca="1">simulate!AE206:AH206</f>
        <v>1.8507164216576162</v>
      </c>
      <c r="Y206" s="62">
        <f ca="1"/>
        <v>1.0871553847853739</v>
      </c>
      <c r="Z206" s="62">
        <f ca="1"/>
        <v>0.97481805034001079</v>
      </c>
      <c r="AA206" s="62">
        <f ca="1"/>
        <v>1.7661212217076263</v>
      </c>
      <c r="AB206" s="98">
        <f t="shared" si="7"/>
        <v>0</v>
      </c>
      <c r="AC206" s="62">
        <f t="array" aca="1" ref="AC206:AF206" ca="1">TRANSPOSE($G$44:$G$47 + MMULT($I$44:$L$47,TRANSPOSE(AR205:AU205)))</f>
        <v>0.88469261083637818</v>
      </c>
      <c r="AD206" s="62">
        <f ca="1"/>
        <v>0.63021428122934575</v>
      </c>
      <c r="AE206" s="62">
        <f ca="1"/>
        <v>0.65329055978049133</v>
      </c>
      <c r="AF206" s="62">
        <f ca="1"/>
        <v>0.67436947158356397</v>
      </c>
      <c r="AG206" s="66" t="str">
        <f t="array" ref="AG206">IF($AB206, Push(MMULT($I$44:$L$47,MMULT(Fetch(AV205),TRANSPOSE($I$44:$L$47))) + $N$44:$Q$47), "")</f>
        <v/>
      </c>
      <c r="AH206" s="62">
        <f t="array" aca="1" ref="AH206:AK206" ca="1">TRANSPOSE($G$38:$G$41 + MMULT($I$38:$L$41,TRANSPOSE(AC206:AF206)))</f>
        <v>1.0864004564378975</v>
      </c>
      <c r="AI206" s="62">
        <f ca="1"/>
        <v>0.88019726623381966</v>
      </c>
      <c r="AJ206" s="62">
        <f ca="1"/>
        <v>0.73633729809245052</v>
      </c>
      <c r="AK206" s="62">
        <f ca="1"/>
        <v>0.6768272751287463</v>
      </c>
      <c r="AL206" s="66" t="str">
        <f t="array" ref="AL206">IF($AB206, Push(MINVERSE(MMULT($I$38:$L$41,MMULT(Fetch(AG206),TRANSPOSE($I$38:$L$41))) + $N$38:$Q$41)), "")</f>
        <v/>
      </c>
      <c r="AM206" s="62">
        <f t="array" aca="1" ref="AM206:AP206" ca="1">X206:AA206 - AH206:AK206</f>
        <v>0.76431596521971867</v>
      </c>
      <c r="AN206" s="62">
        <f ca="1"/>
        <v>0.20695811855155422</v>
      </c>
      <c r="AO206" s="62">
        <f ca="1"/>
        <v>0.23848075224756027</v>
      </c>
      <c r="AP206" s="62">
        <f ca="1"/>
        <v>1.08929394657888</v>
      </c>
      <c r="AQ206" s="66" t="str">
        <f t="array" ref="AQ206">IF($AB206, Push(MMULT(Fetch(AG206),MMULT(TRANSPOSE($I$38:$L$41),Fetch(AL206)))), "")</f>
        <v/>
      </c>
      <c r="AR206" s="62">
        <f t="array" aca="1" ref="AR206:AU206" ca="1">AC206:AF206 + TRANSPOSE(MMULT(IF($AB206,Fetch(AQ206),$L$61:$O$64),TRANSPOSE(AM206:AP206)))</f>
        <v>1.0804689866931647</v>
      </c>
      <c r="AS206" s="62">
        <f ca="1"/>
        <v>0.78117043197736791</v>
      </c>
      <c r="AT206" s="62">
        <f ca="1"/>
        <v>1.662322379268387</v>
      </c>
      <c r="AU206" s="62">
        <f ca="1"/>
        <v>1.1560346524755483</v>
      </c>
      <c r="AV206" s="66" t="str">
        <f t="array" ref="AV206">IF($AB206, Push(Fetch(AG206) - MMULT(Fetch(AQ206),MMULT($I$38:$L$41,Fetch(AG206)))), "")</f>
        <v/>
      </c>
      <c r="AW206" s="97">
        <f t="array" aca="1" ref="AW206" ca="1">IF($AB206,LN(MDETERM(Fetch(AL206))),$J$65)   -   MMULT(AM206:AP206,MMULT(IF($AB206,Fetch(AL206),$G$61:$J$64),TRANSPOSE(AM206:AP206)))</f>
        <v>-2.5435268849920192</v>
      </c>
    </row>
    <row r="207" spans="23:49" x14ac:dyDescent="0.15">
      <c r="W207" s="12">
        <f t="shared" si="6"/>
        <v>204</v>
      </c>
      <c r="X207" s="62">
        <f t="array" aca="1" ref="X207:AA207" ca="1">simulate!AE207:AH207</f>
        <v>2.3529928441659869</v>
      </c>
      <c r="Y207" s="62">
        <f ca="1"/>
        <v>1.6716939023178692</v>
      </c>
      <c r="Z207" s="62">
        <f ca="1"/>
        <v>2.1906652977022181</v>
      </c>
      <c r="AA207" s="62">
        <f ca="1"/>
        <v>1.2206126702399449</v>
      </c>
      <c r="AB207" s="98">
        <f t="shared" si="7"/>
        <v>0</v>
      </c>
      <c r="AC207" s="62">
        <f t="array" aca="1" ref="AC207:AF207" ca="1">TRANSPOSE($G$44:$G$47 + MMULT($I$44:$L$47,TRANSPOSE(AR206:AU206)))</f>
        <v>1.1470309739256501</v>
      </c>
      <c r="AD207" s="62">
        <f ca="1"/>
        <v>0.9774749191204275</v>
      </c>
      <c r="AE207" s="62">
        <f ca="1"/>
        <v>1.3748296874603505</v>
      </c>
      <c r="AF207" s="62">
        <f ca="1"/>
        <v>1.1984978379401621</v>
      </c>
      <c r="AG207" s="66" t="str">
        <f t="array" ref="AG207">IF($AB207, Push(MMULT($I$44:$L$47,MMULT(Fetch(AV206),TRANSPOSE($I$44:$L$47))) + $N$44:$Q$47), "")</f>
        <v/>
      </c>
      <c r="AH207" s="62">
        <f t="array" aca="1" ref="AH207:AK207" ca="1">TRANSPOSE($G$38:$G$41 + MMULT($I$38:$L$41,TRANSPOSE(AC207:AF207)))</f>
        <v>1.5654606350026126</v>
      </c>
      <c r="AI207" s="62">
        <f ca="1"/>
        <v>1.1984500676033176</v>
      </c>
      <c r="AJ207" s="62">
        <f ca="1"/>
        <v>1.0764999151321843</v>
      </c>
      <c r="AK207" s="62">
        <f ca="1"/>
        <v>1.4104801346421632</v>
      </c>
      <c r="AL207" s="66" t="str">
        <f t="array" ref="AL207">IF($AB207, Push(MINVERSE(MMULT($I$38:$L$41,MMULT(Fetch(AG207),TRANSPOSE($I$38:$L$41))) + $N$38:$Q$41)), "")</f>
        <v/>
      </c>
      <c r="AM207" s="62">
        <f t="array" aca="1" ref="AM207:AP207" ca="1">X207:AA207 - AH207:AK207</f>
        <v>0.7875322091633743</v>
      </c>
      <c r="AN207" s="62">
        <f ca="1"/>
        <v>0.47324383471455156</v>
      </c>
      <c r="AO207" s="62">
        <f ca="1"/>
        <v>1.1141653825700337</v>
      </c>
      <c r="AP207" s="62">
        <f ca="1"/>
        <v>-0.18986746440221824</v>
      </c>
      <c r="AQ207" s="66" t="str">
        <f t="array" ref="AQ207">IF($AB207, Push(MMULT(Fetch(AG207),MMULT(TRANSPOSE($I$38:$L$41),Fetch(AL207)))), "")</f>
        <v/>
      </c>
      <c r="AR207" s="62">
        <f t="array" aca="1" ref="AR207:AU207" ca="1">AC207:AF207 + TRANSPOSE(MMULT(IF($AB207,Fetch(AQ207),$L$61:$O$64),TRANSPOSE(AM207:AP207)))</f>
        <v>1.9017829547293923</v>
      </c>
      <c r="AS207" s="62">
        <f ca="1"/>
        <v>0.8387509948246652</v>
      </c>
      <c r="AT207" s="62">
        <f ca="1"/>
        <v>1.6640178084279182</v>
      </c>
      <c r="AU207" s="62">
        <f ca="1"/>
        <v>1.5923358658888018</v>
      </c>
      <c r="AV207" s="66" t="str">
        <f t="array" ref="AV207">IF($AB207, Push(Fetch(AG207) - MMULT(Fetch(AQ207),MMULT($I$38:$L$41,Fetch(AG207)))), "")</f>
        <v/>
      </c>
      <c r="AW207" s="97">
        <f t="array" aca="1" ref="AW207" ca="1">IF($AB207,LN(MDETERM(Fetch(AL207))),$J$65)   -   MMULT(AM207:AP207,MMULT(IF($AB207,Fetch(AL207),$G$61:$J$64),TRANSPOSE(AM207:AP207)))</f>
        <v>-5.6320270392521969</v>
      </c>
    </row>
    <row r="208" spans="23:49" x14ac:dyDescent="0.15">
      <c r="W208" s="12">
        <f t="shared" si="6"/>
        <v>205</v>
      </c>
      <c r="X208" s="62">
        <f t="array" aca="1" ref="X208:AA208" ca="1">simulate!AE208:AH208</f>
        <v>1.800583514540095</v>
      </c>
      <c r="Y208" s="62">
        <f ca="1"/>
        <v>1.7551975470619172</v>
      </c>
      <c r="Z208" s="62">
        <f ca="1"/>
        <v>0.38436365801243561</v>
      </c>
      <c r="AA208" s="62">
        <f ca="1"/>
        <v>1.7360260041500444</v>
      </c>
      <c r="AB208" s="98">
        <f t="shared" si="7"/>
        <v>0</v>
      </c>
      <c r="AC208" s="62">
        <f t="array" aca="1" ref="AC208:AF208" ca="1">TRANSPOSE($G$44:$G$47 + MMULT($I$44:$L$47,TRANSPOSE(AR207:AU207)))</f>
        <v>1.6202107342036598</v>
      </c>
      <c r="AD208" s="62">
        <f ca="1"/>
        <v>1.1732294252190447</v>
      </c>
      <c r="AE208" s="62">
        <f ca="1"/>
        <v>1.5081269854013872</v>
      </c>
      <c r="AF208" s="62">
        <f ca="1"/>
        <v>1.4779759173230327</v>
      </c>
      <c r="AG208" s="66" t="str">
        <f t="array" ref="AG208">IF($AB208, Push(MMULT($I$44:$L$47,MMULT(Fetch(AV207),TRANSPOSE($I$44:$L$47))) + $N$44:$Q$47), "")</f>
        <v/>
      </c>
      <c r="AH208" s="62">
        <f t="array" aca="1" ref="AH208:AK208" ca="1">TRANSPOSE($G$38:$G$41 + MMULT($I$38:$L$41,TRANSPOSE(AC208:AF208)))</f>
        <v>1.898865464208646</v>
      </c>
      <c r="AI208" s="62">
        <f ca="1"/>
        <v>1.564940340868352</v>
      </c>
      <c r="AJ208" s="62">
        <f ca="1"/>
        <v>1.4061044386517028</v>
      </c>
      <c r="AK208" s="62">
        <f ca="1"/>
        <v>1.4735835119549285</v>
      </c>
      <c r="AL208" s="66" t="str">
        <f t="array" ref="AL208">IF($AB208, Push(MINVERSE(MMULT($I$38:$L$41,MMULT(Fetch(AG208),TRANSPOSE($I$38:$L$41))) + $N$38:$Q$41)), "")</f>
        <v/>
      </c>
      <c r="AM208" s="62">
        <f t="array" aca="1" ref="AM208:AP208" ca="1">X208:AA208 - AH208:AK208</f>
        <v>-9.8281949668550972E-2</v>
      </c>
      <c r="AN208" s="62">
        <f ca="1"/>
        <v>0.19025720619356523</v>
      </c>
      <c r="AO208" s="62">
        <f ca="1"/>
        <v>-1.0217407806392671</v>
      </c>
      <c r="AP208" s="62">
        <f ca="1"/>
        <v>0.26244249219511584</v>
      </c>
      <c r="AQ208" s="66" t="str">
        <f t="array" ref="AQ208">IF($AB208, Push(MMULT(Fetch(AG208),MMULT(TRANSPOSE($I$38:$L$41),Fetch(AL208)))), "")</f>
        <v/>
      </c>
      <c r="AR208" s="62">
        <f t="array" aca="1" ref="AR208:AU208" ca="1">AC208:AF208 + TRANSPOSE(MMULT(IF($AB208,Fetch(AQ208),$L$61:$O$64),TRANSPOSE(AM208:AP208)))</f>
        <v>1.2901160367075533</v>
      </c>
      <c r="AS208" s="62">
        <f ca="1"/>
        <v>1.5652365523734662</v>
      </c>
      <c r="AT208" s="62">
        <f ca="1"/>
        <v>1.4488807050015533</v>
      </c>
      <c r="AU208" s="62">
        <f ca="1"/>
        <v>1.154285849671143</v>
      </c>
      <c r="AV208" s="66" t="str">
        <f t="array" ref="AV208">IF($AB208, Push(Fetch(AG208) - MMULT(Fetch(AQ208),MMULT($I$38:$L$41,Fetch(AG208)))), "")</f>
        <v/>
      </c>
      <c r="AW208" s="97">
        <f t="array" aca="1" ref="AW208" ca="1">IF($AB208,LN(MDETERM(Fetch(AL208))),$J$65)   -   MMULT(AM208:AP208,MMULT(IF($AB208,Fetch(AL208),$G$61:$J$64),TRANSPOSE(AM208:AP208)))</f>
        <v>1.1781265450991842</v>
      </c>
    </row>
    <row r="209" spans="23:49" x14ac:dyDescent="0.15">
      <c r="W209" s="12">
        <f t="shared" si="6"/>
        <v>206</v>
      </c>
      <c r="X209" s="62">
        <f t="array" aca="1" ref="X209:AA209" ca="1">simulate!AE209:AH209</f>
        <v>0.82283062090379422</v>
      </c>
      <c r="Y209" s="62">
        <f ca="1"/>
        <v>0.55716123208917723</v>
      </c>
      <c r="Z209" s="62">
        <f ca="1"/>
        <v>1.4633134933773424</v>
      </c>
      <c r="AA209" s="62">
        <f ca="1"/>
        <v>1.9456483236512032</v>
      </c>
      <c r="AB209" s="98">
        <f t="shared" si="7"/>
        <v>0</v>
      </c>
      <c r="AC209" s="62">
        <f t="array" aca="1" ref="AC209:AF209" ca="1">TRANSPOSE($G$44:$G$47 + MMULT($I$44:$L$47,TRANSPOSE(AR208:AU208)))</f>
        <v>1.3610133567192142</v>
      </c>
      <c r="AD209" s="62">
        <f ca="1"/>
        <v>1.403255477616119</v>
      </c>
      <c r="AE209" s="62">
        <f ca="1"/>
        <v>1.4015205919439462</v>
      </c>
      <c r="AF209" s="62">
        <f ca="1"/>
        <v>1.2287864390747247</v>
      </c>
      <c r="AG209" s="66" t="str">
        <f t="array" ref="AG209">IF($AB209, Push(MMULT($I$44:$L$47,MMULT(Fetch(AV208),TRANSPOSE($I$44:$L$47))) + $N$44:$Q$47), "")</f>
        <v/>
      </c>
      <c r="AH209" s="62">
        <f t="array" aca="1" ref="AH209:AK209" ca="1">TRANSPOSE($G$38:$G$41 + MMULT($I$38:$L$41,TRANSPOSE(AC209:AF209)))</f>
        <v>1.7043074411411849</v>
      </c>
      <c r="AI209" s="62">
        <f ca="1"/>
        <v>1.6477370189033476</v>
      </c>
      <c r="AJ209" s="62">
        <f ca="1"/>
        <v>1.0203112270594514</v>
      </c>
      <c r="AK209" s="62">
        <f ca="1"/>
        <v>1.4769103915215493</v>
      </c>
      <c r="AL209" s="66" t="str">
        <f t="array" ref="AL209">IF($AB209, Push(MINVERSE(MMULT($I$38:$L$41,MMULT(Fetch(AG209),TRANSPOSE($I$38:$L$41))) + $N$38:$Q$41)), "")</f>
        <v/>
      </c>
      <c r="AM209" s="62">
        <f t="array" aca="1" ref="AM209:AP209" ca="1">X209:AA209 - AH209:AK209</f>
        <v>-0.88147682023739071</v>
      </c>
      <c r="AN209" s="62">
        <f ca="1"/>
        <v>-1.0905757868141703</v>
      </c>
      <c r="AO209" s="62">
        <f ca="1"/>
        <v>0.44300226631789097</v>
      </c>
      <c r="AP209" s="62">
        <f ca="1"/>
        <v>0.46873793212965387</v>
      </c>
      <c r="AQ209" s="66" t="str">
        <f t="array" ref="AQ209">IF($AB209, Push(MMULT(Fetch(AG209),MMULT(TRANSPOSE($I$38:$L$41),Fetch(AL209)))), "")</f>
        <v/>
      </c>
      <c r="AR209" s="62">
        <f t="array" aca="1" ref="AR209:AU209" ca="1">AC209:AF209 + TRANSPOSE(MMULT(IF($AB209,Fetch(AQ209),$L$61:$O$64),TRANSPOSE(AM209:AP209)))</f>
        <v>0.79475514445227313</v>
      </c>
      <c r="AS209" s="62">
        <f ca="1"/>
        <v>0.93506598078574987</v>
      </c>
      <c r="AT209" s="62">
        <f ca="1"/>
        <v>1.6025603592210016</v>
      </c>
      <c r="AU209" s="62">
        <f ca="1"/>
        <v>1.5620637747973369</v>
      </c>
      <c r="AV209" s="66" t="str">
        <f t="array" ref="AV209">IF($AB209, Push(Fetch(AG209) - MMULT(Fetch(AQ209),MMULT($I$38:$L$41,Fetch(AG209)))), "")</f>
        <v/>
      </c>
      <c r="AW209" s="97">
        <f t="array" aca="1" ref="AW209" ca="1">IF($AB209,LN(MDETERM(Fetch(AL209))),$J$65)   -   MMULT(AM209:AP209,MMULT(IF($AB209,Fetch(AL209),$G$61:$J$64),TRANSPOSE(AM209:AP209)))</f>
        <v>-5.4923415511361728</v>
      </c>
    </row>
    <row r="210" spans="23:49" x14ac:dyDescent="0.15">
      <c r="W210" s="12">
        <f t="shared" si="6"/>
        <v>207</v>
      </c>
      <c r="X210" s="62">
        <f t="array" aca="1" ref="X210:AA210" ca="1">simulate!AE210:AH210</f>
        <v>1.1219495831004673</v>
      </c>
      <c r="Y210" s="62">
        <f ca="1"/>
        <v>0.80974434531510731</v>
      </c>
      <c r="Z210" s="62">
        <f ca="1"/>
        <v>1.2025886474394243</v>
      </c>
      <c r="AA210" s="62">
        <f ca="1"/>
        <v>0.63004571906267126</v>
      </c>
      <c r="AB210" s="98">
        <f t="shared" si="7"/>
        <v>0</v>
      </c>
      <c r="AC210" s="62">
        <f t="array" aca="1" ref="AC210:AF210" ca="1">TRANSPOSE($G$44:$G$47 + MMULT($I$44:$L$47,TRANSPOSE(AR209:AU209)))</f>
        <v>1.0307572344375764</v>
      </c>
      <c r="AD210" s="62">
        <f ca="1"/>
        <v>1.0342599908372625</v>
      </c>
      <c r="AE210" s="62">
        <f ca="1"/>
        <v>1.4072907535751369</v>
      </c>
      <c r="AF210" s="62">
        <f ca="1"/>
        <v>1.4053056625969709</v>
      </c>
      <c r="AG210" s="66" t="str">
        <f t="array" ref="AG210">IF($AB210, Push(MMULT($I$44:$L$47,MMULT(Fetch(AV209),TRANSPOSE($I$44:$L$47))) + $N$44:$Q$47), "")</f>
        <v/>
      </c>
      <c r="AH210" s="62">
        <f t="array" aca="1" ref="AH210:AK210" ca="1">TRANSPOSE($G$38:$G$41 + MMULT($I$38:$L$41,TRANSPOSE(AC210:AF210)))</f>
        <v>1.4410866294725426</v>
      </c>
      <c r="AI210" s="62">
        <f ca="1"/>
        <v>1.237261549455724</v>
      </c>
      <c r="AJ210" s="62">
        <f ca="1"/>
        <v>1.179690590323351</v>
      </c>
      <c r="AK210" s="62">
        <f ca="1"/>
        <v>1.5919843610266586</v>
      </c>
      <c r="AL210" s="66" t="str">
        <f t="array" ref="AL210">IF($AB210, Push(MINVERSE(MMULT($I$38:$L$41,MMULT(Fetch(AG210),TRANSPOSE($I$38:$L$41))) + $N$38:$Q$41)), "")</f>
        <v/>
      </c>
      <c r="AM210" s="62">
        <f t="array" aca="1" ref="AM210:AP210" ca="1">X210:AA210 - AH210:AK210</f>
        <v>-0.31913704637207529</v>
      </c>
      <c r="AN210" s="62">
        <f ca="1"/>
        <v>-0.42751720414061667</v>
      </c>
      <c r="AO210" s="62">
        <f ca="1"/>
        <v>2.2898057116073289E-2</v>
      </c>
      <c r="AP210" s="62">
        <f ca="1"/>
        <v>-0.96193864196398737</v>
      </c>
      <c r="AQ210" s="66" t="str">
        <f t="array" ref="AQ210">IF($AB210, Push(MMULT(Fetch(AG210),MMULT(TRANSPOSE($I$38:$L$41),Fetch(AL210)))), "")</f>
        <v/>
      </c>
      <c r="AR210" s="62">
        <f t="array" aca="1" ref="AR210:AU210" ca="1">AC210:AF210 + TRANSPOSE(MMULT(IF($AB210,Fetch(AQ210),$L$61:$O$64),TRANSPOSE(AM210:AP210)))</f>
        <v>1.0400543696353397</v>
      </c>
      <c r="AS210" s="62">
        <f ca="1"/>
        <v>0.65031240018788461</v>
      </c>
      <c r="AT210" s="62">
        <f ca="1"/>
        <v>0.71558390803030192</v>
      </c>
      <c r="AU210" s="62">
        <f ca="1"/>
        <v>1.0746712353299248</v>
      </c>
      <c r="AV210" s="66" t="str">
        <f t="array" ref="AV210">IF($AB210, Push(Fetch(AG210) - MMULT(Fetch(AQ210),MMULT($I$38:$L$41,Fetch(AG210)))), "")</f>
        <v/>
      </c>
      <c r="AW210" s="97">
        <f t="array" aca="1" ref="AW210" ca="1">IF($AB210,LN(MDETERM(Fetch(AL210))),$J$65)   -   MMULT(AM210:AP210,MMULT(IF($AB210,Fetch(AL210),$G$61:$J$64),TRANSPOSE(AM210:AP210)))</f>
        <v>-2.8587669306456238</v>
      </c>
    </row>
    <row r="211" spans="23:49" x14ac:dyDescent="0.15">
      <c r="W211" s="12">
        <f t="shared" si="6"/>
        <v>208</v>
      </c>
      <c r="X211" s="62">
        <f t="array" aca="1" ref="X211:AA211" ca="1">simulate!AE211:AH211</f>
        <v>0.63988302758797166</v>
      </c>
      <c r="Y211" s="62">
        <f ca="1"/>
        <v>0.84638582031802523</v>
      </c>
      <c r="Z211" s="62">
        <f ca="1"/>
        <v>0.85988277867439233</v>
      </c>
      <c r="AA211" s="62">
        <f ca="1"/>
        <v>0.51898400878971884</v>
      </c>
      <c r="AB211" s="98">
        <f t="shared" si="7"/>
        <v>0</v>
      </c>
      <c r="AC211" s="62">
        <f t="array" aca="1" ref="AC211:AF211" ca="1">TRANSPOSE($G$44:$G$47 + MMULT($I$44:$L$47,TRANSPOSE(AR210:AU210)))</f>
        <v>1.0345359488037271</v>
      </c>
      <c r="AD211" s="62">
        <f ca="1"/>
        <v>0.75433936798482337</v>
      </c>
      <c r="AE211" s="62">
        <f ca="1"/>
        <v>0.82735614862791007</v>
      </c>
      <c r="AF211" s="62">
        <f ca="1"/>
        <v>0.98958625071295225</v>
      </c>
      <c r="AG211" s="66" t="str">
        <f t="array" ref="AG211">IF($AB211, Push(MMULT($I$44:$L$47,MMULT(Fetch(AV210),TRANSPOSE($I$44:$L$47))) + $N$44:$Q$47), "")</f>
        <v/>
      </c>
      <c r="AH211" s="62">
        <f t="array" aca="1" ref="AH211:AK211" ca="1">TRANSPOSE($G$38:$G$41 + MMULT($I$38:$L$41,TRANSPOSE(AC211:AF211)))</f>
        <v>1.208055961666697</v>
      </c>
      <c r="AI211" s="62">
        <f ca="1"/>
        <v>1.0612575529752351</v>
      </c>
      <c r="AJ211" s="62">
        <f ca="1"/>
        <v>0.99420454812532189</v>
      </c>
      <c r="AK211" s="62">
        <f ca="1"/>
        <v>0.90800275422175813</v>
      </c>
      <c r="AL211" s="66" t="str">
        <f t="array" ref="AL211">IF($AB211, Push(MINVERSE(MMULT($I$38:$L$41,MMULT(Fetch(AG211),TRANSPOSE($I$38:$L$41))) + $N$38:$Q$41)), "")</f>
        <v/>
      </c>
      <c r="AM211" s="62">
        <f t="array" aca="1" ref="AM211:AP211" ca="1">X211:AA211 - AH211:AK211</f>
        <v>-0.56817293407872538</v>
      </c>
      <c r="AN211" s="62">
        <f ca="1"/>
        <v>-0.21487173265720982</v>
      </c>
      <c r="AO211" s="62">
        <f ca="1"/>
        <v>-0.13432176945092955</v>
      </c>
      <c r="AP211" s="62">
        <f ca="1"/>
        <v>-0.38901874543203929</v>
      </c>
      <c r="AQ211" s="66" t="str">
        <f t="array" ref="AQ211">IF($AB211, Push(MMULT(Fetch(AG211),MMULT(TRANSPOSE($I$38:$L$41),Fetch(AL211)))), "")</f>
        <v/>
      </c>
      <c r="AR211" s="62">
        <f t="array" aca="1" ref="AR211:AU211" ca="1">AC211:AF211 + TRANSPOSE(MMULT(IF($AB211,Fetch(AQ211),$L$61:$O$64),TRANSPOSE(AM211:AP211)))</f>
        <v>0.79580706056904493</v>
      </c>
      <c r="AS211" s="62">
        <f ca="1"/>
        <v>0.68181996222396024</v>
      </c>
      <c r="AT211" s="62">
        <f ca="1"/>
        <v>0.36933696945519273</v>
      </c>
      <c r="AU211" s="62">
        <f ca="1"/>
        <v>0.79548039843041007</v>
      </c>
      <c r="AV211" s="66" t="str">
        <f t="array" ref="AV211">IF($AB211, Push(Fetch(AG211) - MMULT(Fetch(AQ211),MMULT($I$38:$L$41,Fetch(AG211)))), "")</f>
        <v/>
      </c>
      <c r="AW211" s="97">
        <f t="array" aca="1" ref="AW211" ca="1">IF($AB211,LN(MDETERM(Fetch(AL211))),$J$65)   -   MMULT(AM211:AP211,MMULT(IF($AB211,Fetch(AL211),$G$61:$J$64),TRANSPOSE(AM211:AP211)))</f>
        <v>5.3144167497139456</v>
      </c>
    </row>
    <row r="212" spans="23:49" x14ac:dyDescent="0.15">
      <c r="W212" s="12">
        <f t="shared" si="6"/>
        <v>209</v>
      </c>
      <c r="X212" s="62">
        <f t="array" aca="1" ref="X212:AA212" ca="1">simulate!AE212:AH212</f>
        <v>1.070376375774752</v>
      </c>
      <c r="Y212" s="62">
        <f ca="1"/>
        <v>1.4187774950249956</v>
      </c>
      <c r="Z212" s="62">
        <f ca="1"/>
        <v>4.0782984661252242E-2</v>
      </c>
      <c r="AA212" s="62">
        <f ca="1"/>
        <v>0.85090149425171901</v>
      </c>
      <c r="AB212" s="98">
        <f t="shared" si="7"/>
        <v>0</v>
      </c>
      <c r="AC212" s="62">
        <f t="array" aca="1" ref="AC212:AF212" ca="1">TRANSPOSE($G$44:$G$47 + MMULT($I$44:$L$47,TRANSPOSE(AR211:AU211)))</f>
        <v>0.86922317896040169</v>
      </c>
      <c r="AD212" s="62">
        <f ca="1"/>
        <v>0.66058455975807917</v>
      </c>
      <c r="AE212" s="62">
        <f ca="1"/>
        <v>0.58676827068124326</v>
      </c>
      <c r="AF212" s="62">
        <f ca="1"/>
        <v>0.77309115571207143</v>
      </c>
      <c r="AG212" s="66" t="str">
        <f t="array" ref="AG212">IF($AB212, Push(MMULT($I$44:$L$47,MMULT(Fetch(AV211),TRANSPOSE($I$44:$L$47))) + $N$44:$Q$47), "")</f>
        <v/>
      </c>
      <c r="AH212" s="62">
        <f t="array" aca="1" ref="AH212:AK212" ca="1">TRANSPOSE($G$38:$G$41 + MMULT($I$38:$L$41,TRANSPOSE(AC212:AF212)))</f>
        <v>1.0033341223923227</v>
      </c>
      <c r="AI212" s="62">
        <f ca="1"/>
        <v>0.93733928352832052</v>
      </c>
      <c r="AJ212" s="62">
        <f ca="1"/>
        <v>0.8074639405148345</v>
      </c>
      <c r="AK212" s="62">
        <f ca="1"/>
        <v>0.68724925911037449</v>
      </c>
      <c r="AL212" s="66" t="str">
        <f t="array" ref="AL212">IF($AB212, Push(MINVERSE(MMULT($I$38:$L$41,MMULT(Fetch(AG212),TRANSPOSE($I$38:$L$41))) + $N$38:$Q$41)), "")</f>
        <v/>
      </c>
      <c r="AM212" s="62">
        <f t="array" aca="1" ref="AM212:AP212" ca="1">X212:AA212 - AH212:AK212</f>
        <v>6.7042253382429307E-2</v>
      </c>
      <c r="AN212" s="62">
        <f ca="1"/>
        <v>0.48143821149667509</v>
      </c>
      <c r="AO212" s="62">
        <f ca="1"/>
        <v>-0.76668095585358231</v>
      </c>
      <c r="AP212" s="62">
        <f ca="1"/>
        <v>0.16365223514134453</v>
      </c>
      <c r="AQ212" s="66" t="str">
        <f t="array" ref="AQ212">IF($AB212, Push(MMULT(Fetch(AG212),MMULT(TRANSPOSE($I$38:$L$41),Fetch(AL212)))), "")</f>
        <v/>
      </c>
      <c r="AR212" s="62">
        <f t="array" aca="1" ref="AR212:AU212" ca="1">AC212:AF212 + TRANSPOSE(MMULT(IF($AB212,Fetch(AQ212),$L$61:$O$64),TRANSPOSE(AM212:AP212)))</f>
        <v>0.74617112539331898</v>
      </c>
      <c r="AS212" s="62">
        <f ca="1"/>
        <v>1.1167617044210392</v>
      </c>
      <c r="AT212" s="62">
        <f ca="1"/>
        <v>0.5288262693775968</v>
      </c>
      <c r="AU212" s="62">
        <f ca="1"/>
        <v>0.52147157304761582</v>
      </c>
      <c r="AV212" s="66" t="str">
        <f t="array" ref="AV212">IF($AB212, Push(Fetch(AG212) - MMULT(Fetch(AQ212),MMULT($I$38:$L$41,Fetch(AG212)))), "")</f>
        <v/>
      </c>
      <c r="AW212" s="97">
        <f t="array" aca="1" ref="AW212" ca="1">IF($AB212,LN(MDETERM(Fetch(AL212))),$J$65)   -   MMULT(AM212:AP212,MMULT(IF($AB212,Fetch(AL212),$G$61:$J$64),TRANSPOSE(AM212:AP212)))</f>
        <v>3.8231270998960811</v>
      </c>
    </row>
    <row r="213" spans="23:49" x14ac:dyDescent="0.15">
      <c r="W213" s="12">
        <f t="shared" si="6"/>
        <v>210</v>
      </c>
      <c r="X213" s="62">
        <f t="array" aca="1" ref="X213:AA213" ca="1">simulate!AE213:AH213</f>
        <v>-9.4240661584439334E-2</v>
      </c>
      <c r="Y213" s="62">
        <f ca="1"/>
        <v>0.33531758801600814</v>
      </c>
      <c r="Z213" s="62">
        <f ca="1"/>
        <v>0.55791464973338156</v>
      </c>
      <c r="AA213" s="62">
        <f ca="1"/>
        <v>-0.17139218228925462</v>
      </c>
      <c r="AB213" s="98">
        <f t="shared" si="7"/>
        <v>0</v>
      </c>
      <c r="AC213" s="62">
        <f t="array" aca="1" ref="AC213:AF213" ca="1">TRANSPOSE($G$44:$G$47 + MMULT($I$44:$L$47,TRANSPOSE(AR212:AU212)))</f>
        <v>0.90496899183436263</v>
      </c>
      <c r="AD213" s="62">
        <f ca="1"/>
        <v>0.89152480314585114</v>
      </c>
      <c r="AE213" s="62">
        <f ca="1"/>
        <v>0.69943724922402795</v>
      </c>
      <c r="AF213" s="62">
        <f ca="1"/>
        <v>0.67957599762133625</v>
      </c>
      <c r="AG213" s="66" t="str">
        <f t="array" ref="AG213">IF($AB213, Push(MMULT($I$44:$L$47,MMULT(Fetch(AV212),TRANSPOSE($I$44:$L$47))) + $N$44:$Q$47), "")</f>
        <v/>
      </c>
      <c r="AH213" s="62">
        <f t="array" aca="1" ref="AH213:AK213" ca="1">TRANSPOSE($G$38:$G$41 + MMULT($I$38:$L$41,TRANSPOSE(AC213:AF213)))</f>
        <v>1.1149069344608487</v>
      </c>
      <c r="AI213" s="62">
        <f ca="1"/>
        <v>1.104612561059402</v>
      </c>
      <c r="AJ213" s="62">
        <f ca="1"/>
        <v>0.64497509942593023</v>
      </c>
      <c r="AK213" s="62">
        <f ca="1"/>
        <v>0.78326528602957346</v>
      </c>
      <c r="AL213" s="66" t="str">
        <f t="array" ref="AL213">IF($AB213, Push(MINVERSE(MMULT($I$38:$L$41,MMULT(Fetch(AG213),TRANSPOSE($I$38:$L$41))) + $N$38:$Q$41)), "")</f>
        <v/>
      </c>
      <c r="AM213" s="62">
        <f t="array" aca="1" ref="AM213:AP213" ca="1">X213:AA213 - AH213:AK213</f>
        <v>-1.209147596045288</v>
      </c>
      <c r="AN213" s="62">
        <f ca="1"/>
        <v>-0.76929497304339378</v>
      </c>
      <c r="AO213" s="62">
        <f ca="1"/>
        <v>-8.7060449692548669E-2</v>
      </c>
      <c r="AP213" s="62">
        <f ca="1"/>
        <v>-0.95465746831882803</v>
      </c>
      <c r="AQ213" s="66" t="str">
        <f t="array" ref="AQ213">IF($AB213, Push(MMULT(Fetch(AG213),MMULT(TRANSPOSE($I$38:$L$41),Fetch(AL213)))), "")</f>
        <v/>
      </c>
      <c r="AR213" s="62">
        <f t="array" aca="1" ref="AR213:AU213" ca="1">AC213:AF213 + TRANSPOSE(MMULT(IF($AB213,Fetch(AQ213),$L$61:$O$64),TRANSPOSE(AM213:AP213)))</f>
        <v>0.42632730785485506</v>
      </c>
      <c r="AS213" s="62">
        <f ca="1"/>
        <v>0.49236056326076194</v>
      </c>
      <c r="AT213" s="62">
        <f ca="1"/>
        <v>-0.28593608892237321</v>
      </c>
      <c r="AU213" s="62">
        <f ca="1"/>
        <v>0.30104659220534152</v>
      </c>
      <c r="AV213" s="66" t="str">
        <f t="array" ref="AV213">IF($AB213, Push(Fetch(AG213) - MMULT(Fetch(AQ213),MMULT($I$38:$L$41,Fetch(AG213)))), "")</f>
        <v/>
      </c>
      <c r="AW213" s="97">
        <f t="array" aca="1" ref="AW213" ca="1">IF($AB213,LN(MDETERM(Fetch(AL213))),$J$65)   -   MMULT(AM213:AP213,MMULT(IF($AB213,Fetch(AL213),$G$61:$J$64),TRANSPOSE(AM213:AP213)))</f>
        <v>-4.5541322073070205</v>
      </c>
    </row>
    <row r="214" spans="23:49" x14ac:dyDescent="0.15">
      <c r="W214" s="12">
        <f t="shared" si="6"/>
        <v>211</v>
      </c>
      <c r="X214" s="62">
        <f t="array" aca="1" ref="X214:AA214" ca="1">simulate!AE214:AH214</f>
        <v>0.32232119414127713</v>
      </c>
      <c r="Y214" s="62">
        <f ca="1"/>
        <v>1.0618176263974446</v>
      </c>
      <c r="Z214" s="62">
        <f ca="1"/>
        <v>0.2461927021832081</v>
      </c>
      <c r="AA214" s="62">
        <f ca="1"/>
        <v>0.27294373937482719</v>
      </c>
      <c r="AB214" s="98">
        <f t="shared" si="7"/>
        <v>0</v>
      </c>
      <c r="AC214" s="62">
        <f t="array" aca="1" ref="AC214:AF214" ca="1">TRANSPOSE($G$44:$G$47 + MMULT($I$44:$L$47,TRANSPOSE(AR213:AU213)))</f>
        <v>0.57123311716150704</v>
      </c>
      <c r="AD214" s="62">
        <f ca="1"/>
        <v>0.36610344269475426</v>
      </c>
      <c r="AE214" s="62">
        <f ca="1"/>
        <v>0.10263849120159868</v>
      </c>
      <c r="AF214" s="62">
        <f ca="1"/>
        <v>0.36842802841077721</v>
      </c>
      <c r="AG214" s="66" t="str">
        <f t="array" ref="AG214">IF($AB214, Push(MMULT($I$44:$L$47,MMULT(Fetch(AV213),TRANSPOSE($I$44:$L$47))) + $N$44:$Q$47), "")</f>
        <v/>
      </c>
      <c r="AH214" s="62">
        <f t="array" aca="1" ref="AH214:AK214" ca="1">TRANSPOSE($G$38:$G$41 + MMULT($I$38:$L$41,TRANSPOSE(AC214:AF214)))</f>
        <v>0.61297848836064861</v>
      </c>
      <c r="AI214" s="62">
        <f ca="1"/>
        <v>0.61469359869571749</v>
      </c>
      <c r="AJ214" s="62">
        <f ca="1"/>
        <v>0.51116641295781418</v>
      </c>
      <c r="AK214" s="62">
        <f ca="1"/>
        <v>0.20831177736952011</v>
      </c>
      <c r="AL214" s="66" t="str">
        <f t="array" ref="AL214">IF($AB214, Push(MINVERSE(MMULT($I$38:$L$41,MMULT(Fetch(AG214),TRANSPOSE($I$38:$L$41))) + $N$38:$Q$41)), "")</f>
        <v/>
      </c>
      <c r="AM214" s="62">
        <f t="array" aca="1" ref="AM214:AP214" ca="1">X214:AA214 - AH214:AK214</f>
        <v>-0.29065729421937148</v>
      </c>
      <c r="AN214" s="62">
        <f ca="1"/>
        <v>0.4471240277017271</v>
      </c>
      <c r="AO214" s="62">
        <f ca="1"/>
        <v>-0.26497371077460607</v>
      </c>
      <c r="AP214" s="62">
        <f ca="1"/>
        <v>6.4631962005307075E-2</v>
      </c>
      <c r="AQ214" s="66" t="str">
        <f t="array" ref="AQ214">IF($AB214, Push(MMULT(Fetch(AG214),MMULT(TRANSPOSE($I$38:$L$41),Fetch(AL214)))), "")</f>
        <v/>
      </c>
      <c r="AR214" s="62">
        <f t="array" aca="1" ref="AR214:AU214" ca="1">AC214:AF214 + TRANSPOSE(MMULT(IF($AB214,Fetch(AQ214),$L$61:$O$64),TRANSPOSE(AM214:AP214)))</f>
        <v>0.42803274170870625</v>
      </c>
      <c r="AS214" s="62">
        <f ca="1"/>
        <v>0.74024461206085757</v>
      </c>
      <c r="AT214" s="62">
        <f ca="1"/>
        <v>-6.1299397378136E-2</v>
      </c>
      <c r="AU214" s="62">
        <f ca="1"/>
        <v>0.28510340312354127</v>
      </c>
      <c r="AV214" s="66" t="str">
        <f t="array" ref="AV214">IF($AB214, Push(Fetch(AG214) - MMULT(Fetch(AQ214),MMULT($I$38:$L$41,Fetch(AG214)))), "")</f>
        <v/>
      </c>
      <c r="AW214" s="97">
        <f t="array" aca="1" ref="AW214" ca="1">IF($AB214,LN(MDETERM(Fetch(AL214))),$J$65)   -   MMULT(AM214:AP214,MMULT(IF($AB214,Fetch(AL214),$G$61:$J$64),TRANSPOSE(AM214:AP214)))</f>
        <v>4.6534616224464003</v>
      </c>
    </row>
    <row r="215" spans="23:49" x14ac:dyDescent="0.15">
      <c r="W215" s="12">
        <f t="shared" si="6"/>
        <v>212</v>
      </c>
      <c r="X215" s="62">
        <f t="array" aca="1" ref="X215:AA215" ca="1">simulate!AE215:AH215</f>
        <v>0.68932449065137202</v>
      </c>
      <c r="Y215" s="62">
        <f ca="1"/>
        <v>0.36753875600339475</v>
      </c>
      <c r="Z215" s="62">
        <f ca="1"/>
        <v>0.35267404958661785</v>
      </c>
      <c r="AA215" s="62">
        <f ca="1"/>
        <v>0.44636928677091808</v>
      </c>
      <c r="AB215" s="98">
        <f t="shared" si="7"/>
        <v>0</v>
      </c>
      <c r="AC215" s="62">
        <f t="array" aca="1" ref="AC215:AF215" ca="1">TRANSPOSE($G$44:$G$47 + MMULT($I$44:$L$47,TRANSPOSE(AR214:AU214)))</f>
        <v>0.62406314255377238</v>
      </c>
      <c r="AD215" s="62">
        <f ca="1"/>
        <v>0.53236561497396973</v>
      </c>
      <c r="AE215" s="62">
        <f ca="1"/>
        <v>0.26196741782750943</v>
      </c>
      <c r="AF215" s="62">
        <f ca="1"/>
        <v>0.41401670432364968</v>
      </c>
      <c r="AG215" s="66" t="str">
        <f t="array" ref="AG215">IF($AB215, Push(MMULT($I$44:$L$47,MMULT(Fetch(AV214),TRANSPOSE($I$44:$L$47))) + $N$44:$Q$47), "")</f>
        <v/>
      </c>
      <c r="AH215" s="62">
        <f t="array" aca="1" ref="AH215:AK215" ca="1">TRANSPOSE($G$38:$G$41 + MMULT($I$38:$L$41,TRANSPOSE(AC215:AF215)))</f>
        <v>0.73031475778134425</v>
      </c>
      <c r="AI215" s="62">
        <f ca="1"/>
        <v>0.74734867541612127</v>
      </c>
      <c r="AJ215" s="62">
        <f ca="1"/>
        <v>0.49169273611256847</v>
      </c>
      <c r="AK215" s="62">
        <f ca="1"/>
        <v>0.3700330256768114</v>
      </c>
      <c r="AL215" s="66" t="str">
        <f t="array" ref="AL215">IF($AB215, Push(MINVERSE(MMULT($I$38:$L$41,MMULT(Fetch(AG215),TRANSPOSE($I$38:$L$41))) + $N$38:$Q$41)), "")</f>
        <v/>
      </c>
      <c r="AM215" s="62">
        <f t="array" aca="1" ref="AM215:AP215" ca="1">X215:AA215 - AH215:AK215</f>
        <v>-4.0990267129972224E-2</v>
      </c>
      <c r="AN215" s="62">
        <f ca="1"/>
        <v>-0.37980991941272652</v>
      </c>
      <c r="AO215" s="62">
        <f ca="1"/>
        <v>-0.13901868652595062</v>
      </c>
      <c r="AP215" s="62">
        <f ca="1"/>
        <v>7.6336261094106683E-2</v>
      </c>
      <c r="AQ215" s="66" t="str">
        <f t="array" ref="AQ215">IF($AB215, Push(MMULT(Fetch(AG215),MMULT(TRANSPOSE($I$38:$L$41),Fetch(AL215)))), "")</f>
        <v/>
      </c>
      <c r="AR215" s="62">
        <f t="array" aca="1" ref="AR215:AU215" ca="1">AC215:AF215 + TRANSPOSE(MMULT(IF($AB215,Fetch(AQ215),$L$61:$O$64),TRANSPOSE(AM215:AP215)))</f>
        <v>0.49387432004141313</v>
      </c>
      <c r="AS215" s="62">
        <f ca="1"/>
        <v>0.36716291513321775</v>
      </c>
      <c r="AT215" s="62">
        <f ca="1"/>
        <v>0.32174005271523398</v>
      </c>
      <c r="AU215" s="62">
        <f ca="1"/>
        <v>0.38121862437928855</v>
      </c>
      <c r="AV215" s="66" t="str">
        <f t="array" ref="AV215">IF($AB215, Push(Fetch(AG215) - MMULT(Fetch(AQ215),MMULT($I$38:$L$41,Fetch(AG215)))), "")</f>
        <v/>
      </c>
      <c r="AW215" s="97">
        <f t="array" aca="1" ref="AW215" ca="1">IF($AB215,LN(MDETERM(Fetch(AL215))),$J$65)   -   MMULT(AM215:AP215,MMULT(IF($AB215,Fetch(AL215),$G$61:$J$64),TRANSPOSE(AM215:AP215)))</f>
        <v>6.1666963005131024</v>
      </c>
    </row>
    <row r="216" spans="23:49" x14ac:dyDescent="0.15">
      <c r="W216" s="12">
        <f t="shared" si="6"/>
        <v>213</v>
      </c>
      <c r="X216" s="62">
        <f t="array" aca="1" ref="X216:AA216" ca="1">simulate!AE216:AH216</f>
        <v>0.20419058490607911</v>
      </c>
      <c r="Y216" s="62">
        <f ca="1"/>
        <v>0.22786953359658121</v>
      </c>
      <c r="Z216" s="62">
        <f ca="1"/>
        <v>0.6100351063826448</v>
      </c>
      <c r="AA216" s="62">
        <f ca="1"/>
        <v>0.73968957448258221</v>
      </c>
      <c r="AB216" s="98">
        <f t="shared" si="7"/>
        <v>0</v>
      </c>
      <c r="AC216" s="62">
        <f t="array" aca="1" ref="AC216:AF216" ca="1">TRANSPOSE($G$44:$G$47 + MMULT($I$44:$L$47,TRANSPOSE(AR215:AU215)))</f>
        <v>0.63629472303814749</v>
      </c>
      <c r="AD216" s="62">
        <f ca="1"/>
        <v>0.40509193917241854</v>
      </c>
      <c r="AE216" s="62">
        <f ca="1"/>
        <v>0.42717497807851285</v>
      </c>
      <c r="AF216" s="62">
        <f ca="1"/>
        <v>0.50472301172101619</v>
      </c>
      <c r="AG216" s="66" t="str">
        <f t="array" ref="AG216">IF($AB216, Push(MMULT($I$44:$L$47,MMULT(Fetch(AV215),TRANSPOSE($I$44:$L$47))) + $N$44:$Q$47), "")</f>
        <v/>
      </c>
      <c r="AH216" s="62">
        <f t="array" aca="1" ref="AH216:AK216" ca="1">TRANSPOSE($G$38:$G$41 + MMULT($I$38:$L$41,TRANSPOSE(AC216:AF216)))</f>
        <v>0.82509008969231812</v>
      </c>
      <c r="AI216" s="62">
        <f ca="1"/>
        <v>0.61658731965197622</v>
      </c>
      <c r="AJ216" s="62">
        <f ca="1"/>
        <v>0.60515781041091143</v>
      </c>
      <c r="AK216" s="62">
        <f ca="1"/>
        <v>0.48367348279177341</v>
      </c>
      <c r="AL216" s="66" t="str">
        <f t="array" ref="AL216">IF($AB216, Push(MINVERSE(MMULT($I$38:$L$41,MMULT(Fetch(AG216),TRANSPOSE($I$38:$L$41))) + $N$38:$Q$41)), "")</f>
        <v/>
      </c>
      <c r="AM216" s="62">
        <f t="array" aca="1" ref="AM216:AP216" ca="1">X216:AA216 - AH216:AK216</f>
        <v>-0.62089950478623901</v>
      </c>
      <c r="AN216" s="62">
        <f ca="1"/>
        <v>-0.38871778605539498</v>
      </c>
      <c r="AO216" s="62">
        <f ca="1"/>
        <v>4.8772959717333642E-3</v>
      </c>
      <c r="AP216" s="62">
        <f ca="1"/>
        <v>0.2560160916908088</v>
      </c>
      <c r="AQ216" s="66" t="str">
        <f t="array" ref="AQ216">IF($AB216, Push(MMULT(Fetch(AG216),MMULT(TRANSPOSE($I$38:$L$41),Fetch(AL216)))), "")</f>
        <v/>
      </c>
      <c r="AR216" s="62">
        <f t="array" aca="1" ref="AR216:AU216" ca="1">AC216:AF216 + TRANSPOSE(MMULT(IF($AB216,Fetch(AQ216),$L$61:$O$64),TRANSPOSE(AM216:AP216)))</f>
        <v>0.23649821120335701</v>
      </c>
      <c r="AS216" s="62">
        <f ca="1"/>
        <v>0.34145360039711931</v>
      </c>
      <c r="AT216" s="62">
        <f ca="1"/>
        <v>0.42029247536678876</v>
      </c>
      <c r="AU216" s="62">
        <f ca="1"/>
        <v>0.59109977936564129</v>
      </c>
      <c r="AV216" s="66" t="str">
        <f t="array" ref="AV216">IF($AB216, Push(Fetch(AG216) - MMULT(Fetch(AQ216),MMULT($I$38:$L$41,Fetch(AG216)))), "")</f>
        <v/>
      </c>
      <c r="AW216" s="97">
        <f t="array" aca="1" ref="AW216" ca="1">IF($AB216,LN(MDETERM(Fetch(AL216))),$J$65)   -   MMULT(AM216:AP216,MMULT(IF($AB216,Fetch(AL216),$G$61:$J$64),TRANSPOSE(AM216:AP216)))</f>
        <v>2.7618571019377782</v>
      </c>
    </row>
    <row r="217" spans="23:49" x14ac:dyDescent="0.15">
      <c r="W217" s="12">
        <f t="shared" si="6"/>
        <v>214</v>
      </c>
      <c r="X217" s="62">
        <f t="array" aca="1" ref="X217:AA217" ca="1">simulate!AE217:AH217</f>
        <v>0.65756213419330545</v>
      </c>
      <c r="Y217" s="62">
        <f ca="1"/>
        <v>-0.15675929476433134</v>
      </c>
      <c r="Z217" s="62">
        <f ca="1"/>
        <v>1.3947716201412601</v>
      </c>
      <c r="AA217" s="62">
        <f ca="1"/>
        <v>1.1784185475189335</v>
      </c>
      <c r="AB217" s="98">
        <f t="shared" si="7"/>
        <v>0</v>
      </c>
      <c r="AC217" s="62">
        <f t="array" aca="1" ref="AC217:AF217" ca="1">TRANSPOSE($G$44:$G$47 + MMULT($I$44:$L$47,TRANSPOSE(AR216:AU216)))</f>
        <v>0.51058892327075367</v>
      </c>
      <c r="AD217" s="62">
        <f ca="1"/>
        <v>0.37894448458307323</v>
      </c>
      <c r="AE217" s="62">
        <f ca="1"/>
        <v>0.48896609366316141</v>
      </c>
      <c r="AF217" s="62">
        <f ca="1"/>
        <v>0.61987701281675156</v>
      </c>
      <c r="AG217" s="66" t="str">
        <f t="array" ref="AG217">IF($AB217, Push(MMULT($I$44:$L$47,MMULT(Fetch(AV216),TRANSPOSE($I$44:$L$47))) + $N$44:$Q$47), "")</f>
        <v/>
      </c>
      <c r="AH217" s="62">
        <f t="array" aca="1" ref="AH217:AK217" ca="1">TRANSPOSE($G$38:$G$41 + MMULT($I$38:$L$41,TRANSPOSE(AC217:AF217)))</f>
        <v>0.74309297468394453</v>
      </c>
      <c r="AI217" s="62">
        <f ca="1"/>
        <v>0.55413958776992689</v>
      </c>
      <c r="AJ217" s="62">
        <f ca="1"/>
        <v>0.65692326999699335</v>
      </c>
      <c r="AK217" s="62">
        <f ca="1"/>
        <v>0.62601572710858533</v>
      </c>
      <c r="AL217" s="66" t="str">
        <f t="array" ref="AL217">IF($AB217, Push(MINVERSE(MMULT($I$38:$L$41,MMULT(Fetch(AG217),TRANSPOSE($I$38:$L$41))) + $N$38:$Q$41)), "")</f>
        <v/>
      </c>
      <c r="AM217" s="62">
        <f t="array" aca="1" ref="AM217:AP217" ca="1">X217:AA217 - AH217:AK217</f>
        <v>-8.5530840490639082E-2</v>
      </c>
      <c r="AN217" s="62">
        <f ca="1"/>
        <v>-0.71089888253425826</v>
      </c>
      <c r="AO217" s="62">
        <f ca="1"/>
        <v>0.73784835014426675</v>
      </c>
      <c r="AP217" s="62">
        <f ca="1"/>
        <v>0.55240282041034816</v>
      </c>
      <c r="AQ217" s="66" t="str">
        <f t="array" ref="AQ217">IF($AB217, Push(MMULT(Fetch(AG217),MMULT(TRANSPOSE($I$38:$L$41),Fetch(AL217)))), "")</f>
        <v/>
      </c>
      <c r="AR217" s="62">
        <f t="array" aca="1" ref="AR217:AU217" ca="1">AC217:AF217 + TRANSPOSE(MMULT(IF($AB217,Fetch(AQ217),$L$61:$O$64),TRANSPOSE(AM217:AP217)))</f>
        <v>0.42135884570370868</v>
      </c>
      <c r="AS217" s="62">
        <f ca="1"/>
        <v>-5.6717137270168361E-2</v>
      </c>
      <c r="AT217" s="62">
        <f ca="1"/>
        <v>1.0358851669519067</v>
      </c>
      <c r="AU217" s="62">
        <f ca="1"/>
        <v>1.1080477705104306</v>
      </c>
      <c r="AV217" s="66" t="str">
        <f t="array" ref="AV217">IF($AB217, Push(Fetch(AG217) - MMULT(Fetch(AQ217),MMULT($I$38:$L$41,Fetch(AG217)))), "")</f>
        <v/>
      </c>
      <c r="AW217" s="97">
        <f t="array" aca="1" ref="AW217" ca="1">IF($AB217,LN(MDETERM(Fetch(AL217))),$J$65)   -   MMULT(AM217:AP217,MMULT(IF($AB217,Fetch(AL217),$G$61:$J$64),TRANSPOSE(AM217:AP217)))</f>
        <v>1.2160811899066886</v>
      </c>
    </row>
    <row r="218" spans="23:49" x14ac:dyDescent="0.15">
      <c r="W218" s="12">
        <f t="shared" si="6"/>
        <v>215</v>
      </c>
      <c r="X218" s="62">
        <f t="array" aca="1" ref="X218:AA218" ca="1">simulate!AE218:AH218</f>
        <v>-8.1937062917008613E-2</v>
      </c>
      <c r="Y218" s="62">
        <f ca="1"/>
        <v>0.56884356404907144</v>
      </c>
      <c r="Z218" s="62">
        <f ca="1"/>
        <v>0.89729501290848401</v>
      </c>
      <c r="AA218" s="62">
        <f ca="1"/>
        <v>0.1819971512542754</v>
      </c>
      <c r="AB218" s="98">
        <f t="shared" si="7"/>
        <v>0</v>
      </c>
      <c r="AC218" s="62">
        <f t="array" aca="1" ref="AC218:AF218" ca="1">TRANSPOSE($G$44:$G$47 + MMULT($I$44:$L$47,TRANSPOSE(AR217:AU217)))</f>
        <v>0.62016409938894479</v>
      </c>
      <c r="AD218" s="62">
        <f ca="1"/>
        <v>0.32181699966278299</v>
      </c>
      <c r="AE218" s="62">
        <f ca="1"/>
        <v>0.84644810483886512</v>
      </c>
      <c r="AF218" s="62">
        <f ca="1"/>
        <v>0.97955534637428721</v>
      </c>
      <c r="AG218" s="66" t="str">
        <f t="array" ref="AG218">IF($AB218, Push(MMULT($I$44:$L$47,MMULT(Fetch(AV217),TRANSPOSE($I$44:$L$47))) + $N$44:$Q$47), "")</f>
        <v/>
      </c>
      <c r="AH218" s="62">
        <f t="array" aca="1" ref="AH218:AK218" ca="1">TRANSPOSE($G$38:$G$41 + MMULT($I$38:$L$41,TRANSPOSE(AC218:AF218)))</f>
        <v>0.94956471823629363</v>
      </c>
      <c r="AI218" s="62">
        <f ca="1"/>
        <v>0.52424028368557152</v>
      </c>
      <c r="AJ218" s="62">
        <f ca="1"/>
        <v>0.98814385834887308</v>
      </c>
      <c r="AK218" s="62">
        <f ca="1"/>
        <v>0.97127002944407015</v>
      </c>
      <c r="AL218" s="66" t="str">
        <f t="array" ref="AL218">IF($AB218, Push(MINVERSE(MMULT($I$38:$L$41,MMULT(Fetch(AG218),TRANSPOSE($I$38:$L$41))) + $N$38:$Q$41)), "")</f>
        <v/>
      </c>
      <c r="AM218" s="62">
        <f t="array" aca="1" ref="AM218:AP218" ca="1">X218:AA218 - AH218:AK218</f>
        <v>-1.0315017811533023</v>
      </c>
      <c r="AN218" s="62">
        <f ca="1"/>
        <v>4.460328036349992E-2</v>
      </c>
      <c r="AO218" s="62">
        <f ca="1"/>
        <v>-9.084884544038907E-2</v>
      </c>
      <c r="AP218" s="62">
        <f ca="1"/>
        <v>-0.78927287818979475</v>
      </c>
      <c r="AQ218" s="66" t="str">
        <f t="array" ref="AQ218">IF($AB218, Push(MMULT(Fetch(AG218),MMULT(TRANSPOSE($I$38:$L$41),Fetch(AL218)))), "")</f>
        <v/>
      </c>
      <c r="AR218" s="62">
        <f t="array" aca="1" ref="AR218:AU218" ca="1">AC218:AF218 + TRANSPOSE(MMULT(IF($AB218,Fetch(AQ218),$L$61:$O$64),TRANSPOSE(AM218:AP218)))</f>
        <v>0.31189933702853173</v>
      </c>
      <c r="AS218" s="62">
        <f ca="1"/>
        <v>0.38956149553963726</v>
      </c>
      <c r="AT218" s="62">
        <f ca="1"/>
        <v>-6.867226278901295E-2</v>
      </c>
      <c r="AU218" s="62">
        <f ca="1"/>
        <v>0.6635607544519222</v>
      </c>
      <c r="AV218" s="66" t="str">
        <f t="array" ref="AV218">IF($AB218, Push(Fetch(AG218) - MMULT(Fetch(AQ218),MMULT($I$38:$L$41,Fetch(AG218)))), "")</f>
        <v/>
      </c>
      <c r="AW218" s="97">
        <f t="array" aca="1" ref="AW218" ca="1">IF($AB218,LN(MDETERM(Fetch(AL218))),$J$65)   -   MMULT(AM218:AP218,MMULT(IF($AB218,Fetch(AL218),$G$61:$J$64),TRANSPOSE(AM218:AP218)))</f>
        <v>0.63007756257807568</v>
      </c>
    </row>
    <row r="219" spans="23:49" x14ac:dyDescent="0.15">
      <c r="W219" s="12">
        <f t="shared" si="6"/>
        <v>216</v>
      </c>
      <c r="X219" s="62">
        <f t="array" aca="1" ref="X219:AA219" ca="1">simulate!AE219:AH219</f>
        <v>0.2736968176825233</v>
      </c>
      <c r="Y219" s="62">
        <f ca="1"/>
        <v>0.27539890034093784</v>
      </c>
      <c r="Z219" s="62">
        <f ca="1"/>
        <v>0.99163667796807375</v>
      </c>
      <c r="AA219" s="62">
        <f ca="1"/>
        <v>0.28582174923000708</v>
      </c>
      <c r="AB219" s="98">
        <f t="shared" si="7"/>
        <v>0</v>
      </c>
      <c r="AC219" s="62">
        <f t="array" aca="1" ref="AC219:AF219" ca="1">TRANSPOSE($G$44:$G$47 + MMULT($I$44:$L$47,TRANSPOSE(AR218:AU218)))</f>
        <v>0.52710657427567031</v>
      </c>
      <c r="AD219" s="62">
        <f ca="1"/>
        <v>0.3499639944038021</v>
      </c>
      <c r="AE219" s="62">
        <f ca="1"/>
        <v>0.24879028567667921</v>
      </c>
      <c r="AF219" s="62">
        <f ca="1"/>
        <v>0.58667113857288089</v>
      </c>
      <c r="AG219" s="66" t="str">
        <f t="array" ref="AG219">IF($AB219, Push(MMULT($I$44:$L$47,MMULT(Fetch(AV218),TRANSPOSE($I$44:$L$47))) + $N$44:$Q$47), "")</f>
        <v/>
      </c>
      <c r="AH219" s="62">
        <f t="array" aca="1" ref="AH219:AK219" ca="1">TRANSPOSE($G$38:$G$41 + MMULT($I$38:$L$41,TRANSPOSE(AC219:AF219)))</f>
        <v>0.61314222754144909</v>
      </c>
      <c r="AI219" s="62">
        <f ca="1"/>
        <v>0.58985069329841555</v>
      </c>
      <c r="AJ219" s="62">
        <f ca="1"/>
        <v>0.66892449710916324</v>
      </c>
      <c r="AK219" s="62">
        <f ca="1"/>
        <v>0.42207151601434451</v>
      </c>
      <c r="AL219" s="66" t="str">
        <f t="array" ref="AL219">IF($AB219, Push(MINVERSE(MMULT($I$38:$L$41,MMULT(Fetch(AG219),TRANSPOSE($I$38:$L$41))) + $N$38:$Q$41)), "")</f>
        <v/>
      </c>
      <c r="AM219" s="62">
        <f t="array" aca="1" ref="AM219:AP219" ca="1">X219:AA219 - AH219:AK219</f>
        <v>-0.3394454098589258</v>
      </c>
      <c r="AN219" s="62">
        <f ca="1"/>
        <v>-0.31445179295747772</v>
      </c>
      <c r="AO219" s="62">
        <f ca="1"/>
        <v>0.32271218085891051</v>
      </c>
      <c r="AP219" s="62">
        <f ca="1"/>
        <v>-0.13624976678433742</v>
      </c>
      <c r="AQ219" s="66" t="str">
        <f t="array" ref="AQ219">IF($AB219, Push(MMULT(Fetch(AG219),MMULT(TRANSPOSE($I$38:$L$41),Fetch(AL219)))), "")</f>
        <v/>
      </c>
      <c r="AR219" s="62">
        <f t="array" aca="1" ref="AR219:AU219" ca="1">AC219:AF219 + TRANSPOSE(MMULT(IF($AB219,Fetch(AQ219),$L$61:$O$64),TRANSPOSE(AM219:AP219)))</f>
        <v>0.43481568555802663</v>
      </c>
      <c r="AS219" s="62">
        <f ca="1"/>
        <v>0.13508722687634211</v>
      </c>
      <c r="AT219" s="62">
        <f ca="1"/>
        <v>0.12995835794977739</v>
      </c>
      <c r="AU219" s="62">
        <f ca="1"/>
        <v>0.66714899861053589</v>
      </c>
      <c r="AV219" s="66" t="str">
        <f t="array" ref="AV219">IF($AB219, Push(Fetch(AG219) - MMULT(Fetch(AQ219),MMULT($I$38:$L$41,Fetch(AG219)))), "")</f>
        <v/>
      </c>
      <c r="AW219" s="97">
        <f t="array" aca="1" ref="AW219" ca="1">IF($AB219,LN(MDETERM(Fetch(AL219))),$J$65)   -   MMULT(AM219:AP219,MMULT(IF($AB219,Fetch(AL219),$G$61:$J$64),TRANSPOSE(AM219:AP219)))</f>
        <v>6.1191082910696002</v>
      </c>
    </row>
    <row r="220" spans="23:49" x14ac:dyDescent="0.15">
      <c r="W220" s="12">
        <f t="shared" si="6"/>
        <v>217</v>
      </c>
      <c r="X220" s="62">
        <f t="array" aca="1" ref="X220:AA220" ca="1">simulate!AE220:AH220</f>
        <v>1.0898727765539775</v>
      </c>
      <c r="Y220" s="62">
        <f ca="1"/>
        <v>0.87802286541457075</v>
      </c>
      <c r="Z220" s="62">
        <f ca="1"/>
        <v>-0.1801430925219773</v>
      </c>
      <c r="AA220" s="62">
        <f ca="1"/>
        <v>0.48785700151146316</v>
      </c>
      <c r="AB220" s="98">
        <f t="shared" si="7"/>
        <v>0</v>
      </c>
      <c r="AC220" s="62">
        <f t="array" aca="1" ref="AC220:AF220" ca="1">TRANSPOSE($G$44:$G$47 + MMULT($I$44:$L$47,TRANSPOSE(AR219:AU219)))</f>
        <v>0.57014232016426747</v>
      </c>
      <c r="AD220" s="62">
        <f ca="1"/>
        <v>0.26213654066233066</v>
      </c>
      <c r="AE220" s="62">
        <f ca="1"/>
        <v>0.32402996907766846</v>
      </c>
      <c r="AF220" s="62">
        <f ca="1"/>
        <v>0.60865107636967619</v>
      </c>
      <c r="AG220" s="66" t="str">
        <f t="array" ref="AG220">IF($AB220, Push(MMULT($I$44:$L$47,MMULT(Fetch(AV219),TRANSPOSE($I$44:$L$47))) + $N$44:$Q$47), "")</f>
        <v/>
      </c>
      <c r="AH220" s="62">
        <f t="array" aca="1" ref="AH220:AK220" ca="1">TRANSPOSE($G$38:$G$41 + MMULT($I$38:$L$41,TRANSPOSE(AC220:AF220)))</f>
        <v>0.69019071459792181</v>
      </c>
      <c r="AI220" s="62">
        <f ca="1"/>
        <v>0.51433965068741294</v>
      </c>
      <c r="AJ220" s="62">
        <f ca="1"/>
        <v>0.73028212330972475</v>
      </c>
      <c r="AK220" s="62">
        <f ca="1"/>
        <v>0.43958492435967783</v>
      </c>
      <c r="AL220" s="66" t="str">
        <f t="array" ref="AL220">IF($AB220, Push(MINVERSE(MMULT($I$38:$L$41,MMULT(Fetch(AG220),TRANSPOSE($I$38:$L$41))) + $N$38:$Q$41)), "")</f>
        <v/>
      </c>
      <c r="AM220" s="62">
        <f t="array" aca="1" ref="AM220:AP220" ca="1">X220:AA220 - AH220:AK220</f>
        <v>0.39968206195605571</v>
      </c>
      <c r="AN220" s="62">
        <f ca="1"/>
        <v>0.36368321472715781</v>
      </c>
      <c r="AO220" s="62">
        <f ca="1"/>
        <v>-0.91042521583170211</v>
      </c>
      <c r="AP220" s="62">
        <f ca="1"/>
        <v>4.8272077151785331E-2</v>
      </c>
      <c r="AQ220" s="66" t="str">
        <f t="array" ref="AQ220">IF($AB220, Push(MMULT(Fetch(AG220),MMULT(TRANSPOSE($I$38:$L$41),Fetch(AL220)))), "")</f>
        <v/>
      </c>
      <c r="AR220" s="62">
        <f t="array" aca="1" ref="AR220:AU220" ca="1">AC220:AF220 + TRANSPOSE(MMULT(IF($AB220,Fetch(AQ220),$L$61:$O$64),TRANSPOSE(AM220:AP220)))</f>
        <v>0.56989263081740771</v>
      </c>
      <c r="AS220" s="62">
        <f ca="1"/>
        <v>0.60035912263225688</v>
      </c>
      <c r="AT220" s="62">
        <f ca="1"/>
        <v>0.30135150052955312</v>
      </c>
      <c r="AU220" s="62">
        <f ca="1"/>
        <v>0.25857711479304601</v>
      </c>
      <c r="AV220" s="66" t="str">
        <f t="array" ref="AV220">IF($AB220, Push(Fetch(AG220) - MMULT(Fetch(AQ220),MMULT($I$38:$L$41,Fetch(AG220)))), "")</f>
        <v/>
      </c>
      <c r="AW220" s="97">
        <f t="array" aca="1" ref="AW220" ca="1">IF($AB220,LN(MDETERM(Fetch(AL220))),$J$65)   -   MMULT(AM220:AP220,MMULT(IF($AB220,Fetch(AL220),$G$61:$J$64),TRANSPOSE(AM220:AP220)))</f>
        <v>2.2873640338876653</v>
      </c>
    </row>
    <row r="221" spans="23:49" x14ac:dyDescent="0.15">
      <c r="W221" s="12">
        <f t="shared" si="6"/>
        <v>218</v>
      </c>
      <c r="X221" s="62">
        <f t="array" aca="1" ref="X221:AA221" ca="1">simulate!AE221:AH221</f>
        <v>0.23402470812681658</v>
      </c>
      <c r="Y221" s="62">
        <f ca="1"/>
        <v>0.29194639529889393</v>
      </c>
      <c r="Z221" s="62">
        <f ca="1"/>
        <v>-0.20997494283826895</v>
      </c>
      <c r="AA221" s="62">
        <f ca="1"/>
        <v>0.76363665130862135</v>
      </c>
      <c r="AB221" s="98">
        <f t="shared" si="7"/>
        <v>0</v>
      </c>
      <c r="AC221" s="62">
        <f t="array" aca="1" ref="AC221:AF221" ca="1">TRANSPOSE($G$44:$G$47 + MMULT($I$44:$L$47,TRANSPOSE(AR220:AU220)))</f>
        <v>0.70451633970490457</v>
      </c>
      <c r="AD221" s="62">
        <f ca="1"/>
        <v>0.5316302330948709</v>
      </c>
      <c r="AE221" s="62">
        <f ca="1"/>
        <v>0.44128669249228636</v>
      </c>
      <c r="AF221" s="62">
        <f ca="1"/>
        <v>0.45543001524669591</v>
      </c>
      <c r="AG221" s="66" t="str">
        <f t="array" ref="AG221">IF($AB221, Push(MMULT($I$44:$L$47,MMULT(Fetch(AV220),TRANSPOSE($I$44:$L$47))) + $N$44:$Q$47), "")</f>
        <v/>
      </c>
      <c r="AH221" s="62">
        <f t="array" aca="1" ref="AH221:AK221" ca="1">TRANSPOSE($G$38:$G$41 + MMULT($I$38:$L$41,TRANSPOSE(AC221:AF221)))</f>
        <v>0.89017612972289362</v>
      </c>
      <c r="AI221" s="62">
        <f ca="1"/>
        <v>0.7387870436418239</v>
      </c>
      <c r="AJ221" s="62">
        <f ca="1"/>
        <v>0.54098420860567376</v>
      </c>
      <c r="AK221" s="62">
        <f ca="1"/>
        <v>0.48087125585054652</v>
      </c>
      <c r="AL221" s="66" t="str">
        <f t="array" ref="AL221">IF($AB221, Push(MINVERSE(MMULT($I$38:$L$41,MMULT(Fetch(AG221),TRANSPOSE($I$38:$L$41))) + $N$38:$Q$41)), "")</f>
        <v/>
      </c>
      <c r="AM221" s="62">
        <f t="array" aca="1" ref="AM221:AP221" ca="1">X221:AA221 - AH221:AK221</f>
        <v>-0.65615142159607709</v>
      </c>
      <c r="AN221" s="62">
        <f ca="1"/>
        <v>-0.44684064834292997</v>
      </c>
      <c r="AO221" s="62">
        <f ca="1"/>
        <v>-0.75095915144394265</v>
      </c>
      <c r="AP221" s="62">
        <f ca="1"/>
        <v>0.28276539545807483</v>
      </c>
      <c r="AQ221" s="66" t="str">
        <f t="array" ref="AQ221">IF($AB221, Push(MMULT(Fetch(AG221),MMULT(TRANSPOSE($I$38:$L$41),Fetch(AL221)))), "")</f>
        <v/>
      </c>
      <c r="AR221" s="62">
        <f t="array" aca="1" ref="AR221:AU221" ca="1">AC221:AF221 + TRANSPOSE(MMULT(IF($AB221,Fetch(AQ221),$L$61:$O$64),TRANSPOSE(AM221:AP221)))</f>
        <v>8.3970587292046872E-2</v>
      </c>
      <c r="AS221" s="62">
        <f ca="1"/>
        <v>0.60478111899409881</v>
      </c>
      <c r="AT221" s="62">
        <f ca="1"/>
        <v>0.31895215268104504</v>
      </c>
      <c r="AU221" s="62">
        <f ca="1"/>
        <v>0.24266456040021317</v>
      </c>
      <c r="AV221" s="66" t="str">
        <f t="array" ref="AV221">IF($AB221, Push(Fetch(AG221) - MMULT(Fetch(AQ221),MMULT($I$38:$L$41,Fetch(AG221)))), "")</f>
        <v/>
      </c>
      <c r="AW221" s="97">
        <f t="array" aca="1" ref="AW221" ca="1">IF($AB221,LN(MDETERM(Fetch(AL221))),$J$65)   -   MMULT(AM221:AP221,MMULT(IF($AB221,Fetch(AL221),$G$61:$J$64),TRANSPOSE(AM221:AP221)))</f>
        <v>-1.3719373735190032</v>
      </c>
    </row>
    <row r="222" spans="23:49" x14ac:dyDescent="0.15">
      <c r="W222" s="12">
        <f t="shared" si="6"/>
        <v>219</v>
      </c>
      <c r="X222" s="62">
        <f t="array" aca="1" ref="X222:AA222" ca="1">simulate!AE222:AH222</f>
        <v>0.20579165647905029</v>
      </c>
      <c r="Y222" s="62">
        <f ca="1"/>
        <v>-0.64379244019336901</v>
      </c>
      <c r="Z222" s="62">
        <f ca="1"/>
        <v>1.0153934519298506</v>
      </c>
      <c r="AA222" s="62">
        <f ca="1"/>
        <v>1.4307654118389523E-3</v>
      </c>
      <c r="AB222" s="98">
        <f t="shared" si="7"/>
        <v>0</v>
      </c>
      <c r="AC222" s="62">
        <f t="array" aca="1" ref="AC222:AF222" ca="1">TRANSPOSE($G$44:$G$47 + MMULT($I$44:$L$47,TRANSPOSE(AR221:AU221)))</f>
        <v>0.4432247235971471</v>
      </c>
      <c r="AD222" s="62">
        <f ca="1"/>
        <v>0.45659632076035706</v>
      </c>
      <c r="AE222" s="62">
        <f ca="1"/>
        <v>0.41456569009572708</v>
      </c>
      <c r="AF222" s="62">
        <f ca="1"/>
        <v>0.4266571735464304</v>
      </c>
      <c r="AG222" s="66" t="str">
        <f t="array" ref="AG222">IF($AB222, Push(MMULT($I$44:$L$47,MMULT(Fetch(AV221),TRANSPOSE($I$44:$L$47))) + $N$44:$Q$47), "")</f>
        <v/>
      </c>
      <c r="AH222" s="62">
        <f t="array" aca="1" ref="AH222:AK222" ca="1">TRANSPOSE($G$38:$G$41 + MMULT($I$38:$L$41,TRANSPOSE(AC222:AF222)))</f>
        <v>0.69842077502684485</v>
      </c>
      <c r="AI222" s="62">
        <f ca="1"/>
        <v>0.57791295239989948</v>
      </c>
      <c r="AJ222" s="62">
        <f ca="1"/>
        <v>0.44692307521926161</v>
      </c>
      <c r="AK222" s="62">
        <f ca="1"/>
        <v>0.54369799327621582</v>
      </c>
      <c r="AL222" s="66" t="str">
        <f t="array" ref="AL222">IF($AB222, Push(MINVERSE(MMULT($I$38:$L$41,MMULT(Fetch(AG222),TRANSPOSE($I$38:$L$41))) + $N$38:$Q$41)), "")</f>
        <v/>
      </c>
      <c r="AM222" s="62">
        <f t="array" aca="1" ref="AM222:AP222" ca="1">X222:AA222 - AH222:AK222</f>
        <v>-0.49262911854779456</v>
      </c>
      <c r="AN222" s="62">
        <f ca="1"/>
        <v>-1.2217053925932686</v>
      </c>
      <c r="AO222" s="62">
        <f ca="1"/>
        <v>0.56847037671058898</v>
      </c>
      <c r="AP222" s="62">
        <f ca="1"/>
        <v>-0.54226722786437687</v>
      </c>
      <c r="AQ222" s="66" t="str">
        <f t="array" ref="AQ222">IF($AB222, Push(MMULT(Fetch(AG222),MMULT(TRANSPOSE($I$38:$L$41),Fetch(AL222)))), "")</f>
        <v/>
      </c>
      <c r="AR222" s="62">
        <f t="array" aca="1" ref="AR222:AU222" ca="1">AC222:AF222 + TRANSPOSE(MMULT(IF($AB222,Fetch(AQ222),$L$61:$O$64),TRANSPOSE(AM222:AP222)))</f>
        <v>0.29174808269826358</v>
      </c>
      <c r="AS222" s="62">
        <f ca="1"/>
        <v>-0.38121091590632716</v>
      </c>
      <c r="AT222" s="62">
        <f ca="1"/>
        <v>0.12846225155089358</v>
      </c>
      <c r="AU222" s="62">
        <f ca="1"/>
        <v>0.45861636795820737</v>
      </c>
      <c r="AV222" s="66" t="str">
        <f t="array" ref="AV222">IF($AB222, Push(Fetch(AG222) - MMULT(Fetch(AQ222),MMULT($I$38:$L$41,Fetch(AG222)))), "")</f>
        <v/>
      </c>
      <c r="AW222" s="97">
        <f t="array" aca="1" ref="AW222" ca="1">IF($AB222,LN(MDETERM(Fetch(AL222))),$J$65)   -   MMULT(AM222:AP222,MMULT(IF($AB222,Fetch(AL222),$G$61:$J$64),TRANSPOSE(AM222:AP222)))</f>
        <v>-3.598863317187746</v>
      </c>
    </row>
    <row r="223" spans="23:49" x14ac:dyDescent="0.15">
      <c r="W223" s="12">
        <f t="shared" si="6"/>
        <v>220</v>
      </c>
      <c r="X223" s="62">
        <f t="array" aca="1" ref="X223:AA223" ca="1">simulate!AE223:AH223</f>
        <v>1.3156135250520151</v>
      </c>
      <c r="Y223" s="62">
        <f ca="1"/>
        <v>-6.1996794684279821E-2</v>
      </c>
      <c r="Z223" s="62">
        <f ca="1"/>
        <v>0.44908439780762077</v>
      </c>
      <c r="AA223" s="62">
        <f ca="1"/>
        <v>0.41957919087343754</v>
      </c>
      <c r="AB223" s="98">
        <f t="shared" si="7"/>
        <v>0</v>
      </c>
      <c r="AC223" s="62">
        <f t="array" aca="1" ref="AC223:AF223" ca="1">TRANSPOSE($G$44:$G$47 + MMULT($I$44:$L$47,TRANSPOSE(AR222:AU222)))</f>
        <v>0.40633986556618246</v>
      </c>
      <c r="AD223" s="62">
        <f ca="1"/>
        <v>-5.4996982810533147E-2</v>
      </c>
      <c r="AE223" s="62">
        <f ca="1"/>
        <v>0.19835088343770968</v>
      </c>
      <c r="AF223" s="62">
        <f ca="1"/>
        <v>0.45215777250060973</v>
      </c>
      <c r="AG223" s="66" t="str">
        <f t="array" ref="AG223">IF($AB223, Push(MMULT($I$44:$L$47,MMULT(Fetch(AV222),TRANSPOSE($I$44:$L$47))) + $N$44:$Q$47), "")</f>
        <v/>
      </c>
      <c r="AH223" s="62">
        <f t="array" aca="1" ref="AH223:AK223" ca="1">TRANSPOSE($G$38:$G$41 + MMULT($I$38:$L$41,TRANSPOSE(AC223:AF223)))</f>
        <v>0.55441816507438979</v>
      </c>
      <c r="AI223" s="62">
        <f ca="1"/>
        <v>0.17877510337072366</v>
      </c>
      <c r="AJ223" s="62">
        <f ca="1"/>
        <v>0.66840026623934778</v>
      </c>
      <c r="AK223" s="62">
        <f ca="1"/>
        <v>0.25841321654808508</v>
      </c>
      <c r="AL223" s="66" t="str">
        <f t="array" ref="AL223">IF($AB223, Push(MINVERSE(MMULT($I$38:$L$41,MMULT(Fetch(AG223),TRANSPOSE($I$38:$L$41))) + $N$38:$Q$41)), "")</f>
        <v/>
      </c>
      <c r="AM223" s="62">
        <f t="array" aca="1" ref="AM223:AP223" ca="1">X223:AA223 - AH223:AK223</f>
        <v>0.76119535997762533</v>
      </c>
      <c r="AN223" s="62">
        <f ca="1"/>
        <v>-0.24077189805500349</v>
      </c>
      <c r="AO223" s="62">
        <f ca="1"/>
        <v>-0.21931586843172701</v>
      </c>
      <c r="AP223" s="62">
        <f ca="1"/>
        <v>0.16116597432535246</v>
      </c>
      <c r="AQ223" s="66" t="str">
        <f t="array" ref="AQ223">IF($AB223, Push(MMULT(Fetch(AG223),MMULT(TRANSPOSE($I$38:$L$41),Fetch(AL223)))), "")</f>
        <v/>
      </c>
      <c r="AR223" s="62">
        <f t="array" aca="1" ref="AR223:AU223" ca="1">AC223:AF223 + TRANSPOSE(MMULT(IF($AB223,Fetch(AQ223),$L$61:$O$64),TRANSPOSE(AM223:AP223)))</f>
        <v>0.62394258010346915</v>
      </c>
      <c r="AS223" s="62">
        <f ca="1"/>
        <v>-0.247135620433591</v>
      </c>
      <c r="AT223" s="62">
        <f ca="1"/>
        <v>0.57400883297624183</v>
      </c>
      <c r="AU223" s="62">
        <f ca="1"/>
        <v>0.42015663614677323</v>
      </c>
      <c r="AV223" s="66" t="str">
        <f t="array" ref="AV223">IF($AB223, Push(Fetch(AG223) - MMULT(Fetch(AQ223),MMULT($I$38:$L$41,Fetch(AG223)))), "")</f>
        <v/>
      </c>
      <c r="AW223" s="97">
        <f t="array" aca="1" ref="AW223" ca="1">IF($AB223,LN(MDETERM(Fetch(AL223))),$J$65)   -   MMULT(AM223:AP223,MMULT(IF($AB223,Fetch(AL223),$G$61:$J$64),TRANSPOSE(AM223:AP223)))</f>
        <v>1.8358681067220823</v>
      </c>
    </row>
    <row r="224" spans="23:49" x14ac:dyDescent="0.15">
      <c r="W224" s="12">
        <f t="shared" si="6"/>
        <v>221</v>
      </c>
      <c r="X224" s="62">
        <f t="array" aca="1" ref="X224:AA224" ca="1">simulate!AE224:AH224</f>
        <v>0.87682551441827039</v>
      </c>
      <c r="Y224" s="62">
        <f ca="1"/>
        <v>0.37463637816320439</v>
      </c>
      <c r="Z224" s="62">
        <f ca="1"/>
        <v>1.9277405603458488</v>
      </c>
      <c r="AA224" s="62">
        <f ca="1"/>
        <v>0.32168135774392403</v>
      </c>
      <c r="AB224" s="98">
        <f t="shared" si="7"/>
        <v>0</v>
      </c>
      <c r="AC224" s="62">
        <f t="array" aca="1" ref="AC224:AF224" ca="1">TRANSPOSE($G$44:$G$47 + MMULT($I$44:$L$47,TRANSPOSE(AR223:AU223)))</f>
        <v>0.63545911767428653</v>
      </c>
      <c r="AD224" s="62">
        <f ca="1"/>
        <v>0.134547970590744</v>
      </c>
      <c r="AE224" s="62">
        <f ca="1"/>
        <v>0.47870287722800625</v>
      </c>
      <c r="AF224" s="62">
        <f ca="1"/>
        <v>0.52923322494529668</v>
      </c>
      <c r="AG224" s="66" t="str">
        <f t="array" ref="AG224">IF($AB224, Push(MMULT($I$44:$L$47,MMULT(Fetch(AV223),TRANSPOSE($I$44:$L$47))) + $N$44:$Q$47), "")</f>
        <v/>
      </c>
      <c r="AH224" s="62">
        <f t="array" aca="1" ref="AH224:AK224" ca="1">TRANSPOSE($G$38:$G$41 + MMULT($I$38:$L$41,TRANSPOSE(AC224:AF224)))</f>
        <v>0.86464935222035444</v>
      </c>
      <c r="AI224" s="62">
        <f ca="1"/>
        <v>0.37219891054828269</v>
      </c>
      <c r="AJ224" s="62">
        <f ca="1"/>
        <v>0.7232773763890088</v>
      </c>
      <c r="AK224" s="62">
        <f ca="1"/>
        <v>0.44892077796962487</v>
      </c>
      <c r="AL224" s="66" t="str">
        <f t="array" ref="AL224">IF($AB224, Push(MINVERSE(MMULT($I$38:$L$41,MMULT(Fetch(AG224),TRANSPOSE($I$38:$L$41))) + $N$38:$Q$41)), "")</f>
        <v/>
      </c>
      <c r="AM224" s="62">
        <f t="array" aca="1" ref="AM224:AP224" ca="1">X224:AA224 - AH224:AK224</f>
        <v>1.2176162197915952E-2</v>
      </c>
      <c r="AN224" s="62">
        <f ca="1"/>
        <v>2.4374676149216956E-3</v>
      </c>
      <c r="AO224" s="62">
        <f ca="1"/>
        <v>1.20446318395684</v>
      </c>
      <c r="AP224" s="62">
        <f ca="1"/>
        <v>-0.12723942022570084</v>
      </c>
      <c r="AQ224" s="66" t="str">
        <f t="array" ref="AQ224">IF($AB224, Push(MMULT(Fetch(AG224),MMULT(TRANSPOSE($I$38:$L$41),Fetch(AL224)))), "")</f>
        <v/>
      </c>
      <c r="AR224" s="62">
        <f t="array" aca="1" ref="AR224:AU224" ca="1">AC224:AF224 + TRANSPOSE(MMULT(IF($AB224,Fetch(AQ224),$L$61:$O$64),TRANSPOSE(AM224:AP224)))</f>
        <v>0.97205475894612481</v>
      </c>
      <c r="AS224" s="62">
        <f ca="1"/>
        <v>-0.14399717587186797</v>
      </c>
      <c r="AT224" s="62">
        <f ca="1"/>
        <v>0.60234063808375027</v>
      </c>
      <c r="AU224" s="62">
        <f ca="1"/>
        <v>0.97560176112612906</v>
      </c>
      <c r="AV224" s="66" t="str">
        <f t="array" ref="AV224">IF($AB224, Push(Fetch(AG224) - MMULT(Fetch(AQ224),MMULT($I$38:$L$41,Fetch(AG224)))), "")</f>
        <v/>
      </c>
      <c r="AW224" s="97">
        <f t="array" aca="1" ref="AW224" ca="1">IF($AB224,LN(MDETERM(Fetch(AL224))),$J$65)   -   MMULT(AM224:AP224,MMULT(IF($AB224,Fetch(AL224),$G$61:$J$64),TRANSPOSE(AM224:AP224)))</f>
        <v>-0.74065386088364527</v>
      </c>
    </row>
    <row r="225" spans="23:49" x14ac:dyDescent="0.15">
      <c r="W225" s="12">
        <f t="shared" si="6"/>
        <v>222</v>
      </c>
      <c r="X225" s="62">
        <f t="array" aca="1" ref="X225:AA225" ca="1">simulate!AE225:AH225</f>
        <v>0.77716472429069405</v>
      </c>
      <c r="Y225" s="62">
        <f ca="1"/>
        <v>0.81483815422193007</v>
      </c>
      <c r="Z225" s="62">
        <f ca="1"/>
        <v>0.75684848363506263</v>
      </c>
      <c r="AA225" s="62">
        <f ca="1"/>
        <v>0.96631876145063089</v>
      </c>
      <c r="AB225" s="98">
        <f t="shared" si="7"/>
        <v>0</v>
      </c>
      <c r="AC225" s="62">
        <f t="array" aca="1" ref="AC225:AF225" ca="1">TRANSPOSE($G$44:$G$47 + MMULT($I$44:$L$47,TRANSPOSE(AR224:AU224)))</f>
        <v>0.86743831738459742</v>
      </c>
      <c r="AD225" s="62">
        <f ca="1"/>
        <v>0.29050129391288865</v>
      </c>
      <c r="AE225" s="62">
        <f ca="1"/>
        <v>0.61773059393035512</v>
      </c>
      <c r="AF225" s="62">
        <f ca="1"/>
        <v>0.85788556853303133</v>
      </c>
      <c r="AG225" s="66" t="str">
        <f t="array" ref="AG225">IF($AB225, Push(MMULT($I$44:$L$47,MMULT(Fetch(AV224),TRANSPOSE($I$44:$L$47))) + $N$44:$Q$47), "")</f>
        <v/>
      </c>
      <c r="AH225" s="62">
        <f t="array" aca="1" ref="AH225:AK225" ca="1">TRANSPOSE($G$38:$G$41 + MMULT($I$38:$L$41,TRANSPOSE(AC225:AF225)))</f>
        <v>1.0172700042113634</v>
      </c>
      <c r="AI225" s="62">
        <f ca="1"/>
        <v>0.62297391758659593</v>
      </c>
      <c r="AJ225" s="62">
        <f ca="1"/>
        <v>1.0152899112102958</v>
      </c>
      <c r="AK225" s="62">
        <f ca="1"/>
        <v>0.63337773514028251</v>
      </c>
      <c r="AL225" s="66" t="str">
        <f t="array" ref="AL225">IF($AB225, Push(MINVERSE(MMULT($I$38:$L$41,MMULT(Fetch(AG225),TRANSPOSE($I$38:$L$41))) + $N$38:$Q$41)), "")</f>
        <v/>
      </c>
      <c r="AM225" s="62">
        <f t="array" aca="1" ref="AM225:AP225" ca="1">X225:AA225 - AH225:AK225</f>
        <v>-0.24010527992066932</v>
      </c>
      <c r="AN225" s="62">
        <f ca="1"/>
        <v>0.19186423663533414</v>
      </c>
      <c r="AO225" s="62">
        <f ca="1"/>
        <v>-0.25844142757523314</v>
      </c>
      <c r="AP225" s="62">
        <f ca="1"/>
        <v>0.33294102631034839</v>
      </c>
      <c r="AQ225" s="66" t="str">
        <f t="array" ref="AQ225">IF($AB225, Push(MMULT(Fetch(AG225),MMULT(TRANSPOSE($I$38:$L$41),Fetch(AL225)))), "")</f>
        <v/>
      </c>
      <c r="AR225" s="62">
        <f t="array" aca="1" ref="AR225:AU225" ca="1">AC225:AF225 + TRANSPOSE(MMULT(IF($AB225,Fetch(AQ225),$L$61:$O$64),TRANSPOSE(AM225:AP225)))</f>
        <v>0.64867722312147036</v>
      </c>
      <c r="AS225" s="62">
        <f ca="1"/>
        <v>0.56210634506217216</v>
      </c>
      <c r="AT225" s="62">
        <f ca="1"/>
        <v>0.68211727431098912</v>
      </c>
      <c r="AU225" s="62">
        <f ca="1"/>
        <v>0.86928582713722213</v>
      </c>
      <c r="AV225" s="66" t="str">
        <f t="array" ref="AV225">IF($AB225, Push(Fetch(AG225) - MMULT(Fetch(AQ225),MMULT($I$38:$L$41,Fetch(AG225)))), "")</f>
        <v/>
      </c>
      <c r="AW225" s="97">
        <f t="array" aca="1" ref="AW225" ca="1">IF($AB225,LN(MDETERM(Fetch(AL225))),$J$65)   -   MMULT(AM225:AP225,MMULT(IF($AB225,Fetch(AL225),$G$61:$J$64),TRANSPOSE(AM225:AP225)))</f>
        <v>4.1077747451847983</v>
      </c>
    </row>
    <row r="226" spans="23:49" x14ac:dyDescent="0.15">
      <c r="W226" s="12">
        <f t="shared" si="6"/>
        <v>223</v>
      </c>
      <c r="X226" s="62">
        <f t="array" aca="1" ref="X226:AA226" ca="1">simulate!AE226:AH226</f>
        <v>2.1414666023260094</v>
      </c>
      <c r="Y226" s="62">
        <f ca="1"/>
        <v>0.47958335115409256</v>
      </c>
      <c r="Z226" s="62">
        <f ca="1"/>
        <v>0.60214754876790533</v>
      </c>
      <c r="AA226" s="62">
        <f ca="1"/>
        <v>1.9944988031197761</v>
      </c>
      <c r="AB226" s="98">
        <f t="shared" si="7"/>
        <v>0</v>
      </c>
      <c r="AC226" s="62">
        <f t="array" aca="1" ref="AC226:AF226" ca="1">TRANSPOSE($G$44:$G$47 + MMULT($I$44:$L$47,TRANSPOSE(AR225:AU225)))</f>
        <v>0.79785711471785059</v>
      </c>
      <c r="AD226" s="62">
        <f ca="1"/>
        <v>0.62358478414971885</v>
      </c>
      <c r="AE226" s="62">
        <f ca="1"/>
        <v>0.73670566557561634</v>
      </c>
      <c r="AF226" s="62">
        <f ca="1"/>
        <v>0.84814244767350511</v>
      </c>
      <c r="AG226" s="66" t="str">
        <f t="array" ref="AG226">IF($AB226, Push(MMULT($I$44:$L$47,MMULT(Fetch(AV225),TRANSPOSE($I$44:$L$47))) + $N$44:$Q$47), "")</f>
        <v/>
      </c>
      <c r="AH226" s="62">
        <f t="array" aca="1" ref="AH226:AK226" ca="1">TRANSPOSE($G$38:$G$41 + MMULT($I$38:$L$41,TRANSPOSE(AC226:AF226)))</f>
        <v>1.0282545256945608</v>
      </c>
      <c r="AI226" s="62">
        <f ca="1"/>
        <v>0.85513173241320972</v>
      </c>
      <c r="AJ226" s="62">
        <f ca="1"/>
        <v>0.84266498482194541</v>
      </c>
      <c r="AK226" s="62">
        <f ca="1"/>
        <v>0.84836349141755263</v>
      </c>
      <c r="AL226" s="66" t="str">
        <f t="array" ref="AL226">IF($AB226, Push(MINVERSE(MMULT($I$38:$L$41,MMULT(Fetch(AG226),TRANSPOSE($I$38:$L$41))) + $N$38:$Q$41)), "")</f>
        <v/>
      </c>
      <c r="AM226" s="62">
        <f t="array" aca="1" ref="AM226:AP226" ca="1">X226:AA226 - AH226:AK226</f>
        <v>1.1132120766314486</v>
      </c>
      <c r="AN226" s="62">
        <f ca="1"/>
        <v>-0.37554838125911716</v>
      </c>
      <c r="AO226" s="62">
        <f ca="1"/>
        <v>-0.24051743605404008</v>
      </c>
      <c r="AP226" s="62">
        <f ca="1"/>
        <v>1.1461353117022235</v>
      </c>
      <c r="AQ226" s="66" t="str">
        <f t="array" ref="AQ226">IF($AB226, Push(MMULT(Fetch(AG226),MMULT(TRANSPOSE($I$38:$L$41),Fetch(AL226)))), "")</f>
        <v/>
      </c>
      <c r="AR226" s="62">
        <f t="array" aca="1" ref="AR226:AU226" ca="1">AC226:AF226 + TRANSPOSE(MMULT(IF($AB226,Fetch(AQ226),$L$61:$O$64),TRANSPOSE(AM226:AP226)))</f>
        <v>0.92825634758184705</v>
      </c>
      <c r="AS226" s="62">
        <f ca="1"/>
        <v>0.49312530578701763</v>
      </c>
      <c r="AT226" s="62">
        <f ca="1"/>
        <v>1.9022731635791972</v>
      </c>
      <c r="AU226" s="62">
        <f ca="1"/>
        <v>1.1516918921940484</v>
      </c>
      <c r="AV226" s="66" t="str">
        <f t="array" ref="AV226">IF($AB226, Push(Fetch(AG226) - MMULT(Fetch(AQ226),MMULT($I$38:$L$41,Fetch(AG226)))), "")</f>
        <v/>
      </c>
      <c r="AW226" s="97">
        <f t="array" aca="1" ref="AW226" ca="1">IF($AB226,LN(MDETERM(Fetch(AL226))),$J$65)   -   MMULT(AM226:AP226,MMULT(IF($AB226,Fetch(AL226),$G$61:$J$64),TRANSPOSE(AM226:AP226)))</f>
        <v>-6.0421520053976057</v>
      </c>
    </row>
    <row r="227" spans="23:49" x14ac:dyDescent="0.15">
      <c r="W227" s="12">
        <f t="shared" si="6"/>
        <v>224</v>
      </c>
      <c r="X227" s="62">
        <f t="array" aca="1" ref="X227:AA227" ca="1">simulate!AE227:AH227</f>
        <v>1.3882404121867202</v>
      </c>
      <c r="Y227" s="62">
        <f ca="1"/>
        <v>1.2851278421283583</v>
      </c>
      <c r="Z227" s="62">
        <f ca="1"/>
        <v>0.97160650206329091</v>
      </c>
      <c r="AA227" s="62">
        <f ca="1"/>
        <v>1.0252739945640044</v>
      </c>
      <c r="AB227" s="98">
        <f t="shared" si="7"/>
        <v>0</v>
      </c>
      <c r="AC227" s="62">
        <f t="array" aca="1" ref="AC227:AF227" ca="1">TRANSPOSE($G$44:$G$47 + MMULT($I$44:$L$47,TRANSPOSE(AR226:AU226)))</f>
        <v>1.0390685005260103</v>
      </c>
      <c r="AD227" s="62">
        <f ca="1"/>
        <v>0.8323973013490602</v>
      </c>
      <c r="AE227" s="62">
        <f ca="1"/>
        <v>1.4461763887014991</v>
      </c>
      <c r="AF227" s="62">
        <f ca="1"/>
        <v>1.2072919800053898</v>
      </c>
      <c r="AG227" s="66" t="str">
        <f t="array" ref="AG227">IF($AB227, Push(MMULT($I$44:$L$47,MMULT(Fetch(AV226),TRANSPOSE($I$44:$L$47))) + $N$44:$Q$47), "")</f>
        <v/>
      </c>
      <c r="AH227" s="62">
        <f t="array" aca="1" ref="AH227:AK227" ca="1">TRANSPOSE($G$38:$G$41 + MMULT($I$38:$L$41,TRANSPOSE(AC227:AF227)))</f>
        <v>1.538798398764238</v>
      </c>
      <c r="AI227" s="62">
        <f ca="1"/>
        <v>1.0155949599585345</v>
      </c>
      <c r="AJ227" s="62">
        <f ca="1"/>
        <v>1.0905762993373171</v>
      </c>
      <c r="AK227" s="62">
        <f ca="1"/>
        <v>1.4698610215346077</v>
      </c>
      <c r="AL227" s="66" t="str">
        <f t="array" ref="AL227">IF($AB227, Push(MINVERSE(MMULT($I$38:$L$41,MMULT(Fetch(AG227),TRANSPOSE($I$38:$L$41))) + $N$38:$Q$41)), "")</f>
        <v/>
      </c>
      <c r="AM227" s="62">
        <f t="array" aca="1" ref="AM227:AP227" ca="1">X227:AA227 - AH227:AK227</f>
        <v>-0.15055798657751773</v>
      </c>
      <c r="AN227" s="62">
        <f ca="1"/>
        <v>0.26953288216982374</v>
      </c>
      <c r="AO227" s="62">
        <f ca="1"/>
        <v>-0.11896979727402623</v>
      </c>
      <c r="AP227" s="62">
        <f ca="1"/>
        <v>-0.44458702697060337</v>
      </c>
      <c r="AQ227" s="66" t="str">
        <f t="array" ref="AQ227">IF($AB227, Push(MMULT(Fetch(AG227),MMULT(TRANSPOSE($I$38:$L$41),Fetch(AL227)))), "")</f>
        <v/>
      </c>
      <c r="AR227" s="62">
        <f t="array" aca="1" ref="AR227:AU227" ca="1">AC227:AF227 + TRANSPOSE(MMULT(IF($AB227,Fetch(AQ227),$L$61:$O$64),TRANSPOSE(AM227:AP227)))</f>
        <v>1.0826912646861344</v>
      </c>
      <c r="AS227" s="62">
        <f ca="1"/>
        <v>0.9491041577278535</v>
      </c>
      <c r="AT227" s="62">
        <f ca="1"/>
        <v>1.0446734360313903</v>
      </c>
      <c r="AU227" s="62">
        <f ca="1"/>
        <v>1.0049549006922029</v>
      </c>
      <c r="AV227" s="66" t="str">
        <f t="array" ref="AV227">IF($AB227, Push(Fetch(AG227) - MMULT(Fetch(AQ227),MMULT($I$38:$L$41,Fetch(AG227)))), "")</f>
        <v/>
      </c>
      <c r="AW227" s="97">
        <f t="array" aca="1" ref="AW227" ca="1">IF($AB227,LN(MDETERM(Fetch(AL227))),$J$65)   -   MMULT(AM227:AP227,MMULT(IF($AB227,Fetch(AL227),$G$61:$J$64),TRANSPOSE(AM227:AP227)))</f>
        <v>5.5718755168164531</v>
      </c>
    </row>
    <row r="228" spans="23:49" x14ac:dyDescent="0.15">
      <c r="W228" s="12">
        <f t="shared" si="6"/>
        <v>225</v>
      </c>
      <c r="X228" s="62">
        <f t="array" aca="1" ref="X228:AA228" ca="1">simulate!AE228:AH228</f>
        <v>0.91485949957364521</v>
      </c>
      <c r="Y228" s="62">
        <f ca="1"/>
        <v>0.7351447700514937</v>
      </c>
      <c r="Z228" s="62">
        <f ca="1"/>
        <v>1.0608467617157276</v>
      </c>
      <c r="AA228" s="62">
        <f ca="1"/>
        <v>0.42009751192052752</v>
      </c>
      <c r="AB228" s="98">
        <f t="shared" si="7"/>
        <v>0</v>
      </c>
      <c r="AC228" s="62">
        <f t="array" aca="1" ref="AC228:AF228" ca="1">TRANSPOSE($G$44:$G$47 + MMULT($I$44:$L$47,TRANSPOSE(AR227:AU227)))</f>
        <v>1.1218571494401388</v>
      </c>
      <c r="AD228" s="62">
        <f ca="1"/>
        <v>0.96637146120763706</v>
      </c>
      <c r="AE228" s="62">
        <f ca="1"/>
        <v>1.0463184711340956</v>
      </c>
      <c r="AF228" s="62">
        <f ca="1"/>
        <v>1.028683121411575</v>
      </c>
      <c r="AG228" s="66" t="str">
        <f t="array" ref="AG228">IF($AB228, Push(MMULT($I$44:$L$47,MMULT(Fetch(AV227),TRANSPOSE($I$44:$L$47))) + $N$44:$Q$47), "")</f>
        <v/>
      </c>
      <c r="AH228" s="62">
        <f t="array" aca="1" ref="AH228:AK228" ca="1">TRANSPOSE($G$38:$G$41 + MMULT($I$38:$L$41,TRANSPOSE(AC228:AF228)))</f>
        <v>1.3874111342772193</v>
      </c>
      <c r="AI228" s="62">
        <f ca="1"/>
        <v>1.2300377766402821</v>
      </c>
      <c r="AJ228" s="62">
        <f ca="1"/>
        <v>0.95971045718336989</v>
      </c>
      <c r="AK228" s="62">
        <f ca="1"/>
        <v>1.1085290130016832</v>
      </c>
      <c r="AL228" s="66" t="str">
        <f t="array" ref="AL228">IF($AB228, Push(MINVERSE(MMULT($I$38:$L$41,MMULT(Fetch(AG228),TRANSPOSE($I$38:$L$41))) + $N$38:$Q$41)), "")</f>
        <v/>
      </c>
      <c r="AM228" s="62">
        <f t="array" aca="1" ref="AM228:AP228" ca="1">X228:AA228 - AH228:AK228</f>
        <v>-0.47255163470357409</v>
      </c>
      <c r="AN228" s="62">
        <f ca="1"/>
        <v>-0.49489300658878843</v>
      </c>
      <c r="AO228" s="62">
        <f ca="1"/>
        <v>0.10113630453235767</v>
      </c>
      <c r="AP228" s="62">
        <f ca="1"/>
        <v>-0.68843150108115569</v>
      </c>
      <c r="AQ228" s="66" t="str">
        <f t="array" ref="AQ228">IF($AB228, Push(MMULT(Fetch(AG228),MMULT(TRANSPOSE($I$38:$L$41),Fetch(AL228)))), "")</f>
        <v/>
      </c>
      <c r="AR228" s="62">
        <f t="array" aca="1" ref="AR228:AU228" ca="1">AC228:AF228 + TRANSPOSE(MMULT(IF($AB228,Fetch(AQ228),$L$61:$O$64),TRANSPOSE(AM228:AP228)))</f>
        <v>1.0090111826609405</v>
      </c>
      <c r="AS228" s="62">
        <f ca="1"/>
        <v>0.60863604178011665</v>
      </c>
      <c r="AT228" s="62">
        <f ca="1"/>
        <v>0.50079324986009366</v>
      </c>
      <c r="AU228" s="62">
        <f ca="1"/>
        <v>0.82437384605319974</v>
      </c>
      <c r="AV228" s="66" t="str">
        <f t="array" ref="AV228">IF($AB228, Push(Fetch(AG228) - MMULT(Fetch(AQ228),MMULT($I$38:$L$41,Fetch(AG228)))), "")</f>
        <v/>
      </c>
      <c r="AW228" s="97">
        <f t="array" aca="1" ref="AW228" ca="1">IF($AB228,LN(MDETERM(Fetch(AL228))),$J$65)   -   MMULT(AM228:AP228,MMULT(IF($AB228,Fetch(AL228),$G$61:$J$64),TRANSPOSE(AM228:AP228)))</f>
        <v>1.9105566740931739</v>
      </c>
    </row>
    <row r="229" spans="23:49" x14ac:dyDescent="0.15">
      <c r="W229" s="12">
        <f t="shared" si="6"/>
        <v>226</v>
      </c>
      <c r="X229" s="62">
        <f t="array" aca="1" ref="X229:AA229" ca="1">simulate!AE229:AH229</f>
        <v>0.48423635737363802</v>
      </c>
      <c r="Y229" s="62">
        <f ca="1"/>
        <v>0.12484398401249128</v>
      </c>
      <c r="Z229" s="62">
        <f ca="1"/>
        <v>1.2409119017090156</v>
      </c>
      <c r="AA229" s="62">
        <f ca="1"/>
        <v>0.22822136513456856</v>
      </c>
      <c r="AB229" s="98">
        <f t="shared" si="7"/>
        <v>0</v>
      </c>
      <c r="AC229" s="62">
        <f t="array" aca="1" ref="AC229:AF229" ca="1">TRANSPOSE($G$44:$G$47 + MMULT($I$44:$L$47,TRANSPOSE(AR228:AU228)))</f>
        <v>0.98428479360395826</v>
      </c>
      <c r="AD229" s="62">
        <f ca="1"/>
        <v>0.67718664305829024</v>
      </c>
      <c r="AE229" s="62">
        <f ca="1"/>
        <v>0.66533499434045307</v>
      </c>
      <c r="AF229" s="62">
        <f ca="1"/>
        <v>0.81507513383131736</v>
      </c>
      <c r="AG229" s="66" t="str">
        <f t="array" ref="AG229">IF($AB229, Push(MMULT($I$44:$L$47,MMULT(Fetch(AV228),TRANSPOSE($I$44:$L$47))) + $N$44:$Q$47), "")</f>
        <v/>
      </c>
      <c r="AH229" s="62">
        <f t="array" aca="1" ref="AH229:AK229" ca="1">TRANSPOSE($G$38:$G$41 + MMULT($I$38:$L$41,TRANSPOSE(AC229:AF229)))</f>
        <v>1.1227938284783461</v>
      </c>
      <c r="AI229" s="62">
        <f ca="1"/>
        <v>0.98254778801362841</v>
      </c>
      <c r="AJ229" s="62">
        <f ca="1"/>
        <v>0.87339853869256667</v>
      </c>
      <c r="AK229" s="62">
        <f ca="1"/>
        <v>0.71532749492983538</v>
      </c>
      <c r="AL229" s="66" t="str">
        <f t="array" ref="AL229">IF($AB229, Push(MINVERSE(MMULT($I$38:$L$41,MMULT(Fetch(AG229),TRANSPOSE($I$38:$L$41))) + $N$38:$Q$41)), "")</f>
        <v/>
      </c>
      <c r="AM229" s="62">
        <f t="array" aca="1" ref="AM229:AP229" ca="1">X229:AA229 - AH229:AK229</f>
        <v>-0.63855747110470806</v>
      </c>
      <c r="AN229" s="62">
        <f ca="1"/>
        <v>-0.8577038040011371</v>
      </c>
      <c r="AO229" s="62">
        <f ca="1"/>
        <v>0.36751336301644888</v>
      </c>
      <c r="AP229" s="62">
        <f ca="1"/>
        <v>-0.4871061297952668</v>
      </c>
      <c r="AQ229" s="66" t="str">
        <f t="array" ref="AQ229">IF($AB229, Push(MMULT(Fetch(AG229),MMULT(TRANSPOSE($I$38:$L$41),Fetch(AL229)))), "")</f>
        <v/>
      </c>
      <c r="AR229" s="62">
        <f t="array" aca="1" ref="AR229:AU229" ca="1">AC229:AF229 + TRANSPOSE(MMULT(IF($AB229,Fetch(AQ229),$L$61:$O$64),TRANSPOSE(AM229:AP229)))</f>
        <v>0.76064629806133199</v>
      </c>
      <c r="AS229" s="62">
        <f ca="1"/>
        <v>0.12555726104067821</v>
      </c>
      <c r="AT229" s="62">
        <f ca="1"/>
        <v>0.28284651943944267</v>
      </c>
      <c r="AU229" s="62">
        <f ca="1"/>
        <v>0.78643141963103669</v>
      </c>
      <c r="AV229" s="66" t="str">
        <f t="array" ref="AV229">IF($AB229, Push(Fetch(AG229) - MMULT(Fetch(AQ229),MMULT($I$38:$L$41,Fetch(AG229)))), "")</f>
        <v/>
      </c>
      <c r="AW229" s="97">
        <f t="array" aca="1" ref="AW229" ca="1">IF($AB229,LN(MDETERM(Fetch(AL229))),$J$65)   -   MMULT(AM229:AP229,MMULT(IF($AB229,Fetch(AL229),$G$61:$J$64),TRANSPOSE(AM229:AP229)))</f>
        <v>1.2825707684642467</v>
      </c>
    </row>
    <row r="230" spans="23:49" x14ac:dyDescent="0.15">
      <c r="W230" s="12">
        <f t="shared" si="6"/>
        <v>227</v>
      </c>
      <c r="X230" s="62">
        <f t="array" aca="1" ref="X230:AA230" ca="1">simulate!AE230:AH230</f>
        <v>0.43706921466615689</v>
      </c>
      <c r="Y230" s="62">
        <f ca="1"/>
        <v>0.70410533417124166</v>
      </c>
      <c r="Z230" s="62">
        <f ca="1"/>
        <v>0.75927411394577149</v>
      </c>
      <c r="AA230" s="62">
        <f ca="1"/>
        <v>-2.7396590439058642E-2</v>
      </c>
      <c r="AB230" s="98">
        <f t="shared" si="7"/>
        <v>0</v>
      </c>
      <c r="AC230" s="62">
        <f t="array" aca="1" ref="AC230:AF230" ca="1">TRANSPOSE($G$44:$G$47 + MMULT($I$44:$L$47,TRANSPOSE(AR229:AU229)))</f>
        <v>0.76132018181128958</v>
      </c>
      <c r="AD230" s="62">
        <f ca="1"/>
        <v>0.34100846611986901</v>
      </c>
      <c r="AE230" s="62">
        <f ca="1"/>
        <v>0.44590028591837322</v>
      </c>
      <c r="AF230" s="62">
        <f ca="1"/>
        <v>0.71287498602236332</v>
      </c>
      <c r="AG230" s="66" t="str">
        <f t="array" ref="AG230">IF($AB230, Push(MMULT($I$44:$L$47,MMULT(Fetch(AV229),TRANSPOSE($I$44:$L$47))) + $N$44:$Q$47), "")</f>
        <v/>
      </c>
      <c r="AH230" s="62">
        <f t="array" aca="1" ref="AH230:AK230" ca="1">TRANSPOSE($G$38:$G$41 + MMULT($I$38:$L$41,TRANSPOSE(AC230:AF230)))</f>
        <v>0.8706365968639298</v>
      </c>
      <c r="AI230" s="62">
        <f ca="1"/>
        <v>0.64313183335529578</v>
      </c>
      <c r="AJ230" s="62">
        <f ca="1"/>
        <v>0.8499469406715281</v>
      </c>
      <c r="AK230" s="62">
        <f ca="1"/>
        <v>0.51041529653224083</v>
      </c>
      <c r="AL230" s="66" t="str">
        <f t="array" ref="AL230">IF($AB230, Push(MINVERSE(MMULT($I$38:$L$41,MMULT(Fetch(AG230),TRANSPOSE($I$38:$L$41))) + $N$38:$Q$41)), "")</f>
        <v/>
      </c>
      <c r="AM230" s="62">
        <f t="array" aca="1" ref="AM230:AP230" ca="1">X230:AA230 - AH230:AK230</f>
        <v>-0.43356738219777291</v>
      </c>
      <c r="AN230" s="62">
        <f ca="1"/>
        <v>6.097350081594588E-2</v>
      </c>
      <c r="AO230" s="62">
        <f ca="1"/>
        <v>-9.0672826725756606E-2</v>
      </c>
      <c r="AP230" s="62">
        <f ca="1"/>
        <v>-0.53781188697129945</v>
      </c>
      <c r="AQ230" s="66" t="str">
        <f t="array" ref="AQ230">IF($AB230, Push(MMULT(Fetch(AG230),MMULT(TRANSPOSE($I$38:$L$41),Fetch(AL230)))), "")</f>
        <v/>
      </c>
      <c r="AR230" s="62">
        <f t="array" aca="1" ref="AR230:AU230" ca="1">AC230:AF230 + TRANSPOSE(MMULT(IF($AB230,Fetch(AQ230),$L$61:$O$64),TRANSPOSE(AM230:AP230)))</f>
        <v>0.67143693557216311</v>
      </c>
      <c r="AS230" s="62">
        <f ca="1"/>
        <v>0.36367289489646204</v>
      </c>
      <c r="AT230" s="62">
        <f ca="1"/>
        <v>-8.8656071607031206E-2</v>
      </c>
      <c r="AU230" s="62">
        <f ca="1"/>
        <v>0.48703090542376337</v>
      </c>
      <c r="AV230" s="66" t="str">
        <f t="array" ref="AV230">IF($AB230, Push(Fetch(AG230) - MMULT(Fetch(AQ230),MMULT($I$38:$L$41,Fetch(AG230)))), "")</f>
        <v/>
      </c>
      <c r="AW230" s="97">
        <f t="array" aca="1" ref="AW230" ca="1">IF($AB230,LN(MDETERM(Fetch(AL230))),$J$65)   -   MMULT(AM230:AP230,MMULT(IF($AB230,Fetch(AL230),$G$61:$J$64),TRANSPOSE(AM230:AP230)))</f>
        <v>5.0835361233149463</v>
      </c>
    </row>
    <row r="231" spans="23:49" x14ac:dyDescent="0.15">
      <c r="W231" s="12">
        <f t="shared" si="6"/>
        <v>228</v>
      </c>
      <c r="X231" s="62">
        <f t="array" aca="1" ref="X231:AA231" ca="1">simulate!AE231:AH231</f>
        <v>0.81840344536056731</v>
      </c>
      <c r="Y231" s="62">
        <f ca="1"/>
        <v>0.98889034897604911</v>
      </c>
      <c r="Z231" s="62">
        <f ca="1"/>
        <v>-0.27078163705358343</v>
      </c>
      <c r="AA231" s="62">
        <f ca="1"/>
        <v>-0.19007760686403641</v>
      </c>
      <c r="AB231" s="98">
        <f t="shared" si="7"/>
        <v>0</v>
      </c>
      <c r="AC231" s="62">
        <f t="array" aca="1" ref="AC231:AF231" ca="1">TRANSPOSE($G$44:$G$47 + MMULT($I$44:$L$47,TRANSPOSE(AR230:AU230)))</f>
        <v>0.70754669443410378</v>
      </c>
      <c r="AD231" s="62">
        <f ca="1"/>
        <v>0.37883315806060452</v>
      </c>
      <c r="AE231" s="62">
        <f ca="1"/>
        <v>0.23326260144628752</v>
      </c>
      <c r="AF231" s="62">
        <f ca="1"/>
        <v>0.50352221607553038</v>
      </c>
      <c r="AG231" s="66" t="str">
        <f t="array" ref="AG231">IF($AB231, Push(MMULT($I$44:$L$47,MMULT(Fetch(AV230),TRANSPOSE($I$44:$L$47))) + $N$44:$Q$47), "")</f>
        <v/>
      </c>
      <c r="AH231" s="62">
        <f t="array" aca="1" ref="AH231:AK231" ca="1">TRANSPOSE($G$38:$G$41 + MMULT($I$38:$L$41,TRANSPOSE(AC231:AF231)))</f>
        <v>0.75447143434880481</v>
      </c>
      <c r="AI231" s="62">
        <f ca="1"/>
        <v>0.66938750864647756</v>
      </c>
      <c r="AJ231" s="62">
        <f ca="1"/>
        <v>0.65971360185821126</v>
      </c>
      <c r="AK231" s="62">
        <f ca="1"/>
        <v>0.30306719853287523</v>
      </c>
      <c r="AL231" s="66" t="str">
        <f t="array" ref="AL231">IF($AB231, Push(MINVERSE(MMULT($I$38:$L$41,MMULT(Fetch(AG231),TRANSPOSE($I$38:$L$41))) + $N$38:$Q$41)), "")</f>
        <v/>
      </c>
      <c r="AM231" s="62">
        <f t="array" aca="1" ref="AM231:AP231" ca="1">X231:AA231 - AH231:AK231</f>
        <v>6.3932011011762491E-2</v>
      </c>
      <c r="AN231" s="62">
        <f ca="1"/>
        <v>0.31950284032957155</v>
      </c>
      <c r="AO231" s="62">
        <f ca="1"/>
        <v>-0.93049523891179464</v>
      </c>
      <c r="AP231" s="62">
        <f ca="1"/>
        <v>-0.49314480539691163</v>
      </c>
      <c r="AQ231" s="66" t="str">
        <f t="array" ref="AQ231">IF($AB231, Push(MMULT(Fetch(AG231),MMULT(TRANSPOSE($I$38:$L$41),Fetch(AL231)))), "")</f>
        <v/>
      </c>
      <c r="AR231" s="62">
        <f t="array" aca="1" ref="AR231:AU231" ca="1">AC231:AF231 + TRANSPOSE(MMULT(IF($AB231,Fetch(AQ231),$L$61:$O$64),TRANSPOSE(AM231:AP231)))</f>
        <v>0.66397966969332778</v>
      </c>
      <c r="AS231" s="62">
        <f ca="1"/>
        <v>0.64715549626698432</v>
      </c>
      <c r="AT231" s="62">
        <f ca="1"/>
        <v>-0.265691112921696</v>
      </c>
      <c r="AU231" s="62">
        <f ca="1"/>
        <v>-4.5268272343891414E-2</v>
      </c>
      <c r="AV231" s="66" t="str">
        <f t="array" ref="AV231">IF($AB231, Push(Fetch(AG231) - MMULT(Fetch(AQ231),MMULT($I$38:$L$41,Fetch(AG231)))), "")</f>
        <v/>
      </c>
      <c r="AW231" s="97">
        <f t="array" aca="1" ref="AW231" ca="1">IF($AB231,LN(MDETERM(Fetch(AL231))),$J$65)   -   MMULT(AM231:AP231,MMULT(IF($AB231,Fetch(AL231),$G$61:$J$64),TRANSPOSE(AM231:AP231)))</f>
        <v>0.61975750133091889</v>
      </c>
    </row>
    <row r="232" spans="23:49" x14ac:dyDescent="0.15">
      <c r="W232" s="12">
        <f t="shared" si="6"/>
        <v>229</v>
      </c>
      <c r="X232" s="62">
        <f t="array" aca="1" ref="X232:AA232" ca="1">simulate!AE232:AH232</f>
        <v>-0.29164323741309683</v>
      </c>
      <c r="Y232" s="62">
        <f ca="1"/>
        <v>0.3325881183045406</v>
      </c>
      <c r="Z232" s="62">
        <f ca="1"/>
        <v>-0.1470356320100577</v>
      </c>
      <c r="AA232" s="62">
        <f ca="1"/>
        <v>-0.52382227508322521</v>
      </c>
      <c r="AB232" s="98">
        <f t="shared" si="7"/>
        <v>0</v>
      </c>
      <c r="AC232" s="62">
        <f t="array" aca="1" ref="AC232:AF232" ca="1">TRANSPOSE($G$44:$G$47 + MMULT($I$44:$L$47,TRANSPOSE(AR231:AU231)))</f>
        <v>0.70729018443808778</v>
      </c>
      <c r="AD232" s="62">
        <f ca="1"/>
        <v>0.46663356085568863</v>
      </c>
      <c r="AE232" s="62">
        <f ca="1"/>
        <v>0.10437015079405737</v>
      </c>
      <c r="AF232" s="62">
        <f ca="1"/>
        <v>0.20711848335488975</v>
      </c>
      <c r="AG232" s="66" t="str">
        <f t="array" ref="AG232">IF($AB232, Push(MMULT($I$44:$L$47,MMULT(Fetch(AV231),TRANSPOSE($I$44:$L$47))) + $N$44:$Q$47), "")</f>
        <v/>
      </c>
      <c r="AH232" s="62">
        <f t="array" aca="1" ref="AH232:AK232" ca="1">TRANSPOSE($G$38:$G$41 + MMULT($I$38:$L$41,TRANSPOSE(AC232:AF232)))</f>
        <v>0.75196195582068603</v>
      </c>
      <c r="AI232" s="62">
        <f ca="1"/>
        <v>0.72047650154640019</v>
      </c>
      <c r="AJ232" s="62">
        <f ca="1"/>
        <v>0.39068959997339398</v>
      </c>
      <c r="AK232" s="62">
        <f ca="1"/>
        <v>0.11022758417397162</v>
      </c>
      <c r="AL232" s="66" t="str">
        <f t="array" ref="AL232">IF($AB232, Push(MINVERSE(MMULT($I$38:$L$41,MMULT(Fetch(AG232),TRANSPOSE($I$38:$L$41))) + $N$38:$Q$41)), "")</f>
        <v/>
      </c>
      <c r="AM232" s="62">
        <f t="array" aca="1" ref="AM232:AP232" ca="1">X232:AA232 - AH232:AK232</f>
        <v>-1.0436051932337829</v>
      </c>
      <c r="AN232" s="62">
        <f ca="1"/>
        <v>-0.38788838324185959</v>
      </c>
      <c r="AO232" s="62">
        <f ca="1"/>
        <v>-0.53772523198345168</v>
      </c>
      <c r="AP232" s="62">
        <f ca="1"/>
        <v>-0.63404985925719681</v>
      </c>
      <c r="AQ232" s="66" t="str">
        <f t="array" ref="AQ232">IF($AB232, Push(MMULT(Fetch(AG232),MMULT(TRANSPOSE($I$38:$L$41),Fetch(AL232)))), "")</f>
        <v/>
      </c>
      <c r="AR232" s="62">
        <f t="array" aca="1" ref="AR232:AU232" ca="1">AC232:AF232 + TRANSPOSE(MMULT(IF($AB232,Fetch(AQ232),$L$61:$O$64),TRANSPOSE(AM232:AP232)))</f>
        <v>0.17880755236053358</v>
      </c>
      <c r="AS232" s="62">
        <f ca="1"/>
        <v>0.41429675952004574</v>
      </c>
      <c r="AT232" s="62">
        <f ca="1"/>
        <v>-0.73387206508508429</v>
      </c>
      <c r="AU232" s="62">
        <f ca="1"/>
        <v>-0.23982676237554257</v>
      </c>
      <c r="AV232" s="66" t="str">
        <f t="array" ref="AV232">IF($AB232, Push(Fetch(AG232) - MMULT(Fetch(AQ232),MMULT($I$38:$L$41,Fetch(AG232)))), "")</f>
        <v/>
      </c>
      <c r="AW232" s="97">
        <f t="array" aca="1" ref="AW232" ca="1">IF($AB232,LN(MDETERM(Fetch(AL232))),$J$65)   -   MMULT(AM232:AP232,MMULT(IF($AB232,Fetch(AL232),$G$61:$J$64),TRANSPOSE(AM232:AP232)))</f>
        <v>-0.15832586335081356</v>
      </c>
    </row>
    <row r="233" spans="23:49" x14ac:dyDescent="0.15">
      <c r="W233" s="12">
        <f t="shared" si="6"/>
        <v>230</v>
      </c>
      <c r="X233" s="62">
        <f t="array" aca="1" ref="X233:AA233" ca="1">simulate!AE233:AH233</f>
        <v>0.68439020991364807</v>
      </c>
      <c r="Y233" s="62">
        <f ca="1"/>
        <v>-8.759309540788357E-2</v>
      </c>
      <c r="Z233" s="62">
        <f ca="1"/>
        <v>-7.6538022747864781E-2</v>
      </c>
      <c r="AA233" s="62">
        <f ca="1"/>
        <v>-0.8801419541053237</v>
      </c>
      <c r="AB233" s="98">
        <f t="shared" si="7"/>
        <v>0</v>
      </c>
      <c r="AC233" s="62">
        <f t="array" aca="1" ref="AC233:AF233" ca="1">TRANSPOSE($G$44:$G$47 + MMULT($I$44:$L$47,TRANSPOSE(AR232:AU232)))</f>
        <v>0.36812346968023524</v>
      </c>
      <c r="AD233" s="62">
        <f ca="1"/>
        <v>0.17896399141027472</v>
      </c>
      <c r="AE233" s="62">
        <f ca="1"/>
        <v>-0.24961870035230427</v>
      </c>
      <c r="AF233" s="62">
        <f ca="1"/>
        <v>-1.3862335016028404E-2</v>
      </c>
      <c r="AG233" s="66" t="str">
        <f t="array" ref="AG233">IF($AB233, Push(MMULT($I$44:$L$47,MMULT(Fetch(AV232),TRANSPOSE($I$44:$L$47))) + $N$44:$Q$47), "")</f>
        <v/>
      </c>
      <c r="AH233" s="62">
        <f t="array" aca="1" ref="AH233:AK233" ca="1">TRANSPOSE($G$38:$G$41 + MMULT($I$38:$L$41,TRANSPOSE(AC233:AF233)))</f>
        <v>0.36230999836960087</v>
      </c>
      <c r="AI233" s="62">
        <f ca="1"/>
        <v>0.39137566035847687</v>
      </c>
      <c r="AJ233" s="62">
        <f ca="1"/>
        <v>0.21719607520792455</v>
      </c>
      <c r="AK233" s="62">
        <f ca="1"/>
        <v>-0.1755913369224758</v>
      </c>
      <c r="AL233" s="66" t="str">
        <f t="array" ref="AL233">IF($AB233, Push(MINVERSE(MMULT($I$38:$L$41,MMULT(Fetch(AG233),TRANSPOSE($I$38:$L$41))) + $N$38:$Q$41)), "")</f>
        <v/>
      </c>
      <c r="AM233" s="62">
        <f t="array" aca="1" ref="AM233:AP233" ca="1">X233:AA233 - AH233:AK233</f>
        <v>0.3220802115440472</v>
      </c>
      <c r="AN233" s="62">
        <f ca="1"/>
        <v>-0.47896875576636044</v>
      </c>
      <c r="AO233" s="62">
        <f ca="1"/>
        <v>-0.29373409795578931</v>
      </c>
      <c r="AP233" s="62">
        <f ca="1"/>
        <v>-0.70455061718284795</v>
      </c>
      <c r="AQ233" s="66" t="str">
        <f t="array" ref="AQ233">IF($AB233, Push(MMULT(Fetch(AG233),MMULT(TRANSPOSE($I$38:$L$41),Fetch(AL233)))), "")</f>
        <v/>
      </c>
      <c r="AR233" s="62">
        <f t="array" aca="1" ref="AR233:AU233" ca="1">AC233:AF233 + TRANSPOSE(MMULT(IF($AB233,Fetch(AQ233),$L$61:$O$64),TRANSPOSE(AM233:AP233)))</f>
        <v>0.52407913203503664</v>
      </c>
      <c r="AS233" s="62">
        <f ca="1"/>
        <v>-0.22869531245148653</v>
      </c>
      <c r="AT233" s="62">
        <f ca="1"/>
        <v>-0.5860941259784842</v>
      </c>
      <c r="AU233" s="62">
        <f ca="1"/>
        <v>-0.3816687926611273</v>
      </c>
      <c r="AV233" s="66" t="str">
        <f t="array" ref="AV233">IF($AB233, Push(Fetch(AG233) - MMULT(Fetch(AQ233),MMULT($I$38:$L$41,Fetch(AG233)))), "")</f>
        <v/>
      </c>
      <c r="AW233" s="97">
        <f t="array" aca="1" ref="AW233" ca="1">IF($AB233,LN(MDETERM(Fetch(AL233))),$J$65)   -   MMULT(AM233:AP233,MMULT(IF($AB233,Fetch(AL233),$G$61:$J$64),TRANSPOSE(AM233:AP233)))</f>
        <v>-6.5656729184394127</v>
      </c>
    </row>
    <row r="234" spans="23:49" x14ac:dyDescent="0.15">
      <c r="W234" s="12">
        <f t="shared" si="6"/>
        <v>231</v>
      </c>
      <c r="X234" s="62">
        <f t="array" aca="1" ref="X234:AA234" ca="1">simulate!AE234:AH234</f>
        <v>0.13276403818025773</v>
      </c>
      <c r="Y234" s="62">
        <f ca="1"/>
        <v>0.66533047004745893</v>
      </c>
      <c r="Z234" s="62">
        <f ca="1"/>
        <v>-0.81079061363197713</v>
      </c>
      <c r="AA234" s="62">
        <f ca="1"/>
        <v>-0.56106130998855119</v>
      </c>
      <c r="AB234" s="98">
        <f t="shared" si="7"/>
        <v>0</v>
      </c>
      <c r="AC234" s="62">
        <f t="array" aca="1" ref="AC234:AF234" ca="1">TRANSPOSE($G$44:$G$47 + MMULT($I$44:$L$47,TRANSPOSE(AR233:AU233)))</f>
        <v>0.46314181485315425</v>
      </c>
      <c r="AD234" s="62">
        <f ca="1"/>
        <v>-0.10046859957395901</v>
      </c>
      <c r="AE234" s="62">
        <f ca="1"/>
        <v>-0.27061724022692829</v>
      </c>
      <c r="AF234" s="62">
        <f ca="1"/>
        <v>-9.5652739472974979E-2</v>
      </c>
      <c r="AG234" s="66" t="str">
        <f t="array" ref="AG234">IF($AB234, Push(MMULT($I$44:$L$47,MMULT(Fetch(AV233),TRANSPOSE($I$44:$L$47))) + $N$44:$Q$47), "")</f>
        <v/>
      </c>
      <c r="AH234" s="62">
        <f t="array" aca="1" ref="AH234:AK234" ca="1">TRANSPOSE($G$38:$G$41 + MMULT($I$38:$L$41,TRANSPOSE(AC234:AF234)))</f>
        <v>0.45502395384772099</v>
      </c>
      <c r="AI234" s="62">
        <f ca="1"/>
        <v>0.17234688908026213</v>
      </c>
      <c r="AJ234" s="62">
        <f ca="1"/>
        <v>0.29371080617383949</v>
      </c>
      <c r="AK234" s="62">
        <f ca="1"/>
        <v>-0.35396645715741459</v>
      </c>
      <c r="AL234" s="66" t="str">
        <f t="array" ref="AL234">IF($AB234, Push(MINVERSE(MMULT($I$38:$L$41,MMULT(Fetch(AG234),TRANSPOSE($I$38:$L$41))) + $N$38:$Q$41)), "")</f>
        <v/>
      </c>
      <c r="AM234" s="62">
        <f t="array" aca="1" ref="AM234:AP234" ca="1">X234:AA234 - AH234:AK234</f>
        <v>-0.32225991566746326</v>
      </c>
      <c r="AN234" s="62">
        <f ca="1"/>
        <v>0.4929835809671968</v>
      </c>
      <c r="AO234" s="62">
        <f ca="1"/>
        <v>-1.1045014198058167</v>
      </c>
      <c r="AP234" s="62">
        <f ca="1"/>
        <v>-0.2070948528311366</v>
      </c>
      <c r="AQ234" s="66" t="str">
        <f t="array" ref="AQ234">IF($AB234, Push(MMULT(Fetch(AG234),MMULT(TRANSPOSE($I$38:$L$41),Fetch(AL234)))), "")</f>
        <v/>
      </c>
      <c r="AR234" s="62">
        <f t="array" aca="1" ref="AR234:AU234" ca="1">AC234:AF234 + TRANSPOSE(MMULT(IF($AB234,Fetch(AQ234),$L$61:$O$64),TRANSPOSE(AM234:AP234)))</f>
        <v>0.16313078844469281</v>
      </c>
      <c r="AS234" s="62">
        <f ca="1"/>
        <v>0.42744134377571363</v>
      </c>
      <c r="AT234" s="62">
        <f ca="1"/>
        <v>-0.77250914397859005</v>
      </c>
      <c r="AU234" s="62">
        <f ca="1"/>
        <v>-0.61567293585255389</v>
      </c>
      <c r="AV234" s="66" t="str">
        <f t="array" ref="AV234">IF($AB234, Push(Fetch(AG234) - MMULT(Fetch(AQ234),MMULT($I$38:$L$41,Fetch(AG234)))), "")</f>
        <v/>
      </c>
      <c r="AW234" s="97">
        <f t="array" aca="1" ref="AW234" ca="1">IF($AB234,LN(MDETERM(Fetch(AL234))),$J$65)   -   MMULT(AM234:AP234,MMULT(IF($AB234,Fetch(AL234),$G$61:$J$64),TRANSPOSE(AM234:AP234)))</f>
        <v>1.1798533782873637</v>
      </c>
    </row>
    <row r="235" spans="23:49" x14ac:dyDescent="0.15">
      <c r="W235" s="12">
        <f t="shared" si="6"/>
        <v>232</v>
      </c>
      <c r="X235" s="62">
        <f t="array" aca="1" ref="X235:AA235" ca="1">simulate!AE235:AH235</f>
        <v>-0.22015941231417727</v>
      </c>
      <c r="Y235" s="62">
        <f ca="1"/>
        <v>0.43058169187401413</v>
      </c>
      <c r="Z235" s="62">
        <f ca="1"/>
        <v>-0.27464869573725492</v>
      </c>
      <c r="AA235" s="62">
        <f ca="1"/>
        <v>-0.63498242838982133</v>
      </c>
      <c r="AB235" s="98">
        <f t="shared" si="7"/>
        <v>0</v>
      </c>
      <c r="AC235" s="62">
        <f t="array" aca="1" ref="AC235:AF235" ca="1">TRANSPOSE($G$44:$G$47 + MMULT($I$44:$L$47,TRANSPOSE(AR234:AU234)))</f>
        <v>0.34079028074165951</v>
      </c>
      <c r="AD235" s="62">
        <f ca="1"/>
        <v>0.15104572320664922</v>
      </c>
      <c r="AE235" s="62">
        <f ca="1"/>
        <v>-0.3250893241869196</v>
      </c>
      <c r="AF235" s="62">
        <f ca="1"/>
        <v>-0.22293814232859993</v>
      </c>
      <c r="AG235" s="66" t="str">
        <f t="array" ref="AG235">IF($AB235, Push(MMULT($I$44:$L$47,MMULT(Fetch(AV234),TRANSPOSE($I$44:$L$47))) + $N$44:$Q$47), "")</f>
        <v/>
      </c>
      <c r="AH235" s="62">
        <f t="array" aca="1" ref="AH235:AK235" ca="1">TRANSPOSE($G$38:$G$41 + MMULT($I$38:$L$41,TRANSPOSE(AC235:AF235)))</f>
        <v>0.35570758847859535</v>
      </c>
      <c r="AI235" s="62">
        <f ca="1"/>
        <v>0.33513169159534362</v>
      </c>
      <c r="AJ235" s="62">
        <f ca="1"/>
        <v>4.9628294194428726E-2</v>
      </c>
      <c r="AK235" s="62">
        <f ca="1"/>
        <v>-0.31576659904117949</v>
      </c>
      <c r="AL235" s="66" t="str">
        <f t="array" ref="AL235">IF($AB235, Push(MINVERSE(MMULT($I$38:$L$41,MMULT(Fetch(AG235),TRANSPOSE($I$38:$L$41))) + $N$38:$Q$41)), "")</f>
        <v/>
      </c>
      <c r="AM235" s="62">
        <f t="array" aca="1" ref="AM235:AP235" ca="1">X235:AA235 - AH235:AK235</f>
        <v>-0.57586700079277264</v>
      </c>
      <c r="AN235" s="62">
        <f ca="1"/>
        <v>9.545000027867051E-2</v>
      </c>
      <c r="AO235" s="62">
        <f ca="1"/>
        <v>-0.32427698993168363</v>
      </c>
      <c r="AP235" s="62">
        <f ca="1"/>
        <v>-0.31921582934864184</v>
      </c>
      <c r="AQ235" s="66" t="str">
        <f t="array" ref="AQ235">IF($AB235, Push(MMULT(Fetch(AG235),MMULT(TRANSPOSE($I$38:$L$41),Fetch(AL235)))), "")</f>
        <v/>
      </c>
      <c r="AR235" s="62">
        <f t="array" aca="1" ref="AR235:AU235" ca="1">AC235:AF235 + TRANSPOSE(MMULT(IF($AB235,Fetch(AQ235),$L$61:$O$64),TRANSPOSE(AM235:AP235)))</f>
        <v>8.3887888842826663E-2</v>
      </c>
      <c r="AS235" s="62">
        <f ca="1"/>
        <v>0.3105712706245235</v>
      </c>
      <c r="AT235" s="62">
        <f ca="1"/>
        <v>-0.81107262821506465</v>
      </c>
      <c r="AU235" s="62">
        <f ca="1"/>
        <v>-0.46792469388860447</v>
      </c>
      <c r="AV235" s="66" t="str">
        <f t="array" ref="AV235">IF($AB235, Push(Fetch(AG235) - MMULT(Fetch(AQ235),MMULT($I$38:$L$41,Fetch(AG235)))), "")</f>
        <v/>
      </c>
      <c r="AW235" s="97">
        <f t="array" aca="1" ref="AW235" ca="1">IF($AB235,LN(MDETERM(Fetch(AL235))),$J$65)   -   MMULT(AM235:AP235,MMULT(IF($AB235,Fetch(AL235),$G$61:$J$64),TRANSPOSE(AM235:AP235)))</f>
        <v>5.2321651392489663</v>
      </c>
    </row>
    <row r="236" spans="23:49" x14ac:dyDescent="0.15">
      <c r="W236" s="12">
        <f t="shared" si="6"/>
        <v>233</v>
      </c>
      <c r="X236" s="62">
        <f t="array" aca="1" ref="X236:AA236" ca="1">simulate!AE236:AH236</f>
        <v>2.4304248357622682E-2</v>
      </c>
      <c r="Y236" s="62">
        <f ca="1"/>
        <v>-0.60400241275264888</v>
      </c>
      <c r="Z236" s="62">
        <f ca="1"/>
        <v>1.6255577787587252</v>
      </c>
      <c r="AA236" s="62">
        <f ca="1"/>
        <v>-7.158390582201174E-2</v>
      </c>
      <c r="AB236" s="98">
        <f t="shared" si="7"/>
        <v>0</v>
      </c>
      <c r="AC236" s="62">
        <f t="array" aca="1" ref="AC236:AF236" ca="1">TRANSPOSE($G$44:$G$47 + MMULT($I$44:$L$47,TRANSPOSE(AR235:AU235)))</f>
        <v>0.28505249010722972</v>
      </c>
      <c r="AD236" s="62">
        <f ca="1"/>
        <v>7.9871498420661616E-2</v>
      </c>
      <c r="AE236" s="62">
        <f ca="1"/>
        <v>-0.34866683230098755</v>
      </c>
      <c r="AF236" s="62">
        <f ca="1"/>
        <v>-0.16153150826345658</v>
      </c>
      <c r="AG236" s="66" t="str">
        <f t="array" ref="AG236">IF($AB236, Push(MMULT($I$44:$L$47,MMULT(Fetch(AV235),TRANSPOSE($I$44:$L$47))) + $N$44:$Q$47), "")</f>
        <v/>
      </c>
      <c r="AH236" s="62">
        <f t="array" aca="1" ref="AH236:AK236" ca="1">TRANSPOSE($G$38:$G$41 + MMULT($I$38:$L$41,TRANSPOSE(AC236:AF236)))</f>
        <v>0.28714860785891788</v>
      </c>
      <c r="AI236" s="62">
        <f ca="1"/>
        <v>0.27058990651162373</v>
      </c>
      <c r="AJ236" s="62">
        <f ca="1"/>
        <v>0.10859668354102611</v>
      </c>
      <c r="AK236" s="62">
        <f ca="1"/>
        <v>-0.30328067147296045</v>
      </c>
      <c r="AL236" s="66" t="str">
        <f t="array" ref="AL236">IF($AB236, Push(MINVERSE(MMULT($I$38:$L$41,MMULT(Fetch(AG236),TRANSPOSE($I$38:$L$41))) + $N$38:$Q$41)), "")</f>
        <v/>
      </c>
      <c r="AM236" s="62">
        <f t="array" aca="1" ref="AM236:AP236" ca="1">X236:AA236 - AH236:AK236</f>
        <v>-0.2628443595012952</v>
      </c>
      <c r="AN236" s="62">
        <f ca="1"/>
        <v>-0.87459231926427261</v>
      </c>
      <c r="AO236" s="62">
        <f ca="1"/>
        <v>1.5169610952176991</v>
      </c>
      <c r="AP236" s="62">
        <f ca="1"/>
        <v>0.23169676565094871</v>
      </c>
      <c r="AQ236" s="66" t="str">
        <f t="array" ref="AQ236">IF($AB236, Push(MMULT(Fetch(AG236),MMULT(TRANSPOSE($I$38:$L$41),Fetch(AL236)))), "")</f>
        <v/>
      </c>
      <c r="AR236" s="62">
        <f t="array" aca="1" ref="AR236:AU236" ca="1">AC236:AF236 + TRANSPOSE(MMULT(IF($AB236,Fetch(AQ236),$L$61:$O$64),TRANSPOSE(AM236:AP236)))</f>
        <v>0.356836542651365</v>
      </c>
      <c r="AS236" s="62">
        <f ca="1"/>
        <v>-0.64526357315446958</v>
      </c>
      <c r="AT236" s="62">
        <f ca="1"/>
        <v>7.4814603333011209E-2</v>
      </c>
      <c r="AU236" s="62">
        <f ca="1"/>
        <v>0.53031850405376102</v>
      </c>
      <c r="AV236" s="66" t="str">
        <f t="array" ref="AV236">IF($AB236, Push(Fetch(AG236) - MMULT(Fetch(AQ236),MMULT($I$38:$L$41,Fetch(AG236)))), "")</f>
        <v/>
      </c>
      <c r="AW236" s="97">
        <f t="array" aca="1" ref="AW236" ca="1">IF($AB236,LN(MDETERM(Fetch(AL236))),$J$65)   -   MMULT(AM236:AP236,MMULT(IF($AB236,Fetch(AL236),$G$61:$J$64),TRANSPOSE(AM236:AP236)))</f>
        <v>-4.9648216190392382</v>
      </c>
    </row>
    <row r="237" spans="23:49" x14ac:dyDescent="0.15">
      <c r="W237" s="12">
        <f t="shared" si="6"/>
        <v>234</v>
      </c>
      <c r="X237" s="62">
        <f t="array" aca="1" ref="X237:AA237" ca="1">simulate!AE237:AH237</f>
        <v>-0.67729642996116213</v>
      </c>
      <c r="Y237" s="62">
        <f ca="1"/>
        <v>-0.26717268566028368</v>
      </c>
      <c r="Z237" s="62">
        <f ca="1"/>
        <v>1.5281232520353925</v>
      </c>
      <c r="AA237" s="62">
        <f ca="1"/>
        <v>-0.13289040142018654</v>
      </c>
      <c r="AB237" s="98">
        <f t="shared" si="7"/>
        <v>0</v>
      </c>
      <c r="AC237" s="62">
        <f t="array" aca="1" ref="AC237:AF237" ca="1">TRANSPOSE($G$44:$G$47 + MMULT($I$44:$L$47,TRANSPOSE(AR236:AU236)))</f>
        <v>0.40204187834179123</v>
      </c>
      <c r="AD237" s="62">
        <f ca="1"/>
        <v>-0.18987277375327885</v>
      </c>
      <c r="AE237" s="62">
        <f ca="1"/>
        <v>0.14175015867829546</v>
      </c>
      <c r="AF237" s="62">
        <f ca="1"/>
        <v>0.46650370375114575</v>
      </c>
      <c r="AG237" s="66" t="str">
        <f t="array" ref="AG237">IF($AB237, Push(MMULT($I$44:$L$47,MMULT(Fetch(AV236),TRANSPOSE($I$44:$L$47))) + $N$44:$Q$47), "")</f>
        <v/>
      </c>
      <c r="AH237" s="62">
        <f t="array" aca="1" ref="AH237:AK237" ca="1">TRANSPOSE($G$38:$G$41 + MMULT($I$38:$L$41,TRANSPOSE(AC237:AF237)))</f>
        <v>0.51842277220454736</v>
      </c>
      <c r="AI237" s="62">
        <f ca="1"/>
        <v>7.6950034984138826E-2</v>
      </c>
      <c r="AJ237" s="62">
        <f ca="1"/>
        <v>0.73521758375722701</v>
      </c>
      <c r="AK237" s="62">
        <f ca="1"/>
        <v>0.18431306348970089</v>
      </c>
      <c r="AL237" s="66" t="str">
        <f t="array" ref="AL237">IF($AB237, Push(MINVERSE(MMULT($I$38:$L$41,MMULT(Fetch(AG237),TRANSPOSE($I$38:$L$41))) + $N$38:$Q$41)), "")</f>
        <v/>
      </c>
      <c r="AM237" s="62">
        <f t="array" aca="1" ref="AM237:AP237" ca="1">X237:AA237 - AH237:AK237</f>
        <v>-1.1957192021657095</v>
      </c>
      <c r="AN237" s="62">
        <f ca="1"/>
        <v>-0.34412272064442251</v>
      </c>
      <c r="AO237" s="62">
        <f ca="1"/>
        <v>0.79290566827816544</v>
      </c>
      <c r="AP237" s="62">
        <f ca="1"/>
        <v>-0.31720346490988743</v>
      </c>
      <c r="AQ237" s="66" t="str">
        <f t="array" ref="AQ237">IF($AB237, Push(MMULT(Fetch(AG237),MMULT(TRANSPOSE($I$38:$L$41),Fetch(AL237)))), "")</f>
        <v/>
      </c>
      <c r="AR237" s="62">
        <f t="array" aca="1" ref="AR237:AU237" ca="1">AC237:AF237 + TRANSPOSE(MMULT(IF($AB237,Fetch(AQ237),$L$61:$O$64),TRANSPOSE(AM237:AP237)))</f>
        <v>7.3846692086017351E-2</v>
      </c>
      <c r="AS237" s="62">
        <f ca="1"/>
        <v>-0.40682782082433799</v>
      </c>
      <c r="AT237" s="62">
        <f ca="1"/>
        <v>-0.32386014518114481</v>
      </c>
      <c r="AU237" s="62">
        <f ca="1"/>
        <v>0.67204893433845558</v>
      </c>
      <c r="AV237" s="66" t="str">
        <f t="array" ref="AV237">IF($AB237, Push(Fetch(AG237) - MMULT(Fetch(AQ237),MMULT($I$38:$L$41,Fetch(AG237)))), "")</f>
        <v/>
      </c>
      <c r="AW237" s="97">
        <f t="array" aca="1" ref="AW237" ca="1">IF($AB237,LN(MDETERM(Fetch(AL237))),$J$65)   -   MMULT(AM237:AP237,MMULT(IF($AB237,Fetch(AL237),$G$61:$J$64),TRANSPOSE(AM237:AP237)))</f>
        <v>-4.0738076307544624</v>
      </c>
    </row>
    <row r="238" spans="23:49" x14ac:dyDescent="0.15">
      <c r="W238" s="12">
        <f t="shared" si="6"/>
        <v>235</v>
      </c>
      <c r="X238" s="62">
        <f t="array" aca="1" ref="X238:AA238" ca="1">simulate!AE238:AH238</f>
        <v>1.1949162522887979</v>
      </c>
      <c r="Y238" s="62">
        <f ca="1"/>
        <v>0.84641719408769656</v>
      </c>
      <c r="Z238" s="62">
        <f ca="1"/>
        <v>-0.12540235528636495</v>
      </c>
      <c r="AA238" s="62">
        <f ca="1"/>
        <v>0.62972985453844743</v>
      </c>
      <c r="AB238" s="98">
        <f t="shared" si="7"/>
        <v>0</v>
      </c>
      <c r="AC238" s="62">
        <f t="array" aca="1" ref="AC238:AF238" ca="1">TRANSPOSE($G$44:$G$47 + MMULT($I$44:$L$47,TRANSPOSE(AR237:AU237)))</f>
        <v>0.26292442381140652</v>
      </c>
      <c r="AD238" s="62">
        <f ca="1"/>
        <v>-0.15595726173441035</v>
      </c>
      <c r="AE238" s="62">
        <f ca="1"/>
        <v>-3.402104275083935E-2</v>
      </c>
      <c r="AF238" s="62">
        <f ca="1"/>
        <v>0.48169349985935644</v>
      </c>
      <c r="AG238" s="66" t="str">
        <f t="array" ref="AG238">IF($AB238, Push(MMULT($I$44:$L$47,MMULT(Fetch(AV237),TRANSPOSE($I$44:$L$47))) + $N$44:$Q$47), "")</f>
        <v/>
      </c>
      <c r="AH238" s="62">
        <f t="array" aca="1" ref="AH238:AK238" ca="1">TRANSPOSE($G$38:$G$41 + MMULT($I$38:$L$41,TRANSPOSE(AC238:AF238)))</f>
        <v>0.3009889586938449</v>
      </c>
      <c r="AI238" s="62">
        <f ca="1"/>
        <v>0.10293637295084729</v>
      </c>
      <c r="AJ238" s="62">
        <f ca="1"/>
        <v>0.69758948774225193</v>
      </c>
      <c r="AK238" s="62">
        <f ca="1"/>
        <v>0.136757342070223</v>
      </c>
      <c r="AL238" s="66" t="str">
        <f t="array" ref="AL238">IF($AB238, Push(MINVERSE(MMULT($I$38:$L$41,MMULT(Fetch(AG238),TRANSPOSE($I$38:$L$41))) + $N$38:$Q$41)), "")</f>
        <v/>
      </c>
      <c r="AM238" s="62">
        <f t="array" aca="1" ref="AM238:AP238" ca="1">X238:AA238 - AH238:AK238</f>
        <v>0.89392729359495304</v>
      </c>
      <c r="AN238" s="62">
        <f ca="1"/>
        <v>0.74348082113684932</v>
      </c>
      <c r="AO238" s="62">
        <f ca="1"/>
        <v>-0.82299184302861694</v>
      </c>
      <c r="AP238" s="62">
        <f ca="1"/>
        <v>0.49297251246822443</v>
      </c>
      <c r="AQ238" s="66" t="str">
        <f t="array" ref="AQ238">IF($AB238, Push(MMULT(Fetch(AG238),MMULT(TRANSPOSE($I$38:$L$41),Fetch(AL238)))), "")</f>
        <v/>
      </c>
      <c r="AR238" s="62">
        <f t="array" aca="1" ref="AR238:AU238" ca="1">AC238:AF238 + TRANSPOSE(MMULT(IF($AB238,Fetch(AQ238),$L$61:$O$64),TRANSPOSE(AM238:AP238)))</f>
        <v>0.46934471010907719</v>
      </c>
      <c r="AS238" s="62">
        <f ca="1"/>
        <v>0.38264281204536543</v>
      </c>
      <c r="AT238" s="62">
        <f ca="1"/>
        <v>0.38248483732996669</v>
      </c>
      <c r="AU238" s="62">
        <f ca="1"/>
        <v>0.32694474074861496</v>
      </c>
      <c r="AV238" s="66" t="str">
        <f t="array" ref="AV238">IF($AB238, Push(Fetch(AG238) - MMULT(Fetch(AQ238),MMULT($I$38:$L$41,Fetch(AG238)))), "")</f>
        <v/>
      </c>
      <c r="AW238" s="97">
        <f t="array" aca="1" ref="AW238" ca="1">IF($AB238,LN(MDETERM(Fetch(AL238))),$J$65)   -   MMULT(AM238:AP238,MMULT(IF($AB238,Fetch(AL238),$G$61:$J$64),TRANSPOSE(AM238:AP238)))</f>
        <v>-1.0079857408351209</v>
      </c>
    </row>
    <row r="239" spans="23:49" x14ac:dyDescent="0.15">
      <c r="W239" s="12">
        <f t="shared" si="6"/>
        <v>236</v>
      </c>
      <c r="X239" s="62">
        <f t="array" aca="1" ref="X239:AA239" ca="1">simulate!AE239:AH239</f>
        <v>0.31182586649895289</v>
      </c>
      <c r="Y239" s="62">
        <f ca="1"/>
        <v>0.72388594570684928</v>
      </c>
      <c r="Z239" s="62">
        <f ca="1"/>
        <v>3.9594512543327465E-2</v>
      </c>
      <c r="AA239" s="62">
        <f ca="1"/>
        <v>0.87035624526916178</v>
      </c>
      <c r="AB239" s="98">
        <f t="shared" si="7"/>
        <v>0</v>
      </c>
      <c r="AC239" s="62">
        <f t="array" aca="1" ref="AC239:AF239" ca="1">TRANSPOSE($G$44:$G$47 + MMULT($I$44:$L$47,TRANSPOSE(AR238:AU238)))</f>
        <v>0.62705365977112648</v>
      </c>
      <c r="AD239" s="62">
        <f ca="1"/>
        <v>0.41459590250979733</v>
      </c>
      <c r="AE239" s="62">
        <f ca="1"/>
        <v>0.45271684773071064</v>
      </c>
      <c r="AF239" s="62">
        <f ca="1"/>
        <v>0.48519669193184417</v>
      </c>
      <c r="AG239" s="66" t="str">
        <f t="array" ref="AG239">IF($AB239, Push(MMULT($I$44:$L$47,MMULT(Fetch(AV238),TRANSPOSE($I$44:$L$47))) + $N$44:$Q$47), "")</f>
        <v/>
      </c>
      <c r="AH239" s="62">
        <f t="array" aca="1" ref="AH239:AK239" ca="1">TRANSPOSE($G$38:$G$41 + MMULT($I$38:$L$41,TRANSPOSE(AC239:AF239)))</f>
        <v>0.83977319601595335</v>
      </c>
      <c r="AI239" s="62">
        <f ca="1"/>
        <v>0.61108425597515703</v>
      </c>
      <c r="AJ239" s="62">
        <f ca="1"/>
        <v>0.57929028453897202</v>
      </c>
      <c r="AK239" s="62">
        <f ca="1"/>
        <v>0.50083100660450453</v>
      </c>
      <c r="AL239" s="66" t="str">
        <f t="array" ref="AL239">IF($AB239, Push(MINVERSE(MMULT($I$38:$L$41,MMULT(Fetch(AG239),TRANSPOSE($I$38:$L$41))) + $N$38:$Q$41)), "")</f>
        <v/>
      </c>
      <c r="AM239" s="62">
        <f t="array" aca="1" ref="AM239:AP239" ca="1">X239:AA239 - AH239:AK239</f>
        <v>-0.52794732951700052</v>
      </c>
      <c r="AN239" s="62">
        <f ca="1"/>
        <v>0.11280168973169225</v>
      </c>
      <c r="AO239" s="62">
        <f ca="1"/>
        <v>-0.53969577199564456</v>
      </c>
      <c r="AP239" s="62">
        <f ca="1"/>
        <v>0.36952523866465725</v>
      </c>
      <c r="AQ239" s="66" t="str">
        <f t="array" ref="AQ239">IF($AB239, Push(MMULT(Fetch(AG239),MMULT(TRANSPOSE($I$38:$L$41),Fetch(AL239)))), "")</f>
        <v/>
      </c>
      <c r="AR239" s="62">
        <f t="array" aca="1" ref="AR239:AU239" ca="1">AC239:AF239 + TRANSPOSE(MMULT(IF($AB239,Fetch(AQ239),$L$61:$O$64),TRANSPOSE(AM239:AP239)))</f>
        <v>0.18611079237396078</v>
      </c>
      <c r="AS239" s="62">
        <f ca="1"/>
        <v>0.75754479201743741</v>
      </c>
      <c r="AT239" s="62">
        <f ca="1"/>
        <v>0.39923250353494788</v>
      </c>
      <c r="AU239" s="62">
        <f ca="1"/>
        <v>0.3931759884381345</v>
      </c>
      <c r="AV239" s="66" t="str">
        <f t="array" ref="AV239">IF($AB239, Push(Fetch(AG239) - MMULT(Fetch(AQ239),MMULT($I$38:$L$41,Fetch(AG239)))), "")</f>
        <v/>
      </c>
      <c r="AW239" s="97">
        <f t="array" aca="1" ref="AW239" ca="1">IF($AB239,LN(MDETERM(Fetch(AL239))),$J$65)   -   MMULT(AM239:AP239,MMULT(IF($AB239,Fetch(AL239),$G$61:$J$64),TRANSPOSE(AM239:AP239)))</f>
        <v>0.49763021645295957</v>
      </c>
    </row>
    <row r="240" spans="23:49" x14ac:dyDescent="0.15">
      <c r="W240" s="12">
        <f t="shared" si="6"/>
        <v>237</v>
      </c>
      <c r="X240" s="62">
        <f t="array" aca="1" ref="X240:AA240" ca="1">simulate!AE240:AH240</f>
        <v>0.60401480175490829</v>
      </c>
      <c r="Y240" s="62">
        <f ca="1"/>
        <v>0.57166423661885868</v>
      </c>
      <c r="Z240" s="62">
        <f ca="1"/>
        <v>1.0976791037455527</v>
      </c>
      <c r="AA240" s="62">
        <f ca="1"/>
        <v>0.43222042374548475</v>
      </c>
      <c r="AB240" s="98">
        <f t="shared" si="7"/>
        <v>0</v>
      </c>
      <c r="AC240" s="62">
        <f t="array" aca="1" ref="AC240:AF240" ca="1">TRANSPOSE($G$44:$G$47 + MMULT($I$44:$L$47,TRANSPOSE(AR239:AU239)))</f>
        <v>0.53394331943748385</v>
      </c>
      <c r="AD240" s="62">
        <f ca="1"/>
        <v>0.57827831427129106</v>
      </c>
      <c r="AE240" s="62">
        <f ca="1"/>
        <v>0.51227082472015262</v>
      </c>
      <c r="AF240" s="62">
        <f ca="1"/>
        <v>0.53676157366729971</v>
      </c>
      <c r="AG240" s="66" t="str">
        <f t="array" ref="AG240">IF($AB240, Push(MMULT($I$44:$L$47,MMULT(Fetch(AV239),TRANSPOSE($I$44:$L$47))) + $N$44:$Q$47), "")</f>
        <v/>
      </c>
      <c r="AH240" s="62">
        <f t="array" aca="1" ref="AH240:AK240" ca="1">TRANSPOSE($G$38:$G$41 + MMULT($I$38:$L$41,TRANSPOSE(AC240:AF240)))</f>
        <v>0.78768513546578722</v>
      </c>
      <c r="AI240" s="62">
        <f ca="1"/>
        <v>0.71417065683717251</v>
      </c>
      <c r="AJ240" s="62">
        <f ca="1"/>
        <v>0.51864840478178809</v>
      </c>
      <c r="AK240" s="62">
        <f ca="1"/>
        <v>0.65783314329604581</v>
      </c>
      <c r="AL240" s="66" t="str">
        <f t="array" ref="AL240">IF($AB240, Push(MINVERSE(MMULT($I$38:$L$41,MMULT(Fetch(AG240),TRANSPOSE($I$38:$L$41))) + $N$38:$Q$41)), "")</f>
        <v/>
      </c>
      <c r="AM240" s="62">
        <f t="array" aca="1" ref="AM240:AP240" ca="1">X240:AA240 - AH240:AK240</f>
        <v>-0.18367033371087893</v>
      </c>
      <c r="AN240" s="62">
        <f ca="1"/>
        <v>-0.14250642021831383</v>
      </c>
      <c r="AO240" s="62">
        <f ca="1"/>
        <v>0.57903069896376458</v>
      </c>
      <c r="AP240" s="62">
        <f ca="1"/>
        <v>-0.22561271955056106</v>
      </c>
      <c r="AQ240" s="66" t="str">
        <f t="array" ref="AQ240">IF($AB240, Push(MMULT(Fetch(AG240),MMULT(TRANSPOSE($I$38:$L$41),Fetch(AL240)))), "")</f>
        <v/>
      </c>
      <c r="AR240" s="62">
        <f t="array" aca="1" ref="AR240:AU240" ca="1">AC240:AF240 + TRANSPOSE(MMULT(IF($AB240,Fetch(AQ240),$L$61:$O$64),TRANSPOSE(AM240:AP240)))</f>
        <v>0.62385993659432282</v>
      </c>
      <c r="AS240" s="62">
        <f ca="1"/>
        <v>0.36282899654206013</v>
      </c>
      <c r="AT240" s="62">
        <f ca="1"/>
        <v>0.41271701750258849</v>
      </c>
      <c r="AU240" s="62">
        <f ca="1"/>
        <v>0.69224455277146446</v>
      </c>
      <c r="AV240" s="66" t="str">
        <f t="array" ref="AV240">IF($AB240, Push(Fetch(AG240) - MMULT(Fetch(AQ240),MMULT($I$38:$L$41,Fetch(AG240)))), "")</f>
        <v/>
      </c>
      <c r="AW240" s="97">
        <f t="array" aca="1" ref="AW240" ca="1">IF($AB240,LN(MDETERM(Fetch(AL240))),$J$65)   -   MMULT(AM240:AP240,MMULT(IF($AB240,Fetch(AL240),$G$61:$J$64),TRANSPOSE(AM240:AP240)))</f>
        <v>5.1658732231961082</v>
      </c>
    </row>
    <row r="241" spans="23:49" x14ac:dyDescent="0.15">
      <c r="W241" s="12">
        <f t="shared" si="6"/>
        <v>238</v>
      </c>
      <c r="X241" s="62">
        <f t="array" aca="1" ref="X241:AA241" ca="1">simulate!AE241:AH241</f>
        <v>1.0815067132932392</v>
      </c>
      <c r="Y241" s="62">
        <f ca="1"/>
        <v>0.59164210200115674</v>
      </c>
      <c r="Z241" s="62">
        <f ca="1"/>
        <v>1.0153104637207335</v>
      </c>
      <c r="AA241" s="62">
        <f ca="1"/>
        <v>0.69824891702037273</v>
      </c>
      <c r="AB241" s="98">
        <f t="shared" si="7"/>
        <v>0</v>
      </c>
      <c r="AC241" s="62">
        <f t="array" aca="1" ref="AC241:AF241" ca="1">TRANSPOSE($G$44:$G$47 + MMULT($I$44:$L$47,TRANSPOSE(AR240:AU240)))</f>
        <v>0.72727790504287471</v>
      </c>
      <c r="AD241" s="62">
        <f ca="1"/>
        <v>0.45945947642552043</v>
      </c>
      <c r="AE241" s="62">
        <f ca="1"/>
        <v>0.53088764364971697</v>
      </c>
      <c r="AF241" s="62">
        <f ca="1"/>
        <v>0.69340928667231649</v>
      </c>
      <c r="AG241" s="66" t="str">
        <f t="array" ref="AG241">IF($AB241, Push(MMULT($I$44:$L$47,MMULT(Fetch(AV240),TRANSPOSE($I$44:$L$47))) + $N$44:$Q$47), "")</f>
        <v/>
      </c>
      <c r="AH241" s="62">
        <f t="array" aca="1" ref="AH241:AK241" ca="1">TRANSPOSE($G$38:$G$41 + MMULT($I$38:$L$41,TRANSPOSE(AC241:AF241)))</f>
        <v>0.8995851311041605</v>
      </c>
      <c r="AI241" s="62">
        <f ca="1"/>
        <v>0.70820055405319926</v>
      </c>
      <c r="AJ241" s="62">
        <f ca="1"/>
        <v>0.76762923562601615</v>
      </c>
      <c r="AK241" s="62">
        <f ca="1"/>
        <v>0.61502467595621446</v>
      </c>
      <c r="AL241" s="66" t="str">
        <f t="array" ref="AL241">IF($AB241, Push(MINVERSE(MMULT($I$38:$L$41,MMULT(Fetch(AG241),TRANSPOSE($I$38:$L$41))) + $N$38:$Q$41)), "")</f>
        <v/>
      </c>
      <c r="AM241" s="62">
        <f t="array" aca="1" ref="AM241:AP241" ca="1">X241:AA241 - AH241:AK241</f>
        <v>0.18192158218907872</v>
      </c>
      <c r="AN241" s="62">
        <f ca="1"/>
        <v>-0.11655845205204252</v>
      </c>
      <c r="AO241" s="62">
        <f ca="1"/>
        <v>0.24768122809471738</v>
      </c>
      <c r="AP241" s="62">
        <f ca="1"/>
        <v>8.3224241064158266E-2</v>
      </c>
      <c r="AQ241" s="66" t="str">
        <f t="array" ref="AQ241">IF($AB241, Push(MMULT(Fetch(AG241),MMULT(TRANSPOSE($I$38:$L$41),Fetch(AL241)))), "")</f>
        <v/>
      </c>
      <c r="AR241" s="62">
        <f t="array" aca="1" ref="AR241:AU241" ca="1">AC241:AF241 + TRANSPOSE(MMULT(IF($AB241,Fetch(AQ241),$L$61:$O$64),TRANSPOSE(AM241:AP241)))</f>
        <v>0.83527720432877062</v>
      </c>
      <c r="AS241" s="62">
        <f ca="1"/>
        <v>0.32582450131807861</v>
      </c>
      <c r="AT241" s="62">
        <f ca="1"/>
        <v>0.70821001949559781</v>
      </c>
      <c r="AU241" s="62">
        <f ca="1"/>
        <v>0.82322118126953958</v>
      </c>
      <c r="AV241" s="66" t="str">
        <f t="array" ref="AV241">IF($AB241, Push(Fetch(AG241) - MMULT(Fetch(AQ241),MMULT($I$38:$L$41,Fetch(AG241)))), "")</f>
        <v/>
      </c>
      <c r="AW241" s="97">
        <f t="array" aca="1" ref="AW241" ca="1">IF($AB241,LN(MDETERM(Fetch(AL241))),$J$65)   -   MMULT(AM241:AP241,MMULT(IF($AB241,Fetch(AL241),$G$61:$J$64),TRANSPOSE(AM241:AP241)))</f>
        <v>6.8754558746732357</v>
      </c>
    </row>
    <row r="242" spans="23:49" x14ac:dyDescent="0.15">
      <c r="W242" s="12">
        <f t="shared" si="6"/>
        <v>239</v>
      </c>
      <c r="X242" s="62">
        <f t="array" aca="1" ref="X242:AA242" ca="1">simulate!AE242:AH242</f>
        <v>0.9870681477140385</v>
      </c>
      <c r="Y242" s="62">
        <f ca="1"/>
        <v>1.0700145609865392</v>
      </c>
      <c r="Z242" s="62">
        <f ca="1"/>
        <v>1.1668560310223619</v>
      </c>
      <c r="AA242" s="62">
        <f ca="1"/>
        <v>0.52400234806310542</v>
      </c>
      <c r="AB242" s="98">
        <f t="shared" si="7"/>
        <v>0</v>
      </c>
      <c r="AC242" s="62">
        <f t="array" aca="1" ref="AC242:AF242" ca="1">TRANSPOSE($G$44:$G$47 + MMULT($I$44:$L$47,TRANSPOSE(AR241:AU241)))</f>
        <v>0.86331112517863851</v>
      </c>
      <c r="AD242" s="62">
        <f ca="1"/>
        <v>0.52685368899898533</v>
      </c>
      <c r="AE242" s="62">
        <f ca="1"/>
        <v>0.71890075782539387</v>
      </c>
      <c r="AF242" s="62">
        <f ca="1"/>
        <v>0.81964827811832675</v>
      </c>
      <c r="AG242" s="66" t="str">
        <f t="array" ref="AG242">IF($AB242, Push(MMULT($I$44:$L$47,MMULT(Fetch(AV241),TRANSPOSE($I$44:$L$47))) + $N$44:$Q$47), "")</f>
        <v/>
      </c>
      <c r="AH242" s="62">
        <f t="array" aca="1" ref="AH242:AK242" ca="1">TRANSPOSE($G$38:$G$41 + MMULT($I$38:$L$41,TRANSPOSE(AC242:AF242)))</f>
        <v>1.0769943702595244</v>
      </c>
      <c r="AI242" s="62">
        <f ca="1"/>
        <v>0.79401426636259886</v>
      </c>
      <c r="AJ242" s="62">
        <f ca="1"/>
        <v>0.88256950604066531</v>
      </c>
      <c r="AK242" s="62">
        <f ca="1"/>
        <v>0.76429936842364632</v>
      </c>
      <c r="AL242" s="66" t="str">
        <f t="array" ref="AL242">IF($AB242, Push(MINVERSE(MMULT($I$38:$L$41,MMULT(Fetch(AG242),TRANSPOSE($I$38:$L$41))) + $N$38:$Q$41)), "")</f>
        <v/>
      </c>
      <c r="AM242" s="62">
        <f t="array" aca="1" ref="AM242:AP242" ca="1">X242:AA242 - AH242:AK242</f>
        <v>-8.9926222545485879E-2</v>
      </c>
      <c r="AN242" s="62">
        <f ca="1"/>
        <v>0.27600029462394038</v>
      </c>
      <c r="AO242" s="62">
        <f ca="1"/>
        <v>0.2842865249816966</v>
      </c>
      <c r="AP242" s="62">
        <f ca="1"/>
        <v>-0.2402970203605409</v>
      </c>
      <c r="AQ242" s="66" t="str">
        <f t="array" ref="AQ242">IF($AB242, Push(MMULT(Fetch(AG242),MMULT(TRANSPOSE($I$38:$L$41),Fetch(AL242)))), "")</f>
        <v/>
      </c>
      <c r="AR242" s="62">
        <f t="array" aca="1" ref="AR242:AU242" ca="1">AC242:AF242 + TRANSPOSE(MMULT(IF($AB242,Fetch(AQ242),$L$61:$O$64),TRANSPOSE(AM242:AP242)))</f>
        <v>0.99086051452140333</v>
      </c>
      <c r="AS242" s="62">
        <f ca="1"/>
        <v>0.59266949709541072</v>
      </c>
      <c r="AT242" s="62">
        <f ca="1"/>
        <v>0.54122414865211566</v>
      </c>
      <c r="AU242" s="62">
        <f ca="1"/>
        <v>0.85319003147544548</v>
      </c>
      <c r="AV242" s="66" t="str">
        <f t="array" ref="AV242">IF($AB242, Push(Fetch(AG242) - MMULT(Fetch(AQ242),MMULT($I$38:$L$41,Fetch(AG242)))), "")</f>
        <v/>
      </c>
      <c r="AW242" s="97">
        <f t="array" aca="1" ref="AW242" ca="1">IF($AB242,LN(MDETERM(Fetch(AL242))),$J$65)   -   MMULT(AM242:AP242,MMULT(IF($AB242,Fetch(AL242),$G$61:$J$64),TRANSPOSE(AM242:AP242)))</f>
        <v>5.7006454190802112</v>
      </c>
    </row>
    <row r="243" spans="23:49" x14ac:dyDescent="0.15">
      <c r="W243" s="12">
        <f t="shared" si="6"/>
        <v>240</v>
      </c>
      <c r="X243" s="62">
        <f t="array" aca="1" ref="X243:AA243" ca="1">simulate!AE243:AH243</f>
        <v>0.85993029663514897</v>
      </c>
      <c r="Y243" s="62">
        <f ca="1"/>
        <v>0.68532426076308339</v>
      </c>
      <c r="Z243" s="62">
        <f ca="1"/>
        <v>0.88458397332650951</v>
      </c>
      <c r="AA243" s="62">
        <f ca="1"/>
        <v>1.1938469375208647</v>
      </c>
      <c r="AB243" s="98">
        <f t="shared" si="7"/>
        <v>0</v>
      </c>
      <c r="AC243" s="62">
        <f t="array" aca="1" ref="AC243:AF243" ca="1">TRANSPOSE($G$44:$G$47 + MMULT($I$44:$L$47,TRANSPOSE(AR242:AU242)))</f>
        <v>0.97638196624516538</v>
      </c>
      <c r="AD243" s="62">
        <f ca="1"/>
        <v>0.67365123821100992</v>
      </c>
      <c r="AE243" s="62">
        <f ca="1"/>
        <v>0.68755089021361115</v>
      </c>
      <c r="AF243" s="62">
        <f ca="1"/>
        <v>0.83519357726261667</v>
      </c>
      <c r="AG243" s="66" t="str">
        <f t="array" ref="AG243">IF($AB243, Push(MMULT($I$44:$L$47,MMULT(Fetch(AV242),TRANSPOSE($I$44:$L$47))) + $N$44:$Q$47), "")</f>
        <v/>
      </c>
      <c r="AH243" s="62">
        <f t="array" aca="1" ref="AH243:AK243" ca="1">TRANSPOSE($G$38:$G$41 + MMULT($I$38:$L$41,TRANSPOSE(AC243:AF243)))</f>
        <v>1.1257345359604629</v>
      </c>
      <c r="AI243" s="62">
        <f ca="1"/>
        <v>0.97482038738401111</v>
      </c>
      <c r="AJ243" s="62">
        <f ca="1"/>
        <v>0.88642306251327585</v>
      </c>
      <c r="AK243" s="62">
        <f ca="1"/>
        <v>0.7424430414207368</v>
      </c>
      <c r="AL243" s="66" t="str">
        <f t="array" ref="AL243">IF($AB243, Push(MINVERSE(MMULT($I$38:$L$41,MMULT(Fetch(AG243),TRANSPOSE($I$38:$L$41))) + $N$38:$Q$41)), "")</f>
        <v/>
      </c>
      <c r="AM243" s="62">
        <f t="array" aca="1" ref="AM243:AP243" ca="1">X243:AA243 - AH243:AK243</f>
        <v>-0.26580423932531394</v>
      </c>
      <c r="AN243" s="62">
        <f ca="1"/>
        <v>-0.28949612662092772</v>
      </c>
      <c r="AO243" s="62">
        <f ca="1"/>
        <v>-1.8390891867663406E-3</v>
      </c>
      <c r="AP243" s="62">
        <f ca="1"/>
        <v>0.45140389610012788</v>
      </c>
      <c r="AQ243" s="66" t="str">
        <f t="array" ref="AQ243">IF($AB243, Push(MMULT(Fetch(AG243),MMULT(TRANSPOSE($I$38:$L$41),Fetch(AL243)))), "")</f>
        <v/>
      </c>
      <c r="AR243" s="62">
        <f t="array" aca="1" ref="AR243:AU243" ca="1">AC243:AF243 + TRANSPOSE(MMULT(IF($AB243,Fetch(AQ243),$L$61:$O$64),TRANSPOSE(AM243:AP243)))</f>
        <v>0.70825932724131635</v>
      </c>
      <c r="AS243" s="62">
        <f ca="1"/>
        <v>0.6448662497564891</v>
      </c>
      <c r="AT243" s="62">
        <f ca="1"/>
        <v>0.92458491180755487</v>
      </c>
      <c r="AU243" s="62">
        <f ca="1"/>
        <v>0.98903210167539313</v>
      </c>
      <c r="AV243" s="66" t="str">
        <f t="array" ref="AV243">IF($AB243, Push(Fetch(AG243) - MMULT(Fetch(AQ243),MMULT($I$38:$L$41,Fetch(AG243)))), "")</f>
        <v/>
      </c>
      <c r="AW243" s="97">
        <f t="array" aca="1" ref="AW243" ca="1">IF($AB243,LN(MDETERM(Fetch(AL243))),$J$65)   -   MMULT(AM243:AP243,MMULT(IF($AB243,Fetch(AL243),$G$61:$J$64),TRANSPOSE(AM243:AP243)))</f>
        <v>3.7429392705199902</v>
      </c>
    </row>
    <row r="244" spans="23:49" x14ac:dyDescent="0.15">
      <c r="W244" s="12">
        <f t="shared" si="6"/>
        <v>241</v>
      </c>
      <c r="X244" s="62">
        <f t="array" aca="1" ref="X244:AA244" ca="1">simulate!AE244:AH244</f>
        <v>1.6289136423471344</v>
      </c>
      <c r="Y244" s="62">
        <f ca="1"/>
        <v>1.6216533465934853</v>
      </c>
      <c r="Z244" s="62">
        <f ca="1"/>
        <v>0.26003932108765437</v>
      </c>
      <c r="AA244" s="62">
        <f ca="1"/>
        <v>1.4890583495941536</v>
      </c>
      <c r="AB244" s="98">
        <f t="shared" si="7"/>
        <v>0</v>
      </c>
      <c r="AC244" s="62">
        <f t="array" aca="1" ref="AC244:AF244" ca="1">TRANSPOSE($G$44:$G$47 + MMULT($I$44:$L$47,TRANSPOSE(AR243:AU243)))</f>
        <v>0.86529785678139737</v>
      </c>
      <c r="AD244" s="62">
        <f ca="1"/>
        <v>0.72236210928822342</v>
      </c>
      <c r="AE244" s="62">
        <f ca="1"/>
        <v>0.90305585432676716</v>
      </c>
      <c r="AF244" s="62">
        <f ca="1"/>
        <v>0.96093576223518151</v>
      </c>
      <c r="AG244" s="66" t="str">
        <f t="array" ref="AG244">IF($AB244, Push(MMULT($I$44:$L$47,MMULT(Fetch(AV243),TRANSPOSE($I$44:$L$47))) + $N$44:$Q$47), "")</f>
        <v/>
      </c>
      <c r="AH244" s="62">
        <f t="array" aca="1" ref="AH244:AK244" ca="1">TRANSPOSE($G$38:$G$41 + MMULT($I$38:$L$41,TRANSPOSE(AC244:AF244)))</f>
        <v>1.1449745152735336</v>
      </c>
      <c r="AI244" s="62">
        <f ca="1"/>
        <v>0.94580628690056989</v>
      </c>
      <c r="AJ244" s="62">
        <f ca="1"/>
        <v>0.90995150465535968</v>
      </c>
      <c r="AK244" s="62">
        <f ca="1"/>
        <v>1.0166698317879113</v>
      </c>
      <c r="AL244" s="66" t="str">
        <f t="array" ref="AL244">IF($AB244, Push(MINVERSE(MMULT($I$38:$L$41,MMULT(Fetch(AG244),TRANSPOSE($I$38:$L$41))) + $N$38:$Q$41)), "")</f>
        <v/>
      </c>
      <c r="AM244" s="62">
        <f t="array" aca="1" ref="AM244:AP244" ca="1">X244:AA244 - AH244:AK244</f>
        <v>0.48393912707360087</v>
      </c>
      <c r="AN244" s="62">
        <f ca="1"/>
        <v>0.67584705969291536</v>
      </c>
      <c r="AO244" s="62">
        <f ca="1"/>
        <v>-0.6499121835677053</v>
      </c>
      <c r="AP244" s="62">
        <f ca="1"/>
        <v>0.47238851780624236</v>
      </c>
      <c r="AQ244" s="66" t="str">
        <f t="array" ref="AQ244">IF($AB244, Push(MMULT(Fetch(AG244),MMULT(TRANSPOSE($I$38:$L$41),Fetch(AL244)))), "")</f>
        <v/>
      </c>
      <c r="AR244" s="62">
        <f t="array" aca="1" ref="AR244:AU244" ca="1">AC244:AF244 + TRANSPOSE(MMULT(IF($AB244,Fetch(AQ244),$L$61:$O$64),TRANSPOSE(AM244:AP244)))</f>
        <v>0.92251373712723239</v>
      </c>
      <c r="AS244" s="62">
        <f ca="1"/>
        <v>1.253517233880185</v>
      </c>
      <c r="AT244" s="62">
        <f ca="1"/>
        <v>1.1949750020795631</v>
      </c>
      <c r="AU244" s="62">
        <f ca="1"/>
        <v>0.86754948210447513</v>
      </c>
      <c r="AV244" s="66" t="str">
        <f t="array" ref="AV244">IF($AB244, Push(Fetch(AG244) - MMULT(Fetch(AQ244),MMULT($I$38:$L$41,Fetch(AG244)))), "")</f>
        <v/>
      </c>
      <c r="AW244" s="97">
        <f t="array" aca="1" ref="AW244" ca="1">IF($AB244,LN(MDETERM(Fetch(AL244))),$J$65)   -   MMULT(AM244:AP244,MMULT(IF($AB244,Fetch(AL244),$G$61:$J$64),TRANSPOSE(AM244:AP244)))</f>
        <v>1.8930198729362564</v>
      </c>
    </row>
    <row r="245" spans="23:49" x14ac:dyDescent="0.15">
      <c r="W245" s="12">
        <f t="shared" si="6"/>
        <v>242</v>
      </c>
      <c r="X245" s="62">
        <f t="array" aca="1" ref="X245:AA245" ca="1">simulate!AE245:AH245</f>
        <v>1.5124656462225636</v>
      </c>
      <c r="Y245" s="62">
        <f ca="1"/>
        <v>0.90958306358515606</v>
      </c>
      <c r="Z245" s="62">
        <f ca="1"/>
        <v>1.846182873399653</v>
      </c>
      <c r="AA245" s="62">
        <f ca="1"/>
        <v>1.8753858178934941</v>
      </c>
      <c r="AB245" s="98">
        <f t="shared" si="7"/>
        <v>0</v>
      </c>
      <c r="AC245" s="62">
        <f t="array" aca="1" ref="AC245:AF245" ca="1">TRANSPOSE($G$44:$G$47 + MMULT($I$44:$L$47,TRANSPOSE(AR244:AU244)))</f>
        <v>1.0844956875706919</v>
      </c>
      <c r="AD245" s="62">
        <f ca="1"/>
        <v>1.1172331960059212</v>
      </c>
      <c r="AE245" s="62">
        <f ca="1"/>
        <v>1.145180144602413</v>
      </c>
      <c r="AF245" s="62">
        <f ca="1"/>
        <v>0.99284864441799625</v>
      </c>
      <c r="AG245" s="66" t="str">
        <f t="array" ref="AG245">IF($AB245, Push(MMULT($I$44:$L$47,MMULT(Fetch(AV244),TRANSPOSE($I$44:$L$47))) + $N$44:$Q$47), "")</f>
        <v/>
      </c>
      <c r="AH245" s="62">
        <f t="array" aca="1" ref="AH245:AK245" ca="1">TRANSPOSE($G$38:$G$41 + MMULT($I$38:$L$41,TRANSPOSE(AC245:AF245)))</f>
        <v>1.4257450303395967</v>
      </c>
      <c r="AI245" s="62">
        <f ca="1"/>
        <v>1.3153555762462639</v>
      </c>
      <c r="AJ245" s="62">
        <f ca="1"/>
        <v>0.84883627696655561</v>
      </c>
      <c r="AK245" s="62">
        <f ca="1"/>
        <v>1.2275717940766011</v>
      </c>
      <c r="AL245" s="66" t="str">
        <f t="array" ref="AL245">IF($AB245, Push(MINVERSE(MMULT($I$38:$L$41,MMULT(Fetch(AG245),TRANSPOSE($I$38:$L$41))) + $N$38:$Q$41)), "")</f>
        <v/>
      </c>
      <c r="AM245" s="62">
        <f t="array" aca="1" ref="AM245:AP245" ca="1">X245:AA245 - AH245:AK245</f>
        <v>8.6720615882966978E-2</v>
      </c>
      <c r="AN245" s="62">
        <f ca="1"/>
        <v>-0.40577251266110781</v>
      </c>
      <c r="AO245" s="62">
        <f ca="1"/>
        <v>0.99734659643309742</v>
      </c>
      <c r="AP245" s="62">
        <f ca="1"/>
        <v>0.64781402381689301</v>
      </c>
      <c r="AQ245" s="66" t="str">
        <f t="array" ref="AQ245">IF($AB245, Push(MMULT(Fetch(AG245),MMULT(TRANSPOSE($I$38:$L$41),Fetch(AL245)))), "")</f>
        <v/>
      </c>
      <c r="AR245" s="62">
        <f t="array" aca="1" ref="AR245:AU245" ca="1">AC245:AF245 + TRANSPOSE(MMULT(IF($AB245,Fetch(AQ245),$L$61:$O$64),TRANSPOSE(AM245:AP245)))</f>
        <v>1.1651857884307433</v>
      </c>
      <c r="AS245" s="62">
        <f ca="1"/>
        <v>0.79010626815680374</v>
      </c>
      <c r="AT245" s="62">
        <f ca="1"/>
        <v>1.8228276612937511</v>
      </c>
      <c r="AU245" s="62">
        <f ca="1"/>
        <v>1.6228158472246743</v>
      </c>
      <c r="AV245" s="66" t="str">
        <f t="array" ref="AV245">IF($AB245, Push(Fetch(AG245) - MMULT(Fetch(AQ245),MMULT($I$38:$L$41,Fetch(AG245)))), "")</f>
        <v/>
      </c>
      <c r="AW245" s="97">
        <f t="array" aca="1" ref="AW245" ca="1">IF($AB245,LN(MDETERM(Fetch(AL245))),$J$65)   -   MMULT(AM245:AP245,MMULT(IF($AB245,Fetch(AL245),$G$61:$J$64),TRANSPOSE(AM245:AP245)))</f>
        <v>-0.70887564465824404</v>
      </c>
    </row>
    <row r="246" spans="23:49" x14ac:dyDescent="0.15">
      <c r="W246" s="12">
        <f t="shared" si="6"/>
        <v>243</v>
      </c>
      <c r="X246" s="62">
        <f t="array" aca="1" ref="X246:AA246" ca="1">simulate!AE246:AH246</f>
        <v>2.0873314387903608</v>
      </c>
      <c r="Y246" s="62">
        <f ca="1"/>
        <v>1.6937555082718339</v>
      </c>
      <c r="Z246" s="62">
        <f ca="1"/>
        <v>0.6827228788421067</v>
      </c>
      <c r="AA246" s="62">
        <f ca="1"/>
        <v>1.6217772589964008</v>
      </c>
      <c r="AB246" s="98">
        <f t="shared" si="7"/>
        <v>0</v>
      </c>
      <c r="AC246" s="62">
        <f t="array" aca="1" ref="AC246:AF246" ca="1">TRANSPOSE($G$44:$G$47 + MMULT($I$44:$L$47,TRANSPOSE(AR245:AU245)))</f>
        <v>1.2279636143333938</v>
      </c>
      <c r="AD246" s="62">
        <f ca="1"/>
        <v>1.0530360946819028</v>
      </c>
      <c r="AE246" s="62">
        <f ca="1"/>
        <v>1.538075327082872</v>
      </c>
      <c r="AF246" s="62">
        <f ca="1"/>
        <v>1.4813613630912619</v>
      </c>
      <c r="AG246" s="66" t="str">
        <f t="array" ref="AG246">IF($AB246, Push(MMULT($I$44:$L$47,MMULT(Fetch(AV245),TRANSPOSE($I$44:$L$47))) + $N$44:$Q$47), "")</f>
        <v/>
      </c>
      <c r="AH246" s="62">
        <f t="array" aca="1" ref="AH246:AK246" ca="1">TRANSPOSE($G$38:$G$41 + MMULT($I$38:$L$41,TRANSPOSE(AC246:AF246)))</f>
        <v>1.6427159529196316</v>
      </c>
      <c r="AI246" s="62">
        <f ca="1"/>
        <v>1.3081074358352729</v>
      </c>
      <c r="AJ246" s="62">
        <f ca="1"/>
        <v>1.3001569625030782</v>
      </c>
      <c r="AK246" s="62">
        <f ca="1"/>
        <v>1.636101274741202</v>
      </c>
      <c r="AL246" s="66" t="str">
        <f t="array" ref="AL246">IF($AB246, Push(MINVERSE(MMULT($I$38:$L$41,MMULT(Fetch(AG246),TRANSPOSE($I$38:$L$41))) + $N$38:$Q$41)), "")</f>
        <v/>
      </c>
      <c r="AM246" s="62">
        <f t="array" aca="1" ref="AM246:AP246" ca="1">X246:AA246 - AH246:AK246</f>
        <v>0.44461548587072919</v>
      </c>
      <c r="AN246" s="62">
        <f ca="1"/>
        <v>0.38564807243656096</v>
      </c>
      <c r="AO246" s="62">
        <f ca="1"/>
        <v>-0.61743408366097152</v>
      </c>
      <c r="AP246" s="62">
        <f ca="1"/>
        <v>-1.4324015744801244E-2</v>
      </c>
      <c r="AQ246" s="66" t="str">
        <f t="array" ref="AQ246">IF($AB246, Push(MMULT(Fetch(AG246),MMULT(TRANSPOSE($I$38:$L$41),Fetch(AL246)))), "")</f>
        <v/>
      </c>
      <c r="AR246" s="62">
        <f t="array" aca="1" ref="AR246:AU246" ca="1">AC246:AF246 + TRANSPOSE(MMULT(IF($AB246,Fetch(AQ246),$L$61:$O$64),TRANSPOSE(AM246:AP246)))</f>
        <v>1.3391489750793482</v>
      </c>
      <c r="AS246" s="62">
        <f ca="1"/>
        <v>1.3220901226419537</v>
      </c>
      <c r="AT246" s="62">
        <f ca="1"/>
        <v>1.5371664250251427</v>
      </c>
      <c r="AU246" s="62">
        <f ca="1"/>
        <v>1.2291242296864782</v>
      </c>
      <c r="AV246" s="66" t="str">
        <f t="array" ref="AV246">IF($AB246, Push(Fetch(AG246) - MMULT(Fetch(AQ246),MMULT($I$38:$L$41,Fetch(AG246)))), "")</f>
        <v/>
      </c>
      <c r="AW246" s="97">
        <f t="array" aca="1" ref="AW246" ca="1">IF($AB246,LN(MDETERM(Fetch(AL246))),$J$65)   -   MMULT(AM246:AP246,MMULT(IF($AB246,Fetch(AL246),$G$61:$J$64),TRANSPOSE(AM246:AP246)))</f>
        <v>4.0961182464755375</v>
      </c>
    </row>
    <row r="247" spans="23:49" x14ac:dyDescent="0.15">
      <c r="W247" s="12">
        <f t="shared" si="6"/>
        <v>244</v>
      </c>
      <c r="X247" s="62">
        <f t="array" aca="1" ref="X247:AA247" ca="1">simulate!AE247:AH247</f>
        <v>0.26155793408709083</v>
      </c>
      <c r="Y247" s="62">
        <f ca="1"/>
        <v>0.92882218563034791</v>
      </c>
      <c r="Z247" s="62">
        <f ca="1"/>
        <v>1.7363171355812645</v>
      </c>
      <c r="AA247" s="62">
        <f ca="1"/>
        <v>0.7543884305300006</v>
      </c>
      <c r="AB247" s="98">
        <f t="shared" si="7"/>
        <v>0</v>
      </c>
      <c r="AC247" s="62">
        <f t="array" aca="1" ref="AC247:AF247" ca="1">TRANSPOSE($G$44:$G$47 + MMULT($I$44:$L$47,TRANSPOSE(AR246:AU246)))</f>
        <v>1.3613921755627296</v>
      </c>
      <c r="AD247" s="62">
        <f ca="1"/>
        <v>1.2982919846866099</v>
      </c>
      <c r="AE247" s="62">
        <f ca="1"/>
        <v>1.4242900692651024</v>
      </c>
      <c r="AF247" s="62">
        <f ca="1"/>
        <v>1.2685870568497204</v>
      </c>
      <c r="AG247" s="66" t="str">
        <f t="array" ref="AG247">IF($AB247, Push(MMULT($I$44:$L$47,MMULT(Fetch(AV246),TRANSPOSE($I$44:$L$47))) + $N$44:$Q$47), "")</f>
        <v/>
      </c>
      <c r="AH247" s="62">
        <f t="array" aca="1" ref="AH247:AK247" ca="1">TRANSPOSE($G$38:$G$41 + MMULT($I$38:$L$41,TRANSPOSE(AC247:AF247)))</f>
        <v>1.7133091278798793</v>
      </c>
      <c r="AI247" s="62">
        <f ca="1"/>
        <v>1.5584248960863534</v>
      </c>
      <c r="AJ247" s="62">
        <f ca="1"/>
        <v>1.0914518195585456</v>
      </c>
      <c r="AK247" s="62">
        <f ca="1"/>
        <v>1.4780710280226079</v>
      </c>
      <c r="AL247" s="66" t="str">
        <f t="array" ref="AL247">IF($AB247, Push(MINVERSE(MMULT($I$38:$L$41,MMULT(Fetch(AG247),TRANSPOSE($I$38:$L$41))) + $N$38:$Q$41)), "")</f>
        <v/>
      </c>
      <c r="AM247" s="62">
        <f t="array" aca="1" ref="AM247:AP247" ca="1">X247:AA247 - AH247:AK247</f>
        <v>-1.4517511937927885</v>
      </c>
      <c r="AN247" s="62">
        <f ca="1"/>
        <v>-0.62960271045600547</v>
      </c>
      <c r="AO247" s="62">
        <f ca="1"/>
        <v>0.6448653160227189</v>
      </c>
      <c r="AP247" s="62">
        <f ca="1"/>
        <v>-0.72368259749260733</v>
      </c>
      <c r="AQ247" s="66" t="str">
        <f t="array" ref="AQ247">IF($AB247, Push(MMULT(Fetch(AG247),MMULT(TRANSPOSE($I$38:$L$41),Fetch(AL247)))), "")</f>
        <v/>
      </c>
      <c r="AR247" s="62">
        <f t="array" aca="1" ref="AR247:AU247" ca="1">AC247:AF247 + TRANSPOSE(MMULT(IF($AB247,Fetch(AQ247),$L$61:$O$64),TRANSPOSE(AM247:AP247)))</f>
        <v>0.92597212440642873</v>
      </c>
      <c r="AS247" s="62">
        <f ca="1"/>
        <v>0.91350530548637343</v>
      </c>
      <c r="AT247" s="62">
        <f ca="1"/>
        <v>0.60899752948218144</v>
      </c>
      <c r="AU247" s="62">
        <f ca="1"/>
        <v>1.2689859766365839</v>
      </c>
      <c r="AV247" s="66" t="str">
        <f t="array" ref="AV247">IF($AB247, Push(Fetch(AG247) - MMULT(Fetch(AQ247),MMULT($I$38:$L$41,Fetch(AG247)))), "")</f>
        <v/>
      </c>
      <c r="AW247" s="97">
        <f t="array" aca="1" ref="AW247" ca="1">IF($AB247,LN(MDETERM(Fetch(AL247))),$J$65)   -   MMULT(AM247:AP247,MMULT(IF($AB247,Fetch(AL247),$G$61:$J$64),TRANSPOSE(AM247:AP247)))</f>
        <v>-5.8658761219782551</v>
      </c>
    </row>
    <row r="248" spans="23:49" x14ac:dyDescent="0.15">
      <c r="W248" s="12">
        <f t="shared" si="6"/>
        <v>245</v>
      </c>
      <c r="X248" s="62">
        <f t="array" aca="1" ref="X248:AA248" ca="1">simulate!AE248:AH248</f>
        <v>0.46498110470172793</v>
      </c>
      <c r="Y248" s="62">
        <f ca="1"/>
        <v>1.7610068918582145</v>
      </c>
      <c r="Z248" s="62">
        <f ca="1"/>
        <v>1.0175941197173102</v>
      </c>
      <c r="AA248" s="62">
        <f ca="1"/>
        <v>0.80587937349276828</v>
      </c>
      <c r="AB248" s="98">
        <f t="shared" si="7"/>
        <v>0</v>
      </c>
      <c r="AC248" s="62">
        <f t="array" aca="1" ref="AC248:AF248" ca="1">TRANSPOSE($G$44:$G$47 + MMULT($I$44:$L$47,TRANSPOSE(AR247:AU247)))</f>
        <v>1.0136239558705835</v>
      </c>
      <c r="AD248" s="62">
        <f ca="1"/>
        <v>0.87601903655015845</v>
      </c>
      <c r="AE248" s="62">
        <f ca="1"/>
        <v>0.83315953936836762</v>
      </c>
      <c r="AF248" s="62">
        <f ca="1"/>
        <v>1.0904781440676961</v>
      </c>
      <c r="AG248" s="66" t="str">
        <f t="array" ref="AG248">IF($AB248, Push(MMULT($I$44:$L$47,MMULT(Fetch(AV247),TRANSPOSE($I$44:$L$47))) + $N$44:$Q$47), "")</f>
        <v/>
      </c>
      <c r="AH248" s="62">
        <f t="array" aca="1" ref="AH248:AK248" ca="1">TRANSPOSE($G$38:$G$41 + MMULT($I$38:$L$41,TRANSPOSE(AC248:AF248)))</f>
        <v>1.1616318275102473</v>
      </c>
      <c r="AI248" s="62">
        <f ca="1"/>
        <v>1.177888572881497</v>
      </c>
      <c r="AJ248" s="62">
        <f ca="1"/>
        <v>1.0236284976914081</v>
      </c>
      <c r="AK248" s="62">
        <f ca="1"/>
        <v>1.001983299201975</v>
      </c>
      <c r="AL248" s="66" t="str">
        <f t="array" ref="AL248">IF($AB248, Push(MINVERSE(MMULT($I$38:$L$41,MMULT(Fetch(AG248),TRANSPOSE($I$38:$L$41))) + $N$38:$Q$41)), "")</f>
        <v/>
      </c>
      <c r="AM248" s="62">
        <f t="array" aca="1" ref="AM248:AP248" ca="1">X248:AA248 - AH248:AK248</f>
        <v>-0.69665072280851936</v>
      </c>
      <c r="AN248" s="62">
        <f ca="1"/>
        <v>0.58311831897671751</v>
      </c>
      <c r="AO248" s="62">
        <f ca="1"/>
        <v>-6.0343779740978931E-3</v>
      </c>
      <c r="AP248" s="62">
        <f ca="1"/>
        <v>-0.19610392570920676</v>
      </c>
      <c r="AQ248" s="66" t="str">
        <f t="array" ref="AQ248">IF($AB248, Push(MMULT(Fetch(AG248),MMULT(TRANSPOSE($I$38:$L$41),Fetch(AL248)))), "")</f>
        <v/>
      </c>
      <c r="AR248" s="62">
        <f t="array" aca="1" ref="AR248:AU248" ca="1">AC248:AF248 + TRANSPOSE(MMULT(IF($AB248,Fetch(AQ248),$L$61:$O$64),TRANSPOSE(AM248:AP248)))</f>
        <v>0.83037550302442309</v>
      </c>
      <c r="AS248" s="62">
        <f ca="1"/>
        <v>1.2925008476427746</v>
      </c>
      <c r="AT248" s="62">
        <f ca="1"/>
        <v>0.37674966612520289</v>
      </c>
      <c r="AU248" s="62">
        <f ca="1"/>
        <v>1.0211008345126811</v>
      </c>
      <c r="AV248" s="66" t="str">
        <f t="array" ref="AV248">IF($AB248, Push(Fetch(AG248) - MMULT(Fetch(AQ248),MMULT($I$38:$L$41,Fetch(AG248)))), "")</f>
        <v/>
      </c>
      <c r="AW248" s="97">
        <f t="array" aca="1" ref="AW248" ca="1">IF($AB248,LN(MDETERM(Fetch(AL248))),$J$65)   -   MMULT(AM248:AP248,MMULT(IF($AB248,Fetch(AL248),$G$61:$J$64),TRANSPOSE(AM248:AP248)))</f>
        <v>0.75702202449885281</v>
      </c>
    </row>
    <row r="249" spans="23:49" x14ac:dyDescent="0.15">
      <c r="W249" s="12">
        <f t="shared" si="6"/>
        <v>246</v>
      </c>
      <c r="X249" s="62">
        <f t="array" aca="1" ref="X249:AA249" ca="1">simulate!AE249:AH249</f>
        <v>0.90387025847378366</v>
      </c>
      <c r="Y249" s="62">
        <f ca="1"/>
        <v>1.6429503871712421</v>
      </c>
      <c r="Z249" s="62">
        <f ca="1"/>
        <v>0.77331496088297003</v>
      </c>
      <c r="AA249" s="62">
        <f ca="1"/>
        <v>0.31823565578853419</v>
      </c>
      <c r="AB249" s="98">
        <f t="shared" si="7"/>
        <v>0</v>
      </c>
      <c r="AC249" s="62">
        <f t="array" aca="1" ref="AC249:AF249" ca="1">TRANSPOSE($G$44:$G$47 + MMULT($I$44:$L$47,TRANSPOSE(AR248:AU248)))</f>
        <v>0.98963812409166163</v>
      </c>
      <c r="AD249" s="62">
        <f ca="1"/>
        <v>1.0131679053935425</v>
      </c>
      <c r="AE249" s="62">
        <f ca="1"/>
        <v>0.72577218824765555</v>
      </c>
      <c r="AF249" s="62">
        <f ca="1"/>
        <v>0.94127828179930129</v>
      </c>
      <c r="AG249" s="66" t="str">
        <f t="array" ref="AG249">IF($AB249, Push(MMULT($I$44:$L$47,MMULT(Fetch(AV248),TRANSPOSE($I$44:$L$47))) + $N$44:$Q$47), "")</f>
        <v/>
      </c>
      <c r="AH249" s="62">
        <f t="array" aca="1" ref="AH249:AK249" ca="1">TRANSPOSE($G$38:$G$41 + MMULT($I$38:$L$41,TRANSPOSE(AC249:AF249)))</f>
        <v>1.1113345295240296</v>
      </c>
      <c r="AI249" s="62">
        <f ca="1"/>
        <v>1.2866328954910955</v>
      </c>
      <c r="AJ249" s="62">
        <f ca="1"/>
        <v>0.84763417086581239</v>
      </c>
      <c r="AK249" s="62">
        <f ca="1"/>
        <v>0.91339083071030092</v>
      </c>
      <c r="AL249" s="66" t="str">
        <f t="array" ref="AL249">IF($AB249, Push(MINVERSE(MMULT($I$38:$L$41,MMULT(Fetch(AG249),TRANSPOSE($I$38:$L$41))) + $N$38:$Q$41)), "")</f>
        <v/>
      </c>
      <c r="AM249" s="62">
        <f t="array" aca="1" ref="AM249:AP249" ca="1">X249:AA249 - AH249:AK249</f>
        <v>-0.2074642710502459</v>
      </c>
      <c r="AN249" s="62">
        <f ca="1"/>
        <v>0.35631749168014659</v>
      </c>
      <c r="AO249" s="62">
        <f ca="1"/>
        <v>-7.431920998284236E-2</v>
      </c>
      <c r="AP249" s="62">
        <f ca="1"/>
        <v>-0.59515517492176673</v>
      </c>
      <c r="AQ249" s="66" t="str">
        <f t="array" ref="AQ249">IF($AB249, Push(MMULT(Fetch(AG249),MMULT(TRANSPOSE($I$38:$L$41),Fetch(AL249)))), "")</f>
        <v/>
      </c>
      <c r="AR249" s="62">
        <f t="array" aca="1" ref="AR249:AU249" ca="1">AC249:AF249 + TRANSPOSE(MMULT(IF($AB249,Fetch(AQ249),$L$61:$O$64),TRANSPOSE(AM249:AP249)))</f>
        <v>1.065942476256813</v>
      </c>
      <c r="AS249" s="62">
        <f ca="1"/>
        <v>1.1500552400936421</v>
      </c>
      <c r="AT249" s="62">
        <f ca="1"/>
        <v>0.20105179299198794</v>
      </c>
      <c r="AU249" s="62">
        <f ca="1"/>
        <v>0.70497004239827954</v>
      </c>
      <c r="AV249" s="66" t="str">
        <f t="array" ref="AV249">IF($AB249, Push(Fetch(AG249) - MMULT(Fetch(AQ249),MMULT($I$38:$L$41,Fetch(AG249)))), "")</f>
        <v/>
      </c>
      <c r="AW249" s="97">
        <f t="array" aca="1" ref="AW249" ca="1">IF($AB249,LN(MDETERM(Fetch(AL249))),$J$65)   -   MMULT(AM249:AP249,MMULT(IF($AB249,Fetch(AL249),$G$61:$J$64),TRANSPOSE(AM249:AP249)))</f>
        <v>4.1619488029586069</v>
      </c>
    </row>
    <row r="250" spans="23:49" x14ac:dyDescent="0.15">
      <c r="W250" s="12">
        <f t="shared" si="6"/>
        <v>247</v>
      </c>
      <c r="X250" s="62">
        <f t="array" aca="1" ref="X250:AA250" ca="1">simulate!AE250:AH250</f>
        <v>0.63883904011562886</v>
      </c>
      <c r="Y250" s="62">
        <f ca="1"/>
        <v>0.91331186311626789</v>
      </c>
      <c r="Z250" s="62">
        <f ca="1"/>
        <v>1.0125657223785296</v>
      </c>
      <c r="AA250" s="62">
        <f ca="1"/>
        <v>0.75406917593478484</v>
      </c>
      <c r="AB250" s="98">
        <f t="shared" si="7"/>
        <v>0</v>
      </c>
      <c r="AC250" s="62">
        <f t="array" aca="1" ref="AC250:AF250" ca="1">TRANSPOSE($G$44:$G$47 + MMULT($I$44:$L$47,TRANSPOSE(AR249:AU249)))</f>
        <v>1.0680825213935705</v>
      </c>
      <c r="AD250" s="62">
        <f ca="1"/>
        <v>0.92597812212294728</v>
      </c>
      <c r="AE250" s="62">
        <f ca="1"/>
        <v>0.57773871562846313</v>
      </c>
      <c r="AF250" s="62">
        <f ca="1"/>
        <v>0.74319829115399538</v>
      </c>
      <c r="AG250" s="66" t="str">
        <f t="array" ref="AG250">IF($AB250, Push(MMULT($I$44:$L$47,MMULT(Fetch(AV249),TRANSPOSE($I$44:$L$47))) + $N$44:$Q$47), "")</f>
        <v/>
      </c>
      <c r="AH250" s="62">
        <f t="array" aca="1" ref="AH250:AK250" ca="1">TRANSPOSE($G$38:$G$41 + MMULT($I$38:$L$41,TRANSPOSE(AC250:AF250)))</f>
        <v>1.1342732454432427</v>
      </c>
      <c r="AI250" s="62">
        <f ca="1"/>
        <v>1.238584016332765</v>
      </c>
      <c r="AJ250" s="62">
        <f ca="1"/>
        <v>0.75940819616655264</v>
      </c>
      <c r="AK250" s="62">
        <f ca="1"/>
        <v>0.65984306125344672</v>
      </c>
      <c r="AL250" s="66" t="str">
        <f t="array" ref="AL250">IF($AB250, Push(MINVERSE(MMULT($I$38:$L$41,MMULT(Fetch(AG250),TRANSPOSE($I$38:$L$41))) + $N$38:$Q$41)), "")</f>
        <v/>
      </c>
      <c r="AM250" s="62">
        <f t="array" aca="1" ref="AM250:AP250" ca="1">X250:AA250 - AH250:AK250</f>
        <v>-0.49543420532761384</v>
      </c>
      <c r="AN250" s="62">
        <f ca="1"/>
        <v>-0.32527215321649716</v>
      </c>
      <c r="AO250" s="62">
        <f ca="1"/>
        <v>0.25315752621197696</v>
      </c>
      <c r="AP250" s="62">
        <f ca="1"/>
        <v>9.4226114681338125E-2</v>
      </c>
      <c r="AQ250" s="66" t="str">
        <f t="array" ref="AQ250">IF($AB250, Push(MMULT(Fetch(AG250),MMULT(TRANSPOSE($I$38:$L$41),Fetch(AL250)))), "")</f>
        <v/>
      </c>
      <c r="AR250" s="62">
        <f t="array" aca="1" ref="AR250:AU250" ca="1">AC250:AF250 + TRANSPOSE(MMULT(IF($AB250,Fetch(AQ250),$L$61:$O$64),TRANSPOSE(AM250:AP250)))</f>
        <v>0.83392481866187362</v>
      </c>
      <c r="AS250" s="62">
        <f ca="1"/>
        <v>0.79247137737429152</v>
      </c>
      <c r="AT250" s="62">
        <f ca="1"/>
        <v>0.54373728510318087</v>
      </c>
      <c r="AU250" s="62">
        <f ca="1"/>
        <v>0.87515147928694592</v>
      </c>
      <c r="AV250" s="66" t="str">
        <f t="array" ref="AV250">IF($AB250, Push(Fetch(AG250) - MMULT(Fetch(AQ250),MMULT($I$38:$L$41,Fetch(AG250)))), "")</f>
        <v/>
      </c>
      <c r="AW250" s="97">
        <f t="array" aca="1" ref="AW250" ca="1">IF($AB250,LN(MDETERM(Fetch(AL250))),$J$65)   -   MMULT(AM250:AP250,MMULT(IF($AB250,Fetch(AL250),$G$61:$J$64),TRANSPOSE(AM250:AP250)))</f>
        <v>4.909761531026815</v>
      </c>
    </row>
    <row r="251" spans="23:49" x14ac:dyDescent="0.15">
      <c r="W251" s="12">
        <f t="shared" si="6"/>
        <v>248</v>
      </c>
      <c r="X251" s="62">
        <f t="array" aca="1" ref="X251:AA251" ca="1">simulate!AE251:AH251</f>
        <v>0.90797841411835978</v>
      </c>
      <c r="Y251" s="62">
        <f ca="1"/>
        <v>-0.33030119002317199</v>
      </c>
      <c r="Z251" s="62">
        <f ca="1"/>
        <v>2.1055984972241846</v>
      </c>
      <c r="AA251" s="62">
        <f ca="1"/>
        <v>0.62602044303696669</v>
      </c>
      <c r="AB251" s="98">
        <f t="shared" si="7"/>
        <v>0</v>
      </c>
      <c r="AC251" s="62">
        <f t="array" aca="1" ref="AC251:AF251" ca="1">TRANSPOSE($G$44:$G$47 + MMULT($I$44:$L$47,TRANSPOSE(AR250:AU250)))</f>
        <v>0.92242814985763144</v>
      </c>
      <c r="AD251" s="62">
        <f ca="1"/>
        <v>0.75801437608499989</v>
      </c>
      <c r="AE251" s="62">
        <f ca="1"/>
        <v>0.71342678730939857</v>
      </c>
      <c r="AF251" s="62">
        <f ca="1"/>
        <v>0.85414341863362475</v>
      </c>
      <c r="AG251" s="66" t="str">
        <f t="array" ref="AG251">IF($AB251, Push(MMULT($I$44:$L$47,MMULT(Fetch(AV250),TRANSPOSE($I$44:$L$47))) + $N$44:$Q$47), "")</f>
        <v/>
      </c>
      <c r="AH251" s="62">
        <f t="array" aca="1" ref="AH251:AK251" ca="1">TRANSPOSE($G$38:$G$41 + MMULT($I$38:$L$41,TRANSPOSE(AC251:AF251)))</f>
        <v>1.0937260860378668</v>
      </c>
      <c r="AI251" s="62">
        <f ca="1"/>
        <v>1.0254777417228251</v>
      </c>
      <c r="AJ251" s="62">
        <f ca="1"/>
        <v>0.84693996590996279</v>
      </c>
      <c r="AK251" s="62">
        <f ca="1"/>
        <v>0.81930127806965825</v>
      </c>
      <c r="AL251" s="66" t="str">
        <f t="array" ref="AL251">IF($AB251, Push(MINVERSE(MMULT($I$38:$L$41,MMULT(Fetch(AG251),TRANSPOSE($I$38:$L$41))) + $N$38:$Q$41)), "")</f>
        <v/>
      </c>
      <c r="AM251" s="62">
        <f t="array" aca="1" ref="AM251:AP251" ca="1">X251:AA251 - AH251:AK251</f>
        <v>-0.18574767191950703</v>
      </c>
      <c r="AN251" s="62">
        <f ca="1"/>
        <v>-1.3557789317459972</v>
      </c>
      <c r="AO251" s="62">
        <f ca="1"/>
        <v>1.2586585313142218</v>
      </c>
      <c r="AP251" s="62">
        <f ca="1"/>
        <v>-0.19328083503269156</v>
      </c>
      <c r="AQ251" s="66" t="str">
        <f t="array" ref="AQ251">IF($AB251, Push(MMULT(Fetch(AG251),MMULT(TRANSPOSE($I$38:$L$41),Fetch(AL251)))), "")</f>
        <v/>
      </c>
      <c r="AR251" s="62">
        <f t="array" aca="1" ref="AR251:AU251" ca="1">AC251:AF251 + TRANSPOSE(MMULT(IF($AB251,Fetch(AQ251),$L$61:$O$64),TRANSPOSE(AM251:AP251)))</f>
        <v>0.98445449782694938</v>
      </c>
      <c r="AS251" s="62">
        <f ca="1"/>
        <v>-0.28524779255739408</v>
      </c>
      <c r="AT251" s="62">
        <f ca="1"/>
        <v>0.90195116400446773</v>
      </c>
      <c r="AU251" s="62">
        <f ca="1"/>
        <v>1.2893113138370691</v>
      </c>
      <c r="AV251" s="66" t="str">
        <f t="array" ref="AV251">IF($AB251, Push(Fetch(AG251) - MMULT(Fetch(AQ251),MMULT($I$38:$L$41,Fetch(AG251)))), "")</f>
        <v/>
      </c>
      <c r="AW251" s="97">
        <f t="array" aca="1" ref="AW251" ca="1">IF($AB251,LN(MDETERM(Fetch(AL251))),$J$65)   -   MMULT(AM251:AP251,MMULT(IF($AB251,Fetch(AL251),$G$61:$J$64),TRANSPOSE(AM251:AP251)))</f>
        <v>-6.1023684400676217</v>
      </c>
    </row>
    <row r="252" spans="23:49" x14ac:dyDescent="0.15">
      <c r="W252" s="12">
        <f t="shared" si="6"/>
        <v>249</v>
      </c>
      <c r="X252" s="62">
        <f t="array" aca="1" ref="X252:AA252" ca="1">simulate!AE252:AH252</f>
        <v>0.67622657764686744</v>
      </c>
      <c r="Y252" s="62">
        <f ca="1"/>
        <v>0.68046767135101893</v>
      </c>
      <c r="Z252" s="62">
        <f ca="1"/>
        <v>0.94293484792593496</v>
      </c>
      <c r="AA252" s="62">
        <f ca="1"/>
        <v>0.55686352173307607</v>
      </c>
      <c r="AB252" s="98">
        <f t="shared" si="7"/>
        <v>0</v>
      </c>
      <c r="AC252" s="62">
        <f t="array" aca="1" ref="AC252:AF252" ca="1">TRANSPOSE($G$44:$G$47 + MMULT($I$44:$L$47,TRANSPOSE(AR251:AU251)))</f>
        <v>0.88963412903745431</v>
      </c>
      <c r="AD252" s="62">
        <f ca="1"/>
        <v>0.28289934030634312</v>
      </c>
      <c r="AE252" s="62">
        <f ca="1"/>
        <v>0.80391818574618601</v>
      </c>
      <c r="AF252" s="62">
        <f ca="1"/>
        <v>1.066497987773297</v>
      </c>
      <c r="AG252" s="66" t="str">
        <f t="array" ref="AG252">IF($AB252, Push(MMULT($I$44:$L$47,MMULT(Fetch(AV251),TRANSPOSE($I$44:$L$47))) + $N$44:$Q$47), "")</f>
        <v/>
      </c>
      <c r="AH252" s="62">
        <f t="array" aca="1" ref="AH252:AK252" ca="1">TRANSPOSE($G$38:$G$41 + MMULT($I$38:$L$41,TRANSPOSE(AC252:AF252)))</f>
        <v>1.0926292557383857</v>
      </c>
      <c r="AI252" s="62">
        <f ca="1"/>
        <v>0.61798286703395899</v>
      </c>
      <c r="AJ252" s="62">
        <f ca="1"/>
        <v>1.1836774335088565</v>
      </c>
      <c r="AK252" s="62">
        <f ca="1"/>
        <v>0.84474736285164487</v>
      </c>
      <c r="AL252" s="66" t="str">
        <f t="array" ref="AL252">IF($AB252, Push(MINVERSE(MMULT($I$38:$L$41,MMULT(Fetch(AG252),TRANSPOSE($I$38:$L$41))) + $N$38:$Q$41)), "")</f>
        <v/>
      </c>
      <c r="AM252" s="62">
        <f t="array" aca="1" ref="AM252:AP252" ca="1">X252:AA252 - AH252:AK252</f>
        <v>-0.41640267809151821</v>
      </c>
      <c r="AN252" s="62">
        <f ca="1"/>
        <v>6.2484804317059939E-2</v>
      </c>
      <c r="AO252" s="62">
        <f ca="1"/>
        <v>-0.2407425855829215</v>
      </c>
      <c r="AP252" s="62">
        <f ca="1"/>
        <v>-0.2878838411185688</v>
      </c>
      <c r="AQ252" s="66" t="str">
        <f t="array" ref="AQ252">IF($AB252, Push(MMULT(Fetch(AG252),MMULT(TRANSPOSE($I$38:$L$41),Fetch(AL252)))), "")</f>
        <v/>
      </c>
      <c r="AR252" s="62">
        <f t="array" aca="1" ref="AR252:AU252" ca="1">AC252:AF252 + TRANSPOSE(MMULT(IF($AB252,Fetch(AQ252),$L$61:$O$64),TRANSPOSE(AM252:AP252)))</f>
        <v>0.7140799868834431</v>
      </c>
      <c r="AS252" s="62">
        <f ca="1"/>
        <v>0.38450931949031575</v>
      </c>
      <c r="AT252" s="62">
        <f ca="1"/>
        <v>0.41468886243539688</v>
      </c>
      <c r="AU252" s="62">
        <f ca="1"/>
        <v>0.86683391735865789</v>
      </c>
      <c r="AV252" s="66" t="str">
        <f t="array" ref="AV252">IF($AB252, Push(Fetch(AG252) - MMULT(Fetch(AQ252),MMULT($I$38:$L$41,Fetch(AG252)))), "")</f>
        <v/>
      </c>
      <c r="AW252" s="97">
        <f t="array" aca="1" ref="AW252" ca="1">IF($AB252,LN(MDETERM(Fetch(AL252))),$J$65)   -   MMULT(AM252:AP252,MMULT(IF($AB252,Fetch(AL252),$G$61:$J$64),TRANSPOSE(AM252:AP252)))</f>
        <v>6.1516718547883098</v>
      </c>
    </row>
    <row r="253" spans="23:49" x14ac:dyDescent="0.15">
      <c r="W253" s="12">
        <f t="shared" si="6"/>
        <v>250</v>
      </c>
      <c r="X253" s="62">
        <f t="array" aca="1" ref="X253:AA253" ca="1">simulate!AE253:AH253</f>
        <v>0.45412510787616156</v>
      </c>
      <c r="Y253" s="62">
        <f ca="1"/>
        <v>1.1270030642892213</v>
      </c>
      <c r="Z253" s="62">
        <f ca="1"/>
        <v>0.30009942935769279</v>
      </c>
      <c r="AA253" s="62">
        <f ca="1"/>
        <v>0.8027847152664187</v>
      </c>
      <c r="AB253" s="98">
        <f t="shared" si="7"/>
        <v>0</v>
      </c>
      <c r="AC253" s="62">
        <f t="array" aca="1" ref="AC253:AF253" ca="1">TRANSPOSE($G$44:$G$47 + MMULT($I$44:$L$47,TRANSPOSE(AR252:AU252)))</f>
        <v>0.78774233578052444</v>
      </c>
      <c r="AD253" s="62">
        <f ca="1"/>
        <v>0.49853629445163727</v>
      </c>
      <c r="AE253" s="62">
        <f ca="1"/>
        <v>0.56773248376789254</v>
      </c>
      <c r="AF253" s="62">
        <f ca="1"/>
        <v>0.79389960604055942</v>
      </c>
      <c r="AG253" s="66" t="str">
        <f t="array" ref="AG253">IF($AB253, Push(MMULT($I$44:$L$47,MMULT(Fetch(AV252),TRANSPOSE($I$44:$L$47))) + $N$44:$Q$47), "")</f>
        <v/>
      </c>
      <c r="AH253" s="62">
        <f t="array" aca="1" ref="AH253:AK253" ca="1">TRANSPOSE($G$38:$G$41 + MMULT($I$38:$L$41,TRANSPOSE(AC253:AF253)))</f>
        <v>0.93561731472526577</v>
      </c>
      <c r="AI253" s="62">
        <f ca="1"/>
        <v>0.77495363957592533</v>
      </c>
      <c r="AJ253" s="62">
        <f ca="1"/>
        <v>0.85666670072228501</v>
      </c>
      <c r="AK253" s="62">
        <f ca="1"/>
        <v>0.66940140579040985</v>
      </c>
      <c r="AL253" s="66" t="str">
        <f t="array" ref="AL253">IF($AB253, Push(MINVERSE(MMULT($I$38:$L$41,MMULT(Fetch(AG253),TRANSPOSE($I$38:$L$41))) + $N$38:$Q$41)), "")</f>
        <v/>
      </c>
      <c r="AM253" s="62">
        <f t="array" aca="1" ref="AM253:AP253" ca="1">X253:AA253 - AH253:AK253</f>
        <v>-0.48149220684910421</v>
      </c>
      <c r="AN253" s="62">
        <f ca="1"/>
        <v>0.35204942471329592</v>
      </c>
      <c r="AO253" s="62">
        <f ca="1"/>
        <v>-0.55656727136459216</v>
      </c>
      <c r="AP253" s="62">
        <f ca="1"/>
        <v>0.13338330947600885</v>
      </c>
      <c r="AQ253" s="66" t="str">
        <f t="array" ref="AQ253">IF($AB253, Push(MMULT(Fetch(AG253),MMULT(TRANSPOSE($I$38:$L$41),Fetch(AL253)))), "")</f>
        <v/>
      </c>
      <c r="AR253" s="62">
        <f t="array" aca="1" ref="AR253:AU253" ca="1">AC253:AF253 + TRANSPOSE(MMULT(IF($AB253,Fetch(AQ253),$L$61:$O$64),TRANSPOSE(AM253:AP253)))</f>
        <v>0.4541994485450741</v>
      </c>
      <c r="AS253" s="62">
        <f ca="1"/>
        <v>0.92651996650981805</v>
      </c>
      <c r="AT253" s="62">
        <f ca="1"/>
        <v>0.34258203723969127</v>
      </c>
      <c r="AU253" s="62">
        <f ca="1"/>
        <v>0.61441267347719442</v>
      </c>
      <c r="AV253" s="66" t="str">
        <f t="array" ref="AV253">IF($AB253, Push(Fetch(AG253) - MMULT(Fetch(AQ253),MMULT($I$38:$L$41,Fetch(AG253)))), "")</f>
        <v/>
      </c>
      <c r="AW253" s="97">
        <f t="array" aca="1" ref="AW253" ca="1">IF($AB253,LN(MDETERM(Fetch(AL253))),$J$65)   -   MMULT(AM253:AP253,MMULT(IF($AB253,Fetch(AL253),$G$61:$J$64),TRANSPOSE(AM253:AP253)))</f>
        <v>2.5912055348559724</v>
      </c>
    </row>
    <row r="254" spans="23:49" x14ac:dyDescent="0.15">
      <c r="W254" s="12">
        <f t="shared" si="6"/>
        <v>251</v>
      </c>
      <c r="X254" s="62">
        <f t="array" aca="1" ref="X254:AA254" ca="1">simulate!AE254:AH254</f>
        <v>1.0799793507417783</v>
      </c>
      <c r="Y254" s="62">
        <f ca="1"/>
        <v>0.82845790003427111</v>
      </c>
      <c r="Z254" s="62">
        <f ca="1"/>
        <v>0.81129512883089971</v>
      </c>
      <c r="AA254" s="62">
        <f ca="1"/>
        <v>0.61773475799118249</v>
      </c>
      <c r="AB254" s="98">
        <f t="shared" si="7"/>
        <v>0</v>
      </c>
      <c r="AC254" s="62">
        <f t="array" aca="1" ref="AC254:AF254" ca="1">TRANSPOSE($G$44:$G$47 + MMULT($I$44:$L$47,TRANSPOSE(AR253:AU253)))</f>
        <v>0.7103371527742357</v>
      </c>
      <c r="AD254" s="62">
        <f ca="1"/>
        <v>0.72042899141621508</v>
      </c>
      <c r="AE254" s="62">
        <f ca="1"/>
        <v>0.56093471142820173</v>
      </c>
      <c r="AF254" s="62">
        <f ca="1"/>
        <v>0.67195960372586483</v>
      </c>
      <c r="AG254" s="66" t="str">
        <f t="array" ref="AG254">IF($AB254, Push(MMULT($I$44:$L$47,MMULT(Fetch(AV253),TRANSPOSE($I$44:$L$47))) + $N$44:$Q$47), "")</f>
        <v/>
      </c>
      <c r="AH254" s="62">
        <f t="array" aca="1" ref="AH254:AK254" ca="1">TRANSPOSE($G$38:$G$41 + MMULT($I$38:$L$41,TRANSPOSE(AC254:AF254)))</f>
        <v>0.8988274797251754</v>
      </c>
      <c r="AI254" s="62">
        <f ca="1"/>
        <v>0.91742474430257048</v>
      </c>
      <c r="AJ254" s="62">
        <f ca="1"/>
        <v>0.64124196701032909</v>
      </c>
      <c r="AK254" s="62">
        <f ca="1"/>
        <v>0.71505424425100617</v>
      </c>
      <c r="AL254" s="66" t="str">
        <f t="array" ref="AL254">IF($AB254, Push(MINVERSE(MMULT($I$38:$L$41,MMULT(Fetch(AG254),TRANSPOSE($I$38:$L$41))) + $N$38:$Q$41)), "")</f>
        <v/>
      </c>
      <c r="AM254" s="62">
        <f t="array" aca="1" ref="AM254:AP254" ca="1">X254:AA254 - AH254:AK254</f>
        <v>0.18115187101660291</v>
      </c>
      <c r="AN254" s="62">
        <f ca="1"/>
        <v>-8.8966844268299372E-2</v>
      </c>
      <c r="AO254" s="62">
        <f ca="1"/>
        <v>0.17005316182057062</v>
      </c>
      <c r="AP254" s="62">
        <f ca="1"/>
        <v>-9.7319486259823673E-2</v>
      </c>
      <c r="AQ254" s="66" t="str">
        <f t="array" ref="AQ254">IF($AB254, Push(MMULT(Fetch(AG254),MMULT(TRANSPOSE($I$38:$L$41),Fetch(AL254)))), "")</f>
        <v/>
      </c>
      <c r="AR254" s="62">
        <f t="array" aca="1" ref="AR254:AU254" ca="1">AC254:AF254 + TRANSPOSE(MMULT(IF($AB254,Fetch(AQ254),$L$61:$O$64),TRANSPOSE(AM254:AP254)))</f>
        <v>0.84334933716850857</v>
      </c>
      <c r="AS254" s="62">
        <f ca="1"/>
        <v>0.5831068620022557</v>
      </c>
      <c r="AT254" s="62">
        <f ca="1"/>
        <v>0.60247627852940133</v>
      </c>
      <c r="AU254" s="62">
        <f ca="1"/>
        <v>0.70730738100031287</v>
      </c>
      <c r="AV254" s="66" t="str">
        <f t="array" ref="AV254">IF($AB254, Push(Fetch(AG254) - MMULT(Fetch(AQ254),MMULT($I$38:$L$41,Fetch(AG254)))), "")</f>
        <v/>
      </c>
      <c r="AW254" s="97">
        <f t="array" aca="1" ref="AW254" ca="1">IF($AB254,LN(MDETERM(Fetch(AL254))),$J$65)   -   MMULT(AM254:AP254,MMULT(IF($AB254,Fetch(AL254),$G$61:$J$64),TRANSPOSE(AM254:AP254)))</f>
        <v>6.6013595038434412</v>
      </c>
    </row>
    <row r="255" spans="23:49" x14ac:dyDescent="0.15">
      <c r="W255" s="12">
        <f t="shared" si="6"/>
        <v>252</v>
      </c>
      <c r="X255" s="62">
        <f t="array" aca="1" ref="X255:AA255" ca="1">simulate!AE255:AH255</f>
        <v>0.41188706727328689</v>
      </c>
      <c r="Y255" s="62">
        <f ca="1"/>
        <v>0.29560764905947434</v>
      </c>
      <c r="Z255" s="62">
        <f ca="1"/>
        <v>0.16138169030118316</v>
      </c>
      <c r="AA255" s="62">
        <f ca="1"/>
        <v>0.23448044565259082</v>
      </c>
      <c r="AB255" s="98">
        <f t="shared" si="7"/>
        <v>0</v>
      </c>
      <c r="AC255" s="62">
        <f t="array" aca="1" ref="AC255:AF255" ca="1">TRANSPOSE($G$44:$G$47 + MMULT($I$44:$L$47,TRANSPOSE(AR254:AU254)))</f>
        <v>0.89264938834417262</v>
      </c>
      <c r="AD255" s="62">
        <f ca="1"/>
        <v>0.64321715015632452</v>
      </c>
      <c r="AE255" s="62">
        <f ca="1"/>
        <v>0.68698929619429572</v>
      </c>
      <c r="AF255" s="62">
        <f ca="1"/>
        <v>0.75858147461920922</v>
      </c>
      <c r="AG255" s="66" t="str">
        <f t="array" ref="AG255">IF($AB255, Push(MMULT($I$44:$L$47,MMULT(Fetch(AV254),TRANSPOSE($I$44:$L$47))) + $N$44:$Q$47), "")</f>
        <v/>
      </c>
      <c r="AH255" s="62">
        <f t="array" aca="1" ref="AH255:AK255" ca="1">TRANSPOSE($G$38:$G$41 + MMULT($I$38:$L$41,TRANSPOSE(AC255:AF255)))</f>
        <v>1.0888818329459251</v>
      </c>
      <c r="AI255" s="62">
        <f ca="1"/>
        <v>0.90241020469887856</v>
      </c>
      <c r="AJ255" s="62">
        <f ca="1"/>
        <v>0.80167574150795584</v>
      </c>
      <c r="AK255" s="62">
        <f ca="1"/>
        <v>0.73758060546721493</v>
      </c>
      <c r="AL255" s="66" t="str">
        <f t="array" ref="AL255">IF($AB255, Push(MINVERSE(MMULT($I$38:$L$41,MMULT(Fetch(AG255),TRANSPOSE($I$38:$L$41))) + $N$38:$Q$41)), "")</f>
        <v/>
      </c>
      <c r="AM255" s="62">
        <f t="array" aca="1" ref="AM255:AP255" ca="1">X255:AA255 - AH255:AK255</f>
        <v>-0.67699476567263828</v>
      </c>
      <c r="AN255" s="62">
        <f ca="1"/>
        <v>-0.60680255563940422</v>
      </c>
      <c r="AO255" s="62">
        <f ca="1"/>
        <v>-0.64029405120677274</v>
      </c>
      <c r="AP255" s="62">
        <f ca="1"/>
        <v>-0.50310015981462408</v>
      </c>
      <c r="AQ255" s="66" t="str">
        <f t="array" ref="AQ255">IF($AB255, Push(MMULT(Fetch(AG255),MMULT(TRANSPOSE($I$38:$L$41),Fetch(AL255)))), "")</f>
        <v/>
      </c>
      <c r="AR255" s="62">
        <f t="array" aca="1" ref="AR255:AU255" ca="1">AC255:AF255 + TRANSPOSE(MMULT(IF($AB255,Fetch(AQ255),$L$61:$O$64),TRANSPOSE(AM255:AP255)))</f>
        <v>0.441634710675752</v>
      </c>
      <c r="AS255" s="62">
        <f ca="1"/>
        <v>0.44955860999375158</v>
      </c>
      <c r="AT255" s="62">
        <f ca="1"/>
        <v>7.8282061116239365E-2</v>
      </c>
      <c r="AU255" s="62">
        <f ca="1"/>
        <v>0.31536621536908727</v>
      </c>
      <c r="AV255" s="66" t="str">
        <f t="array" ref="AV255">IF($AB255, Push(Fetch(AG255) - MMULT(Fetch(AQ255),MMULT($I$38:$L$41,Fetch(AG255)))), "")</f>
        <v/>
      </c>
      <c r="AW255" s="97">
        <f t="array" aca="1" ref="AW255" ca="1">IF($AB255,LN(MDETERM(Fetch(AL255))),$J$65)   -   MMULT(AM255:AP255,MMULT(IF($AB255,Fetch(AL255),$G$61:$J$64),TRANSPOSE(AM255:AP255)))</f>
        <v>-0.35593298483243352</v>
      </c>
    </row>
    <row r="256" spans="23:49" x14ac:dyDescent="0.15">
      <c r="W256" s="12">
        <f t="shared" si="6"/>
        <v>253</v>
      </c>
      <c r="X256" s="62">
        <f t="array" aca="1" ref="X256:AA256" ca="1">simulate!AE256:AH256</f>
        <v>1.6495427079885916</v>
      </c>
      <c r="Y256" s="62">
        <f ca="1"/>
        <v>1.4140459175266216</v>
      </c>
      <c r="Z256" s="62">
        <f ca="1"/>
        <v>-0.34708631003281626</v>
      </c>
      <c r="AA256" s="62">
        <f ca="1"/>
        <v>0.61989486285101836</v>
      </c>
      <c r="AB256" s="98">
        <f t="shared" si="7"/>
        <v>0</v>
      </c>
      <c r="AC256" s="62">
        <f t="array" aca="1" ref="AC256:AF256" ca="1">TRANSPOSE($G$44:$G$47 + MMULT($I$44:$L$47,TRANSPOSE(AR255:AU255)))</f>
        <v>0.59978046185122946</v>
      </c>
      <c r="AD256" s="62">
        <f ca="1"/>
        <v>0.4003929059667562</v>
      </c>
      <c r="AE256" s="62">
        <f ca="1"/>
        <v>0.29560301956909008</v>
      </c>
      <c r="AF256" s="62">
        <f ca="1"/>
        <v>0.4329848461190523</v>
      </c>
      <c r="AG256" s="66" t="str">
        <f t="array" ref="AG256">IF($AB256, Push(MMULT($I$44:$L$47,MMULT(Fetch(AV255),TRANSPOSE($I$44:$L$47))) + $N$44:$Q$47), "")</f>
        <v/>
      </c>
      <c r="AH256" s="62">
        <f t="array" aca="1" ref="AH256:AK256" ca="1">TRANSPOSE($G$38:$G$41 + MMULT($I$38:$L$41,TRANSPOSE(AC256:AF256)))</f>
        <v>0.73594335457980053</v>
      </c>
      <c r="AI256" s="62">
        <f ca="1"/>
        <v>0.61850771951680661</v>
      </c>
      <c r="AJ256" s="62">
        <f ca="1"/>
        <v>0.54514774716393999</v>
      </c>
      <c r="AK256" s="62">
        <f ca="1"/>
        <v>0.37294462094777786</v>
      </c>
      <c r="AL256" s="66" t="str">
        <f t="array" ref="AL256">IF($AB256, Push(MINVERSE(MMULT($I$38:$L$41,MMULT(Fetch(AG256),TRANSPOSE($I$38:$L$41))) + $N$38:$Q$41)), "")</f>
        <v/>
      </c>
      <c r="AM256" s="62">
        <f t="array" aca="1" ref="AM256:AP256" ca="1">X256:AA256 - AH256:AK256</f>
        <v>0.91359935340879106</v>
      </c>
      <c r="AN256" s="62">
        <f ca="1"/>
        <v>0.79553819800981496</v>
      </c>
      <c r="AO256" s="62">
        <f ca="1"/>
        <v>-0.89223405719675619</v>
      </c>
      <c r="AP256" s="62">
        <f ca="1"/>
        <v>0.2469502419032405</v>
      </c>
      <c r="AQ256" s="66" t="str">
        <f t="array" ref="AQ256">IF($AB256, Push(MMULT(Fetch(AG256),MMULT(TRANSPOSE($I$38:$L$41),Fetch(AL256)))), "")</f>
        <v/>
      </c>
      <c r="AR256" s="62">
        <f t="array" aca="1" ref="AR256:AU256" ca="1">AC256:AF256 + TRANSPOSE(MMULT(IF($AB256,Fetch(AQ256),$L$61:$O$64),TRANSPOSE(AM256:AP256)))</f>
        <v>0.86114945912792318</v>
      </c>
      <c r="AS256" s="62">
        <f ca="1"/>
        <v>0.93094044751475624</v>
      </c>
      <c r="AT256" s="62">
        <f ca="1"/>
        <v>0.53895017288552372</v>
      </c>
      <c r="AU256" s="62">
        <f ca="1"/>
        <v>0.16457606168401695</v>
      </c>
      <c r="AV256" s="66" t="str">
        <f t="array" ref="AV256">IF($AB256, Push(Fetch(AG256) - MMULT(Fetch(AQ256),MMULT($I$38:$L$41,Fetch(AG256)))), "")</f>
        <v/>
      </c>
      <c r="AW256" s="97">
        <f t="array" aca="1" ref="AW256" ca="1">IF($AB256,LN(MDETERM(Fetch(AL256))),$J$65)   -   MMULT(AM256:AP256,MMULT(IF($AB256,Fetch(AL256),$G$61:$J$64),TRANSPOSE(AM256:AP256)))</f>
        <v>-1.3766508255077596</v>
      </c>
    </row>
    <row r="257" spans="23:49" x14ac:dyDescent="0.15">
      <c r="W257" s="12">
        <f t="shared" si="6"/>
        <v>254</v>
      </c>
      <c r="X257" s="62">
        <f t="array" aca="1" ref="X257:AA257" ca="1">simulate!AE257:AH257</f>
        <v>1.2154359684023601</v>
      </c>
      <c r="Y257" s="62">
        <f ca="1"/>
        <v>0.52692333777783518</v>
      </c>
      <c r="Z257" s="62">
        <f ca="1"/>
        <v>1.0510958964269985</v>
      </c>
      <c r="AA257" s="62">
        <f ca="1"/>
        <v>0.68247846731705097</v>
      </c>
      <c r="AB257" s="98">
        <f t="shared" si="7"/>
        <v>0</v>
      </c>
      <c r="AC257" s="62">
        <f t="array" aca="1" ref="AC257:AF257" ca="1">TRANSPOSE($G$44:$G$47 + MMULT($I$44:$L$47,TRANSPOSE(AR256:AU256)))</f>
        <v>0.92313579403107293</v>
      </c>
      <c r="AD257" s="62">
        <f ca="1"/>
        <v>0.78592840398311348</v>
      </c>
      <c r="AE257" s="62">
        <f ca="1"/>
        <v>0.63010220820162199</v>
      </c>
      <c r="AF257" s="62">
        <f ca="1"/>
        <v>0.48076737797195729</v>
      </c>
      <c r="AG257" s="66" t="str">
        <f t="array" ref="AG257">IF($AB257, Push(MMULT($I$44:$L$47,MMULT(Fetch(AV256),TRANSPOSE($I$44:$L$47))) + $N$44:$Q$47), "")</f>
        <v/>
      </c>
      <c r="AH257" s="62">
        <f t="array" aca="1" ref="AH257:AK257" ca="1">TRANSPOSE($G$38:$G$41 + MMULT($I$38:$L$41,TRANSPOSE(AC257:AF257)))</f>
        <v>1.1459590783740738</v>
      </c>
      <c r="AI257" s="62">
        <f ca="1"/>
        <v>0.9979701537422041</v>
      </c>
      <c r="AJ257" s="62">
        <f ca="1"/>
        <v>0.53250793758437509</v>
      </c>
      <c r="AK257" s="62">
        <f ca="1"/>
        <v>0.60768867538353233</v>
      </c>
      <c r="AL257" s="66" t="str">
        <f t="array" ref="AL257">IF($AB257, Push(MINVERSE(MMULT($I$38:$L$41,MMULT(Fetch(AG257),TRANSPOSE($I$38:$L$41))) + $N$38:$Q$41)), "")</f>
        <v/>
      </c>
      <c r="AM257" s="62">
        <f t="array" aca="1" ref="AM257:AP257" ca="1">X257:AA257 - AH257:AK257</f>
        <v>6.9476890028286276E-2</v>
      </c>
      <c r="AN257" s="62">
        <f ca="1"/>
        <v>-0.47104681596436893</v>
      </c>
      <c r="AO257" s="62">
        <f ca="1"/>
        <v>0.51858795884262343</v>
      </c>
      <c r="AP257" s="62">
        <f ca="1"/>
        <v>7.4789791933518646E-2</v>
      </c>
      <c r="AQ257" s="66" t="str">
        <f t="array" ref="AQ257">IF($AB257, Push(MMULT(Fetch(AG257),MMULT(TRANSPOSE($I$38:$L$41),Fetch(AL257)))), "")</f>
        <v/>
      </c>
      <c r="AR257" s="62">
        <f t="array" aca="1" ref="AR257:AU257" ca="1">AC257:AF257 + TRANSPOSE(MMULT(IF($AB257,Fetch(AQ257),$L$61:$O$64),TRANSPOSE(AM257:AP257)))</f>
        <v>0.99423150494262091</v>
      </c>
      <c r="AS257" s="62">
        <f ca="1"/>
        <v>0.41121742369227193</v>
      </c>
      <c r="AT257" s="62">
        <f ca="1"/>
        <v>0.85144707803014941</v>
      </c>
      <c r="AU257" s="62">
        <f ca="1"/>
        <v>0.71511773275411827</v>
      </c>
      <c r="AV257" s="66" t="str">
        <f t="array" ref="AV257">IF($AB257, Push(Fetch(AG257) - MMULT(Fetch(AQ257),MMULT($I$38:$L$41,Fetch(AG257)))), "")</f>
        <v/>
      </c>
      <c r="AW257" s="97">
        <f t="array" aca="1" ref="AW257" ca="1">IF($AB257,LN(MDETERM(Fetch(AL257))),$J$65)   -   MMULT(AM257:AP257,MMULT(IF($AB257,Fetch(AL257),$G$61:$J$64),TRANSPOSE(AM257:AP257)))</f>
        <v>5.511345832373971</v>
      </c>
    </row>
    <row r="258" spans="23:49" x14ac:dyDescent="0.15">
      <c r="W258" s="12">
        <f t="shared" si="6"/>
        <v>255</v>
      </c>
      <c r="X258" s="62">
        <f t="array" aca="1" ref="X258:AA258" ca="1">simulate!AE258:AH258</f>
        <v>0.396565198033768</v>
      </c>
      <c r="Y258" s="62">
        <f ca="1"/>
        <v>1.0047790012660203</v>
      </c>
      <c r="Z258" s="62">
        <f ca="1"/>
        <v>0.24654293123473503</v>
      </c>
      <c r="AA258" s="62">
        <f ca="1"/>
        <v>0.98424766269230157</v>
      </c>
      <c r="AB258" s="98">
        <f t="shared" si="7"/>
        <v>0</v>
      </c>
      <c r="AC258" s="62">
        <f t="array" aca="1" ref="AC258:AF258" ca="1">TRANSPOSE($G$44:$G$47 + MMULT($I$44:$L$47,TRANSPOSE(AR257:AU257)))</f>
        <v>0.96679689065649366</v>
      </c>
      <c r="AD258" s="62">
        <f ca="1"/>
        <v>0.61228264879956884</v>
      </c>
      <c r="AE258" s="62">
        <f ca="1"/>
        <v>0.80544042973963703</v>
      </c>
      <c r="AF258" s="62">
        <f ca="1"/>
        <v>0.79823748608916056</v>
      </c>
      <c r="AG258" s="66" t="str">
        <f t="array" ref="AG258">IF($AB258, Push(MMULT($I$44:$L$47,MMULT(Fetch(AV257),TRANSPOSE($I$44:$L$47))) + $N$44:$Q$47), "")</f>
        <v/>
      </c>
      <c r="AH258" s="62">
        <f t="array" aca="1" ref="AH258:AK258" ca="1">TRANSPOSE($G$38:$G$41 + MMULT($I$38:$L$41,TRANSPOSE(AC258:AF258)))</f>
        <v>1.207622825785629</v>
      </c>
      <c r="AI258" s="62">
        <f ca="1"/>
        <v>0.88041242037320866</v>
      </c>
      <c r="AJ258" s="62">
        <f ca="1"/>
        <v>0.86419473472043329</v>
      </c>
      <c r="AK258" s="62">
        <f ca="1"/>
        <v>0.7972975657810899</v>
      </c>
      <c r="AL258" s="66" t="str">
        <f t="array" ref="AL258">IF($AB258, Push(MINVERSE(MMULT($I$38:$L$41,MMULT(Fetch(AG258),TRANSPOSE($I$38:$L$41))) + $N$38:$Q$41)), "")</f>
        <v/>
      </c>
      <c r="AM258" s="62">
        <f t="array" aca="1" ref="AM258:AP258" ca="1">X258:AA258 - AH258:AK258</f>
        <v>-0.81105762775186097</v>
      </c>
      <c r="AN258" s="62">
        <f ca="1"/>
        <v>0.12436658089281161</v>
      </c>
      <c r="AO258" s="62">
        <f ca="1"/>
        <v>-0.61765180348569826</v>
      </c>
      <c r="AP258" s="62">
        <f ca="1"/>
        <v>0.18695009691121167</v>
      </c>
      <c r="AQ258" s="66" t="str">
        <f t="array" ref="AQ258">IF($AB258, Push(MMULT(Fetch(AG258),MMULT(TRANSPOSE($I$38:$L$41),Fetch(AL258)))), "")</f>
        <v/>
      </c>
      <c r="AR258" s="62">
        <f t="array" aca="1" ref="AR258:AU258" ca="1">AC258:AF258 + TRANSPOSE(MMULT(IF($AB258,Fetch(AQ258),$L$61:$O$64),TRANSPOSE(AM258:AP258)))</f>
        <v>0.42020010559591003</v>
      </c>
      <c r="AS258" s="62">
        <f ca="1"/>
        <v>0.99131564854873599</v>
      </c>
      <c r="AT258" s="62">
        <f ca="1"/>
        <v>0.51435209014913308</v>
      </c>
      <c r="AU258" s="62">
        <f ca="1"/>
        <v>0.60976815776985838</v>
      </c>
      <c r="AV258" s="66" t="str">
        <f t="array" ref="AV258">IF($AB258, Push(Fetch(AG258) - MMULT(Fetch(AQ258),MMULT($I$38:$L$41,Fetch(AG258)))), "")</f>
        <v/>
      </c>
      <c r="AW258" s="97">
        <f t="array" aca="1" ref="AW258" ca="1">IF($AB258,LN(MDETERM(Fetch(AL258))),$J$65)   -   MMULT(AM258:AP258,MMULT(IF($AB258,Fetch(AL258),$G$61:$J$64),TRANSPOSE(AM258:AP258)))</f>
        <v>-0.99148233415958487</v>
      </c>
    </row>
    <row r="259" spans="23:49" x14ac:dyDescent="0.15">
      <c r="W259" s="12">
        <f t="shared" si="6"/>
        <v>256</v>
      </c>
      <c r="X259" s="62">
        <f t="array" aca="1" ref="X259:AA259" ca="1">simulate!AE259:AH259</f>
        <v>0.42261680571788451</v>
      </c>
      <c r="Y259" s="62">
        <f ca="1"/>
        <v>0.98609301249197023</v>
      </c>
      <c r="Z259" s="62">
        <f ca="1"/>
        <v>0.57865360411502098</v>
      </c>
      <c r="AA259" s="62">
        <f ca="1"/>
        <v>0.40277755001875432</v>
      </c>
      <c r="AB259" s="98">
        <f t="shared" si="7"/>
        <v>0</v>
      </c>
      <c r="AC259" s="62">
        <f t="array" aca="1" ref="AC259:AF259" ca="1">TRANSPOSE($G$44:$G$47 + MMULT($I$44:$L$47,TRANSPOSE(AR258:AU258)))</f>
        <v>0.71356818308391734</v>
      </c>
      <c r="AD259" s="62">
        <f ca="1"/>
        <v>0.77499322678111537</v>
      </c>
      <c r="AE259" s="62">
        <f ca="1"/>
        <v>0.66111604045973293</v>
      </c>
      <c r="AF259" s="62">
        <f ca="1"/>
        <v>0.70031828342786584</v>
      </c>
      <c r="AG259" s="66" t="str">
        <f t="array" ref="AG259">IF($AB259, Push(MMULT($I$44:$L$47,MMULT(Fetch(AV258),TRANSPOSE($I$44:$L$47))) + $N$44:$Q$47), "")</f>
        <v/>
      </c>
      <c r="AH259" s="62">
        <f t="array" aca="1" ref="AH259:AK259" ca="1">TRANSPOSE($G$38:$G$41 + MMULT($I$38:$L$41,TRANSPOSE(AC259:AF259)))</f>
        <v>0.95389177160926875</v>
      </c>
      <c r="AI259" s="62">
        <f ca="1"/>
        <v>0.94613477640139543</v>
      </c>
      <c r="AJ259" s="62">
        <f ca="1"/>
        <v>0.63613201086339477</v>
      </c>
      <c r="AK259" s="62">
        <f ca="1"/>
        <v>0.81478264994941774</v>
      </c>
      <c r="AL259" s="66" t="str">
        <f t="array" ref="AL259">IF($AB259, Push(MINVERSE(MMULT($I$38:$L$41,MMULT(Fetch(AG259),TRANSPOSE($I$38:$L$41))) + $N$38:$Q$41)), "")</f>
        <v/>
      </c>
      <c r="AM259" s="62">
        <f t="array" aca="1" ref="AM259:AP259" ca="1">X259:AA259 - AH259:AK259</f>
        <v>-0.53127496589138423</v>
      </c>
      <c r="AN259" s="62">
        <f ca="1"/>
        <v>3.9958236090574806E-2</v>
      </c>
      <c r="AO259" s="62">
        <f ca="1"/>
        <v>-5.7478406748373789E-2</v>
      </c>
      <c r="AP259" s="62">
        <f ca="1"/>
        <v>-0.41200509993066342</v>
      </c>
      <c r="AQ259" s="66" t="str">
        <f t="array" ref="AQ259">IF($AB259, Push(MMULT(Fetch(AG259),MMULT(TRANSPOSE($I$38:$L$41),Fetch(AL259)))), "")</f>
        <v/>
      </c>
      <c r="AR259" s="62">
        <f t="array" aca="1" ref="AR259:AU259" ca="1">AC259:AF259 + TRANSPOSE(MMULT(IF($AB259,Fetch(AQ259),$L$61:$O$64),TRANSPOSE(AM259:AP259)))</f>
        <v>0.55600992427167395</v>
      </c>
      <c r="AS259" s="62">
        <f ca="1"/>
        <v>0.82072499401968535</v>
      </c>
      <c r="AT259" s="62">
        <f ca="1"/>
        <v>0.18222377920858945</v>
      </c>
      <c r="AU259" s="62">
        <f ca="1"/>
        <v>0.53141355169165716</v>
      </c>
      <c r="AV259" s="66" t="str">
        <f t="array" ref="AV259">IF($AB259, Push(Fetch(AG259) - MMULT(Fetch(AQ259),MMULT($I$38:$L$41,Fetch(AG259)))), "")</f>
        <v/>
      </c>
      <c r="AW259" s="97">
        <f t="array" aca="1" ref="AW259" ca="1">IF($AB259,LN(MDETERM(Fetch(AL259))),$J$65)   -   MMULT(AM259:AP259,MMULT(IF($AB259,Fetch(AL259),$G$61:$J$64),TRANSPOSE(AM259:AP259)))</f>
        <v>5.5178001971094659</v>
      </c>
    </row>
    <row r="260" spans="23:49" x14ac:dyDescent="0.15">
      <c r="W260" s="12">
        <f t="shared" si="6"/>
        <v>257</v>
      </c>
      <c r="X260" s="62">
        <f t="array" aca="1" ref="X260:AA260" ca="1">simulate!AE260:AH260</f>
        <v>4.0607838227609827E-2</v>
      </c>
      <c r="Y260" s="62">
        <f ca="1"/>
        <v>8.9637902394516966E-2</v>
      </c>
      <c r="Z260" s="62">
        <f ca="1"/>
        <v>1.1678593400392321</v>
      </c>
      <c r="AA260" s="62">
        <f ca="1"/>
        <v>-8.3675306652682163E-2</v>
      </c>
      <c r="AB260" s="98">
        <f t="shared" si="7"/>
        <v>0</v>
      </c>
      <c r="AC260" s="62">
        <f t="array" aca="1" ref="AC260:AF260" ca="1">TRANSPOSE($G$44:$G$47 + MMULT($I$44:$L$47,TRANSPOSE(AR259:AU259)))</f>
        <v>0.73426223187628015</v>
      </c>
      <c r="AD260" s="62">
        <f ca="1"/>
        <v>0.65018192003296216</v>
      </c>
      <c r="AE260" s="62">
        <f ca="1"/>
        <v>0.45211652785018946</v>
      </c>
      <c r="AF260" s="62">
        <f ca="1"/>
        <v>0.59845985076663699</v>
      </c>
      <c r="AG260" s="66" t="str">
        <f t="array" ref="AG260">IF($AB260, Push(MMULT($I$44:$L$47,MMULT(Fetch(AV259),TRANSPOSE($I$44:$L$47))) + $N$44:$Q$47), "")</f>
        <v/>
      </c>
      <c r="AH260" s="62">
        <f t="array" aca="1" ref="AH260:AK260" ca="1">TRANSPOSE($G$38:$G$41 + MMULT($I$38:$L$41,TRANSPOSE(AC260:AF260)))</f>
        <v>0.87136962345285518</v>
      </c>
      <c r="AI260" s="62">
        <f ca="1"/>
        <v>0.87843187645703447</v>
      </c>
      <c r="AJ260" s="62">
        <f ca="1"/>
        <v>0.62590795295686497</v>
      </c>
      <c r="AK260" s="62">
        <f ca="1"/>
        <v>0.57278280787192992</v>
      </c>
      <c r="AL260" s="66" t="str">
        <f t="array" ref="AL260">IF($AB260, Push(MINVERSE(MMULT($I$38:$L$41,MMULT(Fetch(AG260),TRANSPOSE($I$38:$L$41))) + $N$38:$Q$41)), "")</f>
        <v/>
      </c>
      <c r="AM260" s="62">
        <f t="array" aca="1" ref="AM260:AP260" ca="1">X260:AA260 - AH260:AK260</f>
        <v>-0.83076178522524535</v>
      </c>
      <c r="AN260" s="62">
        <f ca="1"/>
        <v>-0.7887939740625175</v>
      </c>
      <c r="AO260" s="62">
        <f ca="1"/>
        <v>0.54195138708236712</v>
      </c>
      <c r="AP260" s="62">
        <f ca="1"/>
        <v>-0.65645811452461211</v>
      </c>
      <c r="AQ260" s="66" t="str">
        <f t="array" ref="AQ260">IF($AB260, Push(MMULT(Fetch(AG260),MMULT(TRANSPOSE($I$38:$L$41),Fetch(AL260)))), "")</f>
        <v/>
      </c>
      <c r="AR260" s="62">
        <f t="array" aca="1" ref="AR260:AU260" ca="1">AC260:AF260 + TRANSPOSE(MMULT(IF($AB260,Fetch(AQ260),$L$61:$O$64),TRANSPOSE(AM260:AP260)))</f>
        <v>0.51568257120283334</v>
      </c>
      <c r="AS260" s="62">
        <f ca="1"/>
        <v>0.10119362776448471</v>
      </c>
      <c r="AT260" s="62">
        <f ca="1"/>
        <v>-9.0893479185566617E-2</v>
      </c>
      <c r="AU260" s="62">
        <f ca="1"/>
        <v>0.58154752867588888</v>
      </c>
      <c r="AV260" s="66" t="str">
        <f t="array" ref="AV260">IF($AB260, Push(Fetch(AG260) - MMULT(Fetch(AQ260),MMULT($I$38:$L$41,Fetch(AG260)))), "")</f>
        <v/>
      </c>
      <c r="AW260" s="97">
        <f t="array" aca="1" ref="AW260" ca="1">IF($AB260,LN(MDETERM(Fetch(AL260))),$J$65)   -   MMULT(AM260:AP260,MMULT(IF($AB260,Fetch(AL260),$G$61:$J$64),TRANSPOSE(AM260:AP260)))</f>
        <v>-0.50396386853313579</v>
      </c>
    </row>
    <row r="261" spans="23:49" x14ac:dyDescent="0.15">
      <c r="W261" s="12">
        <f t="shared" ref="W261:W324" si="8">W260+1</f>
        <v>258</v>
      </c>
      <c r="X261" s="62">
        <f t="array" aca="1" ref="X261:AA261" ca="1">simulate!AE261:AH261</f>
        <v>0.22151684159872798</v>
      </c>
      <c r="Y261" s="62">
        <f ca="1"/>
        <v>-0.95125630369907554</v>
      </c>
      <c r="Z261" s="62">
        <f ca="1"/>
        <v>0.60127006091460689</v>
      </c>
      <c r="AA261" s="62">
        <f ca="1"/>
        <v>0.2015890653116979</v>
      </c>
      <c r="AB261" s="98">
        <f t="shared" ref="AB261:AB324" si="9">($W261&lt;=$D$51) * 1</f>
        <v>0</v>
      </c>
      <c r="AC261" s="62">
        <f t="array" aca="1" ref="AC261:AF261" ca="1">TRANSPOSE($G$44:$G$47 + MMULT($I$44:$L$47,TRANSPOSE(AR260:AU260)))</f>
        <v>0.58896585597354378</v>
      </c>
      <c r="AD261" s="62">
        <f ca="1"/>
        <v>0.2181834271855321</v>
      </c>
      <c r="AE261" s="62">
        <f ca="1"/>
        <v>0.19233864948843576</v>
      </c>
      <c r="AF261" s="62">
        <f ca="1"/>
        <v>0.52803588776612864</v>
      </c>
      <c r="AG261" s="66" t="str">
        <f t="array" ref="AG261">IF($AB261, Push(MMULT($I$44:$L$47,MMULT(Fetch(AV260),TRANSPOSE($I$44:$L$47))) + $N$44:$Q$47), "")</f>
        <v/>
      </c>
      <c r="AH261" s="62">
        <f t="array" aca="1" ref="AH261:AK261" ca="1">TRANSPOSE($G$38:$G$41 + MMULT($I$38:$L$41,TRANSPOSE(AC261:AF261)))</f>
        <v>0.64516458764053874</v>
      </c>
      <c r="AI261" s="62">
        <f ca="1"/>
        <v>0.50081644058636021</v>
      </c>
      <c r="AJ261" s="62">
        <f ca="1"/>
        <v>0.69917297829950731</v>
      </c>
      <c r="AK261" s="62">
        <f ca="1"/>
        <v>0.28809365150899546</v>
      </c>
      <c r="AL261" s="66" t="str">
        <f t="array" ref="AL261">IF($AB261, Push(MINVERSE(MMULT($I$38:$L$41,MMULT(Fetch(AG261),TRANSPOSE($I$38:$L$41))) + $N$38:$Q$41)), "")</f>
        <v/>
      </c>
      <c r="AM261" s="62">
        <f t="array" aca="1" ref="AM261:AP261" ca="1">X261:AA261 - AH261:AK261</f>
        <v>-0.42364774604181077</v>
      </c>
      <c r="AN261" s="62">
        <f ca="1"/>
        <v>-1.4520727442854358</v>
      </c>
      <c r="AO261" s="62">
        <f ca="1"/>
        <v>-9.7902917384900423E-2</v>
      </c>
      <c r="AP261" s="62">
        <f ca="1"/>
        <v>-8.6504586197297562E-2</v>
      </c>
      <c r="AQ261" s="66" t="str">
        <f t="array" ref="AQ261">IF($AB261, Push(MMULT(Fetch(AG261),MMULT(TRANSPOSE($I$38:$L$41),Fetch(AL261)))), "")</f>
        <v/>
      </c>
      <c r="AR261" s="62">
        <f t="array" aca="1" ref="AR261:AU261" ca="1">AC261:AF261 + TRANSPOSE(MMULT(IF($AB261,Fetch(AQ261),$L$61:$O$64),TRANSPOSE(AM261:AP261)))</f>
        <v>0.16337085071985374</v>
      </c>
      <c r="AS261" s="62">
        <f ca="1"/>
        <v>-0.53286927871127154</v>
      </c>
      <c r="AT261" s="62">
        <f ca="1"/>
        <v>0.1479850024065622</v>
      </c>
      <c r="AU261" s="62">
        <f ca="1"/>
        <v>0.4462434411199907</v>
      </c>
      <c r="AV261" s="66" t="str">
        <f t="array" ref="AV261">IF($AB261, Push(Fetch(AG261) - MMULT(Fetch(AQ261),MMULT($I$38:$L$41,Fetch(AG261)))), "")</f>
        <v/>
      </c>
      <c r="AW261" s="97">
        <f t="array" aca="1" ref="AW261" ca="1">IF($AB261,LN(MDETERM(Fetch(AL261))),$J$65)   -   MMULT(AM261:AP261,MMULT(IF($AB261,Fetch(AL261),$G$61:$J$64),TRANSPOSE(AM261:AP261)))</f>
        <v>-5.370648419140835</v>
      </c>
    </row>
    <row r="262" spans="23:49" x14ac:dyDescent="0.15">
      <c r="W262" s="12">
        <f t="shared" si="8"/>
        <v>259</v>
      </c>
      <c r="X262" s="62">
        <f t="array" aca="1" ref="X262:AA262" ca="1">simulate!AE262:AH262</f>
        <v>0.72936436480919797</v>
      </c>
      <c r="Y262" s="62">
        <f ca="1"/>
        <v>0.87761034511826663</v>
      </c>
      <c r="Z262" s="62">
        <f ca="1"/>
        <v>0.3159760756760448</v>
      </c>
      <c r="AA262" s="62">
        <f ca="1"/>
        <v>0.34225487143974215</v>
      </c>
      <c r="AB262" s="98">
        <f t="shared" si="9"/>
        <v>0</v>
      </c>
      <c r="AC262" s="62">
        <f t="array" aca="1" ref="AC262:AF262" ca="1">TRANSPOSE($G$44:$G$47 + MMULT($I$44:$L$47,TRANSPOSE(AR261:AU261)))</f>
        <v>0.31535757034869544</v>
      </c>
      <c r="AD262" s="62">
        <f ca="1"/>
        <v>-0.15573867557238083</v>
      </c>
      <c r="AE262" s="62">
        <f ca="1"/>
        <v>0.17330197957219284</v>
      </c>
      <c r="AF262" s="62">
        <f ca="1"/>
        <v>0.43168033175208576</v>
      </c>
      <c r="AG262" s="66" t="str">
        <f t="array" ref="AG262">IF($AB262, Push(MMULT($I$44:$L$47,MMULT(Fetch(AV261),TRANSPOSE($I$44:$L$47))) + $N$44:$Q$47), "")</f>
        <v/>
      </c>
      <c r="AH262" s="62">
        <f t="array" aca="1" ref="AH262:AK262" ca="1">TRANSPOSE($G$38:$G$41 + MMULT($I$38:$L$41,TRANSPOSE(AC262:AF262)))</f>
        <v>0.48456957294309172</v>
      </c>
      <c r="AI262" s="62">
        <f ca="1"/>
        <v>5.9713592974755432E-2</v>
      </c>
      <c r="AJ262" s="62">
        <f ca="1"/>
        <v>0.65671911852832565</v>
      </c>
      <c r="AK262" s="62">
        <f ca="1"/>
        <v>0.24160483840808619</v>
      </c>
      <c r="AL262" s="66" t="str">
        <f t="array" ref="AL262">IF($AB262, Push(MINVERSE(MMULT($I$38:$L$41,MMULT(Fetch(AG262),TRANSPOSE($I$38:$L$41))) + $N$38:$Q$41)), "")</f>
        <v/>
      </c>
      <c r="AM262" s="62">
        <f t="array" aca="1" ref="AM262:AP262" ca="1">X262:AA262 - AH262:AK262</f>
        <v>0.24479479186610625</v>
      </c>
      <c r="AN262" s="62">
        <f ca="1"/>
        <v>0.81789675214351121</v>
      </c>
      <c r="AO262" s="62">
        <f ca="1"/>
        <v>-0.34074304285228085</v>
      </c>
      <c r="AP262" s="62">
        <f ca="1"/>
        <v>0.10065003303165596</v>
      </c>
      <c r="AQ262" s="66" t="str">
        <f t="array" ref="AQ262">IF($AB262, Push(MMULT(Fetch(AG262),MMULT(TRANSPOSE($I$38:$L$41),Fetch(AL262)))), "")</f>
        <v/>
      </c>
      <c r="AR262" s="62">
        <f t="array" aca="1" ref="AR262:AU262" ca="1">AC262:AF262 + TRANSPOSE(MMULT(IF($AB262,Fetch(AQ262),$L$61:$O$64),TRANSPOSE(AM262:AP262)))</f>
        <v>0.44693443696118612</v>
      </c>
      <c r="AS262" s="62">
        <f ca="1"/>
        <v>0.35954206311146852</v>
      </c>
      <c r="AT262" s="62">
        <f ca="1"/>
        <v>0.16789228520769539</v>
      </c>
      <c r="AU262" s="62">
        <f ca="1"/>
        <v>0.33460646512882519</v>
      </c>
      <c r="AV262" s="66" t="str">
        <f t="array" ref="AV262">IF($AB262, Push(Fetch(AG262) - MMULT(Fetch(AQ262),MMULT($I$38:$L$41,Fetch(AG262)))), "")</f>
        <v/>
      </c>
      <c r="AW262" s="97">
        <f t="array" aca="1" ref="AW262" ca="1">IF($AB262,LN(MDETERM(Fetch(AL262))),$J$65)   -   MMULT(AM262:AP262,MMULT(IF($AB262,Fetch(AL262),$G$61:$J$64),TRANSPOSE(AM262:AP262)))</f>
        <v>3.8195609257368712</v>
      </c>
    </row>
    <row r="263" spans="23:49" x14ac:dyDescent="0.15">
      <c r="W263" s="12">
        <f t="shared" si="8"/>
        <v>260</v>
      </c>
      <c r="X263" s="62">
        <f t="array" aca="1" ref="X263:AA263" ca="1">simulate!AE263:AH263</f>
        <v>1.4676703830538895</v>
      </c>
      <c r="Y263" s="62">
        <f ca="1"/>
        <v>1.8585114630382453</v>
      </c>
      <c r="Z263" s="62">
        <f ca="1"/>
        <v>-8.4474634328973008E-2</v>
      </c>
      <c r="AA263" s="62">
        <f ca="1"/>
        <v>1.1639730428241832</v>
      </c>
      <c r="AB263" s="98">
        <f t="shared" si="9"/>
        <v>0</v>
      </c>
      <c r="AC263" s="62">
        <f t="array" aca="1" ref="AC263:AF263" ca="1">TRANSPOSE($G$44:$G$47 + MMULT($I$44:$L$47,TRANSPOSE(AR262:AU262)))</f>
        <v>0.59662443646132224</v>
      </c>
      <c r="AD263" s="62">
        <f ca="1"/>
        <v>0.36726882204538069</v>
      </c>
      <c r="AE263" s="62">
        <f ca="1"/>
        <v>0.3326088224016584</v>
      </c>
      <c r="AF263" s="62">
        <f ca="1"/>
        <v>0.45177208178198563</v>
      </c>
      <c r="AG263" s="66" t="str">
        <f t="array" ref="AG263">IF($AB263, Push(MMULT($I$44:$L$47,MMULT(Fetch(AV262),TRANSPOSE($I$44:$L$47))) + $N$44:$Q$47), "")</f>
        <v/>
      </c>
      <c r="AH263" s="62">
        <f t="array" aca="1" ref="AH263:AK263" ca="1">TRANSPOSE($G$38:$G$41 + MMULT($I$38:$L$41,TRANSPOSE(AC263:AF263)))</f>
        <v>0.75363505201318537</v>
      </c>
      <c r="AI263" s="62">
        <f ca="1"/>
        <v>0.58271423383382248</v>
      </c>
      <c r="AJ263" s="62">
        <f ca="1"/>
        <v>0.56875879656804451</v>
      </c>
      <c r="AK263" s="62">
        <f ca="1"/>
        <v>0.39898120424232891</v>
      </c>
      <c r="AL263" s="66" t="str">
        <f t="array" ref="AL263">IF($AB263, Push(MINVERSE(MMULT($I$38:$L$41,MMULT(Fetch(AG263),TRANSPOSE($I$38:$L$41))) + $N$38:$Q$41)), "")</f>
        <v/>
      </c>
      <c r="AM263" s="62">
        <f t="array" aca="1" ref="AM263:AP263" ca="1">X263:AA263 - AH263:AK263</f>
        <v>0.71403533104070416</v>
      </c>
      <c r="AN263" s="62">
        <f ca="1"/>
        <v>1.2757972292044228</v>
      </c>
      <c r="AO263" s="62">
        <f ca="1"/>
        <v>-0.65323343089701758</v>
      </c>
      <c r="AP263" s="62">
        <f ca="1"/>
        <v>0.76499183858185438</v>
      </c>
      <c r="AQ263" s="66" t="str">
        <f t="array" ref="AQ263">IF($AB263, Push(MMULT(Fetch(AG263),MMULT(TRANSPOSE($I$38:$L$41),Fetch(AL263)))), "")</f>
        <v/>
      </c>
      <c r="AR263" s="62">
        <f t="array" aca="1" ref="AR263:AU263" ca="1">AC263:AF263 + TRANSPOSE(MMULT(IF($AB263,Fetch(AQ263),$L$61:$O$64),TRANSPOSE(AM263:AP263)))</f>
        <v>0.78613229772566462</v>
      </c>
      <c r="AS263" s="62">
        <f ca="1"/>
        <v>1.2592963438734541</v>
      </c>
      <c r="AT263" s="62">
        <f ca="1"/>
        <v>0.82463350187734541</v>
      </c>
      <c r="AU263" s="62">
        <f ca="1"/>
        <v>0.46421648158522494</v>
      </c>
      <c r="AV263" s="66" t="str">
        <f t="array" ref="AV263">IF($AB263, Push(Fetch(AG263) - MMULT(Fetch(AQ263),MMULT($I$38:$L$41,Fetch(AG263)))), "")</f>
        <v/>
      </c>
      <c r="AW263" s="97">
        <f t="array" aca="1" ref="AW263" ca="1">IF($AB263,LN(MDETERM(Fetch(AL263))),$J$65)   -   MMULT(AM263:AP263,MMULT(IF($AB263,Fetch(AL263),$G$61:$J$64),TRANSPOSE(AM263:AP263)))</f>
        <v>-6.9025514252644999</v>
      </c>
    </row>
    <row r="264" spans="23:49" x14ac:dyDescent="0.15">
      <c r="W264" s="12">
        <f t="shared" si="8"/>
        <v>261</v>
      </c>
      <c r="X264" s="62">
        <f t="array" aca="1" ref="X264:AA264" ca="1">simulate!AE264:AH264</f>
        <v>1.3406226048677032</v>
      </c>
      <c r="Y264" s="62">
        <f ca="1"/>
        <v>0.8300216649625296</v>
      </c>
      <c r="Z264" s="62">
        <f ca="1"/>
        <v>0.84123315714963165</v>
      </c>
      <c r="AA264" s="62">
        <f ca="1"/>
        <v>0.97220385358833084</v>
      </c>
      <c r="AB264" s="98">
        <f t="shared" si="9"/>
        <v>0</v>
      </c>
      <c r="AC264" s="62">
        <f t="array" aca="1" ref="AC264:AF264" ca="1">TRANSPOSE($G$44:$G$47 + MMULT($I$44:$L$47,TRANSPOSE(AR263:AU263)))</f>
        <v>0.96595009771417462</v>
      </c>
      <c r="AD264" s="62">
        <f ca="1"/>
        <v>1.0146934928501541</v>
      </c>
      <c r="AE264" s="62">
        <f ca="1"/>
        <v>0.8767084751254538</v>
      </c>
      <c r="AF264" s="62">
        <f ca="1"/>
        <v>0.70874763225869453</v>
      </c>
      <c r="AG264" s="66" t="str">
        <f t="array" ref="AG264">IF($AB264, Push(MMULT($I$44:$L$47,MMULT(Fetch(AV263),TRANSPOSE($I$44:$L$47))) + $N$44:$Q$47), "")</f>
        <v/>
      </c>
      <c r="AH264" s="62">
        <f t="array" aca="1" ref="AH264:AK264" ca="1">TRANSPOSE($G$38:$G$41 + MMULT($I$38:$L$41,TRANSPOSE(AC264:AF264)))</f>
        <v>1.2564421470920273</v>
      </c>
      <c r="AI264" s="62">
        <f ca="1"/>
        <v>1.1949234703526335</v>
      </c>
      <c r="AJ264" s="62">
        <f ca="1"/>
        <v>0.62964042000423048</v>
      </c>
      <c r="AK264" s="62">
        <f ca="1"/>
        <v>0.93406934450586054</v>
      </c>
      <c r="AL264" s="66" t="str">
        <f t="array" ref="AL264">IF($AB264, Push(MINVERSE(MMULT($I$38:$L$41,MMULT(Fetch(AG264),TRANSPOSE($I$38:$L$41))) + $N$38:$Q$41)), "")</f>
        <v/>
      </c>
      <c r="AM264" s="62">
        <f t="array" aca="1" ref="AM264:AP264" ca="1">X264:AA264 - AH264:AK264</f>
        <v>8.4180457775675954E-2</v>
      </c>
      <c r="AN264" s="62">
        <f ca="1"/>
        <v>-0.36490180539010386</v>
      </c>
      <c r="AO264" s="62">
        <f ca="1"/>
        <v>0.21159273714540117</v>
      </c>
      <c r="AP264" s="62">
        <f ca="1"/>
        <v>3.8134509082470291E-2</v>
      </c>
      <c r="AQ264" s="66" t="str">
        <f t="array" ref="AQ264">IF($AB264, Push(MMULT(Fetch(AG264),MMULT(TRANSPOSE($I$38:$L$41),Fetch(AL264)))), "")</f>
        <v/>
      </c>
      <c r="AR264" s="62">
        <f t="array" aca="1" ref="AR264:AU264" ca="1">AC264:AF264 + TRANSPOSE(MMULT(IF($AB264,Fetch(AQ264),$L$61:$O$64),TRANSPOSE(AM264:AP264)))</f>
        <v>0.99159580656002144</v>
      </c>
      <c r="AS264" s="62">
        <f ca="1"/>
        <v>0.75506158727168371</v>
      </c>
      <c r="AT264" s="62">
        <f ca="1"/>
        <v>1.0140494037416126</v>
      </c>
      <c r="AU264" s="62">
        <f ca="1"/>
        <v>0.80602135749347237</v>
      </c>
      <c r="AV264" s="66" t="str">
        <f t="array" ref="AV264">IF($AB264, Push(Fetch(AG264) - MMULT(Fetch(AQ264),MMULT($I$38:$L$41,Fetch(AG264)))), "")</f>
        <v/>
      </c>
      <c r="AW264" s="97">
        <f t="array" aca="1" ref="AW264" ca="1">IF($AB264,LN(MDETERM(Fetch(AL264))),$J$65)   -   MMULT(AM264:AP264,MMULT(IF($AB264,Fetch(AL264),$G$61:$J$64),TRANSPOSE(AM264:AP264)))</f>
        <v>6.4638003857993942</v>
      </c>
    </row>
    <row r="265" spans="23:49" x14ac:dyDescent="0.15">
      <c r="W265" s="12">
        <f t="shared" si="8"/>
        <v>262</v>
      </c>
      <c r="X265" s="62">
        <f t="array" aca="1" ref="X265:AA265" ca="1">simulate!AE265:AH265</f>
        <v>1.0825682567229677</v>
      </c>
      <c r="Y265" s="62">
        <f ca="1"/>
        <v>1.2931889426568577</v>
      </c>
      <c r="Z265" s="62">
        <f ca="1"/>
        <v>0.38521861401580842</v>
      </c>
      <c r="AA265" s="62">
        <f ca="1"/>
        <v>1.7083107139803597</v>
      </c>
      <c r="AB265" s="98">
        <f t="shared" si="9"/>
        <v>0</v>
      </c>
      <c r="AC265" s="62">
        <f t="array" aca="1" ref="AC265:AF265" ca="1">TRANSPOSE($G$44:$G$47 + MMULT($I$44:$L$47,TRANSPOSE(AR264:AU264)))</f>
        <v>1.0322023915552183</v>
      </c>
      <c r="AD265" s="62">
        <f ca="1"/>
        <v>0.82809083557272889</v>
      </c>
      <c r="AE265" s="62">
        <f ca="1"/>
        <v>0.96234958881136867</v>
      </c>
      <c r="AF265" s="62">
        <f ca="1"/>
        <v>0.89808172339212833</v>
      </c>
      <c r="AG265" s="66" t="str">
        <f t="array" ref="AG265">IF($AB265, Push(MMULT($I$44:$L$47,MMULT(Fetch(AV264),TRANSPOSE($I$44:$L$47))) + $N$44:$Q$47), "")</f>
        <v/>
      </c>
      <c r="AH265" s="62">
        <f t="array" aca="1" ref="AH265:AK265" ca="1">TRANSPOSE($G$38:$G$41 + MMULT($I$38:$L$41,TRANSPOSE(AC265:AF265)))</f>
        <v>1.314354974600769</v>
      </c>
      <c r="AI265" s="62">
        <f ca="1"/>
        <v>1.0721721363105359</v>
      </c>
      <c r="AJ265" s="62">
        <f ca="1"/>
        <v>0.87630385631831986</v>
      </c>
      <c r="AK265" s="62">
        <f ca="1"/>
        <v>0.98998964625251595</v>
      </c>
      <c r="AL265" s="66" t="str">
        <f t="array" ref="AL265">IF($AB265, Push(MINVERSE(MMULT($I$38:$L$41,MMULT(Fetch(AG265),TRANSPOSE($I$38:$L$41))) + $N$38:$Q$41)), "")</f>
        <v/>
      </c>
      <c r="AM265" s="62">
        <f t="array" aca="1" ref="AM265:AP265" ca="1">X265:AA265 - AH265:AK265</f>
        <v>-0.23178671787780125</v>
      </c>
      <c r="AN265" s="62">
        <f ca="1"/>
        <v>0.22101680634632181</v>
      </c>
      <c r="AO265" s="62">
        <f ca="1"/>
        <v>-0.49108524230251144</v>
      </c>
      <c r="AP265" s="62">
        <f ca="1"/>
        <v>0.71832106772784377</v>
      </c>
      <c r="AQ265" s="66" t="str">
        <f t="array" ref="AQ265">IF($AB265, Push(MMULT(Fetch(AG265),MMULT(TRANSPOSE($I$38:$L$41),Fetch(AL265)))), "")</f>
        <v/>
      </c>
      <c r="AR265" s="62">
        <f t="array" aca="1" ref="AR265:AU265" ca="1">AC265:AF265 + TRANSPOSE(MMULT(IF($AB265,Fetch(AQ265),$L$61:$O$64),TRANSPOSE(AM265:AP265)))</f>
        <v>0.67697065034193449</v>
      </c>
      <c r="AS265" s="62">
        <f ca="1"/>
        <v>1.2401532586439727</v>
      </c>
      <c r="AT265" s="62">
        <f ca="1"/>
        <v>1.2406523423158369</v>
      </c>
      <c r="AU265" s="62">
        <f ca="1"/>
        <v>0.94946625259381467</v>
      </c>
      <c r="AV265" s="66" t="str">
        <f t="array" ref="AV265">IF($AB265, Push(Fetch(AG265) - MMULT(Fetch(AQ265),MMULT($I$38:$L$41,Fetch(AG265)))), "")</f>
        <v/>
      </c>
      <c r="AW265" s="97">
        <f t="array" aca="1" ref="AW265" ca="1">IF($AB265,LN(MDETERM(Fetch(AL265))),$J$65)   -   MMULT(AM265:AP265,MMULT(IF($AB265,Fetch(AL265),$G$61:$J$64),TRANSPOSE(AM265:AP265)))</f>
        <v>-2.2074890750404812</v>
      </c>
    </row>
    <row r="266" spans="23:49" x14ac:dyDescent="0.15">
      <c r="W266" s="12">
        <f t="shared" si="8"/>
        <v>263</v>
      </c>
      <c r="X266" s="62">
        <f t="array" aca="1" ref="X266:AA266" ca="1">simulate!AE266:AH266</f>
        <v>0.80636013410900431</v>
      </c>
      <c r="Y266" s="62">
        <f ca="1"/>
        <v>0.55411208316341332</v>
      </c>
      <c r="Z266" s="62">
        <f ca="1"/>
        <v>0.75619332428256403</v>
      </c>
      <c r="AA266" s="62">
        <f ca="1"/>
        <v>0.41630976053110436</v>
      </c>
      <c r="AB266" s="98">
        <f t="shared" si="9"/>
        <v>0</v>
      </c>
      <c r="AC266" s="62">
        <f t="array" aca="1" ref="AC266:AF266" ca="1">TRANSPOSE($G$44:$G$47 + MMULT($I$44:$L$47,TRANSPOSE(AR265:AU265)))</f>
        <v>0.95709435726682757</v>
      </c>
      <c r="AD266" s="62">
        <f ca="1"/>
        <v>1.0827403329284764</v>
      </c>
      <c r="AE266" s="62">
        <f ca="1"/>
        <v>1.1623238610176907</v>
      </c>
      <c r="AF266" s="62">
        <f ca="1"/>
        <v>1.031754961030781</v>
      </c>
      <c r="AG266" s="66" t="str">
        <f t="array" ref="AG266">IF($AB266, Push(MMULT($I$44:$L$47,MMULT(Fetch(AV265),TRANSPOSE($I$44:$L$47))) + $N$44:$Q$47), "")</f>
        <v/>
      </c>
      <c r="AH266" s="62">
        <f t="array" aca="1" ref="AH266:AK266" ca="1">TRANSPOSE($G$38:$G$41 + MMULT($I$38:$L$41,TRANSPOSE(AC266:AF266)))</f>
        <v>1.3362700168256811</v>
      </c>
      <c r="AI266" s="62">
        <f ca="1"/>
        <v>1.2414327806498084</v>
      </c>
      <c r="AJ266" s="62">
        <f ca="1"/>
        <v>0.84358529431526619</v>
      </c>
      <c r="AK266" s="62">
        <f ca="1"/>
        <v>1.3032720878703548</v>
      </c>
      <c r="AL266" s="66" t="str">
        <f t="array" ref="AL266">IF($AB266, Push(MINVERSE(MMULT($I$38:$L$41,MMULT(Fetch(AG266),TRANSPOSE($I$38:$L$41))) + $N$38:$Q$41)), "")</f>
        <v/>
      </c>
      <c r="AM266" s="62">
        <f t="array" aca="1" ref="AM266:AP266" ca="1">X266:AA266 - AH266:AK266</f>
        <v>-0.52990988271667683</v>
      </c>
      <c r="AN266" s="62">
        <f ca="1"/>
        <v>-0.68732069748639513</v>
      </c>
      <c r="AO266" s="62">
        <f ca="1"/>
        <v>-8.739197003270216E-2</v>
      </c>
      <c r="AP266" s="62">
        <f ca="1"/>
        <v>-0.8869623273392504</v>
      </c>
      <c r="AQ266" s="66" t="str">
        <f t="array" ref="AQ266">IF($AB266, Push(MMULT(Fetch(AG266),MMULT(TRANSPOSE($I$38:$L$41),Fetch(AL266)))), "")</f>
        <v/>
      </c>
      <c r="AR266" s="62">
        <f t="array" aca="1" ref="AR266:AU266" ca="1">AC266:AF266 + TRANSPOSE(MMULT(IF($AB266,Fetch(AQ266),$L$61:$O$64),TRANSPOSE(AM266:AP266)))</f>
        <v>0.78523412308513463</v>
      </c>
      <c r="AS266" s="62">
        <f ca="1"/>
        <v>0.62536614094344434</v>
      </c>
      <c r="AT266" s="62">
        <f ca="1"/>
        <v>0.45762396668964045</v>
      </c>
      <c r="AU266" s="62">
        <f ca="1"/>
        <v>0.67977307292811906</v>
      </c>
      <c r="AV266" s="66" t="str">
        <f t="array" ref="AV266">IF($AB266, Push(Fetch(AG266) - MMULT(Fetch(AQ266),MMULT($I$38:$L$41,Fetch(AG266)))), "")</f>
        <v/>
      </c>
      <c r="AW266" s="97">
        <f t="array" aca="1" ref="AW266" ca="1">IF($AB266,LN(MDETERM(Fetch(AL266))),$J$65)   -   MMULT(AM266:AP266,MMULT(IF($AB266,Fetch(AL266),$G$61:$J$64),TRANSPOSE(AM266:AP266)))</f>
        <v>-2.8825613621280741</v>
      </c>
    </row>
    <row r="267" spans="23:49" x14ac:dyDescent="0.15">
      <c r="W267" s="12">
        <f t="shared" si="8"/>
        <v>264</v>
      </c>
      <c r="X267" s="62">
        <f t="array" aca="1" ref="X267:AA267" ca="1">simulate!AE267:AH267</f>
        <v>0.3066022520961299</v>
      </c>
      <c r="Y267" s="62">
        <f ca="1"/>
        <v>0.59781378034758292</v>
      </c>
      <c r="Z267" s="62">
        <f ca="1"/>
        <v>0.3203077131128047</v>
      </c>
      <c r="AA267" s="62">
        <f ca="1"/>
        <v>1.2218517710076973</v>
      </c>
      <c r="AB267" s="98">
        <f t="shared" si="9"/>
        <v>0</v>
      </c>
      <c r="AC267" s="62">
        <f t="array" aca="1" ref="AC267:AF267" ca="1">TRANSPOSE($G$44:$G$47 + MMULT($I$44:$L$47,TRANSPOSE(AR266:AU266)))</f>
        <v>0.85588253653761259</v>
      </c>
      <c r="AD267" s="62">
        <f ca="1"/>
        <v>0.63320788844388842</v>
      </c>
      <c r="AE267" s="62">
        <f ca="1"/>
        <v>0.60740773485651389</v>
      </c>
      <c r="AF267" s="62">
        <f ca="1"/>
        <v>0.72040812210249361</v>
      </c>
      <c r="AG267" s="66" t="str">
        <f t="array" ref="AG267">IF($AB267, Push(MMULT($I$44:$L$47,MMULT(Fetch(AV266),TRANSPOSE($I$44:$L$47))) + $N$44:$Q$47), "")</f>
        <v/>
      </c>
      <c r="AH267" s="62">
        <f t="array" aca="1" ref="AH267:AK267" ca="1">TRANSPOSE($G$38:$G$41 + MMULT($I$38:$L$41,TRANSPOSE(AC267:AF267)))</f>
        <v>1.0233546909629392</v>
      </c>
      <c r="AI267" s="62">
        <f ca="1"/>
        <v>0.89292097248418967</v>
      </c>
      <c r="AJ267" s="62">
        <f ca="1"/>
        <v>0.76678301943192206</v>
      </c>
      <c r="AK267" s="62">
        <f ca="1"/>
        <v>0.67723938787293614</v>
      </c>
      <c r="AL267" s="66" t="str">
        <f t="array" ref="AL267">IF($AB267, Push(MINVERSE(MMULT($I$38:$L$41,MMULT(Fetch(AG267),TRANSPOSE($I$38:$L$41))) + $N$38:$Q$41)), "")</f>
        <v/>
      </c>
      <c r="AM267" s="62">
        <f t="array" aca="1" ref="AM267:AP267" ca="1">X267:AA267 - AH267:AK267</f>
        <v>-0.71675243886680928</v>
      </c>
      <c r="AN267" s="62">
        <f ca="1"/>
        <v>-0.29510719213660674</v>
      </c>
      <c r="AO267" s="62">
        <f ca="1"/>
        <v>-0.44647530631911736</v>
      </c>
      <c r="AP267" s="62">
        <f ca="1"/>
        <v>0.54461238313476112</v>
      </c>
      <c r="AQ267" s="66" t="str">
        <f t="array" ref="AQ267">IF($AB267, Push(MMULT(Fetch(AG267),MMULT(TRANSPOSE($I$38:$L$41),Fetch(AL267)))), "")</f>
        <v/>
      </c>
      <c r="AR267" s="62">
        <f t="array" aca="1" ref="AR267:AU267" ca="1">AC267:AF267 + TRANSPOSE(MMULT(IF($AB267,Fetch(AQ267),$L$61:$O$64),TRANSPOSE(AM267:AP267)))</f>
        <v>0.24915356470368433</v>
      </c>
      <c r="AS267" s="62">
        <f ca="1"/>
        <v>0.7916139686828968</v>
      </c>
      <c r="AT267" s="62">
        <f ca="1"/>
        <v>0.66785205309619911</v>
      </c>
      <c r="AU267" s="62">
        <f ca="1"/>
        <v>0.72394667050120376</v>
      </c>
      <c r="AV267" s="66" t="str">
        <f t="array" ref="AV267">IF($AB267, Push(Fetch(AG267) - MMULT(Fetch(AQ267),MMULT($I$38:$L$41,Fetch(AG267)))), "")</f>
        <v/>
      </c>
      <c r="AW267" s="97">
        <f t="array" aca="1" ref="AW267" ca="1">IF($AB267,LN(MDETERM(Fetch(AL267))),$J$65)   -   MMULT(AM267:AP267,MMULT(IF($AB267,Fetch(AL267),$G$61:$J$64),TRANSPOSE(AM267:AP267)))</f>
        <v>-3.4882059724449466</v>
      </c>
    </row>
    <row r="268" spans="23:49" x14ac:dyDescent="0.15">
      <c r="W268" s="12">
        <f t="shared" si="8"/>
        <v>265</v>
      </c>
      <c r="X268" s="62">
        <f t="array" aca="1" ref="X268:AA268" ca="1">simulate!AE268:AH268</f>
        <v>1.7869635622045914</v>
      </c>
      <c r="Y268" s="62">
        <f ca="1"/>
        <v>1.7873057642911461</v>
      </c>
      <c r="Z268" s="62">
        <f ca="1"/>
        <v>1.8742172269506856</v>
      </c>
      <c r="AA268" s="62">
        <f ca="1"/>
        <v>1.2510979042374999</v>
      </c>
      <c r="AB268" s="98">
        <f t="shared" si="9"/>
        <v>0</v>
      </c>
      <c r="AC268" s="62">
        <f t="array" aca="1" ref="AC268:AF268" ca="1">TRANSPOSE($G$44:$G$47 + MMULT($I$44:$L$47,TRANSPOSE(AR267:AU267)))</f>
        <v>0.60804977715070585</v>
      </c>
      <c r="AD268" s="62">
        <f ca="1"/>
        <v>0.67021262130113701</v>
      </c>
      <c r="AE268" s="62">
        <f ca="1"/>
        <v>0.71631569248544558</v>
      </c>
      <c r="AF268" s="62">
        <f ca="1"/>
        <v>0.76447017822063579</v>
      </c>
      <c r="AG268" s="66" t="str">
        <f t="array" ref="AG268">IF($AB268, Push(MMULT($I$44:$L$47,MMULT(Fetch(AV267),TRANSPOSE($I$44:$L$47))) + $N$44:$Q$47), "")</f>
        <v/>
      </c>
      <c r="AH268" s="62">
        <f t="array" aca="1" ref="AH268:AK268" ca="1">TRANSPOSE($G$38:$G$41 + MMULT($I$38:$L$41,TRANSPOSE(AC268:AF268)))</f>
        <v>0.90082430401417413</v>
      </c>
      <c r="AI268" s="62">
        <f ca="1"/>
        <v>0.81430191064441138</v>
      </c>
      <c r="AJ268" s="62">
        <f ca="1"/>
        <v>0.68358506563731325</v>
      </c>
      <c r="AK268" s="62">
        <f ca="1"/>
        <v>0.89741268956375753</v>
      </c>
      <c r="AL268" s="66" t="str">
        <f t="array" ref="AL268">IF($AB268, Push(MINVERSE(MMULT($I$38:$L$41,MMULT(Fetch(AG268),TRANSPOSE($I$38:$L$41))) + $N$38:$Q$41)), "")</f>
        <v/>
      </c>
      <c r="AM268" s="62">
        <f t="array" aca="1" ref="AM268:AP268" ca="1">X268:AA268 - AH268:AK268</f>
        <v>0.88613925819041728</v>
      </c>
      <c r="AN268" s="62">
        <f ca="1"/>
        <v>0.9730038536467347</v>
      </c>
      <c r="AO268" s="62">
        <f ca="1"/>
        <v>1.1906321613133724</v>
      </c>
      <c r="AP268" s="62">
        <f ca="1"/>
        <v>0.35368521467374237</v>
      </c>
      <c r="AQ268" s="66" t="str">
        <f t="array" ref="AQ268">IF($AB268, Push(MMULT(Fetch(AG268),MMULT(TRANSPOSE($I$38:$L$41),Fetch(AL268)))), "")</f>
        <v/>
      </c>
      <c r="AR268" s="62">
        <f t="array" aca="1" ref="AR268:AU268" ca="1">AC268:AF268 + TRANSPOSE(MMULT(IF($AB268,Fetch(AQ268),$L$61:$O$64),TRANSPOSE(AM268:AP268)))</f>
        <v>1.3832386896880502</v>
      </c>
      <c r="AS268" s="62">
        <f ca="1"/>
        <v>0.8912279310364345</v>
      </c>
      <c r="AT268" s="62">
        <f ca="1"/>
        <v>1.3492825151920038</v>
      </c>
      <c r="AU268" s="62">
        <f ca="1"/>
        <v>1.3830709629636679</v>
      </c>
      <c r="AV268" s="66" t="str">
        <f t="array" ref="AV268">IF($AB268, Push(Fetch(AG268) - MMULT(Fetch(AQ268),MMULT($I$38:$L$41,Fetch(AG268)))), "")</f>
        <v/>
      </c>
      <c r="AW268" s="97">
        <f t="array" aca="1" ref="AW268" ca="1">IF($AB268,LN(MDETERM(Fetch(AL268))),$J$65)   -   MMULT(AM268:AP268,MMULT(IF($AB268,Fetch(AL268),$G$61:$J$64),TRANSPOSE(AM268:AP268)))</f>
        <v>-11.005482674851679</v>
      </c>
    </row>
    <row r="269" spans="23:49" x14ac:dyDescent="0.15">
      <c r="W269" s="12">
        <f t="shared" si="8"/>
        <v>266</v>
      </c>
      <c r="X269" s="62">
        <f t="array" aca="1" ref="X269:AA269" ca="1">simulate!AE269:AH269</f>
        <v>1.4666990625082921</v>
      </c>
      <c r="Y269" s="62">
        <f ca="1"/>
        <v>1.6020841471643661</v>
      </c>
      <c r="Z269" s="62">
        <f ca="1"/>
        <v>0.98433004439143235</v>
      </c>
      <c r="AA269" s="62">
        <f ca="1"/>
        <v>1.3037565221011742</v>
      </c>
      <c r="AB269" s="98">
        <f t="shared" si="9"/>
        <v>0</v>
      </c>
      <c r="AC269" s="62">
        <f t="array" aca="1" ref="AC269:AF269" ca="1">TRANSPOSE($G$44:$G$47 + MMULT($I$44:$L$47,TRANSPOSE(AR268:AU268)))</f>
        <v>1.3154638368860923</v>
      </c>
      <c r="AD269" s="62">
        <f ca="1"/>
        <v>1.0559059097165557</v>
      </c>
      <c r="AE269" s="62">
        <f ca="1"/>
        <v>1.2787852975809717</v>
      </c>
      <c r="AF269" s="62">
        <f ca="1"/>
        <v>1.2926734415239154</v>
      </c>
      <c r="AG269" s="66" t="str">
        <f t="array" ref="AG269">IF($AB269, Push(MMULT($I$44:$L$47,MMULT(Fetch(AV268),TRANSPOSE($I$44:$L$47))) + $N$44:$Q$47), "")</f>
        <v/>
      </c>
      <c r="AH269" s="62">
        <f t="array" aca="1" ref="AH269:AK269" ca="1">TRANSPOSE($G$38:$G$41 + MMULT($I$38:$L$41,TRANSPOSE(AC269:AF269)))</f>
        <v>1.5939239466432169</v>
      </c>
      <c r="AI269" s="62">
        <f ca="1"/>
        <v>1.3721569296182716</v>
      </c>
      <c r="AJ269" s="62">
        <f ca="1"/>
        <v>1.1994173854852102</v>
      </c>
      <c r="AK269" s="62">
        <f ca="1"/>
        <v>1.3297232141338362</v>
      </c>
      <c r="AL269" s="66" t="str">
        <f t="array" ref="AL269">IF($AB269, Push(MINVERSE(MMULT($I$38:$L$41,MMULT(Fetch(AG269),TRANSPOSE($I$38:$L$41))) + $N$38:$Q$41)), "")</f>
        <v/>
      </c>
      <c r="AM269" s="62">
        <f t="array" aca="1" ref="AM269:AP269" ca="1">X269:AA269 - AH269:AK269</f>
        <v>-0.12722488413492483</v>
      </c>
      <c r="AN269" s="62">
        <f ca="1"/>
        <v>0.22992721754609446</v>
      </c>
      <c r="AO269" s="62">
        <f ca="1"/>
        <v>-0.21508734109377781</v>
      </c>
      <c r="AP269" s="62">
        <f ca="1"/>
        <v>-2.5966692032661998E-2</v>
      </c>
      <c r="AQ269" s="66" t="str">
        <f t="array" ref="AQ269">IF($AB269, Push(MMULT(Fetch(AG269),MMULT(TRANSPOSE($I$38:$L$41),Fetch(AL269)))), "")</f>
        <v/>
      </c>
      <c r="AR269" s="62">
        <f t="array" aca="1" ref="AR269:AU269" ca="1">AC269:AF269 + TRANSPOSE(MMULT(IF($AB269,Fetch(AQ269),$L$61:$O$64),TRANSPOSE(AM269:AP269)))</f>
        <v>1.2454610319412318</v>
      </c>
      <c r="AS269" s="62">
        <f ca="1"/>
        <v>1.2492004356227204</v>
      </c>
      <c r="AT269" s="62">
        <f ca="1"/>
        <v>1.1502491983601144</v>
      </c>
      <c r="AU269" s="62">
        <f ca="1"/>
        <v>1.1971221666801786</v>
      </c>
      <c r="AV269" s="66" t="str">
        <f t="array" ref="AV269">IF($AB269, Push(Fetch(AG269) - MMULT(Fetch(AQ269),MMULT($I$38:$L$41,Fetch(AG269)))), "")</f>
        <v/>
      </c>
      <c r="AW269" s="97">
        <f t="array" aca="1" ref="AW269" ca="1">IF($AB269,LN(MDETERM(Fetch(AL269))),$J$65)   -   MMULT(AM269:AP269,MMULT(IF($AB269,Fetch(AL269),$G$61:$J$64),TRANSPOSE(AM269:AP269)))</f>
        <v>6.7853141186915344</v>
      </c>
    </row>
    <row r="270" spans="23:49" x14ac:dyDescent="0.15">
      <c r="W270" s="12">
        <f t="shared" si="8"/>
        <v>267</v>
      </c>
      <c r="X270" s="62">
        <f t="array" aca="1" ref="X270:AA270" ca="1">simulate!AE270:AH270</f>
        <v>1.6886656549372741</v>
      </c>
      <c r="Y270" s="62">
        <f ca="1"/>
        <v>0.64056669156690293</v>
      </c>
      <c r="Z270" s="62">
        <f ca="1"/>
        <v>1.3736493166399897</v>
      </c>
      <c r="AA270" s="62">
        <f ca="1"/>
        <v>1.5790464703042544</v>
      </c>
      <c r="AB270" s="98">
        <f t="shared" si="9"/>
        <v>0</v>
      </c>
      <c r="AC270" s="62">
        <f t="array" aca="1" ref="AC270:AF270" ca="1">TRANSPOSE($G$44:$G$47 + MMULT($I$44:$L$47,TRANSPOSE(AR269:AU269)))</f>
        <v>1.2709265895903508</v>
      </c>
      <c r="AD270" s="62">
        <f ca="1"/>
        <v>1.184176583812057</v>
      </c>
      <c r="AE270" s="62">
        <f ca="1"/>
        <v>1.1920864257818988</v>
      </c>
      <c r="AF270" s="62">
        <f ca="1"/>
        <v>1.1787930064393994</v>
      </c>
      <c r="AG270" s="66" t="str">
        <f t="array" ref="AG270">IF($AB270, Push(MMULT($I$44:$L$47,MMULT(Fetch(AV269),TRANSPOSE($I$44:$L$47))) + $N$44:$Q$47), "")</f>
        <v/>
      </c>
      <c r="AH270" s="62">
        <f t="array" aca="1" ref="AH270:AK270" ca="1">TRANSPOSE($G$38:$G$41 + MMULT($I$38:$L$41,TRANSPOSE(AC270:AF270)))</f>
        <v>1.5325069889388319</v>
      </c>
      <c r="AI270" s="62">
        <f ca="1"/>
        <v>1.4672170445621755</v>
      </c>
      <c r="AJ270" s="62">
        <f ca="1"/>
        <v>1.0464253822185792</v>
      </c>
      <c r="AK270" s="62">
        <f ca="1"/>
        <v>1.2776909271812151</v>
      </c>
      <c r="AL270" s="66" t="str">
        <f t="array" ref="AL270">IF($AB270, Push(MINVERSE(MMULT($I$38:$L$41,MMULT(Fetch(AG270),TRANSPOSE($I$38:$L$41))) + $N$38:$Q$41)), "")</f>
        <v/>
      </c>
      <c r="AM270" s="62">
        <f t="array" aca="1" ref="AM270:AP270" ca="1">X270:AA270 - AH270:AK270</f>
        <v>0.15615866599844219</v>
      </c>
      <c r="AN270" s="62">
        <f ca="1"/>
        <v>-0.82665035299527256</v>
      </c>
      <c r="AO270" s="62">
        <f ca="1"/>
        <v>0.32722393442141051</v>
      </c>
      <c r="AP270" s="62">
        <f ca="1"/>
        <v>0.30135554312303925</v>
      </c>
      <c r="AQ270" s="66" t="str">
        <f t="array" ref="AQ270">IF($AB270, Push(MMULT(Fetch(AG270),MMULT(TRANSPOSE($I$38:$L$41),Fetch(AL270)))), "")</f>
        <v/>
      </c>
      <c r="AR270" s="62">
        <f t="array" aca="1" ref="AR270:AU270" ca="1">AC270:AF270 + TRANSPOSE(MMULT(IF($AB270,Fetch(AQ270),$L$61:$O$64),TRANSPOSE(AM270:AP270)))</f>
        <v>1.2269084117792017</v>
      </c>
      <c r="AS270" s="62">
        <f ca="1"/>
        <v>0.6765977785407945</v>
      </c>
      <c r="AT270" s="62">
        <f ca="1"/>
        <v>1.6065985401171861</v>
      </c>
      <c r="AU270" s="62">
        <f ca="1"/>
        <v>1.4120979504698781</v>
      </c>
      <c r="AV270" s="66" t="str">
        <f t="array" ref="AV270">IF($AB270, Push(Fetch(AG270) - MMULT(Fetch(AQ270),MMULT($I$38:$L$41,Fetch(AG270)))), "")</f>
        <v/>
      </c>
      <c r="AW270" s="97">
        <f t="array" aca="1" ref="AW270" ca="1">IF($AB270,LN(MDETERM(Fetch(AL270))),$J$65)   -   MMULT(AM270:AP270,MMULT(IF($AB270,Fetch(AL270),$G$61:$J$64),TRANSPOSE(AM270:AP270)))</f>
        <v>3.3028804151954034</v>
      </c>
    </row>
    <row r="271" spans="23:49" x14ac:dyDescent="0.15">
      <c r="W271" s="12">
        <f t="shared" si="8"/>
        <v>268</v>
      </c>
      <c r="X271" s="62">
        <f t="array" aca="1" ref="X271:AA271" ca="1">simulate!AE271:AH271</f>
        <v>0.70821143238804629</v>
      </c>
      <c r="Y271" s="62">
        <f ca="1"/>
        <v>1.4122647629394054</v>
      </c>
      <c r="Z271" s="62">
        <f ca="1"/>
        <v>0.60492246641250158</v>
      </c>
      <c r="AA271" s="62">
        <f ca="1"/>
        <v>1.2978935415781823</v>
      </c>
      <c r="AB271" s="98">
        <f t="shared" si="9"/>
        <v>0</v>
      </c>
      <c r="AC271" s="62">
        <f t="array" aca="1" ref="AC271:AF271" ca="1">TRANSPOSE($G$44:$G$47 + MMULT($I$44:$L$47,TRANSPOSE(AR270:AU270)))</f>
        <v>1.2189820274679322</v>
      </c>
      <c r="AD271" s="62">
        <f ca="1"/>
        <v>0.95475461032280418</v>
      </c>
      <c r="AE271" s="62">
        <f ca="1"/>
        <v>1.3760754798016519</v>
      </c>
      <c r="AF271" s="62">
        <f ca="1"/>
        <v>1.3273372268687915</v>
      </c>
      <c r="AG271" s="66" t="str">
        <f t="array" ref="AG271">IF($AB271, Push(MMULT($I$44:$L$47,MMULT(Fetch(AV270),TRANSPOSE($I$44:$L$47))) + $N$44:$Q$47), "")</f>
        <v/>
      </c>
      <c r="AH271" s="62">
        <f t="array" aca="1" ref="AH271:AK271" ca="1">TRANSPOSE($G$38:$G$41 + MMULT($I$38:$L$41,TRANSPOSE(AC271:AF271)))</f>
        <v>1.582285451830125</v>
      </c>
      <c r="AI271" s="62">
        <f ca="1"/>
        <v>1.2302774881833447</v>
      </c>
      <c r="AJ271" s="62">
        <f ca="1"/>
        <v>1.2204407972178786</v>
      </c>
      <c r="AK271" s="62">
        <f ca="1"/>
        <v>1.4271915073595454</v>
      </c>
      <c r="AL271" s="66" t="str">
        <f t="array" ref="AL271">IF($AB271, Push(MINVERSE(MMULT($I$38:$L$41,MMULT(Fetch(AG271),TRANSPOSE($I$38:$L$41))) + $N$38:$Q$41)), "")</f>
        <v/>
      </c>
      <c r="AM271" s="62">
        <f t="array" aca="1" ref="AM271:AP271" ca="1">X271:AA271 - AH271:AK271</f>
        <v>-0.87407401944207874</v>
      </c>
      <c r="AN271" s="62">
        <f ca="1"/>
        <v>0.18198727475606069</v>
      </c>
      <c r="AO271" s="62">
        <f ca="1"/>
        <v>-0.61551833080537699</v>
      </c>
      <c r="AP271" s="62">
        <f ca="1"/>
        <v>-0.1292979657813631</v>
      </c>
      <c r="AQ271" s="66" t="str">
        <f t="array" ref="AQ271">IF($AB271, Push(MMULT(Fetch(AG271),MMULT(TRANSPOSE($I$38:$L$41),Fetch(AL271)))), "")</f>
        <v/>
      </c>
      <c r="AR271" s="62">
        <f t="array" aca="1" ref="AR271:AU271" ca="1">AC271:AF271 + TRANSPOSE(MMULT(IF($AB271,Fetch(AQ271),$L$61:$O$64),TRANSPOSE(AM271:AP271)))</f>
        <v>0.72422486507186212</v>
      </c>
      <c r="AS271" s="62">
        <f ca="1"/>
        <v>1.3144256924608553</v>
      </c>
      <c r="AT271" s="62">
        <f ca="1"/>
        <v>0.84691695262920941</v>
      </c>
      <c r="AU271" s="62">
        <f ca="1"/>
        <v>1.0295098686346051</v>
      </c>
      <c r="AV271" s="66" t="str">
        <f t="array" ref="AV271">IF($AB271, Push(Fetch(AG271) - MMULT(Fetch(AQ271),MMULT($I$38:$L$41,Fetch(AG271)))), "")</f>
        <v/>
      </c>
      <c r="AW271" s="97">
        <f t="array" aca="1" ref="AW271" ca="1">IF($AB271,LN(MDETERM(Fetch(AL271))),$J$65)   -   MMULT(AM271:AP271,MMULT(IF($AB271,Fetch(AL271),$G$61:$J$64),TRANSPOSE(AM271:AP271)))</f>
        <v>1.0382659270500509</v>
      </c>
    </row>
    <row r="272" spans="23:49" x14ac:dyDescent="0.15">
      <c r="W272" s="12">
        <f t="shared" si="8"/>
        <v>269</v>
      </c>
      <c r="X272" s="62">
        <f t="array" aca="1" ref="X272:AA272" ca="1">simulate!AE272:AH272</f>
        <v>0.18112616663850584</v>
      </c>
      <c r="Y272" s="62">
        <f ca="1"/>
        <v>-0.38428649625403399</v>
      </c>
      <c r="Z272" s="62">
        <f ca="1"/>
        <v>0.94496051342279197</v>
      </c>
      <c r="AA272" s="62">
        <f ca="1"/>
        <v>1.2726761766920263</v>
      </c>
      <c r="AB272" s="98">
        <f t="shared" si="9"/>
        <v>0</v>
      </c>
      <c r="AC272" s="62">
        <f t="array" aca="1" ref="AC272:AF272" ca="1">TRANSPOSE($G$44:$G$47 + MMULT($I$44:$L$47,TRANSPOSE(AR271:AU271)))</f>
        <v>0.96942585577726481</v>
      </c>
      <c r="AD272" s="62">
        <f ca="1"/>
        <v>1.0779535934644091</v>
      </c>
      <c r="AE272" s="62">
        <f ca="1"/>
        <v>0.97694564973481468</v>
      </c>
      <c r="AF272" s="62">
        <f ca="1"/>
        <v>1.0186155568111304</v>
      </c>
      <c r="AG272" s="66" t="str">
        <f t="array" ref="AG272">IF($AB272, Push(MMULT($I$44:$L$47,MMULT(Fetch(AV271),TRANSPOSE($I$44:$L$47))) + $N$44:$Q$47), "")</f>
        <v/>
      </c>
      <c r="AH272" s="62">
        <f t="array" aca="1" ref="AH272:AK272" ca="1">TRANSPOSE($G$38:$G$41 + MMULT($I$38:$L$41,TRANSPOSE(AC272:AF272)))</f>
        <v>1.2311838818184859</v>
      </c>
      <c r="AI272" s="62">
        <f ca="1"/>
        <v>1.2866157503464115</v>
      </c>
      <c r="AJ272" s="62">
        <f ca="1"/>
        <v>0.85644093514806374</v>
      </c>
      <c r="AK272" s="62">
        <f ca="1"/>
        <v>1.1567700746783207</v>
      </c>
      <c r="AL272" s="66" t="str">
        <f t="array" ref="AL272">IF($AB272, Push(MINVERSE(MMULT($I$38:$L$41,MMULT(Fetch(AG272),TRANSPOSE($I$38:$L$41))) + $N$38:$Q$41)), "")</f>
        <v/>
      </c>
      <c r="AM272" s="62">
        <f t="array" aca="1" ref="AM272:AP272" ca="1">X272:AA272 - AH272:AK272</f>
        <v>-1.0500577151799801</v>
      </c>
      <c r="AN272" s="62">
        <f ca="1"/>
        <v>-1.6709022466004455</v>
      </c>
      <c r="AO272" s="62">
        <f ca="1"/>
        <v>8.8519578274728228E-2</v>
      </c>
      <c r="AP272" s="62">
        <f ca="1"/>
        <v>0.11590610201370555</v>
      </c>
      <c r="AQ272" s="66" t="str">
        <f t="array" ref="AQ272">IF($AB272, Push(MMULT(Fetch(AG272),MMULT(TRANSPOSE($I$38:$L$41),Fetch(AL272)))), "")</f>
        <v/>
      </c>
      <c r="AR272" s="62">
        <f t="array" aca="1" ref="AR272:AU272" ca="1">AC272:AF272 + TRANSPOSE(MMULT(IF($AB272,Fetch(AQ272),$L$61:$O$64),TRANSPOSE(AM272:AP272)))</f>
        <v>0.22571927749149179</v>
      </c>
      <c r="AS272" s="62">
        <f ca="1"/>
        <v>0.31242563110136812</v>
      </c>
      <c r="AT272" s="62">
        <f ca="1"/>
        <v>0.89765346387848899</v>
      </c>
      <c r="AU272" s="62">
        <f ca="1"/>
        <v>1.0796208959969036</v>
      </c>
      <c r="AV272" s="66" t="str">
        <f t="array" ref="AV272">IF($AB272, Push(Fetch(AG272) - MMULT(Fetch(AQ272),MMULT($I$38:$L$41,Fetch(AG272)))), "")</f>
        <v/>
      </c>
      <c r="AW272" s="97">
        <f t="array" aca="1" ref="AW272" ca="1">IF($AB272,LN(MDETERM(Fetch(AL272))),$J$65)   -   MMULT(AM272:AP272,MMULT(IF($AB272,Fetch(AL272),$G$61:$J$64),TRANSPOSE(AM272:AP272)))</f>
        <v>-10.070927179630123</v>
      </c>
    </row>
    <row r="273" spans="23:49" x14ac:dyDescent="0.15">
      <c r="W273" s="12">
        <f t="shared" si="8"/>
        <v>270</v>
      </c>
      <c r="X273" s="62">
        <f t="array" aca="1" ref="X273:AA273" ca="1">simulate!AE273:AH273</f>
        <v>-4.3268980624047271E-2</v>
      </c>
      <c r="Y273" s="62">
        <f ca="1"/>
        <v>0.95229853312228285</v>
      </c>
      <c r="Z273" s="62">
        <f ca="1"/>
        <v>-0.27968978809645767</v>
      </c>
      <c r="AA273" s="62">
        <f ca="1"/>
        <v>1.0231373914472599</v>
      </c>
      <c r="AB273" s="98">
        <f t="shared" si="9"/>
        <v>0</v>
      </c>
      <c r="AC273" s="62">
        <f t="array" aca="1" ref="AC273:AF273" ca="1">TRANSPOSE($G$44:$G$47 + MMULT($I$44:$L$47,TRANSPOSE(AR272:AU272)))</f>
        <v>0.55792809042471359</v>
      </c>
      <c r="AD273" s="62">
        <f ca="1"/>
        <v>0.46693710045560133</v>
      </c>
      <c r="AE273" s="62">
        <f ca="1"/>
        <v>0.81359328919529883</v>
      </c>
      <c r="AF273" s="62">
        <f ca="1"/>
        <v>0.95863480424296998</v>
      </c>
      <c r="AG273" s="66" t="str">
        <f t="array" ref="AG273">IF($AB273, Push(MMULT($I$44:$L$47,MMULT(Fetch(AV272),TRANSPOSE($I$44:$L$47))) + $N$44:$Q$47), "")</f>
        <v/>
      </c>
      <c r="AH273" s="62">
        <f t="array" aca="1" ref="AH273:AK273" ca="1">TRANSPOSE($G$38:$G$41 + MMULT($I$38:$L$41,TRANSPOSE(AC273:AF273)))</f>
        <v>0.88239521622430583</v>
      </c>
      <c r="AI273" s="62">
        <f ca="1"/>
        <v>0.63194432145665747</v>
      </c>
      <c r="AJ273" s="62">
        <f ca="1"/>
        <v>0.8945432035343901</v>
      </c>
      <c r="AK273" s="62">
        <f ca="1"/>
        <v>1.0109851163194701</v>
      </c>
      <c r="AL273" s="66" t="str">
        <f t="array" ref="AL273">IF($AB273, Push(MINVERSE(MMULT($I$38:$L$41,MMULT(Fetch(AG273),TRANSPOSE($I$38:$L$41))) + $N$38:$Q$41)), "")</f>
        <v/>
      </c>
      <c r="AM273" s="62">
        <f t="array" aca="1" ref="AM273:AP273" ca="1">X273:AA273 - AH273:AK273</f>
        <v>-0.9256641968483531</v>
      </c>
      <c r="AN273" s="62">
        <f ca="1"/>
        <v>0.32035421166562539</v>
      </c>
      <c r="AO273" s="62">
        <f ca="1"/>
        <v>-1.1742329916308478</v>
      </c>
      <c r="AP273" s="62">
        <f ca="1"/>
        <v>1.2152275127789824E-2</v>
      </c>
      <c r="AQ273" s="66" t="str">
        <f t="array" ref="AQ273">IF($AB273, Push(MMULT(Fetch(AG273),MMULT(TRANSPOSE($I$38:$L$41),Fetch(AL273)))), "")</f>
        <v/>
      </c>
      <c r="AR273" s="62">
        <f t="array" aca="1" ref="AR273:AU273" ca="1">AC273:AF273 + TRANSPOSE(MMULT(IF($AB273,Fetch(AQ273),$L$61:$O$64),TRANSPOSE(AM273:AP273)))</f>
        <v>-0.11051050685273722</v>
      </c>
      <c r="AS273" s="62">
        <f ca="1"/>
        <v>1.0597659439748459</v>
      </c>
      <c r="AT273" s="62">
        <f ca="1"/>
        <v>0.24713806496731383</v>
      </c>
      <c r="AU273" s="62">
        <f ca="1"/>
        <v>0.48333410260461751</v>
      </c>
      <c r="AV273" s="66" t="str">
        <f t="array" ref="AV273">IF($AB273, Push(Fetch(AG273) - MMULT(Fetch(AQ273),MMULT($I$38:$L$41,Fetch(AG273)))), "")</f>
        <v/>
      </c>
      <c r="AW273" s="97">
        <f t="array" aca="1" ref="AW273" ca="1">IF($AB273,LN(MDETERM(Fetch(AL273))),$J$65)   -   MMULT(AM273:AP273,MMULT(IF($AB273,Fetch(AL273),$G$61:$J$64),TRANSPOSE(AM273:AP273)))</f>
        <v>-5.1221900713931614</v>
      </c>
    </row>
    <row r="274" spans="23:49" x14ac:dyDescent="0.15">
      <c r="W274" s="12">
        <f t="shared" si="8"/>
        <v>271</v>
      </c>
      <c r="X274" s="62">
        <f t="array" aca="1" ref="X274:AA274" ca="1">simulate!AE274:AH274</f>
        <v>0.65240343186314265</v>
      </c>
      <c r="Y274" s="62">
        <f ca="1"/>
        <v>0.49353805400603878</v>
      </c>
      <c r="Z274" s="62">
        <f ca="1"/>
        <v>0.7254606375880418</v>
      </c>
      <c r="AA274" s="62">
        <f ca="1"/>
        <v>0.44707786146281642</v>
      </c>
      <c r="AB274" s="98">
        <f t="shared" si="9"/>
        <v>0</v>
      </c>
      <c r="AC274" s="62">
        <f t="array" aca="1" ref="AC274:AF274" ca="1">TRANSPOSE($G$44:$G$47 + MMULT($I$44:$L$47,TRANSPOSE(AR273:AU273)))</f>
        <v>0.41197769056077727</v>
      </c>
      <c r="AD274" s="62">
        <f ca="1"/>
        <v>0.67725012765442072</v>
      </c>
      <c r="AE274" s="62">
        <f ca="1"/>
        <v>0.47142501226672034</v>
      </c>
      <c r="AF274" s="62">
        <f ca="1"/>
        <v>0.56801857539408451</v>
      </c>
      <c r="AG274" s="66" t="str">
        <f t="array" ref="AG274">IF($AB274, Push(MMULT($I$44:$L$47,MMULT(Fetch(AV273),TRANSPOSE($I$44:$L$47))) + $N$44:$Q$47), "")</f>
        <v/>
      </c>
      <c r="AH274" s="62">
        <f t="array" aca="1" ref="AH274:AK274" ca="1">TRANSPOSE($G$38:$G$41 + MMULT($I$38:$L$41,TRANSPOSE(AC274:AF274)))</f>
        <v>0.6603108577119865</v>
      </c>
      <c r="AI274" s="62">
        <f ca="1"/>
        <v>0.77186438100875221</v>
      </c>
      <c r="AJ274" s="62">
        <f ca="1"/>
        <v>0.46380866569992468</v>
      </c>
      <c r="AK274" s="62">
        <f ca="1"/>
        <v>0.72679868250882396</v>
      </c>
      <c r="AL274" s="66" t="str">
        <f t="array" ref="AL274">IF($AB274, Push(MINVERSE(MMULT($I$38:$L$41,MMULT(Fetch(AG274),TRANSPOSE($I$38:$L$41))) + $N$38:$Q$41)), "")</f>
        <v/>
      </c>
      <c r="AM274" s="62">
        <f t="array" aca="1" ref="AM274:AP274" ca="1">X274:AA274 - AH274:AK274</f>
        <v>-7.907425848843852E-3</v>
      </c>
      <c r="AN274" s="62">
        <f ca="1"/>
        <v>-0.27832632700271343</v>
      </c>
      <c r="AO274" s="62">
        <f ca="1"/>
        <v>0.26165197188811712</v>
      </c>
      <c r="AP274" s="62">
        <f ca="1"/>
        <v>-0.27972082104600754</v>
      </c>
      <c r="AQ274" s="66" t="str">
        <f t="array" ref="AQ274">IF($AB274, Push(MMULT(Fetch(AG274),MMULT(TRANSPOSE($I$38:$L$41),Fetch(AL274)))), "")</f>
        <v/>
      </c>
      <c r="AR274" s="62">
        <f t="array" aca="1" ref="AR274:AU274" ca="1">AC274:AF274 + TRANSPOSE(MMULT(IF($AB274,Fetch(AQ274),$L$61:$O$64),TRANSPOSE(AM274:AP274)))</f>
        <v>0.49314929744521302</v>
      </c>
      <c r="AS274" s="62">
        <f ca="1"/>
        <v>0.40947560444153458</v>
      </c>
      <c r="AT274" s="62">
        <f ca="1"/>
        <v>0.36353261161668937</v>
      </c>
      <c r="AU274" s="62">
        <f ca="1"/>
        <v>0.57499583825054235</v>
      </c>
      <c r="AV274" s="66" t="str">
        <f t="array" ref="AV274">IF($AB274, Push(Fetch(AG274) - MMULT(Fetch(AQ274),MMULT($I$38:$L$41,Fetch(AG274)))), "")</f>
        <v/>
      </c>
      <c r="AW274" s="97">
        <f t="array" aca="1" ref="AW274" ca="1">IF($AB274,LN(MDETERM(Fetch(AL274))),$J$65)   -   MMULT(AM274:AP274,MMULT(IF($AB274,Fetch(AL274),$G$61:$J$64),TRANSPOSE(AM274:AP274)))</f>
        <v>5.6318230610741109</v>
      </c>
    </row>
    <row r="275" spans="23:49" x14ac:dyDescent="0.15">
      <c r="W275" s="12">
        <f t="shared" si="8"/>
        <v>272</v>
      </c>
      <c r="X275" s="62">
        <f t="array" aca="1" ref="X275:AA275" ca="1">simulate!AE275:AH275</f>
        <v>-0.11873033413632827</v>
      </c>
      <c r="Y275" s="62">
        <f ca="1"/>
        <v>0.52733720012129759</v>
      </c>
      <c r="Z275" s="62">
        <f ca="1"/>
        <v>0.45368925858136167</v>
      </c>
      <c r="AA275" s="62">
        <f ca="1"/>
        <v>-0.11780551086919781</v>
      </c>
      <c r="AB275" s="98">
        <f t="shared" si="9"/>
        <v>0</v>
      </c>
      <c r="AC275" s="62">
        <f t="array" aca="1" ref="AC275:AF275" ca="1">TRANSPOSE($G$44:$G$47 + MMULT($I$44:$L$47,TRANSPOSE(AR274:AU274)))</f>
        <v>0.65445209358550427</v>
      </c>
      <c r="AD275" s="62">
        <f ca="1"/>
        <v>0.44780494126832898</v>
      </c>
      <c r="AE275" s="62">
        <f ca="1"/>
        <v>0.48524167545742813</v>
      </c>
      <c r="AF275" s="62">
        <f ca="1"/>
        <v>0.61913974811171779</v>
      </c>
      <c r="AG275" s="66" t="str">
        <f t="array" ref="AG275">IF($AB275, Push(MMULT($I$44:$L$47,MMULT(Fetch(AV274),TRANSPOSE($I$44:$L$47))) + $N$44:$Q$47), "")</f>
        <v/>
      </c>
      <c r="AH275" s="62">
        <f t="array" aca="1" ref="AH275:AK275" ca="1">TRANSPOSE($G$38:$G$41 + MMULT($I$38:$L$41,TRANSPOSE(AC275:AF275)))</f>
        <v>0.84019879392791808</v>
      </c>
      <c r="AI275" s="62">
        <f ca="1"/>
        <v>0.6681702580467539</v>
      </c>
      <c r="AJ275" s="62">
        <f ca="1"/>
        <v>0.6861156679168896</v>
      </c>
      <c r="AK275" s="62">
        <f ca="1"/>
        <v>0.57945330527519956</v>
      </c>
      <c r="AL275" s="66" t="str">
        <f t="array" ref="AL275">IF($AB275, Push(MINVERSE(MMULT($I$38:$L$41,MMULT(Fetch(AG275),TRANSPOSE($I$38:$L$41))) + $N$38:$Q$41)), "")</f>
        <v/>
      </c>
      <c r="AM275" s="62">
        <f t="array" aca="1" ref="AM275:AP275" ca="1">X275:AA275 - AH275:AK275</f>
        <v>-0.95892912806424635</v>
      </c>
      <c r="AN275" s="62">
        <f ca="1"/>
        <v>-0.14083305792545631</v>
      </c>
      <c r="AO275" s="62">
        <f ca="1"/>
        <v>-0.23242640933552794</v>
      </c>
      <c r="AP275" s="62">
        <f ca="1"/>
        <v>-0.69725881614439733</v>
      </c>
      <c r="AQ275" s="66" t="str">
        <f t="array" ref="AQ275">IF($AB275, Push(MMULT(Fetch(AG275),MMULT(TRANSPOSE($I$38:$L$41),Fetch(AL275)))), "")</f>
        <v/>
      </c>
      <c r="AR275" s="62">
        <f t="array" aca="1" ref="AR275:AU275" ca="1">AC275:AF275 + TRANSPOSE(MMULT(IF($AB275,Fetch(AQ275),$L$61:$O$64),TRANSPOSE(AM275:AP275)))</f>
        <v>0.2940009130128477</v>
      </c>
      <c r="AS275" s="62">
        <f ca="1"/>
        <v>0.445063380962059</v>
      </c>
      <c r="AT275" s="62">
        <f ca="1"/>
        <v>-0.34348425353787493</v>
      </c>
      <c r="AU275" s="62">
        <f ca="1"/>
        <v>0.2765518869510501</v>
      </c>
      <c r="AV275" s="66" t="str">
        <f t="array" ref="AV275">IF($AB275, Push(Fetch(AG275) - MMULT(Fetch(AQ275),MMULT($I$38:$L$41,Fetch(AG275)))), "")</f>
        <v/>
      </c>
      <c r="AW275" s="97">
        <f t="array" aca="1" ref="AW275" ca="1">IF($AB275,LN(MDETERM(Fetch(AL275))),$J$65)   -   MMULT(AM275:AP275,MMULT(IF($AB275,Fetch(AL275),$G$61:$J$64),TRANSPOSE(AM275:AP275)))</f>
        <v>1.8202661079110882</v>
      </c>
    </row>
    <row r="276" spans="23:49" x14ac:dyDescent="0.15">
      <c r="W276" s="12">
        <f t="shared" si="8"/>
        <v>273</v>
      </c>
      <c r="X276" s="62">
        <f t="array" aca="1" ref="X276:AA276" ca="1">simulate!AE276:AH276</f>
        <v>1.5071595716844117</v>
      </c>
      <c r="Y276" s="62">
        <f ca="1"/>
        <v>0.66303325684539605</v>
      </c>
      <c r="Z276" s="62">
        <f ca="1"/>
        <v>1.2099043969168346</v>
      </c>
      <c r="AA276" s="62">
        <f ca="1"/>
        <v>0.91817590057859677</v>
      </c>
      <c r="AB276" s="98">
        <f t="shared" si="9"/>
        <v>0</v>
      </c>
      <c r="AC276" s="62">
        <f t="array" aca="1" ref="AC276:AF276" ca="1">TRANSPOSE($G$44:$G$47 + MMULT($I$44:$L$47,TRANSPOSE(AR275:AU275)))</f>
        <v>0.48749380869723913</v>
      </c>
      <c r="AD276" s="62">
        <f ca="1"/>
        <v>0.30881471164773822</v>
      </c>
      <c r="AE276" s="62">
        <f ca="1"/>
        <v>5.0834547896654231E-2</v>
      </c>
      <c r="AF276" s="62">
        <f ca="1"/>
        <v>0.33612974234122128</v>
      </c>
      <c r="AG276" s="66" t="str">
        <f t="array" ref="AG276">IF($AB276, Push(MMULT($I$44:$L$47,MMULT(Fetch(AV275),TRANSPOSE($I$44:$L$47))) + $N$44:$Q$47), "")</f>
        <v/>
      </c>
      <c r="AH276" s="62">
        <f t="array" aca="1" ref="AH276:AK276" ca="1">TRANSPOSE($G$38:$G$41 + MMULT($I$38:$L$41,TRANSPOSE(AC276:AF276)))</f>
        <v>0.53235178252113768</v>
      </c>
      <c r="AI276" s="62">
        <f ca="1"/>
        <v>0.5406869006777234</v>
      </c>
      <c r="AJ276" s="62">
        <f ca="1"/>
        <v>0.47839585337562923</v>
      </c>
      <c r="AK276" s="62">
        <f ca="1"/>
        <v>0.17717447352611101</v>
      </c>
      <c r="AL276" s="66" t="str">
        <f t="array" ref="AL276">IF($AB276, Push(MINVERSE(MMULT($I$38:$L$41,MMULT(Fetch(AG276),TRANSPOSE($I$38:$L$41))) + $N$38:$Q$41)), "")</f>
        <v/>
      </c>
      <c r="AM276" s="62">
        <f t="array" aca="1" ref="AM276:AP276" ca="1">X276:AA276 - AH276:AK276</f>
        <v>0.97480778916327404</v>
      </c>
      <c r="AN276" s="62">
        <f ca="1"/>
        <v>0.12234635616767264</v>
      </c>
      <c r="AO276" s="62">
        <f ca="1"/>
        <v>0.73150854354120542</v>
      </c>
      <c r="AP276" s="62">
        <f ca="1"/>
        <v>0.74100142705248573</v>
      </c>
      <c r="AQ276" s="66" t="str">
        <f t="array" ref="AQ276">IF($AB276, Push(MMULT(Fetch(AG276),MMULT(TRANSPOSE($I$38:$L$41),Fetch(AL276)))), "")</f>
        <v/>
      </c>
      <c r="AR276" s="62">
        <f t="array" aca="1" ref="AR276:AU276" ca="1">AC276:AF276 + TRANSPOSE(MMULT(IF($AB276,Fetch(AQ276),$L$61:$O$64),TRANSPOSE(AM276:AP276)))</f>
        <v>0.96764775360114197</v>
      </c>
      <c r="AS276" s="62">
        <f ca="1"/>
        <v>0.2022753239038361</v>
      </c>
      <c r="AT276" s="62">
        <f ca="1"/>
        <v>1.0007178983794662</v>
      </c>
      <c r="AU276" s="62">
        <f ca="1"/>
        <v>0.89725390970072527</v>
      </c>
      <c r="AV276" s="66" t="str">
        <f t="array" ref="AV276">IF($AB276, Push(Fetch(AG276) - MMULT(Fetch(AQ276),MMULT($I$38:$L$41,Fetch(AG276)))), "")</f>
        <v/>
      </c>
      <c r="AW276" s="97">
        <f t="array" aca="1" ref="AW276" ca="1">IF($AB276,LN(MDETERM(Fetch(AL276))),$J$65)   -   MMULT(AM276:AP276,MMULT(IF($AB276,Fetch(AL276),$G$61:$J$64),TRANSPOSE(AM276:AP276)))</f>
        <v>-0.64018089425774782</v>
      </c>
    </row>
    <row r="277" spans="23:49" x14ac:dyDescent="0.15">
      <c r="W277" s="12">
        <f t="shared" si="8"/>
        <v>274</v>
      </c>
      <c r="X277" s="62">
        <f t="array" aca="1" ref="X277:AA277" ca="1">simulate!AE277:AH277</f>
        <v>-0.22401856301594958</v>
      </c>
      <c r="Y277" s="62">
        <f ca="1"/>
        <v>0.22442335800633059</v>
      </c>
      <c r="Z277" s="62">
        <f ca="1"/>
        <v>0.45610473248714806</v>
      </c>
      <c r="AA277" s="62">
        <f ca="1"/>
        <v>0.29763503752026754</v>
      </c>
      <c r="AB277" s="98">
        <f t="shared" si="9"/>
        <v>0</v>
      </c>
      <c r="AC277" s="62">
        <f t="array" aca="1" ref="AC277:AF277" ca="1">TRANSPOSE($G$44:$G$47 + MMULT($I$44:$L$47,TRANSPOSE(AR276:AU276)))</f>
        <v>0.94089638954252952</v>
      </c>
      <c r="AD277" s="62">
        <f ca="1"/>
        <v>0.53017805741303781</v>
      </c>
      <c r="AE277" s="62">
        <f ca="1"/>
        <v>0.87719628372648151</v>
      </c>
      <c r="AF277" s="62">
        <f ca="1"/>
        <v>0.90468943831107351</v>
      </c>
      <c r="AG277" s="66" t="str">
        <f t="array" ref="AG277">IF($AB277, Push(MMULT($I$44:$L$47,MMULT(Fetch(AV276),TRANSPOSE($I$44:$L$47))) + $N$44:$Q$47), "")</f>
        <v/>
      </c>
      <c r="AH277" s="62">
        <f t="array" aca="1" ref="AH277:AK277" ca="1">TRANSPOSE($G$38:$G$41 + MMULT($I$38:$L$41,TRANSPOSE(AC277:AF277)))</f>
        <v>1.2088082381276326</v>
      </c>
      <c r="AI277" s="62">
        <f ca="1"/>
        <v>0.80187640840457397</v>
      </c>
      <c r="AJ277" s="62">
        <f ca="1"/>
        <v>0.9676050068479396</v>
      </c>
      <c r="AK277" s="62">
        <f ca="1"/>
        <v>0.88114221878948706</v>
      </c>
      <c r="AL277" s="66" t="str">
        <f t="array" ref="AL277">IF($AB277, Push(MINVERSE(MMULT($I$38:$L$41,MMULT(Fetch(AG277),TRANSPOSE($I$38:$L$41))) + $N$38:$Q$41)), "")</f>
        <v/>
      </c>
      <c r="AM277" s="62">
        <f t="array" aca="1" ref="AM277:AP277" ca="1">X277:AA277 - AH277:AK277</f>
        <v>-1.4328268011435821</v>
      </c>
      <c r="AN277" s="62">
        <f ca="1"/>
        <v>-0.57745305039824335</v>
      </c>
      <c r="AO277" s="62">
        <f ca="1"/>
        <v>-0.51150027436079148</v>
      </c>
      <c r="AP277" s="62">
        <f ca="1"/>
        <v>-0.58350718126921952</v>
      </c>
      <c r="AQ277" s="66" t="str">
        <f t="array" ref="AQ277">IF($AB277, Push(MMULT(Fetch(AG277),MMULT(TRANSPOSE($I$38:$L$41),Fetch(AL277)))), "")</f>
        <v/>
      </c>
      <c r="AR277" s="62">
        <f t="array" aca="1" ref="AR277:AU277" ca="1">AC277:AF277 + TRANSPOSE(MMULT(IF($AB277,Fetch(AQ277),$L$61:$O$64),TRANSPOSE(AM277:AP277)))</f>
        <v>0.20075616858763179</v>
      </c>
      <c r="AS277" s="62">
        <f ca="1"/>
        <v>0.44213243808959257</v>
      </c>
      <c r="AT277" s="62">
        <f ca="1"/>
        <v>-4.068326563939384E-2</v>
      </c>
      <c r="AU277" s="62">
        <f ca="1"/>
        <v>0.48332717411776349</v>
      </c>
      <c r="AV277" s="66" t="str">
        <f t="array" ref="AV277">IF($AB277, Push(Fetch(AG277) - MMULT(Fetch(AQ277),MMULT($I$38:$L$41,Fetch(AG277)))), "")</f>
        <v/>
      </c>
      <c r="AW277" s="97">
        <f t="array" aca="1" ref="AW277" ca="1">IF($AB277,LN(MDETERM(Fetch(AL277))),$J$65)   -   MMULT(AM277:AP277,MMULT(IF($AB277,Fetch(AL277),$G$61:$J$64),TRANSPOSE(AM277:AP277)))</f>
        <v>-4.2804242635839991</v>
      </c>
    </row>
    <row r="278" spans="23:49" x14ac:dyDescent="0.15">
      <c r="W278" s="12">
        <f t="shared" si="8"/>
        <v>275</v>
      </c>
      <c r="X278" s="62">
        <f t="array" aca="1" ref="X278:AA278" ca="1">simulate!AE278:AH278</f>
        <v>0.80844171009050014</v>
      </c>
      <c r="Y278" s="62">
        <f ca="1"/>
        <v>0.43691850007059468</v>
      </c>
      <c r="Z278" s="62">
        <f ca="1"/>
        <v>0.76367968222530558</v>
      </c>
      <c r="AA278" s="62">
        <f ca="1"/>
        <v>0.3322223688157474</v>
      </c>
      <c r="AB278" s="98">
        <f t="shared" si="9"/>
        <v>0</v>
      </c>
      <c r="AC278" s="62">
        <f t="array" aca="1" ref="AC278:AF278" ca="1">TRANSPOSE($G$44:$G$47 + MMULT($I$44:$L$47,TRANSPOSE(AR277:AU277)))</f>
        <v>0.46819211724949933</v>
      </c>
      <c r="AD278" s="62">
        <f ca="1"/>
        <v>0.35162350457723596</v>
      </c>
      <c r="AE278" s="62">
        <f ca="1"/>
        <v>0.23785727332727952</v>
      </c>
      <c r="AF278" s="62">
        <f ca="1"/>
        <v>0.49227695657921122</v>
      </c>
      <c r="AG278" s="66" t="str">
        <f t="array" ref="AG278">IF($AB278, Push(MMULT($I$44:$L$47,MMULT(Fetch(AV277),TRANSPOSE($I$44:$L$47))) + $N$44:$Q$47), "")</f>
        <v/>
      </c>
      <c r="AH278" s="62">
        <f t="array" aca="1" ref="AH278:AK278" ca="1">TRANSPOSE($G$38:$G$41 + MMULT($I$38:$L$41,TRANSPOSE(AC278:AF278)))</f>
        <v>0.59080288543338111</v>
      </c>
      <c r="AI278" s="62">
        <f ca="1"/>
        <v>0.55374146684096803</v>
      </c>
      <c r="AJ278" s="62">
        <f ca="1"/>
        <v>0.56769410175570156</v>
      </c>
      <c r="AK278" s="62">
        <f ca="1"/>
        <v>0.40078903050639947</v>
      </c>
      <c r="AL278" s="66" t="str">
        <f t="array" ref="AL278">IF($AB278, Push(MINVERSE(MMULT($I$38:$L$41,MMULT(Fetch(AG278),TRANSPOSE($I$38:$L$41))) + $N$38:$Q$41)), "")</f>
        <v/>
      </c>
      <c r="AM278" s="62">
        <f t="array" aca="1" ref="AM278:AP278" ca="1">X278:AA278 - AH278:AK278</f>
        <v>0.21763882465711903</v>
      </c>
      <c r="AN278" s="62">
        <f ca="1"/>
        <v>-0.11682296677037335</v>
      </c>
      <c r="AO278" s="62">
        <f ca="1"/>
        <v>0.19598558046960401</v>
      </c>
      <c r="AP278" s="62">
        <f ca="1"/>
        <v>-6.8566661690652064E-2</v>
      </c>
      <c r="AQ278" s="66" t="str">
        <f t="array" ref="AQ278">IF($AB278, Push(MMULT(Fetch(AG278),MMULT(TRANSPOSE($I$38:$L$41),Fetch(AL278)))), "")</f>
        <v/>
      </c>
      <c r="AR278" s="62">
        <f t="array" aca="1" ref="AR278:AU278" ca="1">AC278:AF278 + TRANSPOSE(MMULT(IF($AB278,Fetch(AQ278),$L$61:$O$64),TRANSPOSE(AM278:AP278)))</f>
        <v>0.61350116581136094</v>
      </c>
      <c r="AS278" s="62">
        <f ca="1"/>
        <v>0.19231692617459301</v>
      </c>
      <c r="AT278" s="62">
        <f ca="1"/>
        <v>0.31946343638937857</v>
      </c>
      <c r="AU278" s="62">
        <f ca="1"/>
        <v>0.54816578530489235</v>
      </c>
      <c r="AV278" s="66" t="str">
        <f t="array" ref="AV278">IF($AB278, Push(Fetch(AG278) - MMULT(Fetch(AQ278),MMULT($I$38:$L$41,Fetch(AG278)))), "")</f>
        <v/>
      </c>
      <c r="AW278" s="97">
        <f t="array" aca="1" ref="AW278" ca="1">IF($AB278,LN(MDETERM(Fetch(AL278))),$J$65)   -   MMULT(AM278:AP278,MMULT(IF($AB278,Fetch(AL278),$G$61:$J$64),TRANSPOSE(AM278:AP278)))</f>
        <v>6.4938584500295953</v>
      </c>
    </row>
    <row r="279" spans="23:49" x14ac:dyDescent="0.15">
      <c r="W279" s="12">
        <f t="shared" si="8"/>
        <v>276</v>
      </c>
      <c r="X279" s="62">
        <f t="array" aca="1" ref="X279:AA279" ca="1">simulate!AE279:AH279</f>
        <v>4.7512300423305009E-2</v>
      </c>
      <c r="Y279" s="62">
        <f ca="1"/>
        <v>-0.54253579502363602</v>
      </c>
      <c r="Z279" s="62">
        <f ca="1"/>
        <v>0.97897489223952916</v>
      </c>
      <c r="AA279" s="62">
        <f ca="1"/>
        <v>0.74542962280673664</v>
      </c>
      <c r="AB279" s="98">
        <f t="shared" si="9"/>
        <v>0</v>
      </c>
      <c r="AC279" s="62">
        <f t="array" aca="1" ref="AC279:AF279" ca="1">TRANSPOSE($G$44:$G$47 + MMULT($I$44:$L$47,TRANSPOSE(AR278:AU278)))</f>
        <v>0.68288718049070474</v>
      </c>
      <c r="AD279" s="62">
        <f ca="1"/>
        <v>0.3416316024340425</v>
      </c>
      <c r="AE279" s="62">
        <f ca="1"/>
        <v>0.43077968580867182</v>
      </c>
      <c r="AF279" s="62">
        <f ca="1"/>
        <v>0.58781989212831665</v>
      </c>
      <c r="AG279" s="66" t="str">
        <f t="array" ref="AG279">IF($AB279, Push(MMULT($I$44:$L$47,MMULT(Fetch(AV278),TRANSPOSE($I$44:$L$47))) + $N$44:$Q$47), "")</f>
        <v/>
      </c>
      <c r="AH279" s="62">
        <f t="array" aca="1" ref="AH279:AK279" ca="1">TRANSPOSE($G$38:$G$41 + MMULT($I$38:$L$41,TRANSPOSE(AC279:AF279)))</f>
        <v>0.84044658969786568</v>
      </c>
      <c r="AI279" s="62">
        <f ca="1"/>
        <v>0.59394227362308771</v>
      </c>
      <c r="AJ279" s="62">
        <f ca="1"/>
        <v>0.71634500159390613</v>
      </c>
      <c r="AK279" s="62">
        <f ca="1"/>
        <v>0.48144970303044271</v>
      </c>
      <c r="AL279" s="66" t="str">
        <f t="array" ref="AL279">IF($AB279, Push(MINVERSE(MMULT($I$38:$L$41,MMULT(Fetch(AG279),TRANSPOSE($I$38:$L$41))) + $N$38:$Q$41)), "")</f>
        <v/>
      </c>
      <c r="AM279" s="62">
        <f t="array" aca="1" ref="AM279:AP279" ca="1">X279:AA279 - AH279:AK279</f>
        <v>-0.79293428927456067</v>
      </c>
      <c r="AN279" s="62">
        <f ca="1"/>
        <v>-1.1364780686467237</v>
      </c>
      <c r="AO279" s="62">
        <f ca="1"/>
        <v>0.26262989064562303</v>
      </c>
      <c r="AP279" s="62">
        <f ca="1"/>
        <v>0.26397991977629393</v>
      </c>
      <c r="AQ279" s="66" t="str">
        <f t="array" ref="AQ279">IF($AB279, Push(MMULT(Fetch(AG279),MMULT(TRANSPOSE($I$38:$L$41),Fetch(AL279)))), "")</f>
        <v/>
      </c>
      <c r="AR279" s="62">
        <f t="array" aca="1" ref="AR279:AU279" ca="1">AC279:AF279 + TRANSPOSE(MMULT(IF($AB279,Fetch(AQ279),$L$61:$O$64),TRANSPOSE(AM279:AP279)))</f>
        <v>0.15044122406446858</v>
      </c>
      <c r="AS279" s="62">
        <f ca="1"/>
        <v>-0.17100947063551281</v>
      </c>
      <c r="AT279" s="62">
        <f ca="1"/>
        <v>0.50440690611572947</v>
      </c>
      <c r="AU279" s="62">
        <f ca="1"/>
        <v>0.77613103295886465</v>
      </c>
      <c r="AV279" s="66" t="str">
        <f t="array" ref="AV279">IF($AB279, Push(Fetch(AG279) - MMULT(Fetch(AQ279),MMULT($I$38:$L$41,Fetch(AG279)))), "")</f>
        <v/>
      </c>
      <c r="AW279" s="97">
        <f t="array" aca="1" ref="AW279" ca="1">IF($AB279,LN(MDETERM(Fetch(AL279))),$J$65)   -   MMULT(AM279:AP279,MMULT(IF($AB279,Fetch(AL279),$G$61:$J$64),TRANSPOSE(AM279:AP279)))</f>
        <v>-2.1950569390308114</v>
      </c>
    </row>
    <row r="280" spans="23:49" x14ac:dyDescent="0.15">
      <c r="W280" s="12">
        <f t="shared" si="8"/>
        <v>277</v>
      </c>
      <c r="X280" s="62">
        <f t="array" aca="1" ref="X280:AA280" ca="1">simulate!AE280:AH280</f>
        <v>1.0126048564184644</v>
      </c>
      <c r="Y280" s="62">
        <f ca="1"/>
        <v>0.63679450816892169</v>
      </c>
      <c r="Z280" s="62">
        <f ca="1"/>
        <v>0.99614685693732774</v>
      </c>
      <c r="AA280" s="62">
        <f ca="1"/>
        <v>0.66301584101781263</v>
      </c>
      <c r="AB280" s="98">
        <f t="shared" si="9"/>
        <v>0</v>
      </c>
      <c r="AC280" s="62">
        <f t="array" aca="1" ref="AC280:AF280" ca="1">TRANSPOSE($G$44:$G$47 + MMULT($I$44:$L$47,TRANSPOSE(AR279:AU279)))</f>
        <v>0.40315104494946696</v>
      </c>
      <c r="AD280" s="62">
        <f ca="1"/>
        <v>0.11382333465183925</v>
      </c>
      <c r="AE280" s="62">
        <f ca="1"/>
        <v>0.47244798212562633</v>
      </c>
      <c r="AF280" s="62">
        <f ca="1"/>
        <v>0.69284999783643975</v>
      </c>
      <c r="AG280" s="66" t="str">
        <f t="array" ref="AG280">IF($AB280, Push(MMULT($I$44:$L$47,MMULT(Fetch(AV279),TRANSPOSE($I$44:$L$47))) + $N$44:$Q$47), "")</f>
        <v/>
      </c>
      <c r="AH280" s="62">
        <f t="array" aca="1" ref="AH280:AK280" ca="1">TRANSPOSE($G$38:$G$41 + MMULT($I$38:$L$41,TRANSPOSE(AC280:AF280)))</f>
        <v>0.64904018537759733</v>
      </c>
      <c r="AI280" s="62">
        <f ca="1"/>
        <v>0.30195117878199573</v>
      </c>
      <c r="AJ280" s="62">
        <f ca="1"/>
        <v>0.77857753208212621</v>
      </c>
      <c r="AK280" s="62">
        <f ca="1"/>
        <v>0.61240153955139287</v>
      </c>
      <c r="AL280" s="66" t="str">
        <f t="array" ref="AL280">IF($AB280, Push(MINVERSE(MMULT($I$38:$L$41,MMULT(Fetch(AG280),TRANSPOSE($I$38:$L$41))) + $N$38:$Q$41)), "")</f>
        <v/>
      </c>
      <c r="AM280" s="62">
        <f t="array" aca="1" ref="AM280:AP280" ca="1">X280:AA280 - AH280:AK280</f>
        <v>0.36356467104086709</v>
      </c>
      <c r="AN280" s="62">
        <f ca="1"/>
        <v>0.33484332938692596</v>
      </c>
      <c r="AO280" s="62">
        <f ca="1"/>
        <v>0.21756932485520153</v>
      </c>
      <c r="AP280" s="62">
        <f ca="1"/>
        <v>5.0614301466419764E-2</v>
      </c>
      <c r="AQ280" s="66" t="str">
        <f t="array" ref="AQ280">IF($AB280, Push(MMULT(Fetch(AG280),MMULT(TRANSPOSE($I$38:$L$41),Fetch(AL280)))), "")</f>
        <v/>
      </c>
      <c r="AR280" s="62">
        <f t="array" aca="1" ref="AR280:AU280" ca="1">AC280:AF280 + TRANSPOSE(MMULT(IF($AB280,Fetch(AQ280),$L$61:$O$64),TRANSPOSE(AM280:AP280)))</f>
        <v>0.66435376042405303</v>
      </c>
      <c r="AS280" s="62">
        <f ca="1"/>
        <v>0.20583888663962324</v>
      </c>
      <c r="AT280" s="62">
        <f ca="1"/>
        <v>0.63226696810171856</v>
      </c>
      <c r="AU280" s="62">
        <f ca="1"/>
        <v>0.80283085477225813</v>
      </c>
      <c r="AV280" s="66" t="str">
        <f t="array" ref="AV280">IF($AB280, Push(Fetch(AG280) - MMULT(Fetch(AQ280),MMULT($I$38:$L$41,Fetch(AG280)))), "")</f>
        <v/>
      </c>
      <c r="AW280" s="97">
        <f t="array" aca="1" ref="AW280" ca="1">IF($AB280,LN(MDETERM(Fetch(AL280))),$J$65)   -   MMULT(AM280:AP280,MMULT(IF($AB280,Fetch(AL280),$G$61:$J$64),TRANSPOSE(AM280:AP280)))</f>
        <v>5.8901241913125357</v>
      </c>
    </row>
    <row r="281" spans="23:49" x14ac:dyDescent="0.15">
      <c r="W281" s="12">
        <f t="shared" si="8"/>
        <v>278</v>
      </c>
      <c r="X281" s="62">
        <f t="array" aca="1" ref="X281:AA281" ca="1">simulate!AE281:AH281</f>
        <v>1.1103030210419154</v>
      </c>
      <c r="Y281" s="62">
        <f ca="1"/>
        <v>-0.34950639875210132</v>
      </c>
      <c r="Z281" s="62">
        <f ca="1"/>
        <v>0.88252405323301419</v>
      </c>
      <c r="AA281" s="62">
        <f ca="1"/>
        <v>1.3297994635968553</v>
      </c>
      <c r="AB281" s="98">
        <f t="shared" si="9"/>
        <v>0</v>
      </c>
      <c r="AC281" s="62">
        <f t="array" aca="1" ref="AC281:AF281" ca="1">TRANSPOSE($G$44:$G$47 + MMULT($I$44:$L$47,TRANSPOSE(AR280:AU280)))</f>
        <v>0.74685709856592464</v>
      </c>
      <c r="AD281" s="62">
        <f ca="1"/>
        <v>0.42161104958095452</v>
      </c>
      <c r="AE281" s="62">
        <f ca="1"/>
        <v>0.6432204629737347</v>
      </c>
      <c r="AF281" s="62">
        <f ca="1"/>
        <v>0.77955104231861694</v>
      </c>
      <c r="AG281" s="66" t="str">
        <f t="array" ref="AG281">IF($AB281, Push(MMULT($I$44:$L$47,MMULT(Fetch(AV280),TRANSPOSE($I$44:$L$47))) + $N$44:$Q$47), "")</f>
        <v/>
      </c>
      <c r="AH281" s="62">
        <f t="array" aca="1" ref="AH281:AK281" ca="1">TRANSPOSE($G$38:$G$41 + MMULT($I$38:$L$41,TRANSPOSE(AC281:AF281)))</f>
        <v>0.96254161119576298</v>
      </c>
      <c r="AI281" s="62">
        <f ca="1"/>
        <v>0.67069012797743843</v>
      </c>
      <c r="AJ281" s="62">
        <f ca="1"/>
        <v>0.85107346760004532</v>
      </c>
      <c r="AK281" s="62">
        <f ca="1"/>
        <v>0.71260245158717361</v>
      </c>
      <c r="AL281" s="66" t="str">
        <f t="array" ref="AL281">IF($AB281, Push(MINVERSE(MMULT($I$38:$L$41,MMULT(Fetch(AG281),TRANSPOSE($I$38:$L$41))) + $N$38:$Q$41)), "")</f>
        <v/>
      </c>
      <c r="AM281" s="62">
        <f t="array" aca="1" ref="AM281:AP281" ca="1">X281:AA281 - AH281:AK281</f>
        <v>0.14776140984615238</v>
      </c>
      <c r="AN281" s="62">
        <f ca="1"/>
        <v>-1.0201965267295399</v>
      </c>
      <c r="AO281" s="62">
        <f ca="1"/>
        <v>3.1450585632968875E-2</v>
      </c>
      <c r="AP281" s="62">
        <f ca="1"/>
        <v>0.61719701200968169</v>
      </c>
      <c r="AQ281" s="66" t="str">
        <f t="array" ref="AQ281">IF($AB281, Push(MMULT(Fetch(AG281),MMULT(TRANSPOSE($I$38:$L$41),Fetch(AL281)))), "")</f>
        <v/>
      </c>
      <c r="AR281" s="62">
        <f t="array" aca="1" ref="AR281:AU281" ca="1">AC281:AF281 + TRANSPOSE(MMULT(IF($AB281,Fetch(AQ281),$L$61:$O$64),TRANSPOSE(AM281:AP281)))</f>
        <v>0.5236218545967033</v>
      </c>
      <c r="AS281" s="62">
        <f ca="1"/>
        <v>-7.0194905358596793E-2</v>
      </c>
      <c r="AT281" s="62">
        <f ca="1"/>
        <v>1.2371686358081757</v>
      </c>
      <c r="AU281" s="62">
        <f ca="1"/>
        <v>1.0012248995338486</v>
      </c>
      <c r="AV281" s="66" t="str">
        <f t="array" ref="AV281">IF($AB281, Push(Fetch(AG281) - MMULT(Fetch(AQ281),MMULT($I$38:$L$41,Fetch(AG281)))), "")</f>
        <v/>
      </c>
      <c r="AW281" s="97">
        <f t="array" aca="1" ref="AW281" ca="1">IF($AB281,LN(MDETERM(Fetch(AL281))),$J$65)   -   MMULT(AM281:AP281,MMULT(IF($AB281,Fetch(AL281),$G$61:$J$64),TRANSPOSE(AM281:AP281)))</f>
        <v>-0.73126276850174499</v>
      </c>
    </row>
    <row r="282" spans="23:49" x14ac:dyDescent="0.15">
      <c r="W282" s="12">
        <f t="shared" si="8"/>
        <v>279</v>
      </c>
      <c r="X282" s="62">
        <f t="array" aca="1" ref="X282:AA282" ca="1">simulate!AE282:AH282</f>
        <v>0.72129915291718061</v>
      </c>
      <c r="Y282" s="62">
        <f ca="1"/>
        <v>0.42498259059250443</v>
      </c>
      <c r="Z282" s="62">
        <f ca="1"/>
        <v>0.65540020408481636</v>
      </c>
      <c r="AA282" s="62">
        <f ca="1"/>
        <v>1.364809152569562</v>
      </c>
      <c r="AB282" s="98">
        <f t="shared" si="9"/>
        <v>0</v>
      </c>
      <c r="AC282" s="62">
        <f t="array" aca="1" ref="AC282:AF282" ca="1">TRANSPOSE($G$44:$G$47 + MMULT($I$44:$L$47,TRANSPOSE(AR281:AU281)))</f>
        <v>0.68259383004452034</v>
      </c>
      <c r="AD282" s="62">
        <f ca="1"/>
        <v>0.35332553171019943</v>
      </c>
      <c r="AE282" s="62">
        <f ca="1"/>
        <v>0.94443858405937231</v>
      </c>
      <c r="AF282" s="62">
        <f ca="1"/>
        <v>0.95849824696696762</v>
      </c>
      <c r="AG282" s="66" t="str">
        <f t="array" ref="AG282">IF($AB282, Push(MMULT($I$44:$L$47,MMULT(Fetch(AV281),TRANSPOSE($I$44:$L$47))) + $N$44:$Q$47), "")</f>
        <v/>
      </c>
      <c r="AH282" s="62">
        <f t="array" aca="1" ref="AH282:AK282" ca="1">TRANSPOSE($G$38:$G$41 + MMULT($I$38:$L$41,TRANSPOSE(AC282:AF282)))</f>
        <v>1.0608653492022329</v>
      </c>
      <c r="AI282" s="62">
        <f ca="1"/>
        <v>0.54561067136280617</v>
      </c>
      <c r="AJ282" s="62">
        <f ca="1"/>
        <v>0.97360824515924604</v>
      </c>
      <c r="AK282" s="62">
        <f ca="1"/>
        <v>1.0146288387120279</v>
      </c>
      <c r="AL282" s="66" t="str">
        <f t="array" ref="AL282">IF($AB282, Push(MINVERSE(MMULT($I$38:$L$41,MMULT(Fetch(AG282),TRANSPOSE($I$38:$L$41))) + $N$38:$Q$41)), "")</f>
        <v/>
      </c>
      <c r="AM282" s="62">
        <f t="array" aca="1" ref="AM282:AP282" ca="1">X282:AA282 - AH282:AK282</f>
        <v>-0.33956619628505225</v>
      </c>
      <c r="AN282" s="62">
        <f ca="1"/>
        <v>-0.12062808077030174</v>
      </c>
      <c r="AO282" s="62">
        <f ca="1"/>
        <v>-0.31820804107442968</v>
      </c>
      <c r="AP282" s="62">
        <f ca="1"/>
        <v>0.35018031385753412</v>
      </c>
      <c r="AQ282" s="66" t="str">
        <f t="array" ref="AQ282">IF($AB282, Push(MMULT(Fetch(AG282),MMULT(TRANSPOSE($I$38:$L$41),Fetch(AL282)))), "")</f>
        <v/>
      </c>
      <c r="AR282" s="62">
        <f t="array" aca="1" ref="AR282:AU282" ca="1">AC282:AF282 + TRANSPOSE(MMULT(IF($AB282,Fetch(AQ282),$L$61:$O$64),TRANSPOSE(AM282:AP282)))</f>
        <v>0.35071708857698919</v>
      </c>
      <c r="AS282" s="62">
        <f ca="1"/>
        <v>0.47997827006828742</v>
      </c>
      <c r="AT282" s="62">
        <f ca="1"/>
        <v>1.0133566238755742</v>
      </c>
      <c r="AU282" s="62">
        <f ca="1"/>
        <v>0.94901691588075787</v>
      </c>
      <c r="AV282" s="66" t="str">
        <f t="array" ref="AV282">IF($AB282, Push(Fetch(AG282) - MMULT(Fetch(AQ282),MMULT($I$38:$L$41,Fetch(AG282)))), "")</f>
        <v/>
      </c>
      <c r="AW282" s="97">
        <f t="array" aca="1" ref="AW282" ca="1">IF($AB282,LN(MDETERM(Fetch(AL282))),$J$65)   -   MMULT(AM282:AP282,MMULT(IF($AB282,Fetch(AL282),$G$61:$J$64),TRANSPOSE(AM282:AP282)))</f>
        <v>3.7432869553734305</v>
      </c>
    </row>
    <row r="283" spans="23:49" x14ac:dyDescent="0.15">
      <c r="W283" s="12">
        <f t="shared" si="8"/>
        <v>280</v>
      </c>
      <c r="X283" s="62">
        <f t="array" aca="1" ref="X283:AA283" ca="1">simulate!AE283:AH283</f>
        <v>1.311725836791946</v>
      </c>
      <c r="Y283" s="62">
        <f ca="1"/>
        <v>0.73156730420910132</v>
      </c>
      <c r="Z283" s="62">
        <f ca="1"/>
        <v>0.4785789613471314</v>
      </c>
      <c r="AA283" s="62">
        <f ca="1"/>
        <v>1.6175797808521937</v>
      </c>
      <c r="AB283" s="98">
        <f t="shared" si="9"/>
        <v>0</v>
      </c>
      <c r="AC283" s="62">
        <f t="array" aca="1" ref="AC283:AF283" ca="1">TRANSPOSE($G$44:$G$47 + MMULT($I$44:$L$47,TRANSPOSE(AR282:AU282)))</f>
        <v>0.65219248997749657</v>
      </c>
      <c r="AD283" s="62">
        <f ca="1"/>
        <v>0.58554883806394986</v>
      </c>
      <c r="AE283" s="62">
        <f ca="1"/>
        <v>0.89285499534710444</v>
      </c>
      <c r="AF283" s="62">
        <f ca="1"/>
        <v>0.92481827695190755</v>
      </c>
      <c r="AG283" s="66" t="str">
        <f t="array" ref="AG283">IF($AB283, Push(MMULT($I$44:$L$47,MMULT(Fetch(AV282),TRANSPOSE($I$44:$L$47))) + $N$44:$Q$47), "")</f>
        <v/>
      </c>
      <c r="AH283" s="62">
        <f t="array" aca="1" ref="AH283:AK283" ca="1">TRANSPOSE($G$38:$G$41 + MMULT($I$38:$L$41,TRANSPOSE(AC283:AF283)))</f>
        <v>1.0035657102607769</v>
      </c>
      <c r="AI283" s="62">
        <f ca="1"/>
        <v>0.74326507841625344</v>
      </c>
      <c r="AJ283" s="62">
        <f ca="1"/>
        <v>0.85031458525271164</v>
      </c>
      <c r="AK283" s="62">
        <f ca="1"/>
        <v>1.0477237427422708</v>
      </c>
      <c r="AL283" s="66" t="str">
        <f t="array" ref="AL283">IF($AB283, Push(MINVERSE(MMULT($I$38:$L$41,MMULT(Fetch(AG283),TRANSPOSE($I$38:$L$41))) + $N$38:$Q$41)), "")</f>
        <v/>
      </c>
      <c r="AM283" s="62">
        <f t="array" aca="1" ref="AM283:AP283" ca="1">X283:AA283 - AH283:AK283</f>
        <v>0.30816012653116909</v>
      </c>
      <c r="AN283" s="62">
        <f ca="1"/>
        <v>-1.1697774207152123E-2</v>
      </c>
      <c r="AO283" s="62">
        <f ca="1"/>
        <v>-0.37173562390558024</v>
      </c>
      <c r="AP283" s="62">
        <f ca="1"/>
        <v>0.56985603810992291</v>
      </c>
      <c r="AQ283" s="66" t="str">
        <f t="array" ref="AQ283">IF($AB283, Push(MMULT(Fetch(AG283),MMULT(TRANSPOSE($I$38:$L$41),Fetch(AL283)))), "")</f>
        <v/>
      </c>
      <c r="AR283" s="62">
        <f t="array" aca="1" ref="AR283:AU283" ca="1">AC283:AF283 + TRANSPOSE(MMULT(IF($AB283,Fetch(AQ283),$L$61:$O$64),TRANSPOSE(AM283:AP283)))</f>
        <v>0.56953258746315105</v>
      </c>
      <c r="AS283" s="62">
        <f ca="1"/>
        <v>0.71618685757485956</v>
      </c>
      <c r="AT283" s="62">
        <f ca="1"/>
        <v>1.31874438047266</v>
      </c>
      <c r="AU283" s="62">
        <f ca="1"/>
        <v>0.9733405924081181</v>
      </c>
      <c r="AV283" s="66" t="str">
        <f t="array" ref="AV283">IF($AB283, Push(Fetch(AG283) - MMULT(Fetch(AQ283),MMULT($I$38:$L$41,Fetch(AG283)))), "")</f>
        <v/>
      </c>
      <c r="AW283" s="97">
        <f t="array" aca="1" ref="AW283" ca="1">IF($AB283,LN(MDETERM(Fetch(AL283))),$J$65)   -   MMULT(AM283:AP283,MMULT(IF($AB283,Fetch(AL283),$G$61:$J$64),TRANSPOSE(AM283:AP283)))</f>
        <v>3.895116767627302</v>
      </c>
    </row>
    <row r="284" spans="23:49" x14ac:dyDescent="0.15">
      <c r="W284" s="12">
        <f t="shared" si="8"/>
        <v>281</v>
      </c>
      <c r="X284" s="62">
        <f t="array" aca="1" ref="X284:AA284" ca="1">simulate!AE284:AH284</f>
        <v>1.5666056480452675</v>
      </c>
      <c r="Y284" s="62">
        <f ca="1"/>
        <v>0.86380468988619064</v>
      </c>
      <c r="Z284" s="62">
        <f ca="1"/>
        <v>0.77005406530356735</v>
      </c>
      <c r="AA284" s="62">
        <f ca="1"/>
        <v>0.78048999704818722</v>
      </c>
      <c r="AB284" s="98">
        <f t="shared" si="9"/>
        <v>0</v>
      </c>
      <c r="AC284" s="62">
        <f t="array" aca="1" ref="AC284:AF284" ca="1">TRANSPOSE($G$44:$G$47 + MMULT($I$44:$L$47,TRANSPOSE(AR283:AU283)))</f>
        <v>0.82823351738827733</v>
      </c>
      <c r="AD284" s="62">
        <f ca="1"/>
        <v>0.79557210134995904</v>
      </c>
      <c r="AE284" s="62">
        <f ca="1"/>
        <v>1.1153137386388394</v>
      </c>
      <c r="AF284" s="62">
        <f ca="1"/>
        <v>1.0148670433399039</v>
      </c>
      <c r="AG284" s="66" t="str">
        <f t="array" ref="AG284">IF($AB284, Push(MMULT($I$44:$L$47,MMULT(Fetch(AV283),TRANSPOSE($I$44:$L$47))) + $N$44:$Q$47), "")</f>
        <v/>
      </c>
      <c r="AH284" s="62">
        <f t="array" aca="1" ref="AH284:AK284" ca="1">TRANSPOSE($G$38:$G$41 + MMULT($I$38:$L$41,TRANSPOSE(AC284:AF284)))</f>
        <v>1.2342283723197056</v>
      </c>
      <c r="AI284" s="62">
        <f ca="1"/>
        <v>0.95223928525633805</v>
      </c>
      <c r="AJ284" s="62">
        <f ca="1"/>
        <v>0.89311401916419819</v>
      </c>
      <c r="AK284" s="62">
        <f ca="1"/>
        <v>1.2320864637907163</v>
      </c>
      <c r="AL284" s="66" t="str">
        <f t="array" ref="AL284">IF($AB284, Push(MINVERSE(MMULT($I$38:$L$41,MMULT(Fetch(AG284),TRANSPOSE($I$38:$L$41))) + $N$38:$Q$41)), "")</f>
        <v/>
      </c>
      <c r="AM284" s="62">
        <f t="array" aca="1" ref="AM284:AP284" ca="1">X284:AA284 - AH284:AK284</f>
        <v>0.33237727572556186</v>
      </c>
      <c r="AN284" s="62">
        <f ca="1"/>
        <v>-8.8434595370147417E-2</v>
      </c>
      <c r="AO284" s="62">
        <f ca="1"/>
        <v>-0.12305995386063084</v>
      </c>
      <c r="AP284" s="62">
        <f ca="1"/>
        <v>-0.45159646674252907</v>
      </c>
      <c r="AQ284" s="66" t="str">
        <f t="array" ref="AQ284">IF($AB284, Push(MMULT(Fetch(AG284),MMULT(TRANSPOSE($I$38:$L$41),Fetch(AL284)))), "")</f>
        <v/>
      </c>
      <c r="AR284" s="62">
        <f t="array" aca="1" ref="AR284:AU284" ca="1">AC284:AF284 + TRANSPOSE(MMULT(IF($AB284,Fetch(AQ284),$L$61:$O$64),TRANSPOSE(AM284:AP284)))</f>
        <v>1.0361405840465601</v>
      </c>
      <c r="AS284" s="62">
        <f ca="1"/>
        <v>0.62331285267272563</v>
      </c>
      <c r="AT284" s="62">
        <f ca="1"/>
        <v>0.92882065272206704</v>
      </c>
      <c r="AU284" s="62">
        <f ca="1"/>
        <v>0.80767264413411799</v>
      </c>
      <c r="AV284" s="66" t="str">
        <f t="array" ref="AV284">IF($AB284, Push(Fetch(AG284) - MMULT(Fetch(AQ284),MMULT($I$38:$L$41,Fetch(AG284)))), "")</f>
        <v/>
      </c>
      <c r="AW284" s="97">
        <f t="array" aca="1" ref="AW284" ca="1">IF($AB284,LN(MDETERM(Fetch(AL284))),$J$65)   -   MMULT(AM284:AP284,MMULT(IF($AB284,Fetch(AL284),$G$61:$J$64),TRANSPOSE(AM284:AP284)))</f>
        <v>2.039197279491729</v>
      </c>
    </row>
    <row r="285" spans="23:49" x14ac:dyDescent="0.15">
      <c r="W285" s="12">
        <f t="shared" si="8"/>
        <v>282</v>
      </c>
      <c r="X285" s="62">
        <f t="array" aca="1" ref="X285:AA285" ca="1">simulate!AE285:AH285</f>
        <v>1.1573480967282608</v>
      </c>
      <c r="Y285" s="62">
        <f ca="1"/>
        <v>1.6737895098441247</v>
      </c>
      <c r="Z285" s="62">
        <f ca="1"/>
        <v>1.1929170371086237</v>
      </c>
      <c r="AA285" s="62">
        <f ca="1"/>
        <v>0.81898479673504787</v>
      </c>
      <c r="AB285" s="98">
        <f t="shared" si="9"/>
        <v>0</v>
      </c>
      <c r="AC285" s="62">
        <f t="array" aca="1" ref="AC285:AF285" ca="1">TRANSPOSE($G$44:$G$47 + MMULT($I$44:$L$47,TRANSPOSE(AR284:AU284)))</f>
        <v>1.0307747045035234</v>
      </c>
      <c r="AD285" s="62">
        <f ca="1"/>
        <v>0.75167338486935209</v>
      </c>
      <c r="AE285" s="62">
        <f ca="1"/>
        <v>0.8983442458427463</v>
      </c>
      <c r="AF285" s="62">
        <f ca="1"/>
        <v>0.87789809920003159</v>
      </c>
      <c r="AG285" s="66" t="str">
        <f t="array" ref="AG285">IF($AB285, Push(MMULT($I$44:$L$47,MMULT(Fetch(AV284),TRANSPOSE($I$44:$L$47))) + $N$44:$Q$47), "")</f>
        <v/>
      </c>
      <c r="AH285" s="62">
        <f t="array" aca="1" ref="AH285:AK285" ca="1">TRANSPOSE($G$38:$G$41 + MMULT($I$38:$L$41,TRANSPOSE(AC285:AF285)))</f>
        <v>1.2824229083872531</v>
      </c>
      <c r="AI285" s="62">
        <f ca="1"/>
        <v>1.017450176066242</v>
      </c>
      <c r="AJ285" s="62">
        <f ca="1"/>
        <v>0.89387461710802074</v>
      </c>
      <c r="AK285" s="62">
        <f ca="1"/>
        <v>0.9123826474959098</v>
      </c>
      <c r="AL285" s="66" t="str">
        <f t="array" ref="AL285">IF($AB285, Push(MINVERSE(MMULT($I$38:$L$41,MMULT(Fetch(AG285),TRANSPOSE($I$38:$L$41))) + $N$38:$Q$41)), "")</f>
        <v/>
      </c>
      <c r="AM285" s="62">
        <f t="array" aca="1" ref="AM285:AP285" ca="1">X285:AA285 - AH285:AK285</f>
        <v>-0.12507481165899237</v>
      </c>
      <c r="AN285" s="62">
        <f ca="1"/>
        <v>0.65633933377788267</v>
      </c>
      <c r="AO285" s="62">
        <f ca="1"/>
        <v>0.29904242000060299</v>
      </c>
      <c r="AP285" s="62">
        <f ca="1"/>
        <v>-9.3397850760861933E-2</v>
      </c>
      <c r="AQ285" s="66" t="str">
        <f t="array" ref="AQ285">IF($AB285, Push(MMULT(Fetch(AG285),MMULT(TRANSPOSE($I$38:$L$41),Fetch(AL285)))), "")</f>
        <v/>
      </c>
      <c r="AR285" s="62">
        <f t="array" aca="1" ref="AR285:AU285" ca="1">AC285:AF285 + TRANSPOSE(MMULT(IF($AB285,Fetch(AQ285),$L$61:$O$64),TRANSPOSE(AM285:AP285)))</f>
        <v>1.1726765708625153</v>
      </c>
      <c r="AS285" s="62">
        <f ca="1"/>
        <v>1.0666421212332831</v>
      </c>
      <c r="AT285" s="62">
        <f ca="1"/>
        <v>0.75926494300822478</v>
      </c>
      <c r="AU285" s="62">
        <f ca="1"/>
        <v>0.97126691332713966</v>
      </c>
      <c r="AV285" s="66" t="str">
        <f t="array" ref="AV285">IF($AB285, Push(Fetch(AG285) - MMULT(Fetch(AQ285),MMULT($I$38:$L$41,Fetch(AG285)))), "")</f>
        <v/>
      </c>
      <c r="AW285" s="97">
        <f t="array" aca="1" ref="AW285" ca="1">IF($AB285,LN(MDETERM(Fetch(AL285))),$J$65)   -   MMULT(AM285:AP285,MMULT(IF($AB285,Fetch(AL285),$G$61:$J$64),TRANSPOSE(AM285:AP285)))</f>
        <v>2.8248331124050345</v>
      </c>
    </row>
    <row r="286" spans="23:49" x14ac:dyDescent="0.15">
      <c r="W286" s="12">
        <f t="shared" si="8"/>
        <v>283</v>
      </c>
      <c r="X286" s="62">
        <f t="array" aca="1" ref="X286:AA286" ca="1">simulate!AE286:AH286</f>
        <v>1.3424600833384752</v>
      </c>
      <c r="Y286" s="62">
        <f ca="1"/>
        <v>0.23254829458786858</v>
      </c>
      <c r="Z286" s="62">
        <f ca="1"/>
        <v>0.49186747625119359</v>
      </c>
      <c r="AA286" s="62">
        <f ca="1"/>
        <v>1.5028007763893365</v>
      </c>
      <c r="AB286" s="98">
        <f t="shared" si="9"/>
        <v>0</v>
      </c>
      <c r="AC286" s="62">
        <f t="array" aca="1" ref="AC286:AF286" ca="1">TRANSPOSE($G$44:$G$47 + MMULT($I$44:$L$47,TRANSPOSE(AR285:AU285)))</f>
        <v>1.1659152117567353</v>
      </c>
      <c r="AD286" s="62">
        <f ca="1"/>
        <v>0.9998247470827254</v>
      </c>
      <c r="AE286" s="62">
        <f ca="1"/>
        <v>0.91267993484110133</v>
      </c>
      <c r="AF286" s="62">
        <f ca="1"/>
        <v>0.97684133844541199</v>
      </c>
      <c r="AG286" s="66" t="str">
        <f t="array" ref="AG286">IF($AB286, Push(MMULT($I$44:$L$47,MMULT(Fetch(AV285),TRANSPOSE($I$44:$L$47))) + $N$44:$Q$47), "")</f>
        <v/>
      </c>
      <c r="AH286" s="62">
        <f t="array" aca="1" ref="AH286:AK286" ca="1">TRANSPOSE($G$38:$G$41 + MMULT($I$38:$L$41,TRANSPOSE(AC286:AF286)))</f>
        <v>1.3469072330538352</v>
      </c>
      <c r="AI286" s="62">
        <f ca="1"/>
        <v>1.2994486236451848</v>
      </c>
      <c r="AJ286" s="62">
        <f ca="1"/>
        <v>0.93316821395787763</v>
      </c>
      <c r="AK286" s="62">
        <f ca="1"/>
        <v>0.98029429982742111</v>
      </c>
      <c r="AL286" s="66" t="str">
        <f t="array" ref="AL286">IF($AB286, Push(MINVERSE(MMULT($I$38:$L$41,MMULT(Fetch(AG286),TRANSPOSE($I$38:$L$41))) + $N$38:$Q$41)), "")</f>
        <v/>
      </c>
      <c r="AM286" s="62">
        <f t="array" aca="1" ref="AM286:AP286" ca="1">X286:AA286 - AH286:AK286</f>
        <v>-4.4471497153599771E-3</v>
      </c>
      <c r="AN286" s="62">
        <f ca="1"/>
        <v>-1.0669003290573162</v>
      </c>
      <c r="AO286" s="62">
        <f ca="1"/>
        <v>-0.44130073770668404</v>
      </c>
      <c r="AP286" s="62">
        <f ca="1"/>
        <v>0.5225064765619154</v>
      </c>
      <c r="AQ286" s="66" t="str">
        <f t="array" ref="AQ286">IF($AB286, Push(MMULT(Fetch(AG286),MMULT(TRANSPOSE($I$38:$L$41),Fetch(AL286)))), "")</f>
        <v/>
      </c>
      <c r="AR286" s="62">
        <f t="array" aca="1" ref="AR286:AU286" ca="1">AC286:AF286 + TRANSPOSE(MMULT(IF($AB286,Fetch(AQ286),$L$61:$O$64),TRANSPOSE(AM286:AP286)))</f>
        <v>0.76873513703813556</v>
      </c>
      <c r="AS286" s="62">
        <f ca="1"/>
        <v>0.58825853353909763</v>
      </c>
      <c r="AT286" s="62">
        <f ca="1"/>
        <v>1.3150996374362127</v>
      </c>
      <c r="AU286" s="62">
        <f ca="1"/>
        <v>0.97196765554395614</v>
      </c>
      <c r="AV286" s="66" t="str">
        <f t="array" ref="AV286">IF($AB286, Push(Fetch(AG286) - MMULT(Fetch(AQ286),MMULT($I$38:$L$41,Fetch(AG286)))), "")</f>
        <v/>
      </c>
      <c r="AW286" s="97">
        <f t="array" aca="1" ref="AW286" ca="1">IF($AB286,LN(MDETERM(Fetch(AL286))),$J$65)   -   MMULT(AM286:AP286,MMULT(IF($AB286,Fetch(AL286),$G$61:$J$64),TRANSPOSE(AM286:AP286)))</f>
        <v>-3.6682394979373161</v>
      </c>
    </row>
    <row r="287" spans="23:49" x14ac:dyDescent="0.15">
      <c r="W287" s="12">
        <f t="shared" si="8"/>
        <v>284</v>
      </c>
      <c r="X287" s="62">
        <f t="array" aca="1" ref="X287:AA287" ca="1">simulate!AE287:AH287</f>
        <v>0.14518130810776164</v>
      </c>
      <c r="Y287" s="62">
        <f ca="1"/>
        <v>-0.22663094889681712</v>
      </c>
      <c r="Z287" s="62">
        <f ca="1"/>
        <v>0.68473477998393939</v>
      </c>
      <c r="AA287" s="62">
        <f ca="1"/>
        <v>0.85935886495370295</v>
      </c>
      <c r="AB287" s="98">
        <f t="shared" si="9"/>
        <v>0</v>
      </c>
      <c r="AC287" s="62">
        <f t="array" aca="1" ref="AC287:AF287" ca="1">TRANSPOSE($G$44:$G$47 + MMULT($I$44:$L$47,TRANSPOSE(AR286:AU286)))</f>
        <v>0.91656009113616954</v>
      </c>
      <c r="AD287" s="62">
        <f ca="1"/>
        <v>0.75818658660054639</v>
      </c>
      <c r="AE287" s="62">
        <f ca="1"/>
        <v>1.1065516851514163</v>
      </c>
      <c r="AF287" s="62">
        <f ca="1"/>
        <v>1.0140001913964132</v>
      </c>
      <c r="AG287" s="66" t="str">
        <f t="array" ref="AG287">IF($AB287, Push(MMULT($I$44:$L$47,MMULT(Fetch(AV286),TRANSPOSE($I$44:$L$47))) + $N$44:$Q$47), "")</f>
        <v/>
      </c>
      <c r="AH287" s="62">
        <f t="array" aca="1" ref="AH287:AK287" ca="1">TRANSPOSE($G$38:$G$41 + MMULT($I$38:$L$41,TRANSPOSE(AC287:AF287)))</f>
        <v>1.2940747635138463</v>
      </c>
      <c r="AI287" s="62">
        <f ca="1"/>
        <v>0.95441159483075855</v>
      </c>
      <c r="AJ287" s="62">
        <f ca="1"/>
        <v>0.94155300837010869</v>
      </c>
      <c r="AK287" s="62">
        <f ca="1"/>
        <v>1.1742579222771241</v>
      </c>
      <c r="AL287" s="66" t="str">
        <f t="array" ref="AL287">IF($AB287, Push(MINVERSE(MMULT($I$38:$L$41,MMULT(Fetch(AG287),TRANSPOSE($I$38:$L$41))) + $N$38:$Q$41)), "")</f>
        <v/>
      </c>
      <c r="AM287" s="62">
        <f t="array" aca="1" ref="AM287:AP287" ca="1">X287:AA287 - AH287:AK287</f>
        <v>-1.1488934554060846</v>
      </c>
      <c r="AN287" s="62">
        <f ca="1"/>
        <v>-1.1810425437275756</v>
      </c>
      <c r="AO287" s="62">
        <f ca="1"/>
        <v>-0.2568182283861693</v>
      </c>
      <c r="AP287" s="62">
        <f ca="1"/>
        <v>-0.31489905732342116</v>
      </c>
      <c r="AQ287" s="66" t="str">
        <f t="array" ref="AQ287">IF($AB287, Push(MMULT(Fetch(AG287),MMULT(TRANSPOSE($I$38:$L$41),Fetch(AL287)))), "")</f>
        <v/>
      </c>
      <c r="AR287" s="62">
        <f t="array" aca="1" ref="AR287:AU287" ca="1">AC287:AF287 + TRANSPOSE(MMULT(IF($AB287,Fetch(AQ287),$L$61:$O$64),TRANSPOSE(AM287:AP287)))</f>
        <v>0.21468150296240096</v>
      </c>
      <c r="AS287" s="62">
        <f ca="1"/>
        <v>0.27622582889175462</v>
      </c>
      <c r="AT287" s="62">
        <f ca="1"/>
        <v>0.5876384447577796</v>
      </c>
      <c r="AU287" s="62">
        <f ca="1"/>
        <v>0.78698256963481028</v>
      </c>
      <c r="AV287" s="66" t="str">
        <f t="array" ref="AV287">IF($AB287, Push(Fetch(AG287) - MMULT(Fetch(AQ287),MMULT($I$38:$L$41,Fetch(AG287)))), "")</f>
        <v/>
      </c>
      <c r="AW287" s="97">
        <f t="array" aca="1" ref="AW287" ca="1">IF($AB287,LN(MDETERM(Fetch(AL287))),$J$65)   -   MMULT(AM287:AP287,MMULT(IF($AB287,Fetch(AL287),$G$61:$J$64),TRANSPOSE(AM287:AP287)))</f>
        <v>-4.8719079155382907</v>
      </c>
    </row>
    <row r="288" spans="23:49" x14ac:dyDescent="0.15">
      <c r="W288" s="12">
        <f t="shared" si="8"/>
        <v>285</v>
      </c>
      <c r="X288" s="62">
        <f t="array" aca="1" ref="X288:AA288" ca="1">simulate!AE288:AH288</f>
        <v>0.23593701580078807</v>
      </c>
      <c r="Y288" s="62">
        <f ca="1"/>
        <v>0.95016069975361983</v>
      </c>
      <c r="Z288" s="62">
        <f ca="1"/>
        <v>0.8668463946003846</v>
      </c>
      <c r="AA288" s="62">
        <f ca="1"/>
        <v>0.6861063431313762</v>
      </c>
      <c r="AB288" s="98">
        <f t="shared" si="9"/>
        <v>0</v>
      </c>
      <c r="AC288" s="62">
        <f t="array" aca="1" ref="AC288:AF288" ca="1">TRANSPOSE($G$44:$G$47 + MMULT($I$44:$L$47,TRANSPOSE(AR287:AU287)))</f>
        <v>0.51047869790847389</v>
      </c>
      <c r="AD288" s="62">
        <f ca="1"/>
        <v>0.37888384557208721</v>
      </c>
      <c r="AE288" s="62">
        <f ca="1"/>
        <v>0.59619100565628569</v>
      </c>
      <c r="AF288" s="62">
        <f ca="1"/>
        <v>0.74714703313849751</v>
      </c>
      <c r="AG288" s="66" t="str">
        <f t="array" ref="AG288">IF($AB288, Push(MMULT($I$44:$L$47,MMULT(Fetch(AV287),TRANSPOSE($I$44:$L$47))) + $N$44:$Q$47), "")</f>
        <v/>
      </c>
      <c r="AH288" s="62">
        <f t="array" aca="1" ref="AH288:AK288" ca="1">TRANSPOSE($G$38:$G$41 + MMULT($I$38:$L$41,TRANSPOSE(AC288:AF288)))</f>
        <v>0.77501139994164814</v>
      </c>
      <c r="AI288" s="62">
        <f ca="1"/>
        <v>0.55165858609273388</v>
      </c>
      <c r="AJ288" s="62">
        <f ca="1"/>
        <v>0.75322867100949331</v>
      </c>
      <c r="AK288" s="62">
        <f ca="1"/>
        <v>0.75790653098405958</v>
      </c>
      <c r="AL288" s="66" t="str">
        <f t="array" ref="AL288">IF($AB288, Push(MINVERSE(MMULT($I$38:$L$41,MMULT(Fetch(AG288),TRANSPOSE($I$38:$L$41))) + $N$38:$Q$41)), "")</f>
        <v/>
      </c>
      <c r="AM288" s="62">
        <f t="array" aca="1" ref="AM288:AP288" ca="1">X288:AA288 - AH288:AK288</f>
        <v>-0.53907438414086006</v>
      </c>
      <c r="AN288" s="62">
        <f ca="1"/>
        <v>0.39850211366088595</v>
      </c>
      <c r="AO288" s="62">
        <f ca="1"/>
        <v>0.11361772359089128</v>
      </c>
      <c r="AP288" s="62">
        <f ca="1"/>
        <v>-7.1800187852683384E-2</v>
      </c>
      <c r="AQ288" s="66" t="str">
        <f t="array" ref="AQ288">IF($AB288, Push(MMULT(Fetch(AG288),MMULT(TRANSPOSE($I$38:$L$41),Fetch(AL288)))), "")</f>
        <v/>
      </c>
      <c r="AR288" s="62">
        <f t="array" aca="1" ref="AR288:AU288" ca="1">AC288:AF288 + TRANSPOSE(MMULT(IF($AB288,Fetch(AQ288),$L$61:$O$64),TRANSPOSE(AM288:AP288)))</f>
        <v>0.37214833725260932</v>
      </c>
      <c r="AS288" s="62">
        <f ca="1"/>
        <v>0.66215466875315743</v>
      </c>
      <c r="AT288" s="62">
        <f ca="1"/>
        <v>0.32228561380120779</v>
      </c>
      <c r="AU288" s="62">
        <f ca="1"/>
        <v>0.76919525584183479</v>
      </c>
      <c r="AV288" s="66" t="str">
        <f t="array" ref="AV288">IF($AB288, Push(Fetch(AG288) - MMULT(Fetch(AQ288),MMULT($I$38:$L$41,Fetch(AG288)))), "")</f>
        <v/>
      </c>
      <c r="AW288" s="97">
        <f t="array" aca="1" ref="AW288" ca="1">IF($AB288,LN(MDETERM(Fetch(AL288))),$J$65)   -   MMULT(AM288:AP288,MMULT(IF($AB288,Fetch(AL288),$G$61:$J$64),TRANSPOSE(AM288:AP288)))</f>
        <v>2.9940747368541567</v>
      </c>
    </row>
    <row r="289" spans="23:49" x14ac:dyDescent="0.15">
      <c r="W289" s="12">
        <f t="shared" si="8"/>
        <v>286</v>
      </c>
      <c r="X289" s="62">
        <f t="array" aca="1" ref="X289:AA289" ca="1">simulate!AE289:AH289</f>
        <v>0.93927079703605376</v>
      </c>
      <c r="Y289" s="62">
        <f ca="1"/>
        <v>1.3365324921971991</v>
      </c>
      <c r="Z289" s="62">
        <f ca="1"/>
        <v>0.5546250545941559</v>
      </c>
      <c r="AA289" s="62">
        <f ca="1"/>
        <v>0.55709998324674559</v>
      </c>
      <c r="AB289" s="98">
        <f t="shared" si="9"/>
        <v>0</v>
      </c>
      <c r="AC289" s="62">
        <f t="array" aca="1" ref="AC289:AF289" ca="1">TRANSPOSE($G$44:$G$47 + MMULT($I$44:$L$47,TRANSPOSE(AR288:AU288)))</f>
        <v>0.63289307504740522</v>
      </c>
      <c r="AD289" s="62">
        <f ca="1"/>
        <v>0.57234447511118791</v>
      </c>
      <c r="AE289" s="62">
        <f ca="1"/>
        <v>0.52411662540831705</v>
      </c>
      <c r="AF289" s="62">
        <f ca="1"/>
        <v>0.72949694250634978</v>
      </c>
      <c r="AG289" s="66" t="str">
        <f t="array" ref="AG289">IF($AB289, Push(MMULT($I$44:$L$47,MMULT(Fetch(AV288),TRANSPOSE($I$44:$L$47))) + $N$44:$Q$47), "")</f>
        <v/>
      </c>
      <c r="AH289" s="62">
        <f t="array" aca="1" ref="AH289:AK289" ca="1">TRANSPOSE($G$38:$G$41 + MMULT($I$38:$L$41,TRANSPOSE(AC289:AF289)))</f>
        <v>0.81150103682618702</v>
      </c>
      <c r="AI289" s="62">
        <f ca="1"/>
        <v>0.78046255947649179</v>
      </c>
      <c r="AJ289" s="62">
        <f ca="1"/>
        <v>0.71903243681343953</v>
      </c>
      <c r="AK289" s="62">
        <f ca="1"/>
        <v>0.70253142258617962</v>
      </c>
      <c r="AL289" s="66" t="str">
        <f t="array" ref="AL289">IF($AB289, Push(MINVERSE(MMULT($I$38:$L$41,MMULT(Fetch(AG289),TRANSPOSE($I$38:$L$41))) + $N$38:$Q$41)), "")</f>
        <v/>
      </c>
      <c r="AM289" s="62">
        <f t="array" aca="1" ref="AM289:AP289" ca="1">X289:AA289 - AH289:AK289</f>
        <v>0.12776976020986675</v>
      </c>
      <c r="AN289" s="62">
        <f ca="1"/>
        <v>0.55606993272070726</v>
      </c>
      <c r="AO289" s="62">
        <f ca="1"/>
        <v>-0.16440738221928364</v>
      </c>
      <c r="AP289" s="62">
        <f ca="1"/>
        <v>-0.14543143933943403</v>
      </c>
      <c r="AQ289" s="66" t="str">
        <f t="array" ref="AQ289">IF($AB289, Push(MMULT(Fetch(AG289),MMULT(TRANSPOSE($I$38:$L$41),Fetch(AL289)))), "")</f>
        <v/>
      </c>
      <c r="AR289" s="62">
        <f t="array" aca="1" ref="AR289:AU289" ca="1">AC289:AF289 + TRANSPOSE(MMULT(IF($AB289,Fetch(AQ289),$L$61:$O$64),TRANSPOSE(AM289:AP289)))</f>
        <v>0.76960634011716345</v>
      </c>
      <c r="AS289" s="62">
        <f ca="1"/>
        <v>0.87286228064087368</v>
      </c>
      <c r="AT289" s="62">
        <f ca="1"/>
        <v>0.37689754472323389</v>
      </c>
      <c r="AU289" s="62">
        <f ca="1"/>
        <v>0.61610141922283468</v>
      </c>
      <c r="AV289" s="66" t="str">
        <f t="array" ref="AV289">IF($AB289, Push(Fetch(AG289) - MMULT(Fetch(AQ289),MMULT($I$38:$L$41,Fetch(AG289)))), "")</f>
        <v/>
      </c>
      <c r="AW289" s="97">
        <f t="array" aca="1" ref="AW289" ca="1">IF($AB289,LN(MDETERM(Fetch(AL289))),$J$65)   -   MMULT(AM289:AP289,MMULT(IF($AB289,Fetch(AL289),$G$61:$J$64),TRANSPOSE(AM289:AP289)))</f>
        <v>5.7156719843394335</v>
      </c>
    </row>
    <row r="290" spans="23:49" x14ac:dyDescent="0.15">
      <c r="W290" s="12">
        <f t="shared" si="8"/>
        <v>287</v>
      </c>
      <c r="X290" s="62">
        <f t="array" aca="1" ref="X290:AA290" ca="1">simulate!AE290:AH290</f>
        <v>1.0579171013498925</v>
      </c>
      <c r="Y290" s="62">
        <f ca="1"/>
        <v>1.23219234789819</v>
      </c>
      <c r="Z290" s="62">
        <f ca="1"/>
        <v>-1.1334731660940511E-2</v>
      </c>
      <c r="AA290" s="62">
        <f ca="1"/>
        <v>0.52660648467934079</v>
      </c>
      <c r="AB290" s="98">
        <f t="shared" si="9"/>
        <v>0</v>
      </c>
      <c r="AC290" s="62">
        <f t="array" aca="1" ref="AC290:AF290" ca="1">TRANSPOSE($G$44:$G$47 + MMULT($I$44:$L$47,TRANSPOSE(AR289:AU289)))</f>
        <v>0.87526343973488441</v>
      </c>
      <c r="AD290" s="62">
        <f ca="1"/>
        <v>0.74785779845067502</v>
      </c>
      <c r="AE290" s="62">
        <f ca="1"/>
        <v>0.59345753947381985</v>
      </c>
      <c r="AF290" s="62">
        <f ca="1"/>
        <v>0.68978062999363865</v>
      </c>
      <c r="AG290" s="66" t="str">
        <f t="array" ref="AG290">IF($AB290, Push(MMULT($I$44:$L$47,MMULT(Fetch(AV289),TRANSPOSE($I$44:$L$47))) + $N$44:$Q$47), "")</f>
        <v/>
      </c>
      <c r="AH290" s="62">
        <f t="array" aca="1" ref="AH290:AK290" ca="1">TRANSPOSE($G$38:$G$41 + MMULT($I$38:$L$41,TRANSPOSE(AC290:AF290)))</f>
        <v>1.0309748187933161</v>
      </c>
      <c r="AI290" s="62">
        <f ca="1"/>
        <v>0.99753259896237856</v>
      </c>
      <c r="AJ290" s="62">
        <f ca="1"/>
        <v>0.70644351743397338</v>
      </c>
      <c r="AK290" s="62">
        <f ca="1"/>
        <v>0.68045781194003707</v>
      </c>
      <c r="AL290" s="66" t="str">
        <f t="array" ref="AL290">IF($AB290, Push(MINVERSE(MMULT($I$38:$L$41,MMULT(Fetch(AG290),TRANSPOSE($I$38:$L$41))) + $N$38:$Q$41)), "")</f>
        <v/>
      </c>
      <c r="AM290" s="62">
        <f t="array" aca="1" ref="AM290:AP290" ca="1">X290:AA290 - AH290:AK290</f>
        <v>2.694228255657638E-2</v>
      </c>
      <c r="AN290" s="62">
        <f ca="1"/>
        <v>0.23465974893581143</v>
      </c>
      <c r="AO290" s="62">
        <f ca="1"/>
        <v>-0.71777824909491383</v>
      </c>
      <c r="AP290" s="62">
        <f ca="1"/>
        <v>-0.15385132726069628</v>
      </c>
      <c r="AQ290" s="66" t="str">
        <f t="array" ref="AQ290">IF($AB290, Push(MMULT(Fetch(AG290),MMULT(TRANSPOSE($I$38:$L$41),Fetch(AL290)))), "")</f>
        <v/>
      </c>
      <c r="AR290" s="62">
        <f t="array" aca="1" ref="AR290:AU290" ca="1">AC290:AF290 + TRANSPOSE(MMULT(IF($AB290,Fetch(AQ290),$L$61:$O$64),TRANSPOSE(AM290:AP290)))</f>
        <v>0.77878573909370519</v>
      </c>
      <c r="AS290" s="62">
        <f ca="1"/>
        <v>0.99698147592338926</v>
      </c>
      <c r="AT290" s="62">
        <f ca="1"/>
        <v>0.35116557978009422</v>
      </c>
      <c r="AU290" s="62">
        <f ca="1"/>
        <v>0.34537301172655949</v>
      </c>
      <c r="AV290" s="66" t="str">
        <f t="array" ref="AV290">IF($AB290, Push(Fetch(AG290) - MMULT(Fetch(AQ290),MMULT($I$38:$L$41,Fetch(AG290)))), "")</f>
        <v/>
      </c>
      <c r="AW290" s="97">
        <f t="array" aca="1" ref="AW290" ca="1">IF($AB290,LN(MDETERM(Fetch(AL290))),$J$65)   -   MMULT(AM290:AP290,MMULT(IF($AB290,Fetch(AL290),$G$61:$J$64),TRANSPOSE(AM290:AP290)))</f>
        <v>4.680699071746794</v>
      </c>
    </row>
    <row r="291" spans="23:49" x14ac:dyDescent="0.15">
      <c r="W291" s="12">
        <f t="shared" si="8"/>
        <v>288</v>
      </c>
      <c r="X291" s="62">
        <f t="array" aca="1" ref="X291:AA291" ca="1">simulate!AE291:AH291</f>
        <v>1.3835418011443801</v>
      </c>
      <c r="Y291" s="62">
        <f ca="1"/>
        <v>-0.13820899063544528</v>
      </c>
      <c r="Z291" s="62">
        <f ca="1"/>
        <v>1.7963268641062773</v>
      </c>
      <c r="AA291" s="62">
        <f ca="1"/>
        <v>1.3398089999424607</v>
      </c>
      <c r="AB291" s="98">
        <f t="shared" si="9"/>
        <v>0</v>
      </c>
      <c r="AC291" s="62">
        <f t="array" aca="1" ref="AC291:AF291" ca="1">TRANSPOSE($G$44:$G$47 + MMULT($I$44:$L$47,TRANSPOSE(AR290:AU290)))</f>
        <v>0.88374783707544102</v>
      </c>
      <c r="AD291" s="62">
        <f ca="1"/>
        <v>0.79330226382684832</v>
      </c>
      <c r="AE291" s="62">
        <f ca="1"/>
        <v>0.56030030358847138</v>
      </c>
      <c r="AF291" s="62">
        <f ca="1"/>
        <v>0.5486655998947596</v>
      </c>
      <c r="AG291" s="66" t="str">
        <f t="array" ref="AG291">IF($AB291, Push(MMULT($I$44:$L$47,MMULT(Fetch(AV290),TRANSPOSE($I$44:$L$47))) + $N$44:$Q$47), "")</f>
        <v/>
      </c>
      <c r="AH291" s="62">
        <f t="array" aca="1" ref="AH291:AK291" ca="1">TRANSPOSE($G$38:$G$41 + MMULT($I$38:$L$41,TRANSPOSE(AC291:AF291)))</f>
        <v>1.0536834282204124</v>
      </c>
      <c r="AI291" s="62">
        <f ca="1"/>
        <v>1.0210059270052998</v>
      </c>
      <c r="AJ291" s="62">
        <f ca="1"/>
        <v>0.57768313734767185</v>
      </c>
      <c r="AK291" s="62">
        <f ca="1"/>
        <v>0.60626802226901089</v>
      </c>
      <c r="AL291" s="66" t="str">
        <f t="array" ref="AL291">IF($AB291, Push(MINVERSE(MMULT($I$38:$L$41,MMULT(Fetch(AG291),TRANSPOSE($I$38:$L$41))) + $N$38:$Q$41)), "")</f>
        <v/>
      </c>
      <c r="AM291" s="62">
        <f t="array" aca="1" ref="AM291:AP291" ca="1">X291:AA291 - AH291:AK291</f>
        <v>0.32985837292396769</v>
      </c>
      <c r="AN291" s="62">
        <f ca="1"/>
        <v>-1.1592149176407451</v>
      </c>
      <c r="AO291" s="62">
        <f ca="1"/>
        <v>1.2186437267586054</v>
      </c>
      <c r="AP291" s="62">
        <f ca="1"/>
        <v>0.73354097767344983</v>
      </c>
      <c r="AQ291" s="66" t="str">
        <f t="array" ref="AQ291">IF($AB291, Push(MMULT(Fetch(AG291),MMULT(TRANSPOSE($I$38:$L$41),Fetch(AL291)))), "")</f>
        <v/>
      </c>
      <c r="AR291" s="62">
        <f t="array" aca="1" ref="AR291:AU291" ca="1">AC291:AF291 + TRANSPOSE(MMULT(IF($AB291,Fetch(AQ291),$L$61:$O$64),TRANSPOSE(AM291:AP291)))</f>
        <v>0.99330185451566755</v>
      </c>
      <c r="AS291" s="62">
        <f ca="1"/>
        <v>-3.5406023463305902E-2</v>
      </c>
      <c r="AT291" s="62">
        <f ca="1"/>
        <v>1.5148868289061288</v>
      </c>
      <c r="AU291" s="62">
        <f ca="1"/>
        <v>1.2943353204885955</v>
      </c>
      <c r="AV291" s="66" t="str">
        <f t="array" ref="AV291">IF($AB291, Push(Fetch(AG291) - MMULT(Fetch(AQ291),MMULT($I$38:$L$41,Fetch(AG291)))), "")</f>
        <v/>
      </c>
      <c r="AW291" s="97">
        <f t="array" aca="1" ref="AW291" ca="1">IF($AB291,LN(MDETERM(Fetch(AL291))),$J$65)   -   MMULT(AM291:AP291,MMULT(IF($AB291,Fetch(AL291),$G$61:$J$64),TRANSPOSE(AM291:AP291)))</f>
        <v>-5.3395885317062568</v>
      </c>
    </row>
    <row r="292" spans="23:49" x14ac:dyDescent="0.15">
      <c r="W292" s="12">
        <f t="shared" si="8"/>
        <v>289</v>
      </c>
      <c r="X292" s="62">
        <f t="array" aca="1" ref="X292:AA292" ca="1">simulate!AE292:AH292</f>
        <v>0.48668941121972342</v>
      </c>
      <c r="Y292" s="62">
        <f ca="1"/>
        <v>0.74720193633220711</v>
      </c>
      <c r="Z292" s="62">
        <f ca="1"/>
        <v>1.1729444656693946</v>
      </c>
      <c r="AA292" s="62">
        <f ca="1"/>
        <v>0.89138361189636717</v>
      </c>
      <c r="AB292" s="98">
        <f t="shared" si="9"/>
        <v>0</v>
      </c>
      <c r="AC292" s="62">
        <f t="array" aca="1" ref="AC292:AF292" ca="1">TRANSPOSE($G$44:$G$47 + MMULT($I$44:$L$47,TRANSPOSE(AR291:AU291)))</f>
        <v>0.97525918252974408</v>
      </c>
      <c r="AD292" s="62">
        <f ca="1"/>
        <v>0.5103357493703935</v>
      </c>
      <c r="AE292" s="62">
        <f ca="1"/>
        <v>1.1768867853917331</v>
      </c>
      <c r="AF292" s="62">
        <f ca="1"/>
        <v>1.1869371821675117</v>
      </c>
      <c r="AG292" s="66" t="str">
        <f t="array" ref="AG292">IF($AB292, Push(MMULT($I$44:$L$47,MMULT(Fetch(AV291),TRANSPOSE($I$44:$L$47))) + $N$44:$Q$47), "")</f>
        <v/>
      </c>
      <c r="AH292" s="62">
        <f t="array" aca="1" ref="AH292:AK292" ca="1">TRANSPOSE($G$38:$G$41 + MMULT($I$38:$L$41,TRANSPOSE(AC292:AF292)))</f>
        <v>1.3447637972347544</v>
      </c>
      <c r="AI292" s="62">
        <f ca="1"/>
        <v>0.77618820699043967</v>
      </c>
      <c r="AJ292" s="62">
        <f ca="1"/>
        <v>1.1962895719655613</v>
      </c>
      <c r="AK292" s="62">
        <f ca="1"/>
        <v>1.1967563445248575</v>
      </c>
      <c r="AL292" s="66" t="str">
        <f t="array" ref="AL292">IF($AB292, Push(MINVERSE(MMULT($I$38:$L$41,MMULT(Fetch(AG292),TRANSPOSE($I$38:$L$41))) + $N$38:$Q$41)), "")</f>
        <v/>
      </c>
      <c r="AM292" s="62">
        <f t="array" aca="1" ref="AM292:AP292" ca="1">X292:AA292 - AH292:AK292</f>
        <v>-0.85807438601503094</v>
      </c>
      <c r="AN292" s="62">
        <f ca="1"/>
        <v>-2.898627065823256E-2</v>
      </c>
      <c r="AO292" s="62">
        <f ca="1"/>
        <v>-2.3345106296166707E-2</v>
      </c>
      <c r="AP292" s="62">
        <f ca="1"/>
        <v>-0.3053727326284903</v>
      </c>
      <c r="AQ292" s="66" t="str">
        <f t="array" ref="AQ292">IF($AB292, Push(MMULT(Fetch(AG292),MMULT(TRANSPOSE($I$38:$L$41),Fetch(AL292)))), "")</f>
        <v/>
      </c>
      <c r="AR292" s="62">
        <f t="array" aca="1" ref="AR292:AU292" ca="1">AC292:AF292 + TRANSPOSE(MMULT(IF($AB292,Fetch(AQ292),$L$61:$O$64),TRANSPOSE(AM292:AP292)))</f>
        <v>0.64276328267078497</v>
      </c>
      <c r="AS292" s="62">
        <f ca="1"/>
        <v>0.58775143448694667</v>
      </c>
      <c r="AT292" s="62">
        <f ca="1"/>
        <v>0.66409677657987598</v>
      </c>
      <c r="AU292" s="62">
        <f ca="1"/>
        <v>1.067489819946509</v>
      </c>
      <c r="AV292" s="66" t="str">
        <f t="array" ref="AV292">IF($AB292, Push(Fetch(AG292) - MMULT(Fetch(AQ292),MMULT($I$38:$L$41,Fetch(AG292)))), "")</f>
        <v/>
      </c>
      <c r="AW292" s="97">
        <f t="array" aca="1" ref="AW292" ca="1">IF($AB292,LN(MDETERM(Fetch(AL292))),$J$65)   -   MMULT(AM292:AP292,MMULT(IF($AB292,Fetch(AL292),$G$61:$J$64),TRANSPOSE(AM292:AP292)))</f>
        <v>3.4533693951901037</v>
      </c>
    </row>
    <row r="293" spans="23:49" x14ac:dyDescent="0.15">
      <c r="W293" s="12">
        <f t="shared" si="8"/>
        <v>290</v>
      </c>
      <c r="X293" s="62">
        <f t="array" aca="1" ref="X293:AA293" ca="1">simulate!AE293:AH293</f>
        <v>1.0280049176573904</v>
      </c>
      <c r="Y293" s="62">
        <f ca="1"/>
        <v>1.2063816975869694</v>
      </c>
      <c r="Z293" s="62">
        <f ca="1"/>
        <v>0.82456119336310341</v>
      </c>
      <c r="AA293" s="62">
        <f ca="1"/>
        <v>-4.3194951166268009E-2</v>
      </c>
      <c r="AB293" s="98">
        <f t="shared" si="9"/>
        <v>0</v>
      </c>
      <c r="AC293" s="62">
        <f t="array" aca="1" ref="AC293:AF293" ca="1">TRANSPOSE($G$44:$G$47 + MMULT($I$44:$L$47,TRANSPOSE(AR292:AU292)))</f>
        <v>0.80670044307684297</v>
      </c>
      <c r="AD293" s="62">
        <f ca="1"/>
        <v>0.64791687236925199</v>
      </c>
      <c r="AE293" s="62">
        <f ca="1"/>
        <v>0.76004845369374563</v>
      </c>
      <c r="AF293" s="62">
        <f ca="1"/>
        <v>0.95380292935431732</v>
      </c>
      <c r="AG293" s="66" t="str">
        <f t="array" ref="AG293">IF($AB293, Push(MMULT($I$44:$L$47,MMULT(Fetch(AV292),TRANSPOSE($I$44:$L$47))) + $N$44:$Q$47), "")</f>
        <v/>
      </c>
      <c r="AH293" s="62">
        <f t="array" aca="1" ref="AH293:AK293" ca="1">TRANSPOSE($G$38:$G$41 + MMULT($I$38:$L$41,TRANSPOSE(AC293:AF293)))</f>
        <v>1.0180818548799757</v>
      </c>
      <c r="AI293" s="62">
        <f ca="1"/>
        <v>0.89440604169361193</v>
      </c>
      <c r="AJ293" s="62">
        <f ca="1"/>
        <v>0.92292053278555364</v>
      </c>
      <c r="AK293" s="62">
        <f ca="1"/>
        <v>0.91387967674487225</v>
      </c>
      <c r="AL293" s="66" t="str">
        <f t="array" ref="AL293">IF($AB293, Push(MINVERSE(MMULT($I$38:$L$41,MMULT(Fetch(AG293),TRANSPOSE($I$38:$L$41))) + $N$38:$Q$41)), "")</f>
        <v/>
      </c>
      <c r="AM293" s="62">
        <f t="array" aca="1" ref="AM293:AP293" ca="1">X293:AA293 - AH293:AK293</f>
        <v>9.9230627774147262E-3</v>
      </c>
      <c r="AN293" s="62">
        <f ca="1"/>
        <v>0.31197565589335752</v>
      </c>
      <c r="AO293" s="62">
        <f ca="1"/>
        <v>-9.8359339422450232E-2</v>
      </c>
      <c r="AP293" s="62">
        <f ca="1"/>
        <v>-0.95707462791114029</v>
      </c>
      <c r="AQ293" s="66" t="str">
        <f t="array" ref="AQ293">IF($AB293, Push(MMULT(Fetch(AG293),MMULT(TRANSPOSE($I$38:$L$41),Fetch(AL293)))), "")</f>
        <v/>
      </c>
      <c r="AR293" s="62">
        <f t="array" aca="1" ref="AR293:AU293" ca="1">AC293:AF293 + TRANSPOSE(MMULT(IF($AB293,Fetch(AQ293),$L$61:$O$64),TRANSPOSE(AM293:AP293)))</f>
        <v>1.0501923703959632</v>
      </c>
      <c r="AS293" s="62">
        <f ca="1"/>
        <v>0.65479222220644928</v>
      </c>
      <c r="AT293" s="62">
        <f ca="1"/>
        <v>7.7342834180290532E-2</v>
      </c>
      <c r="AU293" s="62">
        <f ca="1"/>
        <v>0.58183827266214272</v>
      </c>
      <c r="AV293" s="66" t="str">
        <f t="array" ref="AV293">IF($AB293, Push(Fetch(AG293) - MMULT(Fetch(AQ293),MMULT($I$38:$L$41,Fetch(AG293)))), "")</f>
        <v/>
      </c>
      <c r="AW293" s="97">
        <f t="array" aca="1" ref="AW293" ca="1">IF($AB293,LN(MDETERM(Fetch(AL293))),$J$65)   -   MMULT(AM293:AP293,MMULT(IF($AB293,Fetch(AL293),$G$61:$J$64),TRANSPOSE(AM293:AP293)))</f>
        <v>-2.1910704174879463</v>
      </c>
    </row>
    <row r="294" spans="23:49" x14ac:dyDescent="0.15">
      <c r="W294" s="12">
        <f t="shared" si="8"/>
        <v>291</v>
      </c>
      <c r="X294" s="62">
        <f t="array" aca="1" ref="X294:AA294" ca="1">simulate!AE294:AH294</f>
        <v>0.76701781627052656</v>
      </c>
      <c r="Y294" s="62">
        <f ca="1"/>
        <v>0.79169602767377922</v>
      </c>
      <c r="Z294" s="62">
        <f ca="1"/>
        <v>4.6976467150678519E-2</v>
      </c>
      <c r="AA294" s="62">
        <f ca="1"/>
        <v>0.99939555532056767</v>
      </c>
      <c r="AB294" s="98">
        <f t="shared" si="9"/>
        <v>0</v>
      </c>
      <c r="AC294" s="62">
        <f t="array" aca="1" ref="AC294:AF294" ca="1">TRANSPOSE($G$44:$G$47 + MMULT($I$44:$L$47,TRANSPOSE(AR293:AU293)))</f>
        <v>0.97155847919657989</v>
      </c>
      <c r="AD294" s="62">
        <f ca="1"/>
        <v>0.62886908266969821</v>
      </c>
      <c r="AE294" s="62">
        <f ca="1"/>
        <v>0.41117231326272119</v>
      </c>
      <c r="AF294" s="62">
        <f ca="1"/>
        <v>0.62060107320213276</v>
      </c>
      <c r="AG294" s="66" t="str">
        <f t="array" ref="AG294">IF($AB294, Push(MMULT($I$44:$L$47,MMULT(Fetch(AV293),TRANSPOSE($I$44:$L$47))) + $N$44:$Q$47), "")</f>
        <v/>
      </c>
      <c r="AH294" s="62">
        <f t="array" aca="1" ref="AH294:AK294" ca="1">TRANSPOSE($G$38:$G$41 + MMULT($I$38:$L$41,TRANSPOSE(AC294:AF294)))</f>
        <v>1.0099233452734111</v>
      </c>
      <c r="AI294" s="62">
        <f ca="1"/>
        <v>0.96246889392314405</v>
      </c>
      <c r="AJ294" s="62">
        <f ca="1"/>
        <v>0.74804458023655029</v>
      </c>
      <c r="AK294" s="62">
        <f ca="1"/>
        <v>0.43953980201530379</v>
      </c>
      <c r="AL294" s="66" t="str">
        <f t="array" ref="AL294">IF($AB294, Push(MINVERSE(MMULT($I$38:$L$41,MMULT(Fetch(AG294),TRANSPOSE($I$38:$L$41))) + $N$38:$Q$41)), "")</f>
        <v/>
      </c>
      <c r="AM294" s="62">
        <f t="array" aca="1" ref="AM294:AP294" ca="1">X294:AA294 - AH294:AK294</f>
        <v>-0.24290552900288453</v>
      </c>
      <c r="AN294" s="62">
        <f ca="1"/>
        <v>-0.17077286624936483</v>
      </c>
      <c r="AO294" s="62">
        <f ca="1"/>
        <v>-0.7010681130858718</v>
      </c>
      <c r="AP294" s="62">
        <f ca="1"/>
        <v>0.55985575330526394</v>
      </c>
      <c r="AQ294" s="66" t="str">
        <f t="array" ref="AQ294">IF($AB294, Push(MMULT(Fetch(AG294),MMULT(TRANSPOSE($I$38:$L$41),Fetch(AL294)))), "")</f>
        <v/>
      </c>
      <c r="AR294" s="62">
        <f t="array" aca="1" ref="AR294:AU294" ca="1">AC294:AF294 + TRANSPOSE(MMULT(IF($AB294,Fetch(AQ294),$L$61:$O$64),TRANSPOSE(AM294:AP294)))</f>
        <v>0.53274306175584607</v>
      </c>
      <c r="AS294" s="62">
        <f ca="1"/>
        <v>0.83195688744012597</v>
      </c>
      <c r="AT294" s="62">
        <f ca="1"/>
        <v>0.59495495985730495</v>
      </c>
      <c r="AU294" s="62">
        <f ca="1"/>
        <v>0.52833208971954293</v>
      </c>
      <c r="AV294" s="66" t="str">
        <f t="array" ref="AV294">IF($AB294, Push(Fetch(AG294) - MMULT(Fetch(AQ294),MMULT($I$38:$L$41,Fetch(AG294)))), "")</f>
        <v/>
      </c>
      <c r="AW294" s="97">
        <f t="array" aca="1" ref="AW294" ca="1">IF($AB294,LN(MDETERM(Fetch(AL294))),$J$65)   -   MMULT(AM294:AP294,MMULT(IF($AB294,Fetch(AL294),$G$61:$J$64),TRANSPOSE(AM294:AP294)))</f>
        <v>-0.19233577115381539</v>
      </c>
    </row>
    <row r="295" spans="23:49" x14ac:dyDescent="0.15">
      <c r="W295" s="12">
        <f t="shared" si="8"/>
        <v>292</v>
      </c>
      <c r="X295" s="62">
        <f t="array" aca="1" ref="X295:AA295" ca="1">simulate!AE295:AH295</f>
        <v>0.85994217376204252</v>
      </c>
      <c r="Y295" s="62">
        <f ca="1"/>
        <v>0.19705531676453142</v>
      </c>
      <c r="Z295" s="62">
        <f ca="1"/>
        <v>0.17853210596184566</v>
      </c>
      <c r="AA295" s="62">
        <f ca="1"/>
        <v>0.47254155759354471</v>
      </c>
      <c r="AB295" s="98">
        <f t="shared" si="9"/>
        <v>0</v>
      </c>
      <c r="AC295" s="62">
        <f t="array" aca="1" ref="AC295:AF295" ca="1">TRANSPOSE($G$44:$G$47 + MMULT($I$44:$L$47,TRANSPOSE(AR294:AU294)))</f>
        <v>0.75259023987508211</v>
      </c>
      <c r="AD295" s="62">
        <f ca="1"/>
        <v>0.71333162367397096</v>
      </c>
      <c r="AE295" s="62">
        <f ca="1"/>
        <v>0.67473357217133001</v>
      </c>
      <c r="AF295" s="62">
        <f ca="1"/>
        <v>0.66348795861025334</v>
      </c>
      <c r="AG295" s="66" t="str">
        <f t="array" ref="AG295">IF($AB295, Push(MMULT($I$44:$L$47,MMULT(Fetch(AV294),TRANSPOSE($I$44:$L$47))) + $N$44:$Q$47), "")</f>
        <v/>
      </c>
      <c r="AH295" s="62">
        <f t="array" aca="1" ref="AH295:AK295" ca="1">TRANSPOSE($G$38:$G$41 + MMULT($I$38:$L$41,TRANSPOSE(AC295:AF295)))</f>
        <v>1.0042168264084634</v>
      </c>
      <c r="AI295" s="62">
        <f ca="1"/>
        <v>0.89612631909302187</v>
      </c>
      <c r="AJ295" s="62">
        <f ca="1"/>
        <v>0.64261136627982718</v>
      </c>
      <c r="AK295" s="62">
        <f ca="1"/>
        <v>0.77245836353457964</v>
      </c>
      <c r="AL295" s="66" t="str">
        <f t="array" ref="AL295">IF($AB295, Push(MINVERSE(MMULT($I$38:$L$41,MMULT(Fetch(AG295),TRANSPOSE($I$38:$L$41))) + $N$38:$Q$41)), "")</f>
        <v/>
      </c>
      <c r="AM295" s="62">
        <f t="array" aca="1" ref="AM295:AP295" ca="1">X295:AA295 - AH295:AK295</f>
        <v>-0.14427465264642092</v>
      </c>
      <c r="AN295" s="62">
        <f ca="1"/>
        <v>-0.69907100232849051</v>
      </c>
      <c r="AO295" s="62">
        <f ca="1"/>
        <v>-0.46407926031798152</v>
      </c>
      <c r="AP295" s="62">
        <f ca="1"/>
        <v>-0.29991680594103493</v>
      </c>
      <c r="AQ295" s="66" t="str">
        <f t="array" ref="AQ295">IF($AB295, Push(MMULT(Fetch(AG295),MMULT(TRANSPOSE($I$38:$L$41),Fetch(AL295)))), "")</f>
        <v/>
      </c>
      <c r="AR295" s="62">
        <f t="array" aca="1" ref="AR295:AU295" ca="1">AC295:AF295 + TRANSPOSE(MMULT(IF($AB295,Fetch(AQ295),$L$61:$O$64),TRANSPOSE(AM295:AP295)))</f>
        <v>0.52823141305284327</v>
      </c>
      <c r="AS295" s="62">
        <f ca="1"/>
        <v>0.37750210041516064</v>
      </c>
      <c r="AT295" s="62">
        <f ca="1"/>
        <v>0.43452828122277143</v>
      </c>
      <c r="AU295" s="62">
        <f ca="1"/>
        <v>0.36429388196119195</v>
      </c>
      <c r="AV295" s="66" t="str">
        <f t="array" ref="AV295">IF($AB295, Push(Fetch(AG295) - MMULT(Fetch(AQ295),MMULT($I$38:$L$41,Fetch(AG295)))), "")</f>
        <v/>
      </c>
      <c r="AW295" s="97">
        <f t="array" aca="1" ref="AW295" ca="1">IF($AB295,LN(MDETERM(Fetch(AL295))),$J$65)   -   MMULT(AM295:AP295,MMULT(IF($AB295,Fetch(AL295),$G$61:$J$64),TRANSPOSE(AM295:AP295)))</f>
        <v>0.43932724199104634</v>
      </c>
    </row>
    <row r="296" spans="23:49" x14ac:dyDescent="0.15">
      <c r="W296" s="12">
        <f t="shared" si="8"/>
        <v>293</v>
      </c>
      <c r="X296" s="62">
        <f t="array" aca="1" ref="X296:AA296" ca="1">simulate!AE296:AH296</f>
        <v>-7.3643243770900063E-2</v>
      </c>
      <c r="Y296" s="62">
        <f ca="1"/>
        <v>0.29804489236730791</v>
      </c>
      <c r="Z296" s="62">
        <f ca="1"/>
        <v>0.32735044984552442</v>
      </c>
      <c r="AA296" s="62">
        <f ca="1"/>
        <v>0.15655437008115</v>
      </c>
      <c r="AB296" s="98">
        <f t="shared" si="9"/>
        <v>0</v>
      </c>
      <c r="AC296" s="62">
        <f t="array" aca="1" ref="AC296:AF296" ca="1">TRANSPOSE($G$44:$G$47 + MMULT($I$44:$L$47,TRANSPOSE(AR295:AU295)))</f>
        <v>0.66359557905218902</v>
      </c>
      <c r="AD296" s="62">
        <f ca="1"/>
        <v>0.43174098157276308</v>
      </c>
      <c r="AE296" s="62">
        <f ca="1"/>
        <v>0.48970866874373625</v>
      </c>
      <c r="AF296" s="62">
        <f ca="1"/>
        <v>0.516281679086247</v>
      </c>
      <c r="AG296" s="66" t="str">
        <f t="array" ref="AG296">IF($AB296, Push(MMULT($I$44:$L$47,MMULT(Fetch(AV295),TRANSPOSE($I$44:$L$47))) + $N$44:$Q$47), "")</f>
        <v/>
      </c>
      <c r="AH296" s="62">
        <f t="array" aca="1" ref="AH296:AK296" ca="1">TRANSPOSE($G$38:$G$41 + MMULT($I$38:$L$41,TRANSPOSE(AC296:AF296)))</f>
        <v>0.87969012135464197</v>
      </c>
      <c r="AI296" s="62">
        <f ca="1"/>
        <v>0.63619855246935852</v>
      </c>
      <c r="AJ296" s="62">
        <f ca="1"/>
        <v>0.60942698323657951</v>
      </c>
      <c r="AK296" s="62">
        <f ca="1"/>
        <v>0.52966895770690914</v>
      </c>
      <c r="AL296" s="66" t="str">
        <f t="array" ref="AL296">IF($AB296, Push(MINVERSE(MMULT($I$38:$L$41,MMULT(Fetch(AG296),TRANSPOSE($I$38:$L$41))) + $N$38:$Q$41)), "")</f>
        <v/>
      </c>
      <c r="AM296" s="62">
        <f t="array" aca="1" ref="AM296:AP296" ca="1">X296:AA296 - AH296:AK296</f>
        <v>-0.95333336512554201</v>
      </c>
      <c r="AN296" s="62">
        <f ca="1"/>
        <v>-0.33815366010205061</v>
      </c>
      <c r="AO296" s="62">
        <f ca="1"/>
        <v>-0.2820765333910551</v>
      </c>
      <c r="AP296" s="62">
        <f ca="1"/>
        <v>-0.37311458762575911</v>
      </c>
      <c r="AQ296" s="66" t="str">
        <f t="array" ref="AQ296">IF($AB296, Push(MMULT(Fetch(AG296),MMULT(TRANSPOSE($I$38:$L$41),Fetch(AL296)))), "")</f>
        <v/>
      </c>
      <c r="AR296" s="62">
        <f t="array" aca="1" ref="AR296:AU296" ca="1">AC296:AF296 + TRANSPOSE(MMULT(IF($AB296,Fetch(AQ296),$L$61:$O$64),TRANSPOSE(AM296:AP296)))</f>
        <v>0.18957888336526751</v>
      </c>
      <c r="AS296" s="62">
        <f ca="1"/>
        <v>0.39021882726540547</v>
      </c>
      <c r="AT296" s="62">
        <f ca="1"/>
        <v>-0.10700904965904373</v>
      </c>
      <c r="AU296" s="62">
        <f ca="1"/>
        <v>0.26526200898675895</v>
      </c>
      <c r="AV296" s="66" t="str">
        <f t="array" ref="AV296">IF($AB296, Push(Fetch(AG296) - MMULT(Fetch(AQ296),MMULT($I$38:$L$41,Fetch(AG296)))), "")</f>
        <v/>
      </c>
      <c r="AW296" s="97">
        <f t="array" aca="1" ref="AW296" ca="1">IF($AB296,LN(MDETERM(Fetch(AL296))),$J$65)   -   MMULT(AM296:AP296,MMULT(IF($AB296,Fetch(AL296),$G$61:$J$64),TRANSPOSE(AM296:AP296)))</f>
        <v>2.5111652816462664</v>
      </c>
    </row>
    <row r="297" spans="23:49" x14ac:dyDescent="0.15">
      <c r="W297" s="12">
        <f t="shared" si="8"/>
        <v>294</v>
      </c>
      <c r="X297" s="62">
        <f t="array" aca="1" ref="X297:AA297" ca="1">simulate!AE297:AH297</f>
        <v>0.44701252367163602</v>
      </c>
      <c r="Y297" s="62">
        <f ca="1"/>
        <v>1.2493402524275952</v>
      </c>
      <c r="Z297" s="62">
        <f ca="1"/>
        <v>-0.4843327717787218</v>
      </c>
      <c r="AA297" s="62">
        <f ca="1"/>
        <v>-2.9697107850852611E-3</v>
      </c>
      <c r="AB297" s="98">
        <f t="shared" si="9"/>
        <v>0</v>
      </c>
      <c r="AC297" s="62">
        <f t="array" aca="1" ref="AC297:AF297" ca="1">TRANSPOSE($G$44:$G$47 + MMULT($I$44:$L$47,TRANSPOSE(AR296:AU296)))</f>
        <v>0.43927222171244917</v>
      </c>
      <c r="AD297" s="62">
        <f ca="1"/>
        <v>0.29643322527100252</v>
      </c>
      <c r="AE297" s="62">
        <f ca="1"/>
        <v>0.16054034473772896</v>
      </c>
      <c r="AF297" s="62">
        <f ca="1"/>
        <v>0.35950430304526759</v>
      </c>
      <c r="AG297" s="66" t="str">
        <f t="array" ref="AG297">IF($AB297, Push(MMULT($I$44:$L$47,MMULT(Fetch(AV296),TRANSPOSE($I$44:$L$47))) + $N$44:$Q$47), "")</f>
        <v/>
      </c>
      <c r="AH297" s="62">
        <f t="array" aca="1" ref="AH297:AK297" ca="1">TRANSPOSE($G$38:$G$41 + MMULT($I$38:$L$41,TRANSPOSE(AC297:AF297)))</f>
        <v>0.5616349369149074</v>
      </c>
      <c r="AI297" s="62">
        <f ca="1"/>
        <v>0.48861681688517522</v>
      </c>
      <c r="AJ297" s="62">
        <f ca="1"/>
        <v>0.47377418676838856</v>
      </c>
      <c r="AK297" s="62">
        <f ca="1"/>
        <v>0.28427348400347419</v>
      </c>
      <c r="AL297" s="66" t="str">
        <f t="array" ref="AL297">IF($AB297, Push(MINVERSE(MMULT($I$38:$L$41,MMULT(Fetch(AG297),TRANSPOSE($I$38:$L$41))) + $N$38:$Q$41)), "")</f>
        <v/>
      </c>
      <c r="AM297" s="62">
        <f t="array" aca="1" ref="AM297:AP297" ca="1">X297:AA297 - AH297:AK297</f>
        <v>-0.11462241324327138</v>
      </c>
      <c r="AN297" s="62">
        <f ca="1"/>
        <v>0.76072343554241995</v>
      </c>
      <c r="AO297" s="62">
        <f ca="1"/>
        <v>-0.95810695854711037</v>
      </c>
      <c r="AP297" s="62">
        <f ca="1"/>
        <v>-0.28724319478855942</v>
      </c>
      <c r="AQ297" s="66" t="str">
        <f t="array" ref="AQ297">IF($AB297, Push(MMULT(Fetch(AG297),MMULT(TRANSPOSE($I$38:$L$41),Fetch(AL297)))), "")</f>
        <v/>
      </c>
      <c r="AR297" s="62">
        <f t="array" aca="1" ref="AR297:AU297" ca="1">AC297:AF297 + TRANSPOSE(MMULT(IF($AB297,Fetch(AQ297),$L$61:$O$64),TRANSPOSE(AM297:AP297)))</f>
        <v>0.3304519321147622</v>
      </c>
      <c r="AS297" s="62">
        <f ca="1"/>
        <v>0.89424668679365049</v>
      </c>
      <c r="AT297" s="62">
        <f ca="1"/>
        <v>-0.32780728165190876</v>
      </c>
      <c r="AU297" s="62">
        <f ca="1"/>
        <v>-0.12622008910561688</v>
      </c>
      <c r="AV297" s="66" t="str">
        <f t="array" ref="AV297">IF($AB297, Push(Fetch(AG297) - MMULT(Fetch(AQ297),MMULT($I$38:$L$41,Fetch(AG297)))), "")</f>
        <v/>
      </c>
      <c r="AW297" s="97">
        <f t="array" aca="1" ref="AW297" ca="1">IF($AB297,LN(MDETERM(Fetch(AL297))),$J$65)   -   MMULT(AM297:AP297,MMULT(IF($AB297,Fetch(AL297),$G$61:$J$64),TRANSPOSE(AM297:AP297)))</f>
        <v>1.7474986960819638</v>
      </c>
    </row>
    <row r="298" spans="23:49" x14ac:dyDescent="0.15">
      <c r="W298" s="12">
        <f t="shared" si="8"/>
        <v>295</v>
      </c>
      <c r="X298" s="62">
        <f t="array" aca="1" ref="X298:AA298" ca="1">simulate!AE298:AH298</f>
        <v>0.64713440022901469</v>
      </c>
      <c r="Y298" s="62">
        <f ca="1"/>
        <v>0.74834679961999528</v>
      </c>
      <c r="Z298" s="62">
        <f ca="1"/>
        <v>1.2328231205339948</v>
      </c>
      <c r="AA298" s="62">
        <f ca="1"/>
        <v>0.13787719421280092</v>
      </c>
      <c r="AB298" s="98">
        <f t="shared" si="9"/>
        <v>0</v>
      </c>
      <c r="AC298" s="62">
        <f t="array" aca="1" ref="AC298:AF298" ca="1">TRANSPOSE($G$44:$G$47 + MMULT($I$44:$L$47,TRANSPOSE(AR297:AU297)))</f>
        <v>0.55541575863557213</v>
      </c>
      <c r="AD298" s="62">
        <f ca="1"/>
        <v>0.53097472104080656</v>
      </c>
      <c r="AE298" s="62">
        <f ca="1"/>
        <v>7.5218543555211306E-2</v>
      </c>
      <c r="AF298" s="62">
        <f ca="1"/>
        <v>0.15487426252180964</v>
      </c>
      <c r="AG298" s="66" t="str">
        <f t="array" ref="AG298">IF($AB298, Push(MMULT($I$44:$L$47,MMULT(Fetch(AV297),TRANSPOSE($I$44:$L$47))) + $N$44:$Q$47), "")</f>
        <v/>
      </c>
      <c r="AH298" s="62">
        <f t="array" aca="1" ref="AH298:AK298" ca="1">TRANSPOSE($G$38:$G$41 + MMULT($I$38:$L$41,TRANSPOSE(AC298:AF298)))</f>
        <v>0.63621712043908452</v>
      </c>
      <c r="AI298" s="62">
        <f ca="1"/>
        <v>0.71753057243504648</v>
      </c>
      <c r="AJ298" s="62">
        <f ca="1"/>
        <v>0.26661095186123551</v>
      </c>
      <c r="AK298" s="62">
        <f ca="1"/>
        <v>0.15476795449899983</v>
      </c>
      <c r="AL298" s="66" t="str">
        <f t="array" ref="AL298">IF($AB298, Push(MINVERSE(MMULT($I$38:$L$41,MMULT(Fetch(AG298),TRANSPOSE($I$38:$L$41))) + $N$38:$Q$41)), "")</f>
        <v/>
      </c>
      <c r="AM298" s="62">
        <f t="array" aca="1" ref="AM298:AP298" ca="1">X298:AA298 - AH298:AK298</f>
        <v>1.0917279789930179E-2</v>
      </c>
      <c r="AN298" s="62">
        <f ca="1"/>
        <v>3.0816227184948808E-2</v>
      </c>
      <c r="AO298" s="62">
        <f ca="1"/>
        <v>0.96621216867275928</v>
      </c>
      <c r="AP298" s="62">
        <f ca="1"/>
        <v>-1.6890760286198903E-2</v>
      </c>
      <c r="AQ298" s="66" t="str">
        <f t="array" ref="AQ298">IF($AB298, Push(MMULT(Fetch(AG298),MMULT(TRANSPOSE($I$38:$L$41),Fetch(AL298)))), "")</f>
        <v/>
      </c>
      <c r="AR298" s="62">
        <f t="array" aca="1" ref="AR298:AU298" ca="1">AC298:AF298 + TRANSPOSE(MMULT(IF($AB298,Fetch(AQ298),$L$61:$O$64),TRANSPOSE(AM298:AP298)))</f>
        <v>0.81136471784165298</v>
      </c>
      <c r="AS298" s="62">
        <f ca="1"/>
        <v>0.34069840401166618</v>
      </c>
      <c r="AT298" s="62">
        <f ca="1"/>
        <v>0.22728897480287213</v>
      </c>
      <c r="AU298" s="62">
        <f ca="1"/>
        <v>0.54289009264302135</v>
      </c>
      <c r="AV298" s="66" t="str">
        <f t="array" ref="AV298">IF($AB298, Push(Fetch(AG298) - MMULT(Fetch(AQ298),MMULT($I$38:$L$41,Fetch(AG298)))), "")</f>
        <v/>
      </c>
      <c r="AW298" s="97">
        <f t="array" aca="1" ref="AW298" ca="1">IF($AB298,LN(MDETERM(Fetch(AL298))),$J$65)   -   MMULT(AM298:AP298,MMULT(IF($AB298,Fetch(AL298),$G$61:$J$64),TRANSPOSE(AM298:AP298)))</f>
        <v>2.0822293875614015</v>
      </c>
    </row>
    <row r="299" spans="23:49" x14ac:dyDescent="0.15">
      <c r="W299" s="12">
        <f t="shared" si="8"/>
        <v>296</v>
      </c>
      <c r="X299" s="62">
        <f t="array" aca="1" ref="X299:AA299" ca="1">simulate!AE299:AH299</f>
        <v>1.1074012863796612</v>
      </c>
      <c r="Y299" s="62">
        <f ca="1"/>
        <v>0.49360259458197886</v>
      </c>
      <c r="Z299" s="62">
        <f ca="1"/>
        <v>0.37548812132821585</v>
      </c>
      <c r="AA299" s="62">
        <f ca="1"/>
        <v>-8.075200477519523E-2</v>
      </c>
      <c r="AB299" s="98">
        <f t="shared" si="9"/>
        <v>0</v>
      </c>
      <c r="AC299" s="62">
        <f t="array" aca="1" ref="AC299:AF299" ca="1">TRANSPOSE($G$44:$G$47 + MMULT($I$44:$L$47,TRANSPOSE(AR298:AU298)))</f>
        <v>0.80489260271497542</v>
      </c>
      <c r="AD299" s="62">
        <f ca="1"/>
        <v>0.43987720066379188</v>
      </c>
      <c r="AE299" s="62">
        <f ca="1"/>
        <v>0.41839365076854274</v>
      </c>
      <c r="AF299" s="62">
        <f ca="1"/>
        <v>0.59007599770955821</v>
      </c>
      <c r="AG299" s="66" t="str">
        <f t="array" ref="AG299">IF($AB299, Push(MMULT($I$44:$L$47,MMULT(Fetch(AV298),TRANSPOSE($I$44:$L$47))) + $N$44:$Q$47), "")</f>
        <v/>
      </c>
      <c r="AH299" s="62">
        <f t="array" aca="1" ref="AH299:AK299" ca="1">TRANSPOSE($G$38:$G$41 + MMULT($I$38:$L$41,TRANSPOSE(AC299:AF299)))</f>
        <v>0.91399589483998156</v>
      </c>
      <c r="AI299" s="62">
        <f ca="1"/>
        <v>0.72829176839333976</v>
      </c>
      <c r="AJ299" s="62">
        <f ca="1"/>
        <v>0.72923125818314172</v>
      </c>
      <c r="AK299" s="62">
        <f ca="1"/>
        <v>0.4487284276998697</v>
      </c>
      <c r="AL299" s="66" t="str">
        <f t="array" ref="AL299">IF($AB299, Push(MINVERSE(MMULT($I$38:$L$41,MMULT(Fetch(AG299),TRANSPOSE($I$38:$L$41))) + $N$38:$Q$41)), "")</f>
        <v/>
      </c>
      <c r="AM299" s="62">
        <f t="array" aca="1" ref="AM299:AP299" ca="1">X299:AA299 - AH299:AK299</f>
        <v>0.19340539153967962</v>
      </c>
      <c r="AN299" s="62">
        <f ca="1"/>
        <v>-0.2346891738113609</v>
      </c>
      <c r="AO299" s="62">
        <f ca="1"/>
        <v>-0.35374313685492587</v>
      </c>
      <c r="AP299" s="62">
        <f ca="1"/>
        <v>-0.52948043247506493</v>
      </c>
      <c r="AQ299" s="66" t="str">
        <f t="array" ref="AQ299">IF($AB299, Push(MMULT(Fetch(AG299),MMULT(TRANSPOSE($I$38:$L$41),Fetch(AL299)))), "")</f>
        <v/>
      </c>
      <c r="AR299" s="62">
        <f t="array" aca="1" ref="AR299:AU299" ca="1">AC299:AF299 + TRANSPOSE(MMULT(IF($AB299,Fetch(AQ299),$L$61:$O$64),TRANSPOSE(AM299:AP299)))</f>
        <v>0.88622520252578463</v>
      </c>
      <c r="AS299" s="62">
        <f ca="1"/>
        <v>0.24134075422506968</v>
      </c>
      <c r="AT299" s="62">
        <f ca="1"/>
        <v>0.10964872849790092</v>
      </c>
      <c r="AU299" s="62">
        <f ca="1"/>
        <v>0.26017685661504841</v>
      </c>
      <c r="AV299" s="66" t="str">
        <f t="array" ref="AV299">IF($AB299, Push(Fetch(AG299) - MMULT(Fetch(AQ299),MMULT($I$38:$L$41,Fetch(AG299)))), "")</f>
        <v/>
      </c>
      <c r="AW299" s="97">
        <f t="array" aca="1" ref="AW299" ca="1">IF($AB299,LN(MDETERM(Fetch(AL299))),$J$65)   -   MMULT(AM299:AP299,MMULT(IF($AB299,Fetch(AL299),$G$61:$J$64),TRANSPOSE(AM299:AP299)))</f>
        <v>0.40108996969560096</v>
      </c>
    </row>
    <row r="300" spans="23:49" x14ac:dyDescent="0.15">
      <c r="W300" s="12">
        <f t="shared" si="8"/>
        <v>297</v>
      </c>
      <c r="X300" s="62">
        <f t="array" aca="1" ref="X300:AA300" ca="1">simulate!AE300:AH300</f>
        <v>1.4248813554009043</v>
      </c>
      <c r="Y300" s="62">
        <f ca="1"/>
        <v>1.315638659521726</v>
      </c>
      <c r="Z300" s="62">
        <f ca="1"/>
        <v>-0.30253316017464821</v>
      </c>
      <c r="AA300" s="62">
        <f ca="1"/>
        <v>0.44851628760073087</v>
      </c>
      <c r="AB300" s="98">
        <f t="shared" si="9"/>
        <v>0</v>
      </c>
      <c r="AC300" s="62">
        <f t="array" aca="1" ref="AC300:AF300" ca="1">TRANSPOSE($G$44:$G$47 + MMULT($I$44:$L$47,TRANSPOSE(AR299:AU299)))</f>
        <v>0.80865877883598958</v>
      </c>
      <c r="AD300" s="62">
        <f ca="1"/>
        <v>0.36083668342185254</v>
      </c>
      <c r="AE300" s="62">
        <f ca="1"/>
        <v>0.3022172135472127</v>
      </c>
      <c r="AF300" s="62">
        <f ca="1"/>
        <v>0.41481451196835628</v>
      </c>
      <c r="AG300" s="66" t="str">
        <f t="array" ref="AG300">IF($AB300, Push(MMULT($I$44:$L$47,MMULT(Fetch(AV299),TRANSPOSE($I$44:$L$47))) + $N$44:$Q$47), "")</f>
        <v/>
      </c>
      <c r="AH300" s="62">
        <f t="array" aca="1" ref="AH300:AK300" ca="1">TRANSPOSE($G$38:$G$41 + MMULT($I$38:$L$41,TRANSPOSE(AC300:AF300)))</f>
        <v>0.89684810519822644</v>
      </c>
      <c r="AI300" s="62">
        <f ca="1"/>
        <v>0.65605859814122058</v>
      </c>
      <c r="AJ300" s="62">
        <f ca="1"/>
        <v>0.62513422726728152</v>
      </c>
      <c r="AK300" s="62">
        <f ca="1"/>
        <v>0.26399274901722902</v>
      </c>
      <c r="AL300" s="66" t="str">
        <f t="array" ref="AL300">IF($AB300, Push(MINVERSE(MMULT($I$38:$L$41,MMULT(Fetch(AG300),TRANSPOSE($I$38:$L$41))) + $N$38:$Q$41)), "")</f>
        <v/>
      </c>
      <c r="AM300" s="62">
        <f t="array" aca="1" ref="AM300:AP300" ca="1">X300:AA300 - AH300:AK300</f>
        <v>0.52803325020267788</v>
      </c>
      <c r="AN300" s="62">
        <f ca="1"/>
        <v>0.6595800613805054</v>
      </c>
      <c r="AO300" s="62">
        <f ca="1"/>
        <v>-0.92766738744192967</v>
      </c>
      <c r="AP300" s="62">
        <f ca="1"/>
        <v>0.18452353858350184</v>
      </c>
      <c r="AQ300" s="66" t="str">
        <f t="array" ref="AQ300">IF($AB300, Push(MMULT(Fetch(AG300),MMULT(TRANSPOSE($I$38:$L$41),Fetch(AL300)))), "")</f>
        <v/>
      </c>
      <c r="AR300" s="62">
        <f t="array" aca="1" ref="AR300:AU300" ca="1">AC300:AF300 + TRANSPOSE(MMULT(IF($AB300,Fetch(AQ300),$L$61:$O$64),TRANSPOSE(AM300:AP300)))</f>
        <v>0.87831844302681827</v>
      </c>
      <c r="AS300" s="62">
        <f ca="1"/>
        <v>0.87612091967978079</v>
      </c>
      <c r="AT300" s="62">
        <f ca="1"/>
        <v>0.37568180576306565</v>
      </c>
      <c r="AU300" s="62">
        <f ca="1"/>
        <v>0.10781910835772474</v>
      </c>
      <c r="AV300" s="66" t="str">
        <f t="array" ref="AV300">IF($AB300, Push(Fetch(AG300) - MMULT(Fetch(AQ300),MMULT($I$38:$L$41,Fetch(AG300)))), "")</f>
        <v/>
      </c>
      <c r="AW300" s="97">
        <f t="array" aca="1" ref="AW300" ca="1">IF($AB300,LN(MDETERM(Fetch(AL300))),$J$65)   -   MMULT(AM300:AP300,MMULT(IF($AB300,Fetch(AL300),$G$61:$J$64),TRANSPOSE(AM300:AP300)))</f>
        <v>1.3633475951705805</v>
      </c>
    </row>
    <row r="301" spans="23:49" x14ac:dyDescent="0.15">
      <c r="W301" s="12">
        <f t="shared" si="8"/>
        <v>298</v>
      </c>
      <c r="X301" s="62">
        <f t="array" aca="1" ref="X301:AA301" ca="1">simulate!AE301:AH301</f>
        <v>1.194841492724289</v>
      </c>
      <c r="Y301" s="62">
        <f ca="1"/>
        <v>0.36468129879926847</v>
      </c>
      <c r="Z301" s="62">
        <f ca="1"/>
        <v>0.59261376020913148</v>
      </c>
      <c r="AA301" s="62">
        <f ca="1"/>
        <v>0.50622191038451714</v>
      </c>
      <c r="AB301" s="98">
        <f t="shared" si="9"/>
        <v>0</v>
      </c>
      <c r="AC301" s="62">
        <f t="array" aca="1" ref="AC301:AF301" ca="1">TRANSPOSE($G$44:$G$47 + MMULT($I$44:$L$47,TRANSPOSE(AR300:AU300)))</f>
        <v>0.90994599072645133</v>
      </c>
      <c r="AD301" s="62">
        <f ca="1"/>
        <v>0.73090685985079373</v>
      </c>
      <c r="AE301" s="62">
        <f ca="1"/>
        <v>0.52584722533157047</v>
      </c>
      <c r="AF301" s="62">
        <f ca="1"/>
        <v>0.42052899235846852</v>
      </c>
      <c r="AG301" s="66" t="str">
        <f t="array" ref="AG301">IF($AB301, Push(MMULT($I$44:$L$47,MMULT(Fetch(AV300),TRANSPOSE($I$44:$L$47))) + $N$44:$Q$47), "")</f>
        <v/>
      </c>
      <c r="AH301" s="62">
        <f t="array" aca="1" ref="AH301:AK301" ca="1">TRANSPOSE($G$38:$G$41 + MMULT($I$38:$L$41,TRANSPOSE(AC301:AF301)))</f>
        <v>1.090271543543581</v>
      </c>
      <c r="AI301" s="62">
        <f ca="1"/>
        <v>0.95995248122673371</v>
      </c>
      <c r="AJ301" s="62">
        <f ca="1"/>
        <v>0.50769366224730827</v>
      </c>
      <c r="AK301" s="62">
        <f ca="1"/>
        <v>0.49572032018895645</v>
      </c>
      <c r="AL301" s="66" t="str">
        <f t="array" ref="AL301">IF($AB301, Push(MINVERSE(MMULT($I$38:$L$41,MMULT(Fetch(AG301),TRANSPOSE($I$38:$L$41))) + $N$38:$Q$41)), "")</f>
        <v/>
      </c>
      <c r="AM301" s="62">
        <f t="array" aca="1" ref="AM301:AP301" ca="1">X301:AA301 - AH301:AK301</f>
        <v>0.10456994918070794</v>
      </c>
      <c r="AN301" s="62">
        <f ca="1"/>
        <v>-0.59527118242746524</v>
      </c>
      <c r="AO301" s="62">
        <f ca="1"/>
        <v>8.4920097961823204E-2</v>
      </c>
      <c r="AP301" s="62">
        <f ca="1"/>
        <v>1.0501590195560684E-2</v>
      </c>
      <c r="AQ301" s="66" t="str">
        <f t="array" ref="AQ301">IF($AB301, Push(MMULT(Fetch(AG301),MMULT(TRANSPOSE($I$38:$L$41),Fetch(AL301)))), "")</f>
        <v/>
      </c>
      <c r="AR301" s="62">
        <f t="array" aca="1" ref="AR301:AU301" ca="1">AC301:AF301 + TRANSPOSE(MMULT(IF($AB301,Fetch(AQ301),$L$61:$O$64),TRANSPOSE(AM301:AP301)))</f>
        <v>0.8831926690736086</v>
      </c>
      <c r="AS301" s="62">
        <f ca="1"/>
        <v>0.3573848043618682</v>
      </c>
      <c r="AT301" s="62">
        <f ca="1"/>
        <v>0.66001325483453077</v>
      </c>
      <c r="AU301" s="62">
        <f ca="1"/>
        <v>0.45500914336961601</v>
      </c>
      <c r="AV301" s="66" t="str">
        <f t="array" ref="AV301">IF($AB301, Push(Fetch(AG301) - MMULT(Fetch(AQ301),MMULT($I$38:$L$41,Fetch(AG301)))), "")</f>
        <v/>
      </c>
      <c r="AW301" s="97">
        <f t="array" aca="1" ref="AW301" ca="1">IF($AB301,LN(MDETERM(Fetch(AL301))),$J$65)   -   MMULT(AM301:AP301,MMULT(IF($AB301,Fetch(AL301),$G$61:$J$64),TRANSPOSE(AM301:AP301)))</f>
        <v>4.859411144643305</v>
      </c>
    </row>
    <row r="302" spans="23:49" x14ac:dyDescent="0.15">
      <c r="W302" s="12">
        <f t="shared" si="8"/>
        <v>299</v>
      </c>
      <c r="X302" s="62">
        <f t="array" aca="1" ref="X302:AA302" ca="1">simulate!AE302:AH302</f>
        <v>0.52771433326154737</v>
      </c>
      <c r="Y302" s="62">
        <f ca="1"/>
        <v>0.73501689561523587</v>
      </c>
      <c r="Z302" s="62">
        <f ca="1"/>
        <v>0.86048793263588497</v>
      </c>
      <c r="AA302" s="62">
        <f ca="1"/>
        <v>0.6259413057025438</v>
      </c>
      <c r="AB302" s="98">
        <f t="shared" si="9"/>
        <v>0</v>
      </c>
      <c r="AC302" s="62">
        <f t="array" aca="1" ref="AC302:AF302" ca="1">TRANSPOSE($G$44:$G$47 + MMULT($I$44:$L$47,TRANSPOSE(AR301:AU301)))</f>
        <v>0.87273422740209772</v>
      </c>
      <c r="AD302" s="62">
        <f ca="1"/>
        <v>0.51833477561573849</v>
      </c>
      <c r="AE302" s="62">
        <f ca="1"/>
        <v>0.64691367154207002</v>
      </c>
      <c r="AF302" s="62">
        <f ca="1"/>
        <v>0.61751022891376173</v>
      </c>
      <c r="AG302" s="66" t="str">
        <f t="array" ref="AG302">IF($AB302, Push(MMULT($I$44:$L$47,MMULT(Fetch(AV301),TRANSPOSE($I$44:$L$47))) + $N$44:$Q$47), "")</f>
        <v/>
      </c>
      <c r="AH302" s="62">
        <f t="array" aca="1" ref="AH302:AK302" ca="1">TRANSPOSE($G$38:$G$41 + MMULT($I$38:$L$41,TRANSPOSE(AC302:AF302)))</f>
        <v>1.095899923912359</v>
      </c>
      <c r="AI302" s="62">
        <f ca="1"/>
        <v>0.7687452134274787</v>
      </c>
      <c r="AJ302" s="62">
        <f ca="1"/>
        <v>0.72731365017545868</v>
      </c>
      <c r="AK302" s="62">
        <f ca="1"/>
        <v>0.61903074657797985</v>
      </c>
      <c r="AL302" s="66" t="str">
        <f t="array" ref="AL302">IF($AB302, Push(MINVERSE(MMULT($I$38:$L$41,MMULT(Fetch(AG302),TRANSPOSE($I$38:$L$41))) + $N$38:$Q$41)), "")</f>
        <v/>
      </c>
      <c r="AM302" s="62">
        <f t="array" aca="1" ref="AM302:AP302" ca="1">X302:AA302 - AH302:AK302</f>
        <v>-0.56818559065081164</v>
      </c>
      <c r="AN302" s="62">
        <f ca="1"/>
        <v>-3.3728317812242836E-2</v>
      </c>
      <c r="AO302" s="62">
        <f ca="1"/>
        <v>0.13317428246042629</v>
      </c>
      <c r="AP302" s="62">
        <f ca="1"/>
        <v>6.910559124563953E-3</v>
      </c>
      <c r="AQ302" s="66" t="str">
        <f t="array" ref="AQ302">IF($AB302, Push(MMULT(Fetch(AG302),MMULT(TRANSPOSE($I$38:$L$41),Fetch(AL302)))), "")</f>
        <v/>
      </c>
      <c r="AR302" s="62">
        <f t="array" aca="1" ref="AR302:AU302" ca="1">AC302:AF302 + TRANSPOSE(MMULT(IF($AB302,Fetch(AQ302),$L$61:$O$64),TRANSPOSE(AM302:AP302)))</f>
        <v>0.64064980792238324</v>
      </c>
      <c r="AS302" s="62">
        <f ca="1"/>
        <v>0.57164952242866163</v>
      </c>
      <c r="AT302" s="62">
        <f ca="1"/>
        <v>0.47202784670136516</v>
      </c>
      <c r="AU302" s="62">
        <f ca="1"/>
        <v>0.67187294978937739</v>
      </c>
      <c r="AV302" s="66" t="str">
        <f t="array" ref="AV302">IF($AB302, Push(Fetch(AG302) - MMULT(Fetch(AQ302),MMULT($I$38:$L$41,Fetch(AG302)))), "")</f>
        <v/>
      </c>
      <c r="AW302" s="97">
        <f t="array" aca="1" ref="AW302" ca="1">IF($AB302,LN(MDETERM(Fetch(AL302))),$J$65)   -   MMULT(AM302:AP302,MMULT(IF($AB302,Fetch(AL302),$G$61:$J$64),TRANSPOSE(AM302:AP302)))</f>
        <v>4.6665615435381529</v>
      </c>
    </row>
    <row r="303" spans="23:49" x14ac:dyDescent="0.15">
      <c r="W303" s="12">
        <f t="shared" si="8"/>
        <v>300</v>
      </c>
      <c r="X303" s="62">
        <f t="array" aca="1" ref="X303:AA303" ca="1">simulate!AE303:AH303</f>
        <v>1.7754240079302734</v>
      </c>
      <c r="Y303" s="62">
        <f ca="1"/>
        <v>1.3414788228162218</v>
      </c>
      <c r="Z303" s="62">
        <f ca="1"/>
        <v>-0.7546079637535994</v>
      </c>
      <c r="AA303" s="62">
        <f ca="1"/>
        <v>1.3478417426785541</v>
      </c>
      <c r="AB303" s="98">
        <f t="shared" si="9"/>
        <v>0</v>
      </c>
      <c r="AC303" s="62">
        <f t="array" aca="1" ref="AC303:AF303" ca="1">TRANSPOSE($G$44:$G$47 + MMULT($I$44:$L$47,TRANSPOSE(AR302:AU302)))</f>
        <v>0.77049228684432647</v>
      </c>
      <c r="AD303" s="62">
        <f ca="1"/>
        <v>0.58229152392982486</v>
      </c>
      <c r="AE303" s="62">
        <f ca="1"/>
        <v>0.59500430504087554</v>
      </c>
      <c r="AF303" s="62">
        <f ca="1"/>
        <v>0.70770824110635844</v>
      </c>
      <c r="AG303" s="66" t="str">
        <f t="array" ref="AG303">IF($AB303, Push(MMULT($I$44:$L$47,MMULT(Fetch(AV302),TRANSPOSE($I$44:$L$47))) + $N$44:$Q$47), "")</f>
        <v/>
      </c>
      <c r="AH303" s="62">
        <f t="array" aca="1" ref="AH303:AK303" ca="1">TRANSPOSE($G$38:$G$41 + MMULT($I$38:$L$41,TRANSPOSE(AC303:AF303)))</f>
        <v>0.96069270834527498</v>
      </c>
      <c r="AI303" s="62">
        <f ca="1"/>
        <v>0.81763885328518815</v>
      </c>
      <c r="AJ303" s="62">
        <f ca="1"/>
        <v>0.74365766688305346</v>
      </c>
      <c r="AK303" s="62">
        <f ca="1"/>
        <v>0.68562982882318768</v>
      </c>
      <c r="AL303" s="66" t="str">
        <f t="array" ref="AL303">IF($AB303, Push(MINVERSE(MMULT($I$38:$L$41,MMULT(Fetch(AG303),TRANSPOSE($I$38:$L$41))) + $N$38:$Q$41)), "")</f>
        <v/>
      </c>
      <c r="AM303" s="62">
        <f t="array" aca="1" ref="AM303:AP303" ca="1">X303:AA303 - AH303:AK303</f>
        <v>0.81473129958499846</v>
      </c>
      <c r="AN303" s="62">
        <f ca="1"/>
        <v>0.52383996953103362</v>
      </c>
      <c r="AO303" s="62">
        <f ca="1"/>
        <v>-1.4982656306366529</v>
      </c>
      <c r="AP303" s="62">
        <f ca="1"/>
        <v>0.66221191385536637</v>
      </c>
      <c r="AQ303" s="66" t="str">
        <f t="array" ref="AQ303">IF($AB303, Push(MMULT(Fetch(AG303),MMULT(TRANSPOSE($I$38:$L$41),Fetch(AL303)))), "")</f>
        <v/>
      </c>
      <c r="AR303" s="62">
        <f t="array" aca="1" ref="AR303:AU303" ca="1">AC303:AF303 + TRANSPOSE(MMULT(IF($AB303,Fetch(AQ303),$L$61:$O$64),TRANSPOSE(AM303:AP303)))</f>
        <v>0.69907907392230084</v>
      </c>
      <c r="AS303" s="62">
        <f ca="1"/>
        <v>1.1846027137653512</v>
      </c>
      <c r="AT303" s="62">
        <f ca="1"/>
        <v>1.0079113033041991</v>
      </c>
      <c r="AU303" s="62">
        <f ca="1"/>
        <v>0.3350924104357661</v>
      </c>
      <c r="AV303" s="66" t="str">
        <f t="array" ref="AV303">IF($AB303, Push(Fetch(AG303) - MMULT(Fetch(AQ303),MMULT($I$38:$L$41,Fetch(AG303)))), "")</f>
        <v/>
      </c>
      <c r="AW303" s="97">
        <f t="array" aca="1" ref="AW303" ca="1">IF($AB303,LN(MDETERM(Fetch(AL303))),$J$65)   -   MMULT(AM303:AP303,MMULT(IF($AB303,Fetch(AL303),$G$61:$J$64),TRANSPOSE(AM303:AP303)))</f>
        <v>-9.046803844022838</v>
      </c>
    </row>
    <row r="304" spans="23:49" x14ac:dyDescent="0.15">
      <c r="W304" s="12">
        <f t="shared" si="8"/>
        <v>301</v>
      </c>
      <c r="X304" s="62">
        <f t="array" aca="1" ref="X304:AA304" ca="1">simulate!AE304:AH304</f>
        <v>-0.17462736750974017</v>
      </c>
      <c r="Y304" s="62">
        <f ca="1"/>
        <v>1.0265724199773349</v>
      </c>
      <c r="Z304" s="62">
        <f ca="1"/>
        <v>0.27779414766794208</v>
      </c>
      <c r="AA304" s="62">
        <f ca="1"/>
        <v>0.76687646801142795</v>
      </c>
      <c r="AB304" s="98">
        <f t="shared" si="9"/>
        <v>0</v>
      </c>
      <c r="AC304" s="62">
        <f t="array" aca="1" ref="AC304:AF304" ca="1">TRANSPOSE($G$44:$G$47 + MMULT($I$44:$L$47,TRANSPOSE(AR303:AU303)))</f>
        <v>0.91472209492461221</v>
      </c>
      <c r="AD304" s="62">
        <f ca="1"/>
        <v>0.97815139859656586</v>
      </c>
      <c r="AE304" s="62">
        <f ca="1"/>
        <v>0.93825895740803678</v>
      </c>
      <c r="AF304" s="62">
        <f ca="1"/>
        <v>0.65926754659122921</v>
      </c>
      <c r="AG304" s="66" t="str">
        <f t="array" ref="AG304">IF($AB304, Push(MMULT($I$44:$L$47,MMULT(Fetch(AV303),TRANSPOSE($I$44:$L$47))) + $N$44:$Q$47), "")</f>
        <v/>
      </c>
      <c r="AH304" s="62">
        <f t="array" aca="1" ref="AH304:AK304" ca="1">TRANSPOSE($G$38:$G$41 + MMULT($I$38:$L$41,TRANSPOSE(AC304:AF304)))</f>
        <v>1.2749527644593519</v>
      </c>
      <c r="AI304" s="62">
        <f ca="1"/>
        <v>1.1186766881051511</v>
      </c>
      <c r="AJ304" s="62">
        <f ca="1"/>
        <v>0.57666308938796074</v>
      </c>
      <c r="AK304" s="62">
        <f ca="1"/>
        <v>0.96919143657742879</v>
      </c>
      <c r="AL304" s="66" t="str">
        <f t="array" ref="AL304">IF($AB304, Push(MINVERSE(MMULT($I$38:$L$41,MMULT(Fetch(AG304),TRANSPOSE($I$38:$L$41))) + $N$38:$Q$41)), "")</f>
        <v/>
      </c>
      <c r="AM304" s="62">
        <f t="array" aca="1" ref="AM304:AP304" ca="1">X304:AA304 - AH304:AK304</f>
        <v>-1.4495801319690922</v>
      </c>
      <c r="AN304" s="62">
        <f ca="1"/>
        <v>-9.2104268127816136E-2</v>
      </c>
      <c r="AO304" s="62">
        <f ca="1"/>
        <v>-0.29886894172001865</v>
      </c>
      <c r="AP304" s="62">
        <f ca="1"/>
        <v>-0.20231496856600084</v>
      </c>
      <c r="AQ304" s="66" t="str">
        <f t="array" ref="AQ304">IF($AB304, Push(MMULT(Fetch(AG304),MMULT(TRANSPOSE($I$38:$L$41),Fetch(AL304)))), "")</f>
        <v/>
      </c>
      <c r="AR304" s="62">
        <f t="array" aca="1" ref="AR304:AU304" ca="1">AC304:AF304 + TRANSPOSE(MMULT(IF($AB304,Fetch(AQ304),$L$61:$O$64),TRANSPOSE(AM304:AP304)))</f>
        <v>0.21083038691000988</v>
      </c>
      <c r="AS304" s="62">
        <f ca="1"/>
        <v>1.2009666897655904</v>
      </c>
      <c r="AT304" s="62">
        <f ca="1"/>
        <v>0.240157069846612</v>
      </c>
      <c r="AU304" s="62">
        <f ca="1"/>
        <v>0.46094380337769769</v>
      </c>
      <c r="AV304" s="66" t="str">
        <f t="array" ref="AV304">IF($AB304, Push(Fetch(AG304) - MMULT(Fetch(AQ304),MMULT($I$38:$L$41,Fetch(AG304)))), "")</f>
        <v/>
      </c>
      <c r="AW304" s="97">
        <f t="array" aca="1" ref="AW304" ca="1">IF($AB304,LN(MDETERM(Fetch(AL304))),$J$65)   -   MMULT(AM304:AP304,MMULT(IF($AB304,Fetch(AL304),$G$61:$J$64),TRANSPOSE(AM304:AP304)))</f>
        <v>-5.3702293947339488</v>
      </c>
    </row>
    <row r="305" spans="23:49" x14ac:dyDescent="0.15">
      <c r="W305" s="12">
        <f t="shared" si="8"/>
        <v>302</v>
      </c>
      <c r="X305" s="62">
        <f t="array" aca="1" ref="X305:AA305" ca="1">simulate!AE305:AH305</f>
        <v>0.87670529344465975</v>
      </c>
      <c r="Y305" s="62">
        <f ca="1"/>
        <v>0.61841889512687298</v>
      </c>
      <c r="Z305" s="62">
        <f ca="1"/>
        <v>0.75122217533852842</v>
      </c>
      <c r="AA305" s="62">
        <f ca="1"/>
        <v>1.4217136721913224</v>
      </c>
      <c r="AB305" s="98">
        <f t="shared" si="9"/>
        <v>0</v>
      </c>
      <c r="AC305" s="62">
        <f t="array" aca="1" ref="AC305:AF305" ca="1">TRANSPOSE($G$44:$G$47 + MMULT($I$44:$L$47,TRANSPOSE(AR304:AU304)))</f>
        <v>0.60484935046541277</v>
      </c>
      <c r="AD305" s="62">
        <f ca="1"/>
        <v>0.8030549409896891</v>
      </c>
      <c r="AE305" s="62">
        <f ca="1"/>
        <v>0.51014071213165901</v>
      </c>
      <c r="AF305" s="62">
        <f ca="1"/>
        <v>0.58028612742532304</v>
      </c>
      <c r="AG305" s="66" t="str">
        <f t="array" ref="AG305">IF($AB305, Push(MMULT($I$44:$L$47,MMULT(Fetch(AV304),TRANSPOSE($I$44:$L$47))) + $N$44:$Q$47), "")</f>
        <v/>
      </c>
      <c r="AH305" s="62">
        <f t="array" aca="1" ref="AH305:AK305" ca="1">TRANSPOSE($G$38:$G$41 + MMULT($I$38:$L$41,TRANSPOSE(AC305:AF305)))</f>
        <v>0.81274781938442842</v>
      </c>
      <c r="AI305" s="62">
        <f ca="1"/>
        <v>0.94535332269955608</v>
      </c>
      <c r="AJ305" s="62">
        <f ca="1"/>
        <v>0.49723202385734955</v>
      </c>
      <c r="AK305" s="62">
        <f ca="1"/>
        <v>0.71185995906530253</v>
      </c>
      <c r="AL305" s="66" t="str">
        <f t="array" ref="AL305">IF($AB305, Push(MINVERSE(MMULT($I$38:$L$41,MMULT(Fetch(AG305),TRANSPOSE($I$38:$L$41))) + $N$38:$Q$41)), "")</f>
        <v/>
      </c>
      <c r="AM305" s="62">
        <f t="array" aca="1" ref="AM305:AP305" ca="1">X305:AA305 - AH305:AK305</f>
        <v>6.3957474060231334E-2</v>
      </c>
      <c r="AN305" s="62">
        <f ca="1"/>
        <v>-0.3269344275726831</v>
      </c>
      <c r="AO305" s="62">
        <f ca="1"/>
        <v>0.25399015148117887</v>
      </c>
      <c r="AP305" s="62">
        <f ca="1"/>
        <v>0.70985371312601986</v>
      </c>
      <c r="AQ305" s="66" t="str">
        <f t="array" ref="AQ305">IF($AB305, Push(MMULT(Fetch(AG305),MMULT(TRANSPOSE($I$38:$L$41),Fetch(AL305)))), "")</f>
        <v/>
      </c>
      <c r="AR305" s="62">
        <f t="array" aca="1" ref="AR305:AU305" ca="1">AC305:AF305 + TRANSPOSE(MMULT(IF($AB305,Fetch(AQ305),$L$61:$O$64),TRANSPOSE(AM305:AP305)))</f>
        <v>0.48715411984697748</v>
      </c>
      <c r="AS305" s="62">
        <f ca="1"/>
        <v>0.69305375208146014</v>
      </c>
      <c r="AT305" s="62">
        <f ca="1"/>
        <v>1.084970902571635</v>
      </c>
      <c r="AU305" s="62">
        <f ca="1"/>
        <v>0.92951942082660599</v>
      </c>
      <c r="AV305" s="66" t="str">
        <f t="array" ref="AV305">IF($AB305, Push(Fetch(AG305) - MMULT(Fetch(AQ305),MMULT($I$38:$L$41,Fetch(AG305)))), "")</f>
        <v/>
      </c>
      <c r="AW305" s="97">
        <f t="array" aca="1" ref="AW305" ca="1">IF($AB305,LN(MDETERM(Fetch(AL305))),$J$65)   -   MMULT(AM305:AP305,MMULT(IF($AB305,Fetch(AL305),$G$61:$J$64),TRANSPOSE(AM305:AP305)))</f>
        <v>2.3550272952388491</v>
      </c>
    </row>
    <row r="306" spans="23:49" x14ac:dyDescent="0.15">
      <c r="W306" s="12">
        <f t="shared" si="8"/>
        <v>303</v>
      </c>
      <c r="X306" s="62">
        <f t="array" aca="1" ref="X306:AA306" ca="1">simulate!AE306:AH306</f>
        <v>1.0725648722472345</v>
      </c>
      <c r="Y306" s="62">
        <f ca="1"/>
        <v>0.67472375198610157</v>
      </c>
      <c r="Z306" s="62">
        <f ca="1"/>
        <v>0.7054298289053198</v>
      </c>
      <c r="AA306" s="62">
        <f ca="1"/>
        <v>0.53254544312916929</v>
      </c>
      <c r="AB306" s="98">
        <f t="shared" si="9"/>
        <v>0</v>
      </c>
      <c r="AC306" s="62">
        <f t="array" aca="1" ref="AC306:AF306" ca="1">TRANSPOSE($G$44:$G$47 + MMULT($I$44:$L$47,TRANSPOSE(AR305:AU305)))</f>
        <v>0.76157278762017322</v>
      </c>
      <c r="AD306" s="62">
        <f ca="1"/>
        <v>0.73198777965216699</v>
      </c>
      <c r="AE306" s="62">
        <f ca="1"/>
        <v>0.97295355452608345</v>
      </c>
      <c r="AF306" s="62">
        <f ca="1"/>
        <v>0.94763950045217005</v>
      </c>
      <c r="AG306" s="66" t="str">
        <f t="array" ref="AG306">IF($AB306, Push(MMULT($I$44:$L$47,MMULT(Fetch(AV305),TRANSPOSE($I$44:$L$47))) + $N$44:$Q$47), "")</f>
        <v/>
      </c>
      <c r="AH306" s="62">
        <f t="array" aca="1" ref="AH306:AK306" ca="1">TRANSPOSE($G$38:$G$41 + MMULT($I$38:$L$41,TRANSPOSE(AC306:AF306)))</f>
        <v>1.1184956737382674</v>
      </c>
      <c r="AI306" s="62">
        <f ca="1"/>
        <v>0.89534243291699722</v>
      </c>
      <c r="AJ306" s="62">
        <f ca="1"/>
        <v>0.84858737175946475</v>
      </c>
      <c r="AK306" s="62">
        <f ca="1"/>
        <v>1.1110135446628124</v>
      </c>
      <c r="AL306" s="66" t="str">
        <f t="array" ref="AL306">IF($AB306, Push(MINVERSE(MMULT($I$38:$L$41,MMULT(Fetch(AG306),TRANSPOSE($I$38:$L$41))) + $N$38:$Q$41)), "")</f>
        <v/>
      </c>
      <c r="AM306" s="62">
        <f t="array" aca="1" ref="AM306:AP306" ca="1">X306:AA306 - AH306:AK306</f>
        <v>-4.5930801491032902E-2</v>
      </c>
      <c r="AN306" s="62">
        <f ca="1"/>
        <v>-0.22061868093089565</v>
      </c>
      <c r="AO306" s="62">
        <f ca="1"/>
        <v>-0.14315754285414495</v>
      </c>
      <c r="AP306" s="62">
        <f ca="1"/>
        <v>-0.57846810153364314</v>
      </c>
      <c r="AQ306" s="66" t="str">
        <f t="array" ref="AQ306">IF($AB306, Push(MMULT(Fetch(AG306),MMULT(TRANSPOSE($I$38:$L$41),Fetch(AL306)))), "")</f>
        <v/>
      </c>
      <c r="AR306" s="62">
        <f t="array" aca="1" ref="AR306:AU306" ca="1">AC306:AF306 + TRANSPOSE(MMULT(IF($AB306,Fetch(AQ306),$L$61:$O$64),TRANSPOSE(AM306:AP306)))</f>
        <v>0.79997298550523555</v>
      </c>
      <c r="AS306" s="62">
        <f ca="1"/>
        <v>0.52934417501946274</v>
      </c>
      <c r="AT306" s="62">
        <f ca="1"/>
        <v>0.5788762653589874</v>
      </c>
      <c r="AU306" s="62">
        <f ca="1"/>
        <v>0.68566207337610108</v>
      </c>
      <c r="AV306" s="66" t="str">
        <f t="array" ref="AV306">IF($AB306, Push(Fetch(AG306) - MMULT(Fetch(AQ306),MMULT($I$38:$L$41,Fetch(AG306)))), "")</f>
        <v/>
      </c>
      <c r="AW306" s="97">
        <f t="array" aca="1" ref="AW306" ca="1">IF($AB306,LN(MDETERM(Fetch(AL306))),$J$65)   -   MMULT(AM306:AP306,MMULT(IF($AB306,Fetch(AL306),$G$61:$J$64),TRANSPOSE(AM306:AP306)))</f>
        <v>2.7424360802546834</v>
      </c>
    </row>
    <row r="307" spans="23:49" x14ac:dyDescent="0.15">
      <c r="W307" s="12">
        <f t="shared" si="8"/>
        <v>304</v>
      </c>
      <c r="X307" s="62">
        <f t="array" aca="1" ref="X307:AA307" ca="1">simulate!AE307:AH307</f>
        <v>1.1892825681245847</v>
      </c>
      <c r="Y307" s="62">
        <f ca="1"/>
        <v>0.22094211331566105</v>
      </c>
      <c r="Z307" s="62">
        <f ca="1"/>
        <v>1.0469390433678778</v>
      </c>
      <c r="AA307" s="62">
        <f ca="1"/>
        <v>0.67717741832864242</v>
      </c>
      <c r="AB307" s="98">
        <f t="shared" si="9"/>
        <v>0</v>
      </c>
      <c r="AC307" s="62">
        <f t="array" aca="1" ref="AC307:AF307" ca="1">TRANSPOSE($G$44:$G$47 + MMULT($I$44:$L$47,TRANSPOSE(AR306:AU306)))</f>
        <v>0.85854639680590705</v>
      </c>
      <c r="AD307" s="62">
        <f ca="1"/>
        <v>0.60210532311886367</v>
      </c>
      <c r="AE307" s="62">
        <f ca="1"/>
        <v>0.65922362960055536</v>
      </c>
      <c r="AF307" s="62">
        <f ca="1"/>
        <v>0.73714819824930733</v>
      </c>
      <c r="AG307" s="66" t="str">
        <f t="array" ref="AG307">IF($AB307, Push(MMULT($I$44:$L$47,MMULT(Fetch(AV306),TRANSPOSE($I$44:$L$47))) + $N$44:$Q$47), "")</f>
        <v/>
      </c>
      <c r="AH307" s="62">
        <f t="array" aca="1" ref="AH307:AK307" ca="1">TRANSPOSE($G$38:$G$41 + MMULT($I$38:$L$41,TRANSPOSE(AC307:AF307)))</f>
        <v>1.0551040471557174</v>
      </c>
      <c r="AI307" s="62">
        <f ca="1"/>
        <v>0.85685491365647704</v>
      </c>
      <c r="AJ307" s="62">
        <f ca="1"/>
        <v>0.78878867178483714</v>
      </c>
      <c r="AK307" s="62">
        <f ca="1"/>
        <v>0.7111001596502573</v>
      </c>
      <c r="AL307" s="66" t="str">
        <f t="array" ref="AL307">IF($AB307, Push(MINVERSE(MMULT($I$38:$L$41,MMULT(Fetch(AG307),TRANSPOSE($I$38:$L$41))) + $N$38:$Q$41)), "")</f>
        <v/>
      </c>
      <c r="AM307" s="62">
        <f t="array" aca="1" ref="AM307:AP307" ca="1">X307:AA307 - AH307:AK307</f>
        <v>0.13417852096886729</v>
      </c>
      <c r="AN307" s="62">
        <f ca="1"/>
        <v>-0.63591280034081599</v>
      </c>
      <c r="AO307" s="62">
        <f ca="1"/>
        <v>0.25815037158304066</v>
      </c>
      <c r="AP307" s="62">
        <f ca="1"/>
        <v>-3.392274132161488E-2</v>
      </c>
      <c r="AQ307" s="66" t="str">
        <f t="array" ref="AQ307">IF($AB307, Push(MMULT(Fetch(AG307),MMULT(TRANSPOSE($I$38:$L$41),Fetch(AL307)))), "")</f>
        <v/>
      </c>
      <c r="AR307" s="62">
        <f t="array" aca="1" ref="AR307:AU307" ca="1">AC307:AF307 + TRANSPOSE(MMULT(IF($AB307,Fetch(AQ307),$L$61:$O$64),TRANSPOSE(AM307:AP307)))</f>
        <v>0.89232164489475774</v>
      </c>
      <c r="AS307" s="62">
        <f ca="1"/>
        <v>0.15509400043792271</v>
      </c>
      <c r="AT307" s="62">
        <f ca="1"/>
        <v>0.80923473540038493</v>
      </c>
      <c r="AU307" s="62">
        <f ca="1"/>
        <v>0.82652155610968314</v>
      </c>
      <c r="AV307" s="66" t="str">
        <f t="array" ref="AV307">IF($AB307, Push(Fetch(AG307) - MMULT(Fetch(AQ307),MMULT($I$38:$L$41,Fetch(AG307)))), "")</f>
        <v/>
      </c>
      <c r="AW307" s="97">
        <f t="array" aca="1" ref="AW307" ca="1">IF($AB307,LN(MDETERM(Fetch(AL307))),$J$65)   -   MMULT(AM307:AP307,MMULT(IF($AB307,Fetch(AL307),$G$61:$J$64),TRANSPOSE(AM307:AP307)))</f>
        <v>4.4137879693680571</v>
      </c>
    </row>
    <row r="308" spans="23:49" x14ac:dyDescent="0.15">
      <c r="W308" s="12">
        <f t="shared" si="8"/>
        <v>305</v>
      </c>
      <c r="X308" s="62">
        <f t="array" aca="1" ref="X308:AA308" ca="1">simulate!AE308:AH308</f>
        <v>0.99969872801538329</v>
      </c>
      <c r="Y308" s="62">
        <f ca="1"/>
        <v>1.3485304879227553</v>
      </c>
      <c r="Z308" s="62">
        <f ca="1"/>
        <v>0.41659253173935046</v>
      </c>
      <c r="AA308" s="62">
        <f ca="1"/>
        <v>1.0526786593863648</v>
      </c>
      <c r="AB308" s="98">
        <f t="shared" si="9"/>
        <v>0</v>
      </c>
      <c r="AC308" s="62">
        <f t="array" aca="1" ref="AC308:AF308" ca="1">TRANSPOSE($G$44:$G$47 + MMULT($I$44:$L$47,TRANSPOSE(AR307:AU307)))</f>
        <v>0.87620268118540601</v>
      </c>
      <c r="AD308" s="62">
        <f ca="1"/>
        <v>0.45909387845157312</v>
      </c>
      <c r="AE308" s="62">
        <f ca="1"/>
        <v>0.75029096356181657</v>
      </c>
      <c r="AF308" s="62">
        <f ca="1"/>
        <v>0.82842115327096821</v>
      </c>
      <c r="AG308" s="66" t="str">
        <f t="array" ref="AG308">IF($AB308, Push(MMULT($I$44:$L$47,MMULT(Fetch(AV307),TRANSPOSE($I$44:$L$47))) + $N$44:$Q$47), "")</f>
        <v/>
      </c>
      <c r="AH308" s="62">
        <f t="array" aca="1" ref="AH308:AK308" ca="1">TRANSPOSE($G$38:$G$41 + MMULT($I$38:$L$41,TRANSPOSE(AC308:AF308)))</f>
        <v>1.1072814617061222</v>
      </c>
      <c r="AI308" s="62">
        <f ca="1"/>
        <v>0.73344612153691158</v>
      </c>
      <c r="AJ308" s="62">
        <f ca="1"/>
        <v>0.91769885699529308</v>
      </c>
      <c r="AK308" s="62">
        <f ca="1"/>
        <v>0.76418481755199363</v>
      </c>
      <c r="AL308" s="66" t="str">
        <f t="array" ref="AL308">IF($AB308, Push(MINVERSE(MMULT($I$38:$L$41,MMULT(Fetch(AG308),TRANSPOSE($I$38:$L$41))) + $N$38:$Q$41)), "")</f>
        <v/>
      </c>
      <c r="AM308" s="62">
        <f t="array" aca="1" ref="AM308:AP308" ca="1">X308:AA308 - AH308:AK308</f>
        <v>-0.1075827336907389</v>
      </c>
      <c r="AN308" s="62">
        <f ca="1"/>
        <v>0.61508436638584374</v>
      </c>
      <c r="AO308" s="62">
        <f ca="1"/>
        <v>-0.50110632525594268</v>
      </c>
      <c r="AP308" s="62">
        <f ca="1"/>
        <v>0.28849384183437121</v>
      </c>
      <c r="AQ308" s="66" t="str">
        <f t="array" ref="AQ308">IF($AB308, Push(MMULT(Fetch(AG308),MMULT(TRANSPOSE($I$38:$L$41),Fetch(AL308)))), "")</f>
        <v/>
      </c>
      <c r="AR308" s="62">
        <f t="array" aca="1" ref="AR308:AU308" ca="1">AC308:AF308 + TRANSPOSE(MMULT(IF($AB308,Fetch(AQ308),$L$61:$O$64),TRANSPOSE(AM308:AP308)))</f>
        <v>0.73320749334488799</v>
      </c>
      <c r="AS308" s="62">
        <f ca="1"/>
        <v>0.99106070703072369</v>
      </c>
      <c r="AT308" s="62">
        <f ca="1"/>
        <v>0.73921975793587891</v>
      </c>
      <c r="AU308" s="62">
        <f ca="1"/>
        <v>0.72888278261208228</v>
      </c>
      <c r="AV308" s="66" t="str">
        <f t="array" ref="AV308">IF($AB308, Push(Fetch(AG308) - MMULT(Fetch(AQ308),MMULT($I$38:$L$41,Fetch(AG308)))), "")</f>
        <v/>
      </c>
      <c r="AW308" s="97">
        <f t="array" aca="1" ref="AW308" ca="1">IF($AB308,LN(MDETERM(Fetch(AL308))),$J$65)   -   MMULT(AM308:AP308,MMULT(IF($AB308,Fetch(AL308),$G$61:$J$64),TRANSPOSE(AM308:AP308)))</f>
        <v>2.609898860089876</v>
      </c>
    </row>
    <row r="309" spans="23:49" x14ac:dyDescent="0.15">
      <c r="W309" s="12">
        <f t="shared" si="8"/>
        <v>306</v>
      </c>
      <c r="X309" s="62">
        <f t="array" aca="1" ref="X309:AA309" ca="1">simulate!AE309:AH309</f>
        <v>1.6031885734970583</v>
      </c>
      <c r="Y309" s="62">
        <f ca="1"/>
        <v>1.3246697436725969</v>
      </c>
      <c r="Z309" s="62">
        <f ca="1"/>
        <v>6.047771632596266E-2</v>
      </c>
      <c r="AA309" s="62">
        <f ca="1"/>
        <v>1.1439909842484297</v>
      </c>
      <c r="AB309" s="98">
        <f t="shared" si="9"/>
        <v>0</v>
      </c>
      <c r="AC309" s="62">
        <f t="array" aca="1" ref="AC309:AF309" ca="1">TRANSPOSE($G$44:$G$47 + MMULT($I$44:$L$47,TRANSPOSE(AR308:AU308)))</f>
        <v>0.90430886765654939</v>
      </c>
      <c r="AD309" s="62">
        <f ca="1"/>
        <v>0.86743277467837543</v>
      </c>
      <c r="AE309" s="62">
        <f ca="1"/>
        <v>0.82242892450584981</v>
      </c>
      <c r="AF309" s="62">
        <f ca="1"/>
        <v>0.81618214260118771</v>
      </c>
      <c r="AG309" s="66" t="str">
        <f t="array" ref="AG309">IF($AB309, Push(MMULT($I$44:$L$47,MMULT(Fetch(AV308),TRANSPOSE($I$44:$L$47))) + $N$44:$Q$47), "")</f>
        <v/>
      </c>
      <c r="AH309" s="62">
        <f t="array" aca="1" ref="AH309:AK309" ca="1">TRANSPOSE($G$38:$G$41 + MMULT($I$38:$L$41,TRANSPOSE(AC309:AF309)))</f>
        <v>1.1550792867937454</v>
      </c>
      <c r="AI309" s="62">
        <f ca="1"/>
        <v>1.0787949733183144</v>
      </c>
      <c r="AJ309" s="62">
        <f ca="1"/>
        <v>0.75652718171748057</v>
      </c>
      <c r="AK309" s="62">
        <f ca="1"/>
        <v>0.92342526548942239</v>
      </c>
      <c r="AL309" s="66" t="str">
        <f t="array" ref="AL309">IF($AB309, Push(MINVERSE(MMULT($I$38:$L$41,MMULT(Fetch(AG309),TRANSPOSE($I$38:$L$41))) + $N$38:$Q$41)), "")</f>
        <v/>
      </c>
      <c r="AM309" s="62">
        <f t="array" aca="1" ref="AM309:AP309" ca="1">X309:AA309 - AH309:AK309</f>
        <v>0.44810928670331296</v>
      </c>
      <c r="AN309" s="62">
        <f ca="1"/>
        <v>0.24587477035428251</v>
      </c>
      <c r="AO309" s="62">
        <f ca="1"/>
        <v>-0.69604946539151791</v>
      </c>
      <c r="AP309" s="62">
        <f ca="1"/>
        <v>0.22056571875900732</v>
      </c>
      <c r="AQ309" s="66" t="str">
        <f t="array" ref="AQ309">IF($AB309, Push(MMULT(Fetch(AG309),MMULT(TRANSPOSE($I$38:$L$41),Fetch(AL309)))), "")</f>
        <v/>
      </c>
      <c r="AR309" s="62">
        <f t="array" aca="1" ref="AR309:AU309" ca="1">AC309:AF309 + TRANSPOSE(MMULT(IF($AB309,Fetch(AQ309),$L$61:$O$64),TRANSPOSE(AM309:AP309)))</f>
        <v>0.92275307165315323</v>
      </c>
      <c r="AS309" s="62">
        <f ca="1"/>
        <v>1.1192561372570746</v>
      </c>
      <c r="AT309" s="62">
        <f ca="1"/>
        <v>0.98183745821138024</v>
      </c>
      <c r="AU309" s="62">
        <f ca="1"/>
        <v>0.61294882020549268</v>
      </c>
      <c r="AV309" s="66" t="str">
        <f t="array" ref="AV309">IF($AB309, Push(Fetch(AG309) - MMULT(Fetch(AQ309),MMULT($I$38:$L$41,Fetch(AG309)))), "")</f>
        <v/>
      </c>
      <c r="AW309" s="97">
        <f t="array" aca="1" ref="AW309" ca="1">IF($AB309,LN(MDETERM(Fetch(AL309))),$J$65)   -   MMULT(AM309:AP309,MMULT(IF($AB309,Fetch(AL309),$G$61:$J$64),TRANSPOSE(AM309:AP309)))</f>
        <v>3.7323106654521725</v>
      </c>
    </row>
    <row r="310" spans="23:49" x14ac:dyDescent="0.15">
      <c r="W310" s="12">
        <f t="shared" si="8"/>
        <v>307</v>
      </c>
      <c r="X310" s="62">
        <f t="array" aca="1" ref="X310:AA310" ca="1">simulate!AE310:AH310</f>
        <v>0.35554477578024574</v>
      </c>
      <c r="Y310" s="62">
        <f ca="1"/>
        <v>0.27262219765715567</v>
      </c>
      <c r="Z310" s="62">
        <f ca="1"/>
        <v>1.5107198822102608</v>
      </c>
      <c r="AA310" s="62">
        <f ca="1"/>
        <v>0.87729422116929512</v>
      </c>
      <c r="AB310" s="98">
        <f t="shared" si="9"/>
        <v>0</v>
      </c>
      <c r="AC310" s="62">
        <f t="array" aca="1" ref="AC310:AF310" ca="1">TRANSPOSE($G$44:$G$47 + MMULT($I$44:$L$47,TRANSPOSE(AR309:AU309)))</f>
        <v>1.0373485819423591</v>
      </c>
      <c r="AD310" s="62">
        <f ca="1"/>
        <v>0.99509513621089218</v>
      </c>
      <c r="AE310" s="62">
        <f ca="1"/>
        <v>0.97060972436164628</v>
      </c>
      <c r="AF310" s="62">
        <f ca="1"/>
        <v>0.81119461883269728</v>
      </c>
      <c r="AG310" s="66" t="str">
        <f t="array" ref="AG310">IF($AB310, Push(MMULT($I$44:$L$47,MMULT(Fetch(AV309),TRANSPOSE($I$44:$L$47))) + $N$44:$Q$47), "")</f>
        <v/>
      </c>
      <c r="AH310" s="62">
        <f t="array" aca="1" ref="AH310:AK310" ca="1">TRANSPOSE($G$38:$G$41 + MMULT($I$38:$L$41,TRANSPOSE(AC310:AF310)))</f>
        <v>1.3391412581563307</v>
      </c>
      <c r="AI310" s="62">
        <f ca="1"/>
        <v>1.2004009978592785</v>
      </c>
      <c r="AJ310" s="62">
        <f ca="1"/>
        <v>0.74151909641703107</v>
      </c>
      <c r="AK310" s="62">
        <f ca="1"/>
        <v>1.0076131021264865</v>
      </c>
      <c r="AL310" s="66" t="str">
        <f t="array" ref="AL310">IF($AB310, Push(MINVERSE(MMULT($I$38:$L$41,MMULT(Fetch(AG310),TRANSPOSE($I$38:$L$41))) + $N$38:$Q$41)), "")</f>
        <v/>
      </c>
      <c r="AM310" s="62">
        <f t="array" aca="1" ref="AM310:AP310" ca="1">X310:AA310 - AH310:AK310</f>
        <v>-0.98359648237608499</v>
      </c>
      <c r="AN310" s="62">
        <f ca="1"/>
        <v>-0.92777880020212278</v>
      </c>
      <c r="AO310" s="62">
        <f ca="1"/>
        <v>0.7692007857932297</v>
      </c>
      <c r="AP310" s="62">
        <f ca="1"/>
        <v>-0.13031888095719135</v>
      </c>
      <c r="AQ310" s="66" t="str">
        <f t="array" ref="AQ310">IF($AB310, Push(MMULT(Fetch(AG310),MMULT(TRANSPOSE($I$38:$L$41),Fetch(AL310)))), "")</f>
        <v/>
      </c>
      <c r="AR310" s="62">
        <f t="array" aca="1" ref="AR310:AU310" ca="1">AC310:AF310 + TRANSPOSE(MMULT(IF($AB310,Fetch(AQ310),$L$61:$O$64),TRANSPOSE(AM310:AP310)))</f>
        <v>0.66635751275754496</v>
      </c>
      <c r="AS310" s="62">
        <f ca="1"/>
        <v>0.45027210835857268</v>
      </c>
      <c r="AT310" s="62">
        <f ca="1"/>
        <v>0.77457127669303638</v>
      </c>
      <c r="AU310" s="62">
        <f ca="1"/>
        <v>1.0690116451108451</v>
      </c>
      <c r="AV310" s="66" t="str">
        <f t="array" ref="AV310">IF($AB310, Push(Fetch(AG310) - MMULT(Fetch(AQ310),MMULT($I$38:$L$41,Fetch(AG310)))), "")</f>
        <v/>
      </c>
      <c r="AW310" s="97">
        <f t="array" aca="1" ref="AW310" ca="1">IF($AB310,LN(MDETERM(Fetch(AL310))),$J$65)   -   MMULT(AM310:AP310,MMULT(IF($AB310,Fetch(AL310),$G$61:$J$64),TRANSPOSE(AM310:AP310)))</f>
        <v>-1.8610459419927707</v>
      </c>
    </row>
    <row r="311" spans="23:49" x14ac:dyDescent="0.15">
      <c r="W311" s="12">
        <f t="shared" si="8"/>
        <v>308</v>
      </c>
      <c r="X311" s="62">
        <f t="array" aca="1" ref="X311:AA311" ca="1">simulate!AE311:AH311</f>
        <v>1.7122926722831326</v>
      </c>
      <c r="Y311" s="62">
        <f ca="1"/>
        <v>0.80423165259261697</v>
      </c>
      <c r="Z311" s="62">
        <f ca="1"/>
        <v>1.3467587604100635</v>
      </c>
      <c r="AA311" s="62">
        <f ca="1"/>
        <v>1.2610585650450823</v>
      </c>
      <c r="AB311" s="98">
        <f t="shared" si="9"/>
        <v>0</v>
      </c>
      <c r="AC311" s="62">
        <f t="array" aca="1" ref="AC311:AF311" ca="1">TRANSPOSE($G$44:$G$47 + MMULT($I$44:$L$47,TRANSPOSE(AR310:AU310)))</f>
        <v>0.80703446801992129</v>
      </c>
      <c r="AD311" s="62">
        <f ca="1"/>
        <v>0.59395609742048672</v>
      </c>
      <c r="AE311" s="62">
        <f ca="1"/>
        <v>0.79929658155196515</v>
      </c>
      <c r="AF311" s="62">
        <f ca="1"/>
        <v>0.96390898830336713</v>
      </c>
      <c r="AG311" s="66" t="str">
        <f t="array" ref="AG311">IF($AB311, Push(MMULT($I$44:$L$47,MMULT(Fetch(AV310),TRANSPOSE($I$44:$L$47))) + $N$44:$Q$47), "")</f>
        <v/>
      </c>
      <c r="AH311" s="62">
        <f t="array" aca="1" ref="AH311:AK311" ca="1">TRANSPOSE($G$38:$G$41 + MMULT($I$38:$L$41,TRANSPOSE(AC311:AF311)))</f>
        <v>1.0432714360375008</v>
      </c>
      <c r="AI311" s="62">
        <f ca="1"/>
        <v>0.83946920845221285</v>
      </c>
      <c r="AJ311" s="62">
        <f ca="1"/>
        <v>0.94833618090785698</v>
      </c>
      <c r="AK311" s="62">
        <f ca="1"/>
        <v>0.92987651889040546</v>
      </c>
      <c r="AL311" s="66" t="str">
        <f t="array" ref="AL311">IF($AB311, Push(MINVERSE(MMULT($I$38:$L$41,MMULT(Fetch(AG311),TRANSPOSE($I$38:$L$41))) + $N$38:$Q$41)), "")</f>
        <v/>
      </c>
      <c r="AM311" s="62">
        <f t="array" aca="1" ref="AM311:AP311" ca="1">X311:AA311 - AH311:AK311</f>
        <v>0.66902123624563181</v>
      </c>
      <c r="AN311" s="62">
        <f ca="1"/>
        <v>-3.523755585959587E-2</v>
      </c>
      <c r="AO311" s="62">
        <f ca="1"/>
        <v>0.3984225795022065</v>
      </c>
      <c r="AP311" s="62">
        <f ca="1"/>
        <v>0.33118204615467683</v>
      </c>
      <c r="AQ311" s="66" t="str">
        <f t="array" ref="AQ311">IF($AB311, Push(MMULT(Fetch(AG311),MMULT(TRANSPOSE($I$38:$L$41),Fetch(AL311)))), "")</f>
        <v/>
      </c>
      <c r="AR311" s="62">
        <f t="array" aca="1" ref="AR311:AU311" ca="1">AC311:AF311 + TRANSPOSE(MMULT(IF($AB311,Fetch(AQ311),$L$61:$O$64),TRANSPOSE(AM311:AP311)))</f>
        <v>1.1316937149805701</v>
      </c>
      <c r="AS311" s="62">
        <f ca="1"/>
        <v>0.43935716114491974</v>
      </c>
      <c r="AT311" s="62">
        <f ca="1"/>
        <v>1.3318971931525101</v>
      </c>
      <c r="AU311" s="62">
        <f ca="1"/>
        <v>1.2440425427356534</v>
      </c>
      <c r="AV311" s="66" t="str">
        <f t="array" ref="AV311">IF($AB311, Push(Fetch(AG311) - MMULT(Fetch(AQ311),MMULT($I$38:$L$41,Fetch(AG311)))), "")</f>
        <v/>
      </c>
      <c r="AW311" s="97">
        <f t="array" aca="1" ref="AW311" ca="1">IF($AB311,LN(MDETERM(Fetch(AL311))),$J$65)   -   MMULT(AM311:AP311,MMULT(IF($AB311,Fetch(AL311),$G$61:$J$64),TRANSPOSE(AM311:AP311)))</f>
        <v>4.5618860814219024</v>
      </c>
    </row>
    <row r="312" spans="23:49" x14ac:dyDescent="0.15">
      <c r="W312" s="12">
        <f t="shared" si="8"/>
        <v>309</v>
      </c>
      <c r="X312" s="62">
        <f t="array" aca="1" ref="X312:AA312" ca="1">simulate!AE312:AH312</f>
        <v>1.4346019026395038</v>
      </c>
      <c r="Y312" s="62">
        <f ca="1"/>
        <v>1.0470533370190169</v>
      </c>
      <c r="Z312" s="62">
        <f ca="1"/>
        <v>1.3586751362914282</v>
      </c>
      <c r="AA312" s="62">
        <f ca="1"/>
        <v>0.95627023551861756</v>
      </c>
      <c r="AB312" s="98">
        <f t="shared" si="9"/>
        <v>0</v>
      </c>
      <c r="AC312" s="62">
        <f t="array" aca="1" ref="AC312:AF312" ca="1">TRANSPOSE($G$44:$G$47 + MMULT($I$44:$L$47,TRANSPOSE(AR311:AU311)))</f>
        <v>1.104819194220489</v>
      </c>
      <c r="AD312" s="62">
        <f ca="1"/>
        <v>0.75855173057751879</v>
      </c>
      <c r="AE312" s="62">
        <f ca="1"/>
        <v>1.1575494532665818</v>
      </c>
      <c r="AF312" s="62">
        <f ca="1"/>
        <v>1.1705110671444225</v>
      </c>
      <c r="AG312" s="66" t="str">
        <f t="array" ref="AG312">IF($AB312, Push(MMULT($I$44:$L$47,MMULT(Fetch(AV311),TRANSPOSE($I$44:$L$47))) + $N$44:$Q$47), "")</f>
        <v/>
      </c>
      <c r="AH312" s="62">
        <f t="array" aca="1" ref="AH312:AK312" ca="1">TRANSPOSE($G$38:$G$41 + MMULT($I$38:$L$41,TRANSPOSE(AC312:AF312)))</f>
        <v>1.4166519235247206</v>
      </c>
      <c r="AI312" s="62">
        <f ca="1"/>
        <v>1.0421083535707094</v>
      </c>
      <c r="AJ312" s="62">
        <f ca="1"/>
        <v>1.1401739528770443</v>
      </c>
      <c r="AK312" s="62">
        <f ca="1"/>
        <v>1.1935423345762375</v>
      </c>
      <c r="AL312" s="66" t="str">
        <f t="array" ref="AL312">IF($AB312, Push(MINVERSE(MMULT($I$38:$L$41,MMULT(Fetch(AG312),TRANSPOSE($I$38:$L$41))) + $N$38:$Q$41)), "")</f>
        <v/>
      </c>
      <c r="AM312" s="62">
        <f t="array" aca="1" ref="AM312:AP312" ca="1">X312:AA312 - AH312:AK312</f>
        <v>1.7949979114783243E-2</v>
      </c>
      <c r="AN312" s="62">
        <f ca="1"/>
        <v>4.9449834483075161E-3</v>
      </c>
      <c r="AO312" s="62">
        <f ca="1"/>
        <v>0.21850118341438396</v>
      </c>
      <c r="AP312" s="62">
        <f ca="1"/>
        <v>-0.23727209905761992</v>
      </c>
      <c r="AQ312" s="66" t="str">
        <f t="array" ref="AQ312">IF($AB312, Push(MMULT(Fetch(AG312),MMULT(TRANSPOSE($I$38:$L$41),Fetch(AL312)))), "")</f>
        <v/>
      </c>
      <c r="AR312" s="62">
        <f t="array" aca="1" ref="AR312:AU312" ca="1">AC312:AF312 + TRANSPOSE(MMULT(IF($AB312,Fetch(AQ312),$L$61:$O$64),TRANSPOSE(AM312:AP312)))</f>
        <v>1.2218122972042542</v>
      </c>
      <c r="AS312" s="62">
        <f ca="1"/>
        <v>0.66532740960188685</v>
      </c>
      <c r="AT312" s="62">
        <f ca="1"/>
        <v>1.0440396460821162</v>
      </c>
      <c r="AU312" s="62">
        <f ca="1"/>
        <v>1.1768029376019309</v>
      </c>
      <c r="AV312" s="66" t="str">
        <f t="array" ref="AV312">IF($AB312, Push(Fetch(AG312) - MMULT(Fetch(AQ312),MMULT($I$38:$L$41,Fetch(AG312)))), "")</f>
        <v/>
      </c>
      <c r="AW312" s="97">
        <f t="array" aca="1" ref="AW312" ca="1">IF($AB312,LN(MDETERM(Fetch(AL312))),$J$65)   -   MMULT(AM312:AP312,MMULT(IF($AB312,Fetch(AL312),$G$61:$J$64),TRANSPOSE(AM312:AP312)))</f>
        <v>6.4332240609213542</v>
      </c>
    </row>
    <row r="313" spans="23:49" x14ac:dyDescent="0.15">
      <c r="W313" s="12">
        <f t="shared" si="8"/>
        <v>310</v>
      </c>
      <c r="X313" s="62">
        <f t="array" aca="1" ref="X313:AA313" ca="1">simulate!AE313:AH313</f>
        <v>0.68871037826121528</v>
      </c>
      <c r="Y313" s="62">
        <f ca="1"/>
        <v>1.7011699406197831</v>
      </c>
      <c r="Z313" s="62">
        <f ca="1"/>
        <v>1.4407560408118196</v>
      </c>
      <c r="AA313" s="62">
        <f ca="1"/>
        <v>0.49347413359814973</v>
      </c>
      <c r="AB313" s="98">
        <f t="shared" si="9"/>
        <v>0</v>
      </c>
      <c r="AC313" s="62">
        <f t="array" aca="1" ref="AC313:AF313" ca="1">TRANSPOSE($G$44:$G$47 + MMULT($I$44:$L$47,TRANSPOSE(AR312:AU312)))</f>
        <v>1.1632095856580256</v>
      </c>
      <c r="AD313" s="62">
        <f ca="1"/>
        <v>0.84783742859024536</v>
      </c>
      <c r="AE313" s="62">
        <f ca="1"/>
        <v>1.0352374183553614</v>
      </c>
      <c r="AF313" s="62">
        <f ca="1"/>
        <v>1.1078762858286337</v>
      </c>
      <c r="AG313" s="66" t="str">
        <f t="array" ref="AG313">IF($AB313, Push(MMULT($I$44:$L$47,MMULT(Fetch(AV312),TRANSPOSE($I$44:$L$47))) + $N$44:$Q$47), "")</f>
        <v/>
      </c>
      <c r="AH313" s="62">
        <f t="array" aca="1" ref="AH313:AK313" ca="1">TRANSPOSE($G$38:$G$41 + MMULT($I$38:$L$41,TRANSPOSE(AC313:AF313)))</f>
        <v>1.3937119075836606</v>
      </c>
      <c r="AI313" s="62">
        <f ca="1"/>
        <v>1.1604533901992986</v>
      </c>
      <c r="AJ313" s="62">
        <f ca="1"/>
        <v>1.0878968360271</v>
      </c>
      <c r="AK313" s="62">
        <f ca="1"/>
        <v>1.0795246411058472</v>
      </c>
      <c r="AL313" s="66" t="str">
        <f t="array" ref="AL313">IF($AB313, Push(MINVERSE(MMULT($I$38:$L$41,MMULT(Fetch(AG313),TRANSPOSE($I$38:$L$41))) + $N$38:$Q$41)), "")</f>
        <v/>
      </c>
      <c r="AM313" s="62">
        <f t="array" aca="1" ref="AM313:AP313" ca="1">X313:AA313 - AH313:AK313</f>
        <v>-0.70500152932244531</v>
      </c>
      <c r="AN313" s="62">
        <f ca="1"/>
        <v>0.5407165504204845</v>
      </c>
      <c r="AO313" s="62">
        <f ca="1"/>
        <v>0.35285920478471966</v>
      </c>
      <c r="AP313" s="62">
        <f ca="1"/>
        <v>-0.58605050750769749</v>
      </c>
      <c r="AQ313" s="66" t="str">
        <f t="array" ref="AQ313">IF($AB313, Push(MMULT(Fetch(AG313),MMULT(TRANSPOSE($I$38:$L$41),Fetch(AL313)))), "")</f>
        <v/>
      </c>
      <c r="AR313" s="62">
        <f t="array" aca="1" ref="AR313:AU313" ca="1">AC313:AF313 + TRANSPOSE(MMULT(IF($AB313,Fetch(AQ313),$L$61:$O$64),TRANSPOSE(AM313:AP313)))</f>
        <v>1.1470328852628191</v>
      </c>
      <c r="AS313" s="62">
        <f ca="1"/>
        <v>1.0889309360392276</v>
      </c>
      <c r="AT313" s="62">
        <f ca="1"/>
        <v>0.38487394284463816</v>
      </c>
      <c r="AU313" s="62">
        <f ca="1"/>
        <v>1.0482647475686697</v>
      </c>
      <c r="AV313" s="66" t="str">
        <f t="array" ref="AV313">IF($AB313, Push(Fetch(AG313) - MMULT(Fetch(AQ313),MMULT($I$38:$L$41,Fetch(AG313)))), "")</f>
        <v/>
      </c>
      <c r="AW313" s="97">
        <f t="array" aca="1" ref="AW313" ca="1">IF($AB313,LN(MDETERM(Fetch(AL313))),$J$65)   -   MMULT(AM313:AP313,MMULT(IF($AB313,Fetch(AL313),$G$61:$J$64),TRANSPOSE(AM313:AP313)))</f>
        <v>-0.53278780240283563</v>
      </c>
    </row>
    <row r="314" spans="23:49" x14ac:dyDescent="0.15">
      <c r="W314" s="12">
        <f t="shared" si="8"/>
        <v>311</v>
      </c>
      <c r="X314" s="62">
        <f t="array" aca="1" ref="X314:AA314" ca="1">simulate!AE314:AH314</f>
        <v>0.47656731887010673</v>
      </c>
      <c r="Y314" s="62">
        <f ca="1"/>
        <v>0.85187845517528649</v>
      </c>
      <c r="Z314" s="62">
        <f ca="1"/>
        <v>0.20908597582073307</v>
      </c>
      <c r="AA314" s="62">
        <f ca="1"/>
        <v>0.35551280672209651</v>
      </c>
      <c r="AB314" s="98">
        <f t="shared" si="9"/>
        <v>0</v>
      </c>
      <c r="AC314" s="62">
        <f t="array" aca="1" ref="AC314:AF314" ca="1">TRANSPOSE($G$44:$G$47 + MMULT($I$44:$L$47,TRANSPOSE(AR313:AU313)))</f>
        <v>1.1324139133876787</v>
      </c>
      <c r="AD314" s="62">
        <f ca="1"/>
        <v>0.95777327777684673</v>
      </c>
      <c r="AE314" s="62">
        <f ca="1"/>
        <v>0.72366920812816959</v>
      </c>
      <c r="AF314" s="62">
        <f ca="1"/>
        <v>0.95799419600569324</v>
      </c>
      <c r="AG314" s="66" t="str">
        <f t="array" ref="AG314">IF($AB314, Push(MMULT($I$44:$L$47,MMULT(Fetch(AV313),TRANSPOSE($I$44:$L$47))) + $N$44:$Q$47), "")</f>
        <v/>
      </c>
      <c r="AH314" s="62">
        <f t="array" aca="1" ref="AH314:AK314" ca="1">TRANSPOSE($G$38:$G$41 + MMULT($I$38:$L$41,TRANSPOSE(AC314:AF314)))</f>
        <v>1.2103233085257887</v>
      </c>
      <c r="AI314" s="62">
        <f ca="1"/>
        <v>1.2950121506934744</v>
      </c>
      <c r="AJ314" s="62">
        <f ca="1"/>
        <v>0.9380301732474734</v>
      </c>
      <c r="AK314" s="62">
        <f ca="1"/>
        <v>0.83791296933068415</v>
      </c>
      <c r="AL314" s="66" t="str">
        <f t="array" ref="AL314">IF($AB314, Push(MINVERSE(MMULT($I$38:$L$41,MMULT(Fetch(AG314),TRANSPOSE($I$38:$L$41))) + $N$38:$Q$41)), "")</f>
        <v/>
      </c>
      <c r="AM314" s="62">
        <f t="array" aca="1" ref="AM314:AP314" ca="1">X314:AA314 - AH314:AK314</f>
        <v>-0.73375598965568201</v>
      </c>
      <c r="AN314" s="62">
        <f ca="1"/>
        <v>-0.44313369551818793</v>
      </c>
      <c r="AO314" s="62">
        <f ca="1"/>
        <v>-0.72894419742674033</v>
      </c>
      <c r="AP314" s="62">
        <f ca="1"/>
        <v>-0.48240016260858765</v>
      </c>
      <c r="AQ314" s="66" t="str">
        <f t="array" ref="AQ314">IF($AB314, Push(MMULT(Fetch(AG314),MMULT(TRANSPOSE($I$38:$L$41),Fetch(AL314)))), "")</f>
        <v/>
      </c>
      <c r="AR314" s="62">
        <f t="array" aca="1" ref="AR314:AU314" ca="1">AC314:AF314 + TRANSPOSE(MMULT(IF($AB314,Fetch(AQ314),$L$61:$O$64),TRANSPOSE(AM314:AP314)))</f>
        <v>0.65433182822997948</v>
      </c>
      <c r="AS314" s="62">
        <f ca="1"/>
        <v>0.89007436436931309</v>
      </c>
      <c r="AT314" s="62">
        <f ca="1"/>
        <v>7.2422235512360378E-2</v>
      </c>
      <c r="AU314" s="62">
        <f ca="1"/>
        <v>0.48682546000899524</v>
      </c>
      <c r="AV314" s="66" t="str">
        <f t="array" ref="AV314">IF($AB314, Push(Fetch(AG314) - MMULT(Fetch(AQ314),MMULT($I$38:$L$41,Fetch(AG314)))), "")</f>
        <v/>
      </c>
      <c r="AW314" s="97">
        <f t="array" aca="1" ref="AW314" ca="1">IF($AB314,LN(MDETERM(Fetch(AL314))),$J$65)   -   MMULT(AM314:AP314,MMULT(IF($AB314,Fetch(AL314),$G$61:$J$64),TRANSPOSE(AM314:AP314)))</f>
        <v>0.30001269804364838</v>
      </c>
    </row>
    <row r="315" spans="23:49" x14ac:dyDescent="0.15">
      <c r="W315" s="12">
        <f t="shared" si="8"/>
        <v>312</v>
      </c>
      <c r="X315" s="62">
        <f t="array" aca="1" ref="X315:AA315" ca="1">simulate!AE315:AH315</f>
        <v>1.0683692012236508</v>
      </c>
      <c r="Y315" s="62">
        <f ca="1"/>
        <v>1.1821052522518536</v>
      </c>
      <c r="Z315" s="62">
        <f ca="1"/>
        <v>0.84930039862023621</v>
      </c>
      <c r="AA315" s="62">
        <f ca="1"/>
        <v>0.45973687587775708</v>
      </c>
      <c r="AB315" s="98">
        <f t="shared" si="9"/>
        <v>0</v>
      </c>
      <c r="AC315" s="62">
        <f t="array" aca="1" ref="AC315:AF315" ca="1">TRANSPOSE($G$44:$G$47 + MMULT($I$44:$L$47,TRANSPOSE(AR314:AU314)))</f>
        <v>0.78766772408034669</v>
      </c>
      <c r="AD315" s="62">
        <f ca="1"/>
        <v>0.68417566891745862</v>
      </c>
      <c r="AE315" s="62">
        <f ca="1"/>
        <v>0.4044752949578897</v>
      </c>
      <c r="AF315" s="62">
        <f ca="1"/>
        <v>0.56621306573869024</v>
      </c>
      <c r="AG315" s="66" t="str">
        <f t="array" ref="AG315">IF($AB315, Push(MMULT($I$44:$L$47,MMULT(Fetch(AV314),TRANSPOSE($I$44:$L$47))) + $N$44:$Q$47), "")</f>
        <v/>
      </c>
      <c r="AH315" s="62">
        <f t="array" aca="1" ref="AH315:AK315" ca="1">TRANSPOSE($G$38:$G$41 + MMULT($I$38:$L$41,TRANSPOSE(AC315:AF315)))</f>
        <v>0.88664436096233046</v>
      </c>
      <c r="AI315" s="62">
        <f ca="1"/>
        <v>0.93364631922265839</v>
      </c>
      <c r="AJ315" s="62">
        <f ca="1"/>
        <v>0.61114071150698046</v>
      </c>
      <c r="AK315" s="62">
        <f ca="1"/>
        <v>0.51099899072717236</v>
      </c>
      <c r="AL315" s="66" t="str">
        <f t="array" ref="AL315">IF($AB315, Push(MINVERSE(MMULT($I$38:$L$41,MMULT(Fetch(AG315),TRANSPOSE($I$38:$L$41))) + $N$38:$Q$41)), "")</f>
        <v/>
      </c>
      <c r="AM315" s="62">
        <f t="array" aca="1" ref="AM315:AP315" ca="1">X315:AA315 - AH315:AK315</f>
        <v>0.1817248402613203</v>
      </c>
      <c r="AN315" s="62">
        <f ca="1"/>
        <v>0.24845893302919519</v>
      </c>
      <c r="AO315" s="62">
        <f ca="1"/>
        <v>0.23815968711325575</v>
      </c>
      <c r="AP315" s="62">
        <f ca="1"/>
        <v>-5.1262114849415286E-2</v>
      </c>
      <c r="AQ315" s="66" t="str">
        <f t="array" ref="AQ315">IF($AB315, Push(MMULT(Fetch(AG315),MMULT(TRANSPOSE($I$38:$L$41),Fetch(AL315)))), "")</f>
        <v/>
      </c>
      <c r="AR315" s="62">
        <f t="array" aca="1" ref="AR315:AU315" ca="1">AC315:AF315 + TRANSPOSE(MMULT(IF($AB315,Fetch(AQ315),$L$61:$O$64),TRANSPOSE(AM315:AP315)))</f>
        <v>0.98057672593956779</v>
      </c>
      <c r="AS315" s="62">
        <f ca="1"/>
        <v>0.73409296853699069</v>
      </c>
      <c r="AT315" s="62">
        <f ca="1"/>
        <v>0.44556405401296539</v>
      </c>
      <c r="AU315" s="62">
        <f ca="1"/>
        <v>0.64775074010513056</v>
      </c>
      <c r="AV315" s="66" t="str">
        <f t="array" ref="AV315">IF($AB315, Push(Fetch(AG315) - MMULT(Fetch(AQ315),MMULT($I$38:$L$41,Fetch(AG315)))), "")</f>
        <v/>
      </c>
      <c r="AW315" s="97">
        <f t="array" aca="1" ref="AW315" ca="1">IF($AB315,LN(MDETERM(Fetch(AL315))),$J$65)   -   MMULT(AM315:AP315,MMULT(IF($AB315,Fetch(AL315),$G$61:$J$64),TRANSPOSE(AM315:AP315)))</f>
        <v>6.3663339785755388</v>
      </c>
    </row>
    <row r="316" spans="23:49" x14ac:dyDescent="0.15">
      <c r="W316" s="12">
        <f t="shared" si="8"/>
        <v>313</v>
      </c>
      <c r="X316" s="62">
        <f t="array" aca="1" ref="X316:AA316" ca="1">simulate!AE316:AH316</f>
        <v>0.28530265969074842</v>
      </c>
      <c r="Y316" s="62">
        <f ca="1"/>
        <v>0.86465000170559558</v>
      </c>
      <c r="Z316" s="62">
        <f ca="1"/>
        <v>0.20422498444135753</v>
      </c>
      <c r="AA316" s="62">
        <f ca="1"/>
        <v>0.43495578822141245</v>
      </c>
      <c r="AB316" s="98">
        <f t="shared" si="9"/>
        <v>0</v>
      </c>
      <c r="AC316" s="62">
        <f t="array" aca="1" ref="AC316:AF316" ca="1">TRANSPOSE($G$44:$G$47 + MMULT($I$44:$L$47,TRANSPOSE(AR315:AU315)))</f>
        <v>0.97507543753564163</v>
      </c>
      <c r="AD316" s="62">
        <f ca="1"/>
        <v>0.71958003750870514</v>
      </c>
      <c r="AE316" s="62">
        <f ca="1"/>
        <v>0.62771350961193417</v>
      </c>
      <c r="AF316" s="62">
        <f ca="1"/>
        <v>0.71828250702445673</v>
      </c>
      <c r="AG316" s="66" t="str">
        <f t="array" ref="AG316">IF($AB316, Push(MMULT($I$44:$L$47,MMULT(Fetch(AV315),TRANSPOSE($I$44:$L$47))) + $N$44:$Q$47), "")</f>
        <v/>
      </c>
      <c r="AH316" s="62">
        <f t="array" aca="1" ref="AH316:AK316" ca="1">TRANSPOSE($G$38:$G$41 + MMULT($I$38:$L$41,TRANSPOSE(AC316:AF316)))</f>
        <v>1.1175601436159446</v>
      </c>
      <c r="AI316" s="62">
        <f ca="1"/>
        <v>1.0066687414491899</v>
      </c>
      <c r="AJ316" s="62">
        <f ca="1"/>
        <v>0.776391177721516</v>
      </c>
      <c r="AK316" s="62">
        <f ca="1"/>
        <v>0.66388275841457278</v>
      </c>
      <c r="AL316" s="66" t="str">
        <f t="array" ref="AL316">IF($AB316, Push(MINVERSE(MMULT($I$38:$L$41,MMULT(Fetch(AG316),TRANSPOSE($I$38:$L$41))) + $N$38:$Q$41)), "")</f>
        <v/>
      </c>
      <c r="AM316" s="62">
        <f t="array" aca="1" ref="AM316:AP316" ca="1">X316:AA316 - AH316:AK316</f>
        <v>-0.83225748392519616</v>
      </c>
      <c r="AN316" s="62">
        <f ca="1"/>
        <v>-0.14201873974359436</v>
      </c>
      <c r="AO316" s="62">
        <f ca="1"/>
        <v>-0.5721661932801585</v>
      </c>
      <c r="AP316" s="62">
        <f ca="1"/>
        <v>-0.22892697019316033</v>
      </c>
      <c r="AQ316" s="66" t="str">
        <f t="array" ref="AQ316">IF($AB316, Push(MMULT(Fetch(AG316),MMULT(TRANSPOSE($I$38:$L$41),Fetch(AL316)))), "")</f>
        <v/>
      </c>
      <c r="AR316" s="62">
        <f t="array" aca="1" ref="AR316:AU316" ca="1">AC316:AF316 + TRANSPOSE(MMULT(IF($AB316,Fetch(AQ316),$L$61:$O$64),TRANSPOSE(AM316:AP316)))</f>
        <v>0.48179964253497054</v>
      </c>
      <c r="AS316" s="62">
        <f ca="1"/>
        <v>0.85826800811614679</v>
      </c>
      <c r="AT316" s="62">
        <f ca="1"/>
        <v>9.6228460551806116E-2</v>
      </c>
      <c r="AU316" s="62">
        <f ca="1"/>
        <v>0.40122293690835276</v>
      </c>
      <c r="AV316" s="66" t="str">
        <f t="array" ref="AV316">IF($AB316, Push(Fetch(AG316) - MMULT(Fetch(AQ316),MMULT($I$38:$L$41,Fetch(AG316)))), "")</f>
        <v/>
      </c>
      <c r="AW316" s="97">
        <f t="array" aca="1" ref="AW316" ca="1">IF($AB316,LN(MDETERM(Fetch(AL316))),$J$65)   -   MMULT(AM316:AP316,MMULT(IF($AB316,Fetch(AL316),$G$61:$J$64),TRANSPOSE(AM316:AP316)))</f>
        <v>2.5267225107643076</v>
      </c>
    </row>
    <row r="317" spans="23:49" x14ac:dyDescent="0.15">
      <c r="W317" s="12">
        <f t="shared" si="8"/>
        <v>314</v>
      </c>
      <c r="X317" s="62">
        <f t="array" aca="1" ref="X317:AA317" ca="1">simulate!AE317:AH317</f>
        <v>1.0825795283966286</v>
      </c>
      <c r="Y317" s="62">
        <f ca="1"/>
        <v>0.25789611200558771</v>
      </c>
      <c r="Z317" s="62">
        <f ca="1"/>
        <v>0.60301592761338685</v>
      </c>
      <c r="AA317" s="62">
        <f ca="1"/>
        <v>-0.26481439085185021</v>
      </c>
      <c r="AB317" s="98">
        <f t="shared" si="9"/>
        <v>0</v>
      </c>
      <c r="AC317" s="62">
        <f t="array" aca="1" ref="AC317:AF317" ca="1">TRANSPOSE($G$44:$G$47 + MMULT($I$44:$L$47,TRANSPOSE(AR316:AU316)))</f>
        <v>0.68736131838473735</v>
      </c>
      <c r="AD317" s="62">
        <f ca="1"/>
        <v>0.63641520022537501</v>
      </c>
      <c r="AE317" s="62">
        <f ca="1"/>
        <v>0.38721847286210126</v>
      </c>
      <c r="AF317" s="62">
        <f ca="1"/>
        <v>0.5132912429962404</v>
      </c>
      <c r="AG317" s="66" t="str">
        <f t="array" ref="AG317">IF($AB317, Push(MMULT($I$44:$L$47,MMULT(Fetch(AV316),TRANSPOSE($I$44:$L$47))) + $N$44:$Q$47), "")</f>
        <v/>
      </c>
      <c r="AH317" s="62">
        <f t="array" aca="1" ref="AH317:AK317" ca="1">TRANSPOSE($G$38:$G$41 + MMULT($I$38:$L$41,TRANSPOSE(AC317:AF317)))</f>
        <v>0.82149783131485199</v>
      </c>
      <c r="AI317" s="62">
        <f ca="1"/>
        <v>0.84893036108103748</v>
      </c>
      <c r="AJ317" s="62">
        <f ca="1"/>
        <v>0.54790701101924244</v>
      </c>
      <c r="AK317" s="62">
        <f ca="1"/>
        <v>0.5063525019288313</v>
      </c>
      <c r="AL317" s="66" t="str">
        <f t="array" ref="AL317">IF($AB317, Push(MINVERSE(MMULT($I$38:$L$41,MMULT(Fetch(AG317),TRANSPOSE($I$38:$L$41))) + $N$38:$Q$41)), "")</f>
        <v/>
      </c>
      <c r="AM317" s="62">
        <f t="array" aca="1" ref="AM317:AP317" ca="1">X317:AA317 - AH317:AK317</f>
        <v>0.26108169708177664</v>
      </c>
      <c r="AN317" s="62">
        <f ca="1"/>
        <v>-0.59103424907544977</v>
      </c>
      <c r="AO317" s="62">
        <f ca="1"/>
        <v>5.5108916594144408E-2</v>
      </c>
      <c r="AP317" s="62">
        <f ca="1"/>
        <v>-0.77116689278068151</v>
      </c>
      <c r="AQ317" s="66" t="str">
        <f t="array" ref="AQ317">IF($AB317, Push(MMULT(Fetch(AG317),MMULT(TRANSPOSE($I$38:$L$41),Fetch(AL317)))), "")</f>
        <v/>
      </c>
      <c r="AR317" s="62">
        <f t="array" aca="1" ref="AR317:AU317" ca="1">AC317:AF317 + TRANSPOSE(MMULT(IF($AB317,Fetch(AQ317),$L$61:$O$64),TRANSPOSE(AM317:AP317)))</f>
        <v>0.90043339225780306</v>
      </c>
      <c r="AS317" s="62">
        <f ca="1"/>
        <v>8.9100651638188588E-2</v>
      </c>
      <c r="AT317" s="62">
        <f ca="1"/>
        <v>5.7735663083403665E-2</v>
      </c>
      <c r="AU317" s="62">
        <f ca="1"/>
        <v>0.26334930506503762</v>
      </c>
      <c r="AV317" s="66" t="str">
        <f t="array" ref="AV317">IF($AB317, Push(Fetch(AG317) - MMULT(Fetch(AQ317),MMULT($I$38:$L$41,Fetch(AG317)))), "")</f>
        <v/>
      </c>
      <c r="AW317" s="97">
        <f t="array" aca="1" ref="AW317" ca="1">IF($AB317,LN(MDETERM(Fetch(AL317))),$J$65)   -   MMULT(AM317:AP317,MMULT(IF($AB317,Fetch(AL317),$G$61:$J$64),TRANSPOSE(AM317:AP317)))</f>
        <v>-6.8095697712393797</v>
      </c>
    </row>
    <row r="318" spans="23:49" x14ac:dyDescent="0.15">
      <c r="W318" s="12">
        <f t="shared" si="8"/>
        <v>315</v>
      </c>
      <c r="X318" s="62">
        <f t="array" aca="1" ref="X318:AA318" ca="1">simulate!AE318:AH318</f>
        <v>-0.40575546936264983</v>
      </c>
      <c r="Y318" s="62">
        <f ca="1"/>
        <v>0.48410427340448092</v>
      </c>
      <c r="Z318" s="62">
        <f ca="1"/>
        <v>0.11633646680836124</v>
      </c>
      <c r="AA318" s="62">
        <f ca="1"/>
        <v>-4.6164295801720434E-2</v>
      </c>
      <c r="AB318" s="98">
        <f t="shared" si="9"/>
        <v>0</v>
      </c>
      <c r="AC318" s="62">
        <f t="array" aca="1" ref="AC318:AF318" ca="1">TRANSPOSE($G$44:$G$47 + MMULT($I$44:$L$47,TRANSPOSE(AR317:AU317)))</f>
        <v>0.79025915683200854</v>
      </c>
      <c r="AD318" s="62">
        <f ca="1"/>
        <v>0.27346563446797545</v>
      </c>
      <c r="AE318" s="62">
        <f ca="1"/>
        <v>0.25094350846018065</v>
      </c>
      <c r="AF318" s="62">
        <f ca="1"/>
        <v>0.39794505920271273</v>
      </c>
      <c r="AG318" s="66" t="str">
        <f t="array" ref="AG318">IF($AB318, Push(MMULT($I$44:$L$47,MMULT(Fetch(AV317),TRANSPOSE($I$44:$L$47))) + $N$44:$Q$47), "")</f>
        <v/>
      </c>
      <c r="AH318" s="62">
        <f t="array" aca="1" ref="AH318:AK318" ca="1">TRANSPOSE($G$38:$G$41 + MMULT($I$38:$L$41,TRANSPOSE(AC318:AF318)))</f>
        <v>0.86051024323449865</v>
      </c>
      <c r="AI318" s="62">
        <f ca="1"/>
        <v>0.58291132698483328</v>
      </c>
      <c r="AJ318" s="62">
        <f ca="1"/>
        <v>0.64188799201833091</v>
      </c>
      <c r="AK318" s="62">
        <f ca="1"/>
        <v>0.20126982312804739</v>
      </c>
      <c r="AL318" s="66" t="str">
        <f t="array" ref="AL318">IF($AB318, Push(MINVERSE(MMULT($I$38:$L$41,MMULT(Fetch(AG318),TRANSPOSE($I$38:$L$41))) + $N$38:$Q$41)), "")</f>
        <v/>
      </c>
      <c r="AM318" s="62">
        <f t="array" aca="1" ref="AM318:AP318" ca="1">X318:AA318 - AH318:AK318</f>
        <v>-1.2662657125971486</v>
      </c>
      <c r="AN318" s="62">
        <f ca="1"/>
        <v>-9.8807053580352355E-2</v>
      </c>
      <c r="AO318" s="62">
        <f ca="1"/>
        <v>-0.52555152520996962</v>
      </c>
      <c r="AP318" s="62">
        <f ca="1"/>
        <v>-0.24743411892976783</v>
      </c>
      <c r="AQ318" s="66" t="str">
        <f t="array" ref="AQ318">IF($AB318, Push(MMULT(Fetch(AG318),MMULT(TRANSPOSE($I$38:$L$41),Fetch(AL318)))), "")</f>
        <v/>
      </c>
      <c r="AR318" s="62">
        <f t="array" aca="1" ref="AR318:AU318" ca="1">AC318:AF318 + TRANSPOSE(MMULT(IF($AB318,Fetch(AQ318),$L$61:$O$64),TRANSPOSE(AM318:AP318)))</f>
        <v>0.12203018602393179</v>
      </c>
      <c r="AS318" s="62">
        <f ca="1"/>
        <v>0.49905771360412515</v>
      </c>
      <c r="AT318" s="62">
        <f ca="1"/>
        <v>-0.4477858282117958</v>
      </c>
      <c r="AU318" s="62">
        <f ca="1"/>
        <v>9.2136352668041821E-2</v>
      </c>
      <c r="AV318" s="66" t="str">
        <f t="array" ref="AV318">IF($AB318, Push(Fetch(AG318) - MMULT(Fetch(AQ318),MMULT($I$38:$L$41,Fetch(AG318)))), "")</f>
        <v/>
      </c>
      <c r="AW318" s="97">
        <f t="array" aca="1" ref="AW318" ca="1">IF($AB318,LN(MDETERM(Fetch(AL318))),$J$65)   -   MMULT(AM318:AP318,MMULT(IF($AB318,Fetch(AL318),$G$61:$J$64),TRANSPOSE(AM318:AP318)))</f>
        <v>-2.3279420657967052</v>
      </c>
    </row>
    <row r="319" spans="23:49" x14ac:dyDescent="0.15">
      <c r="W319" s="12">
        <f t="shared" si="8"/>
        <v>316</v>
      </c>
      <c r="X319" s="62">
        <f t="array" aca="1" ref="X319:AA319" ca="1">simulate!AE319:AH319</f>
        <v>0.59101713556875535</v>
      </c>
      <c r="Y319" s="62">
        <f ca="1"/>
        <v>0.80384843489889934</v>
      </c>
      <c r="Z319" s="62">
        <f ca="1"/>
        <v>-0.12596037838961616</v>
      </c>
      <c r="AA319" s="62">
        <f ca="1"/>
        <v>0.39528411299437166</v>
      </c>
      <c r="AB319" s="98">
        <f t="shared" si="9"/>
        <v>0</v>
      </c>
      <c r="AC319" s="62">
        <f t="array" aca="1" ref="AC319:AF319" ca="1">TRANSPOSE($G$44:$G$47 + MMULT($I$44:$L$47,TRANSPOSE(AR318:AU318)))</f>
        <v>0.38632068031536537</v>
      </c>
      <c r="AD319" s="62">
        <f ca="1"/>
        <v>0.28149148556178649</v>
      </c>
      <c r="AE319" s="62">
        <f ca="1"/>
        <v>-3.6262980399228442E-2</v>
      </c>
      <c r="AF319" s="62">
        <f ca="1"/>
        <v>0.21517655357910653</v>
      </c>
      <c r="AG319" s="66" t="str">
        <f t="array" ref="AG319">IF($AB319, Push(MMULT($I$44:$L$47,MMULT(Fetch(AV318),TRANSPOSE($I$44:$L$47))) + $N$44:$Q$47), "")</f>
        <v/>
      </c>
      <c r="AH319" s="62">
        <f t="array" aca="1" ref="AH319:AK319" ca="1">TRANSPOSE($G$38:$G$41 + MMULT($I$38:$L$41,TRANSPOSE(AC319:AF319)))</f>
        <v>0.44043302760807501</v>
      </c>
      <c r="AI319" s="62">
        <f ca="1"/>
        <v>0.47793430957610794</v>
      </c>
      <c r="AJ319" s="62">
        <f ca="1"/>
        <v>0.35673928068671251</v>
      </c>
      <c r="AK319" s="62">
        <f ca="1"/>
        <v>9.9644176066683493E-2</v>
      </c>
      <c r="AL319" s="66" t="str">
        <f t="array" ref="AL319">IF($AB319, Push(MINVERSE(MMULT($I$38:$L$41,MMULT(Fetch(AG319),TRANSPOSE($I$38:$L$41))) + $N$38:$Q$41)), "")</f>
        <v/>
      </c>
      <c r="AM319" s="62">
        <f t="array" aca="1" ref="AM319:AP319" ca="1">X319:AA319 - AH319:AK319</f>
        <v>0.15058410796068034</v>
      </c>
      <c r="AN319" s="62">
        <f ca="1"/>
        <v>0.3259141253227914</v>
      </c>
      <c r="AO319" s="62">
        <f ca="1"/>
        <v>-0.48269965907632867</v>
      </c>
      <c r="AP319" s="62">
        <f ca="1"/>
        <v>0.2956399369276882</v>
      </c>
      <c r="AQ319" s="66" t="str">
        <f t="array" ref="AQ319">IF($AB319, Push(MMULT(Fetch(AG319),MMULT(TRANSPOSE($I$38:$L$41),Fetch(AL319)))), "")</f>
        <v/>
      </c>
      <c r="AR319" s="62">
        <f t="array" aca="1" ref="AR319:AU319" ca="1">AC319:AF319 + TRANSPOSE(MMULT(IF($AB319,Fetch(AQ319),$L$61:$O$64),TRANSPOSE(AM319:AP319)))</f>
        <v>0.31853946647104303</v>
      </c>
      <c r="AS319" s="62">
        <f ca="1"/>
        <v>0.60103458698429113</v>
      </c>
      <c r="AT319" s="62">
        <f ca="1"/>
        <v>9.0575300561967428E-2</v>
      </c>
      <c r="AU319" s="62">
        <f ca="1"/>
        <v>0.12455000617539745</v>
      </c>
      <c r="AV319" s="66" t="str">
        <f t="array" ref="AV319">IF($AB319, Push(Fetch(AG319) - MMULT(Fetch(AQ319),MMULT($I$38:$L$41,Fetch(AG319)))), "")</f>
        <v/>
      </c>
      <c r="AW319" s="97">
        <f t="array" aca="1" ref="AW319" ca="1">IF($AB319,LN(MDETERM(Fetch(AL319))),$J$65)   -   MMULT(AM319:AP319,MMULT(IF($AB319,Fetch(AL319),$G$61:$J$64),TRANSPOSE(AM319:AP319)))</f>
        <v>5.1338415612810095</v>
      </c>
    </row>
    <row r="320" spans="23:49" x14ac:dyDescent="0.15">
      <c r="W320" s="12">
        <f t="shared" si="8"/>
        <v>317</v>
      </c>
      <c r="X320" s="62">
        <f t="array" aca="1" ref="X320:AA320" ca="1">simulate!AE320:AH320</f>
        <v>1.0117117641197144</v>
      </c>
      <c r="Y320" s="62">
        <f ca="1"/>
        <v>0.29721854088320743</v>
      </c>
      <c r="Z320" s="62">
        <f ca="1"/>
        <v>0.94556954443716279</v>
      </c>
      <c r="AA320" s="62">
        <f ca="1"/>
        <v>0.83101992760919163</v>
      </c>
      <c r="AB320" s="98">
        <f t="shared" si="9"/>
        <v>0</v>
      </c>
      <c r="AC320" s="62">
        <f t="array" aca="1" ref="AC320:AF320" ca="1">TRANSPOSE($G$44:$G$47 + MMULT($I$44:$L$47,TRANSPOSE(AR319:AU319)))</f>
        <v>0.54742223136512447</v>
      </c>
      <c r="AD320" s="62">
        <f ca="1"/>
        <v>0.45045184764320134</v>
      </c>
      <c r="AE320" s="62">
        <f ca="1"/>
        <v>0.28983438638193232</v>
      </c>
      <c r="AF320" s="62">
        <f ca="1"/>
        <v>0.33679295248507934</v>
      </c>
      <c r="AG320" s="66" t="str">
        <f t="array" ref="AG320">IF($AB320, Push(MMULT($I$44:$L$47,MMULT(Fetch(AV319),TRANSPOSE($I$44:$L$47))) + $N$44:$Q$47), "")</f>
        <v/>
      </c>
      <c r="AH320" s="62">
        <f t="array" aca="1" ref="AH320:AK320" ca="1">TRANSPOSE($G$38:$G$41 + MMULT($I$38:$L$41,TRANSPOSE(AC320:AF320)))</f>
        <v>0.71952169520889009</v>
      </c>
      <c r="AI320" s="62">
        <f ca="1"/>
        <v>0.62532204425948079</v>
      </c>
      <c r="AJ320" s="62">
        <f ca="1"/>
        <v>0.42608590750826242</v>
      </c>
      <c r="AK320" s="62">
        <f ca="1"/>
        <v>0.36649389302355317</v>
      </c>
      <c r="AL320" s="66" t="str">
        <f t="array" ref="AL320">IF($AB320, Push(MINVERSE(MMULT($I$38:$L$41,MMULT(Fetch(AG320),TRANSPOSE($I$38:$L$41))) + $N$38:$Q$41)), "")</f>
        <v/>
      </c>
      <c r="AM320" s="62">
        <f t="array" aca="1" ref="AM320:AP320" ca="1">X320:AA320 - AH320:AK320</f>
        <v>0.29219006891082433</v>
      </c>
      <c r="AN320" s="62">
        <f ca="1"/>
        <v>-0.32810350337627336</v>
      </c>
      <c r="AO320" s="62">
        <f ca="1"/>
        <v>0.51948363692890043</v>
      </c>
      <c r="AP320" s="62">
        <f ca="1"/>
        <v>0.46452603458563846</v>
      </c>
      <c r="AQ320" s="66" t="str">
        <f t="array" ref="AQ320">IF($AB320, Push(MMULT(Fetch(AG320),MMULT(TRANSPOSE($I$38:$L$41),Fetch(AL320)))), "")</f>
        <v/>
      </c>
      <c r="AR320" s="62">
        <f t="array" aca="1" ref="AR320:AU320" ca="1">AC320:AF320 + TRANSPOSE(MMULT(IF($AB320,Fetch(AQ320),$L$61:$O$64),TRANSPOSE(AM320:AP320)))</f>
        <v>0.65508242019967633</v>
      </c>
      <c r="AS320" s="62">
        <f ca="1"/>
        <v>0.19560722321493546</v>
      </c>
      <c r="AT320" s="62">
        <f ca="1"/>
        <v>0.83085363844010329</v>
      </c>
      <c r="AU320" s="62">
        <f ca="1"/>
        <v>0.70937571421467993</v>
      </c>
      <c r="AV320" s="66" t="str">
        <f t="array" ref="AV320">IF($AB320, Push(Fetch(AG320) - MMULT(Fetch(AQ320),MMULT($I$38:$L$41,Fetch(AG320)))), "")</f>
        <v/>
      </c>
      <c r="AW320" s="97">
        <f t="array" aca="1" ref="AW320" ca="1">IF($AB320,LN(MDETERM(Fetch(AL320))),$J$65)   -   MMULT(AM320:AP320,MMULT(IF($AB320,Fetch(AL320),$G$61:$J$64),TRANSPOSE(AM320:AP320)))</f>
        <v>4.6246261606329959</v>
      </c>
    </row>
    <row r="321" spans="23:49" x14ac:dyDescent="0.15">
      <c r="W321" s="12">
        <f t="shared" si="8"/>
        <v>318</v>
      </c>
      <c r="X321" s="62">
        <f t="array" aca="1" ref="X321:AA321" ca="1">simulate!AE321:AH321</f>
        <v>0.88687774269624009</v>
      </c>
      <c r="Y321" s="62">
        <f ca="1"/>
        <v>-0.47319260302446453</v>
      </c>
      <c r="Z321" s="62">
        <f ca="1"/>
        <v>1.1073123245622272</v>
      </c>
      <c r="AA321" s="62">
        <f ca="1"/>
        <v>0.49692528093525906</v>
      </c>
      <c r="AB321" s="98">
        <f t="shared" si="9"/>
        <v>0</v>
      </c>
      <c r="AC321" s="62">
        <f t="array" aca="1" ref="AC321:AF321" ca="1">TRANSPOSE($G$44:$G$47 + MMULT($I$44:$L$47,TRANSPOSE(AR320:AU320)))</f>
        <v>0.74998076558743043</v>
      </c>
      <c r="AD321" s="62">
        <f ca="1"/>
        <v>0.43731650052145288</v>
      </c>
      <c r="AE321" s="62">
        <f ca="1"/>
        <v>0.734320390406763</v>
      </c>
      <c r="AF321" s="62">
        <f ca="1"/>
        <v>0.76014688289660293</v>
      </c>
      <c r="AG321" s="66" t="str">
        <f t="array" ref="AG321">IF($AB321, Push(MMULT($I$44:$L$47,MMULT(Fetch(AV320),TRANSPOSE($I$44:$L$47))) + $N$44:$Q$47), "")</f>
        <v/>
      </c>
      <c r="AH321" s="62">
        <f t="array" aca="1" ref="AH321:AK321" ca="1">TRANSPOSE($G$38:$G$41 + MMULT($I$38:$L$41,TRANSPOSE(AC321:AF321)))</f>
        <v>1.0274010649968348</v>
      </c>
      <c r="AI321" s="62">
        <f ca="1"/>
        <v>0.65843551471576012</v>
      </c>
      <c r="AJ321" s="62">
        <f ca="1"/>
        <v>0.82163421724196262</v>
      </c>
      <c r="AK321" s="62">
        <f ca="1"/>
        <v>0.77350025869770089</v>
      </c>
      <c r="AL321" s="66" t="str">
        <f t="array" ref="AL321">IF($AB321, Push(MINVERSE(MMULT($I$38:$L$41,MMULT(Fetch(AG321),TRANSPOSE($I$38:$L$41))) + $N$38:$Q$41)), "")</f>
        <v/>
      </c>
      <c r="AM321" s="62">
        <f t="array" aca="1" ref="AM321:AP321" ca="1">X321:AA321 - AH321:AK321</f>
        <v>-0.14052332230059472</v>
      </c>
      <c r="AN321" s="62">
        <f ca="1"/>
        <v>-1.1316281177402248</v>
      </c>
      <c r="AO321" s="62">
        <f ca="1"/>
        <v>0.28567810732026455</v>
      </c>
      <c r="AP321" s="62">
        <f ca="1"/>
        <v>-0.27657497776244183</v>
      </c>
      <c r="AQ321" s="66" t="str">
        <f t="array" ref="AQ321">IF($AB321, Push(MMULT(Fetch(AG321),MMULT(TRANSPOSE($I$38:$L$41),Fetch(AL321)))), "")</f>
        <v/>
      </c>
      <c r="AR321" s="62">
        <f t="array" aca="1" ref="AR321:AU321" ca="1">AC321:AF321 + TRANSPOSE(MMULT(IF($AB321,Fetch(AQ321),$L$61:$O$64),TRANSPOSE(AM321:AP321)))</f>
        <v>0.64235962399416335</v>
      </c>
      <c r="AS321" s="62">
        <f ca="1"/>
        <v>-0.29848854308734007</v>
      </c>
      <c r="AT321" s="62">
        <f ca="1"/>
        <v>0.69190178913588141</v>
      </c>
      <c r="AU321" s="62">
        <f ca="1"/>
        <v>0.77155627991496489</v>
      </c>
      <c r="AV321" s="66" t="str">
        <f t="array" ref="AV321">IF($AB321, Push(Fetch(AG321) - MMULT(Fetch(AQ321),MMULT($I$38:$L$41,Fetch(AG321)))), "")</f>
        <v/>
      </c>
      <c r="AW321" s="97">
        <f t="array" aca="1" ref="AW321" ca="1">IF($AB321,LN(MDETERM(Fetch(AL321))),$J$65)   -   MMULT(AM321:AP321,MMULT(IF($AB321,Fetch(AL321),$G$61:$J$64),TRANSPOSE(AM321:AP321)))</f>
        <v>-1.1795396392464639</v>
      </c>
    </row>
    <row r="322" spans="23:49" x14ac:dyDescent="0.15">
      <c r="W322" s="12">
        <f t="shared" si="8"/>
        <v>319</v>
      </c>
      <c r="X322" s="62">
        <f t="array" aca="1" ref="X322:AA322" ca="1">simulate!AE322:AH322</f>
        <v>2.1378689806539297</v>
      </c>
      <c r="Y322" s="62">
        <f ca="1"/>
        <v>0.70104060208111052</v>
      </c>
      <c r="Z322" s="62">
        <f ca="1"/>
        <v>0.42041042778711063</v>
      </c>
      <c r="AA322" s="62">
        <f ca="1"/>
        <v>0.93612899581246301</v>
      </c>
      <c r="AB322" s="98">
        <f t="shared" si="9"/>
        <v>0</v>
      </c>
      <c r="AC322" s="62">
        <f t="array" aca="1" ref="AC322:AF322" ca="1">TRANSPOSE($G$44:$G$47 + MMULT($I$44:$L$47,TRANSPOSE(AR321:AU321)))</f>
        <v>0.66308469367820588</v>
      </c>
      <c r="AD322" s="62">
        <f ca="1"/>
        <v>0.1522647720266983</v>
      </c>
      <c r="AE322" s="62">
        <f ca="1"/>
        <v>0.58735129638450601</v>
      </c>
      <c r="AF322" s="62">
        <f ca="1"/>
        <v>0.73538591487546667</v>
      </c>
      <c r="AG322" s="66" t="str">
        <f t="array" ref="AG322">IF($AB322, Push(MMULT($I$44:$L$47,MMULT(Fetch(AV321),TRANSPOSE($I$44:$L$47))) + $N$44:$Q$47), "")</f>
        <v/>
      </c>
      <c r="AH322" s="62">
        <f t="array" aca="1" ref="AH322:AK322" ca="1">TRANSPOSE($G$38:$G$41 + MMULT($I$38:$L$41,TRANSPOSE(AC322:AF322)))</f>
        <v>0.89393462206306795</v>
      </c>
      <c r="AI322" s="62">
        <f ca="1"/>
        <v>0.41060917620813253</v>
      </c>
      <c r="AJ322" s="62">
        <f ca="1"/>
        <v>0.88930539115149787</v>
      </c>
      <c r="AK322" s="62">
        <f ca="1"/>
        <v>0.60855219978101793</v>
      </c>
      <c r="AL322" s="66" t="str">
        <f t="array" ref="AL322">IF($AB322, Push(MINVERSE(MMULT($I$38:$L$41,MMULT(Fetch(AG322),TRANSPOSE($I$38:$L$41))) + $N$38:$Q$41)), "")</f>
        <v/>
      </c>
      <c r="AM322" s="62">
        <f t="array" aca="1" ref="AM322:AP322" ca="1">X322:AA322 - AH322:AK322</f>
        <v>1.2439343585908618</v>
      </c>
      <c r="AN322" s="62">
        <f ca="1"/>
        <v>0.29043142587297799</v>
      </c>
      <c r="AO322" s="62">
        <f ca="1"/>
        <v>-0.46889496336438724</v>
      </c>
      <c r="AP322" s="62">
        <f ca="1"/>
        <v>0.32757679603144507</v>
      </c>
      <c r="AQ322" s="66" t="str">
        <f t="array" ref="AQ322">IF($AB322, Push(MMULT(Fetch(AG322),MMULT(TRANSPOSE($I$38:$L$41),Fetch(AL322)))), "")</f>
        <v/>
      </c>
      <c r="AR322" s="62">
        <f t="array" aca="1" ref="AR322:AU322" ca="1">AC322:AF322 + TRANSPOSE(MMULT(IF($AB322,Fetch(AQ322),$L$61:$O$64),TRANSPOSE(AM322:AP322)))</f>
        <v>1.083758657048274</v>
      </c>
      <c r="AS322" s="62">
        <f ca="1"/>
        <v>0.26430239759943097</v>
      </c>
      <c r="AT322" s="62">
        <f ca="1"/>
        <v>1.1387507500491831</v>
      </c>
      <c r="AU322" s="62">
        <f ca="1"/>
        <v>0.66527140686346609</v>
      </c>
      <c r="AV322" s="66" t="str">
        <f t="array" ref="AV322">IF($AB322, Push(Fetch(AG322) - MMULT(Fetch(AQ322),MMULT($I$38:$L$41,Fetch(AG322)))), "")</f>
        <v/>
      </c>
      <c r="AW322" s="97">
        <f t="array" aca="1" ref="AW322" ca="1">IF($AB322,LN(MDETERM(Fetch(AL322))),$J$65)   -   MMULT(AM322:AP322,MMULT(IF($AB322,Fetch(AL322),$G$61:$J$64),TRANSPOSE(AM322:AP322)))</f>
        <v>-2.3787446230667353</v>
      </c>
    </row>
    <row r="323" spans="23:49" x14ac:dyDescent="0.15">
      <c r="W323" s="12">
        <f t="shared" si="8"/>
        <v>320</v>
      </c>
      <c r="X323" s="62">
        <f t="array" aca="1" ref="X323:AA323" ca="1">simulate!AE323:AH323</f>
        <v>1.6489330265470201</v>
      </c>
      <c r="Y323" s="62">
        <f ca="1"/>
        <v>0.88177243536588468</v>
      </c>
      <c r="Z323" s="62">
        <f ca="1"/>
        <v>1.2975966614664189</v>
      </c>
      <c r="AA323" s="62">
        <f ca="1"/>
        <v>0.65218127453735886</v>
      </c>
      <c r="AB323" s="98">
        <f t="shared" si="9"/>
        <v>0</v>
      </c>
      <c r="AC323" s="62">
        <f t="array" aca="1" ref="AC323:AF323" ca="1">TRANSPOSE($G$44:$G$47 + MMULT($I$44:$L$47,TRANSPOSE(AR322:AU322)))</f>
        <v>1.0114620390016205</v>
      </c>
      <c r="AD323" s="62">
        <f ca="1"/>
        <v>0.58644333160302786</v>
      </c>
      <c r="AE323" s="62">
        <f ca="1"/>
        <v>0.93574886103206467</v>
      </c>
      <c r="AF323" s="62">
        <f ca="1"/>
        <v>0.81180761191981943</v>
      </c>
      <c r="AG323" s="66" t="str">
        <f t="array" ref="AG323">IF($AB323, Push(MMULT($I$44:$L$47,MMULT(Fetch(AV322),TRANSPOSE($I$44:$L$47))) + $N$44:$Q$47), "")</f>
        <v/>
      </c>
      <c r="AH323" s="62">
        <f t="array" aca="1" ref="AH323:AK323" ca="1">TRANSPOSE($G$38:$G$41 + MMULT($I$38:$L$41,TRANSPOSE(AC323:AF323)))</f>
        <v>1.3199628364943938</v>
      </c>
      <c r="AI323" s="62">
        <f ca="1"/>
        <v>0.84378939923202489</v>
      </c>
      <c r="AJ323" s="62">
        <f ca="1"/>
        <v>0.89048975989260559</v>
      </c>
      <c r="AK323" s="62">
        <f ca="1"/>
        <v>0.8692289868602725</v>
      </c>
      <c r="AL323" s="66" t="str">
        <f t="array" ref="AL323">IF($AB323, Push(MINVERSE(MMULT($I$38:$L$41,MMULT(Fetch(AG323),TRANSPOSE($I$38:$L$41))) + $N$38:$Q$41)), "")</f>
        <v/>
      </c>
      <c r="AM323" s="62">
        <f t="array" aca="1" ref="AM323:AP323" ca="1">X323:AA323 - AH323:AK323</f>
        <v>0.32897019005262629</v>
      </c>
      <c r="AN323" s="62">
        <f ca="1"/>
        <v>3.7983036133859782E-2</v>
      </c>
      <c r="AO323" s="62">
        <f ca="1"/>
        <v>0.40710690157381335</v>
      </c>
      <c r="AP323" s="62">
        <f ca="1"/>
        <v>-0.21704771232291364</v>
      </c>
      <c r="AQ323" s="66" t="str">
        <f t="array" ref="AQ323">IF($AB323, Push(MMULT(Fetch(AG323),MMULT(TRANSPOSE($I$38:$L$41),Fetch(AL323)))), "")</f>
        <v/>
      </c>
      <c r="AR323" s="62">
        <f t="array" aca="1" ref="AR323:AU323" ca="1">AC323:AF323 + TRANSPOSE(MMULT(IF($AB323,Fetch(AQ323),$L$61:$O$64),TRANSPOSE(AM323:AP323)))</f>
        <v>1.3179882873148614</v>
      </c>
      <c r="AS323" s="62">
        <f ca="1"/>
        <v>0.42228176065945822</v>
      </c>
      <c r="AT323" s="62">
        <f ca="1"/>
        <v>0.97609476525488859</v>
      </c>
      <c r="AU323" s="62">
        <f ca="1"/>
        <v>0.90336734136856878</v>
      </c>
      <c r="AV323" s="66" t="str">
        <f t="array" ref="AV323">IF($AB323, Push(Fetch(AG323) - MMULT(Fetch(AQ323),MMULT($I$38:$L$41,Fetch(AG323)))), "")</f>
        <v/>
      </c>
      <c r="AW323" s="97">
        <f t="array" aca="1" ref="AW323" ca="1">IF($AB323,LN(MDETERM(Fetch(AL323))),$J$65)   -   MMULT(AM323:AP323,MMULT(IF($AB323,Fetch(AL323),$G$61:$J$64),TRANSPOSE(AM323:AP323)))</f>
        <v>4.6972403086707031</v>
      </c>
    </row>
    <row r="324" spans="23:49" x14ac:dyDescent="0.15">
      <c r="W324" s="12">
        <f t="shared" si="8"/>
        <v>321</v>
      </c>
      <c r="X324" s="62">
        <f t="array" aca="1" ref="X324:AA324" ca="1">simulate!AE324:AH324</f>
        <v>1.2890208343441225</v>
      </c>
      <c r="Y324" s="62">
        <f ca="1"/>
        <v>0.27378656690166103</v>
      </c>
      <c r="Z324" s="62">
        <f ca="1"/>
        <v>0.4266019351150302</v>
      </c>
      <c r="AA324" s="62">
        <f ca="1"/>
        <v>0.99532470891456115</v>
      </c>
      <c r="AB324" s="98">
        <f t="shared" si="9"/>
        <v>0</v>
      </c>
      <c r="AC324" s="62">
        <f t="array" aca="1" ref="AC324:AF324" ca="1">TRANSPOSE($G$44:$G$47 + MMULT($I$44:$L$47,TRANSPOSE(AR323:AU323)))</f>
        <v>1.1612065056489567</v>
      </c>
      <c r="AD324" s="62">
        <f ca="1"/>
        <v>0.70267032468019863</v>
      </c>
      <c r="AE324" s="62">
        <f ca="1"/>
        <v>0.92546137969427222</v>
      </c>
      <c r="AF324" s="62">
        <f ca="1"/>
        <v>0.93649003604799241</v>
      </c>
      <c r="AG324" s="66" t="str">
        <f t="array" ref="AG324">IF($AB324, Push(MMULT($I$44:$L$47,MMULT(Fetch(AV323),TRANSPOSE($I$44:$L$47))) + $N$44:$Q$47), "")</f>
        <v/>
      </c>
      <c r="AH324" s="62">
        <f t="array" aca="1" ref="AH324:AK324" ca="1">TRANSPOSE($G$38:$G$41 + MMULT($I$38:$L$41,TRANSPOSE(AC324:AF324)))</f>
        <v>1.3789143780966882</v>
      </c>
      <c r="AI324" s="62">
        <f ca="1"/>
        <v>1.0275948336123071</v>
      </c>
      <c r="AJ324" s="62">
        <f ca="1"/>
        <v>1.0093284493662735</v>
      </c>
      <c r="AK324" s="62">
        <f ca="1"/>
        <v>0.88341709065109186</v>
      </c>
      <c r="AL324" s="66" t="str">
        <f t="array" ref="AL324">IF($AB324, Push(MINVERSE(MMULT($I$38:$L$41,MMULT(Fetch(AG324),TRANSPOSE($I$38:$L$41))) + $N$38:$Q$41)), "")</f>
        <v/>
      </c>
      <c r="AM324" s="62">
        <f t="array" aca="1" ref="AM324:AP324" ca="1">X324:AA324 - AH324:AK324</f>
        <v>-8.9893543752565641E-2</v>
      </c>
      <c r="AN324" s="62">
        <f ca="1"/>
        <v>-0.75380826671064605</v>
      </c>
      <c r="AO324" s="62">
        <f ca="1"/>
        <v>-0.58272651425124333</v>
      </c>
      <c r="AP324" s="62">
        <f ca="1"/>
        <v>0.11190761826346929</v>
      </c>
      <c r="AQ324" s="66" t="str">
        <f t="array" ref="AQ324">IF($AB324, Push(MMULT(Fetch(AG324),MMULT(TRANSPOSE($I$38:$L$41),Fetch(AL324)))), "")</f>
        <v/>
      </c>
      <c r="AR324" s="62">
        <f t="array" aca="1" ref="AR324:AU324" ca="1">AC324:AF324 + TRANSPOSE(MMULT(IF($AB324,Fetch(AQ324),$L$61:$O$64),TRANSPOSE(AM324:AP324)))</f>
        <v>0.83085789716498359</v>
      </c>
      <c r="AS324" s="62">
        <f ca="1"/>
        <v>0.43275644346596914</v>
      </c>
      <c r="AT324" s="62">
        <f ca="1"/>
        <v>0.96311467249805249</v>
      </c>
      <c r="AU324" s="62">
        <f ca="1"/>
        <v>0.73253755734151804</v>
      </c>
      <c r="AV324" s="66" t="str">
        <f t="array" ref="AV324">IF($AB324, Push(Fetch(AG324) - MMULT(Fetch(AQ324),MMULT($I$38:$L$41,Fetch(AG324)))), "")</f>
        <v/>
      </c>
      <c r="AW324" s="97">
        <f t="array" aca="1" ref="AW324" ca="1">IF($AB324,LN(MDETERM(Fetch(AL324))),$J$65)   -   MMULT(AM324:AP324,MMULT(IF($AB324,Fetch(AL324),$G$61:$J$64),TRANSPOSE(AM324:AP324)))</f>
        <v>0.35946263967087866</v>
      </c>
    </row>
    <row r="325" spans="23:49" x14ac:dyDescent="0.15">
      <c r="W325" s="12">
        <f t="shared" ref="W325:W388" si="10">W324+1</f>
        <v>322</v>
      </c>
      <c r="X325" s="62">
        <f t="array" aca="1" ref="X325:AA325" ca="1">simulate!AE325:AH325</f>
        <v>0.65603662691418441</v>
      </c>
      <c r="Y325" s="62">
        <f ca="1"/>
        <v>0.57158349261280128</v>
      </c>
      <c r="Z325" s="62">
        <f ca="1"/>
        <v>-0.25889210324233658</v>
      </c>
      <c r="AA325" s="62">
        <f ca="1"/>
        <v>0.99881827692668268</v>
      </c>
      <c r="AB325" s="98">
        <f t="shared" ref="AB325:AB388" si="11">($W325&lt;=$D$51) * 1</f>
        <v>0</v>
      </c>
      <c r="AC325" s="62">
        <f t="array" aca="1" ref="AC325:AF325" ca="1">TRANSPOSE($G$44:$G$47 + MMULT($I$44:$L$47,TRANSPOSE(AR324:AU324)))</f>
        <v>0.89053654451311837</v>
      </c>
      <c r="AD325" s="62">
        <f ca="1"/>
        <v>0.6151558726740286</v>
      </c>
      <c r="AE325" s="62">
        <f ca="1"/>
        <v>0.86019479687799449</v>
      </c>
      <c r="AF325" s="62">
        <f ca="1"/>
        <v>0.81945801544512986</v>
      </c>
      <c r="AG325" s="66" t="str">
        <f t="array" ref="AG325">IF($AB325, Push(MMULT($I$44:$L$47,MMULT(Fetch(AV324),TRANSPOSE($I$44:$L$47))) + $N$44:$Q$47), "")</f>
        <v/>
      </c>
      <c r="AH325" s="62">
        <f t="array" aca="1" ref="AH325:AK325" ca="1">TRANSPOSE($G$38:$G$41 + MMULT($I$38:$L$41,TRANSPOSE(AC325:AF325)))</f>
        <v>1.1817015487049329</v>
      </c>
      <c r="AI325" s="62">
        <f ca="1"/>
        <v>0.84488015571973296</v>
      </c>
      <c r="AJ325" s="62">
        <f ca="1"/>
        <v>0.84625144443474842</v>
      </c>
      <c r="AK325" s="62">
        <f ca="1"/>
        <v>0.88105812507384162</v>
      </c>
      <c r="AL325" s="66" t="str">
        <f t="array" ref="AL325">IF($AB325, Push(MINVERSE(MMULT($I$38:$L$41,MMULT(Fetch(AG325),TRANSPOSE($I$38:$L$41))) + $N$38:$Q$41)), "")</f>
        <v/>
      </c>
      <c r="AM325" s="62">
        <f t="array" aca="1" ref="AM325:AP325" ca="1">X325:AA325 - AH325:AK325</f>
        <v>-0.52566492179074853</v>
      </c>
      <c r="AN325" s="62">
        <f ca="1"/>
        <v>-0.27329666310693168</v>
      </c>
      <c r="AO325" s="62">
        <f ca="1"/>
        <v>-1.105143547677085</v>
      </c>
      <c r="AP325" s="62">
        <f ca="1"/>
        <v>0.11776015185284106</v>
      </c>
      <c r="AQ325" s="66" t="str">
        <f t="array" ref="AQ325">IF($AB325, Push(MMULT(Fetch(AG325),MMULT(TRANSPOSE($I$38:$L$41),Fetch(AL325)))), "")</f>
        <v/>
      </c>
      <c r="AR325" s="62">
        <f t="array" aca="1" ref="AR325:AU325" ca="1">AC325:AF325 + TRANSPOSE(MMULT(IF($AB325,Fetch(AQ325),$L$61:$O$64),TRANSPOSE(AM325:AP325)))</f>
        <v>0.30477443438911189</v>
      </c>
      <c r="AS325" s="62">
        <f ca="1"/>
        <v>0.80605395983485939</v>
      </c>
      <c r="AT325" s="62">
        <f ca="1"/>
        <v>0.59487156325942592</v>
      </c>
      <c r="AU325" s="62">
        <f ca="1"/>
        <v>0.40647748928857602</v>
      </c>
      <c r="AV325" s="66" t="str">
        <f t="array" ref="AV325">IF($AB325, Push(Fetch(AG325) - MMULT(Fetch(AQ325),MMULT($I$38:$L$41,Fetch(AG325)))), "")</f>
        <v/>
      </c>
      <c r="AW325" s="97">
        <f t="array" aca="1" ref="AW325" ca="1">IF($AB325,LN(MDETERM(Fetch(AL325))),$J$65)   -   MMULT(AM325:AP325,MMULT(IF($AB325,Fetch(AL325),$G$61:$J$64),TRANSPOSE(AM325:AP325)))</f>
        <v>-1.9119031891768969</v>
      </c>
    </row>
    <row r="326" spans="23:49" x14ac:dyDescent="0.15">
      <c r="W326" s="12">
        <f t="shared" si="10"/>
        <v>323</v>
      </c>
      <c r="X326" s="62">
        <f t="array" aca="1" ref="X326:AA326" ca="1">simulate!AE326:AH326</f>
        <v>0.95327293553221371</v>
      </c>
      <c r="Y326" s="62">
        <f ca="1"/>
        <v>0.98729972141291955</v>
      </c>
      <c r="Z326" s="62">
        <f ca="1"/>
        <v>0.22772197514075654</v>
      </c>
      <c r="AA326" s="62">
        <f ca="1"/>
        <v>0.47142176279106329</v>
      </c>
      <c r="AB326" s="98">
        <f t="shared" si="11"/>
        <v>0</v>
      </c>
      <c r="AC326" s="62">
        <f t="array" aca="1" ref="AC326:AF326" ca="1">TRANSPOSE($G$44:$G$47 + MMULT($I$44:$L$47,TRANSPOSE(AR325:AU325)))</f>
        <v>0.61977500126795682</v>
      </c>
      <c r="AD326" s="62">
        <f ca="1"/>
        <v>0.65364279502140976</v>
      </c>
      <c r="AE326" s="62">
        <f ca="1"/>
        <v>0.6362218899600417</v>
      </c>
      <c r="AF326" s="62">
        <f ca="1"/>
        <v>0.58486478829343214</v>
      </c>
      <c r="AG326" s="66" t="str">
        <f t="array" ref="AG326">IF($AB326, Push(MMULT($I$44:$L$47,MMULT(Fetch(AV325),TRANSPOSE($I$44:$L$47))) + $N$44:$Q$47), "")</f>
        <v/>
      </c>
      <c r="AH326" s="62">
        <f t="array" aca="1" ref="AH326:AK326" ca="1">TRANSPOSE($G$38:$G$41 + MMULT($I$38:$L$41,TRANSPOSE(AC326:AF326)))</f>
        <v>0.91023908621245098</v>
      </c>
      <c r="AI326" s="62">
        <f ca="1"/>
        <v>0.78937007317478547</v>
      </c>
      <c r="AJ326" s="62">
        <f ca="1"/>
        <v>0.55185129703072255</v>
      </c>
      <c r="AK326" s="62">
        <f ca="1"/>
        <v>0.75242602506431466</v>
      </c>
      <c r="AL326" s="66" t="str">
        <f t="array" ref="AL326">IF($AB326, Push(MINVERSE(MMULT($I$38:$L$41,MMULT(Fetch(AG326),TRANSPOSE($I$38:$L$41))) + $N$38:$Q$41)), "")</f>
        <v/>
      </c>
      <c r="AM326" s="62">
        <f t="array" aca="1" ref="AM326:AP326" ca="1">X326:AA326 - AH326:AK326</f>
        <v>4.3033849319762729E-2</v>
      </c>
      <c r="AN326" s="62">
        <f ca="1"/>
        <v>0.19792964823813408</v>
      </c>
      <c r="AO326" s="62">
        <f ca="1"/>
        <v>-0.32412932188996602</v>
      </c>
      <c r="AP326" s="62">
        <f ca="1"/>
        <v>-0.28100426227325137</v>
      </c>
      <c r="AQ326" s="66" t="str">
        <f t="array" ref="AQ326">IF($AB326, Push(MMULT(Fetch(AG326),MMULT(TRANSPOSE($I$38:$L$41),Fetch(AL326)))), "")</f>
        <v/>
      </c>
      <c r="AR326" s="62">
        <f t="array" aca="1" ref="AR326:AU326" ca="1">AC326:AF326 + TRANSPOSE(MMULT(IF($AB326,Fetch(AQ326),$L$61:$O$64),TRANSPOSE(AM326:AP326)))</f>
        <v>0.65213690276442282</v>
      </c>
      <c r="AS326" s="62">
        <f ca="1"/>
        <v>0.77122671784973962</v>
      </c>
      <c r="AT326" s="62">
        <f ca="1"/>
        <v>0.38709664880476602</v>
      </c>
      <c r="AU326" s="62">
        <f ca="1"/>
        <v>0.35625188214023557</v>
      </c>
      <c r="AV326" s="66" t="str">
        <f t="array" ref="AV326">IF($AB326, Push(Fetch(AG326) - MMULT(Fetch(AQ326),MMULT($I$38:$L$41,Fetch(AG326)))), "")</f>
        <v/>
      </c>
      <c r="AW326" s="97">
        <f t="array" aca="1" ref="AW326" ca="1">IF($AB326,LN(MDETERM(Fetch(AL326))),$J$65)   -   MMULT(AM326:AP326,MMULT(IF($AB326,Fetch(AL326),$G$61:$J$64),TRANSPOSE(AM326:AP326)))</f>
        <v>5.9843403333074559</v>
      </c>
    </row>
    <row r="327" spans="23:49" x14ac:dyDescent="0.15">
      <c r="W327" s="12">
        <f t="shared" si="10"/>
        <v>324</v>
      </c>
      <c r="X327" s="62">
        <f t="array" aca="1" ref="X327:AA327" ca="1">simulate!AE327:AH327</f>
        <v>-0.34812669654850281</v>
      </c>
      <c r="Y327" s="62">
        <f ca="1"/>
        <v>0.61426351603541551</v>
      </c>
      <c r="Z327" s="62">
        <f ca="1"/>
        <v>0.94435711933448718</v>
      </c>
      <c r="AA327" s="62">
        <f ca="1"/>
        <v>0.32256873865843938</v>
      </c>
      <c r="AB327" s="98">
        <f t="shared" si="11"/>
        <v>0</v>
      </c>
      <c r="AC327" s="62">
        <f t="array" aca="1" ref="AC327:AF327" ca="1">TRANSPOSE($G$44:$G$47 + MMULT($I$44:$L$47,TRANSPOSE(AR326:AU326)))</f>
        <v>0.78501877206082793</v>
      </c>
      <c r="AD327" s="62">
        <f ca="1"/>
        <v>0.6569070359434056</v>
      </c>
      <c r="AE327" s="62">
        <f ca="1"/>
        <v>0.53564694610056929</v>
      </c>
      <c r="AF327" s="62">
        <f ca="1"/>
        <v>0.53821852406375303</v>
      </c>
      <c r="AG327" s="66" t="str">
        <f t="array" ref="AG327">IF($AB327, Push(MMULT($I$44:$L$47,MMULT(Fetch(AV326),TRANSPOSE($I$44:$L$47))) + $N$44:$Q$47), "")</f>
        <v/>
      </c>
      <c r="AH327" s="62">
        <f t="array" aca="1" ref="AH327:AK327" ca="1">TRANSPOSE($G$38:$G$41 + MMULT($I$38:$L$41,TRANSPOSE(AC327:AF327)))</f>
        <v>0.97758344984493495</v>
      </c>
      <c r="AI327" s="62">
        <f ca="1"/>
        <v>0.86988329877692494</v>
      </c>
      <c r="AJ327" s="62">
        <f ca="1"/>
        <v>0.58489065769177451</v>
      </c>
      <c r="AK327" s="62">
        <f ca="1"/>
        <v>0.58660048363372419</v>
      </c>
      <c r="AL327" s="66" t="str">
        <f t="array" ref="AL327">IF($AB327, Push(MINVERSE(MMULT($I$38:$L$41,MMULT(Fetch(AG327),TRANSPOSE($I$38:$L$41))) + $N$38:$Q$41)), "")</f>
        <v/>
      </c>
      <c r="AM327" s="62">
        <f t="array" aca="1" ref="AM327:AP327" ca="1">X327:AA327 - AH327:AK327</f>
        <v>-1.3257101463934378</v>
      </c>
      <c r="AN327" s="62">
        <f ca="1"/>
        <v>-0.25561978274150943</v>
      </c>
      <c r="AO327" s="62">
        <f ca="1"/>
        <v>0.35946646164271268</v>
      </c>
      <c r="AP327" s="62">
        <f ca="1"/>
        <v>-0.26403174497528481</v>
      </c>
      <c r="AQ327" s="66" t="str">
        <f t="array" ref="AQ327">IF($AB327, Push(MMULT(Fetch(AG327),MMULT(TRANSPOSE($I$38:$L$41),Fetch(AL327)))), "")</f>
        <v/>
      </c>
      <c r="AR327" s="62">
        <f t="array" aca="1" ref="AR327:AU327" ca="1">AC327:AF327 + TRANSPOSE(MMULT(IF($AB327,Fetch(AQ327),$L$61:$O$64),TRANSPOSE(AM327:AP327)))</f>
        <v>0.29086803184325222</v>
      </c>
      <c r="AS327" s="62">
        <f ca="1"/>
        <v>0.61454979089780648</v>
      </c>
      <c r="AT327" s="62">
        <f ca="1"/>
        <v>-2.642685520864485E-2</v>
      </c>
      <c r="AU327" s="62">
        <f ca="1"/>
        <v>0.58587804331862825</v>
      </c>
      <c r="AV327" s="66" t="str">
        <f t="array" ref="AV327">IF($AB327, Push(Fetch(AG327) - MMULT(Fetch(AQ327),MMULT($I$38:$L$41,Fetch(AG327)))), "")</f>
        <v/>
      </c>
      <c r="AW327" s="97">
        <f t="array" aca="1" ref="AW327" ca="1">IF($AB327,LN(MDETERM(Fetch(AL327))),$J$65)   -   MMULT(AM327:AP327,MMULT(IF($AB327,Fetch(AL327),$G$61:$J$64),TRANSPOSE(AM327:AP327)))</f>
        <v>-3.5360576560825976</v>
      </c>
    </row>
    <row r="328" spans="23:49" x14ac:dyDescent="0.15">
      <c r="W328" s="12">
        <f t="shared" si="10"/>
        <v>325</v>
      </c>
      <c r="X328" s="62">
        <f t="array" aca="1" ref="X328:AA328" ca="1">simulate!AE328:AH328</f>
        <v>0.90414411964744912</v>
      </c>
      <c r="Y328" s="62">
        <f ca="1"/>
        <v>0.64350464591973722</v>
      </c>
      <c r="Z328" s="62">
        <f ca="1"/>
        <v>1.1309881492696006</v>
      </c>
      <c r="AA328" s="62">
        <f ca="1"/>
        <v>1.1393485136258719</v>
      </c>
      <c r="AB328" s="98">
        <f t="shared" si="11"/>
        <v>0</v>
      </c>
      <c r="AC328" s="62">
        <f t="array" aca="1" ref="AC328:AF328" ca="1">TRANSPOSE($G$44:$G$47 + MMULT($I$44:$L$47,TRANSPOSE(AR327:AU327)))</f>
        <v>0.54831848213268108</v>
      </c>
      <c r="AD328" s="62">
        <f ca="1"/>
        <v>0.46878206505565967</v>
      </c>
      <c r="AE328" s="62">
        <f ca="1"/>
        <v>0.29514154736526482</v>
      </c>
      <c r="AF328" s="62">
        <f ca="1"/>
        <v>0.56658043536578429</v>
      </c>
      <c r="AG328" s="66" t="str">
        <f t="array" ref="AG328">IF($AB328, Push(MMULT($I$44:$L$47,MMULT(Fetch(AV327),TRANSPOSE($I$44:$L$47))) + $N$44:$Q$47), "")</f>
        <v/>
      </c>
      <c r="AH328" s="62">
        <f t="array" aca="1" ref="AH328:AK328" ca="1">TRANSPOSE($G$38:$G$41 + MMULT($I$38:$L$41,TRANSPOSE(AC328:AF328)))</f>
        <v>0.65720535178221162</v>
      </c>
      <c r="AI328" s="62">
        <f ca="1"/>
        <v>0.68543224409134396</v>
      </c>
      <c r="AJ328" s="62">
        <f ca="1"/>
        <v>0.61090081155835096</v>
      </c>
      <c r="AK328" s="62">
        <f ca="1"/>
        <v>0.47379786238740429</v>
      </c>
      <c r="AL328" s="66" t="str">
        <f t="array" ref="AL328">IF($AB328, Push(MINVERSE(MMULT($I$38:$L$41,MMULT(Fetch(AG328),TRANSPOSE($I$38:$L$41))) + $N$38:$Q$41)), "")</f>
        <v/>
      </c>
      <c r="AM328" s="62">
        <f t="array" aca="1" ref="AM328:AP328" ca="1">X328:AA328 - AH328:AK328</f>
        <v>0.2469387678652375</v>
      </c>
      <c r="AN328" s="62">
        <f ca="1"/>
        <v>-4.1927598171606739E-2</v>
      </c>
      <c r="AO328" s="62">
        <f ca="1"/>
        <v>0.5200873377112496</v>
      </c>
      <c r="AP328" s="62">
        <f ca="1"/>
        <v>0.66555065123846757</v>
      </c>
      <c r="AQ328" s="66" t="str">
        <f t="array" ref="AQ328">IF($AB328, Push(MMULT(Fetch(AG328),MMULT(TRANSPOSE($I$38:$L$41),Fetch(AL328)))), "")</f>
        <v/>
      </c>
      <c r="AR328" s="62">
        <f t="array" aca="1" ref="AR328:AU328" ca="1">AC328:AF328 + TRANSPOSE(MMULT(IF($AB328,Fetch(AQ328),$L$61:$O$64),TRANSPOSE(AM328:AP328)))</f>
        <v>0.63527881667568364</v>
      </c>
      <c r="AS328" s="62">
        <f ca="1"/>
        <v>0.42485039249332202</v>
      </c>
      <c r="AT328" s="62">
        <f ca="1"/>
        <v>0.91621375374983871</v>
      </c>
      <c r="AU328" s="62">
        <f ca="1"/>
        <v>1.0114234868259466</v>
      </c>
      <c r="AV328" s="66" t="str">
        <f t="array" ref="AV328">IF($AB328, Push(Fetch(AG328) - MMULT(Fetch(AQ328),MMULT($I$38:$L$41,Fetch(AG328)))), "")</f>
        <v/>
      </c>
      <c r="AW328" s="97">
        <f t="array" aca="1" ref="AW328" ca="1">IF($AB328,LN(MDETERM(Fetch(AL328))),$J$65)   -   MMULT(AM328:AP328,MMULT(IF($AB328,Fetch(AL328),$G$61:$J$64),TRANSPOSE(AM328:AP328)))</f>
        <v>2.3743495426840164</v>
      </c>
    </row>
    <row r="329" spans="23:49" x14ac:dyDescent="0.15">
      <c r="W329" s="12">
        <f t="shared" si="10"/>
        <v>326</v>
      </c>
      <c r="X329" s="62">
        <f t="array" aca="1" ref="X329:AA329" ca="1">simulate!AE329:AH329</f>
        <v>0.32146387697114231</v>
      </c>
      <c r="Y329" s="62">
        <f ca="1"/>
        <v>3.4278176936588634E-2</v>
      </c>
      <c r="Z329" s="62">
        <f ca="1"/>
        <v>5.7187507331742327E-2</v>
      </c>
      <c r="AA329" s="62">
        <f ca="1"/>
        <v>0.47302220795928884</v>
      </c>
      <c r="AB329" s="98">
        <f t="shared" si="11"/>
        <v>0</v>
      </c>
      <c r="AC329" s="62">
        <f t="array" aca="1" ref="AC329:AF329" ca="1">TRANSPOSE($G$44:$G$47 + MMULT($I$44:$L$47,TRANSPOSE(AR328:AU328)))</f>
        <v>0.79380265274189399</v>
      </c>
      <c r="AD329" s="62">
        <f ca="1"/>
        <v>0.59204305129805401</v>
      </c>
      <c r="AE329" s="62">
        <f ca="1"/>
        <v>0.86093180750776221</v>
      </c>
      <c r="AF329" s="62">
        <f ca="1"/>
        <v>0.95250098967122199</v>
      </c>
      <c r="AG329" s="66" t="str">
        <f t="array" ref="AG329">IF($AB329, Push(MMULT($I$44:$L$47,MMULT(Fetch(AV328),TRANSPOSE($I$44:$L$47))) + $N$44:$Q$47), "")</f>
        <v/>
      </c>
      <c r="AH329" s="62">
        <f t="array" aca="1" ref="AH329:AK329" ca="1">TRANSPOSE($G$38:$G$41 + MMULT($I$38:$L$41,TRANSPOSE(AC329:AF329)))</f>
        <v>1.0763514527390776</v>
      </c>
      <c r="AI329" s="62">
        <f ca="1"/>
        <v>0.81491375536323762</v>
      </c>
      <c r="AJ329" s="62">
        <f ca="1"/>
        <v>0.92868562438632996</v>
      </c>
      <c r="AK329" s="62">
        <f ca="1"/>
        <v>0.97486965213809529</v>
      </c>
      <c r="AL329" s="66" t="str">
        <f t="array" ref="AL329">IF($AB329, Push(MINVERSE(MMULT($I$38:$L$41,MMULT(Fetch(AG329),TRANSPOSE($I$38:$L$41))) + $N$38:$Q$41)), "")</f>
        <v/>
      </c>
      <c r="AM329" s="62">
        <f t="array" aca="1" ref="AM329:AP329" ca="1">X329:AA329 - AH329:AK329</f>
        <v>-0.7548875757679353</v>
      </c>
      <c r="AN329" s="62">
        <f ca="1"/>
        <v>-0.78063557842664899</v>
      </c>
      <c r="AO329" s="62">
        <f ca="1"/>
        <v>-0.87149811705458768</v>
      </c>
      <c r="AP329" s="62">
        <f ca="1"/>
        <v>-0.50184744417880645</v>
      </c>
      <c r="AQ329" s="66" t="str">
        <f t="array" ref="AQ329">IF($AB329, Push(MMULT(Fetch(AG329),MMULT(TRANSPOSE($I$38:$L$41),Fetch(AL329)))), "")</f>
        <v/>
      </c>
      <c r="AR329" s="62">
        <f t="array" aca="1" ref="AR329:AU329" ca="1">AC329:AF329 + TRANSPOSE(MMULT(IF($AB329,Fetch(AQ329),$L$61:$O$64),TRANSPOSE(AM329:AP329)))</f>
        <v>0.22180829341793595</v>
      </c>
      <c r="AS329" s="62">
        <f ca="1"/>
        <v>0.36153966336713228</v>
      </c>
      <c r="AT329" s="62">
        <f ca="1"/>
        <v>0.20764693845672355</v>
      </c>
      <c r="AU329" s="62">
        <f ca="1"/>
        <v>0.41402474504239439</v>
      </c>
      <c r="AV329" s="66" t="str">
        <f t="array" ref="AV329">IF($AB329, Push(Fetch(AG329) - MMULT(Fetch(AQ329),MMULT($I$38:$L$41,Fetch(AG329)))), "")</f>
        <v/>
      </c>
      <c r="AW329" s="97">
        <f t="array" aca="1" ref="AW329" ca="1">IF($AB329,LN(MDETERM(Fetch(AL329))),$J$65)   -   MMULT(AM329:AP329,MMULT(IF($AB329,Fetch(AL329),$G$61:$J$64),TRANSPOSE(AM329:AP329)))</f>
        <v>-4.6409011748434583</v>
      </c>
    </row>
    <row r="330" spans="23:49" x14ac:dyDescent="0.15">
      <c r="W330" s="12">
        <f t="shared" si="10"/>
        <v>327</v>
      </c>
      <c r="X330" s="62">
        <f t="array" aca="1" ref="X330:AA330" ca="1">simulate!AE330:AH330</f>
        <v>1.5659464187307415</v>
      </c>
      <c r="Y330" s="62">
        <f ca="1"/>
        <v>1.1085724669560773</v>
      </c>
      <c r="Z330" s="62">
        <f ca="1"/>
        <v>-0.14759730191876469</v>
      </c>
      <c r="AA330" s="62">
        <f ca="1"/>
        <v>0.61871699056353879</v>
      </c>
      <c r="AB330" s="98">
        <f t="shared" si="11"/>
        <v>0</v>
      </c>
      <c r="AC330" s="62">
        <f t="array" aca="1" ref="AC330:AF330" ca="1">TRANSPOSE($G$44:$G$47 + MMULT($I$44:$L$47,TRANSPOSE(AR329:AU329)))</f>
        <v>0.48198149491360442</v>
      </c>
      <c r="AD330" s="62">
        <f ca="1"/>
        <v>0.34333288901091641</v>
      </c>
      <c r="AE330" s="62">
        <f ca="1"/>
        <v>0.35013154359631882</v>
      </c>
      <c r="AF330" s="62">
        <f ca="1"/>
        <v>0.49044206297746146</v>
      </c>
      <c r="AG330" s="66" t="str">
        <f t="array" ref="AG330">IF($AB330, Push(MMULT($I$44:$L$47,MMULT(Fetch(AV329),TRANSPOSE($I$44:$L$47))) + $N$44:$Q$47), "")</f>
        <v/>
      </c>
      <c r="AH330" s="62">
        <f t="array" aca="1" ref="AH330:AK330" ca="1">TRANSPOSE($G$38:$G$41 + MMULT($I$38:$L$41,TRANSPOSE(AC330:AF330)))</f>
        <v>0.67303536807079234</v>
      </c>
      <c r="AI330" s="62">
        <f ca="1"/>
        <v>0.52256671933969367</v>
      </c>
      <c r="AJ330" s="62">
        <f ca="1"/>
        <v>0.56419761432766791</v>
      </c>
      <c r="AK330" s="62">
        <f ca="1"/>
        <v>0.47235360508762647</v>
      </c>
      <c r="AL330" s="66" t="str">
        <f t="array" ref="AL330">IF($AB330, Push(MINVERSE(MMULT($I$38:$L$41,MMULT(Fetch(AG330),TRANSPOSE($I$38:$L$41))) + $N$38:$Q$41)), "")</f>
        <v/>
      </c>
      <c r="AM330" s="62">
        <f t="array" aca="1" ref="AM330:AP330" ca="1">X330:AA330 - AH330:AK330</f>
        <v>0.89291105065994913</v>
      </c>
      <c r="AN330" s="62">
        <f ca="1"/>
        <v>0.58600574761638358</v>
      </c>
      <c r="AO330" s="62">
        <f ca="1"/>
        <v>-0.71179491624643254</v>
      </c>
      <c r="AP330" s="62">
        <f ca="1"/>
        <v>0.14636338547591232</v>
      </c>
      <c r="AQ330" s="66" t="str">
        <f t="array" ref="AQ330">IF($AB330, Push(MMULT(Fetch(AG330),MMULT(TRANSPOSE($I$38:$L$41),Fetch(AL330)))), "")</f>
        <v/>
      </c>
      <c r="AR330" s="62">
        <f t="array" aca="1" ref="AR330:AU330" ca="1">AC330:AF330 + TRANSPOSE(MMULT(IF($AB330,Fetch(AQ330),$L$61:$O$64),TRANSPOSE(AM330:AP330)))</f>
        <v>0.76892134167206327</v>
      </c>
      <c r="AS330" s="62">
        <f ca="1"/>
        <v>0.70016413468645367</v>
      </c>
      <c r="AT330" s="62">
        <f ca="1"/>
        <v>0.57656726215065168</v>
      </c>
      <c r="AU330" s="62">
        <f ca="1"/>
        <v>0.2588921924989423</v>
      </c>
      <c r="AV330" s="66" t="str">
        <f t="array" ref="AV330">IF($AB330, Push(Fetch(AG330) - MMULT(Fetch(AQ330),MMULT($I$38:$L$41,Fetch(AG330)))), "")</f>
        <v/>
      </c>
      <c r="AW330" s="97">
        <f t="array" aca="1" ref="AW330" ca="1">IF($AB330,LN(MDETERM(Fetch(AL330))),$J$65)   -   MMULT(AM330:AP330,MMULT(IF($AB330,Fetch(AL330),$G$61:$J$64),TRANSPOSE(AM330:AP330)))</f>
        <v>0.2621786695136672</v>
      </c>
    </row>
    <row r="331" spans="23:49" x14ac:dyDescent="0.15">
      <c r="W331" s="12">
        <f t="shared" si="10"/>
        <v>328</v>
      </c>
      <c r="X331" s="62">
        <f t="array" aca="1" ref="X331:AA331" ca="1">simulate!AE331:AH331</f>
        <v>6.0759625176946441E-2</v>
      </c>
      <c r="Y331" s="62">
        <f ca="1"/>
        <v>0.10141076127608939</v>
      </c>
      <c r="Z331" s="62">
        <f ca="1"/>
        <v>1.4004358501135727</v>
      </c>
      <c r="AA331" s="62">
        <f ca="1"/>
        <v>0.64157327603114722</v>
      </c>
      <c r="AB331" s="98">
        <f t="shared" si="11"/>
        <v>0</v>
      </c>
      <c r="AC331" s="62">
        <f t="array" aca="1" ref="AC331:AF331" ca="1">TRANSPOSE($G$44:$G$47 + MMULT($I$44:$L$47,TRANSPOSE(AR330:AU330)))</f>
        <v>0.84638298998681427</v>
      </c>
      <c r="AD331" s="62">
        <f ca="1"/>
        <v>0.65859858332640164</v>
      </c>
      <c r="AE331" s="62">
        <f ca="1"/>
        <v>0.62034230423508918</v>
      </c>
      <c r="AF331" s="62">
        <f ca="1"/>
        <v>0.51695305724615337</v>
      </c>
      <c r="AG331" s="66" t="str">
        <f t="array" ref="AG331">IF($AB331, Push(MMULT($I$44:$L$47,MMULT(Fetch(AV330),TRANSPOSE($I$44:$L$47))) + $N$44:$Q$47), "")</f>
        <v/>
      </c>
      <c r="AH331" s="62">
        <f t="array" aca="1" ref="AH331:AK331" ca="1">TRANSPOSE($G$38:$G$41 + MMULT($I$38:$L$41,TRANSPOSE(AC331:AF331)))</f>
        <v>1.08130779939993</v>
      </c>
      <c r="AI331" s="62">
        <f ca="1"/>
        <v>0.86823620394611101</v>
      </c>
      <c r="AJ331" s="62">
        <f ca="1"/>
        <v>0.58233161133160172</v>
      </c>
      <c r="AK331" s="62">
        <f ca="1"/>
        <v>0.61161947666821326</v>
      </c>
      <c r="AL331" s="66" t="str">
        <f t="array" ref="AL331">IF($AB331, Push(MINVERSE(MMULT($I$38:$L$41,MMULT(Fetch(AG331),TRANSPOSE($I$38:$L$41))) + $N$38:$Q$41)), "")</f>
        <v/>
      </c>
      <c r="AM331" s="62">
        <f t="array" aca="1" ref="AM331:AP331" ca="1">X331:AA331 - AH331:AK331</f>
        <v>-1.0205481742229836</v>
      </c>
      <c r="AN331" s="62">
        <f ca="1"/>
        <v>-0.76682544267002162</v>
      </c>
      <c r="AO331" s="62">
        <f ca="1"/>
        <v>0.81810423878197103</v>
      </c>
      <c r="AP331" s="62">
        <f ca="1"/>
        <v>2.9953799362933964E-2</v>
      </c>
      <c r="AQ331" s="66" t="str">
        <f t="array" ref="AQ331">IF($AB331, Push(MMULT(Fetch(AG331),MMULT(TRANSPOSE($I$38:$L$41),Fetch(AL331)))), "")</f>
        <v/>
      </c>
      <c r="AR331" s="62">
        <f t="array" aca="1" ref="AR331:AU331" ca="1">AC331:AF331 + TRANSPOSE(MMULT(IF($AB331,Fetch(AQ331),$L$61:$O$64),TRANSPOSE(AM331:AP331)))</f>
        <v>0.46010248783637336</v>
      </c>
      <c r="AS331" s="62">
        <f ca="1"/>
        <v>0.23359330975552905</v>
      </c>
      <c r="AT331" s="62">
        <f ca="1"/>
        <v>0.50445027189984193</v>
      </c>
      <c r="AU331" s="62">
        <f ca="1"/>
        <v>0.85163646601740084</v>
      </c>
      <c r="AV331" s="66" t="str">
        <f t="array" ref="AV331">IF($AB331, Push(Fetch(AG331) - MMULT(Fetch(AQ331),MMULT($I$38:$L$41,Fetch(AG331)))), "")</f>
        <v/>
      </c>
      <c r="AW331" s="97">
        <f t="array" aca="1" ref="AW331" ca="1">IF($AB331,LN(MDETERM(Fetch(AL331))),$J$65)   -   MMULT(AM331:AP331,MMULT(IF($AB331,Fetch(AL331),$G$61:$J$64),TRANSPOSE(AM331:AP331)))</f>
        <v>-3.2074775943774299</v>
      </c>
    </row>
    <row r="332" spans="23:49" x14ac:dyDescent="0.15">
      <c r="W332" s="12">
        <f t="shared" si="10"/>
        <v>329</v>
      </c>
      <c r="X332" s="62">
        <f t="array" aca="1" ref="X332:AA332" ca="1">simulate!AE332:AH332</f>
        <v>0.82787378931487288</v>
      </c>
      <c r="Y332" s="62">
        <f ca="1"/>
        <v>1.6189099630436778</v>
      </c>
      <c r="Z332" s="62">
        <f ca="1"/>
        <v>1.8008968906269764</v>
      </c>
      <c r="AA332" s="62">
        <f ca="1"/>
        <v>-4.513281597406732E-2</v>
      </c>
      <c r="AB332" s="98">
        <f t="shared" si="11"/>
        <v>0</v>
      </c>
      <c r="AC332" s="62">
        <f t="array" aca="1" ref="AC332:AF332" ca="1">TRANSPOSE($G$44:$G$47 + MMULT($I$44:$L$47,TRANSPOSE(AR331:AU331)))</f>
        <v>0.63390048003727251</v>
      </c>
      <c r="AD332" s="62">
        <f ca="1"/>
        <v>0.3879967531849382</v>
      </c>
      <c r="AE332" s="62">
        <f ca="1"/>
        <v>0.57137954321959383</v>
      </c>
      <c r="AF332" s="62">
        <f ca="1"/>
        <v>0.77731768252554612</v>
      </c>
      <c r="AG332" s="66" t="str">
        <f t="array" ref="AG332">IF($AB332, Push(MMULT($I$44:$L$47,MMULT(Fetch(AV331),TRANSPOSE($I$44:$L$47))) + $N$44:$Q$47), "")</f>
        <v/>
      </c>
      <c r="AH332" s="62">
        <f t="array" aca="1" ref="AH332:AK332" ca="1">TRANSPOSE($G$38:$G$41 + MMULT($I$38:$L$41,TRANSPOSE(AC332:AF332)))</f>
        <v>0.83846163370415083</v>
      </c>
      <c r="AI332" s="62">
        <f ca="1"/>
        <v>0.61753141570268089</v>
      </c>
      <c r="AJ332" s="62">
        <f ca="1"/>
        <v>0.82498977631900594</v>
      </c>
      <c r="AK332" s="62">
        <f ca="1"/>
        <v>0.70022603114995308</v>
      </c>
      <c r="AL332" s="66" t="str">
        <f t="array" ref="AL332">IF($AB332, Push(MINVERSE(MMULT($I$38:$L$41,MMULT(Fetch(AG332),TRANSPOSE($I$38:$L$41))) + $N$38:$Q$41)), "")</f>
        <v/>
      </c>
      <c r="AM332" s="62">
        <f t="array" aca="1" ref="AM332:AP332" ca="1">X332:AA332 - AH332:AK332</f>
        <v>-1.0587844389277956E-2</v>
      </c>
      <c r="AN332" s="62">
        <f ca="1"/>
        <v>1.0013785473409968</v>
      </c>
      <c r="AO332" s="62">
        <f ca="1"/>
        <v>0.9759071143079705</v>
      </c>
      <c r="AP332" s="62">
        <f ca="1"/>
        <v>-0.74535884712402045</v>
      </c>
      <c r="AQ332" s="66" t="str">
        <f t="array" ref="AQ332">IF($AB332, Push(MMULT(Fetch(AG332),MMULT(TRANSPOSE($I$38:$L$41),Fetch(AL332)))), "")</f>
        <v/>
      </c>
      <c r="AR332" s="62">
        <f t="array" aca="1" ref="AR332:AU332" ca="1">AC332:AF332 + TRANSPOSE(MMULT(IF($AB332,Fetch(AQ332),$L$61:$O$64),TRANSPOSE(AM332:AP332)))</f>
        <v>1.1980679072100453</v>
      </c>
      <c r="AS332" s="62">
        <f ca="1"/>
        <v>0.60847634886368307</v>
      </c>
      <c r="AT332" s="62">
        <f ca="1"/>
        <v>0.11521887219089544</v>
      </c>
      <c r="AU332" s="62">
        <f ca="1"/>
        <v>0.92169215595799803</v>
      </c>
      <c r="AV332" s="66" t="str">
        <f t="array" ref="AV332">IF($AB332, Push(Fetch(AG332) - MMULT(Fetch(AQ332),MMULT($I$38:$L$41,Fetch(AG332)))), "")</f>
        <v/>
      </c>
      <c r="AW332" s="97">
        <f t="array" aca="1" ref="AW332" ca="1">IF($AB332,LN(MDETERM(Fetch(AL332))),$J$65)   -   MMULT(AM332:AP332,MMULT(IF($AB332,Fetch(AL332),$G$61:$J$64),TRANSPOSE(AM332:AP332)))</f>
        <v>-11.264627052810022</v>
      </c>
    </row>
    <row r="333" spans="23:49" x14ac:dyDescent="0.15">
      <c r="W333" s="12">
        <f t="shared" si="10"/>
        <v>330</v>
      </c>
      <c r="X333" s="62">
        <f t="array" aca="1" ref="X333:AA333" ca="1">simulate!AE333:AH333</f>
        <v>1.5427581481212993</v>
      </c>
      <c r="Y333" s="62">
        <f ca="1"/>
        <v>0.33692797454848866</v>
      </c>
      <c r="Z333" s="62">
        <f ca="1"/>
        <v>0.82730793576073736</v>
      </c>
      <c r="AA333" s="62">
        <f ca="1"/>
        <v>1.7254073630560458</v>
      </c>
      <c r="AB333" s="98">
        <f t="shared" si="11"/>
        <v>0</v>
      </c>
      <c r="AC333" s="62">
        <f t="array" aca="1" ref="AC333:AF333" ca="1">TRANSPOSE($G$44:$G$47 + MMULT($I$44:$L$47,TRANSPOSE(AR332:AU332)))</f>
        <v>1.0635960217721712</v>
      </c>
      <c r="AD333" s="62">
        <f ca="1"/>
        <v>0.65766143626245477</v>
      </c>
      <c r="AE333" s="62">
        <f ca="1"/>
        <v>0.48493008658518594</v>
      </c>
      <c r="AF333" s="62">
        <f ca="1"/>
        <v>0.81410643116643855</v>
      </c>
      <c r="AG333" s="66" t="str">
        <f t="array" ref="AG333">IF($AB333, Push(MMULT($I$44:$L$47,MMULT(Fetch(AV332),TRANSPOSE($I$44:$L$47))) + $N$44:$Q$47), "")</f>
        <v/>
      </c>
      <c r="AH333" s="62">
        <f t="array" aca="1" ref="AH333:AK333" ca="1">TRANSPOSE($G$38:$G$41 + MMULT($I$38:$L$41,TRANSPOSE(AC333:AF333)))</f>
        <v>1.0661080448199445</v>
      </c>
      <c r="AI333" s="62">
        <f ca="1"/>
        <v>1.0407904396671819</v>
      </c>
      <c r="AJ333" s="62">
        <f ca="1"/>
        <v>0.92744970472099286</v>
      </c>
      <c r="AK333" s="62">
        <f ca="1"/>
        <v>0.54301568264938604</v>
      </c>
      <c r="AL333" s="66" t="str">
        <f t="array" ref="AL333">IF($AB333, Push(MINVERSE(MMULT($I$38:$L$41,MMULT(Fetch(AG333),TRANSPOSE($I$38:$L$41))) + $N$38:$Q$41)), "")</f>
        <v/>
      </c>
      <c r="AM333" s="62">
        <f t="array" aca="1" ref="AM333:AP333" ca="1">X333:AA333 - AH333:AK333</f>
        <v>0.47665010330135482</v>
      </c>
      <c r="AN333" s="62">
        <f ca="1"/>
        <v>-0.70386246511869321</v>
      </c>
      <c r="AO333" s="62">
        <f ca="1"/>
        <v>-0.10014176896025551</v>
      </c>
      <c r="AP333" s="62">
        <f ca="1"/>
        <v>1.1823916804066599</v>
      </c>
      <c r="AQ333" s="66" t="str">
        <f t="array" ref="AQ333">IF($AB333, Push(MMULT(Fetch(AG333),MMULT(TRANSPOSE($I$38:$L$41),Fetch(AL333)))), "")</f>
        <v/>
      </c>
      <c r="AR333" s="62">
        <f t="array" aca="1" ref="AR333:AU333" ca="1">AC333:AF333 + TRANSPOSE(MMULT(IF($AB333,Fetch(AQ333),$L$61:$O$64),TRANSPOSE(AM333:AP333)))</f>
        <v>0.87983364752571069</v>
      </c>
      <c r="AS333" s="62">
        <f ca="1"/>
        <v>0.42871795723443917</v>
      </c>
      <c r="AT333" s="62">
        <f ca="1"/>
        <v>1.5084469825276181</v>
      </c>
      <c r="AU333" s="62">
        <f ca="1"/>
        <v>1.1828862834887293</v>
      </c>
      <c r="AV333" s="66" t="str">
        <f t="array" ref="AV333">IF($AB333, Push(Fetch(AG333) - MMULT(Fetch(AQ333),MMULT($I$38:$L$41,Fetch(AG333)))), "")</f>
        <v/>
      </c>
      <c r="AW333" s="97">
        <f t="array" aca="1" ref="AW333" ca="1">IF($AB333,LN(MDETERM(Fetch(AL333))),$J$65)   -   MMULT(AM333:AP333,MMULT(IF($AB333,Fetch(AL333),$G$61:$J$64),TRANSPOSE(AM333:AP333)))</f>
        <v>-5.8413622651110551</v>
      </c>
    </row>
    <row r="334" spans="23:49" x14ac:dyDescent="0.15">
      <c r="W334" s="12">
        <f t="shared" si="10"/>
        <v>331</v>
      </c>
      <c r="X334" s="62">
        <f t="array" aca="1" ref="X334:AA334" ca="1">simulate!AE334:AH334</f>
        <v>1.2588829948671942</v>
      </c>
      <c r="Y334" s="62">
        <f ca="1"/>
        <v>0.2145449294932168</v>
      </c>
      <c r="Z334" s="62">
        <f ca="1"/>
        <v>0.63189060157900401</v>
      </c>
      <c r="AA334" s="62">
        <f ca="1"/>
        <v>1.3722430594607247</v>
      </c>
      <c r="AB334" s="98">
        <f t="shared" si="11"/>
        <v>0</v>
      </c>
      <c r="AC334" s="62">
        <f t="array" aca="1" ref="AC334:AF334" ca="1">TRANSPOSE($G$44:$G$47 + MMULT($I$44:$L$47,TRANSPOSE(AR333:AU333)))</f>
        <v>0.97684998074566654</v>
      </c>
      <c r="AD334" s="62">
        <f ca="1"/>
        <v>0.73368833761208085</v>
      </c>
      <c r="AE334" s="62">
        <f ca="1"/>
        <v>1.2241932490444702</v>
      </c>
      <c r="AF334" s="62">
        <f ca="1"/>
        <v>1.1532860558700992</v>
      </c>
      <c r="AG334" s="66" t="str">
        <f t="array" ref="AG334">IF($AB334, Push(MMULT($I$44:$L$47,MMULT(Fetch(AV333),TRANSPOSE($I$44:$L$47))) + $N$44:$Q$47), "")</f>
        <v/>
      </c>
      <c r="AH334" s="62">
        <f t="array" aca="1" ref="AH334:AK334" ca="1">TRANSPOSE($G$38:$G$41 + MMULT($I$38:$L$41,TRANSPOSE(AC334:AF334)))</f>
        <v>1.3737072089130511</v>
      </c>
      <c r="AI334" s="62">
        <f ca="1"/>
        <v>0.95268353803351358</v>
      </c>
      <c r="AJ334" s="62">
        <f ca="1"/>
        <v>1.0795586936374304</v>
      </c>
      <c r="AK334" s="62">
        <f ca="1"/>
        <v>1.2841908240097584</v>
      </c>
      <c r="AL334" s="66" t="str">
        <f t="array" ref="AL334">IF($AB334, Push(MINVERSE(MMULT($I$38:$L$41,MMULT(Fetch(AG334),TRANSPOSE($I$38:$L$41))) + $N$38:$Q$41)), "")</f>
        <v/>
      </c>
      <c r="AM334" s="62">
        <f t="array" aca="1" ref="AM334:AP334" ca="1">X334:AA334 - AH334:AK334</f>
        <v>-0.11482421404585685</v>
      </c>
      <c r="AN334" s="62">
        <f ca="1"/>
        <v>-0.73813860854029678</v>
      </c>
      <c r="AO334" s="62">
        <f ca="1"/>
        <v>-0.44766809205842639</v>
      </c>
      <c r="AP334" s="62">
        <f ca="1"/>
        <v>8.8052235450966299E-2</v>
      </c>
      <c r="AQ334" s="66" t="str">
        <f t="array" ref="AQ334">IF($AB334, Push(MMULT(Fetch(AG334),MMULT(TRANSPOSE($I$38:$L$41),Fetch(AL334)))), "")</f>
        <v/>
      </c>
      <c r="AR334" s="62">
        <f t="array" aca="1" ref="AR334:AU334" ca="1">AC334:AF334 + TRANSPOSE(MMULT(IF($AB334,Fetch(AQ334),$L$61:$O$64),TRANSPOSE(AM334:AP334)))</f>
        <v>0.67683828789988398</v>
      </c>
      <c r="AS334" s="62">
        <f ca="1"/>
        <v>0.44400683257350965</v>
      </c>
      <c r="AT334" s="62">
        <f ca="1"/>
        <v>1.257914274202615</v>
      </c>
      <c r="AU334" s="62">
        <f ca="1"/>
        <v>0.99605039844631815</v>
      </c>
      <c r="AV334" s="66" t="str">
        <f t="array" ref="AV334">IF($AB334, Push(Fetch(AG334) - MMULT(Fetch(AQ334),MMULT($I$38:$L$41,Fetch(AG334)))), "")</f>
        <v/>
      </c>
      <c r="AW334" s="97">
        <f t="array" aca="1" ref="AW334" ca="1">IF($AB334,LN(MDETERM(Fetch(AL334))),$J$65)   -   MMULT(AM334:AP334,MMULT(IF($AB334,Fetch(AL334),$G$61:$J$64),TRANSPOSE(AM334:AP334)))</f>
        <v>1.7704384024212114</v>
      </c>
    </row>
    <row r="335" spans="23:49" x14ac:dyDescent="0.15">
      <c r="W335" s="12">
        <f t="shared" si="10"/>
        <v>332</v>
      </c>
      <c r="X335" s="62">
        <f t="array" aca="1" ref="X335:AA335" ca="1">simulate!AE335:AH335</f>
        <v>1.247341367815449</v>
      </c>
      <c r="Y335" s="62">
        <f ca="1"/>
        <v>0.79619412962499525</v>
      </c>
      <c r="Z335" s="62">
        <f ca="1"/>
        <v>0.76591407374758425</v>
      </c>
      <c r="AA335" s="62">
        <f ca="1"/>
        <v>0.51255825230714613</v>
      </c>
      <c r="AB335" s="98">
        <f t="shared" si="11"/>
        <v>0</v>
      </c>
      <c r="AC335" s="62">
        <f t="array" aca="1" ref="AC335:AF335" ca="1">TRANSPOSE($G$44:$G$47 + MMULT($I$44:$L$47,TRANSPOSE(AR334:AU334)))</f>
        <v>0.84266758628296934</v>
      </c>
      <c r="AD335" s="62">
        <f ca="1"/>
        <v>0.65861090841885883</v>
      </c>
      <c r="AE335" s="62">
        <f ca="1"/>
        <v>1.0492691353815005</v>
      </c>
      <c r="AF335" s="62">
        <f ca="1"/>
        <v>1.0030375525780617</v>
      </c>
      <c r="AG335" s="66" t="str">
        <f t="array" ref="AG335">IF($AB335, Push(MMULT($I$44:$L$47,MMULT(Fetch(AV334),TRANSPOSE($I$44:$L$47))) + $N$44:$Q$47), "")</f>
        <v/>
      </c>
      <c r="AH335" s="62">
        <f t="array" aca="1" ref="AH335:AK335" ca="1">TRANSPOSE($G$38:$G$41 + MMULT($I$38:$L$41,TRANSPOSE(AC335:AF335)))</f>
        <v>1.213183495757169</v>
      </c>
      <c r="AI335" s="62">
        <f ca="1"/>
        <v>0.8527962096495485</v>
      </c>
      <c r="AJ335" s="62">
        <f ca="1"/>
        <v>0.94698140606184689</v>
      </c>
      <c r="AK335" s="62">
        <f ca="1"/>
        <v>1.1309181401996866</v>
      </c>
      <c r="AL335" s="66" t="str">
        <f t="array" ref="AL335">IF($AB335, Push(MINVERSE(MMULT($I$38:$L$41,MMULT(Fetch(AG335),TRANSPOSE($I$38:$L$41))) + $N$38:$Q$41)), "")</f>
        <v/>
      </c>
      <c r="AM335" s="62">
        <f t="array" aca="1" ref="AM335:AP335" ca="1">X335:AA335 - AH335:AK335</f>
        <v>3.4157872058280025E-2</v>
      </c>
      <c r="AN335" s="62">
        <f ca="1"/>
        <v>-5.6602080024553247E-2</v>
      </c>
      <c r="AO335" s="62">
        <f ca="1"/>
        <v>-0.18106733231426264</v>
      </c>
      <c r="AP335" s="62">
        <f ca="1"/>
        <v>-0.61835988789254048</v>
      </c>
      <c r="AQ335" s="66" t="str">
        <f t="array" ref="AQ335">IF($AB335, Push(MMULT(Fetch(AG335),MMULT(TRANSPOSE($I$38:$L$41),Fetch(AL335)))), "")</f>
        <v/>
      </c>
      <c r="AR335" s="62">
        <f t="array" aca="1" ref="AR335:AU335" ca="1">AC335:AF335 + TRANSPOSE(MMULT(IF($AB335,Fetch(AQ335),$L$61:$O$64),TRANSPOSE(AM335:AP335)))</f>
        <v>0.94267534189491164</v>
      </c>
      <c r="AS335" s="62">
        <f ca="1"/>
        <v>0.53558819451801931</v>
      </c>
      <c r="AT335" s="62">
        <f ca="1"/>
        <v>0.63091981354711579</v>
      </c>
      <c r="AU335" s="62">
        <f ca="1"/>
        <v>0.71312859309889576</v>
      </c>
      <c r="AV335" s="66" t="str">
        <f t="array" ref="AV335">IF($AB335, Push(Fetch(AG335) - MMULT(Fetch(AQ335),MMULT($I$38:$L$41,Fetch(AG335)))), "")</f>
        <v/>
      </c>
      <c r="AW335" s="97">
        <f t="array" aca="1" ref="AW335" ca="1">IF($AB335,LN(MDETERM(Fetch(AL335))),$J$65)   -   MMULT(AM335:AP335,MMULT(IF($AB335,Fetch(AL335),$G$61:$J$64),TRANSPOSE(AM335:AP335)))</f>
        <v>2.3627346302045504</v>
      </c>
    </row>
    <row r="336" spans="23:49" x14ac:dyDescent="0.15">
      <c r="W336" s="12">
        <f t="shared" si="10"/>
        <v>333</v>
      </c>
      <c r="X336" s="62">
        <f t="array" aca="1" ref="X336:AA336" ca="1">simulate!AE336:AH336</f>
        <v>0.39313604643845751</v>
      </c>
      <c r="Y336" s="62">
        <f ca="1"/>
        <v>0.42587740308890415</v>
      </c>
      <c r="Z336" s="62">
        <f ca="1"/>
        <v>0.83647645638310164</v>
      </c>
      <c r="AA336" s="62">
        <f ca="1"/>
        <v>1.2926785325963921</v>
      </c>
      <c r="AB336" s="98">
        <f t="shared" si="11"/>
        <v>0</v>
      </c>
      <c r="AC336" s="62">
        <f t="array" aca="1" ref="AC336:AF336" ca="1">TRANSPOSE($G$44:$G$47 + MMULT($I$44:$L$47,TRANSPOSE(AR335:AU335)))</f>
        <v>0.94156496600057693</v>
      </c>
      <c r="AD336" s="62">
        <f ca="1"/>
        <v>0.63830382525404039</v>
      </c>
      <c r="AE336" s="62">
        <f ca="1"/>
        <v>0.7025676913649791</v>
      </c>
      <c r="AF336" s="62">
        <f ca="1"/>
        <v>0.76773406764587615</v>
      </c>
      <c r="AG336" s="66" t="str">
        <f t="array" ref="AG336">IF($AB336, Push(MMULT($I$44:$L$47,MMULT(Fetch(AV335),TRANSPOSE($I$44:$L$47))) + $N$44:$Q$47), "")</f>
        <v/>
      </c>
      <c r="AH336" s="62">
        <f t="array" aca="1" ref="AH336:AK336" ca="1">TRANSPOSE($G$38:$G$41 + MMULT($I$38:$L$41,TRANSPOSE(AC336:AF336)))</f>
        <v>1.1314409990293999</v>
      </c>
      <c r="AI336" s="62">
        <f ca="1"/>
        <v>0.91404414872054773</v>
      </c>
      <c r="AJ336" s="62">
        <f ca="1"/>
        <v>0.82864827873500646</v>
      </c>
      <c r="AK336" s="62">
        <f ca="1"/>
        <v>0.72926304461224278</v>
      </c>
      <c r="AL336" s="66" t="str">
        <f t="array" ref="AL336">IF($AB336, Push(MINVERSE(MMULT($I$38:$L$41,MMULT(Fetch(AG336),TRANSPOSE($I$38:$L$41))) + $N$38:$Q$41)), "")</f>
        <v/>
      </c>
      <c r="AM336" s="62">
        <f t="array" aca="1" ref="AM336:AP336" ca="1">X336:AA336 - AH336:AK336</f>
        <v>-0.73830495259094242</v>
      </c>
      <c r="AN336" s="62">
        <f ca="1"/>
        <v>-0.48816674563164358</v>
      </c>
      <c r="AO336" s="62">
        <f ca="1"/>
        <v>7.8281776480951804E-3</v>
      </c>
      <c r="AP336" s="62">
        <f ca="1"/>
        <v>0.56341548798414931</v>
      </c>
      <c r="AQ336" s="66" t="str">
        <f t="array" ref="AQ336">IF($AB336, Push(MMULT(Fetch(AG336),MMULT(TRANSPOSE($I$38:$L$41),Fetch(AL336)))), "")</f>
        <v/>
      </c>
      <c r="AR336" s="62">
        <f t="array" aca="1" ref="AR336:AU336" ca="1">AC336:AF336 + TRANSPOSE(MMULT(IF($AB336,Fetch(AQ336),$L$61:$O$64),TRANSPOSE(AM336:AP336)))</f>
        <v>0.40450115913142604</v>
      </c>
      <c r="AS336" s="62">
        <f ca="1"/>
        <v>0.59881521476679533</v>
      </c>
      <c r="AT336" s="62">
        <f ca="1"/>
        <v>0.86858648917744519</v>
      </c>
      <c r="AU336" s="62">
        <f ca="1"/>
        <v>0.96150069000855709</v>
      </c>
      <c r="AV336" s="66" t="str">
        <f t="array" ref="AV336">IF($AB336, Push(Fetch(AG336) - MMULT(Fetch(AQ336),MMULT($I$38:$L$41,Fetch(AG336)))), "")</f>
        <v/>
      </c>
      <c r="AW336" s="97">
        <f t="array" aca="1" ref="AW336" ca="1">IF($AB336,LN(MDETERM(Fetch(AL336))),$J$65)   -   MMULT(AM336:AP336,MMULT(IF($AB336,Fetch(AL336),$G$61:$J$64),TRANSPOSE(AM336:AP336)))</f>
        <v>-3.039820525662309</v>
      </c>
    </row>
    <row r="337" spans="23:49" x14ac:dyDescent="0.15">
      <c r="W337" s="12">
        <f t="shared" si="10"/>
        <v>334</v>
      </c>
      <c r="X337" s="62">
        <f t="array" aca="1" ref="X337:AA337" ca="1">simulate!AE337:AH337</f>
        <v>1.0151280891482064</v>
      </c>
      <c r="Y337" s="62">
        <f ca="1"/>
        <v>0.67437159219762965</v>
      </c>
      <c r="Z337" s="62">
        <f ca="1"/>
        <v>0.48565039265433302</v>
      </c>
      <c r="AA337" s="62">
        <f ca="1"/>
        <v>0.68302314160887256</v>
      </c>
      <c r="AB337" s="98">
        <f t="shared" si="11"/>
        <v>0</v>
      </c>
      <c r="AC337" s="62">
        <f t="array" aca="1" ref="AC337:AF337" ca="1">TRANSPOSE($G$44:$G$47 + MMULT($I$44:$L$47,TRANSPOSE(AR336:AU336)))</f>
        <v>0.68912138140860391</v>
      </c>
      <c r="AD337" s="62">
        <f ca="1"/>
        <v>0.63792596684444314</v>
      </c>
      <c r="AE337" s="62">
        <f ca="1"/>
        <v>0.8396386660165337</v>
      </c>
      <c r="AF337" s="62">
        <f ca="1"/>
        <v>0.91909948920108708</v>
      </c>
      <c r="AG337" s="66" t="str">
        <f t="array" ref="AG337">IF($AB337, Push(MMULT($I$44:$L$47,MMULT(Fetch(AV336),TRANSPOSE($I$44:$L$47))) + $N$44:$Q$47), "")</f>
        <v/>
      </c>
      <c r="AH337" s="62">
        <f t="array" aca="1" ref="AH337:AK337" ca="1">TRANSPOSE($G$38:$G$41 + MMULT($I$38:$L$41,TRANSPOSE(AC337:AF337)))</f>
        <v>0.99498631231821943</v>
      </c>
      <c r="AI337" s="62">
        <f ca="1"/>
        <v>0.81504005618111219</v>
      </c>
      <c r="AJ337" s="62">
        <f ca="1"/>
        <v>0.84487015238837571</v>
      </c>
      <c r="AK337" s="62">
        <f ca="1"/>
        <v>1.0062883287711202</v>
      </c>
      <c r="AL337" s="66" t="str">
        <f t="array" ref="AL337">IF($AB337, Push(MINVERSE(MMULT($I$38:$L$41,MMULT(Fetch(AG337),TRANSPOSE($I$38:$L$41))) + $N$38:$Q$41)), "")</f>
        <v/>
      </c>
      <c r="AM337" s="62">
        <f t="array" aca="1" ref="AM337:AP337" ca="1">X337:AA337 - AH337:AK337</f>
        <v>2.0141776829986968E-2</v>
      </c>
      <c r="AN337" s="62">
        <f ca="1"/>
        <v>-0.14066846398348254</v>
      </c>
      <c r="AO337" s="62">
        <f ca="1"/>
        <v>-0.35921975973404269</v>
      </c>
      <c r="AP337" s="62">
        <f ca="1"/>
        <v>-0.32326518716224761</v>
      </c>
      <c r="AQ337" s="66" t="str">
        <f t="array" ref="AQ337">IF($AB337, Push(MMULT(Fetch(AG337),MMULT(TRANSPOSE($I$38:$L$41),Fetch(AL337)))), "")</f>
        <v/>
      </c>
      <c r="AR337" s="62">
        <f t="array" aca="1" ref="AR337:AU337" ca="1">AC337:AF337 + TRANSPOSE(MMULT(IF($AB337,Fetch(AQ337),$L$61:$O$64),TRANSPOSE(AM337:AP337)))</f>
        <v>0.65867223329408953</v>
      </c>
      <c r="AS337" s="62">
        <f ca="1"/>
        <v>0.56532547803746092</v>
      </c>
      <c r="AT337" s="62">
        <f ca="1"/>
        <v>0.59108975328207924</v>
      </c>
      <c r="AU337" s="62">
        <f ca="1"/>
        <v>0.65898392141490914</v>
      </c>
      <c r="AV337" s="66" t="str">
        <f t="array" ref="AV337">IF($AB337, Push(Fetch(AG337) - MMULT(Fetch(AQ337),MMULT($I$38:$L$41,Fetch(AG337)))), "")</f>
        <v/>
      </c>
      <c r="AW337" s="97">
        <f t="array" aca="1" ref="AW337" ca="1">IF($AB337,LN(MDETERM(Fetch(AL337))),$J$65)   -   MMULT(AM337:AP337,MMULT(IF($AB337,Fetch(AL337),$G$61:$J$64),TRANSPOSE(AM337:AP337)))</f>
        <v>4.7286303377213503</v>
      </c>
    </row>
    <row r="338" spans="23:49" x14ac:dyDescent="0.15">
      <c r="W338" s="12">
        <f t="shared" si="10"/>
        <v>335</v>
      </c>
      <c r="X338" s="62">
        <f t="array" aca="1" ref="X338:AA338" ca="1">simulate!AE338:AH338</f>
        <v>0.96250711343583373</v>
      </c>
      <c r="Y338" s="62">
        <f ca="1"/>
        <v>0.46774569027097779</v>
      </c>
      <c r="Z338" s="62">
        <f ca="1"/>
        <v>0.381810913661629</v>
      </c>
      <c r="AA338" s="62">
        <f ca="1"/>
        <v>0.64067241650868834</v>
      </c>
      <c r="AB338" s="98">
        <f t="shared" si="11"/>
        <v>0</v>
      </c>
      <c r="AC338" s="62">
        <f t="array" aca="1" ref="AC338:AF338" ca="1">TRANSPOSE($G$44:$G$47 + MMULT($I$44:$L$47,TRANSPOSE(AR337:AU337)))</f>
        <v>0.787145711712959</v>
      </c>
      <c r="AD338" s="62">
        <f ca="1"/>
        <v>0.5985048114917666</v>
      </c>
      <c r="AE338" s="62">
        <f ca="1"/>
        <v>0.65765530305292441</v>
      </c>
      <c r="AF338" s="62">
        <f ca="1"/>
        <v>0.72049396603342108</v>
      </c>
      <c r="AG338" s="66" t="str">
        <f t="array" ref="AG338">IF($AB338, Push(MMULT($I$44:$L$47,MMULT(Fetch(AV337),TRANSPOSE($I$44:$L$47))) + $N$44:$Q$47), "")</f>
        <v/>
      </c>
      <c r="AH338" s="62">
        <f t="array" aca="1" ref="AH338:AK338" ca="1">TRANSPOSE($G$38:$G$41 + MMULT($I$38:$L$41,TRANSPOSE(AC338:AF338)))</f>
        <v>1.0079550034424454</v>
      </c>
      <c r="AI338" s="62">
        <f ca="1"/>
        <v>0.82442926052922094</v>
      </c>
      <c r="AJ338" s="62">
        <f ca="1"/>
        <v>0.74878842330146012</v>
      </c>
      <c r="AK338" s="62">
        <f ca="1"/>
        <v>0.733823923247928</v>
      </c>
      <c r="AL338" s="66" t="str">
        <f t="array" ref="AL338">IF($AB338, Push(MINVERSE(MMULT($I$38:$L$41,MMULT(Fetch(AG338),TRANSPOSE($I$38:$L$41))) + $N$38:$Q$41)), "")</f>
        <v/>
      </c>
      <c r="AM338" s="62">
        <f t="array" aca="1" ref="AM338:AP338" ca="1">X338:AA338 - AH338:AK338</f>
        <v>-4.5447890006611646E-2</v>
      </c>
      <c r="AN338" s="62">
        <f ca="1"/>
        <v>-0.35668357025824315</v>
      </c>
      <c r="AO338" s="62">
        <f ca="1"/>
        <v>-0.36697750963983111</v>
      </c>
      <c r="AP338" s="62">
        <f ca="1"/>
        <v>-9.3151506739239665E-2</v>
      </c>
      <c r="AQ338" s="66" t="str">
        <f t="array" ref="AQ338">IF($AB338, Push(MMULT(Fetch(AG338),MMULT(TRANSPOSE($I$38:$L$41),Fetch(AL338)))), "")</f>
        <v/>
      </c>
      <c r="AR338" s="62">
        <f t="array" aca="1" ref="AR338:AU338" ca="1">AC338:AF338 + TRANSPOSE(MMULT(IF($AB338,Fetch(AQ338),$L$61:$O$64),TRANSPOSE(AM338:AP338)))</f>
        <v>0.6394022261191229</v>
      </c>
      <c r="AS338" s="62">
        <f ca="1"/>
        <v>0.46142743154699373</v>
      </c>
      <c r="AT338" s="62">
        <f ca="1"/>
        <v>0.56277489899386213</v>
      </c>
      <c r="AU338" s="62">
        <f ca="1"/>
        <v>0.5357984796375157</v>
      </c>
      <c r="AV338" s="66" t="str">
        <f t="array" ref="AV338">IF($AB338, Push(Fetch(AG338) - MMULT(Fetch(AQ338),MMULT($I$38:$L$41,Fetch(AG338)))), "")</f>
        <v/>
      </c>
      <c r="AW338" s="97">
        <f t="array" aca="1" ref="AW338" ca="1">IF($AB338,LN(MDETERM(Fetch(AL338))),$J$65)   -   MMULT(AM338:AP338,MMULT(IF($AB338,Fetch(AL338),$G$61:$J$64),TRANSPOSE(AM338:AP338)))</f>
        <v>5.0514225448363685</v>
      </c>
    </row>
    <row r="339" spans="23:49" x14ac:dyDescent="0.15">
      <c r="W339" s="12">
        <f t="shared" si="10"/>
        <v>336</v>
      </c>
      <c r="X339" s="62">
        <f t="array" aca="1" ref="X339:AA339" ca="1">simulate!AE339:AH339</f>
        <v>0.69764882404372586</v>
      </c>
      <c r="Y339" s="62">
        <f ca="1"/>
        <v>0.53596823692463746</v>
      </c>
      <c r="Z339" s="62">
        <f ca="1"/>
        <v>0.95784556690241596</v>
      </c>
      <c r="AA339" s="62">
        <f ca="1"/>
        <v>0.95040831356305633</v>
      </c>
      <c r="AB339" s="98">
        <f t="shared" si="11"/>
        <v>0</v>
      </c>
      <c r="AC339" s="62">
        <f t="array" aca="1" ref="AC339:AF339" ca="1">TRANSPOSE($G$44:$G$47 + MMULT($I$44:$L$47,TRANSPOSE(AR338:AU338)))</f>
        <v>0.75342716160958667</v>
      </c>
      <c r="AD339" s="62">
        <f ca="1"/>
        <v>0.52630428872282442</v>
      </c>
      <c r="AE339" s="62">
        <f ca="1"/>
        <v>0.60589223783886315</v>
      </c>
      <c r="AF339" s="62">
        <f ca="1"/>
        <v>0.64104555471525471</v>
      </c>
      <c r="AG339" s="66" t="str">
        <f t="array" ref="AG339">IF($AB339, Push(MMULT($I$44:$L$47,MMULT(Fetch(AV338),TRANSPOSE($I$44:$L$47))) + $N$44:$Q$47), "")</f>
        <v/>
      </c>
      <c r="AH339" s="62">
        <f t="array" aca="1" ref="AH339:AK339" ca="1">TRANSPOSE($G$38:$G$41 + MMULT($I$38:$L$41,TRANSPOSE(AC339:AF339)))</f>
        <v>0.97734152290623966</v>
      </c>
      <c r="AI339" s="62">
        <f ca="1"/>
        <v>0.7466582480445012</v>
      </c>
      <c r="AJ339" s="62">
        <f ca="1"/>
        <v>0.70163531226709774</v>
      </c>
      <c r="AK339" s="62">
        <f ca="1"/>
        <v>0.65551434760829208</v>
      </c>
      <c r="AL339" s="66" t="str">
        <f t="array" ref="AL339">IF($AB339, Push(MINVERSE(MMULT($I$38:$L$41,MMULT(Fetch(AG339),TRANSPOSE($I$38:$L$41))) + $N$38:$Q$41)), "")</f>
        <v/>
      </c>
      <c r="AM339" s="62">
        <f t="array" aca="1" ref="AM339:AP339" ca="1">X339:AA339 - AH339:AK339</f>
        <v>-0.2796926988625138</v>
      </c>
      <c r="AN339" s="62">
        <f ca="1"/>
        <v>-0.21069001111986374</v>
      </c>
      <c r="AO339" s="62">
        <f ca="1"/>
        <v>0.25621025463531821</v>
      </c>
      <c r="AP339" s="62">
        <f ca="1"/>
        <v>0.29489396595476425</v>
      </c>
      <c r="AQ339" s="66" t="str">
        <f t="array" ref="AQ339">IF($AB339, Push(MMULT(Fetch(AG339),MMULT(TRANSPOSE($I$38:$L$41),Fetch(AL339)))), "")</f>
        <v/>
      </c>
      <c r="AR339" s="62">
        <f t="array" aca="1" ref="AR339:AU339" ca="1">AC339:AF339 + TRANSPOSE(MMULT(IF($AB339,Fetch(AQ339),$L$61:$O$64),TRANSPOSE(AM339:AP339)))</f>
        <v>0.59117931143532798</v>
      </c>
      <c r="AS339" s="62">
        <f ca="1"/>
        <v>0.45971971745609941</v>
      </c>
      <c r="AT339" s="62">
        <f ca="1"/>
        <v>0.76843497085665835</v>
      </c>
      <c r="AU339" s="62">
        <f ca="1"/>
        <v>0.84588322357135404</v>
      </c>
      <c r="AV339" s="66" t="str">
        <f t="array" ref="AV339">IF($AB339, Push(Fetch(AG339) - MMULT(Fetch(AQ339),MMULT($I$38:$L$41,Fetch(AG339)))), "")</f>
        <v/>
      </c>
      <c r="AW339" s="97">
        <f t="array" aca="1" ref="AW339" ca="1">IF($AB339,LN(MDETERM(Fetch(AL339))),$J$65)   -   MMULT(AM339:AP339,MMULT(IF($AB339,Fetch(AL339),$G$61:$J$64),TRANSPOSE(AM339:AP339)))</f>
        <v>4.9057152252155198</v>
      </c>
    </row>
    <row r="340" spans="23:49" x14ac:dyDescent="0.15">
      <c r="W340" s="12">
        <f t="shared" si="10"/>
        <v>337</v>
      </c>
      <c r="X340" s="62">
        <f t="array" aca="1" ref="X340:AA340" ca="1">simulate!AE340:AH340</f>
        <v>1.7079606024791192</v>
      </c>
      <c r="Y340" s="62">
        <f ca="1"/>
        <v>0.78008732510926038</v>
      </c>
      <c r="Z340" s="62">
        <f ca="1"/>
        <v>0.85529885597795197</v>
      </c>
      <c r="AA340" s="62">
        <f ca="1"/>
        <v>0.83734913193468741</v>
      </c>
      <c r="AB340" s="98">
        <f t="shared" si="11"/>
        <v>0</v>
      </c>
      <c r="AC340" s="62">
        <f t="array" aca="1" ref="AC340:AF340" ca="1">TRANSPOSE($G$44:$G$47 + MMULT($I$44:$L$47,TRANSPOSE(AR339:AU339)))</f>
        <v>0.75667140491947471</v>
      </c>
      <c r="AD340" s="62">
        <f ca="1"/>
        <v>0.57006138819954599</v>
      </c>
      <c r="AE340" s="62">
        <f ca="1"/>
        <v>0.75914392185294111</v>
      </c>
      <c r="AF340" s="62">
        <f ca="1"/>
        <v>0.83946645476626913</v>
      </c>
      <c r="AG340" s="66" t="str">
        <f t="array" ref="AG340">IF($AB340, Push(MMULT($I$44:$L$47,MMULT(Fetch(AV339),TRANSPOSE($I$44:$L$47))) + $N$44:$Q$47), "")</f>
        <v/>
      </c>
      <c r="AH340" s="62">
        <f t="array" aca="1" ref="AH340:AK340" ca="1">TRANSPOSE($G$38:$G$41 + MMULT($I$38:$L$41,TRANSPOSE(AC340:AF340)))</f>
        <v>1.0183691897775555</v>
      </c>
      <c r="AI340" s="62">
        <f ca="1"/>
        <v>0.78581931803657856</v>
      </c>
      <c r="AJ340" s="62">
        <f ca="1"/>
        <v>0.83773927868586218</v>
      </c>
      <c r="AK340" s="62">
        <f ca="1"/>
        <v>0.86297757946571485</v>
      </c>
      <c r="AL340" s="66" t="str">
        <f t="array" ref="AL340">IF($AB340, Push(MINVERSE(MMULT($I$38:$L$41,MMULT(Fetch(AG340),TRANSPOSE($I$38:$L$41))) + $N$38:$Q$41)), "")</f>
        <v/>
      </c>
      <c r="AM340" s="62">
        <f t="array" aca="1" ref="AM340:AP340" ca="1">X340:AA340 - AH340:AK340</f>
        <v>0.68959141270156366</v>
      </c>
      <c r="AN340" s="62">
        <f ca="1"/>
        <v>-5.7319929273181858E-3</v>
      </c>
      <c r="AO340" s="62">
        <f ca="1"/>
        <v>1.755957729208979E-2</v>
      </c>
      <c r="AP340" s="62">
        <f ca="1"/>
        <v>-2.5628447531027443E-2</v>
      </c>
      <c r="AQ340" s="66" t="str">
        <f t="array" ref="AQ340">IF($AB340, Push(MMULT(Fetch(AG340),MMULT(TRANSPOSE($I$38:$L$41),Fetch(AL340)))), "")</f>
        <v/>
      </c>
      <c r="AR340" s="62">
        <f t="array" aca="1" ref="AR340:AU340" ca="1">AC340:AF340 + TRANSPOSE(MMULT(IF($AB340,Fetch(AQ340),$L$61:$O$64),TRANSPOSE(AM340:AP340)))</f>
        <v>1.0798470221840151</v>
      </c>
      <c r="AS340" s="62">
        <f ca="1"/>
        <v>0.43773910432131041</v>
      </c>
      <c r="AT340" s="62">
        <f ca="1"/>
        <v>0.99616957913831095</v>
      </c>
      <c r="AU340" s="62">
        <f ca="1"/>
        <v>0.84014839765085703</v>
      </c>
      <c r="AV340" s="66" t="str">
        <f t="array" ref="AV340">IF($AB340, Push(Fetch(AG340) - MMULT(Fetch(AQ340),MMULT($I$38:$L$41,Fetch(AG340)))), "")</f>
        <v/>
      </c>
      <c r="AW340" s="97">
        <f t="array" aca="1" ref="AW340" ca="1">IF($AB340,LN(MDETERM(Fetch(AL340))),$J$65)   -   MMULT(AM340:AP340,MMULT(IF($AB340,Fetch(AL340),$G$61:$J$64),TRANSPOSE(AM340:AP340)))</f>
        <v>3.4986370570767558</v>
      </c>
    </row>
    <row r="341" spans="23:49" x14ac:dyDescent="0.15">
      <c r="W341" s="12">
        <f t="shared" si="10"/>
        <v>338</v>
      </c>
      <c r="X341" s="62">
        <f t="array" aca="1" ref="X341:AA341" ca="1">simulate!AE341:AH341</f>
        <v>1.0549010654088191</v>
      </c>
      <c r="Y341" s="62">
        <f ca="1"/>
        <v>1.3511090797815899</v>
      </c>
      <c r="Z341" s="62">
        <f ca="1"/>
        <v>0.70936943291597743</v>
      </c>
      <c r="AA341" s="62">
        <f ca="1"/>
        <v>0.447903324366977</v>
      </c>
      <c r="AB341" s="98">
        <f t="shared" si="11"/>
        <v>0</v>
      </c>
      <c r="AC341" s="62">
        <f t="array" aca="1" ref="AC341:AF341" ca="1">TRANSPOSE($G$44:$G$47 + MMULT($I$44:$L$47,TRANSPOSE(AR340:AU340)))</f>
        <v>1.0332709470246835</v>
      </c>
      <c r="AD341" s="62">
        <f ca="1"/>
        <v>0.67082464613732307</v>
      </c>
      <c r="AE341" s="62">
        <f ca="1"/>
        <v>0.91250531541092295</v>
      </c>
      <c r="AF341" s="62">
        <f ca="1"/>
        <v>0.89526270655002871</v>
      </c>
      <c r="AG341" s="66" t="str">
        <f t="array" ref="AG341">IF($AB341, Push(MMULT($I$44:$L$47,MMULT(Fetch(AV340),TRANSPOSE($I$44:$L$47))) + $N$44:$Q$47), "")</f>
        <v/>
      </c>
      <c r="AH341" s="62">
        <f t="array" aca="1" ref="AH341:AK341" ca="1">TRANSPOSE($G$38:$G$41 + MMULT($I$38:$L$41,TRANSPOSE(AC341:AF341)))</f>
        <v>1.292566408383357</v>
      </c>
      <c r="AI341" s="62">
        <f ca="1"/>
        <v>0.94772315823102171</v>
      </c>
      <c r="AJ341" s="62">
        <f ca="1"/>
        <v>0.93873560295422775</v>
      </c>
      <c r="AK341" s="62">
        <f ca="1"/>
        <v>0.90416318269818952</v>
      </c>
      <c r="AL341" s="66" t="str">
        <f t="array" ref="AL341">IF($AB341, Push(MINVERSE(MMULT($I$38:$L$41,MMULT(Fetch(AG341),TRANSPOSE($I$38:$L$41))) + $N$38:$Q$41)), "")</f>
        <v/>
      </c>
      <c r="AM341" s="62">
        <f t="array" aca="1" ref="AM341:AP341" ca="1">X341:AA341 - AH341:AK341</f>
        <v>-0.2376653429745379</v>
      </c>
      <c r="AN341" s="62">
        <f ca="1"/>
        <v>0.40338592155056818</v>
      </c>
      <c r="AO341" s="62">
        <f ca="1"/>
        <v>-0.22936617003825033</v>
      </c>
      <c r="AP341" s="62">
        <f ca="1"/>
        <v>-0.45625985833121252</v>
      </c>
      <c r="AQ341" s="66" t="str">
        <f t="array" ref="AQ341">IF($AB341, Push(MMULT(Fetch(AG341),MMULT(TRANSPOSE($I$38:$L$41),Fetch(AL341)))), "")</f>
        <v/>
      </c>
      <c r="AR341" s="62">
        <f t="array" aca="1" ref="AR341:AU341" ca="1">AC341:AF341 + TRANSPOSE(MMULT(IF($AB341,Fetch(AQ341),$L$61:$O$64),TRANSPOSE(AM341:AP341)))</f>
        <v>1.0331478980203364</v>
      </c>
      <c r="AS341" s="62">
        <f ca="1"/>
        <v>0.89991030987258258</v>
      </c>
      <c r="AT341" s="62">
        <f ca="1"/>
        <v>0.43621177851188064</v>
      </c>
      <c r="AU341" s="62">
        <f ca="1"/>
        <v>0.64449173732650988</v>
      </c>
      <c r="AV341" s="66" t="str">
        <f t="array" ref="AV341">IF($AB341, Push(Fetch(AG341) - MMULT(Fetch(AQ341),MMULT($I$38:$L$41,Fetch(AG341)))), "")</f>
        <v/>
      </c>
      <c r="AW341" s="97">
        <f t="array" aca="1" ref="AW341" ca="1">IF($AB341,LN(MDETERM(Fetch(AL341))),$J$65)   -   MMULT(AM341:AP341,MMULT(IF($AB341,Fetch(AL341),$G$61:$J$64),TRANSPOSE(AM341:AP341)))</f>
        <v>5.1438381820621588</v>
      </c>
    </row>
    <row r="342" spans="23:49" x14ac:dyDescent="0.15">
      <c r="W342" s="12">
        <f t="shared" si="10"/>
        <v>339</v>
      </c>
      <c r="X342" s="62">
        <f t="array" aca="1" ref="X342:AA342" ca="1">simulate!AE342:AH342</f>
        <v>1.6988602687572507</v>
      </c>
      <c r="Y342" s="62">
        <f ca="1"/>
        <v>1.1498903167668044</v>
      </c>
      <c r="Z342" s="62">
        <f ca="1"/>
        <v>0.90367820920706499</v>
      </c>
      <c r="AA342" s="62">
        <f ca="1"/>
        <v>1.4094291680799886</v>
      </c>
      <c r="AB342" s="98">
        <f t="shared" si="11"/>
        <v>0</v>
      </c>
      <c r="AC342" s="62">
        <f t="array" aca="1" ref="AC342:AF342" ca="1">TRANSPOSE($G$44:$G$47 + MMULT($I$44:$L$47,TRANSPOSE(AR341:AU341)))</f>
        <v>1.0271849683774297</v>
      </c>
      <c r="AD342" s="62">
        <f ca="1"/>
        <v>0.81605319234048002</v>
      </c>
      <c r="AE342" s="62">
        <f ca="1"/>
        <v>0.65284453707547396</v>
      </c>
      <c r="AF342" s="62">
        <f ca="1"/>
        <v>0.72933379342791826</v>
      </c>
      <c r="AG342" s="66" t="str">
        <f t="array" ref="AG342">IF($AB342, Push(MMULT($I$44:$L$47,MMULT(Fetch(AV341),TRANSPOSE($I$44:$L$47))) + $N$44:$Q$47), "")</f>
        <v/>
      </c>
      <c r="AH342" s="62">
        <f t="array" aca="1" ref="AH342:AK342" ca="1">TRANSPOSE($G$38:$G$41 + MMULT($I$38:$L$41,TRANSPOSE(AC342:AF342)))</f>
        <v>1.1625592238489506</v>
      </c>
      <c r="AI342" s="62">
        <f ca="1"/>
        <v>1.1057556918129232</v>
      </c>
      <c r="AJ342" s="62">
        <f ca="1"/>
        <v>0.76678476337746071</v>
      </c>
      <c r="AK342" s="62">
        <f ca="1"/>
        <v>0.69287841549524942</v>
      </c>
      <c r="AL342" s="66" t="str">
        <f t="array" ref="AL342">IF($AB342, Push(MINVERSE(MMULT($I$38:$L$41,MMULT(Fetch(AG342),TRANSPOSE($I$38:$L$41))) + $N$38:$Q$41)), "")</f>
        <v/>
      </c>
      <c r="AM342" s="62">
        <f t="array" aca="1" ref="AM342:AP342" ca="1">X342:AA342 - AH342:AK342</f>
        <v>0.53630104490830011</v>
      </c>
      <c r="AN342" s="62">
        <f ca="1"/>
        <v>4.4134624953881207E-2</v>
      </c>
      <c r="AO342" s="62">
        <f ca="1"/>
        <v>0.13689344582960428</v>
      </c>
      <c r="AP342" s="62">
        <f ca="1"/>
        <v>0.71655075258473921</v>
      </c>
      <c r="AQ342" s="66" t="str">
        <f t="array" ref="AQ342">IF($AB342, Push(MMULT(Fetch(AG342),MMULT(TRANSPOSE($I$38:$L$41),Fetch(AL342)))), "")</f>
        <v/>
      </c>
      <c r="AR342" s="62">
        <f t="array" aca="1" ref="AR342:AU342" ca="1">AC342:AF342 + TRANSPOSE(MMULT(IF($AB342,Fetch(AQ342),$L$61:$O$64),TRANSPOSE(AM342:AP342)))</f>
        <v>1.1517976149209264</v>
      </c>
      <c r="AS342" s="62">
        <f ca="1"/>
        <v>0.86121387441000752</v>
      </c>
      <c r="AT342" s="62">
        <f ca="1"/>
        <v>1.3369762728388066</v>
      </c>
      <c r="AU342" s="62">
        <f ca="1"/>
        <v>1.0375162436833727</v>
      </c>
      <c r="AV342" s="66" t="str">
        <f t="array" ref="AV342">IF($AB342, Push(Fetch(AG342) - MMULT(Fetch(AQ342),MMULT($I$38:$L$41,Fetch(AG342)))), "")</f>
        <v/>
      </c>
      <c r="AW342" s="97">
        <f t="array" aca="1" ref="AW342" ca="1">IF($AB342,LN(MDETERM(Fetch(AL342))),$J$65)   -   MMULT(AM342:AP342,MMULT(IF($AB342,Fetch(AL342),$G$61:$J$64),TRANSPOSE(AM342:AP342)))</f>
        <v>3.3004137965586215</v>
      </c>
    </row>
    <row r="343" spans="23:49" x14ac:dyDescent="0.15">
      <c r="W343" s="12">
        <f t="shared" si="10"/>
        <v>340</v>
      </c>
      <c r="X343" s="62">
        <f t="array" aca="1" ref="X343:AA343" ca="1">simulate!AE343:AH343</f>
        <v>1.4616615833364863</v>
      </c>
      <c r="Y343" s="62">
        <f ca="1"/>
        <v>1.1116986245260274</v>
      </c>
      <c r="Z343" s="62">
        <f ca="1"/>
        <v>1.6053014914328254</v>
      </c>
      <c r="AA343" s="62">
        <f ca="1"/>
        <v>0.68353591570467542</v>
      </c>
      <c r="AB343" s="98">
        <f t="shared" si="11"/>
        <v>0</v>
      </c>
      <c r="AC343" s="62">
        <f t="array" aca="1" ref="AC343:AF343" ca="1">TRANSPOSE($G$44:$G$47 + MMULT($I$44:$L$47,TRANSPOSE(AR342:AU342)))</f>
        <v>1.1685446923277636</v>
      </c>
      <c r="AD343" s="62">
        <f ca="1"/>
        <v>0.97570031333483376</v>
      </c>
      <c r="AE343" s="62">
        <f ca="1"/>
        <v>1.1996520480008346</v>
      </c>
      <c r="AF343" s="62">
        <f ca="1"/>
        <v>1.0907914733711868</v>
      </c>
      <c r="AG343" s="66" t="str">
        <f t="array" ref="AG343">IF($AB343, Push(MMULT($I$44:$L$47,MMULT(Fetch(AV342),TRANSPOSE($I$44:$L$47))) + $N$44:$Q$47), "")</f>
        <v/>
      </c>
      <c r="AH343" s="62">
        <f t="array" aca="1" ref="AH343:AK343" ca="1">TRANSPOSE($G$38:$G$41 + MMULT($I$38:$L$41,TRANSPOSE(AC343:AF343)))</f>
        <v>1.5001694281696405</v>
      </c>
      <c r="AI343" s="62">
        <f ca="1"/>
        <v>1.2284612538035888</v>
      </c>
      <c r="AJ343" s="62">
        <f ca="1"/>
        <v>1.0118275245086648</v>
      </c>
      <c r="AK343" s="62">
        <f ca="1"/>
        <v>1.2277023336250859</v>
      </c>
      <c r="AL343" s="66" t="str">
        <f t="array" ref="AL343">IF($AB343, Push(MINVERSE(MMULT($I$38:$L$41,MMULT(Fetch(AG343),TRANSPOSE($I$38:$L$41))) + $N$38:$Q$41)), "")</f>
        <v/>
      </c>
      <c r="AM343" s="62">
        <f t="array" aca="1" ref="AM343:AP343" ca="1">X343:AA343 - AH343:AK343</f>
        <v>-3.850784483315417E-2</v>
      </c>
      <c r="AN343" s="62">
        <f ca="1"/>
        <v>-0.11676262927756142</v>
      </c>
      <c r="AO343" s="62">
        <f ca="1"/>
        <v>0.59347396692416066</v>
      </c>
      <c r="AP343" s="62">
        <f ca="1"/>
        <v>-0.54416641792041043</v>
      </c>
      <c r="AQ343" s="66" t="str">
        <f t="array" ref="AQ343">IF($AB343, Push(MMULT(Fetch(AG343),MMULT(TRANSPOSE($I$38:$L$41),Fetch(AL343)))), "")</f>
        <v/>
      </c>
      <c r="AR343" s="62">
        <f t="array" aca="1" ref="AR343:AU343" ca="1">AC343:AF343 + TRANSPOSE(MMULT(IF($AB343,Fetch(AQ343),$L$61:$O$64),TRANSPOSE(AM343:AP343)))</f>
        <v>1.4036778646639927</v>
      </c>
      <c r="AS343" s="62">
        <f ca="1"/>
        <v>0.68335468498067198</v>
      </c>
      <c r="AT343" s="62">
        <f ca="1"/>
        <v>0.94214048025142438</v>
      </c>
      <c r="AU343" s="62">
        <f ca="1"/>
        <v>1.1416628990433908</v>
      </c>
      <c r="AV343" s="66" t="str">
        <f t="array" ref="AV343">IF($AB343, Push(Fetch(AG343) - MMULT(Fetch(AQ343),MMULT($I$38:$L$41,Fetch(AG343)))), "")</f>
        <v/>
      </c>
      <c r="AW343" s="97">
        <f t="array" aca="1" ref="AW343" ca="1">IF($AB343,LN(MDETERM(Fetch(AL343))),$J$65)   -   MMULT(AM343:AP343,MMULT(IF($AB343,Fetch(AL343),$G$61:$J$64),TRANSPOSE(AM343:AP343)))</f>
        <v>2.4048643496980224</v>
      </c>
    </row>
    <row r="344" spans="23:49" x14ac:dyDescent="0.15">
      <c r="W344" s="12">
        <f t="shared" si="10"/>
        <v>341</v>
      </c>
      <c r="X344" s="62">
        <f t="array" aca="1" ref="X344:AA344" ca="1">simulate!AE344:AH344</f>
        <v>0.68201927264253381</v>
      </c>
      <c r="Y344" s="62">
        <f ca="1"/>
        <v>1.5080675439049098</v>
      </c>
      <c r="Z344" s="62">
        <f ca="1"/>
        <v>0.40114809723954337</v>
      </c>
      <c r="AA344" s="62">
        <f ca="1"/>
        <v>1.1538624568021907</v>
      </c>
      <c r="AB344" s="98">
        <f t="shared" si="11"/>
        <v>0</v>
      </c>
      <c r="AC344" s="62">
        <f t="array" aca="1" ref="AC344:AF344" ca="1">TRANSPOSE($G$44:$G$47 + MMULT($I$44:$L$47,TRANSPOSE(AR343:AU343)))</f>
        <v>1.2551562332162463</v>
      </c>
      <c r="AD344" s="62">
        <f ca="1"/>
        <v>0.86951956235580252</v>
      </c>
      <c r="AE344" s="62">
        <f ca="1"/>
        <v>0.99087659308457321</v>
      </c>
      <c r="AF344" s="62">
        <f ca="1"/>
        <v>1.0823766313092349</v>
      </c>
      <c r="AG344" s="66" t="str">
        <f t="array" ref="AG344">IF($AB344, Push(MMULT($I$44:$L$47,MMULT(Fetch(AV343),TRANSPOSE($I$44:$L$47))) + $N$44:$Q$47), "")</f>
        <v/>
      </c>
      <c r="AH344" s="62">
        <f t="array" aca="1" ref="AH344:AK344" ca="1">TRANSPOSE($G$38:$G$41 + MMULT($I$38:$L$41,TRANSPOSE(AC344:AF344)))</f>
        <v>1.4373793645341792</v>
      </c>
      <c r="AI344" s="62">
        <f ca="1"/>
        <v>1.2196873506934498</v>
      </c>
      <c r="AJ344" s="62">
        <f ca="1"/>
        <v>1.0980364292064242</v>
      </c>
      <c r="AK344" s="62">
        <f ca="1"/>
        <v>1.0019095916698839</v>
      </c>
      <c r="AL344" s="66" t="str">
        <f t="array" ref="AL344">IF($AB344, Push(MINVERSE(MMULT($I$38:$L$41,MMULT(Fetch(AG344),TRANSPOSE($I$38:$L$41))) + $N$38:$Q$41)), "")</f>
        <v/>
      </c>
      <c r="AM344" s="62">
        <f t="array" aca="1" ref="AM344:AP344" ca="1">X344:AA344 - AH344:AK344</f>
        <v>-0.75536009189164544</v>
      </c>
      <c r="AN344" s="62">
        <f ca="1"/>
        <v>0.28838019321146002</v>
      </c>
      <c r="AO344" s="62">
        <f ca="1"/>
        <v>-0.69688833196688083</v>
      </c>
      <c r="AP344" s="62">
        <f ca="1"/>
        <v>0.15195286513230677</v>
      </c>
      <c r="AQ344" s="66" t="str">
        <f t="array" ref="AQ344">IF($AB344, Push(MMULT(Fetch(AG344),MMULT(TRANSPOSE($I$38:$L$41),Fetch(AL344)))), "")</f>
        <v/>
      </c>
      <c r="AR344" s="62">
        <f t="array" aca="1" ref="AR344:AU344" ca="1">AC344:AF344 + TRANSPOSE(MMULT(IF($AB344,Fetch(AQ344),$L$61:$O$64),TRANSPOSE(AM344:AP344)))</f>
        <v>0.74759868611435387</v>
      </c>
      <c r="AS344" s="62">
        <f ca="1"/>
        <v>1.3420632797672329</v>
      </c>
      <c r="AT344" s="62">
        <f ca="1"/>
        <v>0.66291339187644205</v>
      </c>
      <c r="AU344" s="62">
        <f ca="1"/>
        <v>0.85075801570033716</v>
      </c>
      <c r="AV344" s="66" t="str">
        <f t="array" ref="AV344">IF($AB344, Push(Fetch(AG344) - MMULT(Fetch(AQ344),MMULT($I$38:$L$41,Fetch(AG344)))), "")</f>
        <v/>
      </c>
      <c r="AW344" s="97">
        <f t="array" aca="1" ref="AW344" ca="1">IF($AB344,LN(MDETERM(Fetch(AL344))),$J$65)   -   MMULT(AM344:AP344,MMULT(IF($AB344,Fetch(AL344),$G$61:$J$64),TRANSPOSE(AM344:AP344)))</f>
        <v>-0.92494177271890088</v>
      </c>
    </row>
    <row r="345" spans="23:49" x14ac:dyDescent="0.15">
      <c r="W345" s="12">
        <f t="shared" si="10"/>
        <v>342</v>
      </c>
      <c r="X345" s="62">
        <f t="array" aca="1" ref="X345:AA345" ca="1">simulate!AE345:AH345</f>
        <v>1.0128618394976168</v>
      </c>
      <c r="Y345" s="62">
        <f ca="1"/>
        <v>0.70587292786053657</v>
      </c>
      <c r="Z345" s="62">
        <f ca="1"/>
        <v>1.0877568643128588</v>
      </c>
      <c r="AA345" s="62">
        <f ca="1"/>
        <v>1.9467786370000209</v>
      </c>
      <c r="AB345" s="98">
        <f t="shared" si="11"/>
        <v>0</v>
      </c>
      <c r="AC345" s="62">
        <f t="array" aca="1" ref="AC345:AF345" ca="1">TRANSPOSE($G$44:$G$47 + MMULT($I$44:$L$47,TRANSPOSE(AR344:AU344)))</f>
        <v>0.96445151069881851</v>
      </c>
      <c r="AD345" s="62">
        <f ca="1"/>
        <v>1.0567198010436882</v>
      </c>
      <c r="AE345" s="62">
        <f ca="1"/>
        <v>0.85726733225038887</v>
      </c>
      <c r="AF345" s="62">
        <f ca="1"/>
        <v>0.8952920232662227</v>
      </c>
      <c r="AG345" s="66" t="str">
        <f t="array" ref="AG345">IF($AB345, Push(MMULT($I$44:$L$47,MMULT(Fetch(AV344),TRANSPOSE($I$44:$L$47))) + $N$44:$Q$47), "")</f>
        <v/>
      </c>
      <c r="AH345" s="62">
        <f t="array" aca="1" ref="AH345:AK345" ca="1">TRANSPOSE($G$38:$G$41 + MMULT($I$38:$L$41,TRANSPOSE(AC345:AF345)))</f>
        <v>1.1877152139244616</v>
      </c>
      <c r="AI345" s="62">
        <f ca="1"/>
        <v>1.2726196710511131</v>
      </c>
      <c r="AJ345" s="62">
        <f ca="1"/>
        <v>0.77071303529197754</v>
      </c>
      <c r="AK345" s="62">
        <f ca="1"/>
        <v>1.013338824549298</v>
      </c>
      <c r="AL345" s="66" t="str">
        <f t="array" ref="AL345">IF($AB345, Push(MINVERSE(MMULT($I$38:$L$41,MMULT(Fetch(AG345),TRANSPOSE($I$38:$L$41))) + $N$38:$Q$41)), "")</f>
        <v/>
      </c>
      <c r="AM345" s="62">
        <f t="array" aca="1" ref="AM345:AP345" ca="1">X345:AA345 - AH345:AK345</f>
        <v>-0.17485337442684479</v>
      </c>
      <c r="AN345" s="62">
        <f ca="1"/>
        <v>-0.5667467431905765</v>
      </c>
      <c r="AO345" s="62">
        <f ca="1"/>
        <v>0.31704382902088124</v>
      </c>
      <c r="AP345" s="62">
        <f ca="1"/>
        <v>0.93343981245072283</v>
      </c>
      <c r="AQ345" s="66" t="str">
        <f t="array" ref="AQ345">IF($AB345, Push(MMULT(Fetch(AG345),MMULT(TRANSPOSE($I$38:$L$41),Fetch(AL345)))), "")</f>
        <v/>
      </c>
      <c r="AR345" s="62">
        <f t="array" aca="1" ref="AR345:AU345" ca="1">AC345:AF345 + TRANSPOSE(MMULT(IF($AB345,Fetch(AQ345),$L$61:$O$64),TRANSPOSE(AM345:AP345)))</f>
        <v>0.66610410908675322</v>
      </c>
      <c r="AS345" s="62">
        <f ca="1"/>
        <v>0.88273791499445675</v>
      </c>
      <c r="AT345" s="62">
        <f ca="1"/>
        <v>1.5335639740823643</v>
      </c>
      <c r="AU345" s="62">
        <f ca="1"/>
        <v>1.3457186461232846</v>
      </c>
      <c r="AV345" s="66" t="str">
        <f t="array" ref="AV345">IF($AB345, Push(Fetch(AG345) - MMULT(Fetch(AQ345),MMULT($I$38:$L$41,Fetch(AG345)))), "")</f>
        <v/>
      </c>
      <c r="AW345" s="97">
        <f t="array" aca="1" ref="AW345" ca="1">IF($AB345,LN(MDETERM(Fetch(AL345))),$J$65)   -   MMULT(AM345:AP345,MMULT(IF($AB345,Fetch(AL345),$G$61:$J$64),TRANSPOSE(AM345:AP345)))</f>
        <v>-3.4716157679328159</v>
      </c>
    </row>
    <row r="346" spans="23:49" x14ac:dyDescent="0.15">
      <c r="W346" s="12">
        <f t="shared" si="10"/>
        <v>343</v>
      </c>
      <c r="X346" s="62">
        <f t="array" aca="1" ref="X346:AA346" ca="1">simulate!AE346:AH346</f>
        <v>1.3164815386827495</v>
      </c>
      <c r="Y346" s="62">
        <f ca="1"/>
        <v>0.29438886598821079</v>
      </c>
      <c r="Z346" s="62">
        <f ca="1"/>
        <v>1.0602622201274448</v>
      </c>
      <c r="AA346" s="62">
        <f ca="1"/>
        <v>1.3190162271852426</v>
      </c>
      <c r="AB346" s="98">
        <f t="shared" si="11"/>
        <v>0</v>
      </c>
      <c r="AC346" s="62">
        <f t="array" aca="1" ref="AC346:AF346" ca="1">TRANSPOSE($G$44:$G$47 + MMULT($I$44:$L$47,TRANSPOSE(AR345:AU345)))</f>
        <v>0.93822395179631046</v>
      </c>
      <c r="AD346" s="62">
        <f ca="1"/>
        <v>0.95950008693420763</v>
      </c>
      <c r="AE346" s="62">
        <f ca="1"/>
        <v>1.3203565497286605</v>
      </c>
      <c r="AF346" s="62">
        <f ca="1"/>
        <v>1.2673535835230592</v>
      </c>
      <c r="AG346" s="66" t="str">
        <f t="array" ref="AG346">IF($AB346, Push(MMULT($I$44:$L$47,MMULT(Fetch(AV345),TRANSPOSE($I$44:$L$47))) + $N$44:$Q$47), "")</f>
        <v/>
      </c>
      <c r="AH346" s="62">
        <f t="array" aca="1" ref="AH346:AK346" ca="1">TRANSPOSE($G$38:$G$41 + MMULT($I$38:$L$41,TRANSPOSE(AC346:AF346)))</f>
        <v>1.3628051448305003</v>
      </c>
      <c r="AI346" s="62">
        <f ca="1"/>
        <v>1.1329904446080843</v>
      </c>
      <c r="AJ346" s="62">
        <f ca="1"/>
        <v>1.0651795826464501</v>
      </c>
      <c r="AK346" s="62">
        <f ca="1"/>
        <v>1.4888991607110509</v>
      </c>
      <c r="AL346" s="66" t="str">
        <f t="array" ref="AL346">IF($AB346, Push(MINVERSE(MMULT($I$38:$L$41,MMULT(Fetch(AG346),TRANSPOSE($I$38:$L$41))) + $N$38:$Q$41)), "")</f>
        <v/>
      </c>
      <c r="AM346" s="62">
        <f t="array" aca="1" ref="AM346:AP346" ca="1">X346:AA346 - AH346:AK346</f>
        <v>-4.6323606147750773E-2</v>
      </c>
      <c r="AN346" s="62">
        <f ca="1"/>
        <v>-0.8386015786198735</v>
      </c>
      <c r="AO346" s="62">
        <f ca="1"/>
        <v>-4.9173625190053194E-3</v>
      </c>
      <c r="AP346" s="62">
        <f ca="1"/>
        <v>-0.1698829335258083</v>
      </c>
      <c r="AQ346" s="66" t="str">
        <f t="array" ref="AQ346">IF($AB346, Push(MMULT(Fetch(AG346),MMULT(TRANSPOSE($I$38:$L$41),Fetch(AL346)))), "")</f>
        <v/>
      </c>
      <c r="AR346" s="62">
        <f t="array" aca="1" ref="AR346:AU346" ca="1">AC346:AF346 + TRANSPOSE(MMULT(IF($AB346,Fetch(AQ346),$L$61:$O$64),TRANSPOSE(AM346:AP346)))</f>
        <v>0.82258185501262349</v>
      </c>
      <c r="AS346" s="62">
        <f ca="1"/>
        <v>0.45652621096712365</v>
      </c>
      <c r="AT346" s="62">
        <f ca="1"/>
        <v>1.2964327253201562</v>
      </c>
      <c r="AU346" s="62">
        <f ca="1"/>
        <v>1.2000075028260835</v>
      </c>
      <c r="AV346" s="66" t="str">
        <f t="array" ref="AV346">IF($AB346, Push(Fetch(AG346) - MMULT(Fetch(AQ346),MMULT($I$38:$L$41,Fetch(AG346)))), "")</f>
        <v/>
      </c>
      <c r="AW346" s="97">
        <f t="array" aca="1" ref="AW346" ca="1">IF($AB346,LN(MDETERM(Fetch(AL346))),$J$65)   -   MMULT(AM346:AP346,MMULT(IF($AB346,Fetch(AL346),$G$61:$J$64),TRANSPOSE(AM346:AP346)))</f>
        <v>2.0507195623095642</v>
      </c>
    </row>
    <row r="347" spans="23:49" x14ac:dyDescent="0.15">
      <c r="W347" s="12">
        <f t="shared" si="10"/>
        <v>344</v>
      </c>
      <c r="X347" s="62">
        <f t="array" aca="1" ref="X347:AA347" ca="1">simulate!AE347:AH347</f>
        <v>0.95296507624487425</v>
      </c>
      <c r="Y347" s="62">
        <f ca="1"/>
        <v>1.0119651158193181</v>
      </c>
      <c r="Z347" s="62">
        <f ca="1"/>
        <v>-0.26863820945906991</v>
      </c>
      <c r="AA347" s="62">
        <f ca="1"/>
        <v>0.59626035153275492</v>
      </c>
      <c r="AB347" s="98">
        <f t="shared" si="11"/>
        <v>0</v>
      </c>
      <c r="AC347" s="62">
        <f t="array" aca="1" ref="AC347:AF347" ca="1">TRANSPOSE($G$44:$G$47 + MMULT($I$44:$L$47,TRANSPOSE(AR346:AU346)))</f>
        <v>0.93577593256620051</v>
      </c>
      <c r="AD347" s="62">
        <f ca="1"/>
        <v>0.70925399214914597</v>
      </c>
      <c r="AE347" s="62">
        <f ca="1"/>
        <v>1.112663040870149</v>
      </c>
      <c r="AF347" s="62">
        <f ca="1"/>
        <v>1.1273384492549723</v>
      </c>
      <c r="AG347" s="66" t="str">
        <f t="array" ref="AG347">IF($AB347, Push(MMULT($I$44:$L$47,MMULT(Fetch(AV346),TRANSPOSE($I$44:$L$47))) + $N$44:$Q$47), "")</f>
        <v/>
      </c>
      <c r="AH347" s="62">
        <f t="array" aca="1" ref="AH347:AK347" ca="1">TRANSPOSE($G$38:$G$41 + MMULT($I$38:$L$41,TRANSPOSE(AC347:AF347)))</f>
        <v>1.2820676301330309</v>
      </c>
      <c r="AI347" s="62">
        <f ca="1"/>
        <v>0.9395994913060951</v>
      </c>
      <c r="AJ347" s="62">
        <f ca="1"/>
        <v>1.0616632974820426</v>
      </c>
      <c r="AK347" s="62">
        <f ca="1"/>
        <v>1.2035240376896825</v>
      </c>
      <c r="AL347" s="66" t="str">
        <f t="array" ref="AL347">IF($AB347, Push(MINVERSE(MMULT($I$38:$L$41,MMULT(Fetch(AG347),TRANSPOSE($I$38:$L$41))) + $N$38:$Q$41)), "")</f>
        <v/>
      </c>
      <c r="AM347" s="62">
        <f t="array" aca="1" ref="AM347:AP347" ca="1">X347:AA347 - AH347:AK347</f>
        <v>-0.32910255388815668</v>
      </c>
      <c r="AN347" s="62">
        <f ca="1"/>
        <v>7.2365624513223037E-2</v>
      </c>
      <c r="AO347" s="62">
        <f ca="1"/>
        <v>-1.3303015069411126</v>
      </c>
      <c r="AP347" s="62">
        <f ca="1"/>
        <v>-0.60726368615692761</v>
      </c>
      <c r="AQ347" s="66" t="str">
        <f t="array" ref="AQ347">IF($AB347, Push(MMULT(Fetch(AG347),MMULT(TRANSPOSE($I$38:$L$41),Fetch(AL347)))), "")</f>
        <v/>
      </c>
      <c r="AR347" s="62">
        <f t="array" aca="1" ref="AR347:AU347" ca="1">AC347:AF347 + TRANSPOSE(MMULT(IF($AB347,Fetch(AQ347),$L$61:$O$64),TRANSPOSE(AM347:AP347)))</f>
        <v>0.59987540790168858</v>
      </c>
      <c r="AS347" s="62">
        <f ca="1"/>
        <v>0.96633762229565123</v>
      </c>
      <c r="AT347" s="62">
        <f ca="1"/>
        <v>0.3595565751429749</v>
      </c>
      <c r="AU347" s="62">
        <f ca="1"/>
        <v>0.37265676507083123</v>
      </c>
      <c r="AV347" s="66" t="str">
        <f t="array" ref="AV347">IF($AB347, Push(Fetch(AG347) - MMULT(Fetch(AQ347),MMULT($I$38:$L$41,Fetch(AG347)))), "")</f>
        <v/>
      </c>
      <c r="AW347" s="97">
        <f t="array" aca="1" ref="AW347" ca="1">IF($AB347,LN(MDETERM(Fetch(AL347))),$J$65)   -   MMULT(AM347:AP347,MMULT(IF($AB347,Fetch(AL347),$G$61:$J$64),TRANSPOSE(AM347:AP347)))</f>
        <v>-4.3245874624732927</v>
      </c>
    </row>
    <row r="348" spans="23:49" x14ac:dyDescent="0.15">
      <c r="W348" s="12">
        <f t="shared" si="10"/>
        <v>345</v>
      </c>
      <c r="X348" s="62">
        <f t="array" aca="1" ref="X348:AA348" ca="1">simulate!AE348:AH348</f>
        <v>1.1818230221642891</v>
      </c>
      <c r="Y348" s="62">
        <f ca="1"/>
        <v>0.63420268826910586</v>
      </c>
      <c r="Z348" s="62">
        <f ca="1"/>
        <v>0.66954699232800308</v>
      </c>
      <c r="AA348" s="62">
        <f ca="1"/>
        <v>0.75425587286579154</v>
      </c>
      <c r="AB348" s="98">
        <f t="shared" si="11"/>
        <v>0</v>
      </c>
      <c r="AC348" s="62">
        <f t="array" aca="1" ref="AC348:AF348" ca="1">TRANSPOSE($G$44:$G$47 + MMULT($I$44:$L$47,TRANSPOSE(AR347:AU347)))</f>
        <v>0.78449630346034538</v>
      </c>
      <c r="AD348" s="62">
        <f ca="1"/>
        <v>0.7508884185079181</v>
      </c>
      <c r="AE348" s="62">
        <f ca="1"/>
        <v>0.55115900712805732</v>
      </c>
      <c r="AF348" s="62">
        <f ca="1"/>
        <v>0.55398423780224648</v>
      </c>
      <c r="AG348" s="66" t="str">
        <f t="array" ref="AG348">IF($AB348, Push(MMULT($I$44:$L$47,MMULT(Fetch(AV347),TRANSPOSE($I$44:$L$47))) + $N$44:$Q$47), "")</f>
        <v/>
      </c>
      <c r="AH348" s="62">
        <f t="array" aca="1" ref="AH348:AK348" ca="1">TRANSPOSE($G$38:$G$41 + MMULT($I$38:$L$41,TRANSPOSE(AC348:AF348)))</f>
        <v>0.97760348987370094</v>
      </c>
      <c r="AI348" s="62">
        <f ca="1"/>
        <v>0.95071172998435116</v>
      </c>
      <c r="AJ348" s="62">
        <f ca="1"/>
        <v>0.56071544935964834</v>
      </c>
      <c r="AK348" s="62">
        <f ca="1"/>
        <v>0.63355022930100291</v>
      </c>
      <c r="AL348" s="66" t="str">
        <f t="array" ref="AL348">IF($AB348, Push(MINVERSE(MMULT($I$38:$L$41,MMULT(Fetch(AG348),TRANSPOSE($I$38:$L$41))) + $N$38:$Q$41)), "")</f>
        <v/>
      </c>
      <c r="AM348" s="62">
        <f t="array" aca="1" ref="AM348:AP348" ca="1">X348:AA348 - AH348:AK348</f>
        <v>0.2042195322905882</v>
      </c>
      <c r="AN348" s="62">
        <f ca="1"/>
        <v>-0.3165090417152453</v>
      </c>
      <c r="AO348" s="62">
        <f ca="1"/>
        <v>0.10883154296835473</v>
      </c>
      <c r="AP348" s="62">
        <f ca="1"/>
        <v>0.12070564356478863</v>
      </c>
      <c r="AQ348" s="66" t="str">
        <f t="array" ref="AQ348">IF($AB348, Push(MMULT(Fetch(AG348),MMULT(TRANSPOSE($I$38:$L$41),Fetch(AL348)))), "")</f>
        <v/>
      </c>
      <c r="AR348" s="62">
        <f t="array" aca="1" ref="AR348:AU348" ca="1">AC348:AF348 + TRANSPOSE(MMULT(IF($AB348,Fetch(AQ348),$L$61:$O$64),TRANSPOSE(AM348:AP348)))</f>
        <v>0.82806829063211185</v>
      </c>
      <c r="AS348" s="62">
        <f ca="1"/>
        <v>0.53586063075552293</v>
      </c>
      <c r="AT348" s="62">
        <f ca="1"/>
        <v>0.76300210094233201</v>
      </c>
      <c r="AU348" s="62">
        <f ca="1"/>
        <v>0.63899227429547001</v>
      </c>
      <c r="AV348" s="66" t="str">
        <f t="array" ref="AV348">IF($AB348, Push(Fetch(AG348) - MMULT(Fetch(AQ348),MMULT($I$38:$L$41,Fetch(AG348)))), "")</f>
        <v/>
      </c>
      <c r="AW348" s="97">
        <f t="array" aca="1" ref="AW348" ca="1">IF($AB348,LN(MDETERM(Fetch(AL348))),$J$65)   -   MMULT(AM348:AP348,MMULT(IF($AB348,Fetch(AL348),$G$61:$J$64),TRANSPOSE(AM348:AP348)))</f>
        <v>6.4095989390426249</v>
      </c>
    </row>
    <row r="349" spans="23:49" x14ac:dyDescent="0.15">
      <c r="W349" s="12">
        <f t="shared" si="10"/>
        <v>346</v>
      </c>
      <c r="X349" s="62">
        <f t="array" aca="1" ref="X349:AA349" ca="1">simulate!AE349:AH349</f>
        <v>1.9755866206094974</v>
      </c>
      <c r="Y349" s="62">
        <f ca="1"/>
        <v>0.72849527143817094</v>
      </c>
      <c r="Z349" s="62">
        <f ca="1"/>
        <v>0.88084475131541362</v>
      </c>
      <c r="AA349" s="62">
        <f ca="1"/>
        <v>1.2246880078796563</v>
      </c>
      <c r="AB349" s="98">
        <f t="shared" si="11"/>
        <v>0</v>
      </c>
      <c r="AC349" s="62">
        <f t="array" aca="1" ref="AC349:AF349" ca="1">TRANSPOSE($G$44:$G$47 + MMULT($I$44:$L$47,TRANSPOSE(AR348:AU348)))</f>
        <v>0.88554834328906318</v>
      </c>
      <c r="AD349" s="62">
        <f ca="1"/>
        <v>0.63411312182170498</v>
      </c>
      <c r="AE349" s="62">
        <f ca="1"/>
        <v>0.75481655885578314</v>
      </c>
      <c r="AF349" s="62">
        <f ca="1"/>
        <v>0.7436516330969829</v>
      </c>
      <c r="AG349" s="66" t="str">
        <f t="array" ref="AG349">IF($AB349, Push(MMULT($I$44:$L$47,MMULT(Fetch(AV348),TRANSPOSE($I$44:$L$47))) + $N$44:$Q$47), "")</f>
        <v/>
      </c>
      <c r="AH349" s="62">
        <f t="array" aca="1" ref="AH349:AK349" ca="1">TRANSPOSE($G$38:$G$41 + MMULT($I$38:$L$41,TRANSPOSE(AC349:AF349)))</f>
        <v>1.1316692283099596</v>
      </c>
      <c r="AI349" s="62">
        <f ca="1"/>
        <v>0.87158275068762547</v>
      </c>
      <c r="AJ349" s="62">
        <f ca="1"/>
        <v>0.7836092642800645</v>
      </c>
      <c r="AK349" s="62">
        <f ca="1"/>
        <v>0.78058357255718902</v>
      </c>
      <c r="AL349" s="66" t="str">
        <f t="array" ref="AL349">IF($AB349, Push(MINVERSE(MMULT($I$38:$L$41,MMULT(Fetch(AG349),TRANSPOSE($I$38:$L$41))) + $N$38:$Q$41)), "")</f>
        <v/>
      </c>
      <c r="AM349" s="62">
        <f t="array" aca="1" ref="AM349:AP349" ca="1">X349:AA349 - AH349:AK349</f>
        <v>0.84391739229953777</v>
      </c>
      <c r="AN349" s="62">
        <f ca="1"/>
        <v>-0.14308747924945453</v>
      </c>
      <c r="AO349" s="62">
        <f ca="1"/>
        <v>9.7235487035349122E-2</v>
      </c>
      <c r="AP349" s="62">
        <f ca="1"/>
        <v>0.44410443532246724</v>
      </c>
      <c r="AQ349" s="66" t="str">
        <f t="array" ref="AQ349">IF($AB349, Push(MMULT(Fetch(AG349),MMULT(TRANSPOSE($I$38:$L$41),Fetch(AL349)))), "")</f>
        <v/>
      </c>
      <c r="AR349" s="62">
        <f t="array" aca="1" ref="AR349:AU349" ca="1">AC349:AF349 + TRANSPOSE(MMULT(IF($AB349,Fetch(AQ349),$L$61:$O$64),TRANSPOSE(AM349:AP349)))</f>
        <v>1.1720349985777556</v>
      </c>
      <c r="AS349" s="62">
        <f ca="1"/>
        <v>0.47305535394252146</v>
      </c>
      <c r="AT349" s="62">
        <f ca="1"/>
        <v>1.3879954525175191</v>
      </c>
      <c r="AU349" s="62">
        <f ca="1"/>
        <v>0.94037842359713641</v>
      </c>
      <c r="AV349" s="66" t="str">
        <f t="array" ref="AV349">IF($AB349, Push(Fetch(AG349) - MMULT(Fetch(AQ349),MMULT($I$38:$L$41,Fetch(AG349)))), "")</f>
        <v/>
      </c>
      <c r="AW349" s="97">
        <f t="array" aca="1" ref="AW349" ca="1">IF($AB349,LN(MDETERM(Fetch(AL349))),$J$65)   -   MMULT(AM349:AP349,MMULT(IF($AB349,Fetch(AL349),$G$61:$J$64),TRANSPOSE(AM349:AP349)))</f>
        <v>3.1951179146337889</v>
      </c>
    </row>
    <row r="350" spans="23:49" x14ac:dyDescent="0.15">
      <c r="W350" s="12">
        <f t="shared" si="10"/>
        <v>347</v>
      </c>
      <c r="X350" s="62">
        <f t="array" aca="1" ref="X350:AA350" ca="1">simulate!AE350:AH350</f>
        <v>0.38090513283576166</v>
      </c>
      <c r="Y350" s="62">
        <f ca="1"/>
        <v>-2.5807123409511246E-2</v>
      </c>
      <c r="Z350" s="62">
        <f ca="1"/>
        <v>1.5406617601819499</v>
      </c>
      <c r="AA350" s="62">
        <f ca="1"/>
        <v>0.48981033200630347</v>
      </c>
      <c r="AB350" s="98">
        <f t="shared" si="11"/>
        <v>0</v>
      </c>
      <c r="AC350" s="62">
        <f t="array" aca="1" ref="AC350:AF350" ca="1">TRANSPOSE($G$44:$G$47 + MMULT($I$44:$L$47,TRANSPOSE(AR349:AU349)))</f>
        <v>1.1209940521052602</v>
      </c>
      <c r="AD350" s="62">
        <f ca="1"/>
        <v>0.76998720045820268</v>
      </c>
      <c r="AE350" s="62">
        <f ca="1"/>
        <v>1.1512499501192874</v>
      </c>
      <c r="AF350" s="62">
        <f ca="1"/>
        <v>1.0199552266674994</v>
      </c>
      <c r="AG350" s="66" t="str">
        <f t="array" ref="AG350">IF($AB350, Push(MMULT($I$44:$L$47,MMULT(Fetch(AV349),TRANSPOSE($I$44:$L$47))) + $N$44:$Q$47), "")</f>
        <v/>
      </c>
      <c r="AH350" s="62">
        <f t="array" aca="1" ref="AH350:AK350" ca="1">TRANSPOSE($G$38:$G$41 + MMULT($I$38:$L$41,TRANSPOSE(AC350:AF350)))</f>
        <v>1.4664337160244754</v>
      </c>
      <c r="AI350" s="62">
        <f ca="1"/>
        <v>1.0300753088782595</v>
      </c>
      <c r="AJ350" s="62">
        <f ca="1"/>
        <v>1.0169212088894866</v>
      </c>
      <c r="AK350" s="62">
        <f ca="1"/>
        <v>1.1208451481720949</v>
      </c>
      <c r="AL350" s="66" t="str">
        <f t="array" ref="AL350">IF($AB350, Push(MINVERSE(MMULT($I$38:$L$41,MMULT(Fetch(AG350),TRANSPOSE($I$38:$L$41))) + $N$38:$Q$41)), "")</f>
        <v/>
      </c>
      <c r="AM350" s="62">
        <f t="array" aca="1" ref="AM350:AP350" ca="1">X350:AA350 - AH350:AK350</f>
        <v>-1.0855285831887138</v>
      </c>
      <c r="AN350" s="62">
        <f ca="1"/>
        <v>-1.0558824322877707</v>
      </c>
      <c r="AO350" s="62">
        <f ca="1"/>
        <v>0.52374055129246333</v>
      </c>
      <c r="AP350" s="62">
        <f ca="1"/>
        <v>-0.63103481616579149</v>
      </c>
      <c r="AQ350" s="66" t="str">
        <f t="array" ref="AQ350">IF($AB350, Push(MMULT(Fetch(AG350),MMULT(TRANSPOSE($I$38:$L$41),Fetch(AL350)))), "")</f>
        <v/>
      </c>
      <c r="AR350" s="62">
        <f t="array" aca="1" ref="AR350:AU350" ca="1">AC350:AF350 + TRANSPOSE(MMULT(IF($AB350,Fetch(AQ350),$L$61:$O$64),TRANSPOSE(AM350:AP350)))</f>
        <v>0.73430340992040377</v>
      </c>
      <c r="AS350" s="62">
        <f ca="1"/>
        <v>0.12194687097150547</v>
      </c>
      <c r="AT350" s="62">
        <f ca="1"/>
        <v>0.56310598708123161</v>
      </c>
      <c r="AU350" s="62">
        <f ca="1"/>
        <v>1.0017004779461094</v>
      </c>
      <c r="AV350" s="66" t="str">
        <f t="array" ref="AV350">IF($AB350, Push(Fetch(AG350) - MMULT(Fetch(AQ350),MMULT($I$38:$L$41,Fetch(AG350)))), "")</f>
        <v/>
      </c>
      <c r="AW350" s="97">
        <f t="array" aca="1" ref="AW350" ca="1">IF($AB350,LN(MDETERM(Fetch(AL350))),$J$65)   -   MMULT(AM350:AP350,MMULT(IF($AB350,Fetch(AL350),$G$61:$J$64),TRANSPOSE(AM350:AP350)))</f>
        <v>-3.312710948339328</v>
      </c>
    </row>
    <row r="351" spans="23:49" x14ac:dyDescent="0.15">
      <c r="W351" s="12">
        <f t="shared" si="10"/>
        <v>348</v>
      </c>
      <c r="X351" s="62">
        <f t="array" aca="1" ref="X351:AA351" ca="1">simulate!AE351:AH351</f>
        <v>0.65004423285393309</v>
      </c>
      <c r="Y351" s="62">
        <f ca="1"/>
        <v>1.4017084876213275</v>
      </c>
      <c r="Z351" s="62">
        <f ca="1"/>
        <v>1.2133050157717382</v>
      </c>
      <c r="AA351" s="62">
        <f ca="1"/>
        <v>0.48113292017750298</v>
      </c>
      <c r="AB351" s="98">
        <f t="shared" si="11"/>
        <v>0</v>
      </c>
      <c r="AC351" s="62">
        <f t="array" aca="1" ref="AC351:AF351" ca="1">TRANSPOSE($G$44:$G$47 + MMULT($I$44:$L$47,TRANSPOSE(AR350:AU350)))</f>
        <v>0.776853526798575</v>
      </c>
      <c r="AD351" s="62">
        <f ca="1"/>
        <v>0.39158114150764006</v>
      </c>
      <c r="AE351" s="62">
        <f ca="1"/>
        <v>0.62665791274104155</v>
      </c>
      <c r="AF351" s="62">
        <f ca="1"/>
        <v>0.8731162818341951</v>
      </c>
      <c r="AG351" s="66" t="str">
        <f t="array" ref="AG351">IF($AB351, Push(MMULT($I$44:$L$47,MMULT(Fetch(AV350),TRANSPOSE($I$44:$L$47))) + $N$44:$Q$47), "")</f>
        <v/>
      </c>
      <c r="AH351" s="62">
        <f t="array" aca="1" ref="AH351:AK351" ca="1">TRANSPOSE($G$38:$G$41 + MMULT($I$38:$L$41,TRANSPOSE(AC351:AF351)))</f>
        <v>0.9484474524625357</v>
      </c>
      <c r="AI351" s="62">
        <f ca="1"/>
        <v>0.6782447553892208</v>
      </c>
      <c r="AJ351" s="62">
        <f ca="1"/>
        <v>0.95376573852695823</v>
      </c>
      <c r="AK351" s="62">
        <f ca="1"/>
        <v>0.71798139084798995</v>
      </c>
      <c r="AL351" s="66" t="str">
        <f t="array" ref="AL351">IF($AB351, Push(MINVERSE(MMULT($I$38:$L$41,MMULT(Fetch(AG351),TRANSPOSE($I$38:$L$41))) + $N$38:$Q$41)), "")</f>
        <v/>
      </c>
      <c r="AM351" s="62">
        <f t="array" aca="1" ref="AM351:AP351" ca="1">X351:AA351 - AH351:AK351</f>
        <v>-0.29840321960860261</v>
      </c>
      <c r="AN351" s="62">
        <f ca="1"/>
        <v>0.72346373223210669</v>
      </c>
      <c r="AO351" s="62">
        <f ca="1"/>
        <v>0.25953927724477999</v>
      </c>
      <c r="AP351" s="62">
        <f ca="1"/>
        <v>-0.23684847067048698</v>
      </c>
      <c r="AQ351" s="66" t="str">
        <f t="array" ref="AQ351">IF($AB351, Push(MMULT(Fetch(AG351),MMULT(TRANSPOSE($I$38:$L$41),Fetch(AL351)))), "")</f>
        <v/>
      </c>
      <c r="AR351" s="62">
        <f t="array" aca="1" ref="AR351:AU351" ca="1">AC351:AF351 + TRANSPOSE(MMULT(IF($AB351,Fetch(AQ351),$L$61:$O$64),TRANSPOSE(AM351:AP351)))</f>
        <v>0.87265162131340523</v>
      </c>
      <c r="AS351" s="62">
        <f ca="1"/>
        <v>0.75488113894668418</v>
      </c>
      <c r="AT351" s="62">
        <f ca="1"/>
        <v>0.31507444721025624</v>
      </c>
      <c r="AU351" s="62">
        <f ca="1"/>
        <v>0.90015036186585051</v>
      </c>
      <c r="AV351" s="66" t="str">
        <f t="array" ref="AV351">IF($AB351, Push(Fetch(AG351) - MMULT(Fetch(AQ351),MMULT($I$38:$L$41,Fetch(AG351)))), "")</f>
        <v/>
      </c>
      <c r="AW351" s="97">
        <f t="array" aca="1" ref="AW351" ca="1">IF($AB351,LN(MDETERM(Fetch(AL351))),$J$65)   -   MMULT(AM351:AP351,MMULT(IF($AB351,Fetch(AL351),$G$61:$J$64),TRANSPOSE(AM351:AP351)))</f>
        <v>1.6160708045890484</v>
      </c>
    </row>
    <row r="352" spans="23:49" x14ac:dyDescent="0.15">
      <c r="W352" s="12">
        <f t="shared" si="10"/>
        <v>349</v>
      </c>
      <c r="X352" s="62">
        <f t="array" aca="1" ref="X352:AA352" ca="1">simulate!AE352:AH352</f>
        <v>1.4453983418420786</v>
      </c>
      <c r="Y352" s="62">
        <f ca="1"/>
        <v>1.0329693748889732</v>
      </c>
      <c r="Z352" s="62">
        <f ca="1"/>
        <v>0.71344010426771054</v>
      </c>
      <c r="AA352" s="62">
        <f ca="1"/>
        <v>0.96087527035623332</v>
      </c>
      <c r="AB352" s="98">
        <f t="shared" si="11"/>
        <v>0</v>
      </c>
      <c r="AC352" s="62">
        <f t="array" aca="1" ref="AC352:AF352" ca="1">TRANSPOSE($G$44:$G$47 + MMULT($I$44:$L$47,TRANSPOSE(AR351:AU351)))</f>
        <v>0.92270477341484836</v>
      </c>
      <c r="AD352" s="62">
        <f ca="1"/>
        <v>0.71193992800018024</v>
      </c>
      <c r="AE352" s="62">
        <f ca="1"/>
        <v>0.59028495461156616</v>
      </c>
      <c r="AF352" s="62">
        <f ca="1"/>
        <v>0.82970428769239968</v>
      </c>
      <c r="AG352" s="66" t="str">
        <f t="array" ref="AG352">IF($AB352, Push(MMULT($I$44:$L$47,MMULT(Fetch(AV351),TRANSPOSE($I$44:$L$47))) + $N$44:$Q$47), "")</f>
        <v/>
      </c>
      <c r="AH352" s="62">
        <f t="array" aca="1" ref="AH352:AK352" ca="1">TRANSPOSE($G$38:$G$41 + MMULT($I$38:$L$41,TRANSPOSE(AC352:AF352)))</f>
        <v>1.0250030152642757</v>
      </c>
      <c r="AI352" s="62">
        <f ca="1"/>
        <v>1.0121006823140497</v>
      </c>
      <c r="AJ352" s="62">
        <f ca="1"/>
        <v>0.85559076866959805</v>
      </c>
      <c r="AK352" s="62">
        <f ca="1"/>
        <v>0.70569022752926291</v>
      </c>
      <c r="AL352" s="66" t="str">
        <f t="array" ref="AL352">IF($AB352, Push(MINVERSE(MMULT($I$38:$L$41,MMULT(Fetch(AG352),TRANSPOSE($I$38:$L$41))) + $N$38:$Q$41)), "")</f>
        <v/>
      </c>
      <c r="AM352" s="62">
        <f t="array" aca="1" ref="AM352:AP352" ca="1">X352:AA352 - AH352:AK352</f>
        <v>0.42039532657780287</v>
      </c>
      <c r="AN352" s="62">
        <f ca="1"/>
        <v>2.086869257492352E-2</v>
      </c>
      <c r="AO352" s="62">
        <f ca="1"/>
        <v>-0.14215066440188751</v>
      </c>
      <c r="AP352" s="62">
        <f ca="1"/>
        <v>0.25518504282697041</v>
      </c>
      <c r="AQ352" s="66" t="str">
        <f t="array" ref="AQ352">IF($AB352, Push(MMULT(Fetch(AG352),MMULT(TRANSPOSE($I$38:$L$41),Fetch(AL352)))), "")</f>
        <v/>
      </c>
      <c r="AR352" s="62">
        <f t="array" aca="1" ref="AR352:AU352" ca="1">AC352:AF352 + TRANSPOSE(MMULT(IF($AB352,Fetch(AQ352),$L$61:$O$64),TRANSPOSE(AM352:AP352)))</f>
        <v>1.0244351930293192</v>
      </c>
      <c r="AS352" s="62">
        <f ca="1"/>
        <v>0.73097617927377279</v>
      </c>
      <c r="AT352" s="62">
        <f ca="1"/>
        <v>0.88428721634500618</v>
      </c>
      <c r="AU352" s="62">
        <f ca="1"/>
        <v>0.8625517825382536</v>
      </c>
      <c r="AV352" s="66" t="str">
        <f t="array" ref="AV352">IF($AB352, Push(Fetch(AG352) - MMULT(Fetch(AQ352),MMULT($I$38:$L$41,Fetch(AG352)))), "")</f>
        <v/>
      </c>
      <c r="AW352" s="97">
        <f t="array" aca="1" ref="AW352" ca="1">IF($AB352,LN(MDETERM(Fetch(AL352))),$J$65)   -   MMULT(AM352:AP352,MMULT(IF($AB352,Fetch(AL352),$G$61:$J$64),TRANSPOSE(AM352:AP352)))</f>
        <v>6.1627177465439145</v>
      </c>
    </row>
    <row r="353" spans="23:49" x14ac:dyDescent="0.15">
      <c r="W353" s="12">
        <f t="shared" si="10"/>
        <v>350</v>
      </c>
      <c r="X353" s="62">
        <f t="array" aca="1" ref="X353:AA353" ca="1">simulate!AE353:AH353</f>
        <v>1.5914977207156928</v>
      </c>
      <c r="Y353" s="62">
        <f ca="1"/>
        <v>1.2334191313764964</v>
      </c>
      <c r="Z353" s="62">
        <f ca="1"/>
        <v>1.1995828493228058</v>
      </c>
      <c r="AA353" s="62">
        <f ca="1"/>
        <v>0.74692781031651334</v>
      </c>
      <c r="AB353" s="98">
        <f t="shared" si="11"/>
        <v>0</v>
      </c>
      <c r="AC353" s="62">
        <f t="array" aca="1" ref="AC353:AF353" ca="1">TRANSPOSE($G$44:$G$47 + MMULT($I$44:$L$47,TRANSPOSE(AR352:AU352)))</f>
        <v>1.0398533438668915</v>
      </c>
      <c r="AD353" s="62">
        <f ca="1"/>
        <v>0.80523508479309591</v>
      </c>
      <c r="AE353" s="62">
        <f ca="1"/>
        <v>0.89906144344393601</v>
      </c>
      <c r="AF353" s="62">
        <f ca="1"/>
        <v>0.90740786026368858</v>
      </c>
      <c r="AG353" s="66" t="str">
        <f t="array" ref="AG353">IF($AB353, Push(MMULT($I$44:$L$47,MMULT(Fetch(AV352),TRANSPOSE($I$44:$L$47))) + $N$44:$Q$47), "")</f>
        <v/>
      </c>
      <c r="AH353" s="62">
        <f t="array" aca="1" ref="AH353:AK353" ca="1">TRANSPOSE($G$38:$G$41 + MMULT($I$38:$L$41,TRANSPOSE(AC353:AF353)))</f>
        <v>1.2781377758504329</v>
      </c>
      <c r="AI353" s="62">
        <f ca="1"/>
        <v>1.0730947002162621</v>
      </c>
      <c r="AJ353" s="62">
        <f ca="1"/>
        <v>0.90162002794193929</v>
      </c>
      <c r="AK353" s="62">
        <f ca="1"/>
        <v>0.93783752805186715</v>
      </c>
      <c r="AL353" s="66" t="str">
        <f t="array" ref="AL353">IF($AB353, Push(MINVERSE(MMULT($I$38:$L$41,MMULT(Fetch(AG353),TRANSPOSE($I$38:$L$41))) + $N$38:$Q$41)), "")</f>
        <v/>
      </c>
      <c r="AM353" s="62">
        <f t="array" aca="1" ref="AM353:AP353" ca="1">X353:AA353 - AH353:AK353</f>
        <v>0.31335994486525998</v>
      </c>
      <c r="AN353" s="62">
        <f ca="1"/>
        <v>0.16032443116023432</v>
      </c>
      <c r="AO353" s="62">
        <f ca="1"/>
        <v>0.29796282138086649</v>
      </c>
      <c r="AP353" s="62">
        <f ca="1"/>
        <v>-0.19090971773535381</v>
      </c>
      <c r="AQ353" s="66" t="str">
        <f t="array" ref="AQ353">IF($AB353, Push(MMULT(Fetch(AG353),MMULT(TRANSPOSE($I$38:$L$41),Fetch(AL353)))), "")</f>
        <v/>
      </c>
      <c r="AR353" s="62">
        <f t="array" aca="1" ref="AR353:AU353" ca="1">AC353:AF353 + TRANSPOSE(MMULT(IF($AB353,Fetch(AQ353),$L$61:$O$64),TRANSPOSE(AM353:AP353)))</f>
        <v>1.3252068429924666</v>
      </c>
      <c r="AS353" s="62">
        <f ca="1"/>
        <v>0.74165752548128117</v>
      </c>
      <c r="AT353" s="62">
        <f ca="1"/>
        <v>0.91712634089774858</v>
      </c>
      <c r="AU353" s="62">
        <f ca="1"/>
        <v>0.96442365360138693</v>
      </c>
      <c r="AV353" s="66" t="str">
        <f t="array" ref="AV353">IF($AB353, Push(Fetch(AG353) - MMULT(Fetch(AQ353),MMULT($I$38:$L$41,Fetch(AG353)))), "")</f>
        <v/>
      </c>
      <c r="AW353" s="97">
        <f t="array" aca="1" ref="AW353" ca="1">IF($AB353,LN(MDETERM(Fetch(AL353))),$J$65)   -   MMULT(AM353:AP353,MMULT(IF($AB353,Fetch(AL353),$G$61:$J$64),TRANSPOSE(AM353:AP353)))</f>
        <v>5.3245513585896873</v>
      </c>
    </row>
    <row r="354" spans="23:49" x14ac:dyDescent="0.15">
      <c r="W354" s="12">
        <f t="shared" si="10"/>
        <v>351</v>
      </c>
      <c r="X354" s="62">
        <f t="array" aca="1" ref="X354:AA354" ca="1">simulate!AE354:AH354</f>
        <v>1.4485785114088525</v>
      </c>
      <c r="Y354" s="62">
        <f ca="1"/>
        <v>0.76944477794048627</v>
      </c>
      <c r="Z354" s="62">
        <f ca="1"/>
        <v>0.69881324851179794</v>
      </c>
      <c r="AA354" s="62">
        <f ca="1"/>
        <v>1.1490695344704458</v>
      </c>
      <c r="AB354" s="98">
        <f t="shared" si="11"/>
        <v>0</v>
      </c>
      <c r="AC354" s="62">
        <f t="array" aca="1" ref="AC354:AF354" ca="1">TRANSPOSE($G$44:$G$47 + MMULT($I$44:$L$47,TRANSPOSE(AR353:AU353)))</f>
        <v>1.2111063858945172</v>
      </c>
      <c r="AD354" s="62">
        <f ca="1"/>
        <v>0.87194851401037943</v>
      </c>
      <c r="AE354" s="62">
        <f ca="1"/>
        <v>0.95501741243783822</v>
      </c>
      <c r="AF354" s="62">
        <f ca="1"/>
        <v>0.9829721390705799</v>
      </c>
      <c r="AG354" s="66" t="str">
        <f t="array" ref="AG354">IF($AB354, Push(MMULT($I$44:$L$47,MMULT(Fetch(AV353),TRANSPOSE($I$44:$L$47))) + $N$44:$Q$47), "")</f>
        <v/>
      </c>
      <c r="AH354" s="62">
        <f t="array" aca="1" ref="AH354:AK354" ca="1">TRANSPOSE($G$38:$G$41 + MMULT($I$38:$L$41,TRANSPOSE(AC354:AF354)))</f>
        <v>1.4112054988284191</v>
      </c>
      <c r="AI354" s="62">
        <f ca="1"/>
        <v>1.1951331832263019</v>
      </c>
      <c r="AJ354" s="62">
        <f ca="1"/>
        <v>1.0003944251284909</v>
      </c>
      <c r="AK354" s="62">
        <f ca="1"/>
        <v>0.95404015024066968</v>
      </c>
      <c r="AL354" s="66" t="str">
        <f t="array" ref="AL354">IF($AB354, Push(MINVERSE(MMULT($I$38:$L$41,MMULT(Fetch(AG354),TRANSPOSE($I$38:$L$41))) + $N$38:$Q$41)), "")</f>
        <v/>
      </c>
      <c r="AM354" s="62">
        <f t="array" aca="1" ref="AM354:AP354" ca="1">X354:AA354 - AH354:AK354</f>
        <v>3.7373012580433462E-2</v>
      </c>
      <c r="AN354" s="62">
        <f ca="1"/>
        <v>-0.42568840528581564</v>
      </c>
      <c r="AO354" s="62">
        <f ca="1"/>
        <v>-0.30158117661669293</v>
      </c>
      <c r="AP354" s="62">
        <f ca="1"/>
        <v>0.19502938422977611</v>
      </c>
      <c r="AQ354" s="66" t="str">
        <f t="array" ref="AQ354">IF($AB354, Push(MMULT(Fetch(AG354),MMULT(TRANSPOSE($I$38:$L$41),Fetch(AL354)))), "")</f>
        <v/>
      </c>
      <c r="AR354" s="62">
        <f t="array" aca="1" ref="AR354:AU354" ca="1">AC354:AF354 + TRANSPOSE(MMULT(IF($AB354,Fetch(AQ354),$L$61:$O$64),TRANSPOSE(AM354:AP354)))</f>
        <v>1.0419909808245504</v>
      </c>
      <c r="AS354" s="62">
        <f ca="1"/>
        <v>0.7245536333151541</v>
      </c>
      <c r="AT354" s="62">
        <f ca="1"/>
        <v>1.0997400016194327</v>
      </c>
      <c r="AU354" s="62">
        <f ca="1"/>
        <v>0.92534230376287274</v>
      </c>
      <c r="AV354" s="66" t="str">
        <f t="array" ref="AV354">IF($AB354, Push(Fetch(AG354) - MMULT(Fetch(AQ354),MMULT($I$38:$L$41,Fetch(AG354)))), "")</f>
        <v/>
      </c>
      <c r="AW354" s="97">
        <f t="array" aca="1" ref="AW354" ca="1">IF($AB354,LN(MDETERM(Fetch(AL354))),$J$65)   -   MMULT(AM354:AP354,MMULT(IF($AB354,Fetch(AL354),$G$61:$J$64),TRANSPOSE(AM354:AP354)))</f>
        <v>5.0071532958399407</v>
      </c>
    </row>
    <row r="355" spans="23:49" x14ac:dyDescent="0.15">
      <c r="W355" s="12">
        <f t="shared" si="10"/>
        <v>352</v>
      </c>
      <c r="X355" s="62">
        <f t="array" aca="1" ref="X355:AA355" ca="1">simulate!AE355:AH355</f>
        <v>1.2205479829760284</v>
      </c>
      <c r="Y355" s="62">
        <f ca="1"/>
        <v>1.76939797265835</v>
      </c>
      <c r="Z355" s="62">
        <f ca="1"/>
        <v>1.474316709702943</v>
      </c>
      <c r="AA355" s="62">
        <f ca="1"/>
        <v>1.2915226006998206</v>
      </c>
      <c r="AB355" s="98">
        <f t="shared" si="11"/>
        <v>0</v>
      </c>
      <c r="AC355" s="62">
        <f t="array" aca="1" ref="AC355:AF355" ca="1">TRANSPOSE($G$44:$G$47 + MMULT($I$44:$L$47,TRANSPOSE(AR354:AU354)))</f>
        <v>1.0667384543405583</v>
      </c>
      <c r="AD355" s="62">
        <f ca="1"/>
        <v>0.84097156167978471</v>
      </c>
      <c r="AE355" s="62">
        <f ca="1"/>
        <v>1.0249214200885537</v>
      </c>
      <c r="AF355" s="62">
        <f ca="1"/>
        <v>0.97668675495503576</v>
      </c>
      <c r="AG355" s="66" t="str">
        <f t="array" ref="AG355">IF($AB355, Push(MMULT($I$44:$L$47,MMULT(Fetch(AV354),TRANSPOSE($I$44:$L$47))) + $N$44:$Q$47), "")</f>
        <v/>
      </c>
      <c r="AH355" s="62">
        <f t="array" aca="1" ref="AH355:AK355" ca="1">TRANSPOSE($G$38:$G$41 + MMULT($I$38:$L$41,TRANSPOSE(AC355:AF355)))</f>
        <v>1.3558154830156413</v>
      </c>
      <c r="AI355" s="62">
        <f ca="1"/>
        <v>1.0956315115437829</v>
      </c>
      <c r="AJ355" s="62">
        <f ca="1"/>
        <v>0.94459536723844151</v>
      </c>
      <c r="AK355" s="62">
        <f ca="1"/>
        <v>1.057217551812909</v>
      </c>
      <c r="AL355" s="66" t="str">
        <f t="array" ref="AL355">IF($AB355, Push(MINVERSE(MMULT($I$38:$L$41,MMULT(Fetch(AG355),TRANSPOSE($I$38:$L$41))) + $N$38:$Q$41)), "")</f>
        <v/>
      </c>
      <c r="AM355" s="62">
        <f t="array" aca="1" ref="AM355:AP355" ca="1">X355:AA355 - AH355:AK355</f>
        <v>-0.13526750003961285</v>
      </c>
      <c r="AN355" s="62">
        <f ca="1"/>
        <v>0.67376646111456706</v>
      </c>
      <c r="AO355" s="62">
        <f ca="1"/>
        <v>0.52972134246450153</v>
      </c>
      <c r="AP355" s="62">
        <f ca="1"/>
        <v>0.23430504888691162</v>
      </c>
      <c r="AQ355" s="66" t="str">
        <f t="array" ref="AQ355">IF($AB355, Push(MMULT(Fetch(AG355),MMULT(TRANSPOSE($I$38:$L$41),Fetch(AL355)))), "")</f>
        <v/>
      </c>
      <c r="AR355" s="62">
        <f t="array" aca="1" ref="AR355:AU355" ca="1">AC355:AF355 + TRANSPOSE(MMULT(IF($AB355,Fetch(AQ355),$L$61:$O$64),TRANSPOSE(AM355:AP355)))</f>
        <v>1.1910639478254683</v>
      </c>
      <c r="AS355" s="62">
        <f ca="1"/>
        <v>1.1843384852659886</v>
      </c>
      <c r="AT355" s="62">
        <f ca="1"/>
        <v>1.1347450385817353</v>
      </c>
      <c r="AU355" s="62">
        <f ca="1"/>
        <v>1.2785237122716739</v>
      </c>
      <c r="AV355" s="66" t="str">
        <f t="array" ref="AV355">IF($AB355, Push(Fetch(AG355) - MMULT(Fetch(AQ355),MMULT($I$38:$L$41,Fetch(AG355)))), "")</f>
        <v/>
      </c>
      <c r="AW355" s="97">
        <f t="array" aca="1" ref="AW355" ca="1">IF($AB355,LN(MDETERM(Fetch(AL355))),$J$65)   -   MMULT(AM355:AP355,MMULT(IF($AB355,Fetch(AL355),$G$61:$J$64),TRANSPOSE(AM355:AP355)))</f>
        <v>-1.2774787489155468</v>
      </c>
    </row>
    <row r="356" spans="23:49" x14ac:dyDescent="0.15">
      <c r="W356" s="12">
        <f t="shared" si="10"/>
        <v>353</v>
      </c>
      <c r="X356" s="62">
        <f t="array" aca="1" ref="X356:AA356" ca="1">simulate!AE356:AH356</f>
        <v>1.085809662720721</v>
      </c>
      <c r="Y356" s="62">
        <f ca="1"/>
        <v>0.96335604447472323</v>
      </c>
      <c r="Z356" s="62">
        <f ca="1"/>
        <v>1.1912048359755305</v>
      </c>
      <c r="AA356" s="62">
        <f ca="1"/>
        <v>0.33541200680142963</v>
      </c>
      <c r="AB356" s="98">
        <f t="shared" si="11"/>
        <v>0</v>
      </c>
      <c r="AC356" s="62">
        <f t="array" aca="1" ref="AC356:AF356" ca="1">TRANSPOSE($G$44:$G$47 + MMULT($I$44:$L$47,TRANSPOSE(AR355:AU355)))</f>
        <v>1.2347572576436108</v>
      </c>
      <c r="AD356" s="62">
        <f ca="1"/>
        <v>1.1438143688871629</v>
      </c>
      <c r="AE356" s="62">
        <f ca="1"/>
        <v>1.1813565860121991</v>
      </c>
      <c r="AF356" s="62">
        <f ca="1"/>
        <v>1.2130074790705407</v>
      </c>
      <c r="AG356" s="66" t="str">
        <f t="array" ref="AG356">IF($AB356, Push(MMULT($I$44:$L$47,MMULT(Fetch(AV355),TRANSPOSE($I$44:$L$47))) + $N$44:$Q$47), "")</f>
        <v/>
      </c>
      <c r="AH356" s="62">
        <f t="array" aca="1" ref="AH356:AK356" ca="1">TRANSPOSE($G$38:$G$41 + MMULT($I$38:$L$41,TRANSPOSE(AC356:AF356)))</f>
        <v>1.4922175662699722</v>
      </c>
      <c r="AI356" s="62">
        <f ca="1"/>
        <v>1.4281341370127647</v>
      </c>
      <c r="AJ356" s="62">
        <f ca="1"/>
        <v>1.0773485039132351</v>
      </c>
      <c r="AK356" s="62">
        <f ca="1"/>
        <v>1.2884676553108008</v>
      </c>
      <c r="AL356" s="66" t="str">
        <f t="array" ref="AL356">IF($AB356, Push(MINVERSE(MMULT($I$38:$L$41,MMULT(Fetch(AG356),TRANSPOSE($I$38:$L$41))) + $N$38:$Q$41)), "")</f>
        <v/>
      </c>
      <c r="AM356" s="62">
        <f t="array" aca="1" ref="AM356:AP356" ca="1">X356:AA356 - AH356:AK356</f>
        <v>-0.40640790354925116</v>
      </c>
      <c r="AN356" s="62">
        <f ca="1"/>
        <v>-0.46477809253804148</v>
      </c>
      <c r="AO356" s="62">
        <f ca="1"/>
        <v>0.1138563320622954</v>
      </c>
      <c r="AP356" s="62">
        <f ca="1"/>
        <v>-0.95305564850937108</v>
      </c>
      <c r="AQ356" s="66" t="str">
        <f t="array" ref="AQ356">IF($AB356, Push(MMULT(Fetch(AG356),MMULT(TRANSPOSE($I$38:$L$41),Fetch(AL356)))), "")</f>
        <v/>
      </c>
      <c r="AR356" s="62">
        <f t="array" aca="1" ref="AR356:AU356" ca="1">AC356:AF356 + TRANSPOSE(MMULT(IF($AB356,Fetch(AQ356),$L$61:$O$64),TRANSPOSE(AM356:AP356)))</f>
        <v>1.2193087036696688</v>
      </c>
      <c r="AS356" s="62">
        <f ca="1"/>
        <v>0.73652536255310652</v>
      </c>
      <c r="AT356" s="62">
        <f ca="1"/>
        <v>0.48388256232904481</v>
      </c>
      <c r="AU356" s="62">
        <f ca="1"/>
        <v>0.92195355044118554</v>
      </c>
      <c r="AV356" s="66" t="str">
        <f t="array" ref="AV356">IF($AB356, Push(Fetch(AG356) - MMULT(Fetch(AQ356),MMULT($I$38:$L$41,Fetch(AG356)))), "")</f>
        <v/>
      </c>
      <c r="AW356" s="97">
        <f t="array" aca="1" ref="AW356" ca="1">IF($AB356,LN(MDETERM(Fetch(AL356))),$J$65)   -   MMULT(AM356:AP356,MMULT(IF($AB356,Fetch(AL356),$G$61:$J$64),TRANSPOSE(AM356:AP356)))</f>
        <v>-2.3200826247564539</v>
      </c>
    </row>
    <row r="357" spans="23:49" x14ac:dyDescent="0.15">
      <c r="W357" s="12">
        <f t="shared" si="10"/>
        <v>354</v>
      </c>
      <c r="X357" s="62">
        <f t="array" aca="1" ref="X357:AA357" ca="1">simulate!AE357:AH357</f>
        <v>0.25447621515426866</v>
      </c>
      <c r="Y357" s="62">
        <f ca="1"/>
        <v>-0.21548036875250554</v>
      </c>
      <c r="Z357" s="62">
        <f ca="1"/>
        <v>1.4053100301022587</v>
      </c>
      <c r="AA357" s="62">
        <f ca="1"/>
        <v>0.59392631427913412</v>
      </c>
      <c r="AB357" s="98">
        <f t="shared" si="11"/>
        <v>0</v>
      </c>
      <c r="AC357" s="62">
        <f t="array" aca="1" ref="AC357:AF357" ca="1">TRANSPOSE($G$44:$G$47 + MMULT($I$44:$L$47,TRANSPOSE(AR356:AU356)))</f>
        <v>1.1202731588540984</v>
      </c>
      <c r="AD357" s="62">
        <f ca="1"/>
        <v>0.78484372074869857</v>
      </c>
      <c r="AE357" s="62">
        <f ca="1"/>
        <v>0.70637671399085922</v>
      </c>
      <c r="AF357" s="62">
        <f ca="1"/>
        <v>0.88423945975967655</v>
      </c>
      <c r="AG357" s="66" t="str">
        <f t="array" ref="AG357">IF($AB357, Push(MMULT($I$44:$L$47,MMULT(Fetch(AV356),TRANSPOSE($I$44:$L$47))) + $N$44:$Q$47), "")</f>
        <v/>
      </c>
      <c r="AH357" s="62">
        <f t="array" aca="1" ref="AH357:AK357" ca="1">TRANSPOSE($G$38:$G$41 + MMULT($I$38:$L$41,TRANSPOSE(AC357:AF357)))</f>
        <v>1.2207955634122563</v>
      </c>
      <c r="AI357" s="62">
        <f ca="1"/>
        <v>1.1297677099237038</v>
      </c>
      <c r="AJ357" s="62">
        <f ca="1"/>
        <v>0.9390292988243274</v>
      </c>
      <c r="AK357" s="62">
        <f ca="1"/>
        <v>0.74640106023047625</v>
      </c>
      <c r="AL357" s="66" t="str">
        <f t="array" ref="AL357">IF($AB357, Push(MINVERSE(MMULT($I$38:$L$41,MMULT(Fetch(AG357),TRANSPOSE($I$38:$L$41))) + $N$38:$Q$41)), "")</f>
        <v/>
      </c>
      <c r="AM357" s="62">
        <f t="array" aca="1" ref="AM357:AP357" ca="1">X357:AA357 - AH357:AK357</f>
        <v>-0.9663193482579876</v>
      </c>
      <c r="AN357" s="62">
        <f ca="1"/>
        <v>-1.3452480786762093</v>
      </c>
      <c r="AO357" s="62">
        <f ca="1"/>
        <v>0.46628073127793135</v>
      </c>
      <c r="AP357" s="62">
        <f ca="1"/>
        <v>-0.15247474595134214</v>
      </c>
      <c r="AQ357" s="66" t="str">
        <f t="array" ref="AQ357">IF($AB357, Push(MMULT(Fetch(AG357),MMULT(TRANSPOSE($I$38:$L$41),Fetch(AL357)))), "")</f>
        <v/>
      </c>
      <c r="AR357" s="62">
        <f t="array" aca="1" ref="AR357:AU357" ca="1">AC357:AF357 + TRANSPOSE(MMULT(IF($AB357,Fetch(AQ357),$L$61:$O$64),TRANSPOSE(AM357:AP357)))</f>
        <v>0.62070303122702175</v>
      </c>
      <c r="AS357" s="62">
        <f ca="1"/>
        <v>5.7989213417477314E-2</v>
      </c>
      <c r="AT357" s="62">
        <f ca="1"/>
        <v>0.50345118293662972</v>
      </c>
      <c r="AU357" s="62">
        <f ca="1"/>
        <v>1.0080470679442151</v>
      </c>
      <c r="AV357" s="66" t="str">
        <f t="array" ref="AV357">IF($AB357, Push(Fetch(AG357) - MMULT(Fetch(AQ357),MMULT($I$38:$L$41,Fetch(AG357)))), "")</f>
        <v/>
      </c>
      <c r="AW357" s="97">
        <f t="array" aca="1" ref="AW357" ca="1">IF($AB357,LN(MDETERM(Fetch(AL357))),$J$65)   -   MMULT(AM357:AP357,MMULT(IF($AB357,Fetch(AL357),$G$61:$J$64),TRANSPOSE(AM357:AP357)))</f>
        <v>-3.6528214611997871</v>
      </c>
    </row>
    <row r="358" spans="23:49" x14ac:dyDescent="0.15">
      <c r="W358" s="12">
        <f t="shared" si="10"/>
        <v>355</v>
      </c>
      <c r="X358" s="62">
        <f t="array" aca="1" ref="X358:AA358" ca="1">simulate!AE358:AH358</f>
        <v>0.73725472412852522</v>
      </c>
      <c r="Y358" s="62">
        <f ca="1"/>
        <v>0.53635157607908412</v>
      </c>
      <c r="Z358" s="62">
        <f ca="1"/>
        <v>1.7810045175915108</v>
      </c>
      <c r="AA358" s="62">
        <f ca="1"/>
        <v>0.84735887614696714</v>
      </c>
      <c r="AB358" s="98">
        <f t="shared" si="11"/>
        <v>0</v>
      </c>
      <c r="AC358" s="62">
        <f t="array" aca="1" ref="AC358:AF358" ca="1">TRANSPOSE($G$44:$G$47 + MMULT($I$44:$L$47,TRANSPOSE(AR357:AU357)))</f>
        <v>0.70209420178582249</v>
      </c>
      <c r="AD358" s="62">
        <f ca="1"/>
        <v>0.33021849045894702</v>
      </c>
      <c r="AE358" s="62">
        <f ca="1"/>
        <v>0.57690846433336385</v>
      </c>
      <c r="AF358" s="62">
        <f ca="1"/>
        <v>0.85684650387922767</v>
      </c>
      <c r="AG358" s="66" t="str">
        <f t="array" ref="AG358">IF($AB358, Push(MMULT($I$44:$L$47,MMULT(Fetch(AV357),TRANSPOSE($I$44:$L$47))) + $N$44:$Q$47), "")</f>
        <v/>
      </c>
      <c r="AH358" s="62">
        <f t="array" aca="1" ref="AH358:AK358" ca="1">TRANSPOSE($G$38:$G$41 + MMULT($I$38:$L$41,TRANSPOSE(AC358:AF358)))</f>
        <v>0.87120872757614998</v>
      </c>
      <c r="AI358" s="62">
        <f ca="1"/>
        <v>0.60663599051834649</v>
      </c>
      <c r="AJ358" s="62">
        <f ca="1"/>
        <v>0.93921064410809274</v>
      </c>
      <c r="AK358" s="62">
        <f ca="1"/>
        <v>0.68990011043364463</v>
      </c>
      <c r="AL358" s="66" t="str">
        <f t="array" ref="AL358">IF($AB358, Push(MINVERSE(MMULT($I$38:$L$41,MMULT(Fetch(AG358),TRANSPOSE($I$38:$L$41))) + $N$38:$Q$41)), "")</f>
        <v/>
      </c>
      <c r="AM358" s="62">
        <f t="array" aca="1" ref="AM358:AP358" ca="1">X358:AA358 - AH358:AK358</f>
        <v>-0.13395400344762476</v>
      </c>
      <c r="AN358" s="62">
        <f ca="1"/>
        <v>-7.0284414439262366E-2</v>
      </c>
      <c r="AO358" s="62">
        <f ca="1"/>
        <v>0.84179387348341805</v>
      </c>
      <c r="AP358" s="62">
        <f ca="1"/>
        <v>0.15745876571332251</v>
      </c>
      <c r="AQ358" s="66" t="str">
        <f t="array" ref="AQ358">IF($AB358, Push(MMULT(Fetch(AG358),MMULT(TRANSPOSE($I$38:$L$41),Fetch(AL358)))), "")</f>
        <v/>
      </c>
      <c r="AR358" s="62">
        <f t="array" aca="1" ref="AR358:AU358" ca="1">AC358:AF358 + TRANSPOSE(MMULT(IF($AB358,Fetch(AQ358),$L$61:$O$64),TRANSPOSE(AM358:AP358)))</f>
        <v>0.80591906924819912</v>
      </c>
      <c r="AS358" s="62">
        <f ca="1"/>
        <v>0.16823734455345279</v>
      </c>
      <c r="AT358" s="62">
        <f ca="1"/>
        <v>0.78298174836133605</v>
      </c>
      <c r="AU358" s="62">
        <f ca="1"/>
        <v>1.2538002977177845</v>
      </c>
      <c r="AV358" s="66" t="str">
        <f t="array" ref="AV358">IF($AB358, Push(Fetch(AG358) - MMULT(Fetch(AQ358),MMULT($I$38:$L$41,Fetch(AG358)))), "")</f>
        <v/>
      </c>
      <c r="AW358" s="97">
        <f t="array" aca="1" ref="AW358" ca="1">IF($AB358,LN(MDETERM(Fetch(AL358))),$J$65)   -   MMULT(AM358:AP358,MMULT(IF($AB358,Fetch(AL358),$G$61:$J$64),TRANSPOSE(AM358:AP358)))</f>
        <v>2.8169840493995464</v>
      </c>
    </row>
    <row r="359" spans="23:49" x14ac:dyDescent="0.15">
      <c r="W359" s="12">
        <f t="shared" si="10"/>
        <v>356</v>
      </c>
      <c r="X359" s="62">
        <f t="array" aca="1" ref="X359:AA359" ca="1">simulate!AE359:AH359</f>
        <v>1.5237603121099905</v>
      </c>
      <c r="Y359" s="62">
        <f ca="1"/>
        <v>0.11379716920434924</v>
      </c>
      <c r="Z359" s="62">
        <f ca="1"/>
        <v>-6.4746649155184466E-2</v>
      </c>
      <c r="AA359" s="62">
        <f ca="1"/>
        <v>1.0702504943047557</v>
      </c>
      <c r="AB359" s="98">
        <f t="shared" si="11"/>
        <v>0</v>
      </c>
      <c r="AC359" s="62">
        <f t="array" aca="1" ref="AC359:AF359" ca="1">TRANSPOSE($G$44:$G$47 + MMULT($I$44:$L$47,TRANSPOSE(AR358:AU358)))</f>
        <v>0.85014829132882741</v>
      </c>
      <c r="AD359" s="62">
        <f ca="1"/>
        <v>0.47869402148907897</v>
      </c>
      <c r="AE359" s="62">
        <f ca="1"/>
        <v>0.79532938972158562</v>
      </c>
      <c r="AF359" s="62">
        <f ca="1"/>
        <v>1.0517046463560997</v>
      </c>
      <c r="AG359" s="66" t="str">
        <f t="array" ref="AG359">IF($AB359, Push(MMULT($I$44:$L$47,MMULT(Fetch(AV358),TRANSPOSE($I$44:$L$47))) + $N$44:$Q$47), "")</f>
        <v/>
      </c>
      <c r="AH359" s="62">
        <f t="array" aca="1" ref="AH359:AK359" ca="1">TRANSPOSE($G$38:$G$41 + MMULT($I$38:$L$41,TRANSPOSE(AC359:AF359)))</f>
        <v>1.0527361649464233</v>
      </c>
      <c r="AI359" s="62">
        <f ca="1"/>
        <v>0.77326018462461943</v>
      </c>
      <c r="AJ359" s="62">
        <f ca="1"/>
        <v>1.0824839690162433</v>
      </c>
      <c r="AK359" s="62">
        <f ca="1"/>
        <v>0.90989855331916103</v>
      </c>
      <c r="AL359" s="66" t="str">
        <f t="array" ref="AL359">IF($AB359, Push(MINVERSE(MMULT($I$38:$L$41,MMULT(Fetch(AG359),TRANSPOSE($I$38:$L$41))) + $N$38:$Q$41)), "")</f>
        <v/>
      </c>
      <c r="AM359" s="62">
        <f t="array" aca="1" ref="AM359:AP359" ca="1">X359:AA359 - AH359:AK359</f>
        <v>0.47102414716356722</v>
      </c>
      <c r="AN359" s="62">
        <f ca="1"/>
        <v>-0.65946301542027019</v>
      </c>
      <c r="AO359" s="62">
        <f ca="1"/>
        <v>-1.1472306181714278</v>
      </c>
      <c r="AP359" s="62">
        <f ca="1"/>
        <v>0.16035194098559469</v>
      </c>
      <c r="AQ359" s="66" t="str">
        <f t="array" ref="AQ359">IF($AB359, Push(MMULT(Fetch(AG359),MMULT(TRANSPOSE($I$38:$L$41),Fetch(AL359)))), "")</f>
        <v/>
      </c>
      <c r="AR359" s="62">
        <f t="array" aca="1" ref="AR359:AU359" ca="1">AC359:AF359 + TRANSPOSE(MMULT(IF($AB359,Fetch(AQ359),$L$61:$O$64),TRANSPOSE(AM359:AP359)))</f>
        <v>0.63746359166359523</v>
      </c>
      <c r="AS359" s="62">
        <f ca="1"/>
        <v>0.29274101267055408</v>
      </c>
      <c r="AT359" s="62">
        <f ca="1"/>
        <v>0.96124156984511466</v>
      </c>
      <c r="AU359" s="62">
        <f ca="1"/>
        <v>0.63737765616777486</v>
      </c>
      <c r="AV359" s="66" t="str">
        <f t="array" ref="AV359">IF($AB359, Push(Fetch(AG359) - MMULT(Fetch(AQ359),MMULT($I$38:$L$41,Fetch(AG359)))), "")</f>
        <v/>
      </c>
      <c r="AW359" s="97">
        <f t="array" aca="1" ref="AW359" ca="1">IF($AB359,LN(MDETERM(Fetch(AL359))),$J$65)   -   MMULT(AM359:AP359,MMULT(IF($AB359,Fetch(AL359),$G$61:$J$64),TRANSPOSE(AM359:AP359)))</f>
        <v>-9.6215536035496658</v>
      </c>
    </row>
    <row r="360" spans="23:49" x14ac:dyDescent="0.15">
      <c r="W360" s="12">
        <f t="shared" si="10"/>
        <v>357</v>
      </c>
      <c r="X360" s="62">
        <f t="array" aca="1" ref="X360:AA360" ca="1">simulate!AE360:AH360</f>
        <v>1.553094337546971</v>
      </c>
      <c r="Y360" s="62">
        <f ca="1"/>
        <v>-0.12419228518116582</v>
      </c>
      <c r="Z360" s="62">
        <f ca="1"/>
        <v>1.5963389182988046</v>
      </c>
      <c r="AA360" s="62">
        <f ca="1"/>
        <v>0.88481237185829331</v>
      </c>
      <c r="AB360" s="98">
        <f t="shared" si="11"/>
        <v>0</v>
      </c>
      <c r="AC360" s="62">
        <f t="array" aca="1" ref="AC360:AF360" ca="1">TRANSPOSE($G$44:$G$47 + MMULT($I$44:$L$47,TRANSPOSE(AR359:AU359)))</f>
        <v>0.76066180757892821</v>
      </c>
      <c r="AD360" s="62">
        <f ca="1"/>
        <v>0.50108660428777285</v>
      </c>
      <c r="AE360" s="62">
        <f ca="1"/>
        <v>0.80860097739134862</v>
      </c>
      <c r="AF360" s="62">
        <f ca="1"/>
        <v>0.74849994752832583</v>
      </c>
      <c r="AG360" s="66" t="str">
        <f t="array" ref="AG360">IF($AB360, Push(MMULT($I$44:$L$47,MMULT(Fetch(AV359),TRANSPOSE($I$44:$L$47))) + $N$44:$Q$47), "")</f>
        <v/>
      </c>
      <c r="AH360" s="62">
        <f t="array" aca="1" ref="AH360:AK360" ca="1">TRANSPOSE($G$38:$G$41 + MMULT($I$38:$L$41,TRANSPOSE(AC360:AF360)))</f>
        <v>1.0822128970104101</v>
      </c>
      <c r="AI360" s="62">
        <f ca="1"/>
        <v>0.69667912394458098</v>
      </c>
      <c r="AJ360" s="62">
        <f ca="1"/>
        <v>0.7849032628670789</v>
      </c>
      <c r="AK360" s="62">
        <f ca="1"/>
        <v>0.8368871178549242</v>
      </c>
      <c r="AL360" s="66" t="str">
        <f t="array" ref="AL360">IF($AB360, Push(MINVERSE(MMULT($I$38:$L$41,MMULT(Fetch(AG360),TRANSPOSE($I$38:$L$41))) + $N$38:$Q$41)), "")</f>
        <v/>
      </c>
      <c r="AM360" s="62">
        <f t="array" aca="1" ref="AM360:AP360" ca="1">X360:AA360 - AH360:AK360</f>
        <v>0.47088144053656089</v>
      </c>
      <c r="AN360" s="62">
        <f ca="1"/>
        <v>-0.82087140912574674</v>
      </c>
      <c r="AO360" s="62">
        <f ca="1"/>
        <v>0.81143565543172569</v>
      </c>
      <c r="AP360" s="62">
        <f ca="1"/>
        <v>4.7925254003369111E-2</v>
      </c>
      <c r="AQ360" s="66" t="str">
        <f t="array" ref="AQ360">IF($AB360, Push(MMULT(Fetch(AG360),MMULT(TRANSPOSE($I$38:$L$41),Fetch(AL360)))), "")</f>
        <v/>
      </c>
      <c r="AR360" s="62">
        <f t="array" aca="1" ref="AR360:AU360" ca="1">AC360:AF360 + TRANSPOSE(MMULT(IF($AB360,Fetch(AQ360),$L$61:$O$64),TRANSPOSE(AM360:AP360)))</f>
        <v>1.0391406178865219</v>
      </c>
      <c r="AS360" s="62">
        <f ca="1"/>
        <v>-0.20992824716269531</v>
      </c>
      <c r="AT360" s="62">
        <f ca="1"/>
        <v>1.2513972573883283</v>
      </c>
      <c r="AU360" s="62">
        <f ca="1"/>
        <v>1.0918005852956536</v>
      </c>
      <c r="AV360" s="66" t="str">
        <f t="array" ref="AV360">IF($AB360, Push(Fetch(AG360) - MMULT(Fetch(AQ360),MMULT($I$38:$L$41,Fetch(AG360)))), "")</f>
        <v/>
      </c>
      <c r="AW360" s="97">
        <f t="array" aca="1" ref="AW360" ca="1">IF($AB360,LN(MDETERM(Fetch(AL360))),$J$65)   -   MMULT(AM360:AP360,MMULT(IF($AB360,Fetch(AL360),$G$61:$J$64),TRANSPOSE(AM360:AP360)))</f>
        <v>-0.20589530127918643</v>
      </c>
    </row>
    <row r="361" spans="23:49" x14ac:dyDescent="0.15">
      <c r="W361" s="12">
        <f t="shared" si="10"/>
        <v>358</v>
      </c>
      <c r="X361" s="62">
        <f t="array" aca="1" ref="X361:AA361" ca="1">simulate!AE361:AH361</f>
        <v>0.89216330411445055</v>
      </c>
      <c r="Y361" s="62">
        <f ca="1"/>
        <v>0.60146163594100255</v>
      </c>
      <c r="Z361" s="62">
        <f ca="1"/>
        <v>-0.35679795771930511</v>
      </c>
      <c r="AA361" s="62">
        <f ca="1"/>
        <v>0.8432407258353507</v>
      </c>
      <c r="AB361" s="98">
        <f t="shared" si="11"/>
        <v>0</v>
      </c>
      <c r="AC361" s="62">
        <f t="array" aca="1" ref="AC361:AF361" ca="1">TRANSPOSE($G$44:$G$47 + MMULT($I$44:$L$47,TRANSPOSE(AR360:AU360)))</f>
        <v>0.94569870237861631</v>
      </c>
      <c r="AD361" s="62">
        <f ca="1"/>
        <v>0.37011176516702687</v>
      </c>
      <c r="AE361" s="62">
        <f ca="1"/>
        <v>0.97953695679842956</v>
      </c>
      <c r="AF361" s="62">
        <f ca="1"/>
        <v>1.0245528839888829</v>
      </c>
      <c r="AG361" s="66" t="str">
        <f t="array" ref="AG361">IF($AB361, Push(MMULT($I$44:$L$47,MMULT(Fetch(AV360),TRANSPOSE($I$44:$L$47))) + $N$44:$Q$47), "")</f>
        <v/>
      </c>
      <c r="AH361" s="62">
        <f t="array" aca="1" ref="AH361:AK361" ca="1">TRANSPOSE($G$38:$G$41 + MMULT($I$38:$L$41,TRANSPOSE(AC361:AF361)))</f>
        <v>1.2517326196764782</v>
      </c>
      <c r="AI361" s="62">
        <f ca="1"/>
        <v>0.66159032108598326</v>
      </c>
      <c r="AJ361" s="62">
        <f ca="1"/>
        <v>1.1208548497656308</v>
      </c>
      <c r="AK361" s="62">
        <f ca="1"/>
        <v>0.9551485422742434</v>
      </c>
      <c r="AL361" s="66" t="str">
        <f t="array" ref="AL361">IF($AB361, Push(MINVERSE(MMULT($I$38:$L$41,MMULT(Fetch(AG361),TRANSPOSE($I$38:$L$41))) + $N$38:$Q$41)), "")</f>
        <v/>
      </c>
      <c r="AM361" s="62">
        <f t="array" aca="1" ref="AM361:AP361" ca="1">X361:AA361 - AH361:AK361</f>
        <v>-0.35956931556202765</v>
      </c>
      <c r="AN361" s="62">
        <f ca="1"/>
        <v>-6.0128685144980709E-2</v>
      </c>
      <c r="AO361" s="62">
        <f ca="1"/>
        <v>-1.4776528074849358</v>
      </c>
      <c r="AP361" s="62">
        <f ca="1"/>
        <v>-0.11190781643889269</v>
      </c>
      <c r="AQ361" s="66" t="str">
        <f t="array" ref="AQ361">IF($AB361, Push(MMULT(Fetch(AG361),MMULT(TRANSPOSE($I$38:$L$41),Fetch(AL361)))), "")</f>
        <v/>
      </c>
      <c r="AR361" s="62">
        <f t="array" aca="1" ref="AR361:AU361" ca="1">AC361:AF361 + TRANSPOSE(MMULT(IF($AB361,Fetch(AQ361),$L$61:$O$64),TRANSPOSE(AM361:AP361)))</f>
        <v>0.42705343209634128</v>
      </c>
      <c r="AS361" s="62">
        <f ca="1"/>
        <v>0.68615549421731215</v>
      </c>
      <c r="AT361" s="62">
        <f ca="1"/>
        <v>0.53346965398151225</v>
      </c>
      <c r="AU361" s="62">
        <f ca="1"/>
        <v>0.38172500625961148</v>
      </c>
      <c r="AV361" s="66" t="str">
        <f t="array" ref="AV361">IF($AB361, Push(Fetch(AG361) - MMULT(Fetch(AQ361),MMULT($I$38:$L$41,Fetch(AG361)))), "")</f>
        <v/>
      </c>
      <c r="AW361" s="97">
        <f t="array" aca="1" ref="AW361" ca="1">IF($AB361,LN(MDETERM(Fetch(AL361))),$J$65)   -   MMULT(AM361:AP361,MMULT(IF($AB361,Fetch(AL361),$G$61:$J$64),TRANSPOSE(AM361:AP361)))</f>
        <v>-4.6845918797636568</v>
      </c>
    </row>
    <row r="362" spans="23:49" x14ac:dyDescent="0.15">
      <c r="W362" s="12">
        <f t="shared" si="10"/>
        <v>359</v>
      </c>
      <c r="X362" s="62">
        <f t="array" aca="1" ref="X362:AA362" ca="1">simulate!AE362:AH362</f>
        <v>1.3944321514612765</v>
      </c>
      <c r="Y362" s="62">
        <f ca="1"/>
        <v>0.92208216532576426</v>
      </c>
      <c r="Z362" s="62">
        <f ca="1"/>
        <v>-0.66004700542757577</v>
      </c>
      <c r="AA362" s="62">
        <f ca="1"/>
        <v>0.66040367967110436</v>
      </c>
      <c r="AB362" s="98">
        <f t="shared" si="11"/>
        <v>0</v>
      </c>
      <c r="AC362" s="62">
        <f t="array" aca="1" ref="AC362:AF362" ca="1">TRANSPOSE($G$44:$G$47 + MMULT($I$44:$L$47,TRANSPOSE(AR361:AU361)))</f>
        <v>0.6625105713824887</v>
      </c>
      <c r="AD362" s="62">
        <f ca="1"/>
        <v>0.59789292538282102</v>
      </c>
      <c r="AE362" s="62">
        <f ca="1"/>
        <v>0.58863470794067452</v>
      </c>
      <c r="AF362" s="62">
        <f ca="1"/>
        <v>0.55886878466467627</v>
      </c>
      <c r="AG362" s="66" t="str">
        <f t="array" ref="AG362">IF($AB362, Push(MMULT($I$44:$L$47,MMULT(Fetch(AV361),TRANSPOSE($I$44:$L$47))) + $N$44:$Q$47), "")</f>
        <v/>
      </c>
      <c r="AH362" s="62">
        <f t="array" aca="1" ref="AH362:AK362" ca="1">TRANSPOSE($G$38:$G$41 + MMULT($I$38:$L$41,TRANSPOSE(AC362:AF362)))</f>
        <v>0.92089954660015971</v>
      </c>
      <c r="AI362" s="62">
        <f ca="1"/>
        <v>0.76365693861790707</v>
      </c>
      <c r="AJ362" s="62">
        <f ca="1"/>
        <v>0.57226333406316321</v>
      </c>
      <c r="AK362" s="62">
        <f ca="1"/>
        <v>0.67067489629710719</v>
      </c>
      <c r="AL362" s="66" t="str">
        <f t="array" ref="AL362">IF($AB362, Push(MINVERSE(MMULT($I$38:$L$41,MMULT(Fetch(AG362),TRANSPOSE($I$38:$L$41))) + $N$38:$Q$41)), "")</f>
        <v/>
      </c>
      <c r="AM362" s="62">
        <f t="array" aca="1" ref="AM362:AP362" ca="1">X362:AA362 - AH362:AK362</f>
        <v>0.47353260486111681</v>
      </c>
      <c r="AN362" s="62">
        <f ca="1"/>
        <v>0.15842522670785719</v>
      </c>
      <c r="AO362" s="62">
        <f ca="1"/>
        <v>-1.2323103394907391</v>
      </c>
      <c r="AP362" s="62">
        <f ca="1"/>
        <v>-1.0271216626002833E-2</v>
      </c>
      <c r="AQ362" s="66" t="str">
        <f t="array" ref="AQ362">IF($AB362, Push(MMULT(Fetch(AG362),MMULT(TRANSPOSE($I$38:$L$41),Fetch(AL362)))), "")</f>
        <v/>
      </c>
      <c r="AR362" s="62">
        <f t="array" aca="1" ref="AR362:AU362" ca="1">AC362:AF362 + TRANSPOSE(MMULT(IF($AB362,Fetch(AQ362),$L$61:$O$64),TRANSPOSE(AM362:AP362)))</f>
        <v>0.59610419370457357</v>
      </c>
      <c r="AS362" s="62">
        <f ca="1"/>
        <v>0.86202154879558512</v>
      </c>
      <c r="AT362" s="62">
        <f ca="1"/>
        <v>0.52570135924456851</v>
      </c>
      <c r="AU362" s="62">
        <f ca="1"/>
        <v>5.604724596428412E-2</v>
      </c>
      <c r="AV362" s="66" t="str">
        <f t="array" ref="AV362">IF($AB362, Push(Fetch(AG362) - MMULT(Fetch(AQ362),MMULT($I$38:$L$41,Fetch(AG362)))), "")</f>
        <v/>
      </c>
      <c r="AW362" s="97">
        <f t="array" aca="1" ref="AW362" ca="1">IF($AB362,LN(MDETERM(Fetch(AL362))),$J$65)   -   MMULT(AM362:AP362,MMULT(IF($AB362,Fetch(AL362),$G$61:$J$64),TRANSPOSE(AM362:AP362)))</f>
        <v>-2.9397938885519483</v>
      </c>
    </row>
    <row r="363" spans="23:49" x14ac:dyDescent="0.15">
      <c r="W363" s="12">
        <f t="shared" si="10"/>
        <v>360</v>
      </c>
      <c r="X363" s="62">
        <f t="array" aca="1" ref="X363:AA363" ca="1">simulate!AE363:AH363</f>
        <v>0.85127419553904093</v>
      </c>
      <c r="Y363" s="62">
        <f ca="1"/>
        <v>1.1797187583059032</v>
      </c>
      <c r="Z363" s="62">
        <f ca="1"/>
        <v>0.87229037005164112</v>
      </c>
      <c r="AA363" s="62">
        <f ca="1"/>
        <v>0.35101481739119106</v>
      </c>
      <c r="AB363" s="98">
        <f t="shared" si="11"/>
        <v>0</v>
      </c>
      <c r="AC363" s="62">
        <f t="array" aca="1" ref="AC363:AF363" ca="1">TRANSPOSE($G$44:$G$47 + MMULT($I$44:$L$47,TRANSPOSE(AR362:AU362)))</f>
        <v>0.76363362976423621</v>
      </c>
      <c r="AD363" s="62">
        <f ca="1"/>
        <v>0.6959881963372242</v>
      </c>
      <c r="AE363" s="62">
        <f ca="1"/>
        <v>0.57682900594197051</v>
      </c>
      <c r="AF363" s="62">
        <f ca="1"/>
        <v>0.40235981989347541</v>
      </c>
      <c r="AG363" s="66" t="str">
        <f t="array" ref="AG363">IF($AB363, Push(MMULT($I$44:$L$47,MMULT(Fetch(AV362),TRANSPOSE($I$44:$L$47))) + $N$44:$Q$47), "")</f>
        <v/>
      </c>
      <c r="AH363" s="62">
        <f t="array" aca="1" ref="AH363:AK363" ca="1">TRANSPOSE($G$38:$G$41 + MMULT($I$38:$L$41,TRANSPOSE(AC363:AF363)))</f>
        <v>1.0250454412747112</v>
      </c>
      <c r="AI363" s="62">
        <f ca="1"/>
        <v>0.85879690227171879</v>
      </c>
      <c r="AJ363" s="62">
        <f ca="1"/>
        <v>0.44447465498273409</v>
      </c>
      <c r="AK363" s="62">
        <f ca="1"/>
        <v>0.579817539903698</v>
      </c>
      <c r="AL363" s="66" t="str">
        <f t="array" ref="AL363">IF($AB363, Push(MINVERSE(MMULT($I$38:$L$41,MMULT(Fetch(AG363),TRANSPOSE($I$38:$L$41))) + $N$38:$Q$41)), "")</f>
        <v/>
      </c>
      <c r="AM363" s="62">
        <f t="array" aca="1" ref="AM363:AP363" ca="1">X363:AA363 - AH363:AK363</f>
        <v>-0.17377124573567027</v>
      </c>
      <c r="AN363" s="62">
        <f ca="1"/>
        <v>0.32092185603418444</v>
      </c>
      <c r="AO363" s="62">
        <f ca="1"/>
        <v>0.42781571506890703</v>
      </c>
      <c r="AP363" s="62">
        <f ca="1"/>
        <v>-0.22880272251250694</v>
      </c>
      <c r="AQ363" s="66" t="str">
        <f t="array" ref="AQ363">IF($AB363, Push(MMULT(Fetch(AG363),MMULT(TRANSPOSE($I$38:$L$41),Fetch(AL363)))), "")</f>
        <v/>
      </c>
      <c r="AR363" s="62">
        <f t="array" aca="1" ref="AR363:AU363" ca="1">AC363:AF363 + TRANSPOSE(MMULT(IF($AB363,Fetch(AQ363),$L$61:$O$64),TRANSPOSE(AM363:AP363)))</f>
        <v>0.89347849893399012</v>
      </c>
      <c r="AS363" s="62">
        <f ca="1"/>
        <v>0.7742395047744437</v>
      </c>
      <c r="AT363" s="62">
        <f ca="1"/>
        <v>0.39487319277237332</v>
      </c>
      <c r="AU363" s="62">
        <f ca="1"/>
        <v>0.49839984636029777</v>
      </c>
      <c r="AV363" s="66" t="str">
        <f t="array" ref="AV363">IF($AB363, Push(Fetch(AG363) - MMULT(Fetch(AQ363),MMULT($I$38:$L$41,Fetch(AG363)))), "")</f>
        <v/>
      </c>
      <c r="AW363" s="97">
        <f t="array" aca="1" ref="AW363" ca="1">IF($AB363,LN(MDETERM(Fetch(AL363))),$J$65)   -   MMULT(AM363:AP363,MMULT(IF($AB363,Fetch(AL363),$G$61:$J$64),TRANSPOSE(AM363:AP363)))</f>
        <v>4.552577992380086</v>
      </c>
    </row>
    <row r="364" spans="23:49" x14ac:dyDescent="0.15">
      <c r="W364" s="12">
        <f t="shared" si="10"/>
        <v>361</v>
      </c>
      <c r="X364" s="62">
        <f t="array" aca="1" ref="X364:AA364" ca="1">simulate!AE364:AH364</f>
        <v>-0.23963793837905487</v>
      </c>
      <c r="Y364" s="62">
        <f ca="1"/>
        <v>0.63291871435446379</v>
      </c>
      <c r="Z364" s="62">
        <f ca="1"/>
        <v>0.1643835051047062</v>
      </c>
      <c r="AA364" s="62">
        <f ca="1"/>
        <v>0.60705642852970731</v>
      </c>
      <c r="AB364" s="98">
        <f t="shared" si="11"/>
        <v>0</v>
      </c>
      <c r="AC364" s="62">
        <f t="array" aca="1" ref="AC364:AF364" ca="1">TRANSPOSE($G$44:$G$47 + MMULT($I$44:$L$47,TRANSPOSE(AR363:AU363)))</f>
        <v>0.92319170991623944</v>
      </c>
      <c r="AD364" s="62">
        <f ca="1"/>
        <v>0.70898778271020768</v>
      </c>
      <c r="AE364" s="62">
        <f ca="1"/>
        <v>0.57855224338761013</v>
      </c>
      <c r="AF364" s="62">
        <f ca="1"/>
        <v>0.62806392707303127</v>
      </c>
      <c r="AG364" s="66" t="str">
        <f t="array" ref="AG364">IF($AB364, Push(MMULT($I$44:$L$47,MMULT(Fetch(AV363),TRANSPOSE($I$44:$L$47))) + $N$44:$Q$47), "")</f>
        <v/>
      </c>
      <c r="AH364" s="62">
        <f t="array" aca="1" ref="AH364:AK364" ca="1">TRANSPOSE($G$38:$G$41 + MMULT($I$38:$L$41,TRANSPOSE(AC364:AF364)))</f>
        <v>1.0754001041880614</v>
      </c>
      <c r="AI364" s="62">
        <f ca="1"/>
        <v>0.97307556993166966</v>
      </c>
      <c r="AJ364" s="62">
        <f ca="1"/>
        <v>0.68957631164358024</v>
      </c>
      <c r="AK364" s="62">
        <f ca="1"/>
        <v>0.6098684246749515</v>
      </c>
      <c r="AL364" s="66" t="str">
        <f t="array" ref="AL364">IF($AB364, Push(MINVERSE(MMULT($I$38:$L$41,MMULT(Fetch(AG364),TRANSPOSE($I$38:$L$41))) + $N$38:$Q$41)), "")</f>
        <v/>
      </c>
      <c r="AM364" s="62">
        <f t="array" aca="1" ref="AM364:AP364" ca="1">X364:AA364 - AH364:AK364</f>
        <v>-1.3150380425671162</v>
      </c>
      <c r="AN364" s="62">
        <f ca="1"/>
        <v>-0.34015685557720587</v>
      </c>
      <c r="AO364" s="62">
        <f ca="1"/>
        <v>-0.52519280653887401</v>
      </c>
      <c r="AP364" s="62">
        <f ca="1"/>
        <v>-2.8119961452441888E-3</v>
      </c>
      <c r="AQ364" s="66" t="str">
        <f t="array" ref="AQ364">IF($AB364, Push(MMULT(Fetch(AG364),MMULT(TRANSPOSE($I$38:$L$41),Fetch(AL364)))), "")</f>
        <v/>
      </c>
      <c r="AR364" s="62">
        <f t="array" aca="1" ref="AR364:AU364" ca="1">AC364:AF364 + TRANSPOSE(MMULT(IF($AB364,Fetch(AQ364),$L$61:$O$64),TRANSPOSE(AM364:AP364)))</f>
        <v>0.14013367864269666</v>
      </c>
      <c r="AS364" s="62">
        <f ca="1"/>
        <v>0.853895930949923</v>
      </c>
      <c r="AT364" s="62">
        <f ca="1"/>
        <v>5.3711030840333907E-2</v>
      </c>
      <c r="AU364" s="62">
        <f ca="1"/>
        <v>0.40593100154180095</v>
      </c>
      <c r="AV364" s="66" t="str">
        <f t="array" ref="AV364">IF($AB364, Push(Fetch(AG364) - MMULT(Fetch(AQ364),MMULT($I$38:$L$41,Fetch(AG364)))), "")</f>
        <v/>
      </c>
      <c r="AW364" s="97">
        <f t="array" aca="1" ref="AW364" ca="1">IF($AB364,LN(MDETERM(Fetch(AL364))),$J$65)   -   MMULT(AM364:AP364,MMULT(IF($AB364,Fetch(AL364),$G$61:$J$64),TRANSPOSE(AM364:AP364)))</f>
        <v>-5.1055815567847933</v>
      </c>
    </row>
    <row r="365" spans="23:49" x14ac:dyDescent="0.15">
      <c r="W365" s="12">
        <f t="shared" si="10"/>
        <v>362</v>
      </c>
      <c r="X365" s="62">
        <f t="array" aca="1" ref="X365:AA365" ca="1">simulate!AE365:AH365</f>
        <v>6.1613991537216029E-3</v>
      </c>
      <c r="Y365" s="62">
        <f ca="1"/>
        <v>-1.0154013942113931</v>
      </c>
      <c r="Z365" s="62">
        <f ca="1"/>
        <v>0.98722919966994516</v>
      </c>
      <c r="AA365" s="62">
        <f ca="1"/>
        <v>0.29404194435618536</v>
      </c>
      <c r="AB365" s="98">
        <f t="shared" si="11"/>
        <v>0</v>
      </c>
      <c r="AC365" s="62">
        <f t="array" aca="1" ref="AC365:AF365" ca="1">TRANSPOSE($G$44:$G$47 + MMULT($I$44:$L$47,TRANSPOSE(AR364:AU364)))</f>
        <v>0.49938883396741818</v>
      </c>
      <c r="AD365" s="62">
        <f ca="1"/>
        <v>0.57262410486533233</v>
      </c>
      <c r="AE365" s="62">
        <f ca="1"/>
        <v>0.33992175491823051</v>
      </c>
      <c r="AF365" s="62">
        <f ca="1"/>
        <v>0.49220064461096275</v>
      </c>
      <c r="AG365" s="66" t="str">
        <f t="array" ref="AG365">IF($AB365, Push(MMULT($I$44:$L$47,MMULT(Fetch(AV364),TRANSPOSE($I$44:$L$47))) + $N$44:$Q$47), "")</f>
        <v/>
      </c>
      <c r="AH365" s="62">
        <f t="array" aca="1" ref="AH365:AK365" ca="1">TRANSPOSE($G$38:$G$41 + MMULT($I$38:$L$41,TRANSPOSE(AC365:AF365)))</f>
        <v>0.66632689978201465</v>
      </c>
      <c r="AI365" s="62">
        <f ca="1"/>
        <v>0.73174610486705283</v>
      </c>
      <c r="AJ365" s="62">
        <f ca="1"/>
        <v>0.48625118118794269</v>
      </c>
      <c r="AK365" s="62">
        <f ca="1"/>
        <v>0.52810433781422461</v>
      </c>
      <c r="AL365" s="66" t="str">
        <f t="array" ref="AL365">IF($AB365, Push(MINVERSE(MMULT($I$38:$L$41,MMULT(Fetch(AG365),TRANSPOSE($I$38:$L$41))) + $N$38:$Q$41)), "")</f>
        <v/>
      </c>
      <c r="AM365" s="62">
        <f t="array" aca="1" ref="AM365:AP365" ca="1">X365:AA365 - AH365:AK365</f>
        <v>-0.66016550062829304</v>
      </c>
      <c r="AN365" s="62">
        <f ca="1"/>
        <v>-1.7471474990784459</v>
      </c>
      <c r="AO365" s="62">
        <f ca="1"/>
        <v>0.50097801848200252</v>
      </c>
      <c r="AP365" s="62">
        <f ca="1"/>
        <v>-0.23406239345803925</v>
      </c>
      <c r="AQ365" s="66" t="str">
        <f t="array" ref="AQ365">IF($AB365, Push(MMULT(Fetch(AG365),MMULT(TRANSPOSE($I$38:$L$41),Fetch(AL365)))), "")</f>
        <v/>
      </c>
      <c r="AR365" s="62">
        <f t="array" aca="1" ref="AR365:AU365" ca="1">AC365:AF365 + TRANSPOSE(MMULT(IF($AB365,Fetch(AQ365),$L$61:$O$64),TRANSPOSE(AM365:AP365)))</f>
        <v>0.10320512815943106</v>
      </c>
      <c r="AS365" s="62">
        <f ca="1"/>
        <v>-0.46035787668900296</v>
      </c>
      <c r="AT365" s="62">
        <f ca="1"/>
        <v>0.25081776982221016</v>
      </c>
      <c r="AU365" s="62">
        <f ca="1"/>
        <v>0.59996685083669909</v>
      </c>
      <c r="AV365" s="66" t="str">
        <f t="array" ref="AV365">IF($AB365, Push(Fetch(AG365) - MMULT(Fetch(AQ365),MMULT($I$38:$L$41,Fetch(AG365)))), "")</f>
        <v/>
      </c>
      <c r="AW365" s="97">
        <f t="array" aca="1" ref="AW365" ca="1">IF($AB365,LN(MDETERM(Fetch(AL365))),$J$65)   -   MMULT(AM365:AP365,MMULT(IF($AB365,Fetch(AL365),$G$61:$J$64),TRANSPOSE(AM365:AP365)))</f>
        <v>-8.6506914104308628</v>
      </c>
    </row>
    <row r="366" spans="23:49" x14ac:dyDescent="0.15">
      <c r="W366" s="12">
        <f t="shared" si="10"/>
        <v>363</v>
      </c>
      <c r="X366" s="62">
        <f t="array" aca="1" ref="X366:AA366" ca="1">simulate!AE366:AH366</f>
        <v>0.77208153559633841</v>
      </c>
      <c r="Y366" s="62">
        <f ca="1"/>
        <v>-0.12490459527188888</v>
      </c>
      <c r="Z366" s="62">
        <f ca="1"/>
        <v>0.48086953805618665</v>
      </c>
      <c r="AA366" s="62">
        <f ca="1"/>
        <v>1.002573799260005</v>
      </c>
      <c r="AB366" s="98">
        <f t="shared" si="11"/>
        <v>0</v>
      </c>
      <c r="AC366" s="62">
        <f t="array" aca="1" ref="AC366:AF366" ca="1">TRANSPOSE($G$44:$G$47 + MMULT($I$44:$L$47,TRANSPOSE(AR365:AU365)))</f>
        <v>0.30830191914315597</v>
      </c>
      <c r="AD366" s="62">
        <f ca="1"/>
        <v>-0.10018464563853563</v>
      </c>
      <c r="AE366" s="62">
        <f ca="1"/>
        <v>0.25907918791856116</v>
      </c>
      <c r="AF366" s="62">
        <f ca="1"/>
        <v>0.5336686842125169</v>
      </c>
      <c r="AG366" s="66" t="str">
        <f t="array" ref="AG366">IF($AB366, Push(MMULT($I$44:$L$47,MMULT(Fetch(AV365),TRANSPOSE($I$44:$L$47))) + $N$44:$Q$47), "")</f>
        <v/>
      </c>
      <c r="AH366" s="62">
        <f t="array" aca="1" ref="AH366:AK366" ca="1">TRANSPOSE($G$38:$G$41 + MMULT($I$38:$L$41,TRANSPOSE(AC366:AF366)))</f>
        <v>0.50211834565187274</v>
      </c>
      <c r="AI366" s="62">
        <f ca="1"/>
        <v>0.10363284143299353</v>
      </c>
      <c r="AJ366" s="62">
        <f ca="1"/>
        <v>0.71009373919698882</v>
      </c>
      <c r="AK366" s="62">
        <f ca="1"/>
        <v>0.3673413725772352</v>
      </c>
      <c r="AL366" s="66" t="str">
        <f t="array" ref="AL366">IF($AB366, Push(MINVERSE(MMULT($I$38:$L$41,MMULT(Fetch(AG366),TRANSPOSE($I$38:$L$41))) + $N$38:$Q$41)), "")</f>
        <v/>
      </c>
      <c r="AM366" s="62">
        <f t="array" aca="1" ref="AM366:AP366" ca="1">X366:AA366 - AH366:AK366</f>
        <v>0.26996318994446566</v>
      </c>
      <c r="AN366" s="62">
        <f ca="1"/>
        <v>-0.22853743670488241</v>
      </c>
      <c r="AO366" s="62">
        <f ca="1"/>
        <v>-0.22922420114080216</v>
      </c>
      <c r="AP366" s="62">
        <f ca="1"/>
        <v>0.6352324266827698</v>
      </c>
      <c r="AQ366" s="66" t="str">
        <f t="array" ref="AQ366">IF($AB366, Push(MMULT(Fetch(AG366),MMULT(TRANSPOSE($I$38:$L$41),Fetch(AL366)))), "")</f>
        <v/>
      </c>
      <c r="AR366" s="62">
        <f t="array" aca="1" ref="AR366:AU366" ca="1">AC366:AF366 + TRANSPOSE(MMULT(IF($AB366,Fetch(AQ366),$L$61:$O$64),TRANSPOSE(AM366:AP366)))</f>
        <v>0.19534474849887024</v>
      </c>
      <c r="AS366" s="62">
        <f ca="1"/>
        <v>-0.10348089028364685</v>
      </c>
      <c r="AT366" s="62">
        <f ca="1"/>
        <v>0.76553890081656495</v>
      </c>
      <c r="AU366" s="62">
        <f ca="1"/>
        <v>0.66141928802729733</v>
      </c>
      <c r="AV366" s="66" t="str">
        <f t="array" ref="AV366">IF($AB366, Push(Fetch(AG366) - MMULT(Fetch(AQ366),MMULT($I$38:$L$41,Fetch(AG366)))), "")</f>
        <v/>
      </c>
      <c r="AW366" s="97">
        <f t="array" aca="1" ref="AW366" ca="1">IF($AB366,LN(MDETERM(Fetch(AL366))),$J$65)   -   MMULT(AM366:AP366,MMULT(IF($AB366,Fetch(AL366),$G$61:$J$64),TRANSPOSE(AM366:AP366)))</f>
        <v>3.4518212031349247</v>
      </c>
    </row>
    <row r="367" spans="23:49" x14ac:dyDescent="0.15">
      <c r="W367" s="12">
        <f t="shared" si="10"/>
        <v>364</v>
      </c>
      <c r="X367" s="62">
        <f t="array" aca="1" ref="X367:AA367" ca="1">simulate!AE367:AH367</f>
        <v>1.0665827014560603</v>
      </c>
      <c r="Y367" s="62">
        <f ca="1"/>
        <v>0.78235585944208386</v>
      </c>
      <c r="Z367" s="62">
        <f ca="1"/>
        <v>1.0179765709786781</v>
      </c>
      <c r="AA367" s="62">
        <f ca="1"/>
        <v>0.56795291759031685</v>
      </c>
      <c r="AB367" s="98">
        <f t="shared" si="11"/>
        <v>0</v>
      </c>
      <c r="AC367" s="62">
        <f t="array" aca="1" ref="AC367:AF367" ca="1">TRANSPOSE($G$44:$G$47 + MMULT($I$44:$L$47,TRANSPOSE(AR366:AU366)))</f>
        <v>0.45047172709621508</v>
      </c>
      <c r="AD367" s="62">
        <f ca="1"/>
        <v>0.18806397957334872</v>
      </c>
      <c r="AE367" s="62">
        <f ca="1"/>
        <v>0.61066276210263626</v>
      </c>
      <c r="AF367" s="62">
        <f ca="1"/>
        <v>0.6802591869173894</v>
      </c>
      <c r="AG367" s="66" t="str">
        <f t="array" ref="AG367">IF($AB367, Push(MMULT($I$44:$L$47,MMULT(Fetch(AV366),TRANSPOSE($I$44:$L$47))) + $N$44:$Q$47), "")</f>
        <v/>
      </c>
      <c r="AH367" s="62">
        <f t="array" aca="1" ref="AH367:AK367" ca="1">TRANSPOSE($G$38:$G$41 + MMULT($I$38:$L$41,TRANSPOSE(AC367:AF367)))</f>
        <v>0.77043843583306693</v>
      </c>
      <c r="AI367" s="62">
        <f ca="1"/>
        <v>0.34634932042002653</v>
      </c>
      <c r="AJ367" s="62">
        <f ca="1"/>
        <v>0.74529870481619365</v>
      </c>
      <c r="AK367" s="62">
        <f ca="1"/>
        <v>0.70830025540375496</v>
      </c>
      <c r="AL367" s="66" t="str">
        <f t="array" ref="AL367">IF($AB367, Push(MINVERSE(MMULT($I$38:$L$41,MMULT(Fetch(AG367),TRANSPOSE($I$38:$L$41))) + $N$38:$Q$41)), "")</f>
        <v/>
      </c>
      <c r="AM367" s="62">
        <f t="array" aca="1" ref="AM367:AP367" ca="1">X367:AA367 - AH367:AK367</f>
        <v>0.29614426562299334</v>
      </c>
      <c r="AN367" s="62">
        <f ca="1"/>
        <v>0.43600653902205733</v>
      </c>
      <c r="AO367" s="62">
        <f ca="1"/>
        <v>0.27267786616248446</v>
      </c>
      <c r="AP367" s="62">
        <f ca="1"/>
        <v>-0.14034733781343811</v>
      </c>
      <c r="AQ367" s="66" t="str">
        <f t="array" ref="AQ367">IF($AB367, Push(MMULT(Fetch(AG367),MMULT(TRANSPOSE($I$38:$L$41),Fetch(AL367)))), "")</f>
        <v/>
      </c>
      <c r="AR367" s="62">
        <f t="array" aca="1" ref="AR367:AU367" ca="1">AC367:AF367 + TRANSPOSE(MMULT(IF($AB367,Fetch(AQ367),$L$61:$O$64),TRANSPOSE(AM367:AP367)))</f>
        <v>0.75351011035399562</v>
      </c>
      <c r="AS367" s="62">
        <f ca="1"/>
        <v>0.30008502743216514</v>
      </c>
      <c r="AT367" s="62">
        <f ca="1"/>
        <v>0.61679729129331695</v>
      </c>
      <c r="AU367" s="62">
        <f ca="1"/>
        <v>0.74649079705274946</v>
      </c>
      <c r="AV367" s="66" t="str">
        <f t="array" ref="AV367">IF($AB367, Push(Fetch(AG367) - MMULT(Fetch(AQ367),MMULT($I$38:$L$41,Fetch(AG367)))), "")</f>
        <v/>
      </c>
      <c r="AW367" s="97">
        <f t="array" aca="1" ref="AW367" ca="1">IF($AB367,LN(MDETERM(Fetch(AL367))),$J$65)   -   MMULT(AM367:AP367,MMULT(IF($AB367,Fetch(AL367),$G$61:$J$64),TRANSPOSE(AM367:AP367)))</f>
        <v>4.9838000131363263</v>
      </c>
    </row>
    <row r="368" spans="23:49" x14ac:dyDescent="0.15">
      <c r="W368" s="12">
        <f t="shared" si="10"/>
        <v>365</v>
      </c>
      <c r="X368" s="62">
        <f t="array" aca="1" ref="X368:AA368" ca="1">simulate!AE368:AH368</f>
        <v>0.60195559906248119</v>
      </c>
      <c r="Y368" s="62">
        <f ca="1"/>
        <v>0.71911940863729185</v>
      </c>
      <c r="Z368" s="62">
        <f ca="1"/>
        <v>0.77247234213651372</v>
      </c>
      <c r="AA368" s="62">
        <f ca="1"/>
        <v>0.28346037454157635</v>
      </c>
      <c r="AB368" s="98">
        <f t="shared" si="11"/>
        <v>0</v>
      </c>
      <c r="AC368" s="62">
        <f t="array" aca="1" ref="AC368:AF368" ca="1">TRANSPOSE($G$44:$G$47 + MMULT($I$44:$L$47,TRANSPOSE(AR367:AU367)))</f>
        <v>0.80514714882261695</v>
      </c>
      <c r="AD368" s="62">
        <f ca="1"/>
        <v>0.48068653936823108</v>
      </c>
      <c r="AE368" s="62">
        <f ca="1"/>
        <v>0.64817609540017662</v>
      </c>
      <c r="AF368" s="62">
        <f ca="1"/>
        <v>0.75760479597744501</v>
      </c>
      <c r="AG368" s="66" t="str">
        <f t="array" ref="AG368">IF($AB368, Push(MMULT($I$44:$L$47,MMULT(Fetch(AV367),TRANSPOSE($I$44:$L$47))) + $N$44:$Q$47), "")</f>
        <v/>
      </c>
      <c r="AH368" s="62">
        <f t="array" aca="1" ref="AH368:AK368" ca="1">TRANSPOSE($G$38:$G$41 + MMULT($I$38:$L$41,TRANSPOSE(AC368:AF368)))</f>
        <v>1.0105011272116362</v>
      </c>
      <c r="AI368" s="62">
        <f ca="1"/>
        <v>0.73814898612364643</v>
      </c>
      <c r="AJ368" s="62">
        <f ca="1"/>
        <v>0.83237805389658881</v>
      </c>
      <c r="AK368" s="62">
        <f ca="1"/>
        <v>0.69869172689946257</v>
      </c>
      <c r="AL368" s="66" t="str">
        <f t="array" ref="AL368">IF($AB368, Push(MINVERSE(MMULT($I$38:$L$41,MMULT(Fetch(AG368),TRANSPOSE($I$38:$L$41))) + $N$38:$Q$41)), "")</f>
        <v/>
      </c>
      <c r="AM368" s="62">
        <f t="array" aca="1" ref="AM368:AP368" ca="1">X368:AA368 - AH368:AK368</f>
        <v>-0.40854552814915501</v>
      </c>
      <c r="AN368" s="62">
        <f ca="1"/>
        <v>-1.9029577486354587E-2</v>
      </c>
      <c r="AO368" s="62">
        <f ca="1"/>
        <v>-5.9905711760075087E-2</v>
      </c>
      <c r="AP368" s="62">
        <f ca="1"/>
        <v>-0.41523135235788622</v>
      </c>
      <c r="AQ368" s="66" t="str">
        <f t="array" ref="AQ368">IF($AB368, Push(MMULT(Fetch(AG368),MMULT(TRANSPOSE($I$38:$L$41),Fetch(AL368)))), "")</f>
        <v/>
      </c>
      <c r="AR368" s="62">
        <f t="array" aca="1" ref="AR368:AU368" ca="1">AC368:AF368 + TRANSPOSE(MMULT(IF($AB368,Fetch(AQ368),$L$61:$O$64),TRANSPOSE(AM368:AP368)))</f>
        <v>0.69432786653484935</v>
      </c>
      <c r="AS368" s="62">
        <f ca="1"/>
        <v>0.47123110603610185</v>
      </c>
      <c r="AT368" s="62">
        <f ca="1"/>
        <v>0.21871072383420276</v>
      </c>
      <c r="AU368" s="62">
        <f ca="1"/>
        <v>0.58661961139715468</v>
      </c>
      <c r="AV368" s="66" t="str">
        <f t="array" ref="AV368">IF($AB368, Push(Fetch(AG368) - MMULT(Fetch(AQ368),MMULT($I$38:$L$41,Fetch(AG368)))), "")</f>
        <v/>
      </c>
      <c r="AW368" s="97">
        <f t="array" aca="1" ref="AW368" ca="1">IF($AB368,LN(MDETERM(Fetch(AL368))),$J$65)   -   MMULT(AM368:AP368,MMULT(IF($AB368,Fetch(AL368),$G$61:$J$64),TRANSPOSE(AM368:AP368)))</f>
        <v>5.8890268376118993</v>
      </c>
    </row>
    <row r="369" spans="23:49" x14ac:dyDescent="0.15">
      <c r="W369" s="12">
        <f t="shared" si="10"/>
        <v>366</v>
      </c>
      <c r="X369" s="62">
        <f t="array" aca="1" ref="X369:AA369" ca="1">simulate!AE369:AH369</f>
        <v>0.7239214454261419</v>
      </c>
      <c r="Y369" s="62">
        <f ca="1"/>
        <v>0.7373003920328226</v>
      </c>
      <c r="Z369" s="62">
        <f ca="1"/>
        <v>0.21549999803753161</v>
      </c>
      <c r="AA369" s="62">
        <f ca="1"/>
        <v>0.2746142658201054</v>
      </c>
      <c r="AB369" s="98">
        <f t="shared" si="11"/>
        <v>0</v>
      </c>
      <c r="AC369" s="62">
        <f t="array" aca="1" ref="AC369:AF369" ca="1">TRANSPOSE($G$44:$G$47 + MMULT($I$44:$L$47,TRANSPOSE(AR368:AU368)))</f>
        <v>0.76249246688526762</v>
      </c>
      <c r="AD369" s="62">
        <f ca="1"/>
        <v>0.49321587132296307</v>
      </c>
      <c r="AE369" s="62">
        <f ca="1"/>
        <v>0.4330944766637228</v>
      </c>
      <c r="AF369" s="62">
        <f ca="1"/>
        <v>0.61596796076413862</v>
      </c>
      <c r="AG369" s="66" t="str">
        <f t="array" ref="AG369">IF($AB369, Push(MMULT($I$44:$L$47,MMULT(Fetch(AV368),TRANSPOSE($I$44:$L$47))) + $N$44:$Q$47), "")</f>
        <v/>
      </c>
      <c r="AH369" s="62">
        <f t="array" aca="1" ref="AH369:AK369" ca="1">TRANSPOSE($G$38:$G$41 + MMULT($I$38:$L$41,TRANSPOSE(AC369:AF369)))</f>
        <v>0.88281743446231165</v>
      </c>
      <c r="AI369" s="62">
        <f ca="1"/>
        <v>0.76041184859759647</v>
      </c>
      <c r="AJ369" s="62">
        <f ca="1"/>
        <v>0.71283706615838205</v>
      </c>
      <c r="AK369" s="62">
        <f ca="1"/>
        <v>0.50579617570950153</v>
      </c>
      <c r="AL369" s="66" t="str">
        <f t="array" ref="AL369">IF($AB369, Push(MINVERSE(MMULT($I$38:$L$41,MMULT(Fetch(AG369),TRANSPOSE($I$38:$L$41))) + $N$38:$Q$41)), "")</f>
        <v/>
      </c>
      <c r="AM369" s="62">
        <f t="array" aca="1" ref="AM369:AP369" ca="1">X369:AA369 - AH369:AK369</f>
        <v>-0.15889598903616975</v>
      </c>
      <c r="AN369" s="62">
        <f ca="1"/>
        <v>-2.3111456564773869E-2</v>
      </c>
      <c r="AO369" s="62">
        <f ca="1"/>
        <v>-0.49733706812085043</v>
      </c>
      <c r="AP369" s="62">
        <f ca="1"/>
        <v>-0.23118190988939613</v>
      </c>
      <c r="AQ369" s="66" t="str">
        <f t="array" ref="AQ369">IF($AB369, Push(MMULT(Fetch(AG369),MMULT(TRANSPOSE($I$38:$L$41),Fetch(AL369)))), "")</f>
        <v/>
      </c>
      <c r="AR369" s="62">
        <f t="array" aca="1" ref="AR369:AU369" ca="1">AC369:AF369 + TRANSPOSE(MMULT(IF($AB369,Fetch(AQ369),$L$61:$O$64),TRANSPOSE(AM369:AP369)))</f>
        <v>0.61366015600120871</v>
      </c>
      <c r="AS369" s="62">
        <f ca="1"/>
        <v>0.56614167020607131</v>
      </c>
      <c r="AT369" s="62">
        <f ca="1"/>
        <v>0.14211282574423079</v>
      </c>
      <c r="AU369" s="62">
        <f ca="1"/>
        <v>0.33189585322763288</v>
      </c>
      <c r="AV369" s="66" t="str">
        <f t="array" ref="AV369">IF($AB369, Push(Fetch(AG369) - MMULT(Fetch(AQ369),MMULT($I$38:$L$41,Fetch(AG369)))), "")</f>
        <v/>
      </c>
      <c r="AW369" s="97">
        <f t="array" aca="1" ref="AW369" ca="1">IF($AB369,LN(MDETERM(Fetch(AL369))),$J$65)   -   MMULT(AM369:AP369,MMULT(IF($AB369,Fetch(AL369),$G$61:$J$64),TRANSPOSE(AM369:AP369)))</f>
        <v>5.6023815837212316</v>
      </c>
    </row>
    <row r="370" spans="23:49" x14ac:dyDescent="0.15">
      <c r="W370" s="12">
        <f t="shared" si="10"/>
        <v>367</v>
      </c>
      <c r="X370" s="62">
        <f t="array" aca="1" ref="X370:AA370" ca="1">simulate!AE370:AH370</f>
        <v>0.8830102250750087</v>
      </c>
      <c r="Y370" s="62">
        <f ca="1"/>
        <v>-0.39199553013636823</v>
      </c>
      <c r="Z370" s="62">
        <f ca="1"/>
        <v>0.98963940370607584</v>
      </c>
      <c r="AA370" s="62">
        <f ca="1"/>
        <v>1.1496094328201474</v>
      </c>
      <c r="AB370" s="98">
        <f t="shared" si="11"/>
        <v>0</v>
      </c>
      <c r="AC370" s="62">
        <f t="array" aca="1" ref="AC370:AF370" ca="1">TRANSPOSE($G$44:$G$47 + MMULT($I$44:$L$47,TRANSPOSE(AR369:AU369)))</f>
        <v>0.7152783788293624</v>
      </c>
      <c r="AD370" s="62">
        <f ca="1"/>
        <v>0.50190950221280162</v>
      </c>
      <c r="AE370" s="62">
        <f ca="1"/>
        <v>0.36369643302162086</v>
      </c>
      <c r="AF370" s="62">
        <f ca="1"/>
        <v>0.46884122554419261</v>
      </c>
      <c r="AG370" s="66" t="str">
        <f t="array" ref="AG370">IF($AB370, Push(MMULT($I$44:$L$47,MMULT(Fetch(AV369),TRANSPOSE($I$44:$L$47))) + $N$44:$Q$47), "")</f>
        <v/>
      </c>
      <c r="AH370" s="62">
        <f t="array" aca="1" ref="AH370:AK370" ca="1">TRANSPOSE($G$38:$G$41 + MMULT($I$38:$L$41,TRANSPOSE(AC370:AF370)))</f>
        <v>0.84629089802763979</v>
      </c>
      <c r="AI370" s="62">
        <f ca="1"/>
        <v>0.73933690920002704</v>
      </c>
      <c r="AJ370" s="62">
        <f ca="1"/>
        <v>0.57485313944858207</v>
      </c>
      <c r="AK370" s="62">
        <f ca="1"/>
        <v>0.41663783879112454</v>
      </c>
      <c r="AL370" s="66" t="str">
        <f t="array" ref="AL370">IF($AB370, Push(MINVERSE(MMULT($I$38:$L$41,MMULT(Fetch(AG370),TRANSPOSE($I$38:$L$41))) + $N$38:$Q$41)), "")</f>
        <v/>
      </c>
      <c r="AM370" s="62">
        <f t="array" aca="1" ref="AM370:AP370" ca="1">X370:AA370 - AH370:AK370</f>
        <v>3.671932704736891E-2</v>
      </c>
      <c r="AN370" s="62">
        <f ca="1"/>
        <v>-1.1313324393363953</v>
      </c>
      <c r="AO370" s="62">
        <f ca="1"/>
        <v>0.41478626425749376</v>
      </c>
      <c r="AP370" s="62">
        <f ca="1"/>
        <v>0.7329715940290229</v>
      </c>
      <c r="AQ370" s="66" t="str">
        <f t="array" ref="AQ370">IF($AB370, Push(MMULT(Fetch(AG370),MMULT(TRANSPOSE($I$38:$L$41),Fetch(AL370)))), "")</f>
        <v/>
      </c>
      <c r="AR370" s="62">
        <f t="array" aca="1" ref="AR370:AU370" ca="1">AC370:AF370 + TRANSPOSE(MMULT(IF($AB370,Fetch(AQ370),$L$61:$O$64),TRANSPOSE(AM370:AP370)))</f>
        <v>0.49425121663376675</v>
      </c>
      <c r="AS370" s="62">
        <f ca="1"/>
        <v>-9.1320598800486597E-2</v>
      </c>
      <c r="AT370" s="62">
        <f ca="1"/>
        <v>1.0723228488830061</v>
      </c>
      <c r="AU370" s="62">
        <f ca="1"/>
        <v>0.88592849014175212</v>
      </c>
      <c r="AV370" s="66" t="str">
        <f t="array" ref="AV370">IF($AB370, Push(Fetch(AG370) - MMULT(Fetch(AQ370),MMULT($I$38:$L$41,Fetch(AG370)))), "")</f>
        <v/>
      </c>
      <c r="AW370" s="97">
        <f t="array" aca="1" ref="AW370" ca="1">IF($AB370,LN(MDETERM(Fetch(AL370))),$J$65)   -   MMULT(AM370:AP370,MMULT(IF($AB370,Fetch(AL370),$G$61:$J$64),TRANSPOSE(AM370:AP370)))</f>
        <v>-2.1448130134821373</v>
      </c>
    </row>
    <row r="371" spans="23:49" x14ac:dyDescent="0.15">
      <c r="W371" s="12">
        <f t="shared" si="10"/>
        <v>368</v>
      </c>
      <c r="X371" s="62">
        <f t="array" aca="1" ref="X371:AA371" ca="1">simulate!AE371:AH371</f>
        <v>0.86868095177365079</v>
      </c>
      <c r="Y371" s="62">
        <f ca="1"/>
        <v>0.47498539646593912</v>
      </c>
      <c r="Z371" s="62">
        <f ca="1"/>
        <v>1.4897756850334454E-2</v>
      </c>
      <c r="AA371" s="62">
        <f ca="1"/>
        <v>0.4132793621378113</v>
      </c>
      <c r="AB371" s="98">
        <f t="shared" si="11"/>
        <v>0</v>
      </c>
      <c r="AC371" s="62">
        <f t="array" aca="1" ref="AC371:AF371" ca="1">TRANSPOSE($G$44:$G$47 + MMULT($I$44:$L$47,TRANSPOSE(AR370:AU370)))</f>
        <v>0.64633010792812895</v>
      </c>
      <c r="AD371" s="62">
        <f ca="1"/>
        <v>0.30454452177101987</v>
      </c>
      <c r="AE371" s="62">
        <f ca="1"/>
        <v>0.83282601098503062</v>
      </c>
      <c r="AF371" s="62">
        <f ca="1"/>
        <v>0.8665500301440241</v>
      </c>
      <c r="AG371" s="66" t="str">
        <f t="array" ref="AG371">IF($AB371, Push(MMULT($I$44:$L$47,MMULT(Fetch(AV370),TRANSPOSE($I$44:$L$47))) + $N$44:$Q$47), "")</f>
        <v/>
      </c>
      <c r="AH371" s="62">
        <f t="array" aca="1" ref="AH371:AK371" ca="1">TRANSPOSE($G$38:$G$41 + MMULT($I$38:$L$41,TRANSPOSE(AC371:AF371)))</f>
        <v>0.99267972758336742</v>
      </c>
      <c r="AI371" s="62">
        <f ca="1"/>
        <v>0.50014170001480751</v>
      </c>
      <c r="AJ371" s="62">
        <f ca="1"/>
        <v>0.91170262121481471</v>
      </c>
      <c r="AK371" s="62">
        <f ca="1"/>
        <v>0.89606462450441016</v>
      </c>
      <c r="AL371" s="66" t="str">
        <f t="array" ref="AL371">IF($AB371, Push(MINVERSE(MMULT($I$38:$L$41,MMULT(Fetch(AG371),TRANSPOSE($I$38:$L$41))) + $N$38:$Q$41)), "")</f>
        <v/>
      </c>
      <c r="AM371" s="62">
        <f t="array" aca="1" ref="AM371:AP371" ca="1">X371:AA371 - AH371:AK371</f>
        <v>-0.12399877580971663</v>
      </c>
      <c r="AN371" s="62">
        <f ca="1"/>
        <v>-2.5156303548868386E-2</v>
      </c>
      <c r="AO371" s="62">
        <f ca="1"/>
        <v>-0.89680486436448026</v>
      </c>
      <c r="AP371" s="62">
        <f ca="1"/>
        <v>-0.48278526236659886</v>
      </c>
      <c r="AQ371" s="66" t="str">
        <f t="array" ref="AQ371">IF($AB371, Push(MMULT(Fetch(AG371),MMULT(TRANSPOSE($I$38:$L$41),Fetch(AL371)))), "")</f>
        <v/>
      </c>
      <c r="AR371" s="62">
        <f t="array" aca="1" ref="AR371:AU371" ca="1">AC371:AF371 + TRANSPOSE(MMULT(IF($AB371,Fetch(AQ371),$L$61:$O$64),TRANSPOSE(AM371:AP371)))</f>
        <v>0.46931796177122981</v>
      </c>
      <c r="AS371" s="62">
        <f ca="1"/>
        <v>0.40403525451665512</v>
      </c>
      <c r="AT371" s="62">
        <f ca="1"/>
        <v>0.32159901416701164</v>
      </c>
      <c r="AU371" s="62">
        <f ca="1"/>
        <v>0.33200506225356674</v>
      </c>
      <c r="AV371" s="66" t="str">
        <f t="array" ref="AV371">IF($AB371, Push(Fetch(AG371) - MMULT(Fetch(AQ371),MMULT($I$38:$L$41,Fetch(AG371)))), "")</f>
        <v/>
      </c>
      <c r="AW371" s="97">
        <f t="array" aca="1" ref="AW371" ca="1">IF($AB371,LN(MDETERM(Fetch(AL371))),$J$65)   -   MMULT(AM371:AP371,MMULT(IF($AB371,Fetch(AL371),$G$61:$J$64),TRANSPOSE(AM371:AP371)))</f>
        <v>0.65923731767505522</v>
      </c>
    </row>
    <row r="372" spans="23:49" x14ac:dyDescent="0.15">
      <c r="W372" s="12">
        <f t="shared" si="10"/>
        <v>369</v>
      </c>
      <c r="X372" s="62">
        <f t="array" aca="1" ref="X372:AA372" ca="1">simulate!AE372:AH372</f>
        <v>0.29573678766558836</v>
      </c>
      <c r="Y372" s="62">
        <f ca="1"/>
        <v>0.85666062753237571</v>
      </c>
      <c r="Z372" s="62">
        <f ca="1"/>
        <v>0.51918878849211514</v>
      </c>
      <c r="AA372" s="62">
        <f ca="1"/>
        <v>0.26383014980073727</v>
      </c>
      <c r="AB372" s="98">
        <f t="shared" si="11"/>
        <v>0</v>
      </c>
      <c r="AC372" s="62">
        <f t="array" aca="1" ref="AC372:AF372" ca="1">TRANSPOSE($G$44:$G$47 + MMULT($I$44:$L$47,TRANSPOSE(AR371:AU371)))</f>
        <v>0.62611420898847403</v>
      </c>
      <c r="AD372" s="62">
        <f ca="1"/>
        <v>0.41749472236352736</v>
      </c>
      <c r="AE372" s="62">
        <f ca="1"/>
        <v>0.42405420160654395</v>
      </c>
      <c r="AF372" s="62">
        <f ca="1"/>
        <v>0.47956574757670795</v>
      </c>
      <c r="AG372" s="66" t="str">
        <f t="array" ref="AG372">IF($AB372, Push(MMULT($I$44:$L$47,MMULT(Fetch(AV371),TRANSPOSE($I$44:$L$47))) + $N$44:$Q$47), "")</f>
        <v/>
      </c>
      <c r="AH372" s="62">
        <f t="array" aca="1" ref="AH372:AK372" ca="1">TRANSPOSE($G$38:$G$41 + MMULT($I$38:$L$41,TRANSPOSE(AC372:AF372)))</f>
        <v>0.82231966624649977</v>
      </c>
      <c r="AI372" s="62">
        <f ca="1"/>
        <v>0.61948055894000054</v>
      </c>
      <c r="AJ372" s="62">
        <f ca="1"/>
        <v>0.57578915958458943</v>
      </c>
      <c r="AK372" s="62">
        <f ca="1"/>
        <v>0.47903286309065451</v>
      </c>
      <c r="AL372" s="66" t="str">
        <f t="array" ref="AL372">IF($AB372, Push(MINVERSE(MMULT($I$38:$L$41,MMULT(Fetch(AG372),TRANSPOSE($I$38:$L$41))) + $N$38:$Q$41)), "")</f>
        <v/>
      </c>
      <c r="AM372" s="62">
        <f t="array" aca="1" ref="AM372:AP372" ca="1">X372:AA372 - AH372:AK372</f>
        <v>-0.52658287858091146</v>
      </c>
      <c r="AN372" s="62">
        <f ca="1"/>
        <v>0.23718006859237517</v>
      </c>
      <c r="AO372" s="62">
        <f ca="1"/>
        <v>-5.6600371092474289E-2</v>
      </c>
      <c r="AP372" s="62">
        <f ca="1"/>
        <v>-0.21520271328991725</v>
      </c>
      <c r="AQ372" s="66" t="str">
        <f t="array" ref="AQ372">IF($AB372, Push(MMULT(Fetch(AG372),MMULT(TRANSPOSE($I$38:$L$41),Fetch(AL372)))), "")</f>
        <v/>
      </c>
      <c r="AR372" s="62">
        <f t="array" aca="1" ref="AR372:AU372" ca="1">AC372:AF372 + TRANSPOSE(MMULT(IF($AB372,Fetch(AQ372),$L$61:$O$64),TRANSPOSE(AM372:AP372)))</f>
        <v>0.4576654113839585</v>
      </c>
      <c r="AS372" s="62">
        <f ca="1"/>
        <v>0.61379026097105949</v>
      </c>
      <c r="AT372" s="62">
        <f ca="1"/>
        <v>5.1805171172083719E-2</v>
      </c>
      <c r="AU372" s="62">
        <f ca="1"/>
        <v>0.38111875226651815</v>
      </c>
      <c r="AV372" s="66" t="str">
        <f t="array" ref="AV372">IF($AB372, Push(Fetch(AG372) - MMULT(Fetch(AQ372),MMULT($I$38:$L$41,Fetch(AG372)))), "")</f>
        <v/>
      </c>
      <c r="AW372" s="97">
        <f t="array" aca="1" ref="AW372" ca="1">IF($AB372,LN(MDETERM(Fetch(AL372))),$J$65)   -   MMULT(AM372:AP372,MMULT(IF($AB372,Fetch(AL372),$G$61:$J$64),TRANSPOSE(AM372:AP372)))</f>
        <v>5.1524905488389594</v>
      </c>
    </row>
    <row r="373" spans="23:49" x14ac:dyDescent="0.15">
      <c r="W373" s="12">
        <f t="shared" si="10"/>
        <v>370</v>
      </c>
      <c r="X373" s="62">
        <f t="array" aca="1" ref="X373:AA373" ca="1">simulate!AE373:AH373</f>
        <v>-0.19312163981748759</v>
      </c>
      <c r="Y373" s="62">
        <f ca="1"/>
        <v>1.2595693992172541</v>
      </c>
      <c r="Z373" s="62">
        <f ca="1"/>
        <v>0.93081158824302856</v>
      </c>
      <c r="AA373" s="62">
        <f ca="1"/>
        <v>0.17199569441238222</v>
      </c>
      <c r="AB373" s="98">
        <f t="shared" si="11"/>
        <v>0</v>
      </c>
      <c r="AC373" s="62">
        <f t="array" aca="1" ref="AC373:AF373" ca="1">TRANSPOSE($G$44:$G$47 + MMULT($I$44:$L$47,TRANSPOSE(AR372:AU372)))</f>
        <v>0.63401813812272956</v>
      </c>
      <c r="AD373" s="62">
        <f ca="1"/>
        <v>0.49245517092668861</v>
      </c>
      <c r="AE373" s="62">
        <f ca="1"/>
        <v>0.31884004095914403</v>
      </c>
      <c r="AF373" s="62">
        <f ca="1"/>
        <v>0.4766583251596353</v>
      </c>
      <c r="AG373" s="66" t="str">
        <f t="array" ref="AG373">IF($AB373, Push(MMULT($I$44:$L$47,MMULT(Fetch(AV372),TRANSPOSE($I$44:$L$47))) + $N$44:$Q$47), "")</f>
        <v/>
      </c>
      <c r="AH373" s="62">
        <f t="array" aca="1" ref="AH373:AK373" ca="1">TRANSPOSE($G$38:$G$41 + MMULT($I$38:$L$41,TRANSPOSE(AC373:AF373)))</f>
        <v>0.75790752336216971</v>
      </c>
      <c r="AI373" s="62">
        <f ca="1"/>
        <v>0.71403512779800438</v>
      </c>
      <c r="AJ373" s="62">
        <f ca="1"/>
        <v>0.55773059232726263</v>
      </c>
      <c r="AK373" s="62">
        <f ca="1"/>
        <v>0.42120197898764161</v>
      </c>
      <c r="AL373" s="66" t="str">
        <f t="array" ref="AL373">IF($AB373, Push(MINVERSE(MMULT($I$38:$L$41,MMULT(Fetch(AG373),TRANSPOSE($I$38:$L$41))) + $N$38:$Q$41)), "")</f>
        <v/>
      </c>
      <c r="AM373" s="62">
        <f t="array" aca="1" ref="AM373:AP373" ca="1">X373:AA373 - AH373:AK373</f>
        <v>-0.95102916317965724</v>
      </c>
      <c r="AN373" s="62">
        <f ca="1"/>
        <v>0.54553427141924971</v>
      </c>
      <c r="AO373" s="62">
        <f ca="1"/>
        <v>0.37308099591576593</v>
      </c>
      <c r="AP373" s="62">
        <f ca="1"/>
        <v>-0.2492062845752594</v>
      </c>
      <c r="AQ373" s="66" t="str">
        <f t="array" ref="AQ373">IF($AB373, Push(MMULT(Fetch(AG373),MMULT(TRANSPOSE($I$38:$L$41),Fetch(AL373)))), "")</f>
        <v/>
      </c>
      <c r="AR373" s="62">
        <f t="array" aca="1" ref="AR373:AU373" ca="1">AC373:AF373 + TRANSPOSE(MMULT(IF($AB373,Fetch(AQ373),$L$61:$O$64),TRANSPOSE(AM373:AP373)))</f>
        <v>0.4360898431802081</v>
      </c>
      <c r="AS373" s="62">
        <f ca="1"/>
        <v>0.84183380029469757</v>
      </c>
      <c r="AT373" s="62">
        <f ca="1"/>
        <v>-0.1961140161431037</v>
      </c>
      <c r="AU373" s="62">
        <f ca="1"/>
        <v>0.54201286127519988</v>
      </c>
      <c r="AV373" s="66" t="str">
        <f t="array" ref="AV373">IF($AB373, Push(Fetch(AG373) - MMULT(Fetch(AQ373),MMULT($I$38:$L$41,Fetch(AG373)))), "")</f>
        <v/>
      </c>
      <c r="AW373" s="97">
        <f t="array" aca="1" ref="AW373" ca="1">IF($AB373,LN(MDETERM(Fetch(AL373))),$J$65)   -   MMULT(AM373:AP373,MMULT(IF($AB373,Fetch(AL373),$G$61:$J$64),TRANSPOSE(AM373:AP373)))</f>
        <v>-4.3441143489419591</v>
      </c>
    </row>
    <row r="374" spans="23:49" x14ac:dyDescent="0.15">
      <c r="W374" s="12">
        <f t="shared" si="10"/>
        <v>371</v>
      </c>
      <c r="X374" s="62">
        <f t="array" aca="1" ref="X374:AA374" ca="1">simulate!AE374:AH374</f>
        <v>0.99947674206984272</v>
      </c>
      <c r="Y374" s="62">
        <f ca="1"/>
        <v>0.80286451060246489</v>
      </c>
      <c r="Z374" s="62">
        <f ca="1"/>
        <v>0.11899759763084061</v>
      </c>
      <c r="AA374" s="62">
        <f ca="1"/>
        <v>0.74845949791714439</v>
      </c>
      <c r="AB374" s="98">
        <f t="shared" si="11"/>
        <v>0</v>
      </c>
      <c r="AC374" s="62">
        <f t="array" aca="1" ref="AC374:AF374" ca="1">TRANSPOSE($G$44:$G$47 + MMULT($I$44:$L$47,TRANSPOSE(AR373:AU373)))</f>
        <v>0.64619823303210366</v>
      </c>
      <c r="AD374" s="62">
        <f ca="1"/>
        <v>0.58687589166881693</v>
      </c>
      <c r="AE374" s="62">
        <f ca="1"/>
        <v>0.24424531397622995</v>
      </c>
      <c r="AF374" s="62">
        <f ca="1"/>
        <v>0.53849723405106165</v>
      </c>
      <c r="AG374" s="66" t="str">
        <f t="array" ref="AG374">IF($AB374, Push(MMULT($I$44:$L$47,MMULT(Fetch(AV373),TRANSPOSE($I$44:$L$47))) + $N$44:$Q$47), "")</f>
        <v/>
      </c>
      <c r="AH374" s="62">
        <f t="array" aca="1" ref="AH374:AK374" ca="1">TRANSPOSE($G$38:$G$41 + MMULT($I$38:$L$41,TRANSPOSE(AC374:AF374)))</f>
        <v>0.69657932308080128</v>
      </c>
      <c r="AI374" s="62">
        <f ca="1"/>
        <v>0.83202839644721061</v>
      </c>
      <c r="AJ374" s="62">
        <f ca="1"/>
        <v>0.58516292405319548</v>
      </c>
      <c r="AK374" s="62">
        <f ca="1"/>
        <v>0.41720713934068027</v>
      </c>
      <c r="AL374" s="66" t="str">
        <f t="array" ref="AL374">IF($AB374, Push(MINVERSE(MMULT($I$38:$L$41,MMULT(Fetch(AG374),TRANSPOSE($I$38:$L$41))) + $N$38:$Q$41)), "")</f>
        <v/>
      </c>
      <c r="AM374" s="62">
        <f t="array" aca="1" ref="AM374:AP374" ca="1">X374:AA374 - AH374:AK374</f>
        <v>0.30289741898904143</v>
      </c>
      <c r="AN374" s="62">
        <f ca="1"/>
        <v>-2.9163885844745718E-2</v>
      </c>
      <c r="AO374" s="62">
        <f ca="1"/>
        <v>-0.46616532642235486</v>
      </c>
      <c r="AP374" s="62">
        <f ca="1"/>
        <v>0.33125235857646412</v>
      </c>
      <c r="AQ374" s="66" t="str">
        <f t="array" ref="AQ374">IF($AB374, Push(MMULT(Fetch(AG374),MMULT(TRANSPOSE($I$38:$L$41),Fetch(AL374)))), "")</f>
        <v/>
      </c>
      <c r="AR374" s="62">
        <f t="array" aca="1" ref="AR374:AU374" ca="1">AC374:AF374 + TRANSPOSE(MMULT(IF($AB374,Fetch(AQ374),$L$61:$O$64),TRANSPOSE(AM374:AP374)))</f>
        <v>0.5882567895709363</v>
      </c>
      <c r="AS374" s="62">
        <f ca="1"/>
        <v>0.68090635372707198</v>
      </c>
      <c r="AT374" s="62">
        <f ca="1"/>
        <v>0.49731853827190581</v>
      </c>
      <c r="AU374" s="62">
        <f ca="1"/>
        <v>0.46510992143823088</v>
      </c>
      <c r="AV374" s="66" t="str">
        <f t="array" ref="AV374">IF($AB374, Push(Fetch(AG374) - MMULT(Fetch(AQ374),MMULT($I$38:$L$41,Fetch(AG374)))), "")</f>
        <v/>
      </c>
      <c r="AW374" s="97">
        <f t="array" aca="1" ref="AW374" ca="1">IF($AB374,LN(MDETERM(Fetch(AL374))),$J$65)   -   MMULT(AM374:AP374,MMULT(IF($AB374,Fetch(AL374),$G$61:$J$64),TRANSPOSE(AM374:AP374)))</f>
        <v>4.9503316129098192</v>
      </c>
    </row>
    <row r="375" spans="23:49" x14ac:dyDescent="0.15">
      <c r="W375" s="12">
        <f t="shared" si="10"/>
        <v>372</v>
      </c>
      <c r="X375" s="62">
        <f t="array" aca="1" ref="X375:AA375" ca="1">simulate!AE375:AH375</f>
        <v>1.1058616769449883</v>
      </c>
      <c r="Y375" s="62">
        <f ca="1"/>
        <v>1.4152508247639397</v>
      </c>
      <c r="Z375" s="62">
        <f ca="1"/>
        <v>1.2862711303873249</v>
      </c>
      <c r="AA375" s="62">
        <f ca="1"/>
        <v>1.3413247429121475</v>
      </c>
      <c r="AB375" s="98">
        <f t="shared" si="11"/>
        <v>0</v>
      </c>
      <c r="AC375" s="62">
        <f t="array" aca="1" ref="AC375:AF375" ca="1">TRANSPOSE($G$44:$G$47 + MMULT($I$44:$L$47,TRANSPOSE(AR374:AU374)))</f>
        <v>0.75022935189865092</v>
      </c>
      <c r="AD375" s="62">
        <f ca="1"/>
        <v>0.62181651826107942</v>
      </c>
      <c r="AE375" s="62">
        <f ca="1"/>
        <v>0.59207343375803867</v>
      </c>
      <c r="AF375" s="62">
        <f ca="1"/>
        <v>0.60540646142625709</v>
      </c>
      <c r="AG375" s="66" t="str">
        <f t="array" ref="AG375">IF($AB375, Push(MMULT($I$44:$L$47,MMULT(Fetch(AV374),TRANSPOSE($I$44:$L$47))) + $N$44:$Q$47), "")</f>
        <v/>
      </c>
      <c r="AH375" s="62">
        <f t="array" aca="1" ref="AH375:AK375" ca="1">TRANSPOSE($G$38:$G$41 + MMULT($I$38:$L$41,TRANSPOSE(AC375:AF375)))</f>
        <v>0.97133358272056625</v>
      </c>
      <c r="AI375" s="62">
        <f ca="1"/>
        <v>0.82522297976850756</v>
      </c>
      <c r="AJ375" s="62">
        <f ca="1"/>
        <v>0.63563808829155999</v>
      </c>
      <c r="AK375" s="62">
        <f ca="1"/>
        <v>0.66097056483130334</v>
      </c>
      <c r="AL375" s="66" t="str">
        <f t="array" ref="AL375">IF($AB375, Push(MINVERSE(MMULT($I$38:$L$41,MMULT(Fetch(AG375),TRANSPOSE($I$38:$L$41))) + $N$38:$Q$41)), "")</f>
        <v/>
      </c>
      <c r="AM375" s="62">
        <f t="array" aca="1" ref="AM375:AP375" ca="1">X375:AA375 - AH375:AK375</f>
        <v>0.13452809422442202</v>
      </c>
      <c r="AN375" s="62">
        <f ca="1"/>
        <v>0.59002784499543215</v>
      </c>
      <c r="AO375" s="62">
        <f ca="1"/>
        <v>0.65063304209576489</v>
      </c>
      <c r="AP375" s="62">
        <f ca="1"/>
        <v>0.6803541780808442</v>
      </c>
      <c r="AQ375" s="66" t="str">
        <f t="array" ref="AQ375">IF($AB375, Push(MMULT(Fetch(AG375),MMULT(TRANSPOSE($I$38:$L$41),Fetch(AL375)))), "")</f>
        <v/>
      </c>
      <c r="AR375" s="62">
        <f t="array" aca="1" ref="AR375:AU375" ca="1">AC375:AF375 + TRANSPOSE(MMULT(IF($AB375,Fetch(AQ375),$L$61:$O$64),TRANSPOSE(AM375:AP375)))</f>
        <v>0.91449172419571823</v>
      </c>
      <c r="AS375" s="62">
        <f ca="1"/>
        <v>0.93354397583632387</v>
      </c>
      <c r="AT375" s="62">
        <f ca="1"/>
        <v>1.1245575280767834</v>
      </c>
      <c r="AU375" s="62">
        <f ca="1"/>
        <v>1.1126170533524316</v>
      </c>
      <c r="AV375" s="66" t="str">
        <f t="array" ref="AV375">IF($AB375, Push(Fetch(AG375) - MMULT(Fetch(AQ375),MMULT($I$38:$L$41,Fetch(AG375)))), "")</f>
        <v/>
      </c>
      <c r="AW375" s="97">
        <f t="array" aca="1" ref="AW375" ca="1">IF($AB375,LN(MDETERM(Fetch(AL375))),$J$65)   -   MMULT(AM375:AP375,MMULT(IF($AB375,Fetch(AL375),$G$61:$J$64),TRANSPOSE(AM375:AP375)))</f>
        <v>-4.7929191925002623</v>
      </c>
    </row>
    <row r="376" spans="23:49" x14ac:dyDescent="0.15">
      <c r="W376" s="12">
        <f t="shared" si="10"/>
        <v>373</v>
      </c>
      <c r="X376" s="62">
        <f t="array" aca="1" ref="X376:AA376" ca="1">simulate!AE376:AH376</f>
        <v>0.68656060411115982</v>
      </c>
      <c r="Y376" s="62">
        <f ca="1"/>
        <v>1.3437427420930146</v>
      </c>
      <c r="Z376" s="62">
        <f ca="1"/>
        <v>0.46703617364420613</v>
      </c>
      <c r="AA376" s="62">
        <f ca="1"/>
        <v>0.8747165539662175</v>
      </c>
      <c r="AB376" s="98">
        <f t="shared" si="11"/>
        <v>0</v>
      </c>
      <c r="AC376" s="62">
        <f t="array" aca="1" ref="AC376:AF376" ca="1">TRANSPOSE($G$44:$G$47 + MMULT($I$44:$L$47,TRANSPOSE(AR375:AU375)))</f>
        <v>1.0395742676057729</v>
      </c>
      <c r="AD376" s="62">
        <f ca="1"/>
        <v>0.95014490540594354</v>
      </c>
      <c r="AE376" s="62">
        <f ca="1"/>
        <v>1.0908955015597945</v>
      </c>
      <c r="AF376" s="62">
        <f ca="1"/>
        <v>1.0906081238832617</v>
      </c>
      <c r="AG376" s="66" t="str">
        <f t="array" ref="AG376">IF($AB376, Push(MMULT($I$44:$L$47,MMULT(Fetch(AV375),TRANSPOSE($I$44:$L$47))) + $N$44:$Q$47), "")</f>
        <v/>
      </c>
      <c r="AH376" s="62">
        <f t="array" aca="1" ref="AH376:AK376" ca="1">TRANSPOSE($G$38:$G$41 + MMULT($I$38:$L$41,TRANSPOSE(AC376:AF376)))</f>
        <v>1.340144362088117</v>
      </c>
      <c r="AI376" s="62">
        <f ca="1"/>
        <v>1.1862365750148947</v>
      </c>
      <c r="AJ376" s="62">
        <f ca="1"/>
        <v>0.9816379601670997</v>
      </c>
      <c r="AK376" s="62">
        <f ca="1"/>
        <v>1.1992047149550726</v>
      </c>
      <c r="AL376" s="66" t="str">
        <f t="array" ref="AL376">IF($AB376, Push(MINVERSE(MMULT($I$38:$L$41,MMULT(Fetch(AG376),TRANSPOSE($I$38:$L$41))) + $N$38:$Q$41)), "")</f>
        <v/>
      </c>
      <c r="AM376" s="62">
        <f t="array" aca="1" ref="AM376:AP376" ca="1">X376:AA376 - AH376:AK376</f>
        <v>-0.65358375797695722</v>
      </c>
      <c r="AN376" s="62">
        <f ca="1"/>
        <v>0.15750616707811993</v>
      </c>
      <c r="AO376" s="62">
        <f ca="1"/>
        <v>-0.51460178652289357</v>
      </c>
      <c r="AP376" s="62">
        <f ca="1"/>
        <v>-0.32448816098885513</v>
      </c>
      <c r="AQ376" s="66" t="str">
        <f t="array" ref="AQ376">IF($AB376, Push(MMULT(Fetch(AG376),MMULT(TRANSPOSE($I$38:$L$41),Fetch(AL376)))), "")</f>
        <v/>
      </c>
      <c r="AR376" s="62">
        <f t="array" aca="1" ref="AR376:AU376" ca="1">AC376:AF376 + TRANSPOSE(MMULT(IF($AB376,Fetch(AQ376),$L$61:$O$64),TRANSPOSE(AM376:AP376)))</f>
        <v>0.71046277400315816</v>
      </c>
      <c r="AS376" s="62">
        <f ca="1"/>
        <v>1.1974862787513698</v>
      </c>
      <c r="AT376" s="62">
        <f ca="1"/>
        <v>0.53329360259057701</v>
      </c>
      <c r="AU376" s="62">
        <f ca="1"/>
        <v>0.76638922575156987</v>
      </c>
      <c r="AV376" s="66" t="str">
        <f t="array" ref="AV376">IF($AB376, Push(Fetch(AG376) - MMULT(Fetch(AQ376),MMULT($I$38:$L$41,Fetch(AG376)))), "")</f>
        <v/>
      </c>
      <c r="AW376" s="97">
        <f t="array" aca="1" ref="AW376" ca="1">IF($AB376,LN(MDETERM(Fetch(AL376))),$J$65)   -   MMULT(AM376:AP376,MMULT(IF($AB376,Fetch(AL376),$G$61:$J$64),TRANSPOSE(AM376:AP376)))</f>
        <v>4.1253818322281148</v>
      </c>
    </row>
    <row r="377" spans="23:49" x14ac:dyDescent="0.15">
      <c r="W377" s="12">
        <f t="shared" si="10"/>
        <v>374</v>
      </c>
      <c r="X377" s="62">
        <f t="array" aca="1" ref="X377:AA377" ca="1">simulate!AE377:AH377</f>
        <v>0.51835637763811215</v>
      </c>
      <c r="Y377" s="62">
        <f ca="1"/>
        <v>0.34574489734154296</v>
      </c>
      <c r="Z377" s="62">
        <f ca="1"/>
        <v>1.6854963582351317</v>
      </c>
      <c r="AA377" s="62">
        <f ca="1"/>
        <v>1.1891592497430321</v>
      </c>
      <c r="AB377" s="98">
        <f t="shared" si="11"/>
        <v>0</v>
      </c>
      <c r="AC377" s="62">
        <f t="array" aca="1" ref="AC377:AF377" ca="1">TRANSPOSE($G$44:$G$47 + MMULT($I$44:$L$47,TRANSPOSE(AR376:AU376)))</f>
        <v>0.90971801121228468</v>
      </c>
      <c r="AD377" s="62">
        <f ca="1"/>
        <v>0.94741976950915274</v>
      </c>
      <c r="AE377" s="62">
        <f ca="1"/>
        <v>0.74866017127820605</v>
      </c>
      <c r="AF377" s="62">
        <f ca="1"/>
        <v>0.81660543450220424</v>
      </c>
      <c r="AG377" s="66" t="str">
        <f t="array" ref="AG377">IF($AB377, Push(MMULT($I$44:$L$47,MMULT(Fetch(AV376),TRANSPOSE($I$44:$L$47))) + $N$44:$Q$47), "")</f>
        <v/>
      </c>
      <c r="AH377" s="62">
        <f t="array" aca="1" ref="AH377:AK377" ca="1">TRANSPOSE($G$38:$G$41 + MMULT($I$38:$L$41,TRANSPOSE(AC377:AF377)))</f>
        <v>1.1076673413817932</v>
      </c>
      <c r="AI377" s="62">
        <f ca="1"/>
        <v>1.1694249163731176</v>
      </c>
      <c r="AJ377" s="62">
        <f ca="1"/>
        <v>0.73545158247906528</v>
      </c>
      <c r="AK377" s="62">
        <f ca="1"/>
        <v>0.89238776759189964</v>
      </c>
      <c r="AL377" s="66" t="str">
        <f t="array" ref="AL377">IF($AB377, Push(MINVERSE(MMULT($I$38:$L$41,MMULT(Fetch(AG377),TRANSPOSE($I$38:$L$41))) + $N$38:$Q$41)), "")</f>
        <v/>
      </c>
      <c r="AM377" s="62">
        <f t="array" aca="1" ref="AM377:AP377" ca="1">X377:AA377 - AH377:AK377</f>
        <v>-0.58931096374368108</v>
      </c>
      <c r="AN377" s="62">
        <f ca="1"/>
        <v>-0.82368001903157473</v>
      </c>
      <c r="AO377" s="62">
        <f ca="1"/>
        <v>0.95004477575606638</v>
      </c>
      <c r="AP377" s="62">
        <f ca="1"/>
        <v>0.29677148215113247</v>
      </c>
      <c r="AQ377" s="66" t="str">
        <f t="array" ref="AQ377">IF($AB377, Push(MMULT(Fetch(AG377),MMULT(TRANSPOSE($I$38:$L$41),Fetch(AL377)))), "")</f>
        <v/>
      </c>
      <c r="AR377" s="62">
        <f t="array" aca="1" ref="AR377:AU377" ca="1">AC377:AF377 + TRANSPOSE(MMULT(IF($AB377,Fetch(AQ377),$L$61:$O$64),TRANSPOSE(AM377:AP377)))</f>
        <v>0.68406269971039801</v>
      </c>
      <c r="AS377" s="62">
        <f ca="1"/>
        <v>0.44006089490506983</v>
      </c>
      <c r="AT377" s="62">
        <f ca="1"/>
        <v>0.99442723652455633</v>
      </c>
      <c r="AU377" s="62">
        <f ca="1"/>
        <v>1.2993638796098508</v>
      </c>
      <c r="AV377" s="66" t="str">
        <f t="array" ref="AV377">IF($AB377, Push(Fetch(AG377) - MMULT(Fetch(AQ377),MMULT($I$38:$L$41,Fetch(AG377)))), "")</f>
        <v/>
      </c>
      <c r="AW377" s="97">
        <f t="array" aca="1" ref="AW377" ca="1">IF($AB377,LN(MDETERM(Fetch(AL377))),$J$65)   -   MMULT(AM377:AP377,MMULT(IF($AB377,Fetch(AL377),$G$61:$J$64),TRANSPOSE(AM377:AP377)))</f>
        <v>-1.6307992589159994</v>
      </c>
    </row>
    <row r="378" spans="23:49" x14ac:dyDescent="0.15">
      <c r="W378" s="12">
        <f t="shared" si="10"/>
        <v>375</v>
      </c>
      <c r="X378" s="62">
        <f t="array" aca="1" ref="X378:AA378" ca="1">simulate!AE378:AH378</f>
        <v>1.4543718305928122</v>
      </c>
      <c r="Y378" s="62">
        <f ca="1"/>
        <v>0.45861601111086714</v>
      </c>
      <c r="Z378" s="62">
        <f ca="1"/>
        <v>1.2591046683377931</v>
      </c>
      <c r="AA378" s="62">
        <f ca="1"/>
        <v>1.265568538787774</v>
      </c>
      <c r="AB378" s="98">
        <f t="shared" si="11"/>
        <v>0</v>
      </c>
      <c r="AC378" s="62">
        <f t="array" aca="1" ref="AC378:AF378" ca="1">TRANSPOSE($G$44:$G$47 + MMULT($I$44:$L$47,TRANSPOSE(AR377:AU377)))</f>
        <v>0.84180529105910473</v>
      </c>
      <c r="AD378" s="62">
        <f ca="1"/>
        <v>0.6402499529575294</v>
      </c>
      <c r="AE378" s="62">
        <f ca="1"/>
        <v>0.95172777221706517</v>
      </c>
      <c r="AF378" s="62">
        <f ca="1"/>
        <v>1.1241361189057584</v>
      </c>
      <c r="AG378" s="66" t="str">
        <f t="array" ref="AG378">IF($AB378, Push(MMULT($I$44:$L$47,MMULT(Fetch(AV377),TRANSPOSE($I$44:$L$47))) + $N$44:$Q$47), "")</f>
        <v/>
      </c>
      <c r="AH378" s="62">
        <f t="array" aca="1" ref="AH378:AK378" ca="1">TRANSPOSE($G$38:$G$41 + MMULT($I$38:$L$41,TRANSPOSE(AC378:AF378)))</f>
        <v>1.1170603627428144</v>
      </c>
      <c r="AI378" s="62">
        <f ca="1"/>
        <v>0.88520730874358267</v>
      </c>
      <c r="AJ378" s="62">
        <f ca="1"/>
        <v>1.0638406991580525</v>
      </c>
      <c r="AK378" s="62">
        <f ca="1"/>
        <v>1.1070263402427494</v>
      </c>
      <c r="AL378" s="66" t="str">
        <f t="array" ref="AL378">IF($AB378, Push(MINVERSE(MMULT($I$38:$L$41,MMULT(Fetch(AG378),TRANSPOSE($I$38:$L$41))) + $N$38:$Q$41)), "")</f>
        <v/>
      </c>
      <c r="AM378" s="62">
        <f t="array" aca="1" ref="AM378:AP378" ca="1">X378:AA378 - AH378:AK378</f>
        <v>0.33731146784999777</v>
      </c>
      <c r="AN378" s="62">
        <f ca="1"/>
        <v>-0.42659129763271553</v>
      </c>
      <c r="AO378" s="62">
        <f ca="1"/>
        <v>0.19526396917974065</v>
      </c>
      <c r="AP378" s="62">
        <f ca="1"/>
        <v>0.1585421985450246</v>
      </c>
      <c r="AQ378" s="66" t="str">
        <f t="array" ref="AQ378">IF($AB378, Push(MMULT(Fetch(AG378),MMULT(TRANSPOSE($I$38:$L$41),Fetch(AL378)))), "")</f>
        <v/>
      </c>
      <c r="AR378" s="62">
        <f t="array" aca="1" ref="AR378:AU378" ca="1">AC378:AF378 + TRANSPOSE(MMULT(IF($AB378,Fetch(AQ378),$L$61:$O$64),TRANSPOSE(AM378:AP378)))</f>
        <v>0.94190054589507666</v>
      </c>
      <c r="AS378" s="62">
        <f ca="1"/>
        <v>0.32860025902216772</v>
      </c>
      <c r="AT378" s="62">
        <f ca="1"/>
        <v>1.265241446964017</v>
      </c>
      <c r="AU378" s="62">
        <f ca="1"/>
        <v>1.2572822482341399</v>
      </c>
      <c r="AV378" s="66" t="str">
        <f t="array" ref="AV378">IF($AB378, Push(Fetch(AG378) - MMULT(Fetch(AQ378),MMULT($I$38:$L$41,Fetch(AG378)))), "")</f>
        <v/>
      </c>
      <c r="AW378" s="97">
        <f t="array" aca="1" ref="AW378" ca="1">IF($AB378,LN(MDETERM(Fetch(AL378))),$J$65)   -   MMULT(AM378:AP378,MMULT(IF($AB378,Fetch(AL378),$G$61:$J$64),TRANSPOSE(AM378:AP378)))</f>
        <v>5.377493447324329</v>
      </c>
    </row>
    <row r="379" spans="23:49" x14ac:dyDescent="0.15">
      <c r="W379" s="12">
        <f t="shared" si="10"/>
        <v>376</v>
      </c>
      <c r="X379" s="62">
        <f t="array" aca="1" ref="X379:AA379" ca="1">simulate!AE379:AH379</f>
        <v>1.3452937710233119</v>
      </c>
      <c r="Y379" s="62">
        <f ca="1"/>
        <v>1.7656539934612794</v>
      </c>
      <c r="Z379" s="62">
        <f ca="1"/>
        <v>1.1834466556571537</v>
      </c>
      <c r="AA379" s="62">
        <f ca="1"/>
        <v>0.37784446977128916</v>
      </c>
      <c r="AB379" s="98">
        <f t="shared" si="11"/>
        <v>0</v>
      </c>
      <c r="AC379" s="62">
        <f t="array" aca="1" ref="AC379:AF379" ca="1">TRANSPOSE($G$44:$G$47 + MMULT($I$44:$L$47,TRANSPOSE(AR378:AU378)))</f>
        <v>0.98181709024218344</v>
      </c>
      <c r="AD379" s="62">
        <f ca="1"/>
        <v>0.65899795127808292</v>
      </c>
      <c r="AE379" s="62">
        <f ca="1"/>
        <v>1.0920171018384086</v>
      </c>
      <c r="AF379" s="62">
        <f ca="1"/>
        <v>1.1498345834370993</v>
      </c>
      <c r="AG379" s="66" t="str">
        <f t="array" ref="AG379">IF($AB379, Push(MMULT($I$44:$L$47,MMULT(Fetch(AV378),TRANSPOSE($I$44:$L$47))) + $N$44:$Q$47), "")</f>
        <v/>
      </c>
      <c r="AH379" s="62">
        <f t="array" aca="1" ref="AH379:AK379" ca="1">TRANSPOSE($G$38:$G$41 + MMULT($I$38:$L$41,TRANSPOSE(AC379:AF379)))</f>
        <v>1.2981428469437071</v>
      </c>
      <c r="AI379" s="62">
        <f ca="1"/>
        <v>0.92254212452927842</v>
      </c>
      <c r="AJ379" s="62">
        <f ca="1"/>
        <v>1.1192622792991374</v>
      </c>
      <c r="AK379" s="62">
        <f ca="1"/>
        <v>1.1621624657588898</v>
      </c>
      <c r="AL379" s="66" t="str">
        <f t="array" ref="AL379">IF($AB379, Push(MINVERSE(MMULT($I$38:$L$41,MMULT(Fetch(AG379),TRANSPOSE($I$38:$L$41))) + $N$38:$Q$41)), "")</f>
        <v/>
      </c>
      <c r="AM379" s="62">
        <f t="array" aca="1" ref="AM379:AP379" ca="1">X379:AA379 - AH379:AK379</f>
        <v>4.7150924079604861E-2</v>
      </c>
      <c r="AN379" s="62">
        <f ca="1"/>
        <v>0.84311186893200096</v>
      </c>
      <c r="AO379" s="62">
        <f ca="1"/>
        <v>6.4184376358016326E-2</v>
      </c>
      <c r="AP379" s="62">
        <f ca="1"/>
        <v>-0.78431799598760066</v>
      </c>
      <c r="AQ379" s="66" t="str">
        <f t="array" ref="AQ379">IF($AB379, Push(MMULT(Fetch(AG379),MMULT(TRANSPOSE($I$38:$L$41),Fetch(AL379)))), "")</f>
        <v/>
      </c>
      <c r="AR379" s="62">
        <f t="array" aca="1" ref="AR379:AU379" ca="1">AC379:AF379 + TRANSPOSE(MMULT(IF($AB379,Fetch(AQ379),$L$61:$O$64),TRANSPOSE(AM379:AP379)))</f>
        <v>1.3275127920484933</v>
      </c>
      <c r="AS379" s="62">
        <f ca="1"/>
        <v>0.96256520645518517</v>
      </c>
      <c r="AT379" s="62">
        <f ca="1"/>
        <v>0.49716070285335601</v>
      </c>
      <c r="AU379" s="62">
        <f ca="1"/>
        <v>0.908255009838697</v>
      </c>
      <c r="AV379" s="66" t="str">
        <f t="array" ref="AV379">IF($AB379, Push(Fetch(AG379) - MMULT(Fetch(AQ379),MMULT($I$38:$L$41,Fetch(AG379)))), "")</f>
        <v/>
      </c>
      <c r="AW379" s="97">
        <f t="array" aca="1" ref="AW379" ca="1">IF($AB379,LN(MDETERM(Fetch(AL379))),$J$65)   -   MMULT(AM379:AP379,MMULT(IF($AB379,Fetch(AL379),$G$61:$J$64),TRANSPOSE(AM379:AP379)))</f>
        <v>-1.5733758520314307</v>
      </c>
    </row>
    <row r="380" spans="23:49" x14ac:dyDescent="0.15">
      <c r="W380" s="12">
        <f t="shared" si="10"/>
        <v>377</v>
      </c>
      <c r="X380" s="62">
        <f t="array" aca="1" ref="X380:AA380" ca="1">simulate!AE380:AH380</f>
        <v>1.0018996307388814</v>
      </c>
      <c r="Y380" s="62">
        <f ca="1"/>
        <v>1.7799690799085661</v>
      </c>
      <c r="Z380" s="62">
        <f ca="1"/>
        <v>1.1666445458051646</v>
      </c>
      <c r="AA380" s="62">
        <f ca="1"/>
        <v>0.59438904744789267</v>
      </c>
      <c r="AB380" s="98">
        <f t="shared" si="11"/>
        <v>0</v>
      </c>
      <c r="AC380" s="62">
        <f t="array" aca="1" ref="AC380:AF380" ca="1">TRANSPOSE($G$44:$G$47 + MMULT($I$44:$L$47,TRANSPOSE(AR379:AU379)))</f>
        <v>1.2124502617827078</v>
      </c>
      <c r="AD380" s="62">
        <f ca="1"/>
        <v>0.92548004948632356</v>
      </c>
      <c r="AE380" s="62">
        <f ca="1"/>
        <v>0.7559227582750685</v>
      </c>
      <c r="AF380" s="62">
        <f ca="1"/>
        <v>0.90028721434483217</v>
      </c>
      <c r="AG380" s="66" t="str">
        <f t="array" ref="AG380">IF($AB380, Push(MMULT($I$44:$L$47,MMULT(Fetch(AV379),TRANSPOSE($I$44:$L$47))) + $N$44:$Q$47), "")</f>
        <v/>
      </c>
      <c r="AH380" s="62">
        <f t="array" aca="1" ref="AH380:AK380" ca="1">TRANSPOSE($G$38:$G$41 + MMULT($I$38:$L$41,TRANSPOSE(AC380:AF380)))</f>
        <v>1.3062217822977868</v>
      </c>
      <c r="AI380" s="62">
        <f ca="1"/>
        <v>1.276901034232272</v>
      </c>
      <c r="AJ380" s="62">
        <f ca="1"/>
        <v>0.93004006564834607</v>
      </c>
      <c r="AK380" s="62">
        <f ca="1"/>
        <v>0.79068283851777688</v>
      </c>
      <c r="AL380" s="66" t="str">
        <f t="array" ref="AL380">IF($AB380, Push(MINVERSE(MMULT($I$38:$L$41,MMULT(Fetch(AG380),TRANSPOSE($I$38:$L$41))) + $N$38:$Q$41)), "")</f>
        <v/>
      </c>
      <c r="AM380" s="62">
        <f t="array" aca="1" ref="AM380:AP380" ca="1">X380:AA380 - AH380:AK380</f>
        <v>-0.30432215155890541</v>
      </c>
      <c r="AN380" s="62">
        <f ca="1"/>
        <v>0.50306804567629415</v>
      </c>
      <c r="AO380" s="62">
        <f ca="1"/>
        <v>0.23660448015681856</v>
      </c>
      <c r="AP380" s="62">
        <f ca="1"/>
        <v>-0.1962937910698842</v>
      </c>
      <c r="AQ380" s="66" t="str">
        <f t="array" ref="AQ380">IF($AB380, Push(MMULT(Fetch(AG380),MMULT(TRANSPOSE($I$38:$L$41),Fetch(AL380)))), "")</f>
        <v/>
      </c>
      <c r="AR380" s="62">
        <f t="array" aca="1" ref="AR380:AU380" ca="1">AC380:AF380 + TRANSPOSE(MMULT(IF($AB380,Fetch(AQ380),$L$61:$O$64),TRANSPOSE(AM380:AP380)))</f>
        <v>1.2561573836943829</v>
      </c>
      <c r="AS380" s="62">
        <f ca="1"/>
        <v>1.1769512499063506</v>
      </c>
      <c r="AT380" s="62">
        <f ca="1"/>
        <v>0.49278935543859886</v>
      </c>
      <c r="AU380" s="62">
        <f ca="1"/>
        <v>0.93057070290724186</v>
      </c>
      <c r="AV380" s="66" t="str">
        <f t="array" ref="AV380">IF($AB380, Push(Fetch(AG380) - MMULT(Fetch(AQ380),MMULT($I$38:$L$41,Fetch(AG380)))), "")</f>
        <v/>
      </c>
      <c r="AW380" s="97">
        <f t="array" aca="1" ref="AW380" ca="1">IF($AB380,LN(MDETERM(Fetch(AL380))),$J$65)   -   MMULT(AM380:AP380,MMULT(IF($AB380,Fetch(AL380),$G$61:$J$64),TRANSPOSE(AM380:AP380)))</f>
        <v>3.8126267596571961</v>
      </c>
    </row>
    <row r="381" spans="23:49" x14ac:dyDescent="0.15">
      <c r="W381" s="12">
        <f t="shared" si="10"/>
        <v>378</v>
      </c>
      <c r="X381" s="62">
        <f t="array" aca="1" ref="X381:AA381" ca="1">simulate!AE381:AH381</f>
        <v>5.3632272678069803E-2</v>
      </c>
      <c r="Y381" s="62">
        <f ca="1"/>
        <v>0.96366918110118804</v>
      </c>
      <c r="Z381" s="62">
        <f ca="1"/>
        <v>1.1408531279771179</v>
      </c>
      <c r="AA381" s="62">
        <f ca="1"/>
        <v>0.40696049605135864</v>
      </c>
      <c r="AB381" s="98">
        <f t="shared" si="11"/>
        <v>0</v>
      </c>
      <c r="AC381" s="62">
        <f t="array" aca="1" ref="AC381:AF381" ca="1">TRANSPOSE($G$44:$G$47 + MMULT($I$44:$L$47,TRANSPOSE(AR380:AU380)))</f>
        <v>1.2064014862654846</v>
      </c>
      <c r="AD381" s="62">
        <f ca="1"/>
        <v>1.030620887250959</v>
      </c>
      <c r="AE381" s="62">
        <f ca="1"/>
        <v>0.78659274221615771</v>
      </c>
      <c r="AF381" s="62">
        <f ca="1"/>
        <v>0.92346137943746021</v>
      </c>
      <c r="AG381" s="66" t="str">
        <f t="array" ref="AG381">IF($AB381, Push(MMULT($I$44:$L$47,MMULT(Fetch(AV380),TRANSPOSE($I$44:$L$47))) + $N$44:$Q$47), "")</f>
        <v/>
      </c>
      <c r="AH381" s="62">
        <f t="array" aca="1" ref="AH381:AK381" ca="1">TRANSPOSE($G$38:$G$41 + MMULT($I$38:$L$41,TRANSPOSE(AC381:AF381)))</f>
        <v>1.3092292214888945</v>
      </c>
      <c r="AI381" s="62">
        <f ca="1"/>
        <v>1.3629907293607135</v>
      </c>
      <c r="AJ381" s="62">
        <f ca="1"/>
        <v>0.90426723218903837</v>
      </c>
      <c r="AK381" s="62">
        <f ca="1"/>
        <v>0.85764666495770392</v>
      </c>
      <c r="AL381" s="66" t="str">
        <f t="array" ref="AL381">IF($AB381, Push(MINVERSE(MMULT($I$38:$L$41,MMULT(Fetch(AG381),TRANSPOSE($I$38:$L$41))) + $N$38:$Q$41)), "")</f>
        <v/>
      </c>
      <c r="AM381" s="62">
        <f t="array" aca="1" ref="AM381:AP381" ca="1">X381:AA381 - AH381:AK381</f>
        <v>-1.2555969488108247</v>
      </c>
      <c r="AN381" s="62">
        <f ca="1"/>
        <v>-0.39932154825952548</v>
      </c>
      <c r="AO381" s="62">
        <f ca="1"/>
        <v>0.23658589578807954</v>
      </c>
      <c r="AP381" s="62">
        <f ca="1"/>
        <v>-0.45068616890634527</v>
      </c>
      <c r="AQ381" s="66" t="str">
        <f t="array" ref="AQ381">IF($AB381, Push(MMULT(Fetch(AG381),MMULT(TRANSPOSE($I$38:$L$41),Fetch(AL381)))), "")</f>
        <v/>
      </c>
      <c r="AR381" s="62">
        <f t="array" aca="1" ref="AR381:AU381" ca="1">AC381:AF381 + TRANSPOSE(MMULT(IF($AB381,Fetch(AQ381),$L$61:$O$64),TRANSPOSE(AM381:AP381)))</f>
        <v>0.73270360845098104</v>
      </c>
      <c r="AS381" s="62">
        <f ca="1"/>
        <v>0.88277740327386256</v>
      </c>
      <c r="AT381" s="62">
        <f ca="1"/>
        <v>0.12436653759582328</v>
      </c>
      <c r="AU381" s="62">
        <f ca="1"/>
        <v>0.85514646440213149</v>
      </c>
      <c r="AV381" s="66" t="str">
        <f t="array" ref="AV381">IF($AB381, Push(Fetch(AG381) - MMULT(Fetch(AQ381),MMULT($I$38:$L$41,Fetch(AG381)))), "")</f>
        <v/>
      </c>
      <c r="AW381" s="97">
        <f t="array" aca="1" ref="AW381" ca="1">IF($AB381,LN(MDETERM(Fetch(AL381))),$J$65)   -   MMULT(AM381:AP381,MMULT(IF($AB381,Fetch(AL381),$G$61:$J$64),TRANSPOSE(AM381:AP381)))</f>
        <v>-0.86395571002028504</v>
      </c>
    </row>
    <row r="382" spans="23:49" x14ac:dyDescent="0.15">
      <c r="W382" s="12">
        <f t="shared" si="10"/>
        <v>379</v>
      </c>
      <c r="X382" s="62">
        <f t="array" aca="1" ref="X382:AA382" ca="1">simulate!AE382:AH382</f>
        <v>1.0463926250010711</v>
      </c>
      <c r="Y382" s="62">
        <f ca="1"/>
        <v>1.2569676234717835</v>
      </c>
      <c r="Z382" s="62">
        <f ca="1"/>
        <v>-0.26162214901252828</v>
      </c>
      <c r="AA382" s="62">
        <f ca="1"/>
        <v>1.23825531953569</v>
      </c>
      <c r="AB382" s="98">
        <f t="shared" si="11"/>
        <v>0</v>
      </c>
      <c r="AC382" s="62">
        <f t="array" aca="1" ref="AC382:AF382" ca="1">TRANSPOSE($G$44:$G$47 + MMULT($I$44:$L$47,TRANSPOSE(AR381:AU381)))</f>
        <v>0.85031193498391855</v>
      </c>
      <c r="AD382" s="62">
        <f ca="1"/>
        <v>0.72686491691648247</v>
      </c>
      <c r="AE382" s="62">
        <f ca="1"/>
        <v>0.49143143347003426</v>
      </c>
      <c r="AF382" s="62">
        <f ca="1"/>
        <v>0.77681437861843983</v>
      </c>
      <c r="AG382" s="66" t="str">
        <f t="array" ref="AG382">IF($AB382, Push(MMULT($I$44:$L$47,MMULT(Fetch(AV381),TRANSPOSE($I$44:$L$47))) + $N$44:$Q$47), "")</f>
        <v/>
      </c>
      <c r="AH382" s="62">
        <f t="array" aca="1" ref="AH382:AK382" ca="1">TRANSPOSE($G$38:$G$41 + MMULT($I$38:$L$41,TRANSPOSE(AC382:AF382)))</f>
        <v>0.9245950671348131</v>
      </c>
      <c r="AI382" s="62">
        <f ca="1"/>
        <v>1.0131890584169556</v>
      </c>
      <c r="AJ382" s="62">
        <f ca="1"/>
        <v>0.78695490280099145</v>
      </c>
      <c r="AK382" s="62">
        <f ca="1"/>
        <v>0.64877786700427809</v>
      </c>
      <c r="AL382" s="66" t="str">
        <f t="array" ref="AL382">IF($AB382, Push(MINVERSE(MMULT($I$38:$L$41,MMULT(Fetch(AG382),TRANSPOSE($I$38:$L$41))) + $N$38:$Q$41)), "")</f>
        <v/>
      </c>
      <c r="AM382" s="62">
        <f t="array" aca="1" ref="AM382:AP382" ca="1">X382:AA382 - AH382:AK382</f>
        <v>0.12179755786625801</v>
      </c>
      <c r="AN382" s="62">
        <f ca="1"/>
        <v>0.24377856505482787</v>
      </c>
      <c r="AO382" s="62">
        <f ca="1"/>
        <v>-1.0485770518135198</v>
      </c>
      <c r="AP382" s="62">
        <f ca="1"/>
        <v>0.58947745253141193</v>
      </c>
      <c r="AQ382" s="66" t="str">
        <f t="array" ref="AQ382">IF($AB382, Push(MMULT(Fetch(AG382),MMULT(TRANSPOSE($I$38:$L$41),Fetch(AL382)))), "")</f>
        <v/>
      </c>
      <c r="AR382" s="62">
        <f t="array" aca="1" ref="AR382:AU382" ca="1">AC382:AF382 + TRANSPOSE(MMULT(IF($AB382,Fetch(AQ382),$L$61:$O$64),TRANSPOSE(AM382:AP382)))</f>
        <v>0.54867993503724577</v>
      </c>
      <c r="AS382" s="62">
        <f ca="1"/>
        <v>1.1815575872573927</v>
      </c>
      <c r="AT382" s="62">
        <f ca="1"/>
        <v>0.71618369359116674</v>
      </c>
      <c r="AU382" s="62">
        <f ca="1"/>
        <v>0.5575340090771137</v>
      </c>
      <c r="AV382" s="66" t="str">
        <f t="array" ref="AV382">IF($AB382, Push(Fetch(AG382) - MMULT(Fetch(AQ382),MMULT($I$38:$L$41,Fetch(AG382)))), "")</f>
        <v/>
      </c>
      <c r="AW382" s="97">
        <f t="array" aca="1" ref="AW382" ca="1">IF($AB382,LN(MDETERM(Fetch(AL382))),$J$65)   -   MMULT(AM382:AP382,MMULT(IF($AB382,Fetch(AL382),$G$61:$J$64),TRANSPOSE(AM382:AP382)))</f>
        <v>-1.5942962067296236</v>
      </c>
    </row>
    <row r="383" spans="23:49" x14ac:dyDescent="0.15">
      <c r="W383" s="12">
        <f t="shared" si="10"/>
        <v>380</v>
      </c>
      <c r="X383" s="62">
        <f t="array" aca="1" ref="X383:AA383" ca="1">simulate!AE383:AH383</f>
        <v>1.3442577680345824</v>
      </c>
      <c r="Y383" s="62">
        <f ca="1"/>
        <v>1.2733555543426496</v>
      </c>
      <c r="Z383" s="62">
        <f ca="1"/>
        <v>1.0298496390080478</v>
      </c>
      <c r="AA383" s="62">
        <f ca="1"/>
        <v>0.95152929387478791</v>
      </c>
      <c r="AB383" s="98">
        <f t="shared" si="11"/>
        <v>0</v>
      </c>
      <c r="AC383" s="62">
        <f t="array" aca="1" ref="AC383:AF383" ca="1">TRANSPOSE($G$44:$G$47 + MMULT($I$44:$L$47,TRANSPOSE(AR382:AU382)))</f>
        <v>0.82296799768248552</v>
      </c>
      <c r="AD383" s="62">
        <f ca="1"/>
        <v>0.92474912597889847</v>
      </c>
      <c r="AE383" s="62">
        <f ca="1"/>
        <v>0.80242328119441197</v>
      </c>
      <c r="AF383" s="62">
        <f ca="1"/>
        <v>0.72459354744617754</v>
      </c>
      <c r="AG383" s="66" t="str">
        <f t="array" ref="AG383">IF($AB383, Push(MMULT($I$44:$L$47,MMULT(Fetch(AV382),TRANSPOSE($I$44:$L$47))) + $N$44:$Q$47), "")</f>
        <v/>
      </c>
      <c r="AH383" s="62">
        <f t="array" aca="1" ref="AH383:AK383" ca="1">TRANSPOSE($G$38:$G$41 + MMULT($I$38:$L$41,TRANSPOSE(AC383:AF383)))</f>
        <v>1.1071744324075952</v>
      </c>
      <c r="AI383" s="62">
        <f ca="1"/>
        <v>1.085753188239228</v>
      </c>
      <c r="AJ383" s="62">
        <f ca="1"/>
        <v>0.62867306204930529</v>
      </c>
      <c r="AK383" s="62">
        <f ca="1"/>
        <v>0.9239048867437567</v>
      </c>
      <c r="AL383" s="66" t="str">
        <f t="array" ref="AL383">IF($AB383, Push(MINVERSE(MMULT($I$38:$L$41,MMULT(Fetch(AG383),TRANSPOSE($I$38:$L$41))) + $N$38:$Q$41)), "")</f>
        <v/>
      </c>
      <c r="AM383" s="62">
        <f t="array" aca="1" ref="AM383:AP383" ca="1">X383:AA383 - AH383:AK383</f>
        <v>0.23708333562698725</v>
      </c>
      <c r="AN383" s="62">
        <f ca="1"/>
        <v>0.18760236610342162</v>
      </c>
      <c r="AO383" s="62">
        <f ca="1"/>
        <v>0.40117657695874254</v>
      </c>
      <c r="AP383" s="62">
        <f ca="1"/>
        <v>2.7624407131031203E-2</v>
      </c>
      <c r="AQ383" s="66" t="str">
        <f t="array" ref="AQ383">IF($AB383, Push(MMULT(Fetch(AG383),MMULT(TRANSPOSE($I$38:$L$41),Fetch(AL383)))), "")</f>
        <v/>
      </c>
      <c r="AR383" s="62">
        <f t="array" aca="1" ref="AR383:AU383" ca="1">AC383:AF383 + TRANSPOSE(MMULT(IF($AB383,Fetch(AQ383),$L$61:$O$64),TRANSPOSE(AM383:AP383)))</f>
        <v>1.0547287597058108</v>
      </c>
      <c r="AS383" s="62">
        <f ca="1"/>
        <v>0.91177310145355916</v>
      </c>
      <c r="AT383" s="62">
        <f ca="1"/>
        <v>0.95074523644248998</v>
      </c>
      <c r="AU383" s="62">
        <f ca="1"/>
        <v>0.89986292886583785</v>
      </c>
      <c r="AV383" s="66" t="str">
        <f t="array" ref="AV383">IF($AB383, Push(Fetch(AG383) - MMULT(Fetch(AQ383),MMULT($I$38:$L$41,Fetch(AG383)))), "")</f>
        <v/>
      </c>
      <c r="AW383" s="97">
        <f t="array" aca="1" ref="AW383" ca="1">IF($AB383,LN(MDETERM(Fetch(AL383))),$J$65)   -   MMULT(AM383:AP383,MMULT(IF($AB383,Fetch(AL383),$G$61:$J$64),TRANSPOSE(AM383:AP383)))</f>
        <v>5.913042645039245</v>
      </c>
    </row>
    <row r="384" spans="23:49" x14ac:dyDescent="0.15">
      <c r="W384" s="12">
        <f t="shared" si="10"/>
        <v>381</v>
      </c>
      <c r="X384" s="62">
        <f t="array" aca="1" ref="X384:AA384" ca="1">simulate!AE384:AH384</f>
        <v>1.5386995211886638</v>
      </c>
      <c r="Y384" s="62">
        <f ca="1"/>
        <v>2.2983930180916956</v>
      </c>
      <c r="Z384" s="62">
        <f ca="1"/>
        <v>-0.41377432847671614</v>
      </c>
      <c r="AA384" s="62">
        <f ca="1"/>
        <v>0.36116144048142285</v>
      </c>
      <c r="AB384" s="98">
        <f t="shared" si="11"/>
        <v>0</v>
      </c>
      <c r="AC384" s="62">
        <f t="array" aca="1" ref="AC384:AF384" ca="1">TRANSPOSE($G$44:$G$47 + MMULT($I$44:$L$47,TRANSPOSE(AR383:AU383)))</f>
        <v>1.0894942263312577</v>
      </c>
      <c r="AD384" s="62">
        <f ca="1"/>
        <v>0.92028853764106333</v>
      </c>
      <c r="AE384" s="62">
        <f ca="1"/>
        <v>0.97198600162569704</v>
      </c>
      <c r="AF384" s="62">
        <f ca="1"/>
        <v>0.95267433242768829</v>
      </c>
      <c r="AG384" s="66" t="str">
        <f t="array" ref="AG384">IF($AB384, Push(MMULT($I$44:$L$47,MMULT(Fetch(AV383),TRANSPOSE($I$44:$L$47))) + $N$44:$Q$47), "")</f>
        <v/>
      </c>
      <c r="AH384" s="62">
        <f t="array" aca="1" ref="AH384:AK384" ca="1">TRANSPOSE($G$38:$G$41 + MMULT($I$38:$L$41,TRANSPOSE(AC384:AF384)))</f>
        <v>1.3410490958935206</v>
      </c>
      <c r="AI384" s="62">
        <f ca="1"/>
        <v>1.1819686260778275</v>
      </c>
      <c r="AJ384" s="62">
        <f ca="1"/>
        <v>0.90813317924517123</v>
      </c>
      <c r="AK384" s="62">
        <f ca="1"/>
        <v>1.0227773411567198</v>
      </c>
      <c r="AL384" s="66" t="str">
        <f t="array" ref="AL384">IF($AB384, Push(MINVERSE(MMULT($I$38:$L$41,MMULT(Fetch(AG384),TRANSPOSE($I$38:$L$41))) + $N$38:$Q$41)), "")</f>
        <v/>
      </c>
      <c r="AM384" s="62">
        <f t="array" aca="1" ref="AM384:AP384" ca="1">X384:AA384 - AH384:AK384</f>
        <v>0.19765042529514321</v>
      </c>
      <c r="AN384" s="62">
        <f ca="1"/>
        <v>1.1164243920138681</v>
      </c>
      <c r="AO384" s="62">
        <f ca="1"/>
        <v>-1.3219075077218874</v>
      </c>
      <c r="AP384" s="62">
        <f ca="1"/>
        <v>-0.66161590067529696</v>
      </c>
      <c r="AQ384" s="66" t="str">
        <f t="array" ref="AQ384">IF($AB384, Push(MMULT(Fetch(AG384),MMULT(TRANSPOSE($I$38:$L$41),Fetch(AL384)))), "")</f>
        <v/>
      </c>
      <c r="AR384" s="62">
        <f t="array" aca="1" ref="AR384:AU384" ca="1">AC384:AF384 + TRANSPOSE(MMULT(IF($AB384,Fetch(AQ384),$L$61:$O$64),TRANSPOSE(AM384:AP384)))</f>
        <v>1.1713276835401449</v>
      </c>
      <c r="AS384" s="62">
        <f ca="1"/>
        <v>1.6685056533896496</v>
      </c>
      <c r="AT384" s="62">
        <f ca="1"/>
        <v>0.2441397949842069</v>
      </c>
      <c r="AU384" s="62">
        <f ca="1"/>
        <v>0.19166545569260252</v>
      </c>
      <c r="AV384" s="66" t="str">
        <f t="array" ref="AV384">IF($AB384, Push(Fetch(AG384) - MMULT(Fetch(AQ384),MMULT($I$38:$L$41,Fetch(AG384)))), "")</f>
        <v/>
      </c>
      <c r="AW384" s="97">
        <f t="array" aca="1" ref="AW384" ca="1">IF($AB384,LN(MDETERM(Fetch(AL384))),$J$65)   -   MMULT(AM384:AP384,MMULT(IF($AB384,Fetch(AL384),$G$61:$J$64),TRANSPOSE(AM384:AP384)))</f>
        <v>-6.7668059323020842</v>
      </c>
    </row>
    <row r="385" spans="23:49" x14ac:dyDescent="0.15">
      <c r="W385" s="12">
        <f t="shared" si="10"/>
        <v>382</v>
      </c>
      <c r="X385" s="62">
        <f t="array" aca="1" ref="X385:AA385" ca="1">simulate!AE385:AH385</f>
        <v>1.4051165823515459</v>
      </c>
      <c r="Y385" s="62">
        <f ca="1"/>
        <v>0.97999951485025427</v>
      </c>
      <c r="Z385" s="62">
        <f ca="1"/>
        <v>1.5108673900029104</v>
      </c>
      <c r="AA385" s="62">
        <f ca="1"/>
        <v>0.95098205429079941</v>
      </c>
      <c r="AB385" s="98">
        <f t="shared" si="11"/>
        <v>0</v>
      </c>
      <c r="AC385" s="62">
        <f t="array" aca="1" ref="AC385:AF385" ca="1">TRANSPOSE($G$44:$G$47 + MMULT($I$44:$L$47,TRANSPOSE(AR384:AU384)))</f>
        <v>1.180124513877028</v>
      </c>
      <c r="AD385" s="62">
        <f ca="1"/>
        <v>1.1929281568495032</v>
      </c>
      <c r="AE385" s="62">
        <f ca="1"/>
        <v>0.61672203316863183</v>
      </c>
      <c r="AF385" s="62">
        <f ca="1"/>
        <v>0.51494074652316768</v>
      </c>
      <c r="AG385" s="66" t="str">
        <f t="array" ref="AG385">IF($AB385, Push(MMULT($I$44:$L$47,MMULT(Fetch(AV384),TRANSPOSE($I$44:$L$47))) + $N$44:$Q$47), "")</f>
        <v/>
      </c>
      <c r="AH385" s="62">
        <f t="array" aca="1" ref="AH385:AK385" ca="1">TRANSPOSE($G$38:$G$41 + MMULT($I$38:$L$41,TRANSPOSE(AC385:AF385)))</f>
        <v>1.2899791684795008</v>
      </c>
      <c r="AI385" s="62">
        <f ca="1"/>
        <v>1.4578079223788447</v>
      </c>
      <c r="AJ385" s="62">
        <f ca="1"/>
        <v>0.50705157338155371</v>
      </c>
      <c r="AK385" s="62">
        <f ca="1"/>
        <v>0.62176926011171862</v>
      </c>
      <c r="AL385" s="66" t="str">
        <f t="array" ref="AL385">IF($AB385, Push(MINVERSE(MMULT($I$38:$L$41,MMULT(Fetch(AG385),TRANSPOSE($I$38:$L$41))) + $N$38:$Q$41)), "")</f>
        <v/>
      </c>
      <c r="AM385" s="62">
        <f t="array" aca="1" ref="AM385:AP385" ca="1">X385:AA385 - AH385:AK385</f>
        <v>0.11513741387204512</v>
      </c>
      <c r="AN385" s="62">
        <f ca="1"/>
        <v>-0.47780840752859044</v>
      </c>
      <c r="AO385" s="62">
        <f ca="1"/>
        <v>1.0038158166213567</v>
      </c>
      <c r="AP385" s="62">
        <f ca="1"/>
        <v>0.32921279417908078</v>
      </c>
      <c r="AQ385" s="66" t="str">
        <f t="array" ref="AQ385">IF($AB385, Push(MMULT(Fetch(AG385),MMULT(TRANSPOSE($I$38:$L$41),Fetch(AL385)))), "")</f>
        <v/>
      </c>
      <c r="AR385" s="62">
        <f t="array" aca="1" ref="AR385:AU385" ca="1">AC385:AF385 + TRANSPOSE(MMULT(IF($AB385,Fetch(AQ385),$L$61:$O$64),TRANSPOSE(AM385:AP385)))</f>
        <v>1.3355705257982715</v>
      </c>
      <c r="AS385" s="62">
        <f ca="1"/>
        <v>0.75515465036081064</v>
      </c>
      <c r="AT385" s="62">
        <f ca="1"/>
        <v>1.1049872317254215</v>
      </c>
      <c r="AU385" s="62">
        <f ca="1"/>
        <v>1.0359210255202647</v>
      </c>
      <c r="AV385" s="66" t="str">
        <f t="array" ref="AV385">IF($AB385, Push(Fetch(AG385) - MMULT(Fetch(AQ385),MMULT($I$38:$L$41,Fetch(AG385)))), "")</f>
        <v/>
      </c>
      <c r="AW385" s="97">
        <f t="array" aca="1" ref="AW385" ca="1">IF($AB385,LN(MDETERM(Fetch(AL385))),$J$65)   -   MMULT(AM385:AP385,MMULT(IF($AB385,Fetch(AL385),$G$61:$J$64),TRANSPOSE(AM385:AP385)))</f>
        <v>2.0385318084741817</v>
      </c>
    </row>
    <row r="386" spans="23:49" x14ac:dyDescent="0.15">
      <c r="W386" s="12">
        <f t="shared" si="10"/>
        <v>383</v>
      </c>
      <c r="X386" s="62">
        <f t="array" aca="1" ref="X386:AA386" ca="1">simulate!AE386:AH386</f>
        <v>0.24810167724809162</v>
      </c>
      <c r="Y386" s="62">
        <f ca="1"/>
        <v>0.3363362433204875</v>
      </c>
      <c r="Z386" s="62">
        <f ca="1"/>
        <v>0.73887763338867662</v>
      </c>
      <c r="AA386" s="62">
        <f ca="1"/>
        <v>1.1653345223075489</v>
      </c>
      <c r="AB386" s="98">
        <f t="shared" si="11"/>
        <v>0</v>
      </c>
      <c r="AC386" s="62">
        <f t="array" aca="1" ref="AC386:AF386" ca="1">TRANSPOSE($G$44:$G$47 + MMULT($I$44:$L$47,TRANSPOSE(AR385:AU385)))</f>
        <v>1.2355094797879225</v>
      </c>
      <c r="AD386" s="62">
        <f ca="1"/>
        <v>0.91381182141195361</v>
      </c>
      <c r="AE386" s="62">
        <f ca="1"/>
        <v>1.0699864323468062</v>
      </c>
      <c r="AF386" s="62">
        <f ca="1"/>
        <v>1.0535459065666208</v>
      </c>
      <c r="AG386" s="66" t="str">
        <f t="array" ref="AG386">IF($AB386, Push(MMULT($I$44:$L$47,MMULT(Fetch(AV385),TRANSPOSE($I$44:$L$47))) + $N$44:$Q$47), "")</f>
        <v/>
      </c>
      <c r="AH386" s="62">
        <f t="array" aca="1" ref="AH386:AK386" ca="1">TRANSPOSE($G$38:$G$41 + MMULT($I$38:$L$41,TRANSPOSE(AC386:AF386)))</f>
        <v>1.4794875518050912</v>
      </c>
      <c r="AI386" s="62">
        <f ca="1"/>
        <v>1.2251278316585152</v>
      </c>
      <c r="AJ386" s="62">
        <f ca="1"/>
        <v>1.0421775960859818</v>
      </c>
      <c r="AK386" s="62">
        <f ca="1"/>
        <v>1.0690993898828591</v>
      </c>
      <c r="AL386" s="66" t="str">
        <f t="array" ref="AL386">IF($AB386, Push(MINVERSE(MMULT($I$38:$L$41,MMULT(Fetch(AG386),TRANSPOSE($I$38:$L$41))) + $N$38:$Q$41)), "")</f>
        <v/>
      </c>
      <c r="AM386" s="62">
        <f t="array" aca="1" ref="AM386:AP386" ca="1">X386:AA386 - AH386:AK386</f>
        <v>-1.2313858745569997</v>
      </c>
      <c r="AN386" s="62">
        <f ca="1"/>
        <v>-0.88879158833802774</v>
      </c>
      <c r="AO386" s="62">
        <f ca="1"/>
        <v>-0.30329996269730519</v>
      </c>
      <c r="AP386" s="62">
        <f ca="1"/>
        <v>9.6235132424689729E-2</v>
      </c>
      <c r="AQ386" s="66" t="str">
        <f t="array" ref="AQ386">IF($AB386, Push(MMULT(Fetch(AG386),MMULT(TRANSPOSE($I$38:$L$41),Fetch(AL386)))), "")</f>
        <v/>
      </c>
      <c r="AR386" s="62">
        <f t="array" aca="1" ref="AR386:AU386" ca="1">AC386:AF386 + TRANSPOSE(MMULT(IF($AB386,Fetch(AQ386),$L$61:$O$64),TRANSPOSE(AM386:AP386)))</f>
        <v>0.43797506056835689</v>
      </c>
      <c r="AS386" s="62">
        <f ca="1"/>
        <v>0.70430478232185201</v>
      </c>
      <c r="AT386" s="62">
        <f ca="1"/>
        <v>0.74729505829314258</v>
      </c>
      <c r="AU386" s="62">
        <f ca="1"/>
        <v>0.95285984844306959</v>
      </c>
      <c r="AV386" s="66" t="str">
        <f t="array" ref="AV386">IF($AB386, Push(Fetch(AG386) - MMULT(Fetch(AQ386),MMULT($I$38:$L$41,Fetch(AG386)))), "")</f>
        <v/>
      </c>
      <c r="AW386" s="97">
        <f t="array" aca="1" ref="AW386" ca="1">IF($AB386,LN(MDETERM(Fetch(AL386))),$J$65)   -   MMULT(AM386:AP386,MMULT(IF($AB386,Fetch(AL386),$G$61:$J$64),TRANSPOSE(AM386:AP386)))</f>
        <v>-5.4629916720064102</v>
      </c>
    </row>
    <row r="387" spans="23:49" x14ac:dyDescent="0.15">
      <c r="W387" s="12">
        <f t="shared" si="10"/>
        <v>384</v>
      </c>
      <c r="X387" s="62">
        <f t="array" aca="1" ref="X387:AA387" ca="1">simulate!AE387:AH387</f>
        <v>1.4372952214124144</v>
      </c>
      <c r="Y387" s="62">
        <f ca="1"/>
        <v>1.0577514155954577</v>
      </c>
      <c r="Z387" s="62">
        <f ca="1"/>
        <v>-0.34432837701476537</v>
      </c>
      <c r="AA387" s="62">
        <f ca="1"/>
        <v>1.4468348734277621</v>
      </c>
      <c r="AB387" s="98">
        <f t="shared" si="11"/>
        <v>0</v>
      </c>
      <c r="AC387" s="62">
        <f t="array" aca="1" ref="AC387:AF387" ca="1">TRANSPOSE($G$44:$G$47 + MMULT($I$44:$L$47,TRANSPOSE(AR386:AU386)))</f>
        <v>0.71376211223802566</v>
      </c>
      <c r="AD387" s="62">
        <f ca="1"/>
        <v>0.68176787646227854</v>
      </c>
      <c r="AE387" s="62">
        <f ca="1"/>
        <v>0.79236350603351602</v>
      </c>
      <c r="AF387" s="62">
        <f ca="1"/>
        <v>0.9038576921939554</v>
      </c>
      <c r="AG387" s="66" t="str">
        <f t="array" ref="AG387">IF($AB387, Push(MMULT($I$44:$L$47,MMULT(Fetch(AV386),TRANSPOSE($I$44:$L$47))) + $N$44:$Q$47), "")</f>
        <v/>
      </c>
      <c r="AH387" s="62">
        <f t="array" aca="1" ref="AH387:AK387" ca="1">TRANSPOSE($G$38:$G$41 + MMULT($I$38:$L$41,TRANSPOSE(AC387:AF387)))</f>
        <v>0.9845562073296803</v>
      </c>
      <c r="AI387" s="62">
        <f ca="1"/>
        <v>0.87144197893201725</v>
      </c>
      <c r="AJ387" s="62">
        <f ca="1"/>
        <v>0.82941058825581226</v>
      </c>
      <c r="AK387" s="62">
        <f ca="1"/>
        <v>0.9679794567055906</v>
      </c>
      <c r="AL387" s="66" t="str">
        <f t="array" ref="AL387">IF($AB387, Push(MINVERSE(MMULT($I$38:$L$41,MMULT(Fetch(AG387),TRANSPOSE($I$38:$L$41))) + $N$38:$Q$41)), "")</f>
        <v/>
      </c>
      <c r="AM387" s="62">
        <f t="array" aca="1" ref="AM387:AP387" ca="1">X387:AA387 - AH387:AK387</f>
        <v>0.45273901408273409</v>
      </c>
      <c r="AN387" s="62">
        <f ca="1"/>
        <v>0.18630943666344046</v>
      </c>
      <c r="AO387" s="62">
        <f ca="1"/>
        <v>-1.1737389652705776</v>
      </c>
      <c r="AP387" s="62">
        <f ca="1"/>
        <v>0.47885541672217147</v>
      </c>
      <c r="AQ387" s="66" t="str">
        <f t="array" ref="AQ387">IF($AB387, Push(MMULT(Fetch(AG387),MMULT(TRANSPOSE($I$38:$L$41),Fetch(AL387)))), "")</f>
        <v/>
      </c>
      <c r="AR387" s="62">
        <f t="array" aca="1" ref="AR387:AU387" ca="1">AC387:AF387 + TRANSPOSE(MMULT(IF($AB387,Fetch(AQ387),$L$61:$O$64),TRANSPOSE(AM387:AP387)))</f>
        <v>0.54720179580092032</v>
      </c>
      <c r="AS387" s="62">
        <f ca="1"/>
        <v>1.050239178720658</v>
      </c>
      <c r="AT387" s="62">
        <f ca="1"/>
        <v>1.0504417555000092</v>
      </c>
      <c r="AU387" s="62">
        <f ca="1"/>
        <v>0.59577053017878401</v>
      </c>
      <c r="AV387" s="66" t="str">
        <f t="array" ref="AV387">IF($AB387, Push(Fetch(AG387) - MMULT(Fetch(AQ387),MMULT($I$38:$L$41,Fetch(AG387)))), "")</f>
        <v/>
      </c>
      <c r="AW387" s="97">
        <f t="array" aca="1" ref="AW387" ca="1">IF($AB387,LN(MDETERM(Fetch(AL387))),$J$65)   -   MMULT(AM387:AP387,MMULT(IF($AB387,Fetch(AL387),$G$61:$J$64),TRANSPOSE(AM387:AP387)))</f>
        <v>-2.164102448700417</v>
      </c>
    </row>
    <row r="388" spans="23:49" x14ac:dyDescent="0.15">
      <c r="W388" s="12">
        <f t="shared" si="10"/>
        <v>385</v>
      </c>
      <c r="X388" s="62">
        <f t="array" aca="1" ref="X388:AA388" ca="1">simulate!AE388:AH388</f>
        <v>0.30350981100888819</v>
      </c>
      <c r="Y388" s="62">
        <f ca="1"/>
        <v>0.69735877386546519</v>
      </c>
      <c r="Z388" s="62">
        <f ca="1"/>
        <v>1.3758387079303458</v>
      </c>
      <c r="AA388" s="62">
        <f ca="1"/>
        <v>0.35160908718917822</v>
      </c>
      <c r="AB388" s="98">
        <f t="shared" si="11"/>
        <v>0</v>
      </c>
      <c r="AC388" s="62">
        <f t="array" aca="1" ref="AC388:AF388" ca="1">TRANSPOSE($G$44:$G$47 + MMULT($I$44:$L$47,TRANSPOSE(AR387:AU387)))</f>
        <v>0.82836690940539048</v>
      </c>
      <c r="AD388" s="62">
        <f ca="1"/>
        <v>0.90577645401434137</v>
      </c>
      <c r="AE388" s="62">
        <f ca="1"/>
        <v>0.96718025370753957</v>
      </c>
      <c r="AF388" s="62">
        <f ca="1"/>
        <v>0.79009540317168514</v>
      </c>
      <c r="AG388" s="66" t="str">
        <f t="array" ref="AG388">IF($AB388, Push(MMULT($I$44:$L$47,MMULT(Fetch(AV387),TRANSPOSE($I$44:$L$47))) + $N$44:$Q$47), "")</f>
        <v/>
      </c>
      <c r="AH388" s="62">
        <f t="array" aca="1" ref="AH388:AK388" ca="1">TRANSPOSE($G$38:$G$41 + MMULT($I$38:$L$41,TRANSPOSE(AC388:AF388)))</f>
        <v>1.198196889261723</v>
      </c>
      <c r="AI388" s="62">
        <f ca="1"/>
        <v>1.0419893968585159</v>
      </c>
      <c r="AJ388" s="62">
        <f ca="1"/>
        <v>0.67734967996095463</v>
      </c>
      <c r="AK388" s="62">
        <f ca="1"/>
        <v>1.0626661688268735</v>
      </c>
      <c r="AL388" s="66" t="str">
        <f t="array" ref="AL388">IF($AB388, Push(MINVERSE(MMULT($I$38:$L$41,MMULT(Fetch(AG388),TRANSPOSE($I$38:$L$41))) + $N$38:$Q$41)), "")</f>
        <v/>
      </c>
      <c r="AM388" s="62">
        <f t="array" aca="1" ref="AM388:AP388" ca="1">X388:AA388 - AH388:AK388</f>
        <v>-0.89468707825283478</v>
      </c>
      <c r="AN388" s="62">
        <f ca="1"/>
        <v>-0.34463062299305069</v>
      </c>
      <c r="AO388" s="62">
        <f ca="1"/>
        <v>0.69848902796939116</v>
      </c>
      <c r="AP388" s="62">
        <f ca="1"/>
        <v>-0.71105708163769532</v>
      </c>
      <c r="AQ388" s="66" t="str">
        <f t="array" ref="AQ388">IF($AB388, Push(MMULT(Fetch(AG388),MMULT(TRANSPOSE($I$38:$L$41),Fetch(AL388)))), "")</f>
        <v/>
      </c>
      <c r="AR388" s="62">
        <f t="array" aca="1" ref="AR388:AU388" ca="1">AC388:AF388 + TRANSPOSE(MMULT(IF($AB388,Fetch(AQ388),$L$61:$O$64),TRANSPOSE(AM388:AP388)))</f>
        <v>0.70181938845609348</v>
      </c>
      <c r="AS388" s="62">
        <f ca="1"/>
        <v>0.57764151629113991</v>
      </c>
      <c r="AT388" s="62">
        <f ca="1"/>
        <v>0.33549950784480731</v>
      </c>
      <c r="AU388" s="62">
        <f ca="1"/>
        <v>0.82077491895059673</v>
      </c>
      <c r="AV388" s="66" t="str">
        <f t="array" ref="AV388">IF($AB388, Push(Fetch(AG388) - MMULT(Fetch(AQ388),MMULT($I$38:$L$41,Fetch(AG388)))), "")</f>
        <v/>
      </c>
      <c r="AW388" s="97">
        <f t="array" aca="1" ref="AW388" ca="1">IF($AB388,LN(MDETERM(Fetch(AL388))),$J$65)   -   MMULT(AM388:AP388,MMULT(IF($AB388,Fetch(AL388),$G$61:$J$64),TRANSPOSE(AM388:AP388)))</f>
        <v>-0.8060980332348322</v>
      </c>
    </row>
    <row r="389" spans="23:49" x14ac:dyDescent="0.15">
      <c r="W389" s="12">
        <f t="shared" ref="W389:W452" si="12">W388+1</f>
        <v>386</v>
      </c>
      <c r="X389" s="62">
        <f t="array" aca="1" ref="X389:AA389" ca="1">simulate!AE389:AH389</f>
        <v>-0.37006270412995945</v>
      </c>
      <c r="Y389" s="62">
        <f ca="1"/>
        <v>-0.58382956248669227</v>
      </c>
      <c r="Z389" s="62">
        <f ca="1"/>
        <v>2.3326193094350436</v>
      </c>
      <c r="AA389" s="62">
        <f ca="1"/>
        <v>0.65381538874482059</v>
      </c>
      <c r="AB389" s="98">
        <f t="shared" ref="AB389:AB452" si="13">($W389&lt;=$D$51) * 1</f>
        <v>0</v>
      </c>
      <c r="AC389" s="62">
        <f t="array" aca="1" ref="AC389:AF389" ca="1">TRANSPOSE($G$44:$G$47 + MMULT($I$44:$L$47,TRANSPOSE(AR388:AU388)))</f>
        <v>0.80185218503244005</v>
      </c>
      <c r="AD389" s="62">
        <f ca="1"/>
        <v>0.58585351247217909</v>
      </c>
      <c r="AE389" s="62">
        <f ca="1"/>
        <v>0.54863211396988765</v>
      </c>
      <c r="AF389" s="62">
        <f ca="1"/>
        <v>0.76932581015704216</v>
      </c>
      <c r="AG389" s="66" t="str">
        <f t="array" ref="AG389">IF($AB389, Push(MMULT($I$44:$L$47,MMULT(Fetch(AV388),TRANSPOSE($I$44:$L$47))) + $N$44:$Q$47), "")</f>
        <v/>
      </c>
      <c r="AH389" s="62">
        <f t="array" aca="1" ref="AH389:AK389" ca="1">TRANSPOSE($G$38:$G$41 + MMULT($I$38:$L$41,TRANSPOSE(AC389:AF389)))</f>
        <v>0.93591967027249856</v>
      </c>
      <c r="AI389" s="62">
        <f ca="1"/>
        <v>0.85630577549775777</v>
      </c>
      <c r="AJ389" s="62">
        <f ca="1"/>
        <v>0.81020682757981022</v>
      </c>
      <c r="AK389" s="62">
        <f ca="1"/>
        <v>0.66549004682352741</v>
      </c>
      <c r="AL389" s="66" t="str">
        <f t="array" ref="AL389">IF($AB389, Push(MINVERSE(MMULT($I$38:$L$41,MMULT(Fetch(AG389),TRANSPOSE($I$38:$L$41))) + $N$38:$Q$41)), "")</f>
        <v/>
      </c>
      <c r="AM389" s="62">
        <f t="array" aca="1" ref="AM389:AP389" ca="1">X389:AA389 - AH389:AK389</f>
        <v>-1.3059823744024581</v>
      </c>
      <c r="AN389" s="62">
        <f ca="1"/>
        <v>-1.4401353379844499</v>
      </c>
      <c r="AO389" s="62">
        <f ca="1"/>
        <v>1.5224124818552334</v>
      </c>
      <c r="AP389" s="62">
        <f ca="1"/>
        <v>-1.1674658078706823E-2</v>
      </c>
      <c r="AQ389" s="66" t="str">
        <f t="array" ref="AQ389">IF($AB389, Push(MMULT(Fetch(AG389),MMULT(TRANSPOSE($I$38:$L$41),Fetch(AL389)))), "")</f>
        <v/>
      </c>
      <c r="AR389" s="62">
        <f t="array" aca="1" ref="AR389:AU389" ca="1">AC389:AF389 + TRANSPOSE(MMULT(IF($AB389,Fetch(AQ389),$L$61:$O$64),TRANSPOSE(AM389:AP389)))</f>
        <v>0.36610813177732904</v>
      </c>
      <c r="AS389" s="62">
        <f ca="1"/>
        <v>-0.32938473724035688</v>
      </c>
      <c r="AT389" s="62">
        <f ca="1"/>
        <v>0.50544786607517411</v>
      </c>
      <c r="AU389" s="62">
        <f ca="1"/>
        <v>1.370675582074165</v>
      </c>
      <c r="AV389" s="66" t="str">
        <f t="array" ref="AV389">IF($AB389, Push(Fetch(AG389) - MMULT(Fetch(AQ389),MMULT($I$38:$L$41,Fetch(AG389)))), "")</f>
        <v/>
      </c>
      <c r="AW389" s="97">
        <f t="array" aca="1" ref="AW389" ca="1">IF($AB389,LN(MDETERM(Fetch(AL389))),$J$65)   -   MMULT(AM389:AP389,MMULT(IF($AB389,Fetch(AL389),$G$61:$J$64),TRANSPOSE(AM389:AP389)))</f>
        <v>-16.273661210061483</v>
      </c>
    </row>
    <row r="390" spans="23:49" x14ac:dyDescent="0.15">
      <c r="W390" s="12">
        <f t="shared" si="12"/>
        <v>387</v>
      </c>
      <c r="X390" s="62">
        <f t="array" aca="1" ref="X390:AA390" ca="1">simulate!AE390:AH390</f>
        <v>0.82205892809121739</v>
      </c>
      <c r="Y390" s="62">
        <f ca="1"/>
        <v>0.35260260788817366</v>
      </c>
      <c r="Z390" s="62">
        <f ca="1"/>
        <v>0.99838327611852984</v>
      </c>
      <c r="AA390" s="62">
        <f ca="1"/>
        <v>0.5851071778453224</v>
      </c>
      <c r="AB390" s="98">
        <f t="shared" si="13"/>
        <v>0</v>
      </c>
      <c r="AC390" s="62">
        <f t="array" aca="1" ref="AC390:AF390" ca="1">TRANSPOSE($G$44:$G$47 + MMULT($I$44:$L$47,TRANSPOSE(AR389:AU389)))</f>
        <v>0.52483444977821558</v>
      </c>
      <c r="AD390" s="62">
        <f ca="1"/>
        <v>0.10578036902731208</v>
      </c>
      <c r="AE390" s="62">
        <f ca="1"/>
        <v>0.55063575268095866</v>
      </c>
      <c r="AF390" s="62">
        <f ca="1"/>
        <v>1.0132077798607597</v>
      </c>
      <c r="AG390" s="66" t="str">
        <f t="array" ref="AG390">IF($AB390, Push(MMULT($I$44:$L$47,MMULT(Fetch(AV389),TRANSPOSE($I$44:$L$47))) + $N$44:$Q$47), "")</f>
        <v/>
      </c>
      <c r="AH390" s="62">
        <f t="array" aca="1" ref="AH390:AK390" ca="1">TRANSPOSE($G$38:$G$41 + MMULT($I$38:$L$41,TRANSPOSE(AC390:AF390)))</f>
        <v>0.69512410193336538</v>
      </c>
      <c r="AI390" s="62">
        <f ca="1"/>
        <v>0.38294572377802794</v>
      </c>
      <c r="AJ390" s="62">
        <f ca="1"/>
        <v>1.0889739539300869</v>
      </c>
      <c r="AK390" s="62">
        <f ca="1"/>
        <v>0.74872539621067391</v>
      </c>
      <c r="AL390" s="66" t="str">
        <f t="array" ref="AL390">IF($AB390, Push(MINVERSE(MMULT($I$38:$L$41,MMULT(Fetch(AG390),TRANSPOSE($I$38:$L$41))) + $N$38:$Q$41)), "")</f>
        <v/>
      </c>
      <c r="AM390" s="62">
        <f t="array" aca="1" ref="AM390:AP390" ca="1">X390:AA390 - AH390:AK390</f>
        <v>0.12693482615785201</v>
      </c>
      <c r="AN390" s="62">
        <f ca="1"/>
        <v>-3.0343115889854277E-2</v>
      </c>
      <c r="AO390" s="62">
        <f ca="1"/>
        <v>-9.0590677811557052E-2</v>
      </c>
      <c r="AP390" s="62">
        <f ca="1"/>
        <v>-0.16361821836535151</v>
      </c>
      <c r="AQ390" s="66" t="str">
        <f t="array" ref="AQ390">IF($AB390, Push(MMULT(Fetch(AG390),MMULT(TRANSPOSE($I$38:$L$41),Fetch(AL390)))), "")</f>
        <v/>
      </c>
      <c r="AR390" s="62">
        <f t="array" aca="1" ref="AR390:AU390" ca="1">AC390:AF390 + TRANSPOSE(MMULT(IF($AB390,Fetch(AQ390),$L$61:$O$64),TRANSPOSE(AM390:AP390)))</f>
        <v>0.59185188253179666</v>
      </c>
      <c r="AS390" s="62">
        <f ca="1"/>
        <v>5.2848108163327343E-2</v>
      </c>
      <c r="AT390" s="62">
        <f ca="1"/>
        <v>0.47744953124967809</v>
      </c>
      <c r="AU390" s="62">
        <f ca="1"/>
        <v>0.91943128037913757</v>
      </c>
      <c r="AV390" s="66" t="str">
        <f t="array" ref="AV390">IF($AB390, Push(Fetch(AG390) - MMULT(Fetch(AQ390),MMULT($I$38:$L$41,Fetch(AG390)))), "")</f>
        <v/>
      </c>
      <c r="AW390" s="97">
        <f t="array" aca="1" ref="AW390" ca="1">IF($AB390,LN(MDETERM(Fetch(AL390))),$J$65)   -   MMULT(AM390:AP390,MMULT(IF($AB390,Fetch(AL390),$G$61:$J$64),TRANSPOSE(AM390:AP390)))</f>
        <v>6.5550630563199066</v>
      </c>
    </row>
    <row r="391" spans="23:49" x14ac:dyDescent="0.15">
      <c r="W391" s="12">
        <f t="shared" si="12"/>
        <v>388</v>
      </c>
      <c r="X391" s="62">
        <f t="array" aca="1" ref="X391:AA391" ca="1">simulate!AE391:AH391</f>
        <v>0.82703734388099692</v>
      </c>
      <c r="Y391" s="62">
        <f ca="1"/>
        <v>0.76709848194246577</v>
      </c>
      <c r="Z391" s="62">
        <f ca="1"/>
        <v>6.3845040834322103E-2</v>
      </c>
      <c r="AA391" s="62">
        <f ca="1"/>
        <v>0.49416298670994463</v>
      </c>
      <c r="AB391" s="98">
        <f t="shared" si="13"/>
        <v>0</v>
      </c>
      <c r="AC391" s="62">
        <f t="array" aca="1" ref="AC391:AF391" ca="1">TRANSPOSE($G$44:$G$47 + MMULT($I$44:$L$47,TRANSPOSE(AR390:AU390)))</f>
        <v>0.67964220777472284</v>
      </c>
      <c r="AD391" s="62">
        <f ca="1"/>
        <v>0.3126016343792315</v>
      </c>
      <c r="AE391" s="62">
        <f ca="1"/>
        <v>0.54686283187382978</v>
      </c>
      <c r="AF391" s="62">
        <f ca="1"/>
        <v>0.80301331268163456</v>
      </c>
      <c r="AG391" s="66" t="str">
        <f t="array" ref="AG391">IF($AB391, Push(MMULT($I$44:$L$47,MMULT(Fetch(AV390),TRANSPOSE($I$44:$L$47))) + $N$44:$Q$47), "")</f>
        <v/>
      </c>
      <c r="AH391" s="62">
        <f t="array" aca="1" ref="AH391:AK391" ca="1">TRANSPOSE($G$38:$G$41 + MMULT($I$38:$L$41,TRANSPOSE(AC391:AF391)))</f>
        <v>0.85228487876957715</v>
      </c>
      <c r="AI391" s="62">
        <f ca="1"/>
        <v>0.58007729198953673</v>
      </c>
      <c r="AJ391" s="62">
        <f ca="1"/>
        <v>0.89505428245638141</v>
      </c>
      <c r="AK391" s="62">
        <f ca="1"/>
        <v>0.64987590073372736</v>
      </c>
      <c r="AL391" s="66" t="str">
        <f t="array" ref="AL391">IF($AB391, Push(MINVERSE(MMULT($I$38:$L$41,MMULT(Fetch(AG391),TRANSPOSE($I$38:$L$41))) + $N$38:$Q$41)), "")</f>
        <v/>
      </c>
      <c r="AM391" s="62">
        <f t="array" aca="1" ref="AM391:AP391" ca="1">X391:AA391 - AH391:AK391</f>
        <v>-2.5247534888580225E-2</v>
      </c>
      <c r="AN391" s="62">
        <f ca="1"/>
        <v>0.18702118995292905</v>
      </c>
      <c r="AO391" s="62">
        <f ca="1"/>
        <v>-0.83120924162205934</v>
      </c>
      <c r="AP391" s="62">
        <f ca="1"/>
        <v>-0.15571291402378273</v>
      </c>
      <c r="AQ391" s="66" t="str">
        <f t="array" ref="AQ391">IF($AB391, Push(MMULT(Fetch(AG391),MMULT(TRANSPOSE($I$38:$L$41),Fetch(AL391)))), "")</f>
        <v/>
      </c>
      <c r="AR391" s="62">
        <f t="array" aca="1" ref="AR391:AU391" ca="1">AC391:AF391 + TRANSPOSE(MMULT(IF($AB391,Fetch(AQ391),$L$61:$O$64),TRANSPOSE(AM391:AP391)))</f>
        <v>0.52390504108887448</v>
      </c>
      <c r="AS391" s="62">
        <f ca="1"/>
        <v>0.56706913565742911</v>
      </c>
      <c r="AT391" s="62">
        <f ca="1"/>
        <v>0.27125767883345847</v>
      </c>
      <c r="AU391" s="62">
        <f ca="1"/>
        <v>0.41121777100772322</v>
      </c>
      <c r="AV391" s="66" t="str">
        <f t="array" ref="AV391">IF($AB391, Push(Fetch(AG391) - MMULT(Fetch(AQ391),MMULT($I$38:$L$41,Fetch(AG391)))), "")</f>
        <v/>
      </c>
      <c r="AW391" s="97">
        <f t="array" aca="1" ref="AW391" ca="1">IF($AB391,LN(MDETERM(Fetch(AL391))),$J$65)   -   MMULT(AM391:AP391,MMULT(IF($AB391,Fetch(AL391),$G$61:$J$64),TRANSPOSE(AM391:AP391)))</f>
        <v>3.8495479213890706</v>
      </c>
    </row>
    <row r="392" spans="23:49" x14ac:dyDescent="0.15">
      <c r="W392" s="12">
        <f t="shared" si="12"/>
        <v>389</v>
      </c>
      <c r="X392" s="62">
        <f t="array" aca="1" ref="X392:AA392" ca="1">simulate!AE392:AH392</f>
        <v>0.96795712373613219</v>
      </c>
      <c r="Y392" s="62">
        <f ca="1"/>
        <v>2.5005933313709985</v>
      </c>
      <c r="Z392" s="62">
        <f ca="1"/>
        <v>5.2131075304294672E-2</v>
      </c>
      <c r="AA392" s="62">
        <f ca="1"/>
        <v>0.71717947887097333</v>
      </c>
      <c r="AB392" s="98">
        <f t="shared" si="13"/>
        <v>0</v>
      </c>
      <c r="AC392" s="62">
        <f t="array" aca="1" ref="AC392:AF392" ca="1">TRANSPOSE($G$44:$G$47 + MMULT($I$44:$L$47,TRANSPOSE(AR391:AU391)))</f>
        <v>0.67994603066365922</v>
      </c>
      <c r="AD392" s="62">
        <f ca="1"/>
        <v>0.51259651926392413</v>
      </c>
      <c r="AE392" s="62">
        <f ca="1"/>
        <v>0.43894474032440189</v>
      </c>
      <c r="AF392" s="62">
        <f ca="1"/>
        <v>0.52840169059510211</v>
      </c>
      <c r="AG392" s="66" t="str">
        <f t="array" ref="AG392">IF($AB392, Push(MMULT($I$44:$L$47,MMULT(Fetch(AV391),TRANSPOSE($I$44:$L$47))) + $N$44:$Q$47), "")</f>
        <v/>
      </c>
      <c r="AH392" s="62">
        <f t="array" aca="1" ref="AH392:AK392" ca="1">TRANSPOSE($G$38:$G$41 + MMULT($I$38:$L$41,TRANSPOSE(AC392:AF392)))</f>
        <v>0.85136339503504632</v>
      </c>
      <c r="AI392" s="62">
        <f ca="1"/>
        <v>0.72805318107740158</v>
      </c>
      <c r="AJ392" s="62">
        <f ca="1"/>
        <v>0.59988085398582336</v>
      </c>
      <c r="AK392" s="62">
        <f ca="1"/>
        <v>0.51559694483081486</v>
      </c>
      <c r="AL392" s="66" t="str">
        <f t="array" ref="AL392">IF($AB392, Push(MINVERSE(MMULT($I$38:$L$41,MMULT(Fetch(AG392),TRANSPOSE($I$38:$L$41))) + $N$38:$Q$41)), "")</f>
        <v/>
      </c>
      <c r="AM392" s="62">
        <f t="array" aca="1" ref="AM392:AP392" ca="1">X392:AA392 - AH392:AK392</f>
        <v>0.11659372870108586</v>
      </c>
      <c r="AN392" s="62">
        <f ca="1"/>
        <v>1.7725401502935969</v>
      </c>
      <c r="AO392" s="62">
        <f ca="1"/>
        <v>-0.54774977868152863</v>
      </c>
      <c r="AP392" s="62">
        <f ca="1"/>
        <v>0.20158253404015847</v>
      </c>
      <c r="AQ392" s="66" t="str">
        <f t="array" ref="AQ392">IF($AB392, Push(MMULT(Fetch(AG392),MMULT(TRANSPOSE($I$38:$L$41),Fetch(AL392)))), "")</f>
        <v/>
      </c>
      <c r="AR392" s="62">
        <f t="array" aca="1" ref="AR392:AU392" ca="1">AC392:AF392 + TRANSPOSE(MMULT(IF($AB392,Fetch(AQ392),$L$61:$O$64),TRANSPOSE(AM392:AP392)))</f>
        <v>0.82821833039793158</v>
      </c>
      <c r="AS392" s="62">
        <f ca="1"/>
        <v>1.6582368769520797</v>
      </c>
      <c r="AT392" s="62">
        <f ca="1"/>
        <v>0.2983240093276327</v>
      </c>
      <c r="AU392" s="62">
        <f ca="1"/>
        <v>0.38843655577014335</v>
      </c>
      <c r="AV392" s="66" t="str">
        <f t="array" ref="AV392">IF($AB392, Push(Fetch(AG392) - MMULT(Fetch(AQ392),MMULT($I$38:$L$41,Fetch(AG392)))), "")</f>
        <v/>
      </c>
      <c r="AW392" s="97">
        <f t="array" aca="1" ref="AW392" ca="1">IF($AB392,LN(MDETERM(Fetch(AL392))),$J$65)   -   MMULT(AM392:AP392,MMULT(IF($AB392,Fetch(AL392),$G$61:$J$64),TRANSPOSE(AM392:AP392)))</f>
        <v>-11.225306114086477</v>
      </c>
    </row>
    <row r="393" spans="23:49" x14ac:dyDescent="0.15">
      <c r="W393" s="12">
        <f t="shared" si="12"/>
        <v>390</v>
      </c>
      <c r="X393" s="62">
        <f t="array" aca="1" ref="X393:AA393" ca="1">simulate!AE393:AH393</f>
        <v>1.5306266852289001</v>
      </c>
      <c r="Y393" s="62">
        <f ca="1"/>
        <v>-0.35714936608774639</v>
      </c>
      <c r="Z393" s="62">
        <f ca="1"/>
        <v>1.3077177652602794</v>
      </c>
      <c r="AA393" s="62">
        <f ca="1"/>
        <v>0.64435550224736571</v>
      </c>
      <c r="AB393" s="98">
        <f t="shared" si="13"/>
        <v>0</v>
      </c>
      <c r="AC393" s="62">
        <f t="array" aca="1" ref="AC393:AF393" ca="1">TRANSPOSE($G$44:$G$47 + MMULT($I$44:$L$47,TRANSPOSE(AR392:AU392)))</f>
        <v>1.0066131153011351</v>
      </c>
      <c r="AD393" s="62">
        <f ca="1"/>
        <v>1.1537007976831872</v>
      </c>
      <c r="AE393" s="62">
        <f ca="1"/>
        <v>0.64901494238533797</v>
      </c>
      <c r="AF393" s="62">
        <f ca="1"/>
        <v>0.61278987984114819</v>
      </c>
      <c r="AG393" s="66" t="str">
        <f t="array" ref="AG393">IF($AB393, Push(MMULT($I$44:$L$47,MMULT(Fetch(AV392),TRANSPOSE($I$44:$L$47))) + $N$44:$Q$47), "")</f>
        <v/>
      </c>
      <c r="AH393" s="62">
        <f t="array" aca="1" ref="AH393:AK393" ca="1">TRANSPOSE($G$38:$G$41 + MMULT($I$38:$L$41,TRANSPOSE(AC393:AF393)))</f>
        <v>1.1606377230253044</v>
      </c>
      <c r="AI393" s="62">
        <f ca="1"/>
        <v>1.3704141276391619</v>
      </c>
      <c r="AJ393" s="62">
        <f ca="1"/>
        <v>0.53359408489814297</v>
      </c>
      <c r="AK393" s="62">
        <f ca="1"/>
        <v>0.75288328007485195</v>
      </c>
      <c r="AL393" s="66" t="str">
        <f t="array" ref="AL393">IF($AB393, Push(MINVERSE(MMULT($I$38:$L$41,MMULT(Fetch(AG393),TRANSPOSE($I$38:$L$41))) + $N$38:$Q$41)), "")</f>
        <v/>
      </c>
      <c r="AM393" s="62">
        <f t="array" aca="1" ref="AM393:AP393" ca="1">X393:AA393 - AH393:AK393</f>
        <v>0.36998896220359567</v>
      </c>
      <c r="AN393" s="62">
        <f ca="1"/>
        <v>-1.7275634937269082</v>
      </c>
      <c r="AO393" s="62">
        <f ca="1"/>
        <v>0.77412368036213641</v>
      </c>
      <c r="AP393" s="62">
        <f ca="1"/>
        <v>-0.10852777782748624</v>
      </c>
      <c r="AQ393" s="66" t="str">
        <f t="array" ref="AQ393">IF($AB393, Push(MMULT(Fetch(AG393),MMULT(TRANSPOSE($I$38:$L$41),Fetch(AL393)))), "")</f>
        <v/>
      </c>
      <c r="AR393" s="62">
        <f t="array" aca="1" ref="AR393:AU393" ca="1">AC393:AF393 + TRANSPOSE(MMULT(IF($AB393,Fetch(AQ393),$L$61:$O$64),TRANSPOSE(AM393:AP393)))</f>
        <v>1.1227973906850526</v>
      </c>
      <c r="AS393" s="62">
        <f ca="1"/>
        <v>-8.0152101576582702E-2</v>
      </c>
      <c r="AT393" s="62">
        <f ca="1"/>
        <v>1.0600395182498175</v>
      </c>
      <c r="AU393" s="62">
        <f ca="1"/>
        <v>0.87955897186367504</v>
      </c>
      <c r="AV393" s="66" t="str">
        <f t="array" ref="AV393">IF($AB393, Push(Fetch(AG393) - MMULT(Fetch(AQ393),MMULT($I$38:$L$41,Fetch(AG393)))), "")</f>
        <v/>
      </c>
      <c r="AW393" s="97">
        <f t="array" aca="1" ref="AW393" ca="1">IF($AB393,LN(MDETERM(Fetch(AL393))),$J$65)   -   MMULT(AM393:AP393,MMULT(IF($AB393,Fetch(AL393),$G$61:$J$64),TRANSPOSE(AM393:AP393)))</f>
        <v>-14.436361922816582</v>
      </c>
    </row>
    <row r="394" spans="23:49" x14ac:dyDescent="0.15">
      <c r="W394" s="12">
        <f t="shared" si="12"/>
        <v>391</v>
      </c>
      <c r="X394" s="62">
        <f t="array" aca="1" ref="X394:AA394" ca="1">simulate!AE394:AH394</f>
        <v>0.40299210299199117</v>
      </c>
      <c r="Y394" s="62">
        <f ca="1"/>
        <v>0.16473073763471324</v>
      </c>
      <c r="Z394" s="62">
        <f ca="1"/>
        <v>0.35419001026455149</v>
      </c>
      <c r="AA394" s="62">
        <f ca="1"/>
        <v>0.26474903065402866</v>
      </c>
      <c r="AB394" s="98">
        <f t="shared" si="13"/>
        <v>0</v>
      </c>
      <c r="AC394" s="62">
        <f t="array" aca="1" ref="AC394:AF394" ca="1">TRANSPOSE($G$44:$G$47 + MMULT($I$44:$L$47,TRANSPOSE(AR393:AU393)))</f>
        <v>0.98626439882745509</v>
      </c>
      <c r="AD394" s="62">
        <f ca="1"/>
        <v>0.41035567224538683</v>
      </c>
      <c r="AE394" s="62">
        <f ca="1"/>
        <v>0.87180498736927647</v>
      </c>
      <c r="AF394" s="62">
        <f ca="1"/>
        <v>0.89211588447471546</v>
      </c>
      <c r="AG394" s="66" t="str">
        <f t="array" ref="AG394">IF($AB394, Push(MMULT($I$44:$L$47,MMULT(Fetch(AV393),TRANSPOSE($I$44:$L$47))) + $N$44:$Q$47), "")</f>
        <v/>
      </c>
      <c r="AH394" s="62">
        <f t="array" aca="1" ref="AH394:AK394" ca="1">TRANSPOSE($G$38:$G$41 + MMULT($I$38:$L$41,TRANSPOSE(AC394:AF394)))</f>
        <v>1.2477706170068164</v>
      </c>
      <c r="AI394" s="62">
        <f ca="1"/>
        <v>0.71316479910774944</v>
      </c>
      <c r="AJ394" s="62">
        <f ca="1"/>
        <v>1.0206578717671027</v>
      </c>
      <c r="AK394" s="62">
        <f ca="1"/>
        <v>0.81480672664432841</v>
      </c>
      <c r="AL394" s="66" t="str">
        <f t="array" ref="AL394">IF($AB394, Push(MINVERSE(MMULT($I$38:$L$41,MMULT(Fetch(AG394),TRANSPOSE($I$38:$L$41))) + $N$38:$Q$41)), "")</f>
        <v/>
      </c>
      <c r="AM394" s="62">
        <f t="array" aca="1" ref="AM394:AP394" ca="1">X394:AA394 - AH394:AK394</f>
        <v>-0.84477851401482518</v>
      </c>
      <c r="AN394" s="62">
        <f ca="1"/>
        <v>-0.54843406147303619</v>
      </c>
      <c r="AO394" s="62">
        <f ca="1"/>
        <v>-0.66646786150255122</v>
      </c>
      <c r="AP394" s="62">
        <f ca="1"/>
        <v>-0.55005769599029974</v>
      </c>
      <c r="AQ394" s="66" t="str">
        <f t="array" ref="AQ394">IF($AB394, Push(MMULT(Fetch(AG394),MMULT(TRANSPOSE($I$38:$L$41),Fetch(AL394)))), "")</f>
        <v/>
      </c>
      <c r="AR394" s="62">
        <f t="array" aca="1" ref="AR394:AU394" ca="1">AC394:AF394 + TRANSPOSE(MMULT(IF($AB394,Fetch(AQ394),$L$61:$O$64),TRANSPOSE(AM394:AP394)))</f>
        <v>0.47198995563762836</v>
      </c>
      <c r="AS394" s="62">
        <f ca="1"/>
        <v>0.27542547084179325</v>
      </c>
      <c r="AT394" s="62">
        <f ca="1"/>
        <v>0.15951701653993799</v>
      </c>
      <c r="AU394" s="62">
        <f ca="1"/>
        <v>0.42164078408038713</v>
      </c>
      <c r="AV394" s="66" t="str">
        <f t="array" ref="AV394">IF($AB394, Push(Fetch(AG394) - MMULT(Fetch(AQ394),MMULT($I$38:$L$41,Fetch(AG394)))), "")</f>
        <v/>
      </c>
      <c r="AW394" s="97">
        <f t="array" aca="1" ref="AW394" ca="1">IF($AB394,LN(MDETERM(Fetch(AL394))),$J$65)   -   MMULT(AM394:AP394,MMULT(IF($AB394,Fetch(AL394),$G$61:$J$64),TRANSPOSE(AM394:AP394)))</f>
        <v>-0.68679213331564881</v>
      </c>
    </row>
    <row r="395" spans="23:49" x14ac:dyDescent="0.15">
      <c r="W395" s="12">
        <f t="shared" si="12"/>
        <v>392</v>
      </c>
      <c r="X395" s="62">
        <f t="array" aca="1" ref="X395:AA395" ca="1">simulate!AE395:AH395</f>
        <v>1.3080473575760565</v>
      </c>
      <c r="Y395" s="62">
        <f ca="1"/>
        <v>-0.14242217804208784</v>
      </c>
      <c r="Z395" s="62">
        <f ca="1"/>
        <v>1.5682689637052349</v>
      </c>
      <c r="AA395" s="62">
        <f ca="1"/>
        <v>1.2933470275928256</v>
      </c>
      <c r="AB395" s="98">
        <f t="shared" si="13"/>
        <v>0</v>
      </c>
      <c r="AC395" s="62">
        <f t="array" aca="1" ref="AC395:AF395" ca="1">TRANSPOSE($G$44:$G$47 + MMULT($I$44:$L$47,TRANSPOSE(AR394:AU394)))</f>
        <v>0.60129407763441922</v>
      </c>
      <c r="AD395" s="62">
        <f ca="1"/>
        <v>0.33086353542215929</v>
      </c>
      <c r="AE395" s="62">
        <f ca="1"/>
        <v>0.32909226656261692</v>
      </c>
      <c r="AF395" s="62">
        <f ca="1"/>
        <v>0.49263364558961464</v>
      </c>
      <c r="AG395" s="66" t="str">
        <f t="array" ref="AG395">IF($AB395, Push(MMULT($I$44:$L$47,MMULT(Fetch(AV394),TRANSPOSE($I$44:$L$47))) + $N$44:$Q$47), "")</f>
        <v/>
      </c>
      <c r="AH395" s="62">
        <f t="array" aca="1" ref="AH395:AK395" ca="1">TRANSPOSE($G$38:$G$41 + MMULT($I$38:$L$41,TRANSPOSE(AC395:AF395)))</f>
        <v>0.74504859802830237</v>
      </c>
      <c r="AI395" s="62">
        <f ca="1"/>
        <v>0.56165123834265285</v>
      </c>
      <c r="AJ395" s="62">
        <f ca="1"/>
        <v>0.61884819621425302</v>
      </c>
      <c r="AK395" s="62">
        <f ca="1"/>
        <v>0.40067208465361726</v>
      </c>
      <c r="AL395" s="66" t="str">
        <f t="array" ref="AL395">IF($AB395, Push(MINVERSE(MMULT($I$38:$L$41,MMULT(Fetch(AG395),TRANSPOSE($I$38:$L$41))) + $N$38:$Q$41)), "")</f>
        <v/>
      </c>
      <c r="AM395" s="62">
        <f t="array" aca="1" ref="AM395:AP395" ca="1">X395:AA395 - AH395:AK395</f>
        <v>0.56299875954775414</v>
      </c>
      <c r="AN395" s="62">
        <f ca="1"/>
        <v>-0.70407341638474064</v>
      </c>
      <c r="AO395" s="62">
        <f ca="1"/>
        <v>0.94942076749098192</v>
      </c>
      <c r="AP395" s="62">
        <f ca="1"/>
        <v>0.89267494293920835</v>
      </c>
      <c r="AQ395" s="66" t="str">
        <f t="array" ref="AQ395">IF($AB395, Push(MMULT(Fetch(AG395),MMULT(TRANSPOSE($I$38:$L$41),Fetch(AL395)))), "")</f>
        <v/>
      </c>
      <c r="AR395" s="62">
        <f t="array" aca="1" ref="AR395:AU395" ca="1">AC395:AF395 + TRANSPOSE(MMULT(IF($AB395,Fetch(AQ395),$L$61:$O$64),TRANSPOSE(AM395:AP395)))</f>
        <v>0.78507969057836924</v>
      </c>
      <c r="AS395" s="62">
        <f ca="1"/>
        <v>-0.19084514473546421</v>
      </c>
      <c r="AT395" s="62">
        <f ca="1"/>
        <v>1.3703225200670275</v>
      </c>
      <c r="AU395" s="62">
        <f ca="1"/>
        <v>1.1882038713846144</v>
      </c>
      <c r="AV395" s="66" t="str">
        <f t="array" ref="AV395">IF($AB395, Push(Fetch(AG395) - MMULT(Fetch(AQ395),MMULT($I$38:$L$41,Fetch(AG395)))), "")</f>
        <v/>
      </c>
      <c r="AW395" s="97">
        <f t="array" aca="1" ref="AW395" ca="1">IF($AB395,LN(MDETERM(Fetch(AL395))),$J$65)   -   MMULT(AM395:AP395,MMULT(IF($AB395,Fetch(AL395),$G$61:$J$64),TRANSPOSE(AM395:AP395)))</f>
        <v>-2.5539837869638813</v>
      </c>
    </row>
    <row r="396" spans="23:49" x14ac:dyDescent="0.15">
      <c r="W396" s="12">
        <f t="shared" si="12"/>
        <v>393</v>
      </c>
      <c r="X396" s="62">
        <f t="array" aca="1" ref="X396:AA396" ca="1">simulate!AE396:AH396</f>
        <v>0.12575062549242477</v>
      </c>
      <c r="Y396" s="62">
        <f ca="1"/>
        <v>0.14291866071563389</v>
      </c>
      <c r="Z396" s="62">
        <f ca="1"/>
        <v>1.5184511439714905</v>
      </c>
      <c r="AA396" s="62">
        <f ca="1"/>
        <v>1.31889357176236</v>
      </c>
      <c r="AB396" s="98">
        <f t="shared" si="13"/>
        <v>0</v>
      </c>
      <c r="AC396" s="62">
        <f t="array" aca="1" ref="AC396:AF396" ca="1">TRANSPOSE($G$44:$G$47 + MMULT($I$44:$L$47,TRANSPOSE(AR395:AU395)))</f>
        <v>0.82440919725725781</v>
      </c>
      <c r="AD396" s="62">
        <f ca="1"/>
        <v>0.36363104804355129</v>
      </c>
      <c r="AE396" s="62">
        <f ca="1"/>
        <v>1.0430456696741608</v>
      </c>
      <c r="AF396" s="62">
        <f ca="1"/>
        <v>1.0850758827402145</v>
      </c>
      <c r="AG396" s="66" t="str">
        <f t="array" ref="AG396">IF($AB396, Push(MMULT($I$44:$L$47,MMULT(Fetch(AV395),TRANSPOSE($I$44:$L$47))) + $N$44:$Q$47), "")</f>
        <v/>
      </c>
      <c r="AH396" s="62">
        <f t="array" aca="1" ref="AH396:AK396" ca="1">TRANSPOSE($G$38:$G$41 + MMULT($I$38:$L$41,TRANSPOSE(AC396:AF396)))</f>
        <v>1.1884826942836666</v>
      </c>
      <c r="AI396" s="62">
        <f ca="1"/>
        <v>0.60673599125371536</v>
      </c>
      <c r="AJ396" s="62">
        <f ca="1"/>
        <v>1.1210683203259981</v>
      </c>
      <c r="AK396" s="62">
        <f ca="1"/>
        <v>1.0794060877303673</v>
      </c>
      <c r="AL396" s="66" t="str">
        <f t="array" ref="AL396">IF($AB396, Push(MINVERSE(MMULT($I$38:$L$41,MMULT(Fetch(AG396),TRANSPOSE($I$38:$L$41))) + $N$38:$Q$41)), "")</f>
        <v/>
      </c>
      <c r="AM396" s="62">
        <f t="array" aca="1" ref="AM396:AP396" ca="1">X396:AA396 - AH396:AK396</f>
        <v>-1.0627320687912418</v>
      </c>
      <c r="AN396" s="62">
        <f ca="1"/>
        <v>-0.4638173305380815</v>
      </c>
      <c r="AO396" s="62">
        <f ca="1"/>
        <v>0.39738282364549238</v>
      </c>
      <c r="AP396" s="62">
        <f ca="1"/>
        <v>0.23948748403199271</v>
      </c>
      <c r="AQ396" s="66" t="str">
        <f t="array" ref="AQ396">IF($AB396, Push(MMULT(Fetch(AG396),MMULT(TRANSPOSE($I$38:$L$41),Fetch(AL396)))), "")</f>
        <v/>
      </c>
      <c r="AR396" s="62">
        <f t="array" aca="1" ref="AR396:AU396" ca="1">AC396:AF396 + TRANSPOSE(MMULT(IF($AB396,Fetch(AQ396),$L$61:$O$64),TRANSPOSE(AM396:AP396)))</f>
        <v>0.31387135532178623</v>
      </c>
      <c r="AS396" s="62">
        <f ca="1"/>
        <v>0.24863881257513015</v>
      </c>
      <c r="AT396" s="62">
        <f ca="1"/>
        <v>0.94067650360025501</v>
      </c>
      <c r="AU396" s="62">
        <f ca="1"/>
        <v>1.3234615770891018</v>
      </c>
      <c r="AV396" s="66" t="str">
        <f t="array" ref="AV396">IF($AB396, Push(Fetch(AG396) - MMULT(Fetch(AQ396),MMULT($I$38:$L$41,Fetch(AG396)))), "")</f>
        <v/>
      </c>
      <c r="AW396" s="97">
        <f t="array" aca="1" ref="AW396" ca="1">IF($AB396,LN(MDETERM(Fetch(AL396))),$J$65)   -   MMULT(AM396:AP396,MMULT(IF($AB396,Fetch(AL396),$G$61:$J$64),TRANSPOSE(AM396:AP396)))</f>
        <v>-3.8629142185390641</v>
      </c>
    </row>
    <row r="397" spans="23:49" x14ac:dyDescent="0.15">
      <c r="W397" s="12">
        <f t="shared" si="12"/>
        <v>394</v>
      </c>
      <c r="X397" s="62">
        <f t="array" aca="1" ref="X397:AA397" ca="1">simulate!AE397:AH397</f>
        <v>-2.1241191236945206E-2</v>
      </c>
      <c r="Y397" s="62">
        <f ca="1"/>
        <v>1.0749875269575311</v>
      </c>
      <c r="Z397" s="62">
        <f ca="1"/>
        <v>1.0220824337054202</v>
      </c>
      <c r="AA397" s="62">
        <f ca="1"/>
        <v>0.63762614394169137</v>
      </c>
      <c r="AB397" s="98">
        <f t="shared" si="13"/>
        <v>0</v>
      </c>
      <c r="AC397" s="62">
        <f t="array" aca="1" ref="AC397:AF397" ca="1">TRANSPOSE($G$44:$G$47 + MMULT($I$44:$L$47,TRANSPOSE(AR396:AU396)))</f>
        <v>0.61087736338603871</v>
      </c>
      <c r="AD397" s="62">
        <f ca="1"/>
        <v>0.47052429657642109</v>
      </c>
      <c r="AE397" s="62">
        <f ca="1"/>
        <v>0.86883380597083393</v>
      </c>
      <c r="AF397" s="62">
        <f ca="1"/>
        <v>1.0970078287675473</v>
      </c>
      <c r="AG397" s="66" t="str">
        <f t="array" ref="AG397">IF($AB397, Push(MMULT($I$44:$L$47,MMULT(Fetch(AV396),TRANSPOSE($I$44:$L$47))) + $N$44:$Q$47), "")</f>
        <v/>
      </c>
      <c r="AH397" s="62">
        <f t="array" aca="1" ref="AH397:AK397" ca="1">TRANSPOSE($G$38:$G$41 + MMULT($I$38:$L$41,TRANSPOSE(AC397:AF397)))</f>
        <v>0.91585874126516487</v>
      </c>
      <c r="AI397" s="62">
        <f ca="1"/>
        <v>0.66773904293342179</v>
      </c>
      <c r="AJ397" s="62">
        <f ca="1"/>
        <v>1.024085218764754</v>
      </c>
      <c r="AK397" s="62">
        <f ca="1"/>
        <v>1.0873585330896181</v>
      </c>
      <c r="AL397" s="66" t="str">
        <f t="array" ref="AL397">IF($AB397, Push(MINVERSE(MMULT($I$38:$L$41,MMULT(Fetch(AG397),TRANSPOSE($I$38:$L$41))) + $N$38:$Q$41)), "")</f>
        <v/>
      </c>
      <c r="AM397" s="62">
        <f t="array" aca="1" ref="AM397:AP397" ca="1">X397:AA397 - AH397:AK397</f>
        <v>-0.9370999325021101</v>
      </c>
      <c r="AN397" s="62">
        <f ca="1"/>
        <v>0.40724848402410929</v>
      </c>
      <c r="AO397" s="62">
        <f ca="1"/>
        <v>-2.0027850593338226E-3</v>
      </c>
      <c r="AP397" s="62">
        <f ca="1"/>
        <v>-0.44973238914792668</v>
      </c>
      <c r="AQ397" s="66" t="str">
        <f t="array" ref="AQ397">IF($AB397, Push(MMULT(Fetch(AG397),MMULT(TRANSPOSE($I$38:$L$41),Fetch(AL397)))), "")</f>
        <v/>
      </c>
      <c r="AR397" s="62">
        <f t="array" aca="1" ref="AR397:AU397" ca="1">AC397:AF397 + TRANSPOSE(MMULT(IF($AB397,Fetch(AQ397),$L$61:$O$64),TRANSPOSE(AM397:AP397)))</f>
        <v>0.34852579932544914</v>
      </c>
      <c r="AS397" s="62">
        <f ca="1"/>
        <v>0.7774352075357801</v>
      </c>
      <c r="AT397" s="62">
        <f ca="1"/>
        <v>0.18094474800167937</v>
      </c>
      <c r="AU397" s="62">
        <f ca="1"/>
        <v>0.93862507708996179</v>
      </c>
      <c r="AV397" s="66" t="str">
        <f t="array" ref="AV397">IF($AB397, Push(Fetch(AG397) - MMULT(Fetch(AQ397),MMULT($I$38:$L$41,Fetch(AG397)))), "")</f>
        <v/>
      </c>
      <c r="AW397" s="97">
        <f t="array" aca="1" ref="AW397" ca="1">IF($AB397,LN(MDETERM(Fetch(AL397))),$J$65)   -   MMULT(AM397:AP397,MMULT(IF($AB397,Fetch(AL397),$G$61:$J$64),TRANSPOSE(AM397:AP397)))</f>
        <v>0.39814012921478881</v>
      </c>
    </row>
    <row r="398" spans="23:49" x14ac:dyDescent="0.15">
      <c r="W398" s="12">
        <f t="shared" si="12"/>
        <v>395</v>
      </c>
      <c r="X398" s="62">
        <f t="array" aca="1" ref="X398:AA398" ca="1">simulate!AE398:AH398</f>
        <v>1.1536351167706935</v>
      </c>
      <c r="Y398" s="62">
        <f ca="1"/>
        <v>0.6434809678546215</v>
      </c>
      <c r="Z398" s="62">
        <f ca="1"/>
        <v>-0.63382057183495677</v>
      </c>
      <c r="AA398" s="62">
        <f ca="1"/>
        <v>1.1560012163759752</v>
      </c>
      <c r="AB398" s="98">
        <f t="shared" si="13"/>
        <v>0</v>
      </c>
      <c r="AC398" s="62">
        <f t="array" aca="1" ref="AC398:AF398" ca="1">TRANSPOSE($G$44:$G$47 + MMULT($I$44:$L$47,TRANSPOSE(AR397:AU397)))</f>
        <v>0.63527654211628581</v>
      </c>
      <c r="AD398" s="62">
        <f ca="1"/>
        <v>0.6219126609288631</v>
      </c>
      <c r="AE398" s="62">
        <f ca="1"/>
        <v>0.48989149289293987</v>
      </c>
      <c r="AF398" s="62">
        <f ca="1"/>
        <v>0.80512454596869754</v>
      </c>
      <c r="AG398" s="66" t="str">
        <f t="array" ref="AG398">IF($AB398, Push(MMULT($I$44:$L$47,MMULT(Fetch(AV397),TRANSPOSE($I$44:$L$47))) + $N$44:$Q$47), "")</f>
        <v/>
      </c>
      <c r="AH398" s="62">
        <f t="array" aca="1" ref="AH398:AK398" ca="1">TRANSPOSE($G$38:$G$41 + MMULT($I$38:$L$41,TRANSPOSE(AC398:AF398)))</f>
        <v>0.76729740204924624</v>
      </c>
      <c r="AI398" s="62">
        <f ca="1"/>
        <v>0.84814431512187471</v>
      </c>
      <c r="AJ398" s="62">
        <f ca="1"/>
        <v>0.76747568912302011</v>
      </c>
      <c r="AK398" s="62">
        <f ca="1"/>
        <v>0.72425813408638429</v>
      </c>
      <c r="AL398" s="66" t="str">
        <f t="array" ref="AL398">IF($AB398, Push(MINVERSE(MMULT($I$38:$L$41,MMULT(Fetch(AG398),TRANSPOSE($I$38:$L$41))) + $N$38:$Q$41)), "")</f>
        <v/>
      </c>
      <c r="AM398" s="62">
        <f t="array" aca="1" ref="AM398:AP398" ca="1">X398:AA398 - AH398:AK398</f>
        <v>0.38633771472144729</v>
      </c>
      <c r="AN398" s="62">
        <f ca="1"/>
        <v>-0.20466334726725322</v>
      </c>
      <c r="AO398" s="62">
        <f ca="1"/>
        <v>-1.4012962609579769</v>
      </c>
      <c r="AP398" s="62">
        <f ca="1"/>
        <v>0.43174308228959091</v>
      </c>
      <c r="AQ398" s="66" t="str">
        <f t="array" ref="AQ398">IF($AB398, Push(MMULT(Fetch(AG398),MMULT(TRANSPOSE($I$38:$L$41),Fetch(AL398)))), "")</f>
        <v/>
      </c>
      <c r="AR398" s="62">
        <f t="array" aca="1" ref="AR398:AU398" ca="1">AC398:AF398 + TRANSPOSE(MMULT(IF($AB398,Fetch(AQ398),$L$61:$O$64),TRANSPOSE(AM398:AP398)))</f>
        <v>0.33070095717633102</v>
      </c>
      <c r="AS398" s="62">
        <f ca="1"/>
        <v>0.81730658294181557</v>
      </c>
      <c r="AT398" s="62">
        <f ca="1"/>
        <v>0.70366695496564324</v>
      </c>
      <c r="AU398" s="62">
        <f ca="1"/>
        <v>0.38490056544004447</v>
      </c>
      <c r="AV398" s="66" t="str">
        <f t="array" ref="AV398">IF($AB398, Push(Fetch(AG398) - MMULT(Fetch(AQ398),MMULT($I$38:$L$41,Fetch(AG398)))), "")</f>
        <v/>
      </c>
      <c r="AW398" s="97">
        <f t="array" aca="1" ref="AW398" ca="1">IF($AB398,LN(MDETERM(Fetch(AL398))),$J$65)   -   MMULT(AM398:AP398,MMULT(IF($AB398,Fetch(AL398),$G$61:$J$64),TRANSPOSE(AM398:AP398)))</f>
        <v>-7.4030352417659184</v>
      </c>
    </row>
    <row r="399" spans="23:49" x14ac:dyDescent="0.15">
      <c r="W399" s="12">
        <f t="shared" si="12"/>
        <v>396</v>
      </c>
      <c r="X399" s="62">
        <f t="array" aca="1" ref="X399:AA399" ca="1">simulate!AE399:AH399</f>
        <v>0.21310603550727561</v>
      </c>
      <c r="Y399" s="62">
        <f ca="1"/>
        <v>0.42523538761581164</v>
      </c>
      <c r="Z399" s="62">
        <f ca="1"/>
        <v>0.26639065781759519</v>
      </c>
      <c r="AA399" s="62">
        <f ca="1"/>
        <v>0.8125267379001927</v>
      </c>
      <c r="AB399" s="98">
        <f t="shared" si="13"/>
        <v>0</v>
      </c>
      <c r="AC399" s="62">
        <f t="array" aca="1" ref="AC399:AF399" ca="1">TRANSPOSE($G$44:$G$47 + MMULT($I$44:$L$47,TRANSPOSE(AR398:AU398)))</f>
        <v>0.64215011184639503</v>
      </c>
      <c r="AD399" s="62">
        <f ca="1"/>
        <v>0.67849431334715882</v>
      </c>
      <c r="AE399" s="62">
        <f ca="1"/>
        <v>0.69545885499041227</v>
      </c>
      <c r="AF399" s="62">
        <f ca="1"/>
        <v>0.59292253983414711</v>
      </c>
      <c r="AG399" s="66" t="str">
        <f t="array" ref="AG399">IF($AB399, Push(MMULT($I$44:$L$47,MMULT(Fetch(AV398),TRANSPOSE($I$44:$L$47))) + $N$44:$Q$47), "")</f>
        <v/>
      </c>
      <c r="AH399" s="62">
        <f t="array" aca="1" ref="AH399:AK399" ca="1">TRANSPOSE($G$38:$G$41 + MMULT($I$38:$L$41,TRANSPOSE(AC399:AF399)))</f>
        <v>0.96030974459552332</v>
      </c>
      <c r="AI399" s="62">
        <f ca="1"/>
        <v>0.80574713272252652</v>
      </c>
      <c r="AJ399" s="62">
        <f ca="1"/>
        <v>0.55228155193587902</v>
      </c>
      <c r="AK399" s="62">
        <f ca="1"/>
        <v>0.79620644183672074</v>
      </c>
      <c r="AL399" s="66" t="str">
        <f t="array" ref="AL399">IF($AB399, Push(MINVERSE(MMULT($I$38:$L$41,MMULT(Fetch(AG399),TRANSPOSE($I$38:$L$41))) + $N$38:$Q$41)), "")</f>
        <v/>
      </c>
      <c r="AM399" s="62">
        <f t="array" aca="1" ref="AM399:AP399" ca="1">X399:AA399 - AH399:AK399</f>
        <v>-0.74720370908824774</v>
      </c>
      <c r="AN399" s="62">
        <f ca="1"/>
        <v>-0.38051174510671487</v>
      </c>
      <c r="AO399" s="62">
        <f ca="1"/>
        <v>-0.28589089411828383</v>
      </c>
      <c r="AP399" s="62">
        <f ca="1"/>
        <v>1.6320296063471962E-2</v>
      </c>
      <c r="AQ399" s="66" t="str">
        <f t="array" ref="AQ399">IF($AB399, Push(MMULT(Fetch(AG399),MMULT(TRANSPOSE($I$38:$L$41),Fetch(AL399)))), "")</f>
        <v/>
      </c>
      <c r="AR399" s="62">
        <f t="array" aca="1" ref="AR399:AU399" ca="1">AC399:AF399 + TRANSPOSE(MMULT(IF($AB399,Fetch(AQ399),$L$61:$O$64),TRANSPOSE(AM399:AP399)))</f>
        <v>0.16699137350369081</v>
      </c>
      <c r="AS399" s="62">
        <f ca="1"/>
        <v>0.65495745340429545</v>
      </c>
      <c r="AT399" s="62">
        <f ca="1"/>
        <v>0.43474153170138957</v>
      </c>
      <c r="AU399" s="62">
        <f ca="1"/>
        <v>0.47675391480050211</v>
      </c>
      <c r="AV399" s="66" t="str">
        <f t="array" ref="AV399">IF($AB399, Push(Fetch(AG399) - MMULT(Fetch(AQ399),MMULT($I$38:$L$41,Fetch(AG399)))), "")</f>
        <v/>
      </c>
      <c r="AW399" s="97">
        <f t="array" aca="1" ref="AW399" ca="1">IF($AB399,LN(MDETERM(Fetch(AL399))),$J$65)   -   MMULT(AM399:AP399,MMULT(IF($AB399,Fetch(AL399),$G$61:$J$64),TRANSPOSE(AM399:AP399)))</f>
        <v>3.0374929405660325</v>
      </c>
    </row>
    <row r="400" spans="23:49" x14ac:dyDescent="0.15">
      <c r="W400" s="12">
        <f t="shared" si="12"/>
        <v>397</v>
      </c>
      <c r="X400" s="62">
        <f t="array" aca="1" ref="X400:AA400" ca="1">simulate!AE400:AH400</f>
        <v>1.5668081773353728</v>
      </c>
      <c r="Y400" s="62">
        <f ca="1"/>
        <v>0.46507623539899096</v>
      </c>
      <c r="Z400" s="62">
        <f ca="1"/>
        <v>0.57114736335519456</v>
      </c>
      <c r="AA400" s="62">
        <f ca="1"/>
        <v>1.0824689621140815</v>
      </c>
      <c r="AB400" s="98">
        <f t="shared" si="13"/>
        <v>0</v>
      </c>
      <c r="AC400" s="62">
        <f t="array" aca="1" ref="AC400:AF400" ca="1">TRANSPOSE($G$44:$G$47 + MMULT($I$44:$L$47,TRANSPOSE(AR399:AU399)))</f>
        <v>0.51497942958875975</v>
      </c>
      <c r="AD400" s="62">
        <f ca="1"/>
        <v>0.53097366721632455</v>
      </c>
      <c r="AE400" s="62">
        <f ca="1"/>
        <v>0.52580011563484852</v>
      </c>
      <c r="AF400" s="62">
        <f ca="1"/>
        <v>0.57944379865687989</v>
      </c>
      <c r="AG400" s="66" t="str">
        <f t="array" ref="AG400">IF($AB400, Push(MMULT($I$44:$L$47,MMULT(Fetch(AV399),TRANSPOSE($I$44:$L$47))) + $N$44:$Q$47), "")</f>
        <v/>
      </c>
      <c r="AH400" s="62">
        <f t="array" aca="1" ref="AH400:AK400" ca="1">TRANSPOSE($G$38:$G$41 + MMULT($I$38:$L$41,TRANSPOSE(AC400:AF400)))</f>
        <v>0.77309294933478112</v>
      </c>
      <c r="AI400" s="62">
        <f ca="1"/>
        <v>0.67086898100805237</v>
      </c>
      <c r="AJ400" s="62">
        <f ca="1"/>
        <v>0.56367607445344425</v>
      </c>
      <c r="AK400" s="62">
        <f ca="1"/>
        <v>0.67989475547995415</v>
      </c>
      <c r="AL400" s="66" t="str">
        <f t="array" ref="AL400">IF($AB400, Push(MINVERSE(MMULT($I$38:$L$41,MMULT(Fetch(AG400),TRANSPOSE($I$38:$L$41))) + $N$38:$Q$41)), "")</f>
        <v/>
      </c>
      <c r="AM400" s="62">
        <f t="array" aca="1" ref="AM400:AP400" ca="1">X400:AA400 - AH400:AK400</f>
        <v>0.79371522800059169</v>
      </c>
      <c r="AN400" s="62">
        <f ca="1"/>
        <v>-0.20579274560906141</v>
      </c>
      <c r="AO400" s="62">
        <f ca="1"/>
        <v>7.4712889017503059E-3</v>
      </c>
      <c r="AP400" s="62">
        <f ca="1"/>
        <v>0.40257420663412735</v>
      </c>
      <c r="AQ400" s="66" t="str">
        <f t="array" ref="AQ400">IF($AB400, Push(MMULT(Fetch(AG400),MMULT(TRANSPOSE($I$38:$L$41),Fetch(AL400)))), "")</f>
        <v/>
      </c>
      <c r="AR400" s="62">
        <f t="array" aca="1" ref="AR400:AU400" ca="1">AC400:AF400 + TRANSPOSE(MMULT(IF($AB400,Fetch(AQ400),$L$61:$O$64),TRANSPOSE(AM400:AP400)))</f>
        <v>0.75558725077105948</v>
      </c>
      <c r="AS400" s="62">
        <f ca="1"/>
        <v>0.35348182632263669</v>
      </c>
      <c r="AT400" s="62">
        <f ca="1"/>
        <v>1.1061508436470735</v>
      </c>
      <c r="AU400" s="62">
        <f ca="1"/>
        <v>0.72447873838197108</v>
      </c>
      <c r="AV400" s="66" t="str">
        <f t="array" ref="AV400">IF($AB400, Push(Fetch(AG400) - MMULT(Fetch(AQ400),MMULT($I$38:$L$41,Fetch(AG400)))), "")</f>
        <v/>
      </c>
      <c r="AW400" s="97">
        <f t="array" aca="1" ref="AW400" ca="1">IF($AB400,LN(MDETERM(Fetch(AL400))),$J$65)   -   MMULT(AM400:AP400,MMULT(IF($AB400,Fetch(AL400),$G$61:$J$64),TRANSPOSE(AM400:AP400)))</f>
        <v>3.2220234791952036</v>
      </c>
    </row>
    <row r="401" spans="23:49" x14ac:dyDescent="0.15">
      <c r="W401" s="12">
        <f t="shared" si="12"/>
        <v>398</v>
      </c>
      <c r="X401" s="62">
        <f t="array" aca="1" ref="X401:AA401" ca="1">simulate!AE401:AH401</f>
        <v>1.465557418566912</v>
      </c>
      <c r="Y401" s="62">
        <f ca="1"/>
        <v>-0.45861738186457551</v>
      </c>
      <c r="Z401" s="62">
        <f ca="1"/>
        <v>2.7944625446320233</v>
      </c>
      <c r="AA401" s="62">
        <f ca="1"/>
        <v>1.0736789762149412</v>
      </c>
      <c r="AB401" s="98">
        <f t="shared" si="13"/>
        <v>0</v>
      </c>
      <c r="AC401" s="62">
        <f t="array" aca="1" ref="AC401:AF401" ca="1">TRANSPOSE($G$44:$G$47 + MMULT($I$44:$L$47,TRANSPOSE(AR400:AU400)))</f>
        <v>0.84794738740133924</v>
      </c>
      <c r="AD401" s="62">
        <f ca="1"/>
        <v>0.58071517730016142</v>
      </c>
      <c r="AE401" s="62">
        <f ca="1"/>
        <v>0.91802334485000725</v>
      </c>
      <c r="AF401" s="62">
        <f ca="1"/>
        <v>0.8290687242814172</v>
      </c>
      <c r="AG401" s="66" t="str">
        <f t="array" ref="AG401">IF($AB401, Push(MMULT($I$44:$L$47,MMULT(Fetch(AV400),TRANSPOSE($I$44:$L$47))) + $N$44:$Q$47), "")</f>
        <v/>
      </c>
      <c r="AH401" s="62">
        <f t="array" aca="1" ref="AH401:AK401" ca="1">TRANSPOSE($G$38:$G$41 + MMULT($I$38:$L$41,TRANSPOSE(AC401:AF401)))</f>
        <v>1.1871061003693819</v>
      </c>
      <c r="AI401" s="62">
        <f ca="1"/>
        <v>0.78622558131432141</v>
      </c>
      <c r="AJ401" s="62">
        <f ca="1"/>
        <v>0.84551616524250717</v>
      </c>
      <c r="AK401" s="62">
        <f ca="1"/>
        <v>0.9355227518819853</v>
      </c>
      <c r="AL401" s="66" t="str">
        <f t="array" ref="AL401">IF($AB401, Push(MINVERSE(MMULT($I$38:$L$41,MMULT(Fetch(AG401),TRANSPOSE($I$38:$L$41))) + $N$38:$Q$41)), "")</f>
        <v/>
      </c>
      <c r="AM401" s="62">
        <f t="array" aca="1" ref="AM401:AP401" ca="1">X401:AA401 - AH401:AK401</f>
        <v>0.27845131819753011</v>
      </c>
      <c r="AN401" s="62">
        <f ca="1"/>
        <v>-1.2448429631788969</v>
      </c>
      <c r="AO401" s="62">
        <f ca="1"/>
        <v>1.9489463793895161</v>
      </c>
      <c r="AP401" s="62">
        <f ca="1"/>
        <v>0.13815622433295593</v>
      </c>
      <c r="AQ401" s="66" t="str">
        <f t="array" ref="AQ401">IF($AB401, Push(MMULT(Fetch(AG401),MMULT(TRANSPOSE($I$38:$L$41),Fetch(AL401)))), "")</f>
        <v/>
      </c>
      <c r="AR401" s="62">
        <f t="array" aca="1" ref="AR401:AU401" ca="1">AC401:AF401 + TRANSPOSE(MMULT(IF($AB401,Fetch(AQ401),$L$61:$O$64),TRANSPOSE(AM401:AP401)))</f>
        <v>1.2374561756133966</v>
      </c>
      <c r="AS401" s="62">
        <f ca="1"/>
        <v>-0.55918602796252592</v>
      </c>
      <c r="AT401" s="62">
        <f ca="1"/>
        <v>1.5958593092773117</v>
      </c>
      <c r="AU401" s="62">
        <f ca="1"/>
        <v>1.6636477567671117</v>
      </c>
      <c r="AV401" s="66" t="str">
        <f t="array" ref="AV401">IF($AB401, Push(Fetch(AG401) - MMULT(Fetch(AQ401),MMULT($I$38:$L$41,Fetch(AG401)))), "")</f>
        <v/>
      </c>
      <c r="AW401" s="97">
        <f t="array" aca="1" ref="AW401" ca="1">IF($AB401,LN(MDETERM(Fetch(AL401))),$J$65)   -   MMULT(AM401:AP401,MMULT(IF($AB401,Fetch(AL401),$G$61:$J$64),TRANSPOSE(AM401:AP401)))</f>
        <v>-13.072956078268186</v>
      </c>
    </row>
    <row r="402" spans="23:49" x14ac:dyDescent="0.15">
      <c r="W402" s="12">
        <f t="shared" si="12"/>
        <v>399</v>
      </c>
      <c r="X402" s="62">
        <f t="array" aca="1" ref="X402:AA402" ca="1">simulate!AE402:AH402</f>
        <v>0.95250925689804777</v>
      </c>
      <c r="Y402" s="62">
        <f ca="1"/>
        <v>0.29953530708323245</v>
      </c>
      <c r="Z402" s="62">
        <f ca="1"/>
        <v>1.281131569225701</v>
      </c>
      <c r="AA402" s="62">
        <f ca="1"/>
        <v>0.74742205661692596</v>
      </c>
      <c r="AB402" s="98">
        <f t="shared" si="13"/>
        <v>0</v>
      </c>
      <c r="AC402" s="62">
        <f t="array" aca="1" ref="AC402:AF402" ca="1">TRANSPOSE($G$44:$G$47 + MMULT($I$44:$L$47,TRANSPOSE(AR401:AU401)))</f>
        <v>1.0531173757952819</v>
      </c>
      <c r="AD402" s="62">
        <f ca="1"/>
        <v>0.30536843948067738</v>
      </c>
      <c r="AE402" s="62">
        <f ca="1"/>
        <v>1.2076120163770785</v>
      </c>
      <c r="AF402" s="62">
        <f ca="1"/>
        <v>1.3739885810598571</v>
      </c>
      <c r="AG402" s="66" t="str">
        <f t="array" ref="AG402">IF($AB402, Push(MMULT($I$44:$L$47,MMULT(Fetch(AV401),TRANSPOSE($I$44:$L$47))) + $N$44:$Q$47), "")</f>
        <v/>
      </c>
      <c r="AH402" s="62">
        <f t="array" aca="1" ref="AH402:AK402" ca="1">TRANSPOSE($G$38:$G$41 + MMULT($I$38:$L$41,TRANSPOSE(AC402:AF402)))</f>
        <v>1.3776771339690577</v>
      </c>
      <c r="AI402" s="62">
        <f ca="1"/>
        <v>0.65531458343883653</v>
      </c>
      <c r="AJ402" s="62">
        <f ca="1"/>
        <v>1.4576174404728828</v>
      </c>
      <c r="AK402" s="62">
        <f ca="1"/>
        <v>1.201204553673149</v>
      </c>
      <c r="AL402" s="66" t="str">
        <f t="array" ref="AL402">IF($AB402, Push(MINVERSE(MMULT($I$38:$L$41,MMULT(Fetch(AG402),TRANSPOSE($I$38:$L$41))) + $N$38:$Q$41)), "")</f>
        <v/>
      </c>
      <c r="AM402" s="62">
        <f t="array" aca="1" ref="AM402:AP402" ca="1">X402:AA402 - AH402:AK402</f>
        <v>-0.42516787707100989</v>
      </c>
      <c r="AN402" s="62">
        <f ca="1"/>
        <v>-0.35577927635560408</v>
      </c>
      <c r="AO402" s="62">
        <f ca="1"/>
        <v>-0.17648587124718174</v>
      </c>
      <c r="AP402" s="62">
        <f ca="1"/>
        <v>-0.45378249705622309</v>
      </c>
      <c r="AQ402" s="66" t="str">
        <f t="array" ref="AQ402">IF($AB402, Push(MMULT(Fetch(AG402),MMULT(TRANSPOSE($I$38:$L$41),Fetch(AL402)))), "")</f>
        <v/>
      </c>
      <c r="AR402" s="62">
        <f t="array" aca="1" ref="AR402:AU402" ca="1">AC402:AF402 + TRANSPOSE(MMULT(IF($AB402,Fetch(AQ402),$L$61:$O$64),TRANSPOSE(AM402:AP402)))</f>
        <v>0.86135806989092545</v>
      </c>
      <c r="AS402" s="62">
        <f ca="1"/>
        <v>0.12351272831134857</v>
      </c>
      <c r="AT402" s="62">
        <f ca="1"/>
        <v>0.76945166648008789</v>
      </c>
      <c r="AU402" s="62">
        <f ca="1"/>
        <v>1.1396308296404167</v>
      </c>
      <c r="AV402" s="66" t="str">
        <f t="array" ref="AV402">IF($AB402, Push(Fetch(AG402) - MMULT(Fetch(AQ402),MMULT($I$38:$L$41,Fetch(AG402)))), "")</f>
        <v/>
      </c>
      <c r="AW402" s="97">
        <f t="array" aca="1" ref="AW402" ca="1">IF($AB402,LN(MDETERM(Fetch(AL402))),$J$65)   -   MMULT(AM402:AP402,MMULT(IF($AB402,Fetch(AL402),$G$61:$J$64),TRANSPOSE(AM402:AP402)))</f>
        <v>4.5469210361425674</v>
      </c>
    </row>
    <row r="403" spans="23:49" x14ac:dyDescent="0.15">
      <c r="W403" s="12">
        <f t="shared" si="12"/>
        <v>400</v>
      </c>
      <c r="X403" s="62">
        <f t="array" aca="1" ref="X403:AA403" ca="1">simulate!AE403:AH403</f>
        <v>1.0864431921129352</v>
      </c>
      <c r="Y403" s="62">
        <f ca="1"/>
        <v>7.3260375168700265E-3</v>
      </c>
      <c r="Z403" s="62">
        <f ca="1"/>
        <v>1.314258221917102</v>
      </c>
      <c r="AA403" s="62">
        <f ca="1"/>
        <v>0.78882997066175231</v>
      </c>
      <c r="AB403" s="98">
        <f t="shared" si="13"/>
        <v>0</v>
      </c>
      <c r="AC403" s="62">
        <f t="array" aca="1" ref="AC403:AF403" ca="1">TRANSPOSE($G$44:$G$47 + MMULT($I$44:$L$47,TRANSPOSE(AR402:AU402)))</f>
        <v>0.86702104010917713</v>
      </c>
      <c r="AD403" s="62">
        <f ca="1"/>
        <v>0.4534111113182327</v>
      </c>
      <c r="AE403" s="62">
        <f ca="1"/>
        <v>0.76781093108868981</v>
      </c>
      <c r="AF403" s="62">
        <f ca="1"/>
        <v>0.98732835396327467</v>
      </c>
      <c r="AG403" s="66" t="str">
        <f t="array" ref="AG403">IF($AB403, Push(MMULT($I$44:$L$47,MMULT(Fetch(AV402),TRANSPOSE($I$44:$L$47))) + $N$44:$Q$47), "")</f>
        <v/>
      </c>
      <c r="AH403" s="62">
        <f t="array" aca="1" ref="AH403:AK403" ca="1">TRANSPOSE($G$38:$G$41 + MMULT($I$38:$L$41,TRANSPOSE(AC403:AF403)))</f>
        <v>1.06695801159663</v>
      </c>
      <c r="AI403" s="62">
        <f ca="1"/>
        <v>0.75185283169208073</v>
      </c>
      <c r="AJ403" s="62">
        <f ca="1"/>
        <v>1.0474015939534587</v>
      </c>
      <c r="AK403" s="62">
        <f ca="1"/>
        <v>0.84717551876149133</v>
      </c>
      <c r="AL403" s="66" t="str">
        <f t="array" ref="AL403">IF($AB403, Push(MINVERSE(MMULT($I$38:$L$41,MMULT(Fetch(AG403),TRANSPOSE($I$38:$L$41))) + $N$38:$Q$41)), "")</f>
        <v/>
      </c>
      <c r="AM403" s="62">
        <f t="array" aca="1" ref="AM403:AP403" ca="1">X403:AA403 - AH403:AK403</f>
        <v>1.9485180516305212E-2</v>
      </c>
      <c r="AN403" s="62">
        <f ca="1"/>
        <v>-0.74452679417521073</v>
      </c>
      <c r="AO403" s="62">
        <f ca="1"/>
        <v>0.26685662796364329</v>
      </c>
      <c r="AP403" s="62">
        <f ca="1"/>
        <v>-5.834554809973902E-2</v>
      </c>
      <c r="AQ403" s="66" t="str">
        <f t="array" ref="AQ403">IF($AB403, Push(MMULT(Fetch(AG403),MMULT(TRANSPOSE($I$38:$L$41),Fetch(AL403)))), "")</f>
        <v/>
      </c>
      <c r="AR403" s="62">
        <f t="array" aca="1" ref="AR403:AU403" ca="1">AC403:AF403 + TRANSPOSE(MMULT(IF($AB403,Fetch(AQ403),$L$61:$O$64),TRANSPOSE(AM403:AP403)))</f>
        <v>0.83922511765086871</v>
      </c>
      <c r="AS403" s="62">
        <f ca="1"/>
        <v>-4.222471233624614E-2</v>
      </c>
      <c r="AT403" s="62">
        <f ca="1"/>
        <v>0.87526700281049929</v>
      </c>
      <c r="AU403" s="62">
        <f ca="1"/>
        <v>1.0705446531255602</v>
      </c>
      <c r="AV403" s="66" t="str">
        <f t="array" ref="AV403">IF($AB403, Push(Fetch(AG403) - MMULT(Fetch(AQ403),MMULT($I$38:$L$41,Fetch(AG403)))), "")</f>
        <v/>
      </c>
      <c r="AW403" s="97">
        <f t="array" aca="1" ref="AW403" ca="1">IF($AB403,LN(MDETERM(Fetch(AL403))),$J$65)   -   MMULT(AM403:AP403,MMULT(IF($AB403,Fetch(AL403),$G$61:$J$64),TRANSPOSE(AM403:AP403)))</f>
        <v>3.9334213217865628</v>
      </c>
    </row>
    <row r="404" spans="23:49" x14ac:dyDescent="0.15">
      <c r="W404" s="12">
        <f t="shared" si="12"/>
        <v>401</v>
      </c>
      <c r="X404" s="62">
        <f t="array" aca="1" ref="X404:AA404" ca="1">simulate!AE404:AH404</f>
        <v>0.60916136469560112</v>
      </c>
      <c r="Y404" s="62">
        <f ca="1"/>
        <v>0.21410908697845804</v>
      </c>
      <c r="Z404" s="62">
        <f ca="1"/>
        <v>1.055755635685468</v>
      </c>
      <c r="AA404" s="62">
        <f ca="1"/>
        <v>0.7567861111557892</v>
      </c>
      <c r="AB404" s="98">
        <f t="shared" si="13"/>
        <v>0</v>
      </c>
      <c r="AC404" s="62">
        <f t="array" aca="1" ref="AC404:AF404" ca="1">TRANSPOSE($G$44:$G$47 + MMULT($I$44:$L$47,TRANSPOSE(AR403:AU403)))</f>
        <v>0.83475224850140051</v>
      </c>
      <c r="AD404" s="62">
        <f ca="1"/>
        <v>0.37104894075443878</v>
      </c>
      <c r="AE404" s="62">
        <f ca="1"/>
        <v>0.78625039143108888</v>
      </c>
      <c r="AF404" s="62">
        <f ca="1"/>
        <v>0.9543353903340861</v>
      </c>
      <c r="AG404" s="66" t="str">
        <f t="array" ref="AG404">IF($AB404, Push(MMULT($I$44:$L$47,MMULT(Fetch(AV403),TRANSPOSE($I$44:$L$47))) + $N$44:$Q$47), "")</f>
        <v/>
      </c>
      <c r="AH404" s="62">
        <f t="array" aca="1" ref="AH404:AK404" ca="1">TRANSPOSE($G$38:$G$41 + MMULT($I$38:$L$41,TRANSPOSE(AC404:AF404)))</f>
        <v>1.0693556589009972</v>
      </c>
      <c r="AI404" s="62">
        <f ca="1"/>
        <v>0.65695432052907021</v>
      </c>
      <c r="AJ404" s="62">
        <f ca="1"/>
        <v>1.0369391963358261</v>
      </c>
      <c r="AK404" s="62">
        <f ca="1"/>
        <v>0.83566841221380495</v>
      </c>
      <c r="AL404" s="66" t="str">
        <f t="array" ref="AL404">IF($AB404, Push(MINVERSE(MMULT($I$38:$L$41,MMULT(Fetch(AG404),TRANSPOSE($I$38:$L$41))) + $N$38:$Q$41)), "")</f>
        <v/>
      </c>
      <c r="AM404" s="62">
        <f t="array" aca="1" ref="AM404:AP404" ca="1">X404:AA404 - AH404:AK404</f>
        <v>-0.46019429420539604</v>
      </c>
      <c r="AN404" s="62">
        <f ca="1"/>
        <v>-0.44284523355061217</v>
      </c>
      <c r="AO404" s="62">
        <f ca="1"/>
        <v>1.8816439349641945E-2</v>
      </c>
      <c r="AP404" s="62">
        <f ca="1"/>
        <v>-7.8882301058015747E-2</v>
      </c>
      <c r="AQ404" s="66" t="str">
        <f t="array" ref="AQ404">IF($AB404, Push(MMULT(Fetch(AG404),MMULT(TRANSPOSE($I$38:$L$41),Fetch(AL404)))), "")</f>
        <v/>
      </c>
      <c r="AR404" s="62">
        <f t="array" aca="1" ref="AR404:AU404" ca="1">AC404:AF404 + TRANSPOSE(MMULT(IF($AB404,Fetch(AQ404),$L$61:$O$64),TRANSPOSE(AM404:AP404)))</f>
        <v>0.57826996621845639</v>
      </c>
      <c r="AS404" s="62">
        <f ca="1"/>
        <v>0.17910357321806833</v>
      </c>
      <c r="AT404" s="62">
        <f ca="1"/>
        <v>0.62625780745689208</v>
      </c>
      <c r="AU404" s="62">
        <f ca="1"/>
        <v>0.92968711036207718</v>
      </c>
      <c r="AV404" s="66" t="str">
        <f t="array" ref="AV404">IF($AB404, Push(Fetch(AG404) - MMULT(Fetch(AQ404),MMULT($I$38:$L$41,Fetch(AG404)))), "")</f>
        <v/>
      </c>
      <c r="AW404" s="97">
        <f t="array" aca="1" ref="AW404" ca="1">IF($AB404,LN(MDETERM(Fetch(AL404))),$J$65)   -   MMULT(AM404:AP404,MMULT(IF($AB404,Fetch(AL404),$G$61:$J$64),TRANSPOSE(AM404:AP404)))</f>
        <v>5.6748557901791896</v>
      </c>
    </row>
    <row r="405" spans="23:49" x14ac:dyDescent="0.15">
      <c r="W405" s="12">
        <f t="shared" si="12"/>
        <v>402</v>
      </c>
      <c r="X405" s="62">
        <f t="array" aca="1" ref="X405:AA405" ca="1">simulate!AE405:AH405</f>
        <v>-0.59087597238952605</v>
      </c>
      <c r="Y405" s="62">
        <f ca="1"/>
        <v>0.86692759900416316</v>
      </c>
      <c r="Z405" s="62">
        <f ca="1"/>
        <v>-0.75859874696206897</v>
      </c>
      <c r="AA405" s="62">
        <f ca="1"/>
        <v>-0.42537265092732979</v>
      </c>
      <c r="AB405" s="98">
        <f t="shared" si="13"/>
        <v>0</v>
      </c>
      <c r="AC405" s="62">
        <f t="array" aca="1" ref="AC405:AF405" ca="1">TRANSPOSE($G$44:$G$47 + MMULT($I$44:$L$47,TRANSPOSE(AR404:AU404)))</f>
        <v>0.70207722513600024</v>
      </c>
      <c r="AD405" s="62">
        <f ca="1"/>
        <v>0.40133623295122423</v>
      </c>
      <c r="AE405" s="62">
        <f ca="1"/>
        <v>0.64828018348197547</v>
      </c>
      <c r="AF405" s="62">
        <f ca="1"/>
        <v>0.84104732981233532</v>
      </c>
      <c r="AG405" s="66" t="str">
        <f t="array" ref="AG405">IF($AB405, Push(MMULT($I$44:$L$47,MMULT(Fetch(AV404),TRANSPOSE($I$44:$L$47))) + $N$44:$Q$47), "")</f>
        <v/>
      </c>
      <c r="AH405" s="62">
        <f t="array" aca="1" ref="AH405:AK405" ca="1">TRANSPOSE($G$38:$G$41 + MMULT($I$38:$L$41,TRANSPOSE(AC405:AF405)))</f>
        <v>0.91730834579043119</v>
      </c>
      <c r="AI405" s="62">
        <f ca="1"/>
        <v>0.64725103820091756</v>
      </c>
      <c r="AJ405" s="62">
        <f ca="1"/>
        <v>0.89235538446687479</v>
      </c>
      <c r="AK405" s="62">
        <f ca="1"/>
        <v>0.75646659995369259</v>
      </c>
      <c r="AL405" s="66" t="str">
        <f t="array" ref="AL405">IF($AB405, Push(MINVERSE(MMULT($I$38:$L$41,MMULT(Fetch(AG405),TRANSPOSE($I$38:$L$41))) + $N$38:$Q$41)), "")</f>
        <v/>
      </c>
      <c r="AM405" s="62">
        <f t="array" aca="1" ref="AM405:AP405" ca="1">X405:AA405 - AH405:AK405</f>
        <v>-1.5081843181799572</v>
      </c>
      <c r="AN405" s="62">
        <f ca="1"/>
        <v>0.2196765608032456</v>
      </c>
      <c r="AO405" s="62">
        <f ca="1"/>
        <v>-1.6509541314289438</v>
      </c>
      <c r="AP405" s="62">
        <f ca="1"/>
        <v>-1.1818392508810223</v>
      </c>
      <c r="AQ405" s="66" t="str">
        <f t="array" ref="AQ405">IF($AB405, Push(MMULT(Fetch(AG405),MMULT(TRANSPOSE($I$38:$L$41),Fetch(AL405)))), "")</f>
        <v/>
      </c>
      <c r="AR405" s="62">
        <f t="array" aca="1" ref="AR405:AU405" ca="1">AC405:AF405 + TRANSPOSE(MMULT(IF($AB405,Fetch(AQ405),$L$61:$O$64),TRANSPOSE(AM405:AP405)))</f>
        <v>-9.8988585872431645E-2</v>
      </c>
      <c r="AS405" s="62">
        <f ca="1"/>
        <v>0.90129684222973239</v>
      </c>
      <c r="AT405" s="62">
        <f ca="1"/>
        <v>-0.98380915830812754</v>
      </c>
      <c r="AU405" s="62">
        <f ca="1"/>
        <v>-0.24812587191550239</v>
      </c>
      <c r="AV405" s="66" t="str">
        <f t="array" ref="AV405">IF($AB405, Push(Fetch(AG405) - MMULT(Fetch(AQ405),MMULT($I$38:$L$41,Fetch(AG405)))), "")</f>
        <v/>
      </c>
      <c r="AW405" s="97">
        <f t="array" aca="1" ref="AW405" ca="1">IF($AB405,LN(MDETERM(Fetch(AL405))),$J$65)   -   MMULT(AM405:AP405,MMULT(IF($AB405,Fetch(AL405),$G$61:$J$64),TRANSPOSE(AM405:AP405)))</f>
        <v>-17.328132419169819</v>
      </c>
    </row>
    <row r="406" spans="23:49" x14ac:dyDescent="0.15">
      <c r="W406" s="12">
        <f t="shared" si="12"/>
        <v>403</v>
      </c>
      <c r="X406" s="62">
        <f t="array" aca="1" ref="X406:AA406" ca="1">simulate!AE406:AH406</f>
        <v>0.38238132694533694</v>
      </c>
      <c r="Y406" s="62">
        <f ca="1"/>
        <v>-0.18707009293845353</v>
      </c>
      <c r="Z406" s="62">
        <f ca="1"/>
        <v>1.2593791570413875</v>
      </c>
      <c r="AA406" s="62">
        <f ca="1"/>
        <v>-0.19891103500624041</v>
      </c>
      <c r="AB406" s="98">
        <f t="shared" si="13"/>
        <v>0</v>
      </c>
      <c r="AC406" s="62">
        <f t="array" aca="1" ref="AC406:AF406" ca="1">TRANSPOSE($G$44:$G$47 + MMULT($I$44:$L$47,TRANSPOSE(AR405:AU405)))</f>
        <v>0.27197427459056478</v>
      </c>
      <c r="AD406" s="62">
        <f ca="1"/>
        <v>0.35929828712984574</v>
      </c>
      <c r="AE406" s="62">
        <f ca="1"/>
        <v>-0.32653697202876236</v>
      </c>
      <c r="AF406" s="62">
        <f ca="1"/>
        <v>-3.7607401912502447E-2</v>
      </c>
      <c r="AG406" s="66" t="str">
        <f t="array" ref="AG406">IF($AB406, Push(MMULT($I$44:$L$47,MMULT(Fetch(AV405),TRANSPOSE($I$44:$L$47))) + $N$44:$Q$47), "")</f>
        <v/>
      </c>
      <c r="AH406" s="62">
        <f t="array" aca="1" ref="AH406:AK406" ca="1">TRANSPOSE($G$38:$G$41 + MMULT($I$38:$L$41,TRANSPOSE(AC406:AF406)))</f>
        <v>0.24178971052421033</v>
      </c>
      <c r="AI406" s="62">
        <f ca="1"/>
        <v>0.52792089304649903</v>
      </c>
      <c r="AJ406" s="62">
        <f ca="1"/>
        <v>9.8848406133375852E-2</v>
      </c>
      <c r="AK406" s="62">
        <f ca="1"/>
        <v>-0.1428886838017292</v>
      </c>
      <c r="AL406" s="66" t="str">
        <f t="array" ref="AL406">IF($AB406, Push(MINVERSE(MMULT($I$38:$L$41,MMULT(Fetch(AG406),TRANSPOSE($I$38:$L$41))) + $N$38:$Q$41)), "")</f>
        <v/>
      </c>
      <c r="AM406" s="62">
        <f t="array" aca="1" ref="AM406:AP406" ca="1">X406:AA406 - AH406:AK406</f>
        <v>0.14059161642112661</v>
      </c>
      <c r="AN406" s="62">
        <f ca="1"/>
        <v>-0.71499098598495259</v>
      </c>
      <c r="AO406" s="62">
        <f ca="1"/>
        <v>1.1605307509080116</v>
      </c>
      <c r="AP406" s="62">
        <f ca="1"/>
        <v>-5.6022351204511212E-2</v>
      </c>
      <c r="AQ406" s="66" t="str">
        <f t="array" ref="AQ406">IF($AB406, Push(MMULT(Fetch(AG406),MMULT(TRANSPOSE($I$38:$L$41),Fetch(AL406)))), "")</f>
        <v/>
      </c>
      <c r="AR406" s="62">
        <f t="array" aca="1" ref="AR406:AU406" ca="1">AC406:AF406 + TRANSPOSE(MMULT(IF($AB406,Fetch(AQ406),$L$61:$O$64),TRANSPOSE(AM406:AP406)))</f>
        <v>0.52758117236404278</v>
      </c>
      <c r="AS406" s="62">
        <f ca="1"/>
        <v>-0.32754031136067802</v>
      </c>
      <c r="AT406" s="62">
        <f ca="1"/>
        <v>-2.6456642301124655E-2</v>
      </c>
      <c r="AU406" s="62">
        <f ca="1"/>
        <v>0.41117142822561115</v>
      </c>
      <c r="AV406" s="66" t="str">
        <f t="array" ref="AV406">IF($AB406, Push(Fetch(AG406) - MMULT(Fetch(AQ406),MMULT($I$38:$L$41,Fetch(AG406)))), "")</f>
        <v/>
      </c>
      <c r="AW406" s="97">
        <f t="array" aca="1" ref="AW406" ca="1">IF($AB406,LN(MDETERM(Fetch(AL406))),$J$65)   -   MMULT(AM406:AP406,MMULT(IF($AB406,Fetch(AL406),$G$61:$J$64),TRANSPOSE(AM406:AP406)))</f>
        <v>-0.22266458728755012</v>
      </c>
    </row>
    <row r="407" spans="23:49" x14ac:dyDescent="0.15">
      <c r="W407" s="12">
        <f t="shared" si="12"/>
        <v>404</v>
      </c>
      <c r="X407" s="62">
        <f t="array" aca="1" ref="X407:AA407" ca="1">simulate!AE407:AH407</f>
        <v>0.41430137479616491</v>
      </c>
      <c r="Y407" s="62">
        <f ca="1"/>
        <v>0.68966027800568619</v>
      </c>
      <c r="Z407" s="62">
        <f ca="1"/>
        <v>0.88692802820235128</v>
      </c>
      <c r="AA407" s="62">
        <f ca="1"/>
        <v>-0.48460104584785652</v>
      </c>
      <c r="AB407" s="98">
        <f t="shared" si="13"/>
        <v>0</v>
      </c>
      <c r="AC407" s="62">
        <f t="array" aca="1" ref="AC407:AF407" ca="1">TRANSPOSE($G$44:$G$47 + MMULT($I$44:$L$47,TRANSPOSE(AR406:AU406)))</f>
        <v>0.52834245129427515</v>
      </c>
      <c r="AD407" s="62">
        <f ca="1"/>
        <v>-1.4024999451674701E-2</v>
      </c>
      <c r="AE407" s="62">
        <f ca="1"/>
        <v>0.13316306966773137</v>
      </c>
      <c r="AF407" s="62">
        <f ca="1"/>
        <v>0.41653495021837106</v>
      </c>
      <c r="AG407" s="66" t="str">
        <f t="array" ref="AG407">IF($AB407, Push(MMULT($I$44:$L$47,MMULT(Fetch(AV406),TRANSPOSE($I$44:$L$47))) + $N$44:$Q$47), "")</f>
        <v/>
      </c>
      <c r="AH407" s="62">
        <f t="array" aca="1" ref="AH407:AK407" ca="1">TRANSPOSE($G$38:$G$41 + MMULT($I$38:$L$41,TRANSPOSE(AC407:AF407)))</f>
        <v>0.6081974088396962</v>
      </c>
      <c r="AI407" s="62">
        <f ca="1"/>
        <v>0.26926904058320367</v>
      </c>
      <c r="AJ407" s="62">
        <f ca="1"/>
        <v>0.67631469464875926</v>
      </c>
      <c r="AK407" s="62">
        <f ca="1"/>
        <v>0.15382940820793953</v>
      </c>
      <c r="AL407" s="66" t="str">
        <f t="array" ref="AL407">IF($AB407, Push(MINVERSE(MMULT($I$38:$L$41,MMULT(Fetch(AG407),TRANSPOSE($I$38:$L$41))) + $N$38:$Q$41)), "")</f>
        <v/>
      </c>
      <c r="AM407" s="62">
        <f t="array" aca="1" ref="AM407:AP407" ca="1">X407:AA407 - AH407:AK407</f>
        <v>-0.19389603404353128</v>
      </c>
      <c r="AN407" s="62">
        <f ca="1"/>
        <v>0.42039123742248252</v>
      </c>
      <c r="AO407" s="62">
        <f ca="1"/>
        <v>0.21061333355359202</v>
      </c>
      <c r="AP407" s="62">
        <f ca="1"/>
        <v>-0.63843045405579602</v>
      </c>
      <c r="AQ407" s="66" t="str">
        <f t="array" ref="AQ407">IF($AB407, Push(MMULT(Fetch(AG407),MMULT(TRANSPOSE($I$38:$L$41),Fetch(AL407)))), "")</f>
        <v/>
      </c>
      <c r="AR407" s="62">
        <f t="array" aca="1" ref="AR407:AU407" ca="1">AC407:AF407 + TRANSPOSE(MMULT(IF($AB407,Fetch(AQ407),$L$61:$O$64),TRANSPOSE(AM407:AP407)))</f>
        <v>0.70204706457072186</v>
      </c>
      <c r="AS407" s="62">
        <f ca="1"/>
        <v>8.8709797039403321E-2</v>
      </c>
      <c r="AT407" s="62">
        <f ca="1"/>
        <v>-0.37510607214671932</v>
      </c>
      <c r="AU407" s="62">
        <f ca="1"/>
        <v>0.28170538508316628</v>
      </c>
      <c r="AV407" s="66" t="str">
        <f t="array" ref="AV407">IF($AB407, Push(Fetch(AG407) - MMULT(Fetch(AQ407),MMULT($I$38:$L$41,Fetch(AG407)))), "")</f>
        <v/>
      </c>
      <c r="AW407" s="97">
        <f t="array" aca="1" ref="AW407" ca="1">IF($AB407,LN(MDETERM(Fetch(AL407))),$J$65)   -   MMULT(AM407:AP407,MMULT(IF($AB407,Fetch(AL407),$G$61:$J$64),TRANSPOSE(AM407:AP407)))</f>
        <v>2.7477591284699692</v>
      </c>
    </row>
    <row r="408" spans="23:49" x14ac:dyDescent="0.15">
      <c r="W408" s="12">
        <f t="shared" si="12"/>
        <v>405</v>
      </c>
      <c r="X408" s="62">
        <f t="array" aca="1" ref="X408:AA408" ca="1">simulate!AE408:AH408</f>
        <v>0.31971465038011959</v>
      </c>
      <c r="Y408" s="62">
        <f ca="1"/>
        <v>0.78315927731609691</v>
      </c>
      <c r="Z408" s="62">
        <f ca="1"/>
        <v>1.0312606923278567</v>
      </c>
      <c r="AA408" s="62">
        <f ca="1"/>
        <v>9.0571881132984672E-2</v>
      </c>
      <c r="AB408" s="98">
        <f t="shared" si="13"/>
        <v>0</v>
      </c>
      <c r="AC408" s="62">
        <f t="array" aca="1" ref="AC408:AF408" ca="1">TRANSPOSE($G$44:$G$47 + MMULT($I$44:$L$47,TRANSPOSE(AR407:AU407)))</f>
        <v>0.65312872565100366</v>
      </c>
      <c r="AD408" s="62">
        <f ca="1"/>
        <v>0.1782944778519292</v>
      </c>
      <c r="AE408" s="62">
        <f ca="1"/>
        <v>5.7078349478853069E-3</v>
      </c>
      <c r="AF408" s="62">
        <f ca="1"/>
        <v>0.32802126768612205</v>
      </c>
      <c r="AG408" s="66" t="str">
        <f t="array" ref="AG408">IF($AB408, Push(MMULT($I$44:$L$47,MMULT(Fetch(AV407),TRANSPOSE($I$44:$L$47))) + $N$44:$Q$47), "")</f>
        <v/>
      </c>
      <c r="AH408" s="62">
        <f t="array" aca="1" ref="AH408:AK408" ca="1">TRANSPOSE($G$38:$G$41 + MMULT($I$38:$L$41,TRANSPOSE(AC408:AF408)))</f>
        <v>0.63137880528945534</v>
      </c>
      <c r="AI408" s="62">
        <f ca="1"/>
        <v>0.49818111201896675</v>
      </c>
      <c r="AJ408" s="62">
        <f ca="1"/>
        <v>0.58943340597596872</v>
      </c>
      <c r="AK408" s="62">
        <f ca="1"/>
        <v>2.6741121732524131E-2</v>
      </c>
      <c r="AL408" s="66" t="str">
        <f t="array" ref="AL408">IF($AB408, Push(MINVERSE(MMULT($I$38:$L$41,MMULT(Fetch(AG408),TRANSPOSE($I$38:$L$41))) + $N$38:$Q$41)), "")</f>
        <v/>
      </c>
      <c r="AM408" s="62">
        <f t="array" aca="1" ref="AM408:AP408" ca="1">X408:AA408 - AH408:AK408</f>
        <v>-0.31166415490933574</v>
      </c>
      <c r="AN408" s="62">
        <f ca="1"/>
        <v>0.28497816529713016</v>
      </c>
      <c r="AO408" s="62">
        <f ca="1"/>
        <v>0.44182728635188795</v>
      </c>
      <c r="AP408" s="62">
        <f ca="1"/>
        <v>6.3830759400460541E-2</v>
      </c>
      <c r="AQ408" s="66" t="str">
        <f t="array" ref="AQ408">IF($AB408, Push(MMULT(Fetch(AG408),MMULT(TRANSPOSE($I$38:$L$41),Fetch(AL408)))), "")</f>
        <v/>
      </c>
      <c r="AR408" s="62">
        <f t="array" aca="1" ref="AR408:AU408" ca="1">AC408:AF408 + TRANSPOSE(MMULT(IF($AB408,Fetch(AQ408),$L$61:$O$64),TRANSPOSE(AM408:AP408)))</f>
        <v>0.65242107082291811</v>
      </c>
      <c r="AS408" s="62">
        <f ca="1"/>
        <v>0.31524414059499412</v>
      </c>
      <c r="AT408" s="62">
        <f ca="1"/>
        <v>-2.6637358328095821E-2</v>
      </c>
      <c r="AU408" s="62">
        <f ca="1"/>
        <v>0.53117250624173362</v>
      </c>
      <c r="AV408" s="66" t="str">
        <f t="array" ref="AV408">IF($AB408, Push(Fetch(AG408) - MMULT(Fetch(AQ408),MMULT($I$38:$L$41,Fetch(AG408)))), "")</f>
        <v/>
      </c>
      <c r="AW408" s="97">
        <f t="array" aca="1" ref="AW408" ca="1">IF($AB408,LN(MDETERM(Fetch(AL408))),$J$65)   -   MMULT(AM408:AP408,MMULT(IF($AB408,Fetch(AL408),$G$61:$J$64),TRANSPOSE(AM408:AP408)))</f>
        <v>3.2947183054382396</v>
      </c>
    </row>
    <row r="409" spans="23:49" x14ac:dyDescent="0.15">
      <c r="W409" s="12">
        <f t="shared" si="12"/>
        <v>406</v>
      </c>
      <c r="X409" s="62">
        <f t="array" aca="1" ref="X409:AA409" ca="1">simulate!AE409:AH409</f>
        <v>0.39822903674752147</v>
      </c>
      <c r="Y409" s="62">
        <f ca="1"/>
        <v>0.37060528641079882</v>
      </c>
      <c r="Z409" s="62">
        <f ca="1"/>
        <v>-0.97590361031086426</v>
      </c>
      <c r="AA409" s="62">
        <f ca="1"/>
        <v>-7.761496719484301E-2</v>
      </c>
      <c r="AB409" s="98">
        <f t="shared" si="13"/>
        <v>0</v>
      </c>
      <c r="AC409" s="62">
        <f t="array" aca="1" ref="AC409:AF409" ca="1">TRANSPOSE($G$44:$G$47 + MMULT($I$44:$L$47,TRANSPOSE(AR408:AU408)))</f>
        <v>0.69664564591617006</v>
      </c>
      <c r="AD409" s="62">
        <f ca="1"/>
        <v>0.36191098666318705</v>
      </c>
      <c r="AE409" s="62">
        <f ca="1"/>
        <v>0.26407341574880583</v>
      </c>
      <c r="AF409" s="62">
        <f ca="1"/>
        <v>0.5330701638579709</v>
      </c>
      <c r="AG409" s="66" t="str">
        <f t="array" ref="AG409">IF($AB409, Push(MMULT($I$44:$L$47,MMULT(Fetch(AV408),TRANSPOSE($I$44:$L$47))) + $N$44:$Q$47), "")</f>
        <v/>
      </c>
      <c r="AH409" s="62">
        <f t="array" aca="1" ref="AH409:AK409" ca="1">TRANSPOSE($G$38:$G$41 + MMULT($I$38:$L$41,TRANSPOSE(AC409:AF409)))</f>
        <v>0.75876185037413157</v>
      </c>
      <c r="AI409" s="62">
        <f ca="1"/>
        <v>0.64854365970587391</v>
      </c>
      <c r="AJ409" s="62">
        <f ca="1"/>
        <v>0.68374012986416965</v>
      </c>
      <c r="AK409" s="62">
        <f ca="1"/>
        <v>0.33767113592996689</v>
      </c>
      <c r="AL409" s="66" t="str">
        <f t="array" ref="AL409">IF($AB409, Push(MINVERSE(MMULT($I$38:$L$41,MMULT(Fetch(AG409),TRANSPOSE($I$38:$L$41))) + $N$38:$Q$41)), "")</f>
        <v/>
      </c>
      <c r="AM409" s="62">
        <f t="array" aca="1" ref="AM409:AP409" ca="1">X409:AA409 - AH409:AK409</f>
        <v>-0.3605328136266101</v>
      </c>
      <c r="AN409" s="62">
        <f ca="1"/>
        <v>-0.27793837329507509</v>
      </c>
      <c r="AO409" s="62">
        <f ca="1"/>
        <v>-1.6596437401750339</v>
      </c>
      <c r="AP409" s="62">
        <f ca="1"/>
        <v>-0.4152861031248099</v>
      </c>
      <c r="AQ409" s="66" t="str">
        <f t="array" ref="AQ409">IF($AB409, Push(MMULT(Fetch(AG409),MMULT(TRANSPOSE($I$38:$L$41),Fetch(AL409)))), "")</f>
        <v/>
      </c>
      <c r="AR409" s="62">
        <f t="array" aca="1" ref="AR409:AU409" ca="1">AC409:AF409 + TRANSPOSE(MMULT(IF($AB409,Fetch(AQ409),$L$61:$O$64),TRANSPOSE(AM409:AP409)))</f>
        <v>0.16584559345191607</v>
      </c>
      <c r="AS409" s="62">
        <f ca="1"/>
        <v>0.53181764386460539</v>
      </c>
      <c r="AT409" s="62">
        <f ca="1"/>
        <v>-0.3854667277375543</v>
      </c>
      <c r="AU409" s="62">
        <f ca="1"/>
        <v>-0.2913405808950148</v>
      </c>
      <c r="AV409" s="66" t="str">
        <f t="array" ref="AV409">IF($AB409, Push(Fetch(AG409) - MMULT(Fetch(AQ409),MMULT($I$38:$L$41,Fetch(AG409)))), "")</f>
        <v/>
      </c>
      <c r="AW409" s="97">
        <f t="array" aca="1" ref="AW409" ca="1">IF($AB409,LN(MDETERM(Fetch(AL409))),$J$65)   -   MMULT(AM409:AP409,MMULT(IF($AB409,Fetch(AL409),$G$61:$J$64),TRANSPOSE(AM409:AP409)))</f>
        <v>-10.881052985845839</v>
      </c>
    </row>
    <row r="410" spans="23:49" x14ac:dyDescent="0.15">
      <c r="W410" s="12">
        <f t="shared" si="12"/>
        <v>407</v>
      </c>
      <c r="X410" s="62">
        <f t="array" aca="1" ref="X410:AA410" ca="1">simulate!AE410:AH410</f>
        <v>0.14953799782496796</v>
      </c>
      <c r="Y410" s="62">
        <f ca="1"/>
        <v>-1.3353845844634047</v>
      </c>
      <c r="Z410" s="62">
        <f ca="1"/>
        <v>-0.44838074731221156</v>
      </c>
      <c r="AA410" s="62">
        <f ca="1"/>
        <v>0.41492041082171094</v>
      </c>
      <c r="AB410" s="98">
        <f t="shared" si="13"/>
        <v>0</v>
      </c>
      <c r="AC410" s="62">
        <f t="array" aca="1" ref="AC410:AF410" ca="1">TRANSPOSE($G$44:$G$47 + MMULT($I$44:$L$47,TRANSPOSE(AR409:AU409)))</f>
        <v>0.40084033835492361</v>
      </c>
      <c r="AD410" s="62">
        <f ca="1"/>
        <v>0.28822354345235768</v>
      </c>
      <c r="AE410" s="62">
        <f ca="1"/>
        <v>-5.0919395500162681E-2</v>
      </c>
      <c r="AF410" s="62">
        <f ca="1"/>
        <v>2.2626003687200497E-2</v>
      </c>
      <c r="AG410" s="66" t="str">
        <f t="array" ref="AG410">IF($AB410, Push(MMULT($I$44:$L$47,MMULT(Fetch(AV409),TRANSPOSE($I$44:$L$47))) + $N$44:$Q$47), "")</f>
        <v/>
      </c>
      <c r="AH410" s="62">
        <f t="array" aca="1" ref="AH410:AK410" ca="1">TRANSPOSE($G$38:$G$41 + MMULT($I$38:$L$41,TRANSPOSE(AC410:AF410)))</f>
        <v>0.49591020794191898</v>
      </c>
      <c r="AI410" s="62">
        <f ca="1"/>
        <v>0.45507254386053425</v>
      </c>
      <c r="AJ410" s="62">
        <f ca="1"/>
        <v>0.20033546068645047</v>
      </c>
      <c r="AK410" s="62">
        <f ca="1"/>
        <v>2.257662317539294E-3</v>
      </c>
      <c r="AL410" s="66" t="str">
        <f t="array" ref="AL410">IF($AB410, Push(MINVERSE(MMULT($I$38:$L$41,MMULT(Fetch(AG410),TRANSPOSE($I$38:$L$41))) + $N$38:$Q$41)), "")</f>
        <v/>
      </c>
      <c r="AM410" s="62">
        <f t="array" aca="1" ref="AM410:AP410" ca="1">X410:AA410 - AH410:AK410</f>
        <v>-0.34637221011695102</v>
      </c>
      <c r="AN410" s="62">
        <f ca="1"/>
        <v>-1.790457128323939</v>
      </c>
      <c r="AO410" s="62">
        <f ca="1"/>
        <v>-0.64871620799866203</v>
      </c>
      <c r="AP410" s="62">
        <f ca="1"/>
        <v>0.41266274850417162</v>
      </c>
      <c r="AQ410" s="66" t="str">
        <f t="array" ref="AQ410">IF($AB410, Push(MMULT(Fetch(AG410),MMULT(TRANSPOSE($I$38:$L$41),Fetch(AL410)))), "")</f>
        <v/>
      </c>
      <c r="AR410" s="62">
        <f t="array" aca="1" ref="AR410:AU410" ca="1">AC410:AF410 + TRANSPOSE(MMULT(IF($AB410,Fetch(AQ410),$L$61:$O$64),TRANSPOSE(AM410:AP410)))</f>
        <v>-0.29278026671650126</v>
      </c>
      <c r="AS410" s="62">
        <f ca="1"/>
        <v>-0.45475263204524941</v>
      </c>
      <c r="AT410" s="62">
        <f ca="1"/>
        <v>0.21118892745242035</v>
      </c>
      <c r="AU410" s="62">
        <f ca="1"/>
        <v>-0.11140957517508993</v>
      </c>
      <c r="AV410" s="66" t="str">
        <f t="array" ref="AV410">IF($AB410, Push(Fetch(AG410) - MMULT(Fetch(AQ410),MMULT($I$38:$L$41,Fetch(AG410)))), "")</f>
        <v/>
      </c>
      <c r="AW410" s="97">
        <f t="array" aca="1" ref="AW410" ca="1">IF($AB410,LN(MDETERM(Fetch(AL410))),$J$65)   -   MMULT(AM410:AP410,MMULT(IF($AB410,Fetch(AL410),$G$61:$J$64),TRANSPOSE(AM410:AP410)))</f>
        <v>-18.118380410975647</v>
      </c>
    </row>
    <row r="411" spans="23:49" x14ac:dyDescent="0.15">
      <c r="W411" s="12">
        <f t="shared" si="12"/>
        <v>408</v>
      </c>
      <c r="X411" s="62">
        <f t="array" aca="1" ref="X411:AA411" ca="1">simulate!AE411:AH411</f>
        <v>-0.19701564207753652</v>
      </c>
      <c r="Y411" s="62">
        <f ca="1"/>
        <v>-0.26682617055336799</v>
      </c>
      <c r="Z411" s="62">
        <f ca="1"/>
        <v>0.51347696294663847</v>
      </c>
      <c r="AA411" s="62">
        <f ca="1"/>
        <v>4.553882127547916E-2</v>
      </c>
      <c r="AB411" s="98">
        <f t="shared" si="13"/>
        <v>0</v>
      </c>
      <c r="AC411" s="62">
        <f t="array" aca="1" ref="AC411:AF411" ca="1">TRANSPOSE($G$44:$G$47 + MMULT($I$44:$L$47,TRANSPOSE(AR410:AU410)))</f>
        <v>5.8263176853635995E-2</v>
      </c>
      <c r="AD411" s="62">
        <f ca="1"/>
        <v>-0.21795255075205042</v>
      </c>
      <c r="AE411" s="62">
        <f ca="1"/>
        <v>0.10512156350023846</v>
      </c>
      <c r="AF411" s="62">
        <f ca="1"/>
        <v>0.1244077956089128</v>
      </c>
      <c r="AG411" s="66" t="str">
        <f t="array" ref="AG411">IF($AB411, Push(MMULT($I$44:$L$47,MMULT(Fetch(AV410),TRANSPOSE($I$44:$L$47))) + $N$44:$Q$47), "")</f>
        <v/>
      </c>
      <c r="AH411" s="62">
        <f t="array" aca="1" ref="AH411:AK411" ca="1">TRANSPOSE($G$38:$G$41 + MMULT($I$38:$L$41,TRANSPOSE(AC411:AF411)))</f>
        <v>0.34798428031290596</v>
      </c>
      <c r="AI411" s="62">
        <f ca="1"/>
        <v>-0.13257996537018762</v>
      </c>
      <c r="AJ411" s="62">
        <f ca="1"/>
        <v>0.33065725294145198</v>
      </c>
      <c r="AK411" s="62">
        <f ca="1"/>
        <v>0.15743608469721093</v>
      </c>
      <c r="AL411" s="66" t="str">
        <f t="array" ref="AL411">IF($AB411, Push(MINVERSE(MMULT($I$38:$L$41,MMULT(Fetch(AG411),TRANSPOSE($I$38:$L$41))) + $N$38:$Q$41)), "")</f>
        <v/>
      </c>
      <c r="AM411" s="62">
        <f t="array" aca="1" ref="AM411:AP411" ca="1">X411:AA411 - AH411:AK411</f>
        <v>-0.54499992239044248</v>
      </c>
      <c r="AN411" s="62">
        <f ca="1"/>
        <v>-0.13424620518318037</v>
      </c>
      <c r="AO411" s="62">
        <f ca="1"/>
        <v>0.18281971000518649</v>
      </c>
      <c r="AP411" s="62">
        <f ca="1"/>
        <v>-0.11189726342173177</v>
      </c>
      <c r="AQ411" s="66" t="str">
        <f t="array" ref="AQ411">IF($AB411, Push(MMULT(Fetch(AG411),MMULT(TRANSPOSE($I$38:$L$41),Fetch(AL411)))), "")</f>
        <v/>
      </c>
      <c r="AR411" s="62">
        <f t="array" aca="1" ref="AR411:AU411" ca="1">AC411:AF411 + TRANSPOSE(MMULT(IF($AB411,Fetch(AQ411),$L$61:$O$64),TRANSPOSE(AM411:AP411)))</f>
        <v>-0.13991045945866229</v>
      </c>
      <c r="AS411" s="62">
        <f ca="1"/>
        <v>-0.26001342956550288</v>
      </c>
      <c r="AT411" s="62">
        <f ca="1"/>
        <v>-0.11856774084599148</v>
      </c>
      <c r="AU411" s="62">
        <f ca="1"/>
        <v>0.15690309509206346</v>
      </c>
      <c r="AV411" s="66" t="str">
        <f t="array" ref="AV411">IF($AB411, Push(Fetch(AG411) - MMULT(Fetch(AQ411),MMULT($I$38:$L$41,Fetch(AG411)))), "")</f>
        <v/>
      </c>
      <c r="AW411" s="97">
        <f t="array" aca="1" ref="AW411" ca="1">IF($AB411,LN(MDETERM(Fetch(AL411))),$J$65)   -   MMULT(AM411:AP411,MMULT(IF($AB411,Fetch(AL411),$G$61:$J$64),TRANSPOSE(AM411:AP411)))</f>
        <v>5.4637778225209441</v>
      </c>
    </row>
    <row r="412" spans="23:49" x14ac:dyDescent="0.15">
      <c r="W412" s="12">
        <f t="shared" si="12"/>
        <v>409</v>
      </c>
      <c r="X412" s="62">
        <f t="array" aca="1" ref="X412:AA412" ca="1">simulate!AE412:AH412</f>
        <v>-0.66380737113996013</v>
      </c>
      <c r="Y412" s="62">
        <f ca="1"/>
        <v>5.9328276130515389E-2</v>
      </c>
      <c r="Z412" s="62">
        <f ca="1"/>
        <v>1.0133222105830366</v>
      </c>
      <c r="AA412" s="62">
        <f ca="1"/>
        <v>-1.0110557106178832</v>
      </c>
      <c r="AB412" s="98">
        <f t="shared" si="13"/>
        <v>0</v>
      </c>
      <c r="AC412" s="62">
        <f t="array" aca="1" ref="AC412:AF412" ca="1">TRANSPOSE($G$44:$G$47 + MMULT($I$44:$L$47,TRANSPOSE(AR411:AU411)))</f>
        <v>0.15906463831119902</v>
      </c>
      <c r="AD412" s="62">
        <f ca="1"/>
        <v>-0.11766054863387609</v>
      </c>
      <c r="AE412" s="62">
        <f ca="1"/>
        <v>9.2358613056710975E-3</v>
      </c>
      <c r="AF412" s="62">
        <f ca="1"/>
        <v>0.23698600473483664</v>
      </c>
      <c r="AG412" s="66" t="str">
        <f t="array" ref="AG412">IF($AB412, Push(MMULT($I$44:$L$47,MMULT(Fetch(AV411),TRANSPOSE($I$44:$L$47))) + $N$44:$Q$47), "")</f>
        <v/>
      </c>
      <c r="AH412" s="62">
        <f t="array" aca="1" ref="AH412:AK412" ca="1">TRANSPOSE($G$38:$G$41 + MMULT($I$38:$L$41,TRANSPOSE(AC412:AF412)))</f>
        <v>0.3217707889450549</v>
      </c>
      <c r="AI412" s="62">
        <f ca="1"/>
        <v>3.8729610126542115E-2</v>
      </c>
      <c r="AJ412" s="62">
        <f ca="1"/>
        <v>0.43448006812434775</v>
      </c>
      <c r="AK412" s="62">
        <f ca="1"/>
        <v>0.12174229480128866</v>
      </c>
      <c r="AL412" s="66" t="str">
        <f t="array" ref="AL412">IF($AB412, Push(MINVERSE(MMULT($I$38:$L$41,MMULT(Fetch(AG412),TRANSPOSE($I$38:$L$41))) + $N$38:$Q$41)), "")</f>
        <v/>
      </c>
      <c r="AM412" s="62">
        <f t="array" aca="1" ref="AM412:AP412" ca="1">X412:AA412 - AH412:AK412</f>
        <v>-0.98557816008501509</v>
      </c>
      <c r="AN412" s="62">
        <f ca="1"/>
        <v>2.0598666003973275E-2</v>
      </c>
      <c r="AO412" s="62">
        <f ca="1"/>
        <v>0.57884214245868892</v>
      </c>
      <c r="AP412" s="62">
        <f ca="1"/>
        <v>-1.132798005419172</v>
      </c>
      <c r="AQ412" s="66" t="str">
        <f t="array" ref="AQ412">IF($AB412, Push(MMULT(Fetch(AG412),MMULT(TRANSPOSE($I$38:$L$41),Fetch(AL412)))), "")</f>
        <v/>
      </c>
      <c r="AR412" s="62">
        <f t="array" aca="1" ref="AR412:AU412" ca="1">AC412:AF412 + TRANSPOSE(MMULT(IF($AB412,Fetch(AQ412),$L$61:$O$64),TRANSPOSE(AM412:AP412)))</f>
        <v>0.11300478161146651</v>
      </c>
      <c r="AS412" s="62">
        <f ca="1"/>
        <v>-0.28023115604547605</v>
      </c>
      <c r="AT412" s="62">
        <f ca="1"/>
        <v>-0.99941553421380158</v>
      </c>
      <c r="AU412" s="62">
        <f ca="1"/>
        <v>7.3915292849706299E-2</v>
      </c>
      <c r="AV412" s="66" t="str">
        <f t="array" ref="AV412">IF($AB412, Push(Fetch(AG412) - MMULT(Fetch(AQ412),MMULT($I$38:$L$41,Fetch(AG412)))), "")</f>
        <v/>
      </c>
      <c r="AW412" s="97">
        <f t="array" aca="1" ref="AW412" ca="1">IF($AB412,LN(MDETERM(Fetch(AL412))),$J$65)   -   MMULT(AM412:AP412,MMULT(IF($AB412,Fetch(AL412),$G$61:$J$64),TRANSPOSE(AM412:AP412)))</f>
        <v>-5.6988981109625865</v>
      </c>
    </row>
    <row r="413" spans="23:49" x14ac:dyDescent="0.15">
      <c r="W413" s="12">
        <f t="shared" si="12"/>
        <v>410</v>
      </c>
      <c r="X413" s="62">
        <f t="array" aca="1" ref="X413:AA413" ca="1">simulate!AE413:AH413</f>
        <v>0.63729895404376213</v>
      </c>
      <c r="Y413" s="62">
        <f ca="1"/>
        <v>0.29061210940879356</v>
      </c>
      <c r="Z413" s="62">
        <f ca="1"/>
        <v>0.35627810369711255</v>
      </c>
      <c r="AA413" s="62">
        <f ca="1"/>
        <v>-0.41279045497132283</v>
      </c>
      <c r="AB413" s="98">
        <f t="shared" si="13"/>
        <v>0</v>
      </c>
      <c r="AC413" s="62">
        <f t="array" aca="1" ref="AC413:AF413" ca="1">TRANSPOSE($G$44:$G$47 + MMULT($I$44:$L$47,TRANSPOSE(AR412:AU412)))</f>
        <v>0.22597573383672845</v>
      </c>
      <c r="AD413" s="62">
        <f ca="1"/>
        <v>-0.2237815098727787</v>
      </c>
      <c r="AE413" s="62">
        <f ca="1"/>
        <v>-0.46404836568652197</v>
      </c>
      <c r="AF413" s="62">
        <f ca="1"/>
        <v>5.9867045749510295E-2</v>
      </c>
      <c r="AG413" s="66" t="str">
        <f t="array" ref="AG413">IF($AB413, Push(MMULT($I$44:$L$47,MMULT(Fetch(AV412),TRANSPOSE($I$44:$L$47))) + $N$44:$Q$47), "")</f>
        <v/>
      </c>
      <c r="AH413" s="62">
        <f t="array" aca="1" ref="AH413:AK413" ca="1">TRANSPOSE($G$38:$G$41 + MMULT($I$38:$L$41,TRANSPOSE(AC413:AF413)))</f>
        <v>0.12464370792139817</v>
      </c>
      <c r="AI413" s="62">
        <f ca="1"/>
        <v>5.7157347745728594E-2</v>
      </c>
      <c r="AJ413" s="62">
        <f ca="1"/>
        <v>0.39674916258935655</v>
      </c>
      <c r="AK413" s="62">
        <f ca="1"/>
        <v>-0.35834681093969462</v>
      </c>
      <c r="AL413" s="66" t="str">
        <f t="array" ref="AL413">IF($AB413, Push(MINVERSE(MMULT($I$38:$L$41,MMULT(Fetch(AG413),TRANSPOSE($I$38:$L$41))) + $N$38:$Q$41)), "")</f>
        <v/>
      </c>
      <c r="AM413" s="62">
        <f t="array" aca="1" ref="AM413:AP413" ca="1">X413:AA413 - AH413:AK413</f>
        <v>0.51265524612236391</v>
      </c>
      <c r="AN413" s="62">
        <f ca="1"/>
        <v>0.23345476166306497</v>
      </c>
      <c r="AO413" s="62">
        <f ca="1"/>
        <v>-4.0471058892244005E-2</v>
      </c>
      <c r="AP413" s="62">
        <f ca="1"/>
        <v>-5.4443644031628213E-2</v>
      </c>
      <c r="AQ413" s="66" t="str">
        <f t="array" ref="AQ413">IF($AB413, Push(MMULT(Fetch(AG413),MMULT(TRANSPOSE($I$38:$L$41),Fetch(AL413)))), "")</f>
        <v/>
      </c>
      <c r="AR413" s="62">
        <f t="array" aca="1" ref="AR413:AU413" ca="1">AC413:AF413 + TRANSPOSE(MMULT(IF($AB413,Fetch(AQ413),$L$61:$O$64),TRANSPOSE(AM413:AP413)))</f>
        <v>0.49800441371033544</v>
      </c>
      <c r="AS413" s="62">
        <f ca="1"/>
        <v>-0.18235381784566201</v>
      </c>
      <c r="AT413" s="62">
        <f ca="1"/>
        <v>-0.35012483988450294</v>
      </c>
      <c r="AU413" s="62">
        <f ca="1"/>
        <v>2.7875315713041617E-2</v>
      </c>
      <c r="AV413" s="66" t="str">
        <f t="array" ref="AV413">IF($AB413, Push(Fetch(AG413) - MMULT(Fetch(AQ413),MMULT($I$38:$L$41,Fetch(AG413)))), "")</f>
        <v/>
      </c>
      <c r="AW413" s="97">
        <f t="array" aca="1" ref="AW413" ca="1">IF($AB413,LN(MDETERM(Fetch(AL413))),$J$65)   -   MMULT(AM413:AP413,MMULT(IF($AB413,Fetch(AL413),$G$61:$J$64),TRANSPOSE(AM413:AP413)))</f>
        <v>5.3198518942212267</v>
      </c>
    </row>
    <row r="414" spans="23:49" x14ac:dyDescent="0.15">
      <c r="W414" s="12">
        <f t="shared" si="12"/>
        <v>411</v>
      </c>
      <c r="X414" s="62">
        <f t="array" aca="1" ref="X414:AA414" ca="1">simulate!AE414:AH414</f>
        <v>-0.48275832187865342</v>
      </c>
      <c r="Y414" s="62">
        <f ca="1"/>
        <v>-7.6766769459116813E-2</v>
      </c>
      <c r="Z414" s="62">
        <f ca="1"/>
        <v>-0.32344244378268161</v>
      </c>
      <c r="AA414" s="62">
        <f ca="1"/>
        <v>-0.50121853329326282</v>
      </c>
      <c r="AB414" s="98">
        <f t="shared" si="13"/>
        <v>0</v>
      </c>
      <c r="AC414" s="62">
        <f t="array" aca="1" ref="AC414:AF414" ca="1">TRANSPOSE($G$44:$G$47 + MMULT($I$44:$L$47,TRANSPOSE(AR413:AU413)))</f>
        <v>0.49239570236381164</v>
      </c>
      <c r="AD414" s="62">
        <f ca="1"/>
        <v>-1.559998335424629E-2</v>
      </c>
      <c r="AE414" s="62">
        <f ca="1"/>
        <v>-7.6899358349941146E-2</v>
      </c>
      <c r="AF414" s="62">
        <f ca="1"/>
        <v>0.16588930928838125</v>
      </c>
      <c r="AG414" s="66" t="str">
        <f t="array" ref="AG414">IF($AB414, Push(MMULT($I$44:$L$47,MMULT(Fetch(AV413),TRANSPOSE($I$44:$L$47))) + $N$44:$Q$47), "")</f>
        <v/>
      </c>
      <c r="AH414" s="62">
        <f t="array" aca="1" ref="AH414:AK414" ca="1">TRANSPOSE($G$38:$G$41 + MMULT($I$38:$L$41,TRANSPOSE(AC414:AF414)))</f>
        <v>0.52025935697542858</v>
      </c>
      <c r="AI414" s="62">
        <f ca="1"/>
        <v>0.25901657390168764</v>
      </c>
      <c r="AJ414" s="62">
        <f ca="1"/>
        <v>0.4732104450554509</v>
      </c>
      <c r="AK414" s="62">
        <f ca="1"/>
        <v>-8.9387696604303457E-2</v>
      </c>
      <c r="AL414" s="66" t="str">
        <f t="array" ref="AL414">IF($AB414, Push(MINVERSE(MMULT($I$38:$L$41,MMULT(Fetch(AG414),TRANSPOSE($I$38:$L$41))) + $N$38:$Q$41)), "")</f>
        <v/>
      </c>
      <c r="AM414" s="62">
        <f t="array" aca="1" ref="AM414:AP414" ca="1">X414:AA414 - AH414:AK414</f>
        <v>-1.0030176788540821</v>
      </c>
      <c r="AN414" s="62">
        <f ca="1"/>
        <v>-0.33578334336080445</v>
      </c>
      <c r="AO414" s="62">
        <f ca="1"/>
        <v>-0.79665288883813257</v>
      </c>
      <c r="AP414" s="62">
        <f ca="1"/>
        <v>-0.41183083668895937</v>
      </c>
      <c r="AQ414" s="66" t="str">
        <f t="array" ref="AQ414">IF($AB414, Push(MMULT(Fetch(AG414),MMULT(TRANSPOSE($I$38:$L$41),Fetch(AL414)))), "")</f>
        <v/>
      </c>
      <c r="AR414" s="62">
        <f t="array" aca="1" ref="AR414:AU414" ca="1">AC414:AF414 + TRANSPOSE(MMULT(IF($AB414,Fetch(AQ414),$L$61:$O$64),TRANSPOSE(AM414:AP414)))</f>
        <v>-0.12425324481011474</v>
      </c>
      <c r="AS414" s="62">
        <f ca="1"/>
        <v>5.3108757213535911E-2</v>
      </c>
      <c r="AT414" s="62">
        <f ca="1"/>
        <v>-0.80431621552803101</v>
      </c>
      <c r="AU414" s="62">
        <f ca="1"/>
        <v>-0.30846074186594535</v>
      </c>
      <c r="AV414" s="66" t="str">
        <f t="array" ref="AV414">IF($AB414, Push(Fetch(AG414) - MMULT(Fetch(AQ414),MMULT($I$38:$L$41,Fetch(AG414)))), "")</f>
        <v/>
      </c>
      <c r="AW414" s="97">
        <f t="array" aca="1" ref="AW414" ca="1">IF($AB414,LN(MDETERM(Fetch(AL414))),$J$65)   -   MMULT(AM414:AP414,MMULT(IF($AB414,Fetch(AL414),$G$61:$J$64),TRANSPOSE(AM414:AP414)))</f>
        <v>-0.76361580594843304</v>
      </c>
    </row>
    <row r="415" spans="23:49" x14ac:dyDescent="0.15">
      <c r="W415" s="12">
        <f t="shared" si="12"/>
        <v>412</v>
      </c>
      <c r="X415" s="62">
        <f t="array" aca="1" ref="X415:AA415" ca="1">simulate!AE415:AH415</f>
        <v>-9.6594456149829422E-3</v>
      </c>
      <c r="Y415" s="62">
        <f ca="1"/>
        <v>0.23414503638135442</v>
      </c>
      <c r="Z415" s="62">
        <f ca="1"/>
        <v>-0.92716578645929815</v>
      </c>
      <c r="AA415" s="62">
        <f ca="1"/>
        <v>-0.65790613243504814</v>
      </c>
      <c r="AB415" s="98">
        <f t="shared" si="13"/>
        <v>0</v>
      </c>
      <c r="AC415" s="62">
        <f t="array" aca="1" ref="AC415:AF415" ca="1">TRANSPOSE($G$44:$G$47 + MMULT($I$44:$L$47,TRANSPOSE(AR414:AU414)))</f>
        <v>0.14268261294813761</v>
      </c>
      <c r="AD415" s="62">
        <f ca="1"/>
        <v>-8.0620115239148943E-2</v>
      </c>
      <c r="AE415" s="62">
        <f ca="1"/>
        <v>-0.37803637752672947</v>
      </c>
      <c r="AF415" s="62">
        <f ca="1"/>
        <v>-0.10264155833735805</v>
      </c>
      <c r="AG415" s="66" t="str">
        <f t="array" ref="AG415">IF($AB415, Push(MMULT($I$44:$L$47,MMULT(Fetch(AV414),TRANSPOSE($I$44:$L$47))) + $N$44:$Q$47), "")</f>
        <v/>
      </c>
      <c r="AH415" s="62">
        <f t="array" aca="1" ref="AH415:AK415" ca="1">TRANSPOSE($G$38:$G$41 + MMULT($I$38:$L$41,TRANSPOSE(AC415:AF415)))</f>
        <v>0.15838543283833717</v>
      </c>
      <c r="AI415" s="62">
        <f ca="1"/>
        <v>9.7159138797447947E-2</v>
      </c>
      <c r="AJ415" s="62">
        <f ca="1"/>
        <v>0.1664362620407005</v>
      </c>
      <c r="AK415" s="62">
        <f ca="1"/>
        <v>-0.2844728780308593</v>
      </c>
      <c r="AL415" s="66" t="str">
        <f t="array" ref="AL415">IF($AB415, Push(MINVERSE(MMULT($I$38:$L$41,MMULT(Fetch(AG415),TRANSPOSE($I$38:$L$41))) + $N$38:$Q$41)), "")</f>
        <v/>
      </c>
      <c r="AM415" s="62">
        <f t="array" aca="1" ref="AM415:AP415" ca="1">X415:AA415 - AH415:AK415</f>
        <v>-0.16804487845332011</v>
      </c>
      <c r="AN415" s="62">
        <f ca="1"/>
        <v>0.13698589758390647</v>
      </c>
      <c r="AO415" s="62">
        <f ca="1"/>
        <v>-1.0936020484999986</v>
      </c>
      <c r="AP415" s="62">
        <f ca="1"/>
        <v>-0.37343325440418884</v>
      </c>
      <c r="AQ415" s="66" t="str">
        <f t="array" ref="AQ415">IF($AB415, Push(MMULT(Fetch(AG415),MMULT(TRANSPOSE($I$38:$L$41),Fetch(AL415)))), "")</f>
        <v/>
      </c>
      <c r="AR415" s="62">
        <f t="array" aca="1" ref="AR415:AU415" ca="1">AC415:AF415 + TRANSPOSE(MMULT(IF($AB415,Fetch(AQ415),$L$61:$O$64),TRANSPOSE(AM415:AP415)))</f>
        <v>-0.10286673811158778</v>
      </c>
      <c r="AS415" s="62">
        <f ca="1"/>
        <v>0.18201539745380321</v>
      </c>
      <c r="AT415" s="62">
        <f ca="1"/>
        <v>-0.88686073651258712</v>
      </c>
      <c r="AU415" s="62">
        <f ca="1"/>
        <v>-0.67821789577368219</v>
      </c>
      <c r="AV415" s="66" t="str">
        <f t="array" ref="AV415">IF($AB415, Push(Fetch(AG415) - MMULT(Fetch(AQ415),MMULT($I$38:$L$41,Fetch(AG415)))), "")</f>
        <v/>
      </c>
      <c r="AW415" s="97">
        <f t="array" aca="1" ref="AW415" ca="1">IF($AB415,LN(MDETERM(Fetch(AL415))),$J$65)   -   MMULT(AM415:AP415,MMULT(IF($AB415,Fetch(AL415),$G$61:$J$64),TRANSPOSE(AM415:AP415)))</f>
        <v>0.45756314338206217</v>
      </c>
    </row>
    <row r="416" spans="23:49" x14ac:dyDescent="0.15">
      <c r="W416" s="12">
        <f t="shared" si="12"/>
        <v>413</v>
      </c>
      <c r="X416" s="62">
        <f t="array" aca="1" ref="X416:AA416" ca="1">simulate!AE416:AH416</f>
        <v>-0.92832261720822529</v>
      </c>
      <c r="Y416" s="62">
        <f ca="1"/>
        <v>0.48960665074069382</v>
      </c>
      <c r="Z416" s="62">
        <f ca="1"/>
        <v>-0.64209393455642161</v>
      </c>
      <c r="AA416" s="62">
        <f ca="1"/>
        <v>-0.94340701742471611</v>
      </c>
      <c r="AB416" s="98">
        <f t="shared" si="13"/>
        <v>0</v>
      </c>
      <c r="AC416" s="62">
        <f t="array" aca="1" ref="AC416:AF416" ca="1">TRANSPOSE($G$44:$G$47 + MMULT($I$44:$L$47,TRANSPOSE(AR415:AU415)))</f>
        <v>0.14966524808344084</v>
      </c>
      <c r="AD416" s="62">
        <f ca="1"/>
        <v>-4.6065117029216639E-2</v>
      </c>
      <c r="AE416" s="62">
        <f ca="1"/>
        <v>-0.45488579078641223</v>
      </c>
      <c r="AF416" s="62">
        <f ca="1"/>
        <v>-0.30553617414245854</v>
      </c>
      <c r="AG416" s="66" t="str">
        <f t="array" ref="AG416">IF($AB416, Push(MMULT($I$44:$L$47,MMULT(Fetch(AV415),TRANSPOSE($I$44:$L$47))) + $N$44:$Q$47), "")</f>
        <v/>
      </c>
      <c r="AH416" s="62">
        <f t="array" aca="1" ref="AH416:AK416" ca="1">TRANSPOSE($G$38:$G$41 + MMULT($I$38:$L$41,TRANSPOSE(AC416:AF416)))</f>
        <v>0.17038202382885342</v>
      </c>
      <c r="AI416" s="62">
        <f ca="1"/>
        <v>0.10961193825116436</v>
      </c>
      <c r="AJ416" s="62">
        <f ca="1"/>
        <v>-6.3040163369951774E-3</v>
      </c>
      <c r="AK416" s="62">
        <f ca="1"/>
        <v>-0.41929375309160916</v>
      </c>
      <c r="AL416" s="66" t="str">
        <f t="array" ref="AL416">IF($AB416, Push(MINVERSE(MMULT($I$38:$L$41,MMULT(Fetch(AG416),TRANSPOSE($I$38:$L$41))) + $N$38:$Q$41)), "")</f>
        <v/>
      </c>
      <c r="AM416" s="62">
        <f t="array" aca="1" ref="AM416:AP416" ca="1">X416:AA416 - AH416:AK416</f>
        <v>-1.0987046410370787</v>
      </c>
      <c r="AN416" s="62">
        <f ca="1"/>
        <v>0.37999471248952943</v>
      </c>
      <c r="AO416" s="62">
        <f ca="1"/>
        <v>-0.63578991821942643</v>
      </c>
      <c r="AP416" s="62">
        <f ca="1"/>
        <v>-0.52411326433310701</v>
      </c>
      <c r="AQ416" s="66" t="str">
        <f t="array" ref="AQ416">IF($AB416, Push(MMULT(Fetch(AG416),MMULT(TRANSPOSE($I$38:$L$41),Fetch(AL416)))), "")</f>
        <v/>
      </c>
      <c r="AR416" s="62">
        <f t="array" aca="1" ref="AR416:AU416" ca="1">AC416:AF416 + TRANSPOSE(MMULT(IF($AB416,Fetch(AQ416),$L$61:$O$64),TRANSPOSE(AM416:AP416)))</f>
        <v>-0.3328103711546232</v>
      </c>
      <c r="AS416" s="62">
        <f ca="1"/>
        <v>0.39161719019089469</v>
      </c>
      <c r="AT416" s="62">
        <f ca="1"/>
        <v>-1.3539706683670576</v>
      </c>
      <c r="AU416" s="62">
        <f ca="1"/>
        <v>-0.74888427536234303</v>
      </c>
      <c r="AV416" s="66" t="str">
        <f t="array" ref="AV416">IF($AB416, Push(Fetch(AG416) - MMULT(Fetch(AQ416),MMULT($I$38:$L$41,Fetch(AG416)))), "")</f>
        <v/>
      </c>
      <c r="AW416" s="97">
        <f t="array" aca="1" ref="AW416" ca="1">IF($AB416,LN(MDETERM(Fetch(AL416))),$J$65)   -   MMULT(AM416:AP416,MMULT(IF($AB416,Fetch(AL416),$G$61:$J$64),TRANSPOSE(AM416:AP416)))</f>
        <v>-1.1347490165747338</v>
      </c>
    </row>
    <row r="417" spans="23:49" x14ac:dyDescent="0.15">
      <c r="W417" s="12">
        <f t="shared" si="12"/>
        <v>414</v>
      </c>
      <c r="X417" s="62">
        <f t="array" aca="1" ref="X417:AA417" ca="1">simulate!AE417:AH417</f>
        <v>0.96793847475589745</v>
      </c>
      <c r="Y417" s="62">
        <f ca="1"/>
        <v>8.3113297560457988E-2</v>
      </c>
      <c r="Z417" s="62">
        <f ca="1"/>
        <v>-0.92351012426639256</v>
      </c>
      <c r="AA417" s="62">
        <f ca="1"/>
        <v>7.6668460084097112E-2</v>
      </c>
      <c r="AB417" s="98">
        <f t="shared" si="13"/>
        <v>0</v>
      </c>
      <c r="AC417" s="62">
        <f t="array" aca="1" ref="AC417:AF417" ca="1">TRANSPOSE($G$44:$G$47 + MMULT($I$44:$L$47,TRANSPOSE(AR416:AU416)))</f>
        <v>1.9851217244272024E-2</v>
      </c>
      <c r="AD417" s="62">
        <f ca="1"/>
        <v>-4.4356518336091687E-2</v>
      </c>
      <c r="AE417" s="62">
        <f ca="1"/>
        <v>-0.69995541894111257</v>
      </c>
      <c r="AF417" s="62">
        <f ca="1"/>
        <v>-0.41567098360679683</v>
      </c>
      <c r="AG417" s="66" t="str">
        <f t="array" ref="AG417">IF($AB417, Push(MMULT($I$44:$L$47,MMULT(Fetch(AV416),TRANSPOSE($I$44:$L$47))) + $N$44:$Q$47), "")</f>
        <v/>
      </c>
      <c r="AH417" s="62">
        <f t="array" aca="1" ref="AH417:AK417" ca="1">TRANSPOSE($G$38:$G$41 + MMULT($I$38:$L$41,TRANSPOSE(AC417:AF417)))</f>
        <v>-4.7113401539328803E-2</v>
      </c>
      <c r="AI417" s="62">
        <f ca="1"/>
        <v>0.10405546300535021</v>
      </c>
      <c r="AJ417" s="62">
        <f ca="1"/>
        <v>-0.12632995523547336</v>
      </c>
      <c r="AK417" s="62">
        <f ca="1"/>
        <v>-0.58452704371468789</v>
      </c>
      <c r="AL417" s="66" t="str">
        <f t="array" ref="AL417">IF($AB417, Push(MINVERSE(MMULT($I$38:$L$41,MMULT(Fetch(AG417),TRANSPOSE($I$38:$L$41))) + $N$38:$Q$41)), "")</f>
        <v/>
      </c>
      <c r="AM417" s="62">
        <f t="array" aca="1" ref="AM417:AP417" ca="1">X417:AA417 - AH417:AK417</f>
        <v>1.0150518762952263</v>
      </c>
      <c r="AN417" s="62">
        <f ca="1"/>
        <v>-2.0942165444892219E-2</v>
      </c>
      <c r="AO417" s="62">
        <f ca="1"/>
        <v>-0.79718016903091926</v>
      </c>
      <c r="AP417" s="62">
        <f ca="1"/>
        <v>0.661195503798785</v>
      </c>
      <c r="AQ417" s="66" t="str">
        <f t="array" ref="AQ417">IF($AB417, Push(MMULT(Fetch(AG417),MMULT(TRANSPOSE($I$38:$L$41),Fetch(AL417)))), "")</f>
        <v/>
      </c>
      <c r="AR417" s="62">
        <f t="array" aca="1" ref="AR417:AU417" ca="1">AC417:AF417 + TRANSPOSE(MMULT(IF($AB417,Fetch(AQ417),$L$61:$O$64),TRANSPOSE(AM417:AP417)))</f>
        <v>0.13032602269517921</v>
      </c>
      <c r="AS417" s="62">
        <f ca="1"/>
        <v>6.5046194692894826E-2</v>
      </c>
      <c r="AT417" s="62">
        <f ca="1"/>
        <v>-2.8063412687842848E-2</v>
      </c>
      <c r="AU417" s="62">
        <f ca="1"/>
        <v>-0.50608525497198031</v>
      </c>
      <c r="AV417" s="66" t="str">
        <f t="array" ref="AV417">IF($AB417, Push(Fetch(AG417) - MMULT(Fetch(AQ417),MMULT($I$38:$L$41,Fetch(AG417)))), "")</f>
        <v/>
      </c>
      <c r="AW417" s="97">
        <f t="array" aca="1" ref="AW417" ca="1">IF($AB417,LN(MDETERM(Fetch(AL417))),$J$65)   -   MMULT(AM417:AP417,MMULT(IF($AB417,Fetch(AL417),$G$61:$J$64),TRANSPOSE(AM417:AP417)))</f>
        <v>-3.6278158399871607</v>
      </c>
    </row>
    <row r="418" spans="23:49" x14ac:dyDescent="0.15">
      <c r="W418" s="12">
        <f t="shared" si="12"/>
        <v>415</v>
      </c>
      <c r="X418" s="62">
        <f t="array" aca="1" ref="X418:AA418" ca="1">simulate!AE418:AH418</f>
        <v>0.39980886942282334</v>
      </c>
      <c r="Y418" s="62">
        <f ca="1"/>
        <v>-0.26237395535317598</v>
      </c>
      <c r="Z418" s="62">
        <f ca="1"/>
        <v>0.98188928990457136</v>
      </c>
      <c r="AA418" s="62">
        <f ca="1"/>
        <v>-0.41178952570690025</v>
      </c>
      <c r="AB418" s="98">
        <f t="shared" si="13"/>
        <v>0</v>
      </c>
      <c r="AC418" s="62">
        <f t="array" aca="1" ref="AC418:AF418" ca="1">TRANSPOSE($G$44:$G$47 + MMULT($I$44:$L$47,TRANSPOSE(AR417:AU417)))</f>
        <v>0.32770062367886171</v>
      </c>
      <c r="AD418" s="62">
        <f ca="1"/>
        <v>6.7971368908480809E-2</v>
      </c>
      <c r="AE418" s="62">
        <f ca="1"/>
        <v>3.201150455394812E-2</v>
      </c>
      <c r="AF418" s="62">
        <f ca="1"/>
        <v>-7.0257693634148077E-2</v>
      </c>
      <c r="AG418" s="66" t="str">
        <f t="array" ref="AG418">IF($AB418, Push(MMULT($I$44:$L$47,MMULT(Fetch(AV417),TRANSPOSE($I$44:$L$47))) + $N$44:$Q$47), "")</f>
        <v/>
      </c>
      <c r="AH418" s="62">
        <f t="array" aca="1" ref="AH418:AK418" ca="1">TRANSPOSE($G$38:$G$41 + MMULT($I$38:$L$41,TRANSPOSE(AC418:AF418)))</f>
        <v>0.53443782553589925</v>
      </c>
      <c r="AI418" s="62">
        <f ca="1"/>
        <v>0.19665554643963368</v>
      </c>
      <c r="AJ418" s="62">
        <f ca="1"/>
        <v>0.17042729616492486</v>
      </c>
      <c r="AK418" s="62">
        <f ca="1"/>
        <v>-1.2134470516842827E-2</v>
      </c>
      <c r="AL418" s="66" t="str">
        <f t="array" ref="AL418">IF($AB418, Push(MINVERSE(MMULT($I$38:$L$41,MMULT(Fetch(AG418),TRANSPOSE($I$38:$L$41))) + $N$38:$Q$41)), "")</f>
        <v/>
      </c>
      <c r="AM418" s="62">
        <f t="array" aca="1" ref="AM418:AP418" ca="1">X418:AA418 - AH418:AK418</f>
        <v>-0.1346289561130759</v>
      </c>
      <c r="AN418" s="62">
        <f ca="1"/>
        <v>-0.45902950179280966</v>
      </c>
      <c r="AO418" s="62">
        <f ca="1"/>
        <v>0.81146199373964656</v>
      </c>
      <c r="AP418" s="62">
        <f ca="1"/>
        <v>-0.3996550551900574</v>
      </c>
      <c r="AQ418" s="66" t="str">
        <f t="array" ref="AQ418">IF($AB418, Push(MMULT(Fetch(AG418),MMULT(TRANSPOSE($I$38:$L$41),Fetch(AL418)))), "")</f>
        <v/>
      </c>
      <c r="AR418" s="62">
        <f t="array" aca="1" ref="AR418:AU418" ca="1">AC418:AF418 + TRANSPOSE(MMULT(IF($AB418,Fetch(AQ418),$L$61:$O$64),TRANSPOSE(AM418:AP418)))</f>
        <v>0.48768480612134157</v>
      </c>
      <c r="AS418" s="62">
        <f ca="1"/>
        <v>-0.41987032993011802</v>
      </c>
      <c r="AT418" s="62">
        <f ca="1"/>
        <v>-8.5284308465954209E-2</v>
      </c>
      <c r="AU418" s="62">
        <f ca="1"/>
        <v>0.11712960450883825</v>
      </c>
      <c r="AV418" s="66" t="str">
        <f t="array" ref="AV418">IF($AB418, Push(Fetch(AG418) - MMULT(Fetch(AQ418),MMULT($I$38:$L$41,Fetch(AG418)))), "")</f>
        <v/>
      </c>
      <c r="AW418" s="97">
        <f t="array" aca="1" ref="AW418" ca="1">IF($AB418,LN(MDETERM(Fetch(AL418))),$J$65)   -   MMULT(AM418:AP418,MMULT(IF($AB418,Fetch(AL418),$G$61:$J$64),TRANSPOSE(AM418:AP418)))</f>
        <v>2.1191572055890573</v>
      </c>
    </row>
    <row r="419" spans="23:49" x14ac:dyDescent="0.15">
      <c r="W419" s="12">
        <f t="shared" si="12"/>
        <v>416</v>
      </c>
      <c r="X419" s="62">
        <f t="array" aca="1" ref="X419:AA419" ca="1">simulate!AE419:AH419</f>
        <v>0.36736744915634395</v>
      </c>
      <c r="Y419" s="62">
        <f ca="1"/>
        <v>1.0232917198690266</v>
      </c>
      <c r="Z419" s="62">
        <f ca="1"/>
        <v>1.0924311789465087</v>
      </c>
      <c r="AA419" s="62">
        <f ca="1"/>
        <v>0.468471865452179</v>
      </c>
      <c r="AB419" s="98">
        <f t="shared" si="13"/>
        <v>0</v>
      </c>
      <c r="AC419" s="62">
        <f t="array" aca="1" ref="AC419:AF419" ca="1">TRANSPOSE($G$44:$G$47 + MMULT($I$44:$L$47,TRANSPOSE(AR418:AU418)))</f>
        <v>0.47481347010490127</v>
      </c>
      <c r="AD419" s="62">
        <f ca="1"/>
        <v>-0.10000462118326892</v>
      </c>
      <c r="AE419" s="62">
        <f ca="1"/>
        <v>4.0045482374822416E-2</v>
      </c>
      <c r="AF419" s="62">
        <f ca="1"/>
        <v>0.23968951356333928</v>
      </c>
      <c r="AG419" s="66" t="str">
        <f t="array" ref="AG419">IF($AB419, Push(MMULT($I$44:$L$47,MMULT(Fetch(AV418),TRANSPOSE($I$44:$L$47))) + $N$44:$Q$47), "")</f>
        <v/>
      </c>
      <c r="AH419" s="62">
        <f t="array" aca="1" ref="AH419:AK419" ca="1">TRANSPOSE($G$38:$G$41 + MMULT($I$38:$L$41,TRANSPOSE(AC419:AF419)))</f>
        <v>0.56554496807418286</v>
      </c>
      <c r="AI419" s="62">
        <f ca="1"/>
        <v>0.16358828931579875</v>
      </c>
      <c r="AJ419" s="62">
        <f ca="1"/>
        <v>0.54923500738201469</v>
      </c>
      <c r="AK419" s="62">
        <f ca="1"/>
        <v>8.68760891590388E-3</v>
      </c>
      <c r="AL419" s="66" t="str">
        <f t="array" ref="AL419">IF($AB419, Push(MINVERSE(MMULT($I$38:$L$41,MMULT(Fetch(AG419),TRANSPOSE($I$38:$L$41))) + $N$38:$Q$41)), "")</f>
        <v/>
      </c>
      <c r="AM419" s="62">
        <f t="array" aca="1" ref="AM419:AP419" ca="1">X419:AA419 - AH419:AK419</f>
        <v>-0.19817751891783891</v>
      </c>
      <c r="AN419" s="62">
        <f ca="1"/>
        <v>0.85970343055322784</v>
      </c>
      <c r="AO419" s="62">
        <f ca="1"/>
        <v>0.54319617156449396</v>
      </c>
      <c r="AP419" s="62">
        <f ca="1"/>
        <v>0.45978425653627514</v>
      </c>
      <c r="AQ419" s="66" t="str">
        <f t="array" ref="AQ419">IF($AB419, Push(MMULT(Fetch(AG419),MMULT(TRANSPOSE($I$38:$L$41),Fetch(AL419)))), "")</f>
        <v/>
      </c>
      <c r="AR419" s="62">
        <f t="array" aca="1" ref="AR419:AU419" ca="1">AC419:AF419 + TRANSPOSE(MMULT(IF($AB419,Fetch(AQ419),$L$61:$O$64),TRANSPOSE(AM419:AP419)))</f>
        <v>0.5524307303389171</v>
      </c>
      <c r="AS419" s="62">
        <f ca="1"/>
        <v>0.40233148048416267</v>
      </c>
      <c r="AT419" s="62">
        <f ca="1"/>
        <v>0.25441950023287047</v>
      </c>
      <c r="AU419" s="62">
        <f ca="1"/>
        <v>0.62680188248873825</v>
      </c>
      <c r="AV419" s="66" t="str">
        <f t="array" ref="AV419">IF($AB419, Push(Fetch(AG419) - MMULT(Fetch(AQ419),MMULT($I$38:$L$41,Fetch(AG419)))), "")</f>
        <v/>
      </c>
      <c r="AW419" s="97">
        <f t="array" aca="1" ref="AW419" ca="1">IF($AB419,LN(MDETERM(Fetch(AL419))),$J$65)   -   MMULT(AM419:AP419,MMULT(IF($AB419,Fetch(AL419),$G$61:$J$64),TRANSPOSE(AM419:AP419)))</f>
        <v>-7.852941974108159</v>
      </c>
    </row>
    <row r="420" spans="23:49" x14ac:dyDescent="0.15">
      <c r="W420" s="12">
        <f t="shared" si="12"/>
        <v>417</v>
      </c>
      <c r="X420" s="62">
        <f t="array" aca="1" ref="X420:AA420" ca="1">simulate!AE420:AH420</f>
        <v>1.097086753063846</v>
      </c>
      <c r="Y420" s="62">
        <f ca="1"/>
        <v>0.27395378752394206</v>
      </c>
      <c r="Z420" s="62">
        <f ca="1"/>
        <v>0.10755850103203002</v>
      </c>
      <c r="AA420" s="62">
        <f ca="1"/>
        <v>0.93599556552916408</v>
      </c>
      <c r="AB420" s="98">
        <f t="shared" si="13"/>
        <v>0</v>
      </c>
      <c r="AC420" s="62">
        <f t="array" aca="1" ref="AC420:AF420" ca="1">TRANSPOSE($G$44:$G$47 + MMULT($I$44:$L$47,TRANSPOSE(AR419:AU419)))</f>
        <v>0.68013373232437591</v>
      </c>
      <c r="AD420" s="62">
        <f ca="1"/>
        <v>0.44111145575258448</v>
      </c>
      <c r="AE420" s="62">
        <f ca="1"/>
        <v>0.43703923061456218</v>
      </c>
      <c r="AF420" s="62">
        <f ca="1"/>
        <v>0.63174357496494049</v>
      </c>
      <c r="AG420" s="66" t="str">
        <f t="array" ref="AG420">IF($AB420, Push(MMULT($I$44:$L$47,MMULT(Fetch(AV419),TRANSPOSE($I$44:$L$47))) + $N$44:$Q$47), "")</f>
        <v/>
      </c>
      <c r="AH420" s="62">
        <f t="array" aca="1" ref="AH420:AK420" ca="1">TRANSPOSE($G$38:$G$41 + MMULT($I$38:$L$41,TRANSPOSE(AC420:AF420)))</f>
        <v>0.82468508844298483</v>
      </c>
      <c r="AI420" s="62">
        <f ca="1"/>
        <v>0.68663501107621705</v>
      </c>
      <c r="AJ420" s="62">
        <f ca="1"/>
        <v>0.71359772528902532</v>
      </c>
      <c r="AK420" s="62">
        <f ca="1"/>
        <v>0.53644405258323524</v>
      </c>
      <c r="AL420" s="66" t="str">
        <f t="array" ref="AL420">IF($AB420, Push(MINVERSE(MMULT($I$38:$L$41,MMULT(Fetch(AG420),TRANSPOSE($I$38:$L$41))) + $N$38:$Q$41)), "")</f>
        <v/>
      </c>
      <c r="AM420" s="62">
        <f t="array" aca="1" ref="AM420:AP420" ca="1">X420:AA420 - AH420:AK420</f>
        <v>0.27240166462086113</v>
      </c>
      <c r="AN420" s="62">
        <f ca="1"/>
        <v>-0.41268122355227499</v>
      </c>
      <c r="AO420" s="62">
        <f ca="1"/>
        <v>-0.6060392242569953</v>
      </c>
      <c r="AP420" s="62">
        <f ca="1"/>
        <v>0.39955151294592883</v>
      </c>
      <c r="AQ420" s="66" t="str">
        <f t="array" ref="AQ420">IF($AB420, Push(MMULT(Fetch(AG420),MMULT(TRANSPOSE($I$38:$L$41),Fetch(AL420)))), "")</f>
        <v/>
      </c>
      <c r="AR420" s="62">
        <f t="array" aca="1" ref="AR420:AU420" ca="1">AC420:AF420 + TRANSPOSE(MMULT(IF($AB420,Fetch(AQ420),$L$61:$O$64),TRANSPOSE(AM420:AP420)))</f>
        <v>0.49778859105651863</v>
      </c>
      <c r="AS420" s="62">
        <f ca="1"/>
        <v>0.36457783378597935</v>
      </c>
      <c r="AT420" s="62">
        <f ca="1"/>
        <v>0.74872167483610819</v>
      </c>
      <c r="AU420" s="62">
        <f ca="1"/>
        <v>0.52241635962543764</v>
      </c>
      <c r="AV420" s="66" t="str">
        <f t="array" ref="AV420">IF($AB420, Push(Fetch(AG420) - MMULT(Fetch(AQ420),MMULT($I$38:$L$41,Fetch(AG420)))), "")</f>
        <v/>
      </c>
      <c r="AW420" s="97">
        <f t="array" aca="1" ref="AW420" ca="1">IF($AB420,LN(MDETERM(Fetch(AL420))),$J$65)   -   MMULT(AM420:AP420,MMULT(IF($AB420,Fetch(AL420),$G$61:$J$64),TRANSPOSE(AM420:AP420)))</f>
        <v>1.7643146777267935</v>
      </c>
    </row>
    <row r="421" spans="23:49" x14ac:dyDescent="0.15">
      <c r="W421" s="12">
        <f t="shared" si="12"/>
        <v>418</v>
      </c>
      <c r="X421" s="62">
        <f t="array" aca="1" ref="X421:AA421" ca="1">simulate!AE421:AH421</f>
        <v>-0.26583717506042426</v>
      </c>
      <c r="Y421" s="62">
        <f ca="1"/>
        <v>-0.21957625376229173</v>
      </c>
      <c r="Z421" s="62">
        <f ca="1"/>
        <v>1.2626113407224264</v>
      </c>
      <c r="AA421" s="62">
        <f ca="1"/>
        <v>-9.9470513526800725E-2</v>
      </c>
      <c r="AB421" s="98">
        <f t="shared" si="13"/>
        <v>0</v>
      </c>
      <c r="AC421" s="62">
        <f t="array" aca="1" ref="AC421:AF421" ca="1">TRANSPOSE($G$44:$G$47 + MMULT($I$44:$L$47,TRANSPOSE(AR420:AU420)))</f>
        <v>0.67520560798018958</v>
      </c>
      <c r="AD421" s="62">
        <f ca="1"/>
        <v>0.47757182434760698</v>
      </c>
      <c r="AE421" s="62">
        <f ca="1"/>
        <v>0.67853191336613916</v>
      </c>
      <c r="AF421" s="62">
        <f ca="1"/>
        <v>0.65030903079777991</v>
      </c>
      <c r="AG421" s="66" t="str">
        <f t="array" ref="AG421">IF($AB421, Push(MMULT($I$44:$L$47,MMULT(Fetch(AV420),TRANSPOSE($I$44:$L$47))) + $N$44:$Q$47), "")</f>
        <v/>
      </c>
      <c r="AH421" s="62">
        <f t="array" aca="1" ref="AH421:AK421" ca="1">TRANSPOSE($G$38:$G$41 + MMULT($I$38:$L$41,TRANSPOSE(AC421:AF421)))</f>
        <v>0.9675317946323081</v>
      </c>
      <c r="AI421" s="62">
        <f ca="1"/>
        <v>0.65851494771176111</v>
      </c>
      <c r="AJ421" s="62">
        <f ca="1"/>
        <v>0.69088528819181461</v>
      </c>
      <c r="AK421" s="62">
        <f ca="1"/>
        <v>0.73216135541774796</v>
      </c>
      <c r="AL421" s="66" t="str">
        <f t="array" ref="AL421">IF($AB421, Push(MINVERSE(MMULT($I$38:$L$41,MMULT(Fetch(AG421),TRANSPOSE($I$38:$L$41))) + $N$38:$Q$41)), "")</f>
        <v/>
      </c>
      <c r="AM421" s="62">
        <f t="array" aca="1" ref="AM421:AP421" ca="1">X421:AA421 - AH421:AK421</f>
        <v>-1.2333689696927324</v>
      </c>
      <c r="AN421" s="62">
        <f ca="1"/>
        <v>-0.87809120147405284</v>
      </c>
      <c r="AO421" s="62">
        <f ca="1"/>
        <v>0.57172605253061182</v>
      </c>
      <c r="AP421" s="62">
        <f ca="1"/>
        <v>-0.83163186894454866</v>
      </c>
      <c r="AQ421" s="66" t="str">
        <f t="array" ref="AQ421">IF($AB421, Push(MMULT(Fetch(AG421),MMULT(TRANSPOSE($I$38:$L$41),Fetch(AL421)))), "")</f>
        <v/>
      </c>
      <c r="AR421" s="62">
        <f t="array" aca="1" ref="AR421:AU421" ca="1">AC421:AF421 + TRANSPOSE(MMULT(IF($AB421,Fetch(AQ421),$L$61:$O$64),TRANSPOSE(AM421:AP421)))</f>
        <v>0.30612717436066628</v>
      </c>
      <c r="AS421" s="62">
        <f ca="1"/>
        <v>-9.3143708395732661E-2</v>
      </c>
      <c r="AT421" s="62">
        <f ca="1"/>
        <v>-0.10967697511365815</v>
      </c>
      <c r="AU421" s="62">
        <f ca="1"/>
        <v>0.58228224214226909</v>
      </c>
      <c r="AV421" s="66" t="str">
        <f t="array" ref="AV421">IF($AB421, Push(Fetch(AG421) - MMULT(Fetch(AQ421),MMULT($I$38:$L$41,Fetch(AG421)))), "")</f>
        <v/>
      </c>
      <c r="AW421" s="97">
        <f t="array" aca="1" ref="AW421" ca="1">IF($AB421,LN(MDETERM(Fetch(AL421))),$J$65)   -   MMULT(AM421:AP421,MMULT(IF($AB421,Fetch(AL421),$G$61:$J$64),TRANSPOSE(AM421:AP421)))</f>
        <v>-4.8312481339910427</v>
      </c>
    </row>
    <row r="422" spans="23:49" x14ac:dyDescent="0.15">
      <c r="W422" s="12">
        <f t="shared" si="12"/>
        <v>419</v>
      </c>
      <c r="X422" s="62">
        <f t="array" aca="1" ref="X422:AA422" ca="1">simulate!AE422:AH422</f>
        <v>0.97547467489082929</v>
      </c>
      <c r="Y422" s="62">
        <f ca="1"/>
        <v>0.42853722945579475</v>
      </c>
      <c r="Z422" s="62">
        <f ca="1"/>
        <v>0.58980556426905706</v>
      </c>
      <c r="AA422" s="62">
        <f ca="1"/>
        <v>0.48840569602955713</v>
      </c>
      <c r="AB422" s="98">
        <f t="shared" si="13"/>
        <v>0</v>
      </c>
      <c r="AC422" s="62">
        <f t="array" aca="1" ref="AC422:AF422" ca="1">TRANSPOSE($G$44:$G$47 + MMULT($I$44:$L$47,TRANSPOSE(AR421:AU421)))</f>
        <v>0.44572828781172008</v>
      </c>
      <c r="AD422" s="62">
        <f ca="1"/>
        <v>7.6475899043024223E-2</v>
      </c>
      <c r="AE422" s="62">
        <f ca="1"/>
        <v>0.13583342200985704</v>
      </c>
      <c r="AF422" s="62">
        <f ca="1"/>
        <v>0.50147905050849695</v>
      </c>
      <c r="AG422" s="66" t="str">
        <f t="array" ref="AG422">IF($AB422, Push(MMULT($I$44:$L$47,MMULT(Fetch(AV421),TRANSPOSE($I$44:$L$47))) + $N$44:$Q$47), "")</f>
        <v/>
      </c>
      <c r="AH422" s="62">
        <f t="array" aca="1" ref="AH422:AK422" ca="1">TRANSPOSE($G$38:$G$41 + MMULT($I$38:$L$41,TRANSPOSE(AC422:AF422)))</f>
        <v>0.52182994756258916</v>
      </c>
      <c r="AI422" s="62">
        <f ca="1"/>
        <v>0.33357196241062526</v>
      </c>
      <c r="AJ422" s="62">
        <f ca="1"/>
        <v>0.68069887474204238</v>
      </c>
      <c r="AK422" s="62">
        <f ca="1"/>
        <v>0.25690568304319794</v>
      </c>
      <c r="AL422" s="66" t="str">
        <f t="array" ref="AL422">IF($AB422, Push(MINVERSE(MMULT($I$38:$L$41,MMULT(Fetch(AG422),TRANSPOSE($I$38:$L$41))) + $N$38:$Q$41)), "")</f>
        <v/>
      </c>
      <c r="AM422" s="62">
        <f t="array" aca="1" ref="AM422:AP422" ca="1">X422:AA422 - AH422:AK422</f>
        <v>0.45364472732824013</v>
      </c>
      <c r="AN422" s="62">
        <f ca="1"/>
        <v>9.4965267045169499E-2</v>
      </c>
      <c r="AO422" s="62">
        <f ca="1"/>
        <v>-9.0893310472985323E-2</v>
      </c>
      <c r="AP422" s="62">
        <f ca="1"/>
        <v>0.23150001298635919</v>
      </c>
      <c r="AQ422" s="66" t="str">
        <f t="array" ref="AQ422">IF($AB422, Push(MMULT(Fetch(AG422),MMULT(TRANSPOSE($I$38:$L$41),Fetch(AL422)))), "")</f>
        <v/>
      </c>
      <c r="AR422" s="62">
        <f t="array" aca="1" ref="AR422:AU422" ca="1">AC422:AF422 + TRANSPOSE(MMULT(IF($AB422,Fetch(AQ422),$L$61:$O$64),TRANSPOSE(AM422:AP422)))</f>
        <v>0.59237983871703004</v>
      </c>
      <c r="AS422" s="62">
        <f ca="1"/>
        <v>0.1165302390426857</v>
      </c>
      <c r="AT422" s="62">
        <f ca="1"/>
        <v>0.42562082108452109</v>
      </c>
      <c r="AU422" s="62">
        <f ca="1"/>
        <v>0.5475813913764418</v>
      </c>
      <c r="AV422" s="66" t="str">
        <f t="array" ref="AV422">IF($AB422, Push(Fetch(AG422) - MMULT(Fetch(AQ422),MMULT($I$38:$L$41,Fetch(AG422)))), "")</f>
        <v/>
      </c>
      <c r="AW422" s="97">
        <f t="array" aca="1" ref="AW422" ca="1">IF($AB422,LN(MDETERM(Fetch(AL422))),$J$65)   -   MMULT(AM422:AP422,MMULT(IF($AB422,Fetch(AL422),$G$61:$J$64),TRANSPOSE(AM422:AP422)))</f>
        <v>6.2189936921975217</v>
      </c>
    </row>
    <row r="423" spans="23:49" x14ac:dyDescent="0.15">
      <c r="W423" s="12">
        <f t="shared" si="12"/>
        <v>420</v>
      </c>
      <c r="X423" s="62">
        <f t="array" aca="1" ref="X423:AA423" ca="1">simulate!AE423:AH423</f>
        <v>0.23216021198903791</v>
      </c>
      <c r="Y423" s="62">
        <f ca="1"/>
        <v>0.97660554042127667</v>
      </c>
      <c r="Z423" s="62">
        <f ca="1"/>
        <v>1.0033091133375194</v>
      </c>
      <c r="AA423" s="62">
        <f ca="1"/>
        <v>1.2467378989625373</v>
      </c>
      <c r="AB423" s="98">
        <f t="shared" si="13"/>
        <v>0</v>
      </c>
      <c r="AC423" s="62">
        <f t="array" aca="1" ref="AC423:AF423" ca="1">TRANSPOSE($G$44:$G$47 + MMULT($I$44:$L$47,TRANSPOSE(AR422:AU422)))</f>
        <v>0.66779290762282761</v>
      </c>
      <c r="AD423" s="62">
        <f ca="1"/>
        <v>0.31294063650889531</v>
      </c>
      <c r="AE423" s="62">
        <f ca="1"/>
        <v>0.47421792739527169</v>
      </c>
      <c r="AF423" s="62">
        <f ca="1"/>
        <v>0.59833018355182199</v>
      </c>
      <c r="AG423" s="66" t="str">
        <f t="array" ref="AG423">IF($AB423, Push(MMULT($I$44:$L$47,MMULT(Fetch(AV422),TRANSPOSE($I$44:$L$47))) + $N$44:$Q$47), "")</f>
        <v/>
      </c>
      <c r="AH423" s="62">
        <f t="array" aca="1" ref="AH423:AK423" ca="1">TRANSPOSE($G$38:$G$41 + MMULT($I$38:$L$41,TRANSPOSE(AC423:AF423)))</f>
        <v>0.8558077192672191</v>
      </c>
      <c r="AI423" s="62">
        <f ca="1"/>
        <v>0.55432403415410392</v>
      </c>
      <c r="AJ423" s="62">
        <f ca="1"/>
        <v>0.72614530973404157</v>
      </c>
      <c r="AK423" s="62">
        <f ca="1"/>
        <v>0.51531325891521207</v>
      </c>
      <c r="AL423" s="66" t="str">
        <f t="array" ref="AL423">IF($AB423, Push(MINVERSE(MMULT($I$38:$L$41,MMULT(Fetch(AG423),TRANSPOSE($I$38:$L$41))) + $N$38:$Q$41)), "")</f>
        <v/>
      </c>
      <c r="AM423" s="62">
        <f t="array" aca="1" ref="AM423:AP423" ca="1">X423:AA423 - AH423:AK423</f>
        <v>-0.62364750727818119</v>
      </c>
      <c r="AN423" s="62">
        <f ca="1"/>
        <v>0.42228150626717276</v>
      </c>
      <c r="AO423" s="62">
        <f ca="1"/>
        <v>0.27716380360347781</v>
      </c>
      <c r="AP423" s="62">
        <f ca="1"/>
        <v>0.73142464004732521</v>
      </c>
      <c r="AQ423" s="66" t="str">
        <f t="array" ref="AQ423">IF($AB423, Push(MMULT(Fetch(AG423),MMULT(TRANSPOSE($I$38:$L$41),Fetch(AL423)))), "")</f>
        <v/>
      </c>
      <c r="AR423" s="62">
        <f t="array" aca="1" ref="AR423:AU423" ca="1">AC423:AF423 + TRANSPOSE(MMULT(IF($AB423,Fetch(AQ423),$L$61:$O$64),TRANSPOSE(AM423:AP423)))</f>
        <v>0.35548504333892927</v>
      </c>
      <c r="AS423" s="62">
        <f ca="1"/>
        <v>0.74967430745945962</v>
      </c>
      <c r="AT423" s="62">
        <f ca="1"/>
        <v>0.72331207324282876</v>
      </c>
      <c r="AU423" s="62">
        <f ca="1"/>
        <v>0.96727074067477314</v>
      </c>
      <c r="AV423" s="66" t="str">
        <f t="array" ref="AV423">IF($AB423, Push(Fetch(AG423) - MMULT(Fetch(AQ423),MMULT($I$38:$L$41,Fetch(AG423)))), "")</f>
        <v/>
      </c>
      <c r="AW423" s="97">
        <f t="array" aca="1" ref="AW423" ca="1">IF($AB423,LN(MDETERM(Fetch(AL423))),$J$65)   -   MMULT(AM423:AP423,MMULT(IF($AB423,Fetch(AL423),$G$61:$J$64),TRANSPOSE(AM423:AP423)))</f>
        <v>-11.654611602349449</v>
      </c>
    </row>
    <row r="424" spans="23:49" x14ac:dyDescent="0.15">
      <c r="W424" s="12">
        <f t="shared" si="12"/>
        <v>421</v>
      </c>
      <c r="X424" s="62">
        <f t="array" aca="1" ref="X424:AA424" ca="1">simulate!AE424:AH424</f>
        <v>0.47044581679861508</v>
      </c>
      <c r="Y424" s="62">
        <f ca="1"/>
        <v>0.71329233008272896</v>
      </c>
      <c r="Z424" s="62">
        <f ca="1"/>
        <v>-0.98187680803133626</v>
      </c>
      <c r="AA424" s="62">
        <f ca="1"/>
        <v>0.54690193402562282</v>
      </c>
      <c r="AB424" s="98">
        <f t="shared" si="13"/>
        <v>0</v>
      </c>
      <c r="AC424" s="62">
        <f t="array" aca="1" ref="AC424:AF424" ca="1">TRANSPOSE($G$44:$G$47 + MMULT($I$44:$L$47,TRANSPOSE(AR423:AU423)))</f>
        <v>0.67491095650956656</v>
      </c>
      <c r="AD424" s="62">
        <f ca="1"/>
        <v>0.6903543067764194</v>
      </c>
      <c r="AE424" s="62">
        <f ca="1"/>
        <v>0.7830378281002135</v>
      </c>
      <c r="AF424" s="62">
        <f ca="1"/>
        <v>0.90701224118755874</v>
      </c>
      <c r="AG424" s="66" t="str">
        <f t="array" ref="AG424">IF($AB424, Push(MMULT($I$44:$L$47,MMULT(Fetch(AV423),TRANSPOSE($I$44:$L$47))) + $N$44:$Q$47), "")</f>
        <v/>
      </c>
      <c r="AH424" s="62">
        <f t="array" aca="1" ref="AH424:AK424" ca="1">TRANSPOSE($G$38:$G$41 + MMULT($I$38:$L$41,TRANSPOSE(AC424:AF424)))</f>
        <v>0.94947824350182763</v>
      </c>
      <c r="AI424" s="62">
        <f ca="1"/>
        <v>0.8675529777700961</v>
      </c>
      <c r="AJ424" s="62">
        <f ca="1"/>
        <v>0.8146313915802752</v>
      </c>
      <c r="AK424" s="62">
        <f ca="1"/>
        <v>0.98267796018470488</v>
      </c>
      <c r="AL424" s="66" t="str">
        <f t="array" ref="AL424">IF($AB424, Push(MINVERSE(MMULT($I$38:$L$41,MMULT(Fetch(AG424),TRANSPOSE($I$38:$L$41))) + $N$38:$Q$41)), "")</f>
        <v/>
      </c>
      <c r="AM424" s="62">
        <f t="array" aca="1" ref="AM424:AP424" ca="1">X424:AA424 - AH424:AK424</f>
        <v>-0.47903242670321255</v>
      </c>
      <c r="AN424" s="62">
        <f ca="1"/>
        <v>-0.15426064768736714</v>
      </c>
      <c r="AO424" s="62">
        <f ca="1"/>
        <v>-1.7965081996116115</v>
      </c>
      <c r="AP424" s="62">
        <f ca="1"/>
        <v>-0.43577602615908206</v>
      </c>
      <c r="AQ424" s="66" t="str">
        <f t="array" ref="AQ424">IF($AB424, Push(MMULT(Fetch(AG424),MMULT(TRANSPOSE($I$38:$L$41),Fetch(AL424)))), "")</f>
        <v/>
      </c>
      <c r="AR424" s="62">
        <f t="array" aca="1" ref="AR424:AU424" ca="1">AC424:AF424 + TRANSPOSE(MMULT(IF($AB424,Fetch(AQ424),$L$61:$O$64),TRANSPOSE(AM424:AP424)))</f>
        <v>7.9818998805569863E-2</v>
      </c>
      <c r="AS424" s="62">
        <f ca="1"/>
        <v>0.97611083800733889</v>
      </c>
      <c r="AT424" s="62">
        <f ca="1"/>
        <v>3.8321785684876541E-2</v>
      </c>
      <c r="AU424" s="62">
        <f ca="1"/>
        <v>2.0120220903354857E-2</v>
      </c>
      <c r="AV424" s="66" t="str">
        <f t="array" ref="AV424">IF($AB424, Push(Fetch(AG424) - MMULT(Fetch(AQ424),MMULT($I$38:$L$41,Fetch(AG424)))), "")</f>
        <v/>
      </c>
      <c r="AW424" s="97">
        <f t="array" aca="1" ref="AW424" ca="1">IF($AB424,LN(MDETERM(Fetch(AL424))),$J$65)   -   MMULT(AM424:AP424,MMULT(IF($AB424,Fetch(AL424),$G$61:$J$64),TRANSPOSE(AM424:AP424)))</f>
        <v>-12.059161576800092</v>
      </c>
    </row>
    <row r="425" spans="23:49" x14ac:dyDescent="0.15">
      <c r="W425" s="12">
        <f t="shared" si="12"/>
        <v>422</v>
      </c>
      <c r="X425" s="62">
        <f t="array" aca="1" ref="X425:AA425" ca="1">simulate!AE425:AH425</f>
        <v>0.27560586968146128</v>
      </c>
      <c r="Y425" s="62">
        <f ca="1"/>
        <v>-0.7118876924862102</v>
      </c>
      <c r="Z425" s="62">
        <f ca="1"/>
        <v>0.66040706317451869</v>
      </c>
      <c r="AA425" s="62">
        <f ca="1"/>
        <v>0.55684651085756998</v>
      </c>
      <c r="AB425" s="98">
        <f t="shared" si="13"/>
        <v>0</v>
      </c>
      <c r="AC425" s="62">
        <f t="array" aca="1" ref="AC425:AF425" ca="1">TRANSPOSE($G$44:$G$47 + MMULT($I$44:$L$47,TRANSPOSE(AR424:AU424)))</f>
        <v>0.46526529469826439</v>
      </c>
      <c r="AD425" s="62">
        <f ca="1"/>
        <v>0.59909572375554887</v>
      </c>
      <c r="AE425" s="62">
        <f ca="1"/>
        <v>0.29006315778506475</v>
      </c>
      <c r="AF425" s="62">
        <f ca="1"/>
        <v>0.28713663691742775</v>
      </c>
      <c r="AG425" s="66" t="str">
        <f t="array" ref="AG425">IF($AB425, Push(MMULT($I$44:$L$47,MMULT(Fetch(AV424),TRANSPOSE($I$44:$L$47))) + $N$44:$Q$47), "")</f>
        <v/>
      </c>
      <c r="AH425" s="62">
        <f t="array" aca="1" ref="AH425:AK425" ca="1">TRANSPOSE($G$38:$G$41 + MMULT($I$38:$L$41,TRANSPOSE(AC425:AF425)))</f>
        <v>0.66712832210574669</v>
      </c>
      <c r="AI425" s="62">
        <f ca="1"/>
        <v>0.71462381664432773</v>
      </c>
      <c r="AJ425" s="62">
        <f ca="1"/>
        <v>0.29636685848795541</v>
      </c>
      <c r="AK425" s="62">
        <f ca="1"/>
        <v>0.42784258808189496</v>
      </c>
      <c r="AL425" s="66" t="str">
        <f t="array" ref="AL425">IF($AB425, Push(MINVERSE(MMULT($I$38:$L$41,MMULT(Fetch(AG425),TRANSPOSE($I$38:$L$41))) + $N$38:$Q$41)), "")</f>
        <v/>
      </c>
      <c r="AM425" s="62">
        <f t="array" aca="1" ref="AM425:AP425" ca="1">X425:AA425 - AH425:AK425</f>
        <v>-0.39152245242428541</v>
      </c>
      <c r="AN425" s="62">
        <f ca="1"/>
        <v>-1.4265115091305378</v>
      </c>
      <c r="AO425" s="62">
        <f ca="1"/>
        <v>0.36404020468656328</v>
      </c>
      <c r="AP425" s="62">
        <f ca="1"/>
        <v>0.12900392277567502</v>
      </c>
      <c r="AQ425" s="66" t="str">
        <f t="array" ref="AQ425">IF($AB425, Push(MMULT(Fetch(AG425),MMULT(TRANSPOSE($I$38:$L$41),Fetch(AL425)))), "")</f>
        <v/>
      </c>
      <c r="AR425" s="62">
        <f t="array" aca="1" ref="AR425:AU425" ca="1">AC425:AF425 + TRANSPOSE(MMULT(IF($AB425,Fetch(AQ425),$L$61:$O$64),TRANSPOSE(AM425:AP425)))</f>
        <v>0.12581621793442482</v>
      </c>
      <c r="AS425" s="62">
        <f ca="1"/>
        <v>-0.19706277296749186</v>
      </c>
      <c r="AT425" s="62">
        <f ca="1"/>
        <v>0.47408445061535576</v>
      </c>
      <c r="AU425" s="62">
        <f ca="1"/>
        <v>0.46907935218531571</v>
      </c>
      <c r="AV425" s="66" t="str">
        <f t="array" ref="AV425">IF($AB425, Push(Fetch(AG425) - MMULT(Fetch(AQ425),MMULT($I$38:$L$41,Fetch(AG425)))), "")</f>
        <v/>
      </c>
      <c r="AW425" s="97">
        <f t="array" aca="1" ref="AW425" ca="1">IF($AB425,LN(MDETERM(Fetch(AL425))),$J$65)   -   MMULT(AM425:AP425,MMULT(IF($AB425,Fetch(AL425),$G$61:$J$64),TRANSPOSE(AM425:AP425)))</f>
        <v>-2.6915211435680213</v>
      </c>
    </row>
    <row r="426" spans="23:49" x14ac:dyDescent="0.15">
      <c r="W426" s="12">
        <f t="shared" si="12"/>
        <v>423</v>
      </c>
      <c r="X426" s="62">
        <f t="array" aca="1" ref="X426:AA426" ca="1">simulate!AE426:AH426</f>
        <v>1.1569661891238345</v>
      </c>
      <c r="Y426" s="62">
        <f ca="1"/>
        <v>-0.46080805243648554</v>
      </c>
      <c r="Z426" s="62">
        <f ca="1"/>
        <v>1.3817697824736794</v>
      </c>
      <c r="AA426" s="62">
        <f ca="1"/>
        <v>0.59930870586547269</v>
      </c>
      <c r="AB426" s="98">
        <f t="shared" si="13"/>
        <v>0</v>
      </c>
      <c r="AC426" s="62">
        <f t="array" aca="1" ref="AC426:AF426" ca="1">TRANSPOSE($G$44:$G$47 + MMULT($I$44:$L$47,TRANSPOSE(AR425:AU425)))</f>
        <v>0.36908202021730113</v>
      </c>
      <c r="AD426" s="62">
        <f ca="1"/>
        <v>6.9409978573314546E-2</v>
      </c>
      <c r="AE426" s="62">
        <f ca="1"/>
        <v>0.40464773242945579</v>
      </c>
      <c r="AF426" s="62">
        <f ca="1"/>
        <v>0.51905805625282442</v>
      </c>
      <c r="AG426" s="66" t="str">
        <f t="array" ref="AG426">IF($AB426, Push(MMULT($I$44:$L$47,MMULT(Fetch(AV425),TRANSPOSE($I$44:$L$47))) + $N$44:$Q$47), "")</f>
        <v/>
      </c>
      <c r="AH426" s="62">
        <f t="array" aca="1" ref="AH426:AK426" ca="1">TRANSPOSE($G$38:$G$41 + MMULT($I$38:$L$41,TRANSPOSE(AC426:AF426)))</f>
        <v>0.63333661812303466</v>
      </c>
      <c r="AI426" s="62">
        <f ca="1"/>
        <v>0.23381745096547979</v>
      </c>
      <c r="AJ426" s="62">
        <f ca="1"/>
        <v>0.64342772208804377</v>
      </c>
      <c r="AK426" s="62">
        <f ca="1"/>
        <v>0.49083065722139335</v>
      </c>
      <c r="AL426" s="66" t="str">
        <f t="array" ref="AL426">IF($AB426, Push(MINVERSE(MMULT($I$38:$L$41,MMULT(Fetch(AG426),TRANSPOSE($I$38:$L$41))) + $N$38:$Q$41)), "")</f>
        <v/>
      </c>
      <c r="AM426" s="62">
        <f t="array" aca="1" ref="AM426:AP426" ca="1">X426:AA426 - AH426:AK426</f>
        <v>0.52362957100079988</v>
      </c>
      <c r="AN426" s="62">
        <f ca="1"/>
        <v>-0.69462550340196527</v>
      </c>
      <c r="AO426" s="62">
        <f ca="1"/>
        <v>0.73834206038563566</v>
      </c>
      <c r="AP426" s="62">
        <f ca="1"/>
        <v>0.10847804864407934</v>
      </c>
      <c r="AQ426" s="66" t="str">
        <f t="array" ref="AQ426">IF($AB426, Push(MMULT(Fetch(AG426),MMULT(TRANSPOSE($I$38:$L$41),Fetch(AL426)))), "")</f>
        <v/>
      </c>
      <c r="AR426" s="62">
        <f t="array" aca="1" ref="AR426:AU426" ca="1">AC426:AF426 + TRANSPOSE(MMULT(IF($AB426,Fetch(AQ426),$L$61:$O$64),TRANSPOSE(AM426:AP426)))</f>
        <v>0.65943917026603116</v>
      </c>
      <c r="AS426" s="62">
        <f ca="1"/>
        <v>-0.551445017908329</v>
      </c>
      <c r="AT426" s="62">
        <f ca="1"/>
        <v>0.87822987062278579</v>
      </c>
      <c r="AU426" s="62">
        <f ca="1"/>
        <v>0.85479318607169341</v>
      </c>
      <c r="AV426" s="66" t="str">
        <f t="array" ref="AV426">IF($AB426, Push(Fetch(AG426) - MMULT(Fetch(AQ426),MMULT($I$38:$L$41,Fetch(AG426)))), "")</f>
        <v/>
      </c>
      <c r="AW426" s="97">
        <f t="array" aca="1" ref="AW426" ca="1">IF($AB426,LN(MDETERM(Fetch(AL426))),$J$65)   -   MMULT(AM426:AP426,MMULT(IF($AB426,Fetch(AL426),$G$61:$J$64),TRANSPOSE(AM426:AP426)))</f>
        <v>1.0768127076568019</v>
      </c>
    </row>
    <row r="427" spans="23:49" x14ac:dyDescent="0.15">
      <c r="W427" s="12">
        <f t="shared" si="12"/>
        <v>424</v>
      </c>
      <c r="X427" s="62">
        <f t="array" aca="1" ref="X427:AA427" ca="1">simulate!AE427:AH427</f>
        <v>1.0880967958311898</v>
      </c>
      <c r="Y427" s="62">
        <f ca="1"/>
        <v>0.82221615177889396</v>
      </c>
      <c r="Z427" s="62">
        <f ca="1"/>
        <v>0.44475643779257767</v>
      </c>
      <c r="AA427" s="62">
        <f ca="1"/>
        <v>1.2278621269298022</v>
      </c>
      <c r="AB427" s="98">
        <f t="shared" si="13"/>
        <v>0</v>
      </c>
      <c r="AC427" s="62">
        <f t="array" aca="1" ref="AC427:AF427" ca="1">TRANSPOSE($G$44:$G$47 + MMULT($I$44:$L$47,TRANSPOSE(AR426:AU426)))</f>
        <v>0.65213710155696503</v>
      </c>
      <c r="AD427" s="62">
        <f ca="1"/>
        <v>5.1922425518974885E-2</v>
      </c>
      <c r="AE427" s="62">
        <f ca="1"/>
        <v>0.66044657027884945</v>
      </c>
      <c r="AF427" s="62">
        <f ca="1"/>
        <v>0.79340663651501497</v>
      </c>
      <c r="AG427" s="66" t="str">
        <f t="array" ref="AG427">IF($AB427, Push(MMULT($I$44:$L$47,MMULT(Fetch(AV426),TRANSPOSE($I$44:$L$47))) + $N$44:$Q$47), "")</f>
        <v/>
      </c>
      <c r="AH427" s="62">
        <f t="array" aca="1" ref="AH427:AK427" ca="1">TRANSPOSE($G$38:$G$41 + MMULT($I$38:$L$41,TRANSPOSE(AC427:AF427)))</f>
        <v>0.92141262767745014</v>
      </c>
      <c r="AI427" s="62">
        <f ca="1"/>
        <v>0.31185327131256857</v>
      </c>
      <c r="AJ427" s="62">
        <f ca="1"/>
        <v>0.9648483199851059</v>
      </c>
      <c r="AK427" s="62">
        <f ca="1"/>
        <v>0.66035235267796288</v>
      </c>
      <c r="AL427" s="66" t="str">
        <f t="array" ref="AL427">IF($AB427, Push(MINVERSE(MMULT($I$38:$L$41,MMULT(Fetch(AG427),TRANSPOSE($I$38:$L$41))) + $N$38:$Q$41)), "")</f>
        <v/>
      </c>
      <c r="AM427" s="62">
        <f t="array" aca="1" ref="AM427:AP427" ca="1">X427:AA427 - AH427:AK427</f>
        <v>0.16668416815373965</v>
      </c>
      <c r="AN427" s="62">
        <f ca="1"/>
        <v>0.51036288046632539</v>
      </c>
      <c r="AO427" s="62">
        <f ca="1"/>
        <v>-0.52009188219252822</v>
      </c>
      <c r="AP427" s="62">
        <f ca="1"/>
        <v>0.56750977425183935</v>
      </c>
      <c r="AQ427" s="66" t="str">
        <f t="array" ref="AQ427">IF($AB427, Push(MMULT(Fetch(AG427),MMULT(TRANSPOSE($I$38:$L$41),Fetch(AL427)))), "")</f>
        <v/>
      </c>
      <c r="AR427" s="62">
        <f t="array" aca="1" ref="AR427:AU427" ca="1">AC427:AF427 + TRANSPOSE(MMULT(IF($AB427,Fetch(AQ427),$L$61:$O$64),TRANSPOSE(AM427:AP427)))</f>
        <v>0.55021338360433747</v>
      </c>
      <c r="AS427" s="62">
        <f ca="1"/>
        <v>0.53567870357781222</v>
      </c>
      <c r="AT427" s="62">
        <f ca="1"/>
        <v>0.94266118018532219</v>
      </c>
      <c r="AU427" s="62">
        <f ca="1"/>
        <v>0.78380355300065407</v>
      </c>
      <c r="AV427" s="66" t="str">
        <f t="array" ref="AV427">IF($AB427, Push(Fetch(AG427) - MMULT(Fetch(AQ427),MMULT($I$38:$L$41,Fetch(AG427)))), "")</f>
        <v/>
      </c>
      <c r="AW427" s="97">
        <f t="array" aca="1" ref="AW427" ca="1">IF($AB427,LN(MDETERM(Fetch(AL427))),$J$65)   -   MMULT(AM427:AP427,MMULT(IF($AB427,Fetch(AL427),$G$61:$J$64),TRANSPOSE(AM427:AP427)))</f>
        <v>1.6633149695159366</v>
      </c>
    </row>
    <row r="428" spans="23:49" x14ac:dyDescent="0.15">
      <c r="W428" s="12">
        <f t="shared" si="12"/>
        <v>425</v>
      </c>
      <c r="X428" s="62">
        <f t="array" aca="1" ref="X428:AA428" ca="1">simulate!AE428:AH428</f>
        <v>0.88421509219170613</v>
      </c>
      <c r="Y428" s="62">
        <f ca="1"/>
        <v>0.5688631478169619</v>
      </c>
      <c r="Z428" s="62">
        <f ca="1"/>
        <v>0.99867955913276207</v>
      </c>
      <c r="AA428" s="62">
        <f ca="1"/>
        <v>1.707423889868203</v>
      </c>
      <c r="AB428" s="98">
        <f t="shared" si="13"/>
        <v>0</v>
      </c>
      <c r="AC428" s="62">
        <f t="array" aca="1" ref="AC428:AF428" ca="1">TRANSPOSE($G$44:$G$47 + MMULT($I$44:$L$47,TRANSPOSE(AR427:AU427)))</f>
        <v>0.7552067861277969</v>
      </c>
      <c r="AD428" s="62">
        <f ca="1"/>
        <v>0.62579859516586844</v>
      </c>
      <c r="AE428" s="62">
        <f ca="1"/>
        <v>0.85346842374130016</v>
      </c>
      <c r="AF428" s="62">
        <f ca="1"/>
        <v>0.83766449984430635</v>
      </c>
      <c r="AG428" s="66" t="str">
        <f t="array" ref="AG428">IF($AB428, Push(MMULT($I$44:$L$47,MMULT(Fetch(AV427),TRANSPOSE($I$44:$L$47))) + $N$44:$Q$47), "")</f>
        <v/>
      </c>
      <c r="AH428" s="62">
        <f t="array" aca="1" ref="AH428:AK428" ca="1">TRANSPOSE($G$38:$G$41 + MMULT($I$38:$L$41,TRANSPOSE(AC428:AF428)))</f>
        <v>1.0748658848841182</v>
      </c>
      <c r="AI428" s="62">
        <f ca="1"/>
        <v>0.80938295134707006</v>
      </c>
      <c r="AJ428" s="62">
        <f ca="1"/>
        <v>0.80572226922942192</v>
      </c>
      <c r="AK428" s="62">
        <f ca="1"/>
        <v>0.94804772569428497</v>
      </c>
      <c r="AL428" s="66" t="str">
        <f t="array" ref="AL428">IF($AB428, Push(MINVERSE(MMULT($I$38:$L$41,MMULT(Fetch(AG428),TRANSPOSE($I$38:$L$41))) + $N$38:$Q$41)), "")</f>
        <v/>
      </c>
      <c r="AM428" s="62">
        <f t="array" aca="1" ref="AM428:AP428" ca="1">X428:AA428 - AH428:AK428</f>
        <v>-0.19065079269241203</v>
      </c>
      <c r="AN428" s="62">
        <f ca="1"/>
        <v>-0.24051980353010816</v>
      </c>
      <c r="AO428" s="62">
        <f ca="1"/>
        <v>0.19295728990334016</v>
      </c>
      <c r="AP428" s="62">
        <f ca="1"/>
        <v>0.75937616417391807</v>
      </c>
      <c r="AQ428" s="66" t="str">
        <f t="array" ref="AQ428">IF($AB428, Push(MMULT(Fetch(AG428),MMULT(TRANSPOSE($I$38:$L$41),Fetch(AL428)))), "")</f>
        <v/>
      </c>
      <c r="AR428" s="62">
        <f t="array" aca="1" ref="AR428:AU428" ca="1">AC428:AF428 + TRANSPOSE(MMULT(IF($AB428,Fetch(AQ428),$L$61:$O$64),TRANSPOSE(AM428:AP428)))</f>
        <v>0.5087309318221277</v>
      </c>
      <c r="AS428" s="62">
        <f ca="1"/>
        <v>0.63212915292709526</v>
      </c>
      <c r="AT428" s="62">
        <f ca="1"/>
        <v>1.3473461890433023</v>
      </c>
      <c r="AU428" s="62">
        <f ca="1"/>
        <v>1.1789959303857884</v>
      </c>
      <c r="AV428" s="66" t="str">
        <f t="array" ref="AV428">IF($AB428, Push(Fetch(AG428) - MMULT(Fetch(AQ428),MMULT($I$38:$L$41,Fetch(AG428)))), "")</f>
        <v/>
      </c>
      <c r="AW428" s="97">
        <f t="array" aca="1" ref="AW428" ca="1">IF($AB428,LN(MDETERM(Fetch(AL428))),$J$65)   -   MMULT(AM428:AP428,MMULT(IF($AB428,Fetch(AL428),$G$61:$J$64),TRANSPOSE(AM428:AP428)))</f>
        <v>-0.31039718234978242</v>
      </c>
    </row>
    <row r="429" spans="23:49" x14ac:dyDescent="0.15">
      <c r="W429" s="12">
        <f t="shared" si="12"/>
        <v>426</v>
      </c>
      <c r="X429" s="62">
        <f t="array" aca="1" ref="X429:AA429" ca="1">simulate!AE429:AH429</f>
        <v>0.85853671352541405</v>
      </c>
      <c r="Y429" s="62">
        <f ca="1"/>
        <v>0.92633791489722017</v>
      </c>
      <c r="Z429" s="62">
        <f ca="1"/>
        <v>0.58551136275296634</v>
      </c>
      <c r="AA429" s="62">
        <f ca="1"/>
        <v>1.2341013313438414</v>
      </c>
      <c r="AB429" s="98">
        <f t="shared" si="13"/>
        <v>0</v>
      </c>
      <c r="AC429" s="62">
        <f t="array" aca="1" ref="AC429:AF429" ca="1">TRANSPOSE($G$44:$G$47 + MMULT($I$44:$L$47,TRANSPOSE(AR428:AU428)))</f>
        <v>0.79487515140275211</v>
      </c>
      <c r="AD429" s="62">
        <f ca="1"/>
        <v>0.75917503499460981</v>
      </c>
      <c r="AE429" s="62">
        <f ca="1"/>
        <v>1.1432203716888345</v>
      </c>
      <c r="AF429" s="62">
        <f ca="1"/>
        <v>1.1216746827717017</v>
      </c>
      <c r="AG429" s="66" t="str">
        <f t="array" ref="AG429">IF($AB429, Push(MMULT($I$44:$L$47,MMULT(Fetch(AV428),TRANSPOSE($I$44:$L$47))) + $N$44:$Q$47), "")</f>
        <v/>
      </c>
      <c r="AH429" s="62">
        <f t="array" aca="1" ref="AH429:AK429" ca="1">TRANSPOSE($G$38:$G$41 + MMULT($I$38:$L$41,TRANSPOSE(AC429:AF429)))</f>
        <v>1.1996638463911891</v>
      </c>
      <c r="AI429" s="62">
        <f ca="1"/>
        <v>0.92204537236856099</v>
      </c>
      <c r="AJ429" s="62">
        <f ca="1"/>
        <v>0.9806554278158528</v>
      </c>
      <c r="AK429" s="62">
        <f ca="1"/>
        <v>1.3017592846954724</v>
      </c>
      <c r="AL429" s="66" t="str">
        <f t="array" ref="AL429">IF($AB429, Push(MINVERSE(MMULT($I$38:$L$41,MMULT(Fetch(AG429),TRANSPOSE($I$38:$L$41))) + $N$38:$Q$41)), "")</f>
        <v/>
      </c>
      <c r="AM429" s="62">
        <f t="array" aca="1" ref="AM429:AP429" ca="1">X429:AA429 - AH429:AK429</f>
        <v>-0.34112713286577501</v>
      </c>
      <c r="AN429" s="62">
        <f ca="1"/>
        <v>4.2925425286591823E-3</v>
      </c>
      <c r="AO429" s="62">
        <f ca="1"/>
        <v>-0.39514406506288646</v>
      </c>
      <c r="AP429" s="62">
        <f ca="1"/>
        <v>-6.7657953351631051E-2</v>
      </c>
      <c r="AQ429" s="66" t="str">
        <f t="array" ref="AQ429">IF($AB429, Push(MMULT(Fetch(AG429),MMULT(TRANSPOSE($I$38:$L$41),Fetch(AL429)))), "")</f>
        <v/>
      </c>
      <c r="AR429" s="62">
        <f t="array" aca="1" ref="AR429:AU429" ca="1">AC429:AF429 + TRANSPOSE(MMULT(IF($AB429,Fetch(AQ429),$L$61:$O$64),TRANSPOSE(AM429:AP429)))</f>
        <v>0.55632390957149402</v>
      </c>
      <c r="AS429" s="62">
        <f ca="1"/>
        <v>0.89055019559253468</v>
      </c>
      <c r="AT429" s="62">
        <f ca="1"/>
        <v>0.90762726691713169</v>
      </c>
      <c r="AU429" s="62">
        <f ca="1"/>
        <v>0.9358510101451063</v>
      </c>
      <c r="AV429" s="66" t="str">
        <f t="array" ref="AV429">IF($AB429, Push(Fetch(AG429) - MMULT(Fetch(AQ429),MMULT($I$38:$L$41,Fetch(AG429)))), "")</f>
        <v/>
      </c>
      <c r="AW429" s="97">
        <f t="array" aca="1" ref="AW429" ca="1">IF($AB429,LN(MDETERM(Fetch(AL429))),$J$65)   -   MMULT(AM429:AP429,MMULT(IF($AB429,Fetch(AL429),$G$61:$J$64),TRANSPOSE(AM429:AP429)))</f>
        <v>6.0414913270390125</v>
      </c>
    </row>
    <row r="430" spans="23:49" x14ac:dyDescent="0.15">
      <c r="W430" s="12">
        <f t="shared" si="12"/>
        <v>427</v>
      </c>
      <c r="X430" s="62">
        <f t="array" aca="1" ref="X430:AA430" ca="1">simulate!AE430:AH430</f>
        <v>0.92563067220405049</v>
      </c>
      <c r="Y430" s="62">
        <f ca="1"/>
        <v>0.79318901538178432</v>
      </c>
      <c r="Z430" s="62">
        <f ca="1"/>
        <v>0.77775930269590976</v>
      </c>
      <c r="AA430" s="62">
        <f ca="1"/>
        <v>1.2141135299732511</v>
      </c>
      <c r="AB430" s="98">
        <f t="shared" si="13"/>
        <v>0</v>
      </c>
      <c r="AC430" s="62">
        <f t="array" aca="1" ref="AC430:AF430" ca="1">TRANSPOSE($G$44:$G$47 + MMULT($I$44:$L$47,TRANSPOSE(AR429:AU429)))</f>
        <v>0.81583768497996623</v>
      </c>
      <c r="AD430" s="62">
        <f ca="1"/>
        <v>0.82408641050991993</v>
      </c>
      <c r="AE430" s="62">
        <f ca="1"/>
        <v>0.91510097362703036</v>
      </c>
      <c r="AF430" s="62">
        <f ca="1"/>
        <v>0.93964809036042718</v>
      </c>
      <c r="AG430" s="66" t="str">
        <f t="array" ref="AG430">IF($AB430, Push(MMULT($I$44:$L$47,MMULT(Fetch(AV429),TRANSPOSE($I$44:$L$47))) + $N$44:$Q$47), "")</f>
        <v/>
      </c>
      <c r="AH430" s="62">
        <f t="array" aca="1" ref="AH430:AK430" ca="1">TRANSPOSE($G$38:$G$41 + MMULT($I$38:$L$41,TRANSPOSE(AC430:AF430)))</f>
        <v>1.1179082302093515</v>
      </c>
      <c r="AI430" s="62">
        <f ca="1"/>
        <v>1.0088791799475527</v>
      </c>
      <c r="AJ430" s="62">
        <f ca="1"/>
        <v>0.83329026538604212</v>
      </c>
      <c r="AK430" s="62">
        <f ca="1"/>
        <v>1.069628992427738</v>
      </c>
      <c r="AL430" s="66" t="str">
        <f t="array" ref="AL430">IF($AB430, Push(MINVERSE(MMULT($I$38:$L$41,MMULT(Fetch(AG430),TRANSPOSE($I$38:$L$41))) + $N$38:$Q$41)), "")</f>
        <v/>
      </c>
      <c r="AM430" s="62">
        <f t="array" aca="1" ref="AM430:AP430" ca="1">X430:AA430 - AH430:AK430</f>
        <v>-0.192277558005301</v>
      </c>
      <c r="AN430" s="62">
        <f ca="1"/>
        <v>-0.21569016456576839</v>
      </c>
      <c r="AO430" s="62">
        <f ca="1"/>
        <v>-5.5530962690132357E-2</v>
      </c>
      <c r="AP430" s="62">
        <f ca="1"/>
        <v>0.14448453754551305</v>
      </c>
      <c r="AQ430" s="66" t="str">
        <f t="array" ref="AQ430">IF($AB430, Push(MMULT(Fetch(AG430),MMULT(TRANSPOSE($I$38:$L$41),Fetch(AL430)))), "")</f>
        <v/>
      </c>
      <c r="AR430" s="62">
        <f t="array" aca="1" ref="AR430:AU430" ca="1">AC430:AF430 + TRANSPOSE(MMULT(IF($AB430,Fetch(AQ430),$L$61:$O$64),TRANSPOSE(AM430:AP430)))</f>
        <v>0.64815316373909437</v>
      </c>
      <c r="AS430" s="62">
        <f ca="1"/>
        <v>0.77491258859302681</v>
      </c>
      <c r="AT430" s="62">
        <f ca="1"/>
        <v>0.95829175781548348</v>
      </c>
      <c r="AU430" s="62">
        <f ca="1"/>
        <v>0.96525184963672739</v>
      </c>
      <c r="AV430" s="66" t="str">
        <f t="array" ref="AV430">IF($AB430, Push(Fetch(AG430) - MMULT(Fetch(AQ430),MMULT($I$38:$L$41,Fetch(AG430)))), "")</f>
        <v/>
      </c>
      <c r="AW430" s="97">
        <f t="array" aca="1" ref="AW430" ca="1">IF($AB430,LN(MDETERM(Fetch(AL430))),$J$65)   -   MMULT(AM430:AP430,MMULT(IF($AB430,Fetch(AL430),$G$61:$J$64),TRANSPOSE(AM430:AP430)))</f>
        <v>6.5423811812877277</v>
      </c>
    </row>
    <row r="431" spans="23:49" x14ac:dyDescent="0.15">
      <c r="W431" s="12">
        <f t="shared" si="12"/>
        <v>428</v>
      </c>
      <c r="X431" s="62">
        <f t="array" aca="1" ref="X431:AA431" ca="1">simulate!AE431:AH431</f>
        <v>1.8661285651480108</v>
      </c>
      <c r="Y431" s="62">
        <f ca="1"/>
        <v>1.0964868410031401</v>
      </c>
      <c r="Z431" s="62">
        <f ca="1"/>
        <v>0.99957508838207865</v>
      </c>
      <c r="AA431" s="62">
        <f ca="1"/>
        <v>1.4242209259404297</v>
      </c>
      <c r="AB431" s="98">
        <f t="shared" si="13"/>
        <v>0</v>
      </c>
      <c r="AC431" s="62">
        <f t="array" aca="1" ref="AC431:AF431" ca="1">TRANSPOSE($G$44:$G$47 + MMULT($I$44:$L$47,TRANSPOSE(AR430:AU430)))</f>
        <v>0.85333835419318183</v>
      </c>
      <c r="AD431" s="62">
        <f ca="1"/>
        <v>0.78613358706594172</v>
      </c>
      <c r="AE431" s="62">
        <f ca="1"/>
        <v>0.93457650821576566</v>
      </c>
      <c r="AF431" s="62">
        <f ca="1"/>
        <v>0.95993401615098306</v>
      </c>
      <c r="AG431" s="66" t="str">
        <f t="array" ref="AG431">IF($AB431, Push(MMULT($I$44:$L$47,MMULT(Fetch(AV430),TRANSPOSE($I$44:$L$47))) + $N$44:$Q$47), "")</f>
        <v/>
      </c>
      <c r="AH431" s="62">
        <f t="array" aca="1" ref="AH431:AK431" ca="1">TRANSPOSE($G$38:$G$41 + MMULT($I$38:$L$41,TRANSPOSE(AC431:AF431)))</f>
        <v>1.1533663836646155</v>
      </c>
      <c r="AI431" s="62">
        <f ca="1"/>
        <v>0.98869449683975374</v>
      </c>
      <c r="AJ431" s="62">
        <f ca="1"/>
        <v>0.87733593397263365</v>
      </c>
      <c r="AK431" s="62">
        <f ca="1"/>
        <v>1.0639010581014221</v>
      </c>
      <c r="AL431" s="66" t="str">
        <f t="array" ref="AL431">IF($AB431, Push(MINVERSE(MMULT($I$38:$L$41,MMULT(Fetch(AG431),TRANSPOSE($I$38:$L$41))) + $N$38:$Q$41)), "")</f>
        <v/>
      </c>
      <c r="AM431" s="62">
        <f t="array" aca="1" ref="AM431:AP431" ca="1">X431:AA431 - AH431:AK431</f>
        <v>0.71276218148339532</v>
      </c>
      <c r="AN431" s="62">
        <f ca="1"/>
        <v>0.10779234416338634</v>
      </c>
      <c r="AO431" s="62">
        <f ca="1"/>
        <v>0.12223915440944499</v>
      </c>
      <c r="AP431" s="62">
        <f ca="1"/>
        <v>0.3603198678390076</v>
      </c>
      <c r="AQ431" s="66" t="str">
        <f t="array" ref="AQ431">IF($AB431, Push(MMULT(Fetch(AG431),MMULT(TRANSPOSE($I$38:$L$41),Fetch(AL431)))), "")</f>
        <v/>
      </c>
      <c r="AR431" s="62">
        <f t="array" aca="1" ref="AR431:AU431" ca="1">AC431:AF431 + TRANSPOSE(MMULT(IF($AB431,Fetch(AQ431),$L$61:$O$64),TRANSPOSE(AM431:AP431)))</f>
        <v>1.1445133131938998</v>
      </c>
      <c r="AS431" s="62">
        <f ca="1"/>
        <v>0.76918823387030666</v>
      </c>
      <c r="AT431" s="62">
        <f ca="1"/>
        <v>1.4376027361336789</v>
      </c>
      <c r="AU431" s="62">
        <f ca="1"/>
        <v>1.1388764276917227</v>
      </c>
      <c r="AV431" s="66" t="str">
        <f t="array" ref="AV431">IF($AB431, Push(Fetch(AG431) - MMULT(Fetch(AQ431),MMULT($I$38:$L$41,Fetch(AG431)))), "")</f>
        <v/>
      </c>
      <c r="AW431" s="97">
        <f t="array" aca="1" ref="AW431" ca="1">IF($AB431,LN(MDETERM(Fetch(AL431))),$J$65)   -   MMULT(AM431:AP431,MMULT(IF($AB431,Fetch(AL431),$G$61:$J$64),TRANSPOSE(AM431:AP431)))</f>
        <v>4.802375741990609</v>
      </c>
    </row>
    <row r="432" spans="23:49" x14ac:dyDescent="0.15">
      <c r="W432" s="12">
        <f t="shared" si="12"/>
        <v>429</v>
      </c>
      <c r="X432" s="62">
        <f t="array" aca="1" ref="X432:AA432" ca="1">simulate!AE432:AH432</f>
        <v>0.92655839090526293</v>
      </c>
      <c r="Y432" s="62">
        <f ca="1"/>
        <v>1.0695103368976355</v>
      </c>
      <c r="Z432" s="62">
        <f ca="1"/>
        <v>0.79121823741366804</v>
      </c>
      <c r="AA432" s="62">
        <f ca="1"/>
        <v>1.1951956139325004</v>
      </c>
      <c r="AB432" s="98">
        <f t="shared" si="13"/>
        <v>0</v>
      </c>
      <c r="AC432" s="62">
        <f t="array" aca="1" ref="AC432:AF432" ca="1">TRANSPOSE($G$44:$G$47 + MMULT($I$44:$L$47,TRANSPOSE(AR431:AU431)))</f>
        <v>1.1630255231500819</v>
      </c>
      <c r="AD432" s="62">
        <f ca="1"/>
        <v>0.94692393339374681</v>
      </c>
      <c r="AE432" s="62">
        <f ca="1"/>
        <v>1.2535384999588182</v>
      </c>
      <c r="AF432" s="62">
        <f ca="1"/>
        <v>1.1549704568692467</v>
      </c>
      <c r="AG432" s="66" t="str">
        <f t="array" ref="AG432">IF($AB432, Push(MMULT($I$44:$L$47,MMULT(Fetch(AV431),TRANSPOSE($I$44:$L$47))) + $N$44:$Q$47), "")</f>
        <v/>
      </c>
      <c r="AH432" s="62">
        <f t="array" aca="1" ref="AH432:AK432" ca="1">TRANSPOSE($G$38:$G$41 + MMULT($I$38:$L$41,TRANSPOSE(AC432:AF432)))</f>
        <v>1.5137647085007355</v>
      </c>
      <c r="AI432" s="62">
        <f ca="1"/>
        <v>1.2001893017384699</v>
      </c>
      <c r="AJ432" s="62">
        <f ca="1"/>
        <v>1.0692156555346342</v>
      </c>
      <c r="AK432" s="62">
        <f ca="1"/>
        <v>1.287733162329034</v>
      </c>
      <c r="AL432" s="66" t="str">
        <f t="array" ref="AL432">IF($AB432, Push(MINVERSE(MMULT($I$38:$L$41,MMULT(Fetch(AG432),TRANSPOSE($I$38:$L$41))) + $N$38:$Q$41)), "")</f>
        <v/>
      </c>
      <c r="AM432" s="62">
        <f t="array" aca="1" ref="AM432:AP432" ca="1">X432:AA432 - AH432:AK432</f>
        <v>-0.58720631759547259</v>
      </c>
      <c r="AN432" s="62">
        <f ca="1"/>
        <v>-0.13067896484083441</v>
      </c>
      <c r="AO432" s="62">
        <f ca="1"/>
        <v>-0.27799741812096612</v>
      </c>
      <c r="AP432" s="62">
        <f ca="1"/>
        <v>-9.2537548396533609E-2</v>
      </c>
      <c r="AQ432" s="66" t="str">
        <f t="array" ref="AQ432">IF($AB432, Push(MMULT(Fetch(AG432),MMULT(TRANSPOSE($I$38:$L$41),Fetch(AL432)))), "")</f>
        <v/>
      </c>
      <c r="AR432" s="62">
        <f t="array" aca="1" ref="AR432:AU432" ca="1">AC432:AF432 + TRANSPOSE(MMULT(IF($AB432,Fetch(AQ432),$L$61:$O$64),TRANSPOSE(AM432:AP432)))</f>
        <v>0.82626492767303261</v>
      </c>
      <c r="AS432" s="62">
        <f ca="1"/>
        <v>1.0147280084660604</v>
      </c>
      <c r="AT432" s="62">
        <f ca="1"/>
        <v>0.94904209158950859</v>
      </c>
      <c r="AU432" s="62">
        <f ca="1"/>
        <v>1.0063477946641792</v>
      </c>
      <c r="AV432" s="66" t="str">
        <f t="array" ref="AV432">IF($AB432, Push(Fetch(AG432) - MMULT(Fetch(AQ432),MMULT($I$38:$L$41,Fetch(AG432)))), "")</f>
        <v/>
      </c>
      <c r="AW432" s="97">
        <f t="array" aca="1" ref="AW432" ca="1">IF($AB432,LN(MDETERM(Fetch(AL432))),$J$65)   -   MMULT(AM432:AP432,MMULT(IF($AB432,Fetch(AL432),$G$61:$J$64),TRANSPOSE(AM432:AP432)))</f>
        <v>5.1378311746674186</v>
      </c>
    </row>
    <row r="433" spans="23:49" x14ac:dyDescent="0.15">
      <c r="W433" s="12">
        <f t="shared" si="12"/>
        <v>430</v>
      </c>
      <c r="X433" s="62">
        <f t="array" aca="1" ref="X433:AA433" ca="1">simulate!AE433:AH433</f>
        <v>1.3673430701799754</v>
      </c>
      <c r="Y433" s="62">
        <f ca="1"/>
        <v>1.2728144013088176</v>
      </c>
      <c r="Z433" s="62">
        <f ca="1"/>
        <v>-4.6959265141248929E-2</v>
      </c>
      <c r="AA433" s="62">
        <f ca="1"/>
        <v>0.99564301029663793</v>
      </c>
      <c r="AB433" s="98">
        <f t="shared" si="13"/>
        <v>0</v>
      </c>
      <c r="AC433" s="62">
        <f t="array" aca="1" ref="AC433:AF433" ca="1">TRANSPOSE($G$44:$G$47 + MMULT($I$44:$L$47,TRANSPOSE(AR432:AU432)))</f>
        <v>0.98633906270805882</v>
      </c>
      <c r="AD433" s="62">
        <f ca="1"/>
        <v>0.94612649851054431</v>
      </c>
      <c r="AE433" s="62">
        <f ca="1"/>
        <v>0.98727783770898003</v>
      </c>
      <c r="AF433" s="62">
        <f ca="1"/>
        <v>1.0062573332436797</v>
      </c>
      <c r="AG433" s="66" t="str">
        <f t="array" ref="AG433">IF($AB433, Push(MMULT($I$44:$L$47,MMULT(Fetch(AV432),TRANSPOSE($I$44:$L$47))) + $N$44:$Q$47), "")</f>
        <v/>
      </c>
      <c r="AH433" s="62">
        <f t="array" aca="1" ref="AH433:AK433" ca="1">TRANSPOSE($G$38:$G$41 + MMULT($I$38:$L$41,TRANSPOSE(AC433:AF433)))</f>
        <v>1.2603656713119362</v>
      </c>
      <c r="AI433" s="62">
        <f ca="1"/>
        <v>1.1729410534047333</v>
      </c>
      <c r="AJ433" s="62">
        <f ca="1"/>
        <v>0.90177020690440846</v>
      </c>
      <c r="AK433" s="62">
        <f ca="1"/>
        <v>1.110991663937529</v>
      </c>
      <c r="AL433" s="66" t="str">
        <f t="array" ref="AL433">IF($AB433, Push(MINVERSE(MMULT($I$38:$L$41,MMULT(Fetch(AG433),TRANSPOSE($I$38:$L$41))) + $N$38:$Q$41)), "")</f>
        <v/>
      </c>
      <c r="AM433" s="62">
        <f t="array" aca="1" ref="AM433:AP433" ca="1">X433:AA433 - AH433:AK433</f>
        <v>0.10697739886803914</v>
      </c>
      <c r="AN433" s="62">
        <f ca="1"/>
        <v>9.9873347904084309E-2</v>
      </c>
      <c r="AO433" s="62">
        <f ca="1"/>
        <v>-0.94872947204565738</v>
      </c>
      <c r="AP433" s="62">
        <f ca="1"/>
        <v>-0.11534865364089109</v>
      </c>
      <c r="AQ433" s="66" t="str">
        <f t="array" ref="AQ433">IF($AB433, Push(MMULT(Fetch(AG433),MMULT(TRANSPOSE($I$38:$L$41),Fetch(AL433)))), "")</f>
        <v/>
      </c>
      <c r="AR433" s="62">
        <f t="array" aca="1" ref="AR433:AU433" ca="1">AC433:AF433 + TRANSPOSE(MMULT(IF($AB433,Fetch(AQ433),$L$61:$O$64),TRANSPOSE(AM433:AP433)))</f>
        <v>0.8385996483672844</v>
      </c>
      <c r="AS433" s="62">
        <f ca="1"/>
        <v>1.1604728417975718</v>
      </c>
      <c r="AT433" s="62">
        <f ca="1"/>
        <v>0.77737399577064548</v>
      </c>
      <c r="AU433" s="62">
        <f ca="1"/>
        <v>0.58054466383364001</v>
      </c>
      <c r="AV433" s="66" t="str">
        <f t="array" ref="AV433">IF($AB433, Push(Fetch(AG433) - MMULT(Fetch(AQ433),MMULT($I$38:$L$41,Fetch(AG433)))), "")</f>
        <v/>
      </c>
      <c r="AW433" s="97">
        <f t="array" aca="1" ref="AW433" ca="1">IF($AB433,LN(MDETERM(Fetch(AL433))),$J$65)   -   MMULT(AM433:AP433,MMULT(IF($AB433,Fetch(AL433),$G$61:$J$64),TRANSPOSE(AM433:AP433)))</f>
        <v>2.2061647749082383</v>
      </c>
    </row>
    <row r="434" spans="23:49" x14ac:dyDescent="0.15">
      <c r="W434" s="12">
        <f t="shared" si="12"/>
        <v>431</v>
      </c>
      <c r="X434" s="62">
        <f t="array" aca="1" ref="X434:AA434" ca="1">simulate!AE434:AH434</f>
        <v>0.82547134360178798</v>
      </c>
      <c r="Y434" s="62">
        <f ca="1"/>
        <v>1.3729566621891987</v>
      </c>
      <c r="Z434" s="62">
        <f ca="1"/>
        <v>0.16355535874698668</v>
      </c>
      <c r="AA434" s="62">
        <f ca="1"/>
        <v>1.6985543372889818</v>
      </c>
      <c r="AB434" s="98">
        <f t="shared" si="13"/>
        <v>0</v>
      </c>
      <c r="AC434" s="62">
        <f t="array" aca="1" ref="AC434:AF434" ca="1">TRANSPOSE($G$44:$G$47 + MMULT($I$44:$L$47,TRANSPOSE(AR433:AU433)))</f>
        <v>0.98188749611159687</v>
      </c>
      <c r="AD434" s="62">
        <f ca="1"/>
        <v>0.97112667037639411</v>
      </c>
      <c r="AE434" s="62">
        <f ca="1"/>
        <v>0.85609022437585947</v>
      </c>
      <c r="AF434" s="62">
        <f ca="1"/>
        <v>0.75938724025859172</v>
      </c>
      <c r="AG434" s="66" t="str">
        <f t="array" ref="AG434">IF($AB434, Push(MMULT($I$44:$L$47,MMULT(Fetch(AV433),TRANSPOSE($I$44:$L$47))) + $N$44:$Q$47), "")</f>
        <v/>
      </c>
      <c r="AH434" s="62">
        <f t="array" aca="1" ref="AH434:AK434" ca="1">TRANSPOSE($G$38:$G$41 + MMULT($I$38:$L$41,TRANSPOSE(AC434:AF434)))</f>
        <v>1.2426388374454846</v>
      </c>
      <c r="AI434" s="62">
        <f ca="1"/>
        <v>1.1780814550297758</v>
      </c>
      <c r="AJ434" s="62">
        <f ca="1"/>
        <v>0.6965639631962155</v>
      </c>
      <c r="AK434" s="62">
        <f ca="1"/>
        <v>0.92033597711867321</v>
      </c>
      <c r="AL434" s="66" t="str">
        <f t="array" ref="AL434">IF($AB434, Push(MINVERSE(MMULT($I$38:$L$41,MMULT(Fetch(AG434),TRANSPOSE($I$38:$L$41))) + $N$38:$Q$41)), "")</f>
        <v/>
      </c>
      <c r="AM434" s="62">
        <f t="array" aca="1" ref="AM434:AP434" ca="1">X434:AA434 - AH434:AK434</f>
        <v>-0.41716749384369667</v>
      </c>
      <c r="AN434" s="62">
        <f ca="1"/>
        <v>0.19487520715942286</v>
      </c>
      <c r="AO434" s="62">
        <f ca="1"/>
        <v>-0.53300860444922882</v>
      </c>
      <c r="AP434" s="62">
        <f ca="1"/>
        <v>0.77821836017030854</v>
      </c>
      <c r="AQ434" s="66" t="str">
        <f t="array" ref="AQ434">IF($AB434, Push(MMULT(Fetch(AG434),MMULT(TRANSPOSE($I$38:$L$41),Fetch(AL434)))), "")</f>
        <v/>
      </c>
      <c r="AR434" s="62">
        <f t="array" aca="1" ref="AR434:AU434" ca="1">AC434:AF434 + TRANSPOSE(MMULT(IF($AB434,Fetch(AQ434),$L$61:$O$64),TRANSPOSE(AM434:AP434)))</f>
        <v>0.51421293910137766</v>
      </c>
      <c r="AS434" s="62">
        <f ca="1"/>
        <v>1.4212927149816634</v>
      </c>
      <c r="AT434" s="62">
        <f ca="1"/>
        <v>1.1027952270118391</v>
      </c>
      <c r="AU434" s="62">
        <f ca="1"/>
        <v>0.81374215321152321</v>
      </c>
      <c r="AV434" s="66" t="str">
        <f t="array" ref="AV434">IF($AB434, Push(Fetch(AG434) - MMULT(Fetch(AQ434),MMULT($I$38:$L$41,Fetch(AG434)))), "")</f>
        <v/>
      </c>
      <c r="AW434" s="97">
        <f t="array" aca="1" ref="AW434" ca="1">IF($AB434,LN(MDETERM(Fetch(AL434))),$J$65)   -   MMULT(AM434:AP434,MMULT(IF($AB434,Fetch(AL434),$G$61:$J$64),TRANSPOSE(AM434:AP434)))</f>
        <v>-5.7888436696689904</v>
      </c>
    </row>
    <row r="435" spans="23:49" x14ac:dyDescent="0.15">
      <c r="W435" s="12">
        <f t="shared" si="12"/>
        <v>432</v>
      </c>
      <c r="X435" s="62">
        <f t="array" aca="1" ref="X435:AA435" ca="1">simulate!AE435:AH435</f>
        <v>0.92633499805509445</v>
      </c>
      <c r="Y435" s="62">
        <f ca="1"/>
        <v>1.4713770152153325</v>
      </c>
      <c r="Z435" s="62">
        <f ca="1"/>
        <v>0.41390915651051047</v>
      </c>
      <c r="AA435" s="62">
        <f ca="1"/>
        <v>0.58354624618279749</v>
      </c>
      <c r="AB435" s="98">
        <f t="shared" si="13"/>
        <v>0</v>
      </c>
      <c r="AC435" s="62">
        <f t="array" aca="1" ref="AC435:AF435" ca="1">TRANSPOSE($G$44:$G$47 + MMULT($I$44:$L$47,TRANSPOSE(AR434:AU434)))</f>
        <v>0.87966459922100948</v>
      </c>
      <c r="AD435" s="62">
        <f ca="1"/>
        <v>1.1240809081437075</v>
      </c>
      <c r="AE435" s="62">
        <f ca="1"/>
        <v>1.0856087957670673</v>
      </c>
      <c r="AF435" s="62">
        <f ca="1"/>
        <v>0.94114411100583428</v>
      </c>
      <c r="AG435" s="66" t="str">
        <f t="array" ref="AG435">IF($AB435, Push(MMULT($I$44:$L$47,MMULT(Fetch(AV434),TRANSPOSE($I$44:$L$47))) + $N$44:$Q$47), "")</f>
        <v/>
      </c>
      <c r="AH435" s="62">
        <f t="array" aca="1" ref="AH435:AK435" ca="1">TRANSPOSE($G$38:$G$41 + MMULT($I$38:$L$41,TRANSPOSE(AC435:AF435)))</f>
        <v>1.2556660105562427</v>
      </c>
      <c r="AI435" s="62">
        <f ca="1"/>
        <v>1.2506025062647417</v>
      </c>
      <c r="AJ435" s="62">
        <f ca="1"/>
        <v>0.72940342743252584</v>
      </c>
      <c r="AK435" s="62">
        <f ca="1"/>
        <v>1.2565671678999022</v>
      </c>
      <c r="AL435" s="66" t="str">
        <f t="array" ref="AL435">IF($AB435, Push(MINVERSE(MMULT($I$38:$L$41,MMULT(Fetch(AG435),TRANSPOSE($I$38:$L$41))) + $N$38:$Q$41)), "")</f>
        <v/>
      </c>
      <c r="AM435" s="62">
        <f t="array" aca="1" ref="AM435:AP435" ca="1">X435:AA435 - AH435:AK435</f>
        <v>-0.32933101250114827</v>
      </c>
      <c r="AN435" s="62">
        <f ca="1"/>
        <v>0.22077450895059081</v>
      </c>
      <c r="AO435" s="62">
        <f ca="1"/>
        <v>-0.31549427092201537</v>
      </c>
      <c r="AP435" s="62">
        <f ca="1"/>
        <v>-0.6730209217171047</v>
      </c>
      <c r="AQ435" s="66" t="str">
        <f t="array" ref="AQ435">IF($AB435, Push(MMULT(Fetch(AG435),MMULT(TRANSPOSE($I$38:$L$41),Fetch(AL435)))), "")</f>
        <v/>
      </c>
      <c r="AR435" s="62">
        <f t="array" aca="1" ref="AR435:AU435" ca="1">AC435:AF435 + TRANSPOSE(MMULT(IF($AB435,Fetch(AQ435),$L$61:$O$64),TRANSPOSE(AM435:AP435)))</f>
        <v>0.83622425199142658</v>
      </c>
      <c r="AS435" s="62">
        <f ca="1"/>
        <v>1.2400212391589538</v>
      </c>
      <c r="AT435" s="62">
        <f ca="1"/>
        <v>0.44173495374164262</v>
      </c>
      <c r="AU435" s="62">
        <f ca="1"/>
        <v>0.57800019295099536</v>
      </c>
      <c r="AV435" s="66" t="str">
        <f t="array" ref="AV435">IF($AB435, Push(Fetch(AG435) - MMULT(Fetch(AQ435),MMULT($I$38:$L$41,Fetch(AG435)))), "")</f>
        <v/>
      </c>
      <c r="AW435" s="97">
        <f t="array" aca="1" ref="AW435" ca="1">IF($AB435,LN(MDETERM(Fetch(AL435))),$J$65)   -   MMULT(AM435:AP435,MMULT(IF($AB435,Fetch(AL435),$G$61:$J$64),TRANSPOSE(AM435:AP435)))</f>
        <v>3.5734833173680465</v>
      </c>
    </row>
    <row r="436" spans="23:49" x14ac:dyDescent="0.15">
      <c r="W436" s="12">
        <f t="shared" si="12"/>
        <v>433</v>
      </c>
      <c r="X436" s="62">
        <f t="array" aca="1" ref="X436:AA436" ca="1">simulate!AE436:AH436</f>
        <v>1.2625558088013389</v>
      </c>
      <c r="Y436" s="62">
        <f ca="1"/>
        <v>1.6333245904961817</v>
      </c>
      <c r="Z436" s="62">
        <f ca="1"/>
        <v>-0.20053356368249087</v>
      </c>
      <c r="AA436" s="62">
        <f ca="1"/>
        <v>1.6669366303912483</v>
      </c>
      <c r="AB436" s="98">
        <f t="shared" si="13"/>
        <v>0</v>
      </c>
      <c r="AC436" s="62">
        <f t="array" aca="1" ref="AC436:AF436" ca="1">TRANSPOSE($G$44:$G$47 + MMULT($I$44:$L$47,TRANSPOSE(AR435:AU435)))</f>
        <v>0.96836278015319754</v>
      </c>
      <c r="AD436" s="62">
        <f ca="1"/>
        <v>0.96385032547252358</v>
      </c>
      <c r="AE436" s="62">
        <f ca="1"/>
        <v>0.68718985814055866</v>
      </c>
      <c r="AF436" s="62">
        <f ca="1"/>
        <v>0.70906718147522518</v>
      </c>
      <c r="AG436" s="66" t="str">
        <f t="array" ref="AG436">IF($AB436, Push(MMULT($I$44:$L$47,MMULT(Fetch(AV435),TRANSPOSE($I$44:$L$47))) + $N$44:$Q$47), "")</f>
        <v/>
      </c>
      <c r="AH436" s="62">
        <f t="array" aca="1" ref="AH436:AK436" ca="1">TRANSPOSE($G$38:$G$41 + MMULT($I$38:$L$41,TRANSPOSE(AC436:AF436)))</f>
        <v>1.1402427589536104</v>
      </c>
      <c r="AI436" s="62">
        <f ca="1"/>
        <v>1.2000106042363439</v>
      </c>
      <c r="AJ436" s="62">
        <f ca="1"/>
        <v>0.66778207543249635</v>
      </c>
      <c r="AK436" s="62">
        <f ca="1"/>
        <v>0.78068976833155945</v>
      </c>
      <c r="AL436" s="66" t="str">
        <f t="array" ref="AL436">IF($AB436, Push(MINVERSE(MMULT($I$38:$L$41,MMULT(Fetch(AG436),TRANSPOSE($I$38:$L$41))) + $N$38:$Q$41)), "")</f>
        <v/>
      </c>
      <c r="AM436" s="62">
        <f t="array" aca="1" ref="AM436:AP436" ca="1">X436:AA436 - AH436:AK436</f>
        <v>0.12231304984772851</v>
      </c>
      <c r="AN436" s="62">
        <f ca="1"/>
        <v>0.43331398625983786</v>
      </c>
      <c r="AO436" s="62">
        <f ca="1"/>
        <v>-0.86831563911498721</v>
      </c>
      <c r="AP436" s="62">
        <f ca="1"/>
        <v>0.88624686205968883</v>
      </c>
      <c r="AQ436" s="66" t="str">
        <f t="array" ref="AQ436">IF($AB436, Push(MMULT(Fetch(AG436),MMULT(TRANSPOSE($I$38:$L$41),Fetch(AL436)))), "")</f>
        <v/>
      </c>
      <c r="AR436" s="62">
        <f t="array" aca="1" ref="AR436:AU436" ca="1">AC436:AF436 + TRANSPOSE(MMULT(IF($AB436,Fetch(AQ436),$L$61:$O$64),TRANSPOSE(AM436:AP436)))</f>
        <v>0.67529909103662966</v>
      </c>
      <c r="AS436" s="62">
        <f ca="1"/>
        <v>1.5476805178220987</v>
      </c>
      <c r="AT436" s="62">
        <f ca="1"/>
        <v>1.1141681427699131</v>
      </c>
      <c r="AU436" s="62">
        <f ca="1"/>
        <v>0.66815841345220783</v>
      </c>
      <c r="AV436" s="66" t="str">
        <f t="array" ref="AV436">IF($AB436, Push(Fetch(AG436) - MMULT(Fetch(AQ436),MMULT($I$38:$L$41,Fetch(AG436)))), "")</f>
        <v/>
      </c>
      <c r="AW436" s="97">
        <f t="array" aca="1" ref="AW436" ca="1">IF($AB436,LN(MDETERM(Fetch(AL436))),$J$65)   -   MMULT(AM436:AP436,MMULT(IF($AB436,Fetch(AL436),$G$61:$J$64),TRANSPOSE(AM436:AP436)))</f>
        <v>-5.2927120212965484</v>
      </c>
    </row>
    <row r="437" spans="23:49" x14ac:dyDescent="0.15">
      <c r="W437" s="12">
        <f t="shared" si="12"/>
        <v>434</v>
      </c>
      <c r="X437" s="62">
        <f t="array" aca="1" ref="X437:AA437" ca="1">simulate!AE437:AH437</f>
        <v>0.84388887831162251</v>
      </c>
      <c r="Y437" s="62">
        <f ca="1"/>
        <v>0.44961470777548873</v>
      </c>
      <c r="Z437" s="62">
        <f ca="1"/>
        <v>1.4125623259435489</v>
      </c>
      <c r="AA437" s="62">
        <f ca="1"/>
        <v>1.1916942301777709</v>
      </c>
      <c r="AB437" s="98">
        <f t="shared" si="13"/>
        <v>0</v>
      </c>
      <c r="AC437" s="62">
        <f t="array" aca="1" ref="AC437:AF437" ca="1">TRANSPOSE($G$44:$G$47 + MMULT($I$44:$L$47,TRANSPOSE(AR436:AU436)))</f>
        <v>0.97918089647522</v>
      </c>
      <c r="AD437" s="62">
        <f ca="1"/>
        <v>1.2098135746234802</v>
      </c>
      <c r="AE437" s="62">
        <f ca="1"/>
        <v>1.1021928890428867</v>
      </c>
      <c r="AF437" s="62">
        <f ca="1"/>
        <v>0.88110235248647983</v>
      </c>
      <c r="AG437" s="66" t="str">
        <f t="array" ref="AG437">IF($AB437, Push(MMULT($I$44:$L$47,MMULT(Fetch(AV436),TRANSPOSE($I$44:$L$47))) + $N$44:$Q$47), "")</f>
        <v/>
      </c>
      <c r="AH437" s="62">
        <f t="array" aca="1" ref="AH437:AK437" ca="1">TRANSPOSE($G$38:$G$41 + MMULT($I$38:$L$41,TRANSPOSE(AC437:AF437)))</f>
        <v>1.3499353739438709</v>
      </c>
      <c r="AI437" s="62">
        <f ca="1"/>
        <v>1.3460813459706584</v>
      </c>
      <c r="AJ437" s="62">
        <f ca="1"/>
        <v>0.68362053432166658</v>
      </c>
      <c r="AK437" s="62">
        <f ca="1"/>
        <v>1.2244014496567071</v>
      </c>
      <c r="AL437" s="66" t="str">
        <f t="array" ref="AL437">IF($AB437, Push(MINVERSE(MMULT($I$38:$L$41,MMULT(Fetch(AG437),TRANSPOSE($I$38:$L$41))) + $N$38:$Q$41)), "")</f>
        <v/>
      </c>
      <c r="AM437" s="62">
        <f t="array" aca="1" ref="AM437:AP437" ca="1">X437:AA437 - AH437:AK437</f>
        <v>-0.50604649563224835</v>
      </c>
      <c r="AN437" s="62">
        <f ca="1"/>
        <v>-0.8964666381951697</v>
      </c>
      <c r="AO437" s="62">
        <f ca="1"/>
        <v>0.72894179162188233</v>
      </c>
      <c r="AP437" s="62">
        <f ca="1"/>
        <v>-3.2707219478936178E-2</v>
      </c>
      <c r="AQ437" s="66" t="str">
        <f t="array" ref="AQ437">IF($AB437, Push(MMULT(Fetch(AG437),MMULT(TRANSPOSE($I$38:$L$41),Fetch(AL437)))), "")</f>
        <v/>
      </c>
      <c r="AR437" s="62">
        <f t="array" aca="1" ref="AR437:AU437" ca="1">AC437:AF437 + TRANSPOSE(MMULT(IF($AB437,Fetch(AQ437),$L$61:$O$64),TRANSPOSE(AM437:AP437)))</f>
        <v>0.79848961039335964</v>
      </c>
      <c r="AS437" s="62">
        <f ca="1"/>
        <v>0.62737170004425458</v>
      </c>
      <c r="AT437" s="62">
        <f ca="1"/>
        <v>1.1329903047926611</v>
      </c>
      <c r="AU437" s="62">
        <f ca="1"/>
        <v>1.1585532514761034</v>
      </c>
      <c r="AV437" s="66" t="str">
        <f t="array" ref="AV437">IF($AB437, Push(Fetch(AG437) - MMULT(Fetch(AQ437),MMULT($I$38:$L$41,Fetch(AG437)))), "")</f>
        <v/>
      </c>
      <c r="AW437" s="97">
        <f t="array" aca="1" ref="AW437" ca="1">IF($AB437,LN(MDETERM(Fetch(AL437))),$J$65)   -   MMULT(AM437:AP437,MMULT(IF($AB437,Fetch(AL437),$G$61:$J$64),TRANSPOSE(AM437:AP437)))</f>
        <v>1.8313643211146857</v>
      </c>
    </row>
    <row r="438" spans="23:49" x14ac:dyDescent="0.15">
      <c r="W438" s="12">
        <f t="shared" si="12"/>
        <v>435</v>
      </c>
      <c r="X438" s="62">
        <f t="array" aca="1" ref="X438:AA438" ca="1">simulate!AE438:AH438</f>
        <v>1.3650321485546328</v>
      </c>
      <c r="Y438" s="62">
        <f ca="1"/>
        <v>-0.59760303689482319</v>
      </c>
      <c r="Z438" s="62">
        <f ca="1"/>
        <v>2.7956684986463785</v>
      </c>
      <c r="AA438" s="62">
        <f ca="1"/>
        <v>0.63016258791968749</v>
      </c>
      <c r="AB438" s="98">
        <f t="shared" si="13"/>
        <v>0</v>
      </c>
      <c r="AC438" s="62">
        <f t="array" aca="1" ref="AC438:AF438" ca="1">TRANSPOSE($G$44:$G$47 + MMULT($I$44:$L$47,TRANSPOSE(AR437:AU437)))</f>
        <v>0.93442141442776716</v>
      </c>
      <c r="AD438" s="62">
        <f ca="1"/>
        <v>0.77047280836415033</v>
      </c>
      <c r="AE438" s="62">
        <f ca="1"/>
        <v>1.044280497499805</v>
      </c>
      <c r="AF438" s="62">
        <f ca="1"/>
        <v>1.0894172335546761</v>
      </c>
      <c r="AG438" s="66" t="str">
        <f t="array" ref="AG438">IF($AB438, Push(MMULT($I$44:$L$47,MMULT(Fetch(AV437),TRANSPOSE($I$44:$L$47))) + $N$44:$Q$47), "")</f>
        <v/>
      </c>
      <c r="AH438" s="62">
        <f t="array" aca="1" ref="AH438:AK438" ca="1">TRANSPOSE($G$38:$G$41 + MMULT($I$38:$L$41,TRANSPOSE(AC438:AF438)))</f>
        <v>1.2451451775250284</v>
      </c>
      <c r="AI438" s="62">
        <f ca="1"/>
        <v>1.0024612634115879</v>
      </c>
      <c r="AJ438" s="62">
        <f ca="1"/>
        <v>1.0125744048058696</v>
      </c>
      <c r="AK438" s="62">
        <f ca="1"/>
        <v>1.1572727703218224</v>
      </c>
      <c r="AL438" s="66" t="str">
        <f t="array" ref="AL438">IF($AB438, Push(MINVERSE(MMULT($I$38:$L$41,MMULT(Fetch(AG438),TRANSPOSE($I$38:$L$41))) + $N$38:$Q$41)), "")</f>
        <v/>
      </c>
      <c r="AM438" s="62">
        <f t="array" aca="1" ref="AM438:AP438" ca="1">X438:AA438 - AH438:AK438</f>
        <v>0.11988697102960444</v>
      </c>
      <c r="AN438" s="62">
        <f ca="1"/>
        <v>-1.600064300306411</v>
      </c>
      <c r="AO438" s="62">
        <f ca="1"/>
        <v>1.7830940938405089</v>
      </c>
      <c r="AP438" s="62">
        <f ca="1"/>
        <v>-0.52711018240213492</v>
      </c>
      <c r="AQ438" s="66" t="str">
        <f t="array" ref="AQ438">IF($AB438, Push(MMULT(Fetch(AG438),MMULT(TRANSPOSE($I$38:$L$41),Fetch(AL438)))), "")</f>
        <v/>
      </c>
      <c r="AR438" s="62">
        <f t="array" aca="1" ref="AR438:AU438" ca="1">AC438:AF438 + TRANSPOSE(MMULT(IF($AB438,Fetch(AQ438),$L$61:$O$64),TRANSPOSE(AM438:AP438)))</f>
        <v>1.3037429130634246</v>
      </c>
      <c r="AS438" s="62">
        <f ca="1"/>
        <v>-0.64167772930245026</v>
      </c>
      <c r="AT438" s="62">
        <f ca="1"/>
        <v>1.243117663773377</v>
      </c>
      <c r="AU438" s="62">
        <f ca="1"/>
        <v>1.6211189573290248</v>
      </c>
      <c r="AV438" s="66" t="str">
        <f t="array" ref="AV438">IF($AB438, Push(Fetch(AG438) - MMULT(Fetch(AQ438),MMULT($I$38:$L$41,Fetch(AG438)))), "")</f>
        <v/>
      </c>
      <c r="AW438" s="97">
        <f t="array" aca="1" ref="AW438" ca="1">IF($AB438,LN(MDETERM(Fetch(AL438))),$J$65)   -   MMULT(AM438:AP438,MMULT(IF($AB438,Fetch(AL438),$G$61:$J$64),TRANSPOSE(AM438:AP438)))</f>
        <v>-21.485837117556528</v>
      </c>
    </row>
    <row r="439" spans="23:49" x14ac:dyDescent="0.15">
      <c r="W439" s="12">
        <f t="shared" si="12"/>
        <v>436</v>
      </c>
      <c r="X439" s="62">
        <f t="array" aca="1" ref="X439:AA439" ca="1">simulate!AE439:AH439</f>
        <v>1.3845525164178152</v>
      </c>
      <c r="Y439" s="62">
        <f ca="1"/>
        <v>0.66840173056342067</v>
      </c>
      <c r="Z439" s="62">
        <f ca="1"/>
        <v>0.97742371348571111</v>
      </c>
      <c r="AA439" s="62">
        <f ca="1"/>
        <v>0.74669144973219381</v>
      </c>
      <c r="AB439" s="98">
        <f t="shared" si="13"/>
        <v>0</v>
      </c>
      <c r="AC439" s="62">
        <f t="array" aca="1" ref="AC439:AF439" ca="1">TRANSPOSE($G$44:$G$47 + MMULT($I$44:$L$47,TRANSPOSE(AR438:AU438)))</f>
        <v>1.0495559347238237</v>
      </c>
      <c r="AD439" s="62">
        <f ca="1"/>
        <v>0.21634902614977744</v>
      </c>
      <c r="AE439" s="62">
        <f ca="1"/>
        <v>1.0021364785907443</v>
      </c>
      <c r="AF439" s="62">
        <f ca="1"/>
        <v>1.2910622180578981</v>
      </c>
      <c r="AG439" s="66" t="str">
        <f t="array" ref="AG439">IF($AB439, Push(MMULT($I$44:$L$47,MMULT(Fetch(AV438),TRANSPOSE($I$44:$L$47))) + $N$44:$Q$47), "")</f>
        <v/>
      </c>
      <c r="AH439" s="62">
        <f t="array" aca="1" ref="AH439:AK439" ca="1">TRANSPOSE($G$38:$G$41 + MMULT($I$38:$L$41,TRANSPOSE(AC439:AF439)))</f>
        <v>1.2727595465307568</v>
      </c>
      <c r="AI439" s="62">
        <f ca="1"/>
        <v>0.61264431122114371</v>
      </c>
      <c r="AJ439" s="62">
        <f ca="1"/>
        <v>1.4399055987035303</v>
      </c>
      <c r="AK439" s="62">
        <f ca="1"/>
        <v>0.99170048092579099</v>
      </c>
      <c r="AL439" s="66" t="str">
        <f t="array" ref="AL439">IF($AB439, Push(MINVERSE(MMULT($I$38:$L$41,MMULT(Fetch(AG439),TRANSPOSE($I$38:$L$41))) + $N$38:$Q$41)), "")</f>
        <v/>
      </c>
      <c r="AM439" s="62">
        <f t="array" aca="1" ref="AM439:AP439" ca="1">X439:AA439 - AH439:AK439</f>
        <v>0.11179296988705834</v>
      </c>
      <c r="AN439" s="62">
        <f ca="1"/>
        <v>5.5757419342276959E-2</v>
      </c>
      <c r="AO439" s="62">
        <f ca="1"/>
        <v>-0.46248188521781919</v>
      </c>
      <c r="AP439" s="62">
        <f ca="1"/>
        <v>-0.24500903119359718</v>
      </c>
      <c r="AQ439" s="66" t="str">
        <f t="array" ref="AQ439">IF($AB439, Push(MMULT(Fetch(AG439),MMULT(TRANSPOSE($I$38:$L$41),Fetch(AL439)))), "")</f>
        <v/>
      </c>
      <c r="AR439" s="62">
        <f t="array" aca="1" ref="AR439:AU439" ca="1">AC439:AF439 + TRANSPOSE(MMULT(IF($AB439,Fetch(AQ439),$L$61:$O$64),TRANSPOSE(AM439:AP439)))</f>
        <v>1.0481549259554774</v>
      </c>
      <c r="AS439" s="62">
        <f ca="1"/>
        <v>0.27699531657380982</v>
      </c>
      <c r="AT439" s="62">
        <f ca="1"/>
        <v>0.79621887862039131</v>
      </c>
      <c r="AU439" s="62">
        <f ca="1"/>
        <v>1.0179029250714906</v>
      </c>
      <c r="AV439" s="66" t="str">
        <f t="array" ref="AV439">IF($AB439, Push(Fetch(AG439) - MMULT(Fetch(AQ439),MMULT($I$38:$L$41,Fetch(AG439)))), "")</f>
        <v/>
      </c>
      <c r="AW439" s="97">
        <f t="array" aca="1" ref="AW439" ca="1">IF($AB439,LN(MDETERM(Fetch(AL439))),$J$65)   -   MMULT(AM439:AP439,MMULT(IF($AB439,Fetch(AL439),$G$61:$J$64),TRANSPOSE(AM439:AP439)))</f>
        <v>5.1227657538403504</v>
      </c>
    </row>
    <row r="440" spans="23:49" x14ac:dyDescent="0.15">
      <c r="W440" s="12">
        <f t="shared" si="12"/>
        <v>437</v>
      </c>
      <c r="X440" s="62">
        <f t="array" aca="1" ref="X440:AA440" ca="1">simulate!AE440:AH440</f>
        <v>1.1015190968933313</v>
      </c>
      <c r="Y440" s="62">
        <f ca="1"/>
        <v>1.7037340277381325</v>
      </c>
      <c r="Z440" s="62">
        <f ca="1"/>
        <v>0.33453810794105265</v>
      </c>
      <c r="AA440" s="62">
        <f ca="1"/>
        <v>-1.1892928128642843E-4</v>
      </c>
      <c r="AB440" s="98">
        <f t="shared" si="13"/>
        <v>0</v>
      </c>
      <c r="AC440" s="62">
        <f t="array" aca="1" ref="AC440:AF440" ca="1">TRANSPOSE($G$44:$G$47 + MMULT($I$44:$L$47,TRANSPOSE(AR439:AU439)))</f>
        <v>0.98667505884338613</v>
      </c>
      <c r="AD440" s="62">
        <f ca="1"/>
        <v>0.56192773512241956</v>
      </c>
      <c r="AE440" s="62">
        <f ca="1"/>
        <v>0.80246883186656148</v>
      </c>
      <c r="AF440" s="62">
        <f ca="1"/>
        <v>0.94583419214593167</v>
      </c>
      <c r="AG440" s="66" t="str">
        <f t="array" ref="AG440">IF($AB440, Push(MMULT($I$44:$L$47,MMULT(Fetch(AV439),TRANSPOSE($I$44:$L$47))) + $N$44:$Q$47), "")</f>
        <v/>
      </c>
      <c r="AH440" s="62">
        <f t="array" aca="1" ref="AH440:AK440" ca="1">TRANSPOSE($G$38:$G$41 + MMULT($I$38:$L$41,TRANSPOSE(AC440:AF440)))</f>
        <v>1.1806439212687863</v>
      </c>
      <c r="AI440" s="62">
        <f ca="1"/>
        <v>0.87366056346357701</v>
      </c>
      <c r="AJ440" s="62">
        <f ca="1"/>
        <v>1.0145598430543394</v>
      </c>
      <c r="AK440" s="62">
        <f ca="1"/>
        <v>0.83392081344843194</v>
      </c>
      <c r="AL440" s="66" t="str">
        <f t="array" ref="AL440">IF($AB440, Push(MINVERSE(MMULT($I$38:$L$41,MMULT(Fetch(AG440),TRANSPOSE($I$38:$L$41))) + $N$38:$Q$41)), "")</f>
        <v/>
      </c>
      <c r="AM440" s="62">
        <f t="array" aca="1" ref="AM440:AP440" ca="1">X440:AA440 - AH440:AK440</f>
        <v>-7.9124824375454983E-2</v>
      </c>
      <c r="AN440" s="62">
        <f ca="1"/>
        <v>0.83007346427455553</v>
      </c>
      <c r="AO440" s="62">
        <f ca="1"/>
        <v>-0.68002173511328678</v>
      </c>
      <c r="AP440" s="62">
        <f ca="1"/>
        <v>-0.83403974272971837</v>
      </c>
      <c r="AQ440" s="66" t="str">
        <f t="array" ref="AQ440">IF($AB440, Push(MMULT(Fetch(AG440),MMULT(TRANSPOSE($I$38:$L$41),Fetch(AL440)))), "")</f>
        <v/>
      </c>
      <c r="AR440" s="62">
        <f t="array" aca="1" ref="AR440:AU440" ca="1">AC440:AF440 + TRANSPOSE(MMULT(IF($AB440,Fetch(AQ440),$L$61:$O$64),TRANSPOSE(AM440:AP440)))</f>
        <v>1.0973274914420237</v>
      </c>
      <c r="AS440" s="62">
        <f ca="1"/>
        <v>1.0262606640931509</v>
      </c>
      <c r="AT440" s="62">
        <f ca="1"/>
        <v>5.0472251347718489E-3</v>
      </c>
      <c r="AU440" s="62">
        <f ca="1"/>
        <v>0.38313875107000794</v>
      </c>
      <c r="AV440" s="66" t="str">
        <f t="array" ref="AV440">IF($AB440, Push(Fetch(AG440) - MMULT(Fetch(AQ440),MMULT($I$38:$L$41,Fetch(AG440)))), "")</f>
        <v/>
      </c>
      <c r="AW440" s="97">
        <f t="array" aca="1" ref="AW440" ca="1">IF($AB440,LN(MDETERM(Fetch(AL440))),$J$65)   -   MMULT(AM440:AP440,MMULT(IF($AB440,Fetch(AL440),$G$61:$J$64),TRANSPOSE(AM440:AP440)))</f>
        <v>-1.6773578347234182</v>
      </c>
    </row>
    <row r="441" spans="23:49" x14ac:dyDescent="0.15">
      <c r="W441" s="12">
        <f t="shared" si="12"/>
        <v>438</v>
      </c>
      <c r="X441" s="62">
        <f t="array" aca="1" ref="X441:AA441" ca="1">simulate!AE441:AH441</f>
        <v>0.10044350030954668</v>
      </c>
      <c r="Y441" s="62">
        <f ca="1"/>
        <v>0.99155337138829591</v>
      </c>
      <c r="Z441" s="62">
        <f ca="1"/>
        <v>0.75490814874558543</v>
      </c>
      <c r="AA441" s="62">
        <f ca="1"/>
        <v>0.54230886383463039</v>
      </c>
      <c r="AB441" s="98">
        <f t="shared" si="13"/>
        <v>0</v>
      </c>
      <c r="AC441" s="62">
        <f t="array" aca="1" ref="AC441:AF441" ca="1">TRANSPOSE($G$44:$G$47 + MMULT($I$44:$L$47,TRANSPOSE(AR440:AU440)))</f>
        <v>1.0372941429852676</v>
      </c>
      <c r="AD441" s="62">
        <f ca="1"/>
        <v>0.81229937696347021</v>
      </c>
      <c r="AE441" s="62">
        <f ca="1"/>
        <v>0.40638824430220111</v>
      </c>
      <c r="AF441" s="62">
        <f ca="1"/>
        <v>0.53025817510189444</v>
      </c>
      <c r="AG441" s="66" t="str">
        <f t="array" ref="AG441">IF($AB441, Push(MMULT($I$44:$L$47,MMULT(Fetch(AV440),TRANSPOSE($I$44:$L$47))) + $N$44:$Q$47), "")</f>
        <v/>
      </c>
      <c r="AH441" s="62">
        <f t="array" aca="1" ref="AH441:AK441" ca="1">TRANSPOSE($G$38:$G$41 + MMULT($I$38:$L$41,TRANSPOSE(AC441:AF441)))</f>
        <v>1.0698703121047426</v>
      </c>
      <c r="AI441" s="62">
        <f ca="1"/>
        <v>1.1300803722497792</v>
      </c>
      <c r="AJ441" s="62">
        <f ca="1"/>
        <v>0.62877161557800787</v>
      </c>
      <c r="AK441" s="62">
        <f ca="1"/>
        <v>0.42407079061013625</v>
      </c>
      <c r="AL441" s="66" t="str">
        <f t="array" ref="AL441">IF($AB441, Push(MINVERSE(MMULT($I$38:$L$41,MMULT(Fetch(AG441),TRANSPOSE($I$38:$L$41))) + $N$38:$Q$41)), "")</f>
        <v/>
      </c>
      <c r="AM441" s="62">
        <f t="array" aca="1" ref="AM441:AP441" ca="1">X441:AA441 - AH441:AK441</f>
        <v>-0.96942681179519585</v>
      </c>
      <c r="AN441" s="62">
        <f ca="1"/>
        <v>-0.13852700086148328</v>
      </c>
      <c r="AO441" s="62">
        <f ca="1"/>
        <v>0.12613653316757756</v>
      </c>
      <c r="AP441" s="62">
        <f ca="1"/>
        <v>0.11823807322449414</v>
      </c>
      <c r="AQ441" s="66" t="str">
        <f t="array" ref="AQ441">IF($AB441, Push(MMULT(Fetch(AG441),MMULT(TRANSPOSE($I$38:$L$41),Fetch(AL441)))), "")</f>
        <v/>
      </c>
      <c r="AR441" s="62">
        <f t="array" aca="1" ref="AR441:AU441" ca="1">AC441:AF441 + TRANSPOSE(MMULT(IF($AB441,Fetch(AQ441),$L$61:$O$64),TRANSPOSE(AM441:AP441)))</f>
        <v>0.57938407960241411</v>
      </c>
      <c r="AS441" s="62">
        <f ca="1"/>
        <v>0.8993952410905196</v>
      </c>
      <c r="AT441" s="62">
        <f ca="1"/>
        <v>0.17125087223207133</v>
      </c>
      <c r="AU441" s="62">
        <f ca="1"/>
        <v>0.61842093519873254</v>
      </c>
      <c r="AV441" s="66" t="str">
        <f t="array" ref="AV441">IF($AB441, Push(Fetch(AG441) - MMULT(Fetch(AQ441),MMULT($I$38:$L$41,Fetch(AG441)))), "")</f>
        <v/>
      </c>
      <c r="AW441" s="97">
        <f t="array" aca="1" ref="AW441" ca="1">IF($AB441,LN(MDETERM(Fetch(AL441))),$J$65)   -   MMULT(AM441:AP441,MMULT(IF($AB441,Fetch(AL441),$G$61:$J$64),TRANSPOSE(AM441:AP441)))</f>
        <v>-0.82620865006147604</v>
      </c>
    </row>
    <row r="442" spans="23:49" x14ac:dyDescent="0.15">
      <c r="W442" s="12">
        <f t="shared" si="12"/>
        <v>439</v>
      </c>
      <c r="X442" s="62">
        <f t="array" aca="1" ref="X442:AA442" ca="1">simulate!AE442:AH442</f>
        <v>0.28313347479456485</v>
      </c>
      <c r="Y442" s="62">
        <f ca="1"/>
        <v>0.15222254334079244</v>
      </c>
      <c r="Z442" s="62">
        <f ca="1"/>
        <v>0.86598922559355584</v>
      </c>
      <c r="AA442" s="62">
        <f ca="1"/>
        <v>1.0921831444091714</v>
      </c>
      <c r="AB442" s="98">
        <f t="shared" si="13"/>
        <v>0</v>
      </c>
      <c r="AC442" s="62">
        <f t="array" aca="1" ref="AC442:AF442" ca="1">TRANSPOSE($G$44:$G$47 + MMULT($I$44:$L$47,TRANSPOSE(AR441:AU441)))</f>
        <v>0.76192863068016248</v>
      </c>
      <c r="AD442" s="62">
        <f ca="1"/>
        <v>0.701034363538657</v>
      </c>
      <c r="AE442" s="62">
        <f ca="1"/>
        <v>0.47350340107932776</v>
      </c>
      <c r="AF442" s="62">
        <f ca="1"/>
        <v>0.65039207847002323</v>
      </c>
      <c r="AG442" s="66" t="str">
        <f t="array" ref="AG442">IF($AB442, Push(MMULT($I$44:$L$47,MMULT(Fetch(AV441),TRANSPOSE($I$44:$L$47))) + $N$44:$Q$47), "")</f>
        <v/>
      </c>
      <c r="AH442" s="62">
        <f t="array" aca="1" ref="AH442:AK442" ca="1">TRANSPOSE($G$38:$G$41 + MMULT($I$38:$L$41,TRANSPOSE(AC442:AF442)))</f>
        <v>0.88729387517329239</v>
      </c>
      <c r="AI442" s="62">
        <f ca="1"/>
        <v>0.93771748817006961</v>
      </c>
      <c r="AJ442" s="62">
        <f ca="1"/>
        <v>0.65867363196263051</v>
      </c>
      <c r="AK442" s="62">
        <f ca="1"/>
        <v>0.61357251226259046</v>
      </c>
      <c r="AL442" s="66" t="str">
        <f t="array" ref="AL442">IF($AB442, Push(MINVERSE(MMULT($I$38:$L$41,MMULT(Fetch(AG442),TRANSPOSE($I$38:$L$41))) + $N$38:$Q$41)), "")</f>
        <v/>
      </c>
      <c r="AM442" s="62">
        <f t="array" aca="1" ref="AM442:AP442" ca="1">X442:AA442 - AH442:AK442</f>
        <v>-0.60416040037872754</v>
      </c>
      <c r="AN442" s="62">
        <f ca="1"/>
        <v>-0.78549494482927718</v>
      </c>
      <c r="AO442" s="62">
        <f ca="1"/>
        <v>0.20731559363092533</v>
      </c>
      <c r="AP442" s="62">
        <f ca="1"/>
        <v>0.47861063214658095</v>
      </c>
      <c r="AQ442" s="66" t="str">
        <f t="array" ref="AQ442">IF($AB442, Push(MMULT(Fetch(AG442),MMULT(TRANSPOSE($I$38:$L$41),Fetch(AL442)))), "")</f>
        <v/>
      </c>
      <c r="AR442" s="62">
        <f t="array" aca="1" ref="AR442:AU442" ca="1">AC442:AF442 + TRANSPOSE(MMULT(IF($AB442,Fetch(AQ442),$L$61:$O$64),TRANSPOSE(AM442:AP442)))</f>
        <v>0.30839539826658668</v>
      </c>
      <c r="AS442" s="62">
        <f ca="1"/>
        <v>0.40987970651040195</v>
      </c>
      <c r="AT442" s="62">
        <f ca="1"/>
        <v>0.70346053609673809</v>
      </c>
      <c r="AU442" s="62">
        <f ca="1"/>
        <v>0.89423796707177139</v>
      </c>
      <c r="AV442" s="66" t="str">
        <f t="array" ref="AV442">IF($AB442, Push(Fetch(AG442) - MMULT(Fetch(AQ442),MMULT($I$38:$L$41,Fetch(AG442)))), "")</f>
        <v/>
      </c>
      <c r="AW442" s="97">
        <f t="array" aca="1" ref="AW442" ca="1">IF($AB442,LN(MDETERM(Fetch(AL442))),$J$65)   -   MMULT(AM442:AP442,MMULT(IF($AB442,Fetch(AL442),$G$61:$J$64),TRANSPOSE(AM442:AP442)))</f>
        <v>-0.60873862711062898</v>
      </c>
    </row>
    <row r="443" spans="23:49" x14ac:dyDescent="0.15">
      <c r="W443" s="12">
        <f t="shared" si="12"/>
        <v>440</v>
      </c>
      <c r="X443" s="62">
        <f t="array" aca="1" ref="X443:AA443" ca="1">simulate!AE443:AH443</f>
        <v>0.84149704364821587</v>
      </c>
      <c r="Y443" s="62">
        <f ca="1"/>
        <v>0.21693111377364821</v>
      </c>
      <c r="Z443" s="62">
        <f ca="1"/>
        <v>1.2938551609406876</v>
      </c>
      <c r="AA443" s="62">
        <f ca="1"/>
        <v>0.47805729021980575</v>
      </c>
      <c r="AB443" s="98">
        <f t="shared" si="13"/>
        <v>0</v>
      </c>
      <c r="AC443" s="62">
        <f t="array" aca="1" ref="AC443:AF443" ca="1">TRANSPOSE($G$44:$G$47 + MMULT($I$44:$L$47,TRANSPOSE(AR442:AU442)))</f>
        <v>0.59426967036178779</v>
      </c>
      <c r="AD443" s="62">
        <f ca="1"/>
        <v>0.49105777158720465</v>
      </c>
      <c r="AE443" s="62">
        <f ca="1"/>
        <v>0.70298734805006269</v>
      </c>
      <c r="AF443" s="62">
        <f ca="1"/>
        <v>0.83789525275504628</v>
      </c>
      <c r="AG443" s="66" t="str">
        <f t="array" ref="AG443">IF($AB443, Push(MMULT($I$44:$L$47,MMULT(Fetch(AV442),TRANSPOSE($I$44:$L$47))) + $N$44:$Q$47), "")</f>
        <v/>
      </c>
      <c r="AH443" s="62">
        <f t="array" aca="1" ref="AH443:AK443" ca="1">TRANSPOSE($G$38:$G$41 + MMULT($I$38:$L$41,TRANSPOSE(AC443:AF443)))</f>
        <v>0.87111191027759749</v>
      </c>
      <c r="AI443" s="62">
        <f ca="1"/>
        <v>0.67094114788921622</v>
      </c>
      <c r="AJ443" s="62">
        <f ca="1"/>
        <v>0.80887484202915139</v>
      </c>
      <c r="AK443" s="62">
        <f ca="1"/>
        <v>0.87053193162649212</v>
      </c>
      <c r="AL443" s="66" t="str">
        <f t="array" ref="AL443">IF($AB443, Push(MINVERSE(MMULT($I$38:$L$41,MMULT(Fetch(AG443),TRANSPOSE($I$38:$L$41))) + $N$38:$Q$41)), "")</f>
        <v/>
      </c>
      <c r="AM443" s="62">
        <f t="array" aca="1" ref="AM443:AP443" ca="1">X443:AA443 - AH443:AK443</f>
        <v>-2.961486662938162E-2</v>
      </c>
      <c r="AN443" s="62">
        <f ca="1"/>
        <v>-0.45401003411556801</v>
      </c>
      <c r="AO443" s="62">
        <f ca="1"/>
        <v>0.48498031891153626</v>
      </c>
      <c r="AP443" s="62">
        <f ca="1"/>
        <v>-0.39247464140668636</v>
      </c>
      <c r="AQ443" s="66" t="str">
        <f t="array" ref="AQ443">IF($AB443, Push(MMULT(Fetch(AG443),MMULT(TRANSPOSE($I$38:$L$41),Fetch(AL443)))), "")</f>
        <v/>
      </c>
      <c r="AR443" s="62">
        <f t="array" aca="1" ref="AR443:AU443" ca="1">AC443:AF443 + TRANSPOSE(MMULT(IF($AB443,Fetch(AQ443),$L$61:$O$64),TRANSPOSE(AM443:AP443)))</f>
        <v>0.71934163127403583</v>
      </c>
      <c r="AS443" s="62">
        <f ca="1"/>
        <v>5.7644811553163922E-2</v>
      </c>
      <c r="AT443" s="62">
        <f ca="1"/>
        <v>0.57277712231084654</v>
      </c>
      <c r="AU443" s="62">
        <f ca="1"/>
        <v>0.89519119232664068</v>
      </c>
      <c r="AV443" s="66" t="str">
        <f t="array" ref="AV443">IF($AB443, Push(Fetch(AG443) - MMULT(Fetch(AQ443),MMULT($I$38:$L$41,Fetch(AG443)))), "")</f>
        <v/>
      </c>
      <c r="AW443" s="97">
        <f t="array" aca="1" ref="AW443" ca="1">IF($AB443,LN(MDETERM(Fetch(AL443))),$J$65)   -   MMULT(AM443:AP443,MMULT(IF($AB443,Fetch(AL443),$G$61:$J$64),TRANSPOSE(AM443:AP443)))</f>
        <v>3.4455604857863857</v>
      </c>
    </row>
    <row r="444" spans="23:49" x14ac:dyDescent="0.15">
      <c r="W444" s="12">
        <f t="shared" si="12"/>
        <v>441</v>
      </c>
      <c r="X444" s="62">
        <f t="array" aca="1" ref="X444:AA444" ca="1">simulate!AE444:AH444</f>
        <v>-4.0685276181115122E-3</v>
      </c>
      <c r="Y444" s="62">
        <f ca="1"/>
        <v>0.57909539967596513</v>
      </c>
      <c r="Z444" s="62">
        <f ca="1"/>
        <v>-0.54722602092455386</v>
      </c>
      <c r="AA444" s="62">
        <f ca="1"/>
        <v>2.7978768153998357E-2</v>
      </c>
      <c r="AB444" s="98">
        <f t="shared" si="13"/>
        <v>0</v>
      </c>
      <c r="AC444" s="62">
        <f t="array" aca="1" ref="AC444:AF444" ca="1">TRANSPOSE($G$44:$G$47 + MMULT($I$44:$L$47,TRANSPOSE(AR443:AU443)))</f>
        <v>0.75482696505362412</v>
      </c>
      <c r="AD444" s="62">
        <f ca="1"/>
        <v>0.34827355669679655</v>
      </c>
      <c r="AE444" s="62">
        <f ca="1"/>
        <v>0.60461351323524259</v>
      </c>
      <c r="AF444" s="62">
        <f ca="1"/>
        <v>0.81186725608146504</v>
      </c>
      <c r="AG444" s="66" t="str">
        <f t="array" ref="AG444">IF($AB444, Push(MMULT($I$44:$L$47,MMULT(Fetch(AV443),TRANSPOSE($I$44:$L$47))) + $N$44:$Q$47), "")</f>
        <v/>
      </c>
      <c r="AH444" s="62">
        <f t="array" aca="1" ref="AH444:AK444" ca="1">TRANSPOSE($G$38:$G$41 + MMULT($I$38:$L$41,TRANSPOSE(AC444:AF444)))</f>
        <v>0.9383893862448891</v>
      </c>
      <c r="AI444" s="62">
        <f ca="1"/>
        <v>0.62595650261348568</v>
      </c>
      <c r="AJ444" s="62">
        <f ca="1"/>
        <v>0.91259409654978629</v>
      </c>
      <c r="AK444" s="62">
        <f ca="1"/>
        <v>0.67250848845317623</v>
      </c>
      <c r="AL444" s="66" t="str">
        <f t="array" ref="AL444">IF($AB444, Push(MINVERSE(MMULT($I$38:$L$41,MMULT(Fetch(AG444),TRANSPOSE($I$38:$L$41))) + $N$38:$Q$41)), "")</f>
        <v/>
      </c>
      <c r="AM444" s="62">
        <f t="array" aca="1" ref="AM444:AP444" ca="1">X444:AA444 - AH444:AK444</f>
        <v>-0.9424579138630006</v>
      </c>
      <c r="AN444" s="62">
        <f ca="1"/>
        <v>-4.6861102937520549E-2</v>
      </c>
      <c r="AO444" s="62">
        <f ca="1"/>
        <v>-1.4598201174743402</v>
      </c>
      <c r="AP444" s="62">
        <f ca="1"/>
        <v>-0.64452972029917788</v>
      </c>
      <c r="AQ444" s="66" t="str">
        <f t="array" ref="AQ444">IF($AB444, Push(MMULT(Fetch(AG444),MMULT(TRANSPOSE($I$38:$L$41),Fetch(AL444)))), "")</f>
        <v/>
      </c>
      <c r="AR444" s="62">
        <f t="array" aca="1" ref="AR444:AU444" ca="1">AC444:AF444 + TRANSPOSE(MMULT(IF($AB444,Fetch(AQ444),$L$61:$O$64),TRANSPOSE(AM444:AP444)))</f>
        <v>9.6898882949130294E-2</v>
      </c>
      <c r="AS444" s="62">
        <f ca="1"/>
        <v>0.66409299705735769</v>
      </c>
      <c r="AT444" s="62">
        <f ca="1"/>
        <v>-0.40244724533504361</v>
      </c>
      <c r="AU444" s="62">
        <f ca="1"/>
        <v>-1.166363384171587E-2</v>
      </c>
      <c r="AV444" s="66" t="str">
        <f t="array" ref="AV444">IF($AB444, Push(Fetch(AG444) - MMULT(Fetch(AQ444),MMULT($I$38:$L$41,Fetch(AG444)))), "")</f>
        <v/>
      </c>
      <c r="AW444" s="97">
        <f t="array" aca="1" ref="AW444" ca="1">IF($AB444,LN(MDETERM(Fetch(AL444))),$J$65)   -   MMULT(AM444:AP444,MMULT(IF($AB444,Fetch(AL444),$G$61:$J$64),TRANSPOSE(AM444:AP444)))</f>
        <v>-7.3745813206654809</v>
      </c>
    </row>
    <row r="445" spans="23:49" x14ac:dyDescent="0.15">
      <c r="W445" s="12">
        <f t="shared" si="12"/>
        <v>442</v>
      </c>
      <c r="X445" s="62">
        <f t="array" aca="1" ref="X445:AA445" ca="1">simulate!AE445:AH445</f>
        <v>0.35645744125445911</v>
      </c>
      <c r="Y445" s="62">
        <f ca="1"/>
        <v>0.69705619765055826</v>
      </c>
      <c r="Z445" s="62">
        <f ca="1"/>
        <v>0.48676614953819564</v>
      </c>
      <c r="AA445" s="62">
        <f ca="1"/>
        <v>0.82243763505275547</v>
      </c>
      <c r="AB445" s="98">
        <f t="shared" si="13"/>
        <v>0</v>
      </c>
      <c r="AC445" s="62">
        <f t="array" aca="1" ref="AC445:AF445" ca="1">TRANSPOSE($G$44:$G$47 + MMULT($I$44:$L$47,TRANSPOSE(AR444:AU444)))</f>
        <v>0.39541086511677181</v>
      </c>
      <c r="AD445" s="62">
        <f ca="1"/>
        <v>0.36586341397351702</v>
      </c>
      <c r="AE445" s="62">
        <f ca="1"/>
        <v>-2.1321052102108995E-3</v>
      </c>
      <c r="AF445" s="62">
        <f ca="1"/>
        <v>0.17701807422528301</v>
      </c>
      <c r="AG445" s="66" t="str">
        <f t="array" ref="AG445">IF($AB445, Push(MMULT($I$44:$L$47,MMULT(Fetch(AV444),TRANSPOSE($I$44:$L$47))) + $N$44:$Q$47), "")</f>
        <v/>
      </c>
      <c r="AH445" s="62">
        <f t="array" aca="1" ref="AH445:AK445" ca="1">TRANSPOSE($G$38:$G$41 + MMULT($I$38:$L$41,TRANSPOSE(AC445:AF445)))</f>
        <v>0.47501936748914703</v>
      </c>
      <c r="AI445" s="62">
        <f ca="1"/>
        <v>0.53858966395093943</v>
      </c>
      <c r="AJ445" s="62">
        <f ca="1"/>
        <v>0.29315951917529387</v>
      </c>
      <c r="AK445" s="62">
        <f ca="1"/>
        <v>0.12972019569774473</v>
      </c>
      <c r="AL445" s="66" t="str">
        <f t="array" ref="AL445">IF($AB445, Push(MINVERSE(MMULT($I$38:$L$41,MMULT(Fetch(AG445),TRANSPOSE($I$38:$L$41))) + $N$38:$Q$41)), "")</f>
        <v/>
      </c>
      <c r="AM445" s="62">
        <f t="array" aca="1" ref="AM445:AP445" ca="1">X445:AA445 - AH445:AK445</f>
        <v>-0.11856192623468792</v>
      </c>
      <c r="AN445" s="62">
        <f ca="1"/>
        <v>0.15846653369961883</v>
      </c>
      <c r="AO445" s="62">
        <f ca="1"/>
        <v>0.19360663036290177</v>
      </c>
      <c r="AP445" s="62">
        <f ca="1"/>
        <v>0.69271743935501073</v>
      </c>
      <c r="AQ445" s="66" t="str">
        <f t="array" ref="AQ445">IF($AB445, Push(MMULT(Fetch(AG445),MMULT(TRANSPOSE($I$38:$L$41),Fetch(AL445)))), "")</f>
        <v/>
      </c>
      <c r="AR445" s="62">
        <f t="array" aca="1" ref="AR445:AU445" ca="1">AC445:AF445 + TRANSPOSE(MMULT(IF($AB445,Fetch(AQ445),$L$61:$O$64),TRANSPOSE(AM445:AP445)))</f>
        <v>0.25940709464675937</v>
      </c>
      <c r="AS445" s="62">
        <f ca="1"/>
        <v>0.57384564275012606</v>
      </c>
      <c r="AT445" s="62">
        <f ca="1"/>
        <v>0.42385711102339468</v>
      </c>
      <c r="AU445" s="62">
        <f ca="1"/>
        <v>0.49839873834397208</v>
      </c>
      <c r="AV445" s="66" t="str">
        <f t="array" ref="AV445">IF($AB445, Push(Fetch(AG445) - MMULT(Fetch(AQ445),MMULT($I$38:$L$41,Fetch(AG445)))), "")</f>
        <v/>
      </c>
      <c r="AW445" s="97">
        <f t="array" aca="1" ref="AW445" ca="1">IF($AB445,LN(MDETERM(Fetch(AL445))),$J$65)   -   MMULT(AM445:AP445,MMULT(IF($AB445,Fetch(AL445),$G$61:$J$64),TRANSPOSE(AM445:AP445)))</f>
        <v>-0.17905850490665642</v>
      </c>
    </row>
    <row r="446" spans="23:49" x14ac:dyDescent="0.15">
      <c r="W446" s="12">
        <f t="shared" si="12"/>
        <v>443</v>
      </c>
      <c r="X446" s="62">
        <f t="array" aca="1" ref="X446:AA446" ca="1">simulate!AE446:AH446</f>
        <v>0.51096302130286608</v>
      </c>
      <c r="Y446" s="62">
        <f ca="1"/>
        <v>0.10178927859824005</v>
      </c>
      <c r="Z446" s="62">
        <f ca="1"/>
        <v>0.22081125506755409</v>
      </c>
      <c r="AA446" s="62">
        <f ca="1"/>
        <v>0.40820366319377233</v>
      </c>
      <c r="AB446" s="98">
        <f t="shared" si="13"/>
        <v>0</v>
      </c>
      <c r="AC446" s="62">
        <f t="array" aca="1" ref="AC446:AF446" ca="1">TRANSPOSE($G$44:$G$47 + MMULT($I$44:$L$47,TRANSPOSE(AR445:AU445)))</f>
        <v>0.55315235316783029</v>
      </c>
      <c r="AD446" s="62">
        <f ca="1"/>
        <v>0.50210177284677959</v>
      </c>
      <c r="AE446" s="62">
        <f ca="1"/>
        <v>0.51653415943467063</v>
      </c>
      <c r="AF446" s="62">
        <f ca="1"/>
        <v>0.58803368961518043</v>
      </c>
      <c r="AG446" s="66" t="str">
        <f t="array" ref="AG446">IF($AB446, Push(MMULT($I$44:$L$47,MMULT(Fetch(AV445),TRANSPOSE($I$44:$L$47))) + $N$44:$Q$47), "")</f>
        <v/>
      </c>
      <c r="AH446" s="62">
        <f t="array" aca="1" ref="AH446:AK446" ca="1">TRANSPOSE($G$38:$G$41 + MMULT($I$38:$L$41,TRANSPOSE(AC446:AF446)))</f>
        <v>0.7935974998265134</v>
      </c>
      <c r="AI446" s="62">
        <f ca="1"/>
        <v>0.66389152057013456</v>
      </c>
      <c r="AJ446" s="62">
        <f ca="1"/>
        <v>0.59743708250105865</v>
      </c>
      <c r="AK446" s="62">
        <f ca="1"/>
        <v>0.65088656110979337</v>
      </c>
      <c r="AL446" s="66" t="str">
        <f t="array" ref="AL446">IF($AB446, Push(MINVERSE(MMULT($I$38:$L$41,MMULT(Fetch(AG446),TRANSPOSE($I$38:$L$41))) + $N$38:$Q$41)), "")</f>
        <v/>
      </c>
      <c r="AM446" s="62">
        <f t="array" aca="1" ref="AM446:AP446" ca="1">X446:AA446 - AH446:AK446</f>
        <v>-0.28263447852364731</v>
      </c>
      <c r="AN446" s="62">
        <f ca="1"/>
        <v>-0.56210224197189451</v>
      </c>
      <c r="AO446" s="62">
        <f ca="1"/>
        <v>-0.37662582743350459</v>
      </c>
      <c r="AP446" s="62">
        <f ca="1"/>
        <v>-0.24268289791602105</v>
      </c>
      <c r="AQ446" s="66" t="str">
        <f t="array" ref="AQ446">IF($AB446, Push(MMULT(Fetch(AG446),MMULT(TRANSPOSE($I$38:$L$41),Fetch(AL446)))), "")</f>
        <v/>
      </c>
      <c r="AR446" s="62">
        <f t="array" aca="1" ref="AR446:AU446" ca="1">AC446:AF446 + TRANSPOSE(MMULT(IF($AB446,Fetch(AQ446),$L$61:$O$64),TRANSPOSE(AM446:AP446)))</f>
        <v>0.29637088341716755</v>
      </c>
      <c r="AS446" s="62">
        <f ca="1"/>
        <v>0.26156045626509217</v>
      </c>
      <c r="AT446" s="62">
        <f ca="1"/>
        <v>0.26133757282704473</v>
      </c>
      <c r="AU446" s="62">
        <f ca="1"/>
        <v>0.34490416164239424</v>
      </c>
      <c r="AV446" s="66" t="str">
        <f t="array" ref="AV446">IF($AB446, Push(Fetch(AG446) - MMULT(Fetch(AQ446),MMULT($I$38:$L$41,Fetch(AG446)))), "")</f>
        <v/>
      </c>
      <c r="AW446" s="97">
        <f t="array" aca="1" ref="AW446" ca="1">IF($AB446,LN(MDETERM(Fetch(AL446))),$J$65)   -   MMULT(AM446:AP446,MMULT(IF($AB446,Fetch(AL446),$G$61:$J$64),TRANSPOSE(AM446:AP446)))</f>
        <v>3.3786204221074385</v>
      </c>
    </row>
    <row r="447" spans="23:49" x14ac:dyDescent="0.15">
      <c r="W447" s="12">
        <f t="shared" si="12"/>
        <v>444</v>
      </c>
      <c r="X447" s="62">
        <f t="array" aca="1" ref="X447:AA447" ca="1">simulate!AE447:AH447</f>
        <v>0.52903857492757878</v>
      </c>
      <c r="Y447" s="62">
        <f ca="1"/>
        <v>-0.80619801402382374</v>
      </c>
      <c r="Z447" s="62">
        <f ca="1"/>
        <v>0.69180176616929367</v>
      </c>
      <c r="AA447" s="62">
        <f ca="1"/>
        <v>1.1891905107901299</v>
      </c>
      <c r="AB447" s="98">
        <f t="shared" si="13"/>
        <v>0</v>
      </c>
      <c r="AC447" s="62">
        <f t="array" aca="1" ref="AC447:AF447" ca="1">TRANSPOSE($G$44:$G$47 + MMULT($I$44:$L$47,TRANSPOSE(AR446:AU446)))</f>
        <v>0.50795508489510133</v>
      </c>
      <c r="AD447" s="62">
        <f ca="1"/>
        <v>0.3044680897546313</v>
      </c>
      <c r="AE447" s="62">
        <f ca="1"/>
        <v>0.35797430471140146</v>
      </c>
      <c r="AF447" s="62">
        <f ca="1"/>
        <v>0.45829524200655364</v>
      </c>
      <c r="AG447" s="66" t="str">
        <f t="array" ref="AG447">IF($AB447, Push(MMULT($I$44:$L$47,MMULT(Fetch(AV446),TRANSPOSE($I$44:$L$47))) + $N$44:$Q$47), "")</f>
        <v/>
      </c>
      <c r="AH447" s="62">
        <f t="array" aca="1" ref="AH447:AK447" ca="1">TRANSPOSE($G$38:$G$41 + MMULT($I$38:$L$41,TRANSPOSE(AC447:AF447)))</f>
        <v>0.70781094162542646</v>
      </c>
      <c r="AI447" s="62">
        <f ca="1"/>
        <v>0.48999017854521637</v>
      </c>
      <c r="AJ447" s="62">
        <f ca="1"/>
        <v>0.56142215901768011</v>
      </c>
      <c r="AK447" s="62">
        <f ca="1"/>
        <v>0.44070313400367023</v>
      </c>
      <c r="AL447" s="66" t="str">
        <f t="array" ref="AL447">IF($AB447, Push(MINVERSE(MMULT($I$38:$L$41,MMULT(Fetch(AG447),TRANSPOSE($I$38:$L$41))) + $N$38:$Q$41)), "")</f>
        <v/>
      </c>
      <c r="AM447" s="62">
        <f t="array" aca="1" ref="AM447:AP447" ca="1">X447:AA447 - AH447:AK447</f>
        <v>-0.17877236669784768</v>
      </c>
      <c r="AN447" s="62">
        <f ca="1"/>
        <v>-1.2961881925690402</v>
      </c>
      <c r="AO447" s="62">
        <f ca="1"/>
        <v>0.13037960715161356</v>
      </c>
      <c r="AP447" s="62">
        <f ca="1"/>
        <v>0.74848737678645971</v>
      </c>
      <c r="AQ447" s="66" t="str">
        <f t="array" ref="AQ447">IF($AB447, Push(MMULT(Fetch(AG447),MMULT(TRANSPOSE($I$38:$L$41),Fetch(AL447)))), "")</f>
        <v/>
      </c>
      <c r="AR447" s="62">
        <f t="array" aca="1" ref="AR447:AU447" ca="1">AC447:AF447 + TRANSPOSE(MMULT(IF($AB447,Fetch(AQ447),$L$61:$O$64),TRANSPOSE(AM447:AP447)))</f>
        <v>8.8171524422885728E-2</v>
      </c>
      <c r="AS447" s="62">
        <f ca="1"/>
        <v>-0.28249812750788367</v>
      </c>
      <c r="AT447" s="62">
        <f ca="1"/>
        <v>0.97137750408711521</v>
      </c>
      <c r="AU447" s="62">
        <f ca="1"/>
        <v>0.76298579749509532</v>
      </c>
      <c r="AV447" s="66" t="str">
        <f t="array" ref="AV447">IF($AB447, Push(Fetch(AG447) - MMULT(Fetch(AQ447),MMULT($I$38:$L$41,Fetch(AG447)))), "")</f>
        <v/>
      </c>
      <c r="AW447" s="97">
        <f t="array" aca="1" ref="AW447" ca="1">IF($AB447,LN(MDETERM(Fetch(AL447))),$J$65)   -   MMULT(AM447:AP447,MMULT(IF($AB447,Fetch(AL447),$G$61:$J$64),TRANSPOSE(AM447:AP447)))</f>
        <v>-5.2763382521999649</v>
      </c>
    </row>
    <row r="448" spans="23:49" x14ac:dyDescent="0.15">
      <c r="W448" s="12">
        <f t="shared" si="12"/>
        <v>445</v>
      </c>
      <c r="X448" s="62">
        <f t="array" aca="1" ref="X448:AA448" ca="1">simulate!AE448:AH448</f>
        <v>0.37887951509676415</v>
      </c>
      <c r="Y448" s="62">
        <f ca="1"/>
        <v>0.75920414999011121</v>
      </c>
      <c r="Z448" s="62">
        <f ca="1"/>
        <v>0.47312246590628637</v>
      </c>
      <c r="AA448" s="62">
        <f ca="1"/>
        <v>0.3218580519466937</v>
      </c>
      <c r="AB448" s="98">
        <f t="shared" si="13"/>
        <v>0</v>
      </c>
      <c r="AC448" s="62">
        <f t="array" aca="1" ref="AC448:AF448" ca="1">TRANSPOSE($G$44:$G$47 + MMULT($I$44:$L$47,TRANSPOSE(AR447:AU447)))</f>
        <v>0.385630380390584</v>
      </c>
      <c r="AD448" s="62">
        <f ca="1"/>
        <v>0.11167286157458364</v>
      </c>
      <c r="AE448" s="62">
        <f ca="1"/>
        <v>0.70016778171110972</v>
      </c>
      <c r="AF448" s="62">
        <f ca="1"/>
        <v>0.75063920808774998</v>
      </c>
      <c r="AG448" s="66" t="str">
        <f t="array" ref="AG448">IF($AB448, Push(MMULT($I$44:$L$47,MMULT(Fetch(AV447),TRANSPOSE($I$44:$L$47))) + $N$44:$Q$47), "")</f>
        <v/>
      </c>
      <c r="AH448" s="62">
        <f t="array" aca="1" ref="AH448:AK448" ca="1">TRANSPOSE($G$38:$G$41 + MMULT($I$38:$L$41,TRANSPOSE(AC448:AF448)))</f>
        <v>0.76501108276183505</v>
      </c>
      <c r="AI448" s="62">
        <f ca="1"/>
        <v>0.24675906743721376</v>
      </c>
      <c r="AJ448" s="62">
        <f ca="1"/>
        <v>0.79970478316289584</v>
      </c>
      <c r="AK448" s="62">
        <f ca="1"/>
        <v>0.80878310496101391</v>
      </c>
      <c r="AL448" s="66" t="str">
        <f t="array" ref="AL448">IF($AB448, Push(MINVERSE(MMULT($I$38:$L$41,MMULT(Fetch(AG448),TRANSPOSE($I$38:$L$41))) + $N$38:$Q$41)), "")</f>
        <v/>
      </c>
      <c r="AM448" s="62">
        <f t="array" aca="1" ref="AM448:AP448" ca="1">X448:AA448 - AH448:AK448</f>
        <v>-0.3861315676650709</v>
      </c>
      <c r="AN448" s="62">
        <f ca="1"/>
        <v>0.51244508255289745</v>
      </c>
      <c r="AO448" s="62">
        <f ca="1"/>
        <v>-0.32658231725660947</v>
      </c>
      <c r="AP448" s="62">
        <f ca="1"/>
        <v>-0.48692505301432021</v>
      </c>
      <c r="AQ448" s="66" t="str">
        <f t="array" ref="AQ448">IF($AB448, Push(MMULT(Fetch(AG448),MMULT(TRANSPOSE($I$38:$L$41),Fetch(AL448)))), "")</f>
        <v/>
      </c>
      <c r="AR448" s="62">
        <f t="array" aca="1" ref="AR448:AU448" ca="1">AC448:AF448 + TRANSPOSE(MMULT(IF($AB448,Fetch(AQ448),$L$61:$O$64),TRANSPOSE(AM448:AP448)))</f>
        <v>0.31751091405114362</v>
      </c>
      <c r="AS448" s="62">
        <f ca="1"/>
        <v>0.44316318468026517</v>
      </c>
      <c r="AT448" s="62">
        <f ca="1"/>
        <v>0.11965706529795817</v>
      </c>
      <c r="AU448" s="62">
        <f ca="1"/>
        <v>0.44977687678288147</v>
      </c>
      <c r="AV448" s="66" t="str">
        <f t="array" ref="AV448">IF($AB448, Push(Fetch(AG448) - MMULT(Fetch(AQ448),MMULT($I$38:$L$41,Fetch(AG448)))), "")</f>
        <v/>
      </c>
      <c r="AW448" s="97">
        <f t="array" aca="1" ref="AW448" ca="1">IF($AB448,LN(MDETERM(Fetch(AL448))),$J$65)   -   MMULT(AM448:AP448,MMULT(IF($AB448,Fetch(AL448),$G$61:$J$64),TRANSPOSE(AM448:AP448)))</f>
        <v>4.1991044163938618</v>
      </c>
    </row>
    <row r="449" spans="23:49" x14ac:dyDescent="0.15">
      <c r="W449" s="12">
        <f t="shared" si="12"/>
        <v>446</v>
      </c>
      <c r="X449" s="62">
        <f t="array" aca="1" ref="X449:AA449" ca="1">simulate!AE449:AH449</f>
        <v>0.68387458558510938</v>
      </c>
      <c r="Y449" s="62">
        <f ca="1"/>
        <v>-0.35137562458535593</v>
      </c>
      <c r="Z449" s="62">
        <f ca="1"/>
        <v>1.3105075670766788</v>
      </c>
      <c r="AA449" s="62">
        <f ca="1"/>
        <v>1.4002888219601324</v>
      </c>
      <c r="AB449" s="98">
        <f t="shared" si="13"/>
        <v>0</v>
      </c>
      <c r="AC449" s="62">
        <f t="array" aca="1" ref="AC449:AF449" ca="1">TRANSPOSE($G$44:$G$47 + MMULT($I$44:$L$47,TRANSPOSE(AR448:AU448)))</f>
        <v>0.54120227823286948</v>
      </c>
      <c r="AD449" s="62">
        <f ca="1"/>
        <v>0.39247717712825891</v>
      </c>
      <c r="AE449" s="62">
        <f ca="1"/>
        <v>0.327966268071051</v>
      </c>
      <c r="AF449" s="62">
        <f ca="1"/>
        <v>0.50587418718765265</v>
      </c>
      <c r="AG449" s="66" t="str">
        <f t="array" ref="AG449">IF($AB449, Push(MMULT($I$44:$L$47,MMULT(Fetch(AV448),TRANSPOSE($I$44:$L$47))) + $N$44:$Q$47), "")</f>
        <v/>
      </c>
      <c r="AH449" s="62">
        <f t="array" aca="1" ref="AH449:AK449" ca="1">TRANSPOSE($G$38:$G$41 + MMULT($I$38:$L$41,TRANSPOSE(AC449:AF449)))</f>
        <v>0.69430723045845855</v>
      </c>
      <c r="AI449" s="62">
        <f ca="1"/>
        <v>0.59599408068637583</v>
      </c>
      <c r="AJ449" s="62">
        <f ca="1"/>
        <v>0.58337661458460954</v>
      </c>
      <c r="AK449" s="62">
        <f ca="1"/>
        <v>0.4513819920446176</v>
      </c>
      <c r="AL449" s="66" t="str">
        <f t="array" ref="AL449">IF($AB449, Push(MINVERSE(MMULT($I$38:$L$41,MMULT(Fetch(AG449),TRANSPOSE($I$38:$L$41))) + $N$38:$Q$41)), "")</f>
        <v/>
      </c>
      <c r="AM449" s="62">
        <f t="array" aca="1" ref="AM449:AP449" ca="1">X449:AA449 - AH449:AK449</f>
        <v>-1.0432644873349162E-2</v>
      </c>
      <c r="AN449" s="62">
        <f ca="1"/>
        <v>-0.94736970527173181</v>
      </c>
      <c r="AO449" s="62">
        <f ca="1"/>
        <v>0.72713095249206927</v>
      </c>
      <c r="AP449" s="62">
        <f ca="1"/>
        <v>0.94890682991551478</v>
      </c>
      <c r="AQ449" s="66" t="str">
        <f t="array" ref="AQ449">IF($AB449, Push(MMULT(Fetch(AG449),MMULT(TRANSPOSE($I$38:$L$41),Fetch(AL449)))), "")</f>
        <v/>
      </c>
      <c r="AR449" s="62">
        <f t="array" aca="1" ref="AR449:AU449" ca="1">AC449:AF449 + TRANSPOSE(MMULT(IF($AB449,Fetch(AQ449),$L$61:$O$64),TRANSPOSE(AM449:AP449)))</f>
        <v>0.35743919399182111</v>
      </c>
      <c r="AS449" s="62">
        <f ca="1"/>
        <v>-0.11022077618991299</v>
      </c>
      <c r="AT449" s="62">
        <f ca="1"/>
        <v>1.1912782671365374</v>
      </c>
      <c r="AU449" s="62">
        <f ca="1"/>
        <v>1.1267151476158253</v>
      </c>
      <c r="AV449" s="66" t="str">
        <f t="array" ref="AV449">IF($AB449, Push(Fetch(AG449) - MMULT(Fetch(AQ449),MMULT($I$38:$L$41,Fetch(AG449)))), "")</f>
        <v/>
      </c>
      <c r="AW449" s="97">
        <f t="array" aca="1" ref="AW449" ca="1">IF($AB449,LN(MDETERM(Fetch(AL449))),$J$65)   -   MMULT(AM449:AP449,MMULT(IF($AB449,Fetch(AL449),$G$61:$J$64),TRANSPOSE(AM449:AP449)))</f>
        <v>-4.7129138335132907</v>
      </c>
    </row>
    <row r="450" spans="23:49" x14ac:dyDescent="0.15">
      <c r="W450" s="12">
        <f t="shared" si="12"/>
        <v>447</v>
      </c>
      <c r="X450" s="62">
        <f t="array" aca="1" ref="X450:AA450" ca="1">simulate!AE450:AH450</f>
        <v>0.40821395967425778</v>
      </c>
      <c r="Y450" s="62">
        <f ca="1"/>
        <v>1.3665914468403086</v>
      </c>
      <c r="Z450" s="62">
        <f ca="1"/>
        <v>1.4408628010699827</v>
      </c>
      <c r="AA450" s="62">
        <f ca="1"/>
        <v>-0.50557047846510805</v>
      </c>
      <c r="AB450" s="98">
        <f t="shared" si="13"/>
        <v>0</v>
      </c>
      <c r="AC450" s="62">
        <f t="array" aca="1" ref="AC450:AF450" ca="1">TRANSPOSE($G$44:$G$47 + MMULT($I$44:$L$47,TRANSPOSE(AR449:AU449)))</f>
        <v>0.58968316155041633</v>
      </c>
      <c r="AD450" s="62">
        <f ca="1"/>
        <v>0.30686868796161365</v>
      </c>
      <c r="AE450" s="62">
        <f ca="1"/>
        <v>0.91989773365182481</v>
      </c>
      <c r="AF450" s="62">
        <f ca="1"/>
        <v>1.0079864172162634</v>
      </c>
      <c r="AG450" s="66" t="str">
        <f t="array" ref="AG450">IF($AB450, Push(MMULT($I$44:$L$47,MMULT(Fetch(AV449),TRANSPOSE($I$44:$L$47))) + $N$44:$Q$47), "")</f>
        <v/>
      </c>
      <c r="AH450" s="62">
        <f t="array" aca="1" ref="AH450:AK450" ca="1">TRANSPOSE($G$38:$G$41 + MMULT($I$38:$L$41,TRANSPOSE(AC450:AF450)))</f>
        <v>0.96717871770524511</v>
      </c>
      <c r="AI450" s="62">
        <f ca="1"/>
        <v>0.48675636309383596</v>
      </c>
      <c r="AJ450" s="62">
        <f ca="1"/>
        <v>0.99895175611068709</v>
      </c>
      <c r="AK450" s="62">
        <f ca="1"/>
        <v>1.0455909916415884</v>
      </c>
      <c r="AL450" s="66" t="str">
        <f t="array" ref="AL450">IF($AB450, Push(MINVERSE(MMULT($I$38:$L$41,MMULT(Fetch(AG450),TRANSPOSE($I$38:$L$41))) + $N$38:$Q$41)), "")</f>
        <v/>
      </c>
      <c r="AM450" s="62">
        <f t="array" aca="1" ref="AM450:AP450" ca="1">X450:AA450 - AH450:AK450</f>
        <v>-0.55896475803098733</v>
      </c>
      <c r="AN450" s="62">
        <f ca="1"/>
        <v>0.87983508374647268</v>
      </c>
      <c r="AO450" s="62">
        <f ca="1"/>
        <v>0.44191104495929556</v>
      </c>
      <c r="AP450" s="62">
        <f ca="1"/>
        <v>-1.5511614701066965</v>
      </c>
      <c r="AQ450" s="66" t="str">
        <f t="array" ref="AQ450">IF($AB450, Push(MMULT(Fetch(AG450),MMULT(TRANSPOSE($I$38:$L$41),Fetch(AL450)))), "")</f>
        <v/>
      </c>
      <c r="AR450" s="62">
        <f t="array" aca="1" ref="AR450:AU450" ca="1">AC450:AF450 + TRANSPOSE(MMULT(IF($AB450,Fetch(AQ450),$L$61:$O$64),TRANSPOSE(AM450:AP450)))</f>
        <v>0.93202732184742199</v>
      </c>
      <c r="AS450" s="62">
        <f ca="1"/>
        <v>0.50568669493186946</v>
      </c>
      <c r="AT450" s="62">
        <f ca="1"/>
        <v>-0.3408551602557921</v>
      </c>
      <c r="AU450" s="62">
        <f ca="1"/>
        <v>0.65064665270426425</v>
      </c>
      <c r="AV450" s="66" t="str">
        <f t="array" ref="AV450">IF($AB450, Push(Fetch(AG450) - MMULT(Fetch(AQ450),MMULT($I$38:$L$41,Fetch(AG450)))), "")</f>
        <v/>
      </c>
      <c r="AW450" s="97">
        <f t="array" aca="1" ref="AW450" ca="1">IF($AB450,LN(MDETERM(Fetch(AL450))),$J$65)   -   MMULT(AM450:AP450,MMULT(IF($AB450,Fetch(AL450),$G$61:$J$64),TRANSPOSE(AM450:AP450)))</f>
        <v>-17.404208455637018</v>
      </c>
    </row>
    <row r="451" spans="23:49" x14ac:dyDescent="0.15">
      <c r="W451" s="12">
        <f t="shared" si="12"/>
        <v>448</v>
      </c>
      <c r="X451" s="62">
        <f t="array" aca="1" ref="X451:AA451" ca="1">simulate!AE451:AH451</f>
        <v>1.0614981199889144</v>
      </c>
      <c r="Y451" s="62">
        <f ca="1"/>
        <v>0.76561744110603891</v>
      </c>
      <c r="Z451" s="62">
        <f ca="1"/>
        <v>0.17400871311922284</v>
      </c>
      <c r="AA451" s="62">
        <f ca="1"/>
        <v>0.54726966951321454</v>
      </c>
      <c r="AB451" s="98">
        <f t="shared" si="13"/>
        <v>0</v>
      </c>
      <c r="AC451" s="62">
        <f t="array" aca="1" ref="AC451:AF451" ca="1">TRANSPOSE($G$44:$G$47 + MMULT($I$44:$L$47,TRANSPOSE(AR450:AU450)))</f>
        <v>0.85921198005992472</v>
      </c>
      <c r="AD451" s="62">
        <f ca="1"/>
        <v>0.47216411265480285</v>
      </c>
      <c r="AE451" s="62">
        <f ca="1"/>
        <v>0.16287702830582657</v>
      </c>
      <c r="AF451" s="62">
        <f ca="1"/>
        <v>0.57357187734945603</v>
      </c>
      <c r="AG451" s="66" t="str">
        <f t="array" ref="AG451">IF($AB451, Push(MMULT($I$44:$L$47,MMULT(Fetch(AV450),TRANSPOSE($I$44:$L$47))) + $N$44:$Q$47), "")</f>
        <v/>
      </c>
      <c r="AH451" s="62">
        <f t="array" aca="1" ref="AH451:AK451" ca="1">TRANSPOSE($G$38:$G$41 + MMULT($I$38:$L$41,TRANSPOSE(AC451:AF451)))</f>
        <v>0.79332974138305534</v>
      </c>
      <c r="AI451" s="62">
        <f ca="1"/>
        <v>0.83857442609199317</v>
      </c>
      <c r="AJ451" s="62">
        <f ca="1"/>
        <v>0.74795153293976258</v>
      </c>
      <c r="AK451" s="62">
        <f ca="1"/>
        <v>0.24261890361488064</v>
      </c>
      <c r="AL451" s="66" t="str">
        <f t="array" ref="AL451">IF($AB451, Push(MINVERSE(MMULT($I$38:$L$41,MMULT(Fetch(AG451),TRANSPOSE($I$38:$L$41))) + $N$38:$Q$41)), "")</f>
        <v/>
      </c>
      <c r="AM451" s="62">
        <f t="array" aca="1" ref="AM451:AP451" ca="1">X451:AA451 - AH451:AK451</f>
        <v>0.26816837860585907</v>
      </c>
      <c r="AN451" s="62">
        <f ca="1"/>
        <v>-7.2956984985954265E-2</v>
      </c>
      <c r="AO451" s="62">
        <f ca="1"/>
        <v>-0.57394281982053974</v>
      </c>
      <c r="AP451" s="62">
        <f ca="1"/>
        <v>0.3046507658983339</v>
      </c>
      <c r="AQ451" s="66" t="str">
        <f t="array" ref="AQ451">IF($AB451, Push(MMULT(Fetch(AG451),MMULT(TRANSPOSE($I$38:$L$41),Fetch(AL451)))), "")</f>
        <v/>
      </c>
      <c r="AR451" s="62">
        <f t="array" aca="1" ref="AR451:AU451" ca="1">AC451:AF451 + TRANSPOSE(MMULT(IF($AB451,Fetch(AQ451),$L$61:$O$64),TRANSPOSE(AM451:AP451)))</f>
        <v>0.75753162989051903</v>
      </c>
      <c r="AS451" s="62">
        <f ca="1"/>
        <v>0.56459002701271954</v>
      </c>
      <c r="AT451" s="62">
        <f ca="1"/>
        <v>0.37314700863618583</v>
      </c>
      <c r="AU451" s="62">
        <f ca="1"/>
        <v>0.44655397038712452</v>
      </c>
      <c r="AV451" s="66" t="str">
        <f t="array" ref="AV451">IF($AB451, Push(Fetch(AG451) - MMULT(Fetch(AQ451),MMULT($I$38:$L$41,Fetch(AG451)))), "")</f>
        <v/>
      </c>
      <c r="AW451" s="97">
        <f t="array" aca="1" ref="AW451" ca="1">IF($AB451,LN(MDETERM(Fetch(AL451))),$J$65)   -   MMULT(AM451:AP451,MMULT(IF($AB451,Fetch(AL451),$G$61:$J$64),TRANSPOSE(AM451:AP451)))</f>
        <v>4.3089374434108532</v>
      </c>
    </row>
    <row r="452" spans="23:49" x14ac:dyDescent="0.15">
      <c r="W452" s="12">
        <f t="shared" si="12"/>
        <v>449</v>
      </c>
      <c r="X452" s="62">
        <f t="array" aca="1" ref="X452:AA452" ca="1">simulate!AE452:AH452</f>
        <v>0.9450078647614194</v>
      </c>
      <c r="Y452" s="62">
        <f ca="1"/>
        <v>0.97847235764137541</v>
      </c>
      <c r="Z452" s="62">
        <f ca="1"/>
        <v>0.68653546807358845</v>
      </c>
      <c r="AA452" s="62">
        <f ca="1"/>
        <v>0.47457539672935167</v>
      </c>
      <c r="AB452" s="98">
        <f t="shared" si="13"/>
        <v>0</v>
      </c>
      <c r="AC452" s="62">
        <f t="array" aca="1" ref="AC452:AF452" ca="1">TRANSPOSE($G$44:$G$47 + MMULT($I$44:$L$47,TRANSPOSE(AR451:AU451)))</f>
        <v>0.81470592219655424</v>
      </c>
      <c r="AD452" s="62">
        <f ca="1"/>
        <v>0.56678324045920558</v>
      </c>
      <c r="AE452" s="62">
        <f ca="1"/>
        <v>0.51542992800486143</v>
      </c>
      <c r="AF452" s="62">
        <f ca="1"/>
        <v>0.57507919642673166</v>
      </c>
      <c r="AG452" s="66" t="str">
        <f t="array" ref="AG452">IF($AB452, Push(MMULT($I$44:$L$47,MMULT(Fetch(AV451),TRANSPOSE($I$44:$L$47))) + $N$44:$Q$47), "")</f>
        <v/>
      </c>
      <c r="AH452" s="62">
        <f t="array" aca="1" ref="AH452:AK452" ca="1">TRANSPOSE($G$38:$G$41 + MMULT($I$38:$L$41,TRANSPOSE(AC452:AF452)))</f>
        <v>0.9802617651548271</v>
      </c>
      <c r="AI452" s="62">
        <f ca="1"/>
        <v>0.81475183674839124</v>
      </c>
      <c r="AJ452" s="62">
        <f ca="1"/>
        <v>0.66326838205800143</v>
      </c>
      <c r="AK452" s="62">
        <f ca="1"/>
        <v>0.54683437710742555</v>
      </c>
      <c r="AL452" s="66" t="str">
        <f t="array" ref="AL452">IF($AB452, Push(MINVERSE(MMULT($I$38:$L$41,MMULT(Fetch(AG452),TRANSPOSE($I$38:$L$41))) + $N$38:$Q$41)), "")</f>
        <v/>
      </c>
      <c r="AM452" s="62">
        <f t="array" aca="1" ref="AM452:AP452" ca="1">X452:AA452 - AH452:AK452</f>
        <v>-3.52539003934077E-2</v>
      </c>
      <c r="AN452" s="62">
        <f ca="1"/>
        <v>0.16372052089298417</v>
      </c>
      <c r="AO452" s="62">
        <f ca="1"/>
        <v>2.3267086015587024E-2</v>
      </c>
      <c r="AP452" s="62">
        <f ca="1"/>
        <v>-7.2258980378073878E-2</v>
      </c>
      <c r="AQ452" s="66" t="str">
        <f t="array" ref="AQ452">IF($AB452, Push(MMULT(Fetch(AG452),MMULT(TRANSPOSE($I$38:$L$41),Fetch(AL452)))), "")</f>
        <v/>
      </c>
      <c r="AR452" s="62">
        <f t="array" aca="1" ref="AR452:AU452" ca="1">AC452:AF452 + TRANSPOSE(MMULT(IF($AB452,Fetch(AQ452),$L$61:$O$64),TRANSPOSE(AM452:AP452)))</f>
        <v>0.84636811709662496</v>
      </c>
      <c r="AS452" s="62">
        <f ca="1"/>
        <v>0.64710153715177121</v>
      </c>
      <c r="AT452" s="62">
        <f ca="1"/>
        <v>0.43835084980189543</v>
      </c>
      <c r="AU452" s="62">
        <f ca="1"/>
        <v>0.56035060721324459</v>
      </c>
      <c r="AV452" s="66" t="str">
        <f t="array" ref="AV452">IF($AB452, Push(Fetch(AG452) - MMULT(Fetch(AQ452),MMULT($I$38:$L$41,Fetch(AG452)))), "")</f>
        <v/>
      </c>
      <c r="AW452" s="97">
        <f t="array" aca="1" ref="AW452" ca="1">IF($AB452,LN(MDETERM(Fetch(AL452))),$J$65)   -   MMULT(AM452:AP452,MMULT(IF($AB452,Fetch(AL452),$G$61:$J$64),TRANSPOSE(AM452:AP452)))</f>
        <v>7.1143452678251222</v>
      </c>
    </row>
    <row r="453" spans="23:49" x14ac:dyDescent="0.15">
      <c r="W453" s="12">
        <f t="shared" ref="W453:W516" si="14">W452+1</f>
        <v>450</v>
      </c>
      <c r="X453" s="62">
        <f t="array" aca="1" ref="X453:AA453" ca="1">simulate!AE453:AH453</f>
        <v>0.74346484727122886</v>
      </c>
      <c r="Y453" s="62">
        <f ca="1"/>
        <v>0.29876692087712353</v>
      </c>
      <c r="Z453" s="62">
        <f ca="1"/>
        <v>1.7053166407123799</v>
      </c>
      <c r="AA453" s="62">
        <f ca="1"/>
        <v>0.35289592296196931</v>
      </c>
      <c r="AB453" s="98">
        <f t="shared" ref="AB453:AB516" si="15">($W453&lt;=$D$51) * 1</f>
        <v>0</v>
      </c>
      <c r="AC453" s="62">
        <f t="array" aca="1" ref="AC453:AF453" ca="1">TRANSPOSE($G$44:$G$47 + MMULT($I$44:$L$47,TRANSPOSE(AR452:AU452)))</f>
        <v>0.88500525962967891</v>
      </c>
      <c r="AD453" s="62">
        <f ca="1"/>
        <v>0.64351914355948503</v>
      </c>
      <c r="AE453" s="62">
        <f ca="1"/>
        <v>0.5872060275273</v>
      </c>
      <c r="AF453" s="62">
        <f ca="1"/>
        <v>0.65726692382043483</v>
      </c>
      <c r="AG453" s="66" t="str">
        <f t="array" ref="AG453">IF($AB453, Push(MMULT($I$44:$L$47,MMULT(Fetch(AV452),TRANSPOSE($I$44:$L$47))) + $N$44:$Q$47), "")</f>
        <v/>
      </c>
      <c r="AH453" s="62">
        <f t="array" aca="1" ref="AH453:AK453" ca="1">TRANSPOSE($G$38:$G$41 + MMULT($I$38:$L$41,TRANSPOSE(AC453:AF453)))</f>
        <v>1.048753307034908</v>
      </c>
      <c r="AI453" s="62">
        <f ca="1"/>
        <v>0.90543231574862992</v>
      </c>
      <c r="AJ453" s="62">
        <f ca="1"/>
        <v>0.72326727395835722</v>
      </c>
      <c r="AK453" s="62">
        <f ca="1"/>
        <v>0.62572112539162217</v>
      </c>
      <c r="AL453" s="66" t="str">
        <f t="array" ref="AL453">IF($AB453, Push(MINVERSE(MMULT($I$38:$L$41,MMULT(Fetch(AG453),TRANSPOSE($I$38:$L$41))) + $N$38:$Q$41)), "")</f>
        <v/>
      </c>
      <c r="AM453" s="62">
        <f t="array" aca="1" ref="AM453:AP453" ca="1">X453:AA453 - AH453:AK453</f>
        <v>-0.30528845976367913</v>
      </c>
      <c r="AN453" s="62">
        <f ca="1"/>
        <v>-0.60666539487150639</v>
      </c>
      <c r="AO453" s="62">
        <f ca="1"/>
        <v>0.98204936675402266</v>
      </c>
      <c r="AP453" s="62">
        <f ca="1"/>
        <v>-0.27282520242965286</v>
      </c>
      <c r="AQ453" s="66" t="str">
        <f t="array" ref="AQ453">IF($AB453, Push(MMULT(Fetch(AG453),MMULT(TRANSPOSE($I$38:$L$41),Fetch(AL453)))), "")</f>
        <v/>
      </c>
      <c r="AR453" s="62">
        <f t="array" aca="1" ref="AR453:AU453" ca="1">AC453:AF453 + TRANSPOSE(MMULT(IF($AB453,Fetch(AQ453),$L$61:$O$64),TRANSPOSE(AM453:AP453)))</f>
        <v>0.95849217257860519</v>
      </c>
      <c r="AS453" s="62">
        <f ca="1"/>
        <v>9.0635558183495224E-2</v>
      </c>
      <c r="AT453" s="62">
        <f ca="1"/>
        <v>0.53891873870455254</v>
      </c>
      <c r="AU453" s="62">
        <f ca="1"/>
        <v>0.95677564286593897</v>
      </c>
      <c r="AV453" s="66" t="str">
        <f t="array" ref="AV453">IF($AB453, Push(Fetch(AG453) - MMULT(Fetch(AQ453),MMULT($I$38:$L$41,Fetch(AG453)))), "")</f>
        <v/>
      </c>
      <c r="AW453" s="97">
        <f t="array" aca="1" ref="AW453" ca="1">IF($AB453,LN(MDETERM(Fetch(AL453))),$J$65)   -   MMULT(AM453:AP453,MMULT(IF($AB453,Fetch(AL453),$G$61:$J$64),TRANSPOSE(AM453:AP453)))</f>
        <v>1.3905365918484431</v>
      </c>
    </row>
    <row r="454" spans="23:49" x14ac:dyDescent="0.15">
      <c r="W454" s="12">
        <f t="shared" si="14"/>
        <v>451</v>
      </c>
      <c r="X454" s="62">
        <f t="array" aca="1" ref="X454:AA454" ca="1">simulate!AE454:AH454</f>
        <v>0.275584946853072</v>
      </c>
      <c r="Y454" s="62">
        <f ca="1"/>
        <v>0.96230007174000798</v>
      </c>
      <c r="Z454" s="62">
        <f ca="1"/>
        <v>-9.5494631358165938E-2</v>
      </c>
      <c r="AA454" s="62">
        <f ca="1"/>
        <v>-0.13179771405851221</v>
      </c>
      <c r="AB454" s="98">
        <f t="shared" si="15"/>
        <v>0</v>
      </c>
      <c r="AC454" s="62">
        <f t="array" aca="1" ref="AC454:AF454" ca="1">TRANSPOSE($G$44:$G$47 + MMULT($I$44:$L$47,TRANSPOSE(AR453:AU453)))</f>
        <v>0.88941778893203294</v>
      </c>
      <c r="AD454" s="62">
        <f ca="1"/>
        <v>0.40429249449870386</v>
      </c>
      <c r="AE454" s="62">
        <f ca="1"/>
        <v>0.6178213895380974</v>
      </c>
      <c r="AF454" s="62">
        <f ca="1"/>
        <v>0.85347115446643484</v>
      </c>
      <c r="AG454" s="66" t="str">
        <f t="array" ref="AG454">IF($AB454, Push(MMULT($I$44:$L$47,MMULT(Fetch(AV453),TRANSPOSE($I$44:$L$47))) + $N$44:$Q$47), "")</f>
        <v/>
      </c>
      <c r="AH454" s="62">
        <f t="array" aca="1" ref="AH454:AK454" ca="1">TRANSPOSE($G$38:$G$41 + MMULT($I$38:$L$41,TRANSPOSE(AC454:AF454)))</f>
        <v>1.0282687179032601</v>
      </c>
      <c r="AI454" s="62">
        <f ca="1"/>
        <v>0.72936255262487837</v>
      </c>
      <c r="AJ454" s="62">
        <f ca="1"/>
        <v>0.97686893420993615</v>
      </c>
      <c r="AK454" s="62">
        <f ca="1"/>
        <v>0.65651525777802533</v>
      </c>
      <c r="AL454" s="66" t="str">
        <f t="array" ref="AL454">IF($AB454, Push(MINVERSE(MMULT($I$38:$L$41,MMULT(Fetch(AG454),TRANSPOSE($I$38:$L$41))) + $N$38:$Q$41)), "")</f>
        <v/>
      </c>
      <c r="AM454" s="62">
        <f t="array" aca="1" ref="AM454:AP454" ca="1">X454:AA454 - AH454:AK454</f>
        <v>-0.75268377105018813</v>
      </c>
      <c r="AN454" s="62">
        <f ca="1"/>
        <v>0.23293751911512961</v>
      </c>
      <c r="AO454" s="62">
        <f ca="1"/>
        <v>-1.0723635655681021</v>
      </c>
      <c r="AP454" s="62">
        <f ca="1"/>
        <v>-0.78831297183653759</v>
      </c>
      <c r="AQ454" s="66" t="str">
        <f t="array" ref="AQ454">IF($AB454, Push(MMULT(Fetch(AG454),MMULT(TRANSPOSE($I$38:$L$41),Fetch(AL454)))), "")</f>
        <v/>
      </c>
      <c r="AR454" s="62">
        <f t="array" aca="1" ref="AR454:AU454" ca="1">AC454:AF454 + TRANSPOSE(MMULT(IF($AB454,Fetch(AQ454),$L$61:$O$64),TRANSPOSE(AM454:AP454)))</f>
        <v>0.49118371338430689</v>
      </c>
      <c r="AS454" s="62">
        <f ca="1"/>
        <v>0.73683203438215739</v>
      </c>
      <c r="AT454" s="62">
        <f ca="1"/>
        <v>-0.38491485958994998</v>
      </c>
      <c r="AU454" s="62">
        <f ca="1"/>
        <v>0.14025486142688748</v>
      </c>
      <c r="AV454" s="66" t="str">
        <f t="array" ref="AV454">IF($AB454, Push(Fetch(AG454) - MMULT(Fetch(AQ454),MMULT($I$38:$L$41,Fetch(AG454)))), "")</f>
        <v/>
      </c>
      <c r="AW454" s="97">
        <f t="array" aca="1" ref="AW454" ca="1">IF($AB454,LN(MDETERM(Fetch(AL454))),$J$65)   -   MMULT(AM454:AP454,MMULT(IF($AB454,Fetch(AL454),$G$61:$J$64),TRANSPOSE(AM454:AP454)))</f>
        <v>-2.220833729006678</v>
      </c>
    </row>
    <row r="455" spans="23:49" x14ac:dyDescent="0.15">
      <c r="W455" s="12">
        <f t="shared" si="14"/>
        <v>452</v>
      </c>
      <c r="X455" s="62">
        <f t="array" aca="1" ref="X455:AA455" ca="1">simulate!AE455:AH455</f>
        <v>1.5860029983418658</v>
      </c>
      <c r="Y455" s="62">
        <f ca="1"/>
        <v>1.5880437292652441</v>
      </c>
      <c r="Z455" s="62">
        <f ca="1"/>
        <v>-0.31153485081345272</v>
      </c>
      <c r="AA455" s="62">
        <f ca="1"/>
        <v>1.1607343501249838</v>
      </c>
      <c r="AB455" s="98">
        <f t="shared" si="15"/>
        <v>0</v>
      </c>
      <c r="AC455" s="62">
        <f t="array" aca="1" ref="AC455:AF455" ca="1">TRANSPOSE($G$44:$G$47 + MMULT($I$44:$L$47,TRANSPOSE(AR454:AU454)))</f>
        <v>0.62766743959215321</v>
      </c>
      <c r="AD455" s="62">
        <f ca="1"/>
        <v>0.48257264379403214</v>
      </c>
      <c r="AE455" s="62">
        <f ca="1"/>
        <v>6.969581858905427E-2</v>
      </c>
      <c r="AF455" s="62">
        <f ca="1"/>
        <v>0.2860374001605801</v>
      </c>
      <c r="AG455" s="66" t="str">
        <f t="array" ref="AG455">IF($AB455, Push(MMULT($I$44:$L$47,MMULT(Fetch(AV454),TRANSPOSE($I$44:$L$47))) + $N$44:$Q$47), "")</f>
        <v/>
      </c>
      <c r="AH455" s="62">
        <f t="array" aca="1" ref="AH455:AK455" ca="1">TRANSPOSE($G$38:$G$41 + MMULT($I$38:$L$41,TRANSPOSE(AC455:AF455)))</f>
        <v>0.64965419072509933</v>
      </c>
      <c r="AI455" s="62">
        <f ca="1"/>
        <v>0.72927878836221638</v>
      </c>
      <c r="AJ455" s="62">
        <f ca="1"/>
        <v>0.42299358840484724</v>
      </c>
      <c r="AK455" s="62">
        <f ca="1"/>
        <v>0.15958783016952466</v>
      </c>
      <c r="AL455" s="66" t="str">
        <f t="array" ref="AL455">IF($AB455, Push(MINVERSE(MMULT($I$38:$L$41,MMULT(Fetch(AG455),TRANSPOSE($I$38:$L$41))) + $N$38:$Q$41)), "")</f>
        <v/>
      </c>
      <c r="AM455" s="62">
        <f t="array" aca="1" ref="AM455:AP455" ca="1">X455:AA455 - AH455:AK455</f>
        <v>0.93634880761676642</v>
      </c>
      <c r="AN455" s="62">
        <f ca="1"/>
        <v>0.85876494090302768</v>
      </c>
      <c r="AO455" s="62">
        <f ca="1"/>
        <v>-0.73452843921830002</v>
      </c>
      <c r="AP455" s="62">
        <f ca="1"/>
        <v>1.0011465199554592</v>
      </c>
      <c r="AQ455" s="66" t="str">
        <f t="array" ref="AQ455">IF($AB455, Push(MMULT(Fetch(AG455),MMULT(TRANSPOSE($I$38:$L$41),Fetch(AL455)))), "")</f>
        <v/>
      </c>
      <c r="AR455" s="62">
        <f t="array" aca="1" ref="AR455:AU455" ca="1">AC455:AF455 + TRANSPOSE(MMULT(IF($AB455,Fetch(AQ455),$L$61:$O$64),TRANSPOSE(AM455:AP455)))</f>
        <v>0.77963369567743424</v>
      </c>
      <c r="AS455" s="62">
        <f ca="1"/>
        <v>1.1618575459479556</v>
      </c>
      <c r="AT455" s="62">
        <f ca="1"/>
        <v>0.83673645231971427</v>
      </c>
      <c r="AU455" s="62">
        <f ca="1"/>
        <v>0.34569318780263192</v>
      </c>
      <c r="AV455" s="66" t="str">
        <f t="array" ref="AV455">IF($AB455, Push(Fetch(AG455) - MMULT(Fetch(AQ455),MMULT($I$38:$L$41,Fetch(AG455)))), "")</f>
        <v/>
      </c>
      <c r="AW455" s="97">
        <f t="array" aca="1" ref="AW455" ca="1">IF($AB455,LN(MDETERM(Fetch(AL455))),$J$65)   -   MMULT(AM455:AP455,MMULT(IF($AB455,Fetch(AL455),$G$61:$J$64),TRANSPOSE(AM455:AP455)))</f>
        <v>-6.4871692272519699</v>
      </c>
    </row>
    <row r="456" spans="23:49" x14ac:dyDescent="0.15">
      <c r="W456" s="12">
        <f t="shared" si="14"/>
        <v>453</v>
      </c>
      <c r="X456" s="62">
        <f t="array" aca="1" ref="X456:AA456" ca="1">simulate!AE456:AH456</f>
        <v>0.98503844446946776</v>
      </c>
      <c r="Y456" s="62">
        <f ca="1"/>
        <v>1.0566584152463876</v>
      </c>
      <c r="Z456" s="62">
        <f ca="1"/>
        <v>1.5826781067819655</v>
      </c>
      <c r="AA456" s="62">
        <f ca="1"/>
        <v>0.76816109306999181</v>
      </c>
      <c r="AB456" s="98">
        <f t="shared" si="15"/>
        <v>0</v>
      </c>
      <c r="AC456" s="62">
        <f t="array" aca="1" ref="AC456:AF456" ca="1">TRANSPOSE($G$44:$G$47 + MMULT($I$44:$L$47,TRANSPOSE(AR455:AU455)))</f>
        <v>0.94318610241252676</v>
      </c>
      <c r="AD456" s="62">
        <f ca="1"/>
        <v>0.95436835743465009</v>
      </c>
      <c r="AE456" s="62">
        <f ca="1"/>
        <v>0.84942183929405979</v>
      </c>
      <c r="AF456" s="62">
        <f ca="1"/>
        <v>0.63945288195601824</v>
      </c>
      <c r="AG456" s="66" t="str">
        <f t="array" ref="AG456">IF($AB456, Push(MMULT($I$44:$L$47,MMULT(Fetch(AV455),TRANSPOSE($I$44:$L$47))) + $N$44:$Q$47), "")</f>
        <v/>
      </c>
      <c r="AH456" s="62">
        <f t="array" aca="1" ref="AH456:AK456" ca="1">TRANSPOSE($G$38:$G$41 + MMULT($I$38:$L$41,TRANSPOSE(AC456:AF456)))</f>
        <v>1.2457140850883883</v>
      </c>
      <c r="AI456" s="62">
        <f ca="1"/>
        <v>1.1272930995352481</v>
      </c>
      <c r="AJ456" s="62">
        <f ca="1"/>
        <v>0.58841532756480741</v>
      </c>
      <c r="AK456" s="62">
        <f ca="1"/>
        <v>0.87649176430655262</v>
      </c>
      <c r="AL456" s="66" t="str">
        <f t="array" ref="AL456">IF($AB456, Push(MINVERSE(MMULT($I$38:$L$41,MMULT(Fetch(AG456),TRANSPOSE($I$38:$L$41))) + $N$38:$Q$41)), "")</f>
        <v/>
      </c>
      <c r="AM456" s="62">
        <f t="array" aca="1" ref="AM456:AP456" ca="1">X456:AA456 - AH456:AK456</f>
        <v>-0.26067564061892057</v>
      </c>
      <c r="AN456" s="62">
        <f ca="1"/>
        <v>-7.063468428886055E-2</v>
      </c>
      <c r="AO456" s="62">
        <f ca="1"/>
        <v>0.99426277921715811</v>
      </c>
      <c r="AP456" s="62">
        <f ca="1"/>
        <v>-0.10833067123656082</v>
      </c>
      <c r="AQ456" s="66" t="str">
        <f t="array" ref="AQ456">IF($AB456, Push(MMULT(Fetch(AG456),MMULT(TRANSPOSE($I$38:$L$41),Fetch(AL456)))), "")</f>
        <v/>
      </c>
      <c r="AR456" s="62">
        <f t="array" aca="1" ref="AR456:AU456" ca="1">AC456:AF456 + TRANSPOSE(MMULT(IF($AB456,Fetch(AQ456),$L$61:$O$64),TRANSPOSE(AM456:AP456)))</f>
        <v>1.0871516038921643</v>
      </c>
      <c r="AS456" s="62">
        <f ca="1"/>
        <v>0.7295621191093189</v>
      </c>
      <c r="AT456" s="62">
        <f ca="1"/>
        <v>0.86022614965322763</v>
      </c>
      <c r="AU456" s="62">
        <f ca="1"/>
        <v>1.0052756137611734</v>
      </c>
      <c r="AV456" s="66" t="str">
        <f t="array" ref="AV456">IF($AB456, Push(Fetch(AG456) - MMULT(Fetch(AQ456),MMULT($I$38:$L$41,Fetch(AG456)))), "")</f>
        <v/>
      </c>
      <c r="AW456" s="97">
        <f t="array" aca="1" ref="AW456" ca="1">IF($AB456,LN(MDETERM(Fetch(AL456))),$J$65)   -   MMULT(AM456:AP456,MMULT(IF($AB456,Fetch(AL456),$G$61:$J$64),TRANSPOSE(AM456:AP456)))</f>
        <v>1.377846232295191</v>
      </c>
    </row>
    <row r="457" spans="23:49" x14ac:dyDescent="0.15">
      <c r="W457" s="12">
        <f t="shared" si="14"/>
        <v>454</v>
      </c>
      <c r="X457" s="62">
        <f t="array" aca="1" ref="X457:AA457" ca="1">simulate!AE457:AH457</f>
        <v>1.4429533381604966</v>
      </c>
      <c r="Y457" s="62">
        <f ca="1"/>
        <v>1.1072195429607201</v>
      </c>
      <c r="Z457" s="62">
        <f ca="1"/>
        <v>0.54931111116313869</v>
      </c>
      <c r="AA457" s="62">
        <f ca="1"/>
        <v>1.3489674796111502</v>
      </c>
      <c r="AB457" s="98">
        <f t="shared" si="15"/>
        <v>0</v>
      </c>
      <c r="AC457" s="62">
        <f t="array" aca="1" ref="AC457:AF457" ca="1">TRANSPOSE($G$44:$G$47 + MMULT($I$44:$L$47,TRANSPOSE(AR456:AU456)))</f>
        <v>1.0786615520121545</v>
      </c>
      <c r="AD457" s="62">
        <f ca="1"/>
        <v>0.82125278010647818</v>
      </c>
      <c r="AE457" s="62">
        <f ca="1"/>
        <v>0.91142333999273262</v>
      </c>
      <c r="AF457" s="62">
        <f ca="1"/>
        <v>0.9834960676622031</v>
      </c>
      <c r="AG457" s="66" t="str">
        <f t="array" ref="AG457">IF($AB457, Push(MMULT($I$44:$L$47,MMULT(Fetch(AV456),TRANSPOSE($I$44:$L$47))) + $N$44:$Q$47), "")</f>
        <v/>
      </c>
      <c r="AH457" s="62">
        <f t="array" aca="1" ref="AH457:AK457" ca="1">TRANSPOSE($G$38:$G$41 + MMULT($I$38:$L$41,TRANSPOSE(AC457:AF457)))</f>
        <v>1.2912707569348374</v>
      </c>
      <c r="AI457" s="62">
        <f ca="1"/>
        <v>1.1132045408534397</v>
      </c>
      <c r="AJ457" s="62">
        <f ca="1"/>
        <v>0.97294016117690618</v>
      </c>
      <c r="AK457" s="62">
        <f ca="1"/>
        <v>0.9667691623168797</v>
      </c>
      <c r="AL457" s="66" t="str">
        <f t="array" ref="AL457">IF($AB457, Push(MINVERSE(MMULT($I$38:$L$41,MMULT(Fetch(AG457),TRANSPOSE($I$38:$L$41))) + $N$38:$Q$41)), "")</f>
        <v/>
      </c>
      <c r="AM457" s="62">
        <f t="array" aca="1" ref="AM457:AP457" ca="1">X457:AA457 - AH457:AK457</f>
        <v>0.15168258122565925</v>
      </c>
      <c r="AN457" s="62">
        <f ca="1"/>
        <v>-5.9849978927195568E-3</v>
      </c>
      <c r="AO457" s="62">
        <f ca="1"/>
        <v>-0.42362905001376749</v>
      </c>
      <c r="AP457" s="62">
        <f ca="1"/>
        <v>0.38219831729427045</v>
      </c>
      <c r="AQ457" s="66" t="str">
        <f t="array" ref="AQ457">IF($AB457, Push(MMULT(Fetch(AG457),MMULT(TRANSPOSE($I$38:$L$41),Fetch(AL457)))), "")</f>
        <v/>
      </c>
      <c r="AR457" s="62">
        <f t="array" aca="1" ref="AR457:AU457" ca="1">AC457:AF457 + TRANSPOSE(MMULT(IF($AB457,Fetch(AQ457),$L$61:$O$64),TRANSPOSE(AM457:AP457)))</f>
        <v>0.95475466144628041</v>
      </c>
      <c r="AS457" s="62">
        <f ca="1"/>
        <v>0.9560747468032561</v>
      </c>
      <c r="AT457" s="62">
        <f ca="1"/>
        <v>1.1474469135522958</v>
      </c>
      <c r="AU457" s="62">
        <f ca="1"/>
        <v>0.94483477806860916</v>
      </c>
      <c r="AV457" s="66" t="str">
        <f t="array" ref="AV457">IF($AB457, Push(Fetch(AG457) - MMULT(Fetch(AQ457),MMULT($I$38:$L$41,Fetch(AG457)))), "")</f>
        <v/>
      </c>
      <c r="AW457" s="97">
        <f t="array" aca="1" ref="AW457" ca="1">IF($AB457,LN(MDETERM(Fetch(AL457))),$J$65)   -   MMULT(AM457:AP457,MMULT(IF($AB457,Fetch(AL457),$G$61:$J$64),TRANSPOSE(AM457:AP457)))</f>
        <v>5.0832193162812596</v>
      </c>
    </row>
    <row r="458" spans="23:49" x14ac:dyDescent="0.15">
      <c r="W458" s="12">
        <f t="shared" si="14"/>
        <v>455</v>
      </c>
      <c r="X458" s="62">
        <f t="array" aca="1" ref="X458:AA458" ca="1">simulate!AE458:AH458</f>
        <v>2.9134658263971316</v>
      </c>
      <c r="Y458" s="62">
        <f ca="1"/>
        <v>1.36391277969122</v>
      </c>
      <c r="Z458" s="62">
        <f ca="1"/>
        <v>-0.7111155604720758</v>
      </c>
      <c r="AA458" s="62">
        <f ca="1"/>
        <v>2.9328306099133323</v>
      </c>
      <c r="AB458" s="98">
        <f t="shared" si="15"/>
        <v>0</v>
      </c>
      <c r="AC458" s="62">
        <f t="array" aca="1" ref="AC458:AF458" ca="1">TRANSPOSE($G$44:$G$47 + MMULT($I$44:$L$47,TRANSPOSE(AR457:AU457)))</f>
        <v>1.0582200889808262</v>
      </c>
      <c r="AD458" s="62">
        <f ca="1"/>
        <v>0.96029435656411022</v>
      </c>
      <c r="AE458" s="62">
        <f ca="1"/>
        <v>1.0849513283854806</v>
      </c>
      <c r="AF458" s="62">
        <f ca="1"/>
        <v>1.0072481504998207</v>
      </c>
      <c r="AG458" s="66" t="str">
        <f t="array" ref="AG458">IF($AB458, Push(MMULT($I$44:$L$47,MMULT(Fetch(AV457),TRANSPOSE($I$44:$L$47))) + $N$44:$Q$47), "")</f>
        <v/>
      </c>
      <c r="AH458" s="62">
        <f t="array" aca="1" ref="AH458:AK458" ca="1">TRANSPOSE($G$38:$G$41 + MMULT($I$38:$L$41,TRANSPOSE(AC458:AF458)))</f>
        <v>1.3728751067169465</v>
      </c>
      <c r="AI458" s="62">
        <f ca="1"/>
        <v>1.1871133702126535</v>
      </c>
      <c r="AJ458" s="62">
        <f ca="1"/>
        <v>0.91591973111521918</v>
      </c>
      <c r="AK458" s="62">
        <f ca="1"/>
        <v>1.1539947566794366</v>
      </c>
      <c r="AL458" s="66" t="str">
        <f t="array" ref="AL458">IF($AB458, Push(MINVERSE(MMULT($I$38:$L$41,MMULT(Fetch(AG458),TRANSPOSE($I$38:$L$41))) + $N$38:$Q$41)), "")</f>
        <v/>
      </c>
      <c r="AM458" s="62">
        <f t="array" aca="1" ref="AM458:AP458" ca="1">X458:AA458 - AH458:AK458</f>
        <v>1.5405907196801851</v>
      </c>
      <c r="AN458" s="62">
        <f ca="1"/>
        <v>0.17679940947856654</v>
      </c>
      <c r="AO458" s="62">
        <f ca="1"/>
        <v>-1.627035291587295</v>
      </c>
      <c r="AP458" s="62">
        <f ca="1"/>
        <v>1.7788358532338957</v>
      </c>
      <c r="AQ458" s="66" t="str">
        <f t="array" ref="AQ458">IF($AB458, Push(MMULT(Fetch(AG458),MMULT(TRANSPOSE($I$38:$L$41),Fetch(AL458)))), "")</f>
        <v/>
      </c>
      <c r="AR458" s="62">
        <f t="array" aca="1" ref="AR458:AU458" ca="1">AC458:AF458 + TRANSPOSE(MMULT(IF($AB458,Fetch(AQ458),$L$61:$O$64),TRANSPOSE(AM458:AP458)))</f>
        <v>0.97999381487681392</v>
      </c>
      <c r="AS458" s="62">
        <f ca="1"/>
        <v>1.4866830582609076</v>
      </c>
      <c r="AT458" s="62">
        <f ca="1"/>
        <v>2.5187099225289264</v>
      </c>
      <c r="AU458" s="62">
        <f ca="1"/>
        <v>0.97219505643649717</v>
      </c>
      <c r="AV458" s="66" t="str">
        <f t="array" ref="AV458">IF($AB458, Push(Fetch(AG458) - MMULT(Fetch(AQ458),MMULT($I$38:$L$41,Fetch(AG458)))), "")</f>
        <v/>
      </c>
      <c r="AW458" s="97">
        <f t="array" aca="1" ref="AW458" ca="1">IF($AB458,LN(MDETERM(Fetch(AL458))),$J$65)   -   MMULT(AM458:AP458,MMULT(IF($AB458,Fetch(AL458),$G$61:$J$64),TRANSPOSE(AM458:AP458)))</f>
        <v>-35.146266974689354</v>
      </c>
    </row>
    <row r="459" spans="23:49" x14ac:dyDescent="0.15">
      <c r="W459" s="12">
        <f t="shared" si="14"/>
        <v>456</v>
      </c>
      <c r="X459" s="62">
        <f t="array" aca="1" ref="X459:AA459" ca="1">simulate!AE459:AH459</f>
        <v>1.1709205580985362</v>
      </c>
      <c r="Y459" s="62">
        <f ca="1"/>
        <v>2.6394354725926483</v>
      </c>
      <c r="Z459" s="62">
        <f ca="1"/>
        <v>0.41719209814759284</v>
      </c>
      <c r="AA459" s="62">
        <f ca="1"/>
        <v>1.0901919222037191</v>
      </c>
      <c r="AB459" s="98">
        <f t="shared" si="15"/>
        <v>0</v>
      </c>
      <c r="AC459" s="62">
        <f t="array" aca="1" ref="AC459:AF459" ca="1">TRANSPOSE($G$44:$G$47 + MMULT($I$44:$L$47,TRANSPOSE(AR458:AU458)))</f>
        <v>1.249302814759367</v>
      </c>
      <c r="AD459" s="62">
        <f ca="1"/>
        <v>1.4558428191693311</v>
      </c>
      <c r="AE459" s="62">
        <f ca="1"/>
        <v>1.9175309422212132</v>
      </c>
      <c r="AF459" s="62">
        <f ca="1"/>
        <v>1.2836460944567973</v>
      </c>
      <c r="AG459" s="66" t="str">
        <f t="array" ref="AG459">IF($AB459, Push(MMULT($I$44:$L$47,MMULT(Fetch(AV458),TRANSPOSE($I$44:$L$47))) + $N$44:$Q$47), "")</f>
        <v/>
      </c>
      <c r="AH459" s="62">
        <f t="array" aca="1" ref="AH459:AK459" ca="1">TRANSPOSE($G$38:$G$41 + MMULT($I$38:$L$41,TRANSPOSE(AC459:AF459)))</f>
        <v>1.9341747444472426</v>
      </c>
      <c r="AI459" s="62">
        <f ca="1"/>
        <v>1.531142168386276</v>
      </c>
      <c r="AJ459" s="62">
        <f ca="1"/>
        <v>0.95496814567741084</v>
      </c>
      <c r="AK459" s="62">
        <f ca="1"/>
        <v>1.9393148491965426</v>
      </c>
      <c r="AL459" s="66" t="str">
        <f t="array" ref="AL459">IF($AB459, Push(MINVERSE(MMULT($I$38:$L$41,MMULT(Fetch(AG459),TRANSPOSE($I$38:$L$41))) + $N$38:$Q$41)), "")</f>
        <v/>
      </c>
      <c r="AM459" s="62">
        <f t="array" aca="1" ref="AM459:AP459" ca="1">X459:AA459 - AH459:AK459</f>
        <v>-0.76325418634870634</v>
      </c>
      <c r="AN459" s="62">
        <f ca="1"/>
        <v>1.1082933042063723</v>
      </c>
      <c r="AO459" s="62">
        <f ca="1"/>
        <v>-0.537776047529818</v>
      </c>
      <c r="AP459" s="62">
        <f ca="1"/>
        <v>-0.84912292699282355</v>
      </c>
      <c r="AQ459" s="66" t="str">
        <f t="array" ref="AQ459">IF($AB459, Push(MMULT(Fetch(AG459),MMULT(TRANSPOSE($I$38:$L$41),Fetch(AL459)))), "")</f>
        <v/>
      </c>
      <c r="AR459" s="62">
        <f t="array" aca="1" ref="AR459:AU459" ca="1">AC459:AF459 + TRANSPOSE(MMULT(IF($AB459,Fetch(AQ459),$L$61:$O$64),TRANSPOSE(AM459:AP459)))</f>
        <v>1.1311943835049871</v>
      </c>
      <c r="AS459" s="62">
        <f ca="1"/>
        <v>2.1653909590271003</v>
      </c>
      <c r="AT459" s="62">
        <f ca="1"/>
        <v>0.85091036306467904</v>
      </c>
      <c r="AU459" s="62">
        <f ca="1"/>
        <v>0.77309152462541486</v>
      </c>
      <c r="AV459" s="66" t="str">
        <f t="array" ref="AV459">IF($AB459, Push(Fetch(AG459) - MMULT(Fetch(AQ459),MMULT($I$38:$L$41,Fetch(AG459)))), "")</f>
        <v/>
      </c>
      <c r="AW459" s="97">
        <f t="array" aca="1" ref="AW459" ca="1">IF($AB459,LN(MDETERM(Fetch(AL459))),$J$65)   -   MMULT(AM459:AP459,MMULT(IF($AB459,Fetch(AL459),$G$61:$J$64),TRANSPOSE(AM459:AP459)))</f>
        <v>-5.0007523109670142</v>
      </c>
    </row>
    <row r="460" spans="23:49" x14ac:dyDescent="0.15">
      <c r="W460" s="12">
        <f t="shared" si="14"/>
        <v>457</v>
      </c>
      <c r="X460" s="62">
        <f t="array" aca="1" ref="X460:AA460" ca="1">simulate!AE460:AH460</f>
        <v>0.59057276896728783</v>
      </c>
      <c r="Y460" s="62">
        <f ca="1"/>
        <v>0.75552973434666393</v>
      </c>
      <c r="Z460" s="62">
        <f ca="1"/>
        <v>0.44592578135244648</v>
      </c>
      <c r="AA460" s="62">
        <f ca="1"/>
        <v>1.7127390748537361</v>
      </c>
      <c r="AB460" s="98">
        <f t="shared" si="15"/>
        <v>0</v>
      </c>
      <c r="AC460" s="62">
        <f t="array" aca="1" ref="AC460:AF460" ca="1">TRANSPOSE($G$44:$G$47 + MMULT($I$44:$L$47,TRANSPOSE(AR459:AU459)))</f>
        <v>1.3031171285771268</v>
      </c>
      <c r="AD460" s="62">
        <f ca="1"/>
        <v>1.585952080689975</v>
      </c>
      <c r="AE460" s="62">
        <f ca="1"/>
        <v>1.1082867536951251</v>
      </c>
      <c r="AF460" s="62">
        <f ca="1"/>
        <v>0.96091084019920658</v>
      </c>
      <c r="AG460" s="66" t="str">
        <f t="array" ref="AG460">IF($AB460, Push(MMULT($I$44:$L$47,MMULT(Fetch(AV459),TRANSPOSE($I$44:$L$47))) + $N$44:$Q$47), "")</f>
        <v/>
      </c>
      <c r="AH460" s="62">
        <f t="array" aca="1" ref="AH460:AK460" ca="1">TRANSPOSE($G$38:$G$41 + MMULT($I$38:$L$41,TRANSPOSE(AC460:AF460)))</f>
        <v>1.5428922274821726</v>
      </c>
      <c r="AI460" s="62">
        <f ca="1"/>
        <v>1.8077904372960014</v>
      </c>
      <c r="AJ460" s="62">
        <f ca="1"/>
        <v>0.7320728526883713</v>
      </c>
      <c r="AK460" s="62">
        <f ca="1"/>
        <v>1.2325334000206734</v>
      </c>
      <c r="AL460" s="66" t="str">
        <f t="array" ref="AL460">IF($AB460, Push(MINVERSE(MMULT($I$38:$L$41,MMULT(Fetch(AG460),TRANSPOSE($I$38:$L$41))) + $N$38:$Q$41)), "")</f>
        <v/>
      </c>
      <c r="AM460" s="62">
        <f t="array" aca="1" ref="AM460:AP460" ca="1">X460:AA460 - AH460:AK460</f>
        <v>-0.95231945851488475</v>
      </c>
      <c r="AN460" s="62">
        <f ca="1"/>
        <v>-1.0522607029493374</v>
      </c>
      <c r="AO460" s="62">
        <f ca="1"/>
        <v>-0.28614707133592482</v>
      </c>
      <c r="AP460" s="62">
        <f ca="1"/>
        <v>0.48020567483306276</v>
      </c>
      <c r="AQ460" s="66" t="str">
        <f t="array" ref="AQ460">IF($AB460, Push(MMULT(Fetch(AG460),MMULT(TRANSPOSE($I$38:$L$41),Fetch(AL460)))), "")</f>
        <v/>
      </c>
      <c r="AR460" s="62">
        <f t="array" aca="1" ref="AR460:AU460" ca="1">AC460:AF460 + TRANSPOSE(MMULT(IF($AB460,Fetch(AQ460),$L$61:$O$64),TRANSPOSE(AM460:AP460)))</f>
        <v>0.52514616383859825</v>
      </c>
      <c r="AS460" s="62">
        <f ca="1"/>
        <v>1.3071416968352558</v>
      </c>
      <c r="AT460" s="62">
        <f ca="1"/>
        <v>1.1632543636236734</v>
      </c>
      <c r="AU460" s="62">
        <f ca="1"/>
        <v>1.0011292428816565</v>
      </c>
      <c r="AV460" s="66" t="str">
        <f t="array" ref="AV460">IF($AB460, Push(Fetch(AG460) - MMULT(Fetch(AQ460),MMULT($I$38:$L$41,Fetch(AG460)))), "")</f>
        <v/>
      </c>
      <c r="AW460" s="97">
        <f t="array" aca="1" ref="AW460" ca="1">IF($AB460,LN(MDETERM(Fetch(AL460))),$J$65)   -   MMULT(AM460:AP460,MMULT(IF($AB460,Fetch(AL460),$G$61:$J$64),TRANSPOSE(AM460:AP460)))</f>
        <v>-7.6330734882650493</v>
      </c>
    </row>
    <row r="461" spans="23:49" x14ac:dyDescent="0.15">
      <c r="W461" s="12">
        <f t="shared" si="14"/>
        <v>458</v>
      </c>
      <c r="X461" s="62">
        <f t="array" aca="1" ref="X461:AA461" ca="1">simulate!AE461:AH461</f>
        <v>0.69475689040994548</v>
      </c>
      <c r="Y461" s="62">
        <f ca="1"/>
        <v>0.42421940465341923</v>
      </c>
      <c r="Z461" s="62">
        <f ca="1"/>
        <v>1.3896127295867828</v>
      </c>
      <c r="AA461" s="62">
        <f ca="1"/>
        <v>0.48088378193130243</v>
      </c>
      <c r="AB461" s="98">
        <f t="shared" si="15"/>
        <v>0</v>
      </c>
      <c r="AC461" s="62">
        <f t="array" aca="1" ref="AC461:AF461" ca="1">TRANSPOSE($G$44:$G$47 + MMULT($I$44:$L$47,TRANSPOSE(AR460:AU460)))</f>
        <v>0.88198471326812711</v>
      </c>
      <c r="AD461" s="62">
        <f ca="1"/>
        <v>1.0864922599175357</v>
      </c>
      <c r="AE461" s="62">
        <f ca="1"/>
        <v>1.1282376366619451</v>
      </c>
      <c r="AF461" s="62">
        <f ca="1"/>
        <v>1.0445629884880754</v>
      </c>
      <c r="AG461" s="66" t="str">
        <f t="array" ref="AG461">IF($AB461, Push(MMULT($I$44:$L$47,MMULT(Fetch(AV460),TRANSPOSE($I$44:$L$47))) + $N$44:$Q$47), "")</f>
        <v/>
      </c>
      <c r="AH461" s="62">
        <f t="array" aca="1" ref="AH461:AK461" ca="1">TRANSPOSE($G$38:$G$41 + MMULT($I$38:$L$41,TRANSPOSE(AC461:AF461)))</f>
        <v>1.257016077811546</v>
      </c>
      <c r="AI461" s="62">
        <f ca="1"/>
        <v>1.2281419023691251</v>
      </c>
      <c r="AJ461" s="62">
        <f ca="1"/>
        <v>0.82699096229015656</v>
      </c>
      <c r="AK461" s="62">
        <f ca="1"/>
        <v>1.3190279022203641</v>
      </c>
      <c r="AL461" s="66" t="str">
        <f t="array" ref="AL461">IF($AB461, Push(MINVERSE(MMULT($I$38:$L$41,MMULT(Fetch(AG461),TRANSPOSE($I$38:$L$41))) + $N$38:$Q$41)), "")</f>
        <v/>
      </c>
      <c r="AM461" s="62">
        <f t="array" aca="1" ref="AM461:AP461" ca="1">X461:AA461 - AH461:AK461</f>
        <v>-0.56225918740160052</v>
      </c>
      <c r="AN461" s="62">
        <f ca="1"/>
        <v>-0.8039224977157059</v>
      </c>
      <c r="AO461" s="62">
        <f ca="1"/>
        <v>0.56262176729662627</v>
      </c>
      <c r="AP461" s="62">
        <f ca="1"/>
        <v>-0.83814412028906171</v>
      </c>
      <c r="AQ461" s="66" t="str">
        <f t="array" ref="AQ461">IF($AB461, Push(MMULT(Fetch(AG461),MMULT(TRANSPOSE($I$38:$L$41),Fetch(AL461)))), "")</f>
        <v/>
      </c>
      <c r="AR461" s="62">
        <f t="array" aca="1" ref="AR461:AU461" ca="1">AC461:AF461 + TRANSPOSE(MMULT(IF($AB461,Fetch(AQ461),$L$61:$O$64),TRANSPOSE(AM461:AP461)))</f>
        <v>0.82921444245942943</v>
      </c>
      <c r="AS461" s="62">
        <f ca="1"/>
        <v>0.44164138126973373</v>
      </c>
      <c r="AT461" s="62">
        <f ca="1"/>
        <v>0.56837567540047962</v>
      </c>
      <c r="AU461" s="62">
        <f ca="1"/>
        <v>0.973519786999268</v>
      </c>
      <c r="AV461" s="66" t="str">
        <f t="array" ref="AV461">IF($AB461, Push(Fetch(AG461) - MMULT(Fetch(AQ461),MMULT($I$38:$L$41,Fetch(AG461)))), "")</f>
        <v/>
      </c>
      <c r="AW461" s="97">
        <f t="array" aca="1" ref="AW461" ca="1">IF($AB461,LN(MDETERM(Fetch(AL461))),$J$65)   -   MMULT(AM461:AP461,MMULT(IF($AB461,Fetch(AL461),$G$61:$J$64),TRANSPOSE(AM461:AP461)))</f>
        <v>-3.0029362557690433</v>
      </c>
    </row>
    <row r="462" spans="23:49" x14ac:dyDescent="0.15">
      <c r="W462" s="12">
        <f t="shared" si="14"/>
        <v>459</v>
      </c>
      <c r="X462" s="62">
        <f t="array" aca="1" ref="X462:AA462" ca="1">simulate!AE462:AH462</f>
        <v>1.12332898343497</v>
      </c>
      <c r="Y462" s="62">
        <f ca="1"/>
        <v>1.1859552645316289</v>
      </c>
      <c r="Z462" s="62">
        <f ca="1"/>
        <v>0.15447185840993274</v>
      </c>
      <c r="AA462" s="62">
        <f ca="1"/>
        <v>1.139671827304154</v>
      </c>
      <c r="AB462" s="98">
        <f t="shared" si="15"/>
        <v>0</v>
      </c>
      <c r="AC462" s="62">
        <f t="array" aca="1" ref="AC462:AF462" ca="1">TRANSPOSE($G$44:$G$47 + MMULT($I$44:$L$47,TRANSPOSE(AR461:AU461)))</f>
        <v>0.87444543498428562</v>
      </c>
      <c r="AD462" s="62">
        <f ca="1"/>
        <v>0.57842366101836051</v>
      </c>
      <c r="AE462" s="62">
        <f ca="1"/>
        <v>0.68399505684310569</v>
      </c>
      <c r="AF462" s="62">
        <f ca="1"/>
        <v>0.88607021819856446</v>
      </c>
      <c r="AG462" s="66" t="str">
        <f t="array" ref="AG462">IF($AB462, Push(MMULT($I$44:$L$47,MMULT(Fetch(AV461),TRANSPOSE($I$44:$L$47))) + $N$44:$Q$47), "")</f>
        <v/>
      </c>
      <c r="AH462" s="62">
        <f t="array" aca="1" ref="AH462:AK462" ca="1">TRANSPOSE($G$38:$G$41 + MMULT($I$38:$L$41,TRANSPOSE(AC462:AF462)))</f>
        <v>1.0411304159773185</v>
      </c>
      <c r="AI462" s="62">
        <f ca="1"/>
        <v>0.86504233312069401</v>
      </c>
      <c r="AJ462" s="62">
        <f ca="1"/>
        <v>0.92600998361637576</v>
      </c>
      <c r="AK462" s="62">
        <f ca="1"/>
        <v>0.7782790815058418</v>
      </c>
      <c r="AL462" s="66" t="str">
        <f t="array" ref="AL462">IF($AB462, Push(MINVERSE(MMULT($I$38:$L$41,MMULT(Fetch(AG462),TRANSPOSE($I$38:$L$41))) + $N$38:$Q$41)), "")</f>
        <v/>
      </c>
      <c r="AM462" s="62">
        <f t="array" aca="1" ref="AM462:AP462" ca="1">X462:AA462 - AH462:AK462</f>
        <v>8.2198567457651528E-2</v>
      </c>
      <c r="AN462" s="62">
        <f ca="1"/>
        <v>0.32091293141093491</v>
      </c>
      <c r="AO462" s="62">
        <f ca="1"/>
        <v>-0.77153812520644305</v>
      </c>
      <c r="AP462" s="62">
        <f ca="1"/>
        <v>0.36139274579831215</v>
      </c>
      <c r="AQ462" s="66" t="str">
        <f t="array" ref="AQ462">IF($AB462, Push(MMULT(Fetch(AG462),MMULT(TRANSPOSE($I$38:$L$41),Fetch(AL462)))), "")</f>
        <v/>
      </c>
      <c r="AR462" s="62">
        <f t="array" aca="1" ref="AR462:AU462" ca="1">AC462:AF462 + TRANSPOSE(MMULT(IF($AB462,Fetch(AQ462),$L$61:$O$64),TRANSPOSE(AM462:AP462)))</f>
        <v>0.68754534079077501</v>
      </c>
      <c r="AS462" s="62">
        <f ca="1"/>
        <v>0.98065844677306102</v>
      </c>
      <c r="AT462" s="62">
        <f ca="1"/>
        <v>0.78119800923161331</v>
      </c>
      <c r="AU462" s="62">
        <f ca="1"/>
        <v>0.70043391669097099</v>
      </c>
      <c r="AV462" s="66" t="str">
        <f t="array" ref="AV462">IF($AB462, Push(Fetch(AG462) - MMULT(Fetch(AQ462),MMULT($I$38:$L$41,Fetch(AG462)))), "")</f>
        <v/>
      </c>
      <c r="AW462" s="97">
        <f t="array" aca="1" ref="AW462" ca="1">IF($AB462,LN(MDETERM(Fetch(AL462))),$J$65)   -   MMULT(AM462:AP462,MMULT(IF($AB462,Fetch(AL462),$G$61:$J$64),TRANSPOSE(AM462:AP462)))</f>
        <v>2.9520056667387617</v>
      </c>
    </row>
    <row r="463" spans="23:49" x14ac:dyDescent="0.15">
      <c r="W463" s="12">
        <f t="shared" si="14"/>
        <v>460</v>
      </c>
      <c r="X463" s="62">
        <f t="array" aca="1" ref="X463:AA463" ca="1">simulate!AE463:AH463</f>
        <v>1.7280897093751655</v>
      </c>
      <c r="Y463" s="62">
        <f ca="1"/>
        <v>0.45848390678329176</v>
      </c>
      <c r="Z463" s="62">
        <f ca="1"/>
        <v>0.70398822385113435</v>
      </c>
      <c r="AA463" s="62">
        <f ca="1"/>
        <v>1.3376232592752704</v>
      </c>
      <c r="AB463" s="98">
        <f t="shared" si="15"/>
        <v>0</v>
      </c>
      <c r="AC463" s="62">
        <f t="array" aca="1" ref="AC463:AF463" ca="1">TRANSPOSE($G$44:$G$47 + MMULT($I$44:$L$47,TRANSPOSE(AR462:AU462)))</f>
        <v>0.87972948650225247</v>
      </c>
      <c r="AD463" s="62">
        <f ca="1"/>
        <v>0.85858840252110369</v>
      </c>
      <c r="AE463" s="62">
        <f ca="1"/>
        <v>0.83595082898122741</v>
      </c>
      <c r="AF463" s="62">
        <f ca="1"/>
        <v>0.80469841043895385</v>
      </c>
      <c r="AG463" s="66" t="str">
        <f t="array" ref="AG463">IF($AB463, Push(MMULT($I$44:$L$47,MMULT(Fetch(AV462),TRANSPOSE($I$44:$L$47))) + $N$44:$Q$47), "")</f>
        <v/>
      </c>
      <c r="AH463" s="62">
        <f t="array" aca="1" ref="AH463:AK463" ca="1">TRANSPOSE($G$38:$G$41 + MMULT($I$38:$L$41,TRANSPOSE(AC463:AF463)))</f>
        <v>1.1498309010651007</v>
      </c>
      <c r="AI463" s="62">
        <f ca="1"/>
        <v>1.0562825423164537</v>
      </c>
      <c r="AJ463" s="62">
        <f ca="1"/>
        <v>0.73953482903503232</v>
      </c>
      <c r="AK463" s="62">
        <f ca="1"/>
        <v>0.93661585871887243</v>
      </c>
      <c r="AL463" s="66" t="str">
        <f t="array" ref="AL463">IF($AB463, Push(MINVERSE(MMULT($I$38:$L$41,MMULT(Fetch(AG463),TRANSPOSE($I$38:$L$41))) + $N$38:$Q$41)), "")</f>
        <v/>
      </c>
      <c r="AM463" s="62">
        <f t="array" aca="1" ref="AM463:AP463" ca="1">X463:AA463 - AH463:AK463</f>
        <v>0.57825880831006482</v>
      </c>
      <c r="AN463" s="62">
        <f ca="1"/>
        <v>-0.59779863553316193</v>
      </c>
      <c r="AO463" s="62">
        <f ca="1"/>
        <v>-3.5546605183897961E-2</v>
      </c>
      <c r="AP463" s="62">
        <f ca="1"/>
        <v>0.40100740055639794</v>
      </c>
      <c r="AQ463" s="66" t="str">
        <f t="array" ref="AQ463">IF($AB463, Push(MMULT(Fetch(AG463),MMULT(TRANSPOSE($I$38:$L$41),Fetch(AL463)))), "")</f>
        <v/>
      </c>
      <c r="AR463" s="62">
        <f t="array" aca="1" ref="AR463:AU463" ca="1">AC463:AF463 + TRANSPOSE(MMULT(IF($AB463,Fetch(AQ463),$L$61:$O$64),TRANSPOSE(AM463:AP463)))</f>
        <v>0.95037585456946005</v>
      </c>
      <c r="AS463" s="62">
        <f ca="1"/>
        <v>0.50377518085197226</v>
      </c>
      <c r="AT463" s="62">
        <f ca="1"/>
        <v>1.3791978238923397</v>
      </c>
      <c r="AU463" s="62">
        <f ca="1"/>
        <v>0.92813104360482934</v>
      </c>
      <c r="AV463" s="66" t="str">
        <f t="array" ref="AV463">IF($AB463, Push(Fetch(AG463) - MMULT(Fetch(AQ463),MMULT($I$38:$L$41,Fetch(AG463)))), "")</f>
        <v/>
      </c>
      <c r="AW463" s="97">
        <f t="array" aca="1" ref="AW463" ca="1">IF($AB463,LN(MDETERM(Fetch(AL463))),$J$65)   -   MMULT(AM463:AP463,MMULT(IF($AB463,Fetch(AL463),$G$61:$J$64),TRANSPOSE(AM463:AP463)))</f>
        <v>2.1376967364129529</v>
      </c>
    </row>
    <row r="464" spans="23:49" x14ac:dyDescent="0.15">
      <c r="W464" s="12">
        <f t="shared" si="14"/>
        <v>461</v>
      </c>
      <c r="X464" s="62">
        <f t="array" aca="1" ref="X464:AA464" ca="1">simulate!AE464:AH464</f>
        <v>1.1486157682793847</v>
      </c>
      <c r="Y464" s="62">
        <f ca="1"/>
        <v>1.1246999011097902</v>
      </c>
      <c r="Z464" s="62">
        <f ca="1"/>
        <v>1.565172949288657</v>
      </c>
      <c r="AA464" s="62">
        <f ca="1"/>
        <v>0.87304525120528342</v>
      </c>
      <c r="AB464" s="98">
        <f t="shared" si="15"/>
        <v>0</v>
      </c>
      <c r="AC464" s="62">
        <f t="array" aca="1" ref="AC464:AF464" ca="1">TRANSPOSE($G$44:$G$47 + MMULT($I$44:$L$47,TRANSPOSE(AR463:AU463)))</f>
        <v>1.00461300838308</v>
      </c>
      <c r="AD464" s="62">
        <f ca="1"/>
        <v>0.74841590964164262</v>
      </c>
      <c r="AE464" s="62">
        <f ca="1"/>
        <v>1.1338952223359373</v>
      </c>
      <c r="AF464" s="62">
        <f ca="1"/>
        <v>1.003447128614763</v>
      </c>
      <c r="AG464" s="66" t="str">
        <f t="array" ref="AG464">IF($AB464, Push(MMULT($I$44:$L$47,MMULT(Fetch(AV463),TRANSPOSE($I$44:$L$47))) + $N$44:$Q$47), "")</f>
        <v/>
      </c>
      <c r="AH464" s="62">
        <f t="array" aca="1" ref="AH464:AK464" ca="1">TRANSPOSE($G$38:$G$41 + MMULT($I$38:$L$41,TRANSPOSE(AC464:AF464)))</f>
        <v>1.377977966482818</v>
      </c>
      <c r="AI464" s="62">
        <f ca="1"/>
        <v>0.96941316890542972</v>
      </c>
      <c r="AJ464" s="62">
        <f ca="1"/>
        <v>0.9679480593659302</v>
      </c>
      <c r="AK464" s="62">
        <f ca="1"/>
        <v>1.1469389707321076</v>
      </c>
      <c r="AL464" s="66" t="str">
        <f t="array" ref="AL464">IF($AB464, Push(MINVERSE(MMULT($I$38:$L$41,MMULT(Fetch(AG464),TRANSPOSE($I$38:$L$41))) + $N$38:$Q$41)), "")</f>
        <v/>
      </c>
      <c r="AM464" s="62">
        <f t="array" aca="1" ref="AM464:AP464" ca="1">X464:AA464 - AH464:AK464</f>
        <v>-0.22936219820343329</v>
      </c>
      <c r="AN464" s="62">
        <f ca="1"/>
        <v>0.15528673220436051</v>
      </c>
      <c r="AO464" s="62">
        <f ca="1"/>
        <v>0.59722488992272682</v>
      </c>
      <c r="AP464" s="62">
        <f ca="1"/>
        <v>-0.27389371952682418</v>
      </c>
      <c r="AQ464" s="66" t="str">
        <f t="array" ref="AQ464">IF($AB464, Push(MMULT(Fetch(AG464),MMULT(TRANSPOSE($I$38:$L$41),Fetch(AL464)))), "")</f>
        <v/>
      </c>
      <c r="AR464" s="62">
        <f t="array" aca="1" ref="AR464:AU464" ca="1">AC464:AF464 + TRANSPOSE(MMULT(IF($AB464,Fetch(AQ464),$L$61:$O$64),TRANSPOSE(AM464:AP464)))</f>
        <v>1.1358016214722984</v>
      </c>
      <c r="AS464" s="62">
        <f ca="1"/>
        <v>0.69740789998544328</v>
      </c>
      <c r="AT464" s="62">
        <f ca="1"/>
        <v>0.95152717632897943</v>
      </c>
      <c r="AU464" s="62">
        <f ca="1"/>
        <v>1.1514054586365052</v>
      </c>
      <c r="AV464" s="66" t="str">
        <f t="array" ref="AV464">IF($AB464, Push(Fetch(AG464) - MMULT(Fetch(AQ464),MMULT($I$38:$L$41,Fetch(AG464)))), "")</f>
        <v/>
      </c>
      <c r="AW464" s="97">
        <f t="array" aca="1" ref="AW464" ca="1">IF($AB464,LN(MDETERM(Fetch(AL464))),$J$65)   -   MMULT(AM464:AP464,MMULT(IF($AB464,Fetch(AL464),$G$61:$J$64),TRANSPOSE(AM464:AP464)))</f>
        <v>3.9945838002410072</v>
      </c>
    </row>
    <row r="465" spans="23:49" x14ac:dyDescent="0.15">
      <c r="W465" s="12">
        <f t="shared" si="14"/>
        <v>462</v>
      </c>
      <c r="X465" s="62">
        <f t="array" aca="1" ref="X465:AA465" ca="1">simulate!AE465:AH465</f>
        <v>0.52999220808023195</v>
      </c>
      <c r="Y465" s="62">
        <f ca="1"/>
        <v>1.6121633584382407</v>
      </c>
      <c r="Z465" s="62">
        <f ca="1"/>
        <v>0.16638257809084811</v>
      </c>
      <c r="AA465" s="62">
        <f ca="1"/>
        <v>1.5604109251367899</v>
      </c>
      <c r="AB465" s="98">
        <f t="shared" si="15"/>
        <v>0</v>
      </c>
      <c r="AC465" s="62">
        <f t="array" aca="1" ref="AC465:AF465" ca="1">TRANSPOSE($G$44:$G$47 + MMULT($I$44:$L$47,TRANSPOSE(AR464:AU464)))</f>
        <v>1.1136991558987286</v>
      </c>
      <c r="AD465" s="62">
        <f ca="1"/>
        <v>0.83569970641088742</v>
      </c>
      <c r="AE465" s="62">
        <f ca="1"/>
        <v>0.98060119012304026</v>
      </c>
      <c r="AF465" s="62">
        <f ca="1"/>
        <v>1.0772897640066059</v>
      </c>
      <c r="AG465" s="66" t="str">
        <f t="array" ref="AG465">IF($AB465, Push(MMULT($I$44:$L$47,MMULT(Fetch(AV464),TRANSPOSE($I$44:$L$47))) + $N$44:$Q$47), "")</f>
        <v/>
      </c>
      <c r="AH465" s="62">
        <f t="array" aca="1" ref="AH465:AK465" ca="1">TRANSPOSE($G$38:$G$41 + MMULT($I$38:$L$41,TRANSPOSE(AC465:AF465)))</f>
        <v>1.3328881175766061</v>
      </c>
      <c r="AI465" s="62">
        <f ca="1"/>
        <v>1.1395111856746454</v>
      </c>
      <c r="AJ465" s="62">
        <f ca="1"/>
        <v>1.0529021303128208</v>
      </c>
      <c r="AK465" s="62">
        <f ca="1"/>
        <v>1.0455169814087495</v>
      </c>
      <c r="AL465" s="66" t="str">
        <f t="array" ref="AL465">IF($AB465, Push(MINVERSE(MMULT($I$38:$L$41,MMULT(Fetch(AG465),TRANSPOSE($I$38:$L$41))) + $N$38:$Q$41)), "")</f>
        <v/>
      </c>
      <c r="AM465" s="62">
        <f t="array" aca="1" ref="AM465:AP465" ca="1">X465:AA465 - AH465:AK465</f>
        <v>-0.80289590949637413</v>
      </c>
      <c r="AN465" s="62">
        <f ca="1"/>
        <v>0.47265217276359528</v>
      </c>
      <c r="AO465" s="62">
        <f ca="1"/>
        <v>-0.88651955222197265</v>
      </c>
      <c r="AP465" s="62">
        <f ca="1"/>
        <v>0.51489394372804043</v>
      </c>
      <c r="AQ465" s="66" t="str">
        <f t="array" ref="AQ465">IF($AB465, Push(MMULT(Fetch(AG465),MMULT(TRANSPOSE($I$38:$L$41),Fetch(AL465)))), "")</f>
        <v/>
      </c>
      <c r="AR465" s="62">
        <f t="array" aca="1" ref="AR465:AU465" ca="1">AC465:AF465 + TRANSPOSE(MMULT(IF($AB465,Fetch(AQ465),$L$61:$O$64),TRANSPOSE(AM465:AP465)))</f>
        <v>0.48438142703613163</v>
      </c>
      <c r="AS465" s="62">
        <f ca="1"/>
        <v>1.5334549761171639</v>
      </c>
      <c r="AT465" s="62">
        <f ca="1"/>
        <v>0.81923239870082454</v>
      </c>
      <c r="AU465" s="62">
        <f ca="1"/>
        <v>0.89622821848625767</v>
      </c>
      <c r="AV465" s="66" t="str">
        <f t="array" ref="AV465">IF($AB465, Push(Fetch(AG465) - MMULT(Fetch(AQ465),MMULT($I$38:$L$41,Fetch(AG465)))), "")</f>
        <v/>
      </c>
      <c r="AW465" s="97">
        <f t="array" aca="1" ref="AW465" ca="1">IF($AB465,LN(MDETERM(Fetch(AL465))),$J$65)   -   MMULT(AM465:AP465,MMULT(IF($AB465,Fetch(AL465),$G$61:$J$64),TRANSPOSE(AM465:AP465)))</f>
        <v>-9.9630120368826613</v>
      </c>
    </row>
    <row r="466" spans="23:49" x14ac:dyDescent="0.15">
      <c r="W466" s="12">
        <f t="shared" si="14"/>
        <v>463</v>
      </c>
      <c r="X466" s="62">
        <f t="array" aca="1" ref="X466:AA466" ca="1">simulate!AE466:AH466</f>
        <v>1.2227146045620947</v>
      </c>
      <c r="Y466" s="62">
        <f ca="1"/>
        <v>1.0150631242238095</v>
      </c>
      <c r="Z466" s="62">
        <f ca="1"/>
        <v>1.0879401690068475</v>
      </c>
      <c r="AA466" s="62">
        <f ca="1"/>
        <v>1.1053775455013559</v>
      </c>
      <c r="AB466" s="98">
        <f t="shared" si="15"/>
        <v>0</v>
      </c>
      <c r="AC466" s="62">
        <f t="array" aca="1" ref="AC466:AF466" ca="1">TRANSPOSE($G$44:$G$47 + MMULT($I$44:$L$47,TRANSPOSE(AR465:AU465)))</f>
        <v>0.86393126400173315</v>
      </c>
      <c r="AD466" s="62">
        <f ca="1"/>
        <v>1.1437203277661727</v>
      </c>
      <c r="AE466" s="62">
        <f ca="1"/>
        <v>0.96075800035963532</v>
      </c>
      <c r="AF466" s="62">
        <f ca="1"/>
        <v>0.94620412832928946</v>
      </c>
      <c r="AG466" s="66" t="str">
        <f t="array" ref="AG466">IF($AB466, Push(MMULT($I$44:$L$47,MMULT(Fetch(AV465),TRANSPOSE($I$44:$L$47))) + $N$44:$Q$47), "")</f>
        <v/>
      </c>
      <c r="AH466" s="62">
        <f t="array" aca="1" ref="AH466:AK466" ca="1">TRANSPOSE($G$38:$G$41 + MMULT($I$38:$L$41,TRANSPOSE(AC466:AF466)))</f>
        <v>1.1625246328741892</v>
      </c>
      <c r="AI466" s="62">
        <f ca="1"/>
        <v>1.2947942621060635</v>
      </c>
      <c r="AJ466" s="62">
        <f ca="1"/>
        <v>0.7317012244635126</v>
      </c>
      <c r="AK466" s="62">
        <f ca="1"/>
        <v>1.1816467959216093</v>
      </c>
      <c r="AL466" s="66" t="str">
        <f t="array" ref="AL466">IF($AB466, Push(MINVERSE(MMULT($I$38:$L$41,MMULT(Fetch(AG466),TRANSPOSE($I$38:$L$41))) + $N$38:$Q$41)), "")</f>
        <v/>
      </c>
      <c r="AM466" s="62">
        <f t="array" aca="1" ref="AM466:AP466" ca="1">X466:AA466 - AH466:AK466</f>
        <v>6.0189971687905519E-2</v>
      </c>
      <c r="AN466" s="62">
        <f ca="1"/>
        <v>-0.27973113788225401</v>
      </c>
      <c r="AO466" s="62">
        <f ca="1"/>
        <v>0.35623894454333493</v>
      </c>
      <c r="AP466" s="62">
        <f ca="1"/>
        <v>-7.6269250420253343E-2</v>
      </c>
      <c r="AQ466" s="66" t="str">
        <f t="array" ref="AQ466">IF($AB466, Push(MMULT(Fetch(AG466),MMULT(TRANSPOSE($I$38:$L$41),Fetch(AL466)))), "")</f>
        <v/>
      </c>
      <c r="AR466" s="62">
        <f t="array" aca="1" ref="AR466:AU466" ca="1">AC466:AF466 + TRANSPOSE(MMULT(IF($AB466,Fetch(AQ466),$L$61:$O$64),TRANSPOSE(AM466:AP466)))</f>
        <v>0.95395743577441672</v>
      </c>
      <c r="AS466" s="62">
        <f ca="1"/>
        <v>0.88381811682498734</v>
      </c>
      <c r="AT466" s="62">
        <f ca="1"/>
        <v>1.0277305339469349</v>
      </c>
      <c r="AU466" s="62">
        <f ca="1"/>
        <v>1.0629807383069987</v>
      </c>
      <c r="AV466" s="66" t="str">
        <f t="array" ref="AV466">IF($AB466, Push(Fetch(AG466) - MMULT(Fetch(AQ466),MMULT($I$38:$L$41,Fetch(AG466)))), "")</f>
        <v/>
      </c>
      <c r="AW466" s="97">
        <f t="array" aca="1" ref="AW466" ca="1">IF($AB466,LN(MDETERM(Fetch(AL466))),$J$65)   -   MMULT(AM466:AP466,MMULT(IF($AB466,Fetch(AL466),$G$61:$J$64),TRANSPOSE(AM466:AP466)))</f>
        <v>6.3121082330835572</v>
      </c>
    </row>
    <row r="467" spans="23:49" x14ac:dyDescent="0.15">
      <c r="W467" s="12">
        <f t="shared" si="14"/>
        <v>464</v>
      </c>
      <c r="X467" s="62">
        <f t="array" aca="1" ref="X467:AA467" ca="1">simulate!AE467:AH467</f>
        <v>0.4445682026465308</v>
      </c>
      <c r="Y467" s="62">
        <f ca="1"/>
        <v>0.71566572627844982</v>
      </c>
      <c r="Z467" s="62">
        <f ca="1"/>
        <v>1.626872714489259</v>
      </c>
      <c r="AA467" s="62">
        <f ca="1"/>
        <v>0.4199961596732924</v>
      </c>
      <c r="AB467" s="98">
        <f t="shared" si="15"/>
        <v>0</v>
      </c>
      <c r="AC467" s="62">
        <f t="array" aca="1" ref="AC467:AF467" ca="1">TRANSPOSE($G$44:$G$47 + MMULT($I$44:$L$47,TRANSPOSE(AR466:AU466)))</f>
        <v>1.0442519083329065</v>
      </c>
      <c r="AD467" s="62">
        <f ca="1"/>
        <v>0.9118340258379678</v>
      </c>
      <c r="AE467" s="62">
        <f ca="1"/>
        <v>1.0259917872048812</v>
      </c>
      <c r="AF467" s="62">
        <f ca="1"/>
        <v>1.0464368843951304</v>
      </c>
      <c r="AG467" s="66" t="str">
        <f t="array" ref="AG467">IF($AB467, Push(MMULT($I$44:$L$47,MMULT(Fetch(AV466),TRANSPOSE($I$44:$L$47))) + $N$44:$Q$47), "")</f>
        <v/>
      </c>
      <c r="AH467" s="62">
        <f t="array" aca="1" ref="AH467:AK467" ca="1">TRANSPOSE($G$38:$G$41 + MMULT($I$38:$L$41,TRANSPOSE(AC467:AF467)))</f>
        <v>1.3168093900467905</v>
      </c>
      <c r="AI467" s="62">
        <f ca="1"/>
        <v>1.1624910885359796</v>
      </c>
      <c r="AJ467" s="62">
        <f ca="1"/>
        <v>0.96714299970108542</v>
      </c>
      <c r="AK467" s="62">
        <f ca="1"/>
        <v>1.1196137517505425</v>
      </c>
      <c r="AL467" s="66" t="str">
        <f t="array" ref="AL467">IF($AB467, Push(MINVERSE(MMULT($I$38:$L$41,MMULT(Fetch(AG467),TRANSPOSE($I$38:$L$41))) + $N$38:$Q$41)), "")</f>
        <v/>
      </c>
      <c r="AM467" s="62">
        <f t="array" aca="1" ref="AM467:AP467" ca="1">X467:AA467 - AH467:AK467</f>
        <v>-0.8722411874002598</v>
      </c>
      <c r="AN467" s="62">
        <f ca="1"/>
        <v>-0.44682536225752978</v>
      </c>
      <c r="AO467" s="62">
        <f ca="1"/>
        <v>0.65972971478817355</v>
      </c>
      <c r="AP467" s="62">
        <f ca="1"/>
        <v>-0.69961759207725005</v>
      </c>
      <c r="AQ467" s="66" t="str">
        <f t="array" ref="AQ467">IF($AB467, Push(MMULT(Fetch(AG467),MMULT(TRANSPOSE($I$38:$L$41),Fetch(AL467)))), "")</f>
        <v/>
      </c>
      <c r="AR467" s="62">
        <f t="array" aca="1" ref="AR467:AU467" ca="1">AC467:AF467 + TRANSPOSE(MMULT(IF($AB467,Fetch(AQ467),$L$61:$O$64),TRANSPOSE(AM467:AP467)))</f>
        <v>0.89961571235133253</v>
      </c>
      <c r="AS467" s="62">
        <f ca="1"/>
        <v>0.53188684943021913</v>
      </c>
      <c r="AT467" s="62">
        <f ca="1"/>
        <v>0.41631779217946641</v>
      </c>
      <c r="AU467" s="62">
        <f ca="1"/>
        <v>1.0646851524498855</v>
      </c>
      <c r="AV467" s="66" t="str">
        <f t="array" ref="AV467">IF($AB467, Push(Fetch(AG467) - MMULT(Fetch(AQ467),MMULT($I$38:$L$41,Fetch(AG467)))), "")</f>
        <v/>
      </c>
      <c r="AW467" s="97">
        <f t="array" aca="1" ref="AW467" ca="1">IF($AB467,LN(MDETERM(Fetch(AL467))),$J$65)   -   MMULT(AM467:AP467,MMULT(IF($AB467,Fetch(AL467),$G$61:$J$64),TRANSPOSE(AM467:AP467)))</f>
        <v>-0.36372944105730731</v>
      </c>
    </row>
    <row r="468" spans="23:49" x14ac:dyDescent="0.15">
      <c r="W468" s="12">
        <f t="shared" si="14"/>
        <v>465</v>
      </c>
      <c r="X468" s="62">
        <f t="array" aca="1" ref="X468:AA468" ca="1">simulate!AE468:AH468</f>
        <v>1.6952285426112965</v>
      </c>
      <c r="Y468" s="62">
        <f ca="1"/>
        <v>1.3993322213258841</v>
      </c>
      <c r="Z468" s="62">
        <f ca="1"/>
        <v>1.0891972013977762</v>
      </c>
      <c r="AA468" s="62">
        <f ca="1"/>
        <v>0.83810466862019806</v>
      </c>
      <c r="AB468" s="98">
        <f t="shared" si="15"/>
        <v>0</v>
      </c>
      <c r="AC468" s="62">
        <f t="array" aca="1" ref="AC468:AF468" ca="1">TRANSPOSE($G$44:$G$47 + MMULT($I$44:$L$47,TRANSPOSE(AR467:AU467)))</f>
        <v>0.9193798923392329</v>
      </c>
      <c r="AD468" s="62">
        <f ca="1"/>
        <v>0.62257953882823258</v>
      </c>
      <c r="AE468" s="62">
        <f ca="1"/>
        <v>0.63502775329619032</v>
      </c>
      <c r="AF468" s="62">
        <f ca="1"/>
        <v>0.92042543832217816</v>
      </c>
      <c r="AG468" s="66" t="str">
        <f t="array" ref="AG468">IF($AB468, Push(MMULT($I$44:$L$47,MMULT(Fetch(AV467),TRANSPOSE($I$44:$L$47))) + $N$44:$Q$47), "")</f>
        <v/>
      </c>
      <c r="AH468" s="62">
        <f t="array" aca="1" ref="AH468:AK468" ca="1">TRANSPOSE($G$38:$G$41 + MMULT($I$38:$L$41,TRANSPOSE(AC468:AF468)))</f>
        <v>1.03001827085403</v>
      </c>
      <c r="AI468" s="62">
        <f ca="1"/>
        <v>0.93940631416299902</v>
      </c>
      <c r="AJ468" s="62">
        <f ca="1"/>
        <v>0.9598589477272077</v>
      </c>
      <c r="AK468" s="62">
        <f ca="1"/>
        <v>0.75093513972225989</v>
      </c>
      <c r="AL468" s="66" t="str">
        <f t="array" ref="AL468">IF($AB468, Push(MINVERSE(MMULT($I$38:$L$41,MMULT(Fetch(AG468),TRANSPOSE($I$38:$L$41))) + $N$38:$Q$41)), "")</f>
        <v/>
      </c>
      <c r="AM468" s="62">
        <f t="array" aca="1" ref="AM468:AP468" ca="1">X468:AA468 - AH468:AK468</f>
        <v>0.66521027175726655</v>
      </c>
      <c r="AN468" s="62">
        <f ca="1"/>
        <v>0.45992590716288506</v>
      </c>
      <c r="AO468" s="62">
        <f ca="1"/>
        <v>0.1293382536705685</v>
      </c>
      <c r="AP468" s="62">
        <f ca="1"/>
        <v>8.7169528897938164E-2</v>
      </c>
      <c r="AQ468" s="66" t="str">
        <f t="array" ref="AQ468">IF($AB468, Push(MMULT(Fetch(AG468),MMULT(TRANSPOSE($I$38:$L$41),Fetch(AL468)))), "")</f>
        <v/>
      </c>
      <c r="AR468" s="62">
        <f t="array" aca="1" ref="AR468:AU468" ca="1">AC468:AF468 + TRANSPOSE(MMULT(IF($AB468,Fetch(AQ468),$L$61:$O$64),TRANSPOSE(AM468:AP468)))</f>
        <v>1.3071704421990724</v>
      </c>
      <c r="AS468" s="62">
        <f ca="1"/>
        <v>0.75908745725673488</v>
      </c>
      <c r="AT468" s="62">
        <f ca="1"/>
        <v>0.89773000169579309</v>
      </c>
      <c r="AU468" s="62">
        <f ca="1"/>
        <v>1.0091954828798158</v>
      </c>
      <c r="AV468" s="66" t="str">
        <f t="array" ref="AV468">IF($AB468, Push(Fetch(AG468) - MMULT(Fetch(AQ468),MMULT($I$38:$L$41,Fetch(AG468)))), "")</f>
        <v/>
      </c>
      <c r="AW468" s="97">
        <f t="array" aca="1" ref="AW468" ca="1">IF($AB468,LN(MDETERM(Fetch(AL468))),$J$65)   -   MMULT(AM468:AP468,MMULT(IF($AB468,Fetch(AL468),$G$61:$J$64),TRANSPOSE(AM468:AP468)))</f>
        <v>4.3313308710913176</v>
      </c>
    </row>
    <row r="469" spans="23:49" x14ac:dyDescent="0.15">
      <c r="W469" s="12">
        <f t="shared" si="14"/>
        <v>466</v>
      </c>
      <c r="X469" s="62">
        <f t="array" aca="1" ref="X469:AA469" ca="1">simulate!AE469:AH469</f>
        <v>0.46121082551268894</v>
      </c>
      <c r="Y469" s="62">
        <f ca="1"/>
        <v>1.07842499126266</v>
      </c>
      <c r="Z469" s="62">
        <f ca="1"/>
        <v>0.6627543258393388</v>
      </c>
      <c r="AA469" s="62">
        <f ca="1"/>
        <v>0.24336435442515658</v>
      </c>
      <c r="AB469" s="98">
        <f t="shared" si="15"/>
        <v>0</v>
      </c>
      <c r="AC469" s="62">
        <f t="array" aca="1" ref="AC469:AF469" ca="1">TRANSPOSE($G$44:$G$47 + MMULT($I$44:$L$47,TRANSPOSE(AR468:AU468)))</f>
        <v>1.2047156938074413</v>
      </c>
      <c r="AD469" s="62">
        <f ca="1"/>
        <v>0.87875013002501645</v>
      </c>
      <c r="AE469" s="62">
        <f ca="1"/>
        <v>0.95271379854215066</v>
      </c>
      <c r="AF469" s="62">
        <f ca="1"/>
        <v>1.0043770657170505</v>
      </c>
      <c r="AG469" s="66" t="str">
        <f t="array" ref="AG469">IF($AB469, Push(MMULT($I$44:$L$47,MMULT(Fetch(AV468),TRANSPOSE($I$44:$L$47))) + $N$44:$Q$47), "")</f>
        <v/>
      </c>
      <c r="AH469" s="62">
        <f t="array" aca="1" ref="AH469:AK469" ca="1">TRANSPOSE($G$38:$G$41 + MMULT($I$38:$L$41,TRANSPOSE(AC469:AF469)))</f>
        <v>1.3987192360278786</v>
      </c>
      <c r="AI469" s="62">
        <f ca="1"/>
        <v>1.2034908895106027</v>
      </c>
      <c r="AJ469" s="62">
        <f ca="1"/>
        <v>1.0134324791988345</v>
      </c>
      <c r="AK469" s="62">
        <f ca="1"/>
        <v>0.96648328410973883</v>
      </c>
      <c r="AL469" s="66" t="str">
        <f t="array" ref="AL469">IF($AB469, Push(MINVERSE(MMULT($I$38:$L$41,MMULT(Fetch(AG469),TRANSPOSE($I$38:$L$41))) + $N$38:$Q$41)), "")</f>
        <v/>
      </c>
      <c r="AM469" s="62">
        <f t="array" aca="1" ref="AM469:AP469" ca="1">X469:AA469 - AH469:AK469</f>
        <v>-0.93750841051518963</v>
      </c>
      <c r="AN469" s="62">
        <f ca="1"/>
        <v>-0.12506589824794268</v>
      </c>
      <c r="AO469" s="62">
        <f ca="1"/>
        <v>-0.3506781533594957</v>
      </c>
      <c r="AP469" s="62">
        <f ca="1"/>
        <v>-0.72311892968458225</v>
      </c>
      <c r="AQ469" s="66" t="str">
        <f t="array" ref="AQ469">IF($AB469, Push(MMULT(Fetch(AG469),MMULT(TRANSPOSE($I$38:$L$41),Fetch(AL469)))), "")</f>
        <v/>
      </c>
      <c r="AR469" s="62">
        <f t="array" aca="1" ref="AR469:AU469" ca="1">AC469:AF469 + TRANSPOSE(MMULT(IF($AB469,Fetch(AQ469),$L$61:$O$64),TRANSPOSE(AM469:AP469)))</f>
        <v>0.83262794236884718</v>
      </c>
      <c r="AS469" s="62">
        <f ca="1"/>
        <v>0.90092838879050741</v>
      </c>
      <c r="AT469" s="62">
        <f ca="1"/>
        <v>9.2777804192092028E-2</v>
      </c>
      <c r="AU469" s="62">
        <f ca="1"/>
        <v>0.60477155609481148</v>
      </c>
      <c r="AV469" s="66" t="str">
        <f t="array" ref="AV469">IF($AB469, Push(Fetch(AG469) - MMULT(Fetch(AQ469),MMULT($I$38:$L$41,Fetch(AG469)))), "")</f>
        <v/>
      </c>
      <c r="AW469" s="97">
        <f t="array" aca="1" ref="AW469" ca="1">IF($AB469,LN(MDETERM(Fetch(AL469))),$J$65)   -   MMULT(AM469:AP469,MMULT(IF($AB469,Fetch(AL469),$G$61:$J$64),TRANSPOSE(AM469:AP469)))</f>
        <v>1.5341847080549096</v>
      </c>
    </row>
    <row r="470" spans="23:49" x14ac:dyDescent="0.15">
      <c r="W470" s="12">
        <f t="shared" si="14"/>
        <v>467</v>
      </c>
      <c r="X470" s="62">
        <f t="array" aca="1" ref="X470:AA470" ca="1">simulate!AE470:AH470</f>
        <v>0.9549124604121364</v>
      </c>
      <c r="Y470" s="62">
        <f ca="1"/>
        <v>0.13416503200994384</v>
      </c>
      <c r="Z470" s="62">
        <f ca="1"/>
        <v>0.88576559885138195</v>
      </c>
      <c r="AA470" s="62">
        <f ca="1"/>
        <v>1.2987453510232805</v>
      </c>
      <c r="AB470" s="98">
        <f t="shared" si="15"/>
        <v>0</v>
      </c>
      <c r="AC470" s="62">
        <f t="array" aca="1" ref="AC470:AF470" ca="1">TRANSPOSE($G$44:$G$47 + MMULT($I$44:$L$47,TRANSPOSE(AR469:AU469)))</f>
        <v>0.89268420884927635</v>
      </c>
      <c r="AD470" s="62">
        <f ca="1"/>
        <v>0.73039403339938314</v>
      </c>
      <c r="AE470" s="62">
        <f ca="1"/>
        <v>0.44737783494981243</v>
      </c>
      <c r="AF470" s="62">
        <f ca="1"/>
        <v>0.64255845590251082</v>
      </c>
      <c r="AG470" s="66" t="str">
        <f t="array" ref="AG470">IF($AB470, Push(MMULT($I$44:$L$47,MMULT(Fetch(AV469),TRANSPOSE($I$44:$L$47))) + $N$44:$Q$47), "")</f>
        <v/>
      </c>
      <c r="AH470" s="62">
        <f t="array" aca="1" ref="AH470:AK470" ca="1">TRANSPOSE($G$38:$G$41 + MMULT($I$38:$L$41,TRANSPOSE(AC470:AF470)))</f>
        <v>0.96489028368809215</v>
      </c>
      <c r="AI470" s="62">
        <f ca="1"/>
        <v>1.0168111412927647</v>
      </c>
      <c r="AJ470" s="62">
        <f ca="1"/>
        <v>0.69395945563317496</v>
      </c>
      <c r="AK470" s="62">
        <f ca="1"/>
        <v>0.54159456873826906</v>
      </c>
      <c r="AL470" s="66" t="str">
        <f t="array" ref="AL470">IF($AB470, Push(MINVERSE(MMULT($I$38:$L$41,MMULT(Fetch(AG470),TRANSPOSE($I$38:$L$41))) + $N$38:$Q$41)), "")</f>
        <v/>
      </c>
      <c r="AM470" s="62">
        <f t="array" aca="1" ref="AM470:AP470" ca="1">X470:AA470 - AH470:AK470</f>
        <v>-9.977823275955755E-3</v>
      </c>
      <c r="AN470" s="62">
        <f ca="1"/>
        <v>-0.88264610928282083</v>
      </c>
      <c r="AO470" s="62">
        <f ca="1"/>
        <v>0.19180614321820699</v>
      </c>
      <c r="AP470" s="62">
        <f ca="1"/>
        <v>0.75715078228501143</v>
      </c>
      <c r="AQ470" s="66" t="str">
        <f t="array" ref="AQ470">IF($AB470, Push(MMULT(Fetch(AG470),MMULT(TRANSPOSE($I$38:$L$41),Fetch(AL470)))), "")</f>
        <v/>
      </c>
      <c r="AR470" s="62">
        <f t="array" aca="1" ref="AR470:AU470" ca="1">AC470:AF470 + TRANSPOSE(MMULT(IF($AB470,Fetch(AQ470),$L$61:$O$64),TRANSPOSE(AM470:AP470)))</f>
        <v>0.62802115559257965</v>
      </c>
      <c r="AS470" s="62">
        <f ca="1"/>
        <v>0.33872188061899139</v>
      </c>
      <c r="AT470" s="62">
        <f ca="1"/>
        <v>1.0860232349839267</v>
      </c>
      <c r="AU470" s="62">
        <f ca="1"/>
        <v>0.9788093574435609</v>
      </c>
      <c r="AV470" s="66" t="str">
        <f t="array" ref="AV470">IF($AB470, Push(Fetch(AG470) - MMULT(Fetch(AQ470),MMULT($I$38:$L$41,Fetch(AG470)))), "")</f>
        <v/>
      </c>
      <c r="AW470" s="97">
        <f t="array" aca="1" ref="AW470" ca="1">IF($AB470,LN(MDETERM(Fetch(AL470))),$J$65)   -   MMULT(AM470:AP470,MMULT(IF($AB470,Fetch(AL470),$G$61:$J$64),TRANSPOSE(AM470:AP470)))</f>
        <v>-0.65433898998065754</v>
      </c>
    </row>
    <row r="471" spans="23:49" x14ac:dyDescent="0.15">
      <c r="W471" s="12">
        <f t="shared" si="14"/>
        <v>468</v>
      </c>
      <c r="X471" s="62">
        <f t="array" aca="1" ref="X471:AA471" ca="1">simulate!AE471:AH471</f>
        <v>1.5743901720262081</v>
      </c>
      <c r="Y471" s="62">
        <f ca="1"/>
        <v>0.57724572416054087</v>
      </c>
      <c r="Z471" s="62">
        <f ca="1"/>
        <v>1.78476745807852</v>
      </c>
      <c r="AA471" s="62">
        <f ca="1"/>
        <v>1.0797819961216346</v>
      </c>
      <c r="AB471" s="98">
        <f t="shared" si="15"/>
        <v>0</v>
      </c>
      <c r="AC471" s="62">
        <f t="array" aca="1" ref="AC471:AF471" ca="1">TRANSPOSE($G$44:$G$47 + MMULT($I$44:$L$47,TRANSPOSE(AR470:AU470)))</f>
        <v>0.7876570765085571</v>
      </c>
      <c r="AD471" s="62">
        <f ca="1"/>
        <v>0.56715758544552963</v>
      </c>
      <c r="AE471" s="62">
        <f ca="1"/>
        <v>0.93331459020827112</v>
      </c>
      <c r="AF471" s="62">
        <f ca="1"/>
        <v>0.95597742228178761</v>
      </c>
      <c r="AG471" s="66" t="str">
        <f t="array" ref="AG471">IF($AB471, Push(MMULT($I$44:$L$47,MMULT(Fetch(AV470),TRANSPOSE($I$44:$L$47))) + $N$44:$Q$47), "")</f>
        <v/>
      </c>
      <c r="AH471" s="62">
        <f t="array" aca="1" ref="AH471:AK471" ca="1">TRANSPOSE($G$38:$G$41 + MMULT($I$38:$L$41,TRANSPOSE(AC471:AF471)))</f>
        <v>1.118321731530086</v>
      </c>
      <c r="AI471" s="62">
        <f ca="1"/>
        <v>0.77314270028461918</v>
      </c>
      <c r="AJ471" s="62">
        <f ca="1"/>
        <v>0.93193265559106719</v>
      </c>
      <c r="AK471" s="62">
        <f ca="1"/>
        <v>1.0237730137534413</v>
      </c>
      <c r="AL471" s="66" t="str">
        <f t="array" ref="AL471">IF($AB471, Push(MINVERSE(MMULT($I$38:$L$41,MMULT(Fetch(AG471),TRANSPOSE($I$38:$L$41))) + $N$38:$Q$41)), "")</f>
        <v/>
      </c>
      <c r="AM471" s="62">
        <f t="array" aca="1" ref="AM471:AP471" ca="1">X471:AA471 - AH471:AK471</f>
        <v>0.45606844049612216</v>
      </c>
      <c r="AN471" s="62">
        <f ca="1"/>
        <v>-0.1958969761240783</v>
      </c>
      <c r="AO471" s="62">
        <f ca="1"/>
        <v>0.8528348024874528</v>
      </c>
      <c r="AP471" s="62">
        <f ca="1"/>
        <v>5.6008982368193294E-2</v>
      </c>
      <c r="AQ471" s="66" t="str">
        <f t="array" ref="AQ471">IF($AB471, Push(MMULT(Fetch(AG471),MMULT(TRANSPOSE($I$38:$L$41),Fetch(AL471)))), "")</f>
        <v/>
      </c>
      <c r="AR471" s="62">
        <f t="array" aca="1" ref="AR471:AU471" ca="1">AC471:AF471 + TRANSPOSE(MMULT(IF($AB471,Fetch(AQ471),$L$61:$O$64),TRANSPOSE(AM471:AP471)))</f>
        <v>1.1659193815197353</v>
      </c>
      <c r="AS471" s="62">
        <f ca="1"/>
        <v>0.20815460488351772</v>
      </c>
      <c r="AT471" s="62">
        <f ca="1"/>
        <v>1.3043396417868465</v>
      </c>
      <c r="AU471" s="62">
        <f ca="1"/>
        <v>1.3232864579637615</v>
      </c>
      <c r="AV471" s="66" t="str">
        <f t="array" ref="AV471">IF($AB471, Push(Fetch(AG471) - MMULT(Fetch(AQ471),MMULT($I$38:$L$41,Fetch(AG471)))), "")</f>
        <v/>
      </c>
      <c r="AW471" s="97">
        <f t="array" aca="1" ref="AW471" ca="1">IF($AB471,LN(MDETERM(Fetch(AL471))),$J$65)   -   MMULT(AM471:AP471,MMULT(IF($AB471,Fetch(AL471),$G$61:$J$64),TRANSPOSE(AM471:AP471)))</f>
        <v>2.8616256230366917</v>
      </c>
    </row>
    <row r="472" spans="23:49" x14ac:dyDescent="0.15">
      <c r="W472" s="12">
        <f t="shared" si="14"/>
        <v>469</v>
      </c>
      <c r="X472" s="62">
        <f t="array" aca="1" ref="X472:AA472" ca="1">simulate!AE472:AH472</f>
        <v>0.99539496969200769</v>
      </c>
      <c r="Y472" s="62">
        <f ca="1"/>
        <v>0.86817494574891541</v>
      </c>
      <c r="Z472" s="62">
        <f ca="1"/>
        <v>1.6125458723479489</v>
      </c>
      <c r="AA472" s="62">
        <f ca="1"/>
        <v>1.2301110208337607</v>
      </c>
      <c r="AB472" s="98">
        <f t="shared" si="15"/>
        <v>0</v>
      </c>
      <c r="AC472" s="62">
        <f t="array" aca="1" ref="AC472:AF472" ca="1">TRANSPOSE($G$44:$G$47 + MMULT($I$44:$L$47,TRANSPOSE(AR471:AU471)))</f>
        <v>1.0909341315154248</v>
      </c>
      <c r="AD472" s="62">
        <f ca="1"/>
        <v>0.64080453288472494</v>
      </c>
      <c r="AE472" s="62">
        <f ca="1"/>
        <v>1.119292053677462</v>
      </c>
      <c r="AF472" s="62">
        <f ca="1"/>
        <v>1.1940213623169957</v>
      </c>
      <c r="AG472" s="66" t="str">
        <f t="array" ref="AG472">IF($AB472, Push(MMULT($I$44:$L$47,MMULT(Fetch(AV471),TRANSPOSE($I$44:$L$47))) + $N$44:$Q$47), "")</f>
        <v/>
      </c>
      <c r="AH472" s="62">
        <f t="array" aca="1" ref="AH472:AK472" ca="1">TRANSPOSE($G$38:$G$41 + MMULT($I$38:$L$41,TRANSPOSE(AC472:AF472)))</f>
        <v>1.3819485518416321</v>
      </c>
      <c r="AI472" s="62">
        <f ca="1"/>
        <v>0.94877425956001138</v>
      </c>
      <c r="AJ472" s="62">
        <f ca="1"/>
        <v>1.2027266741809559</v>
      </c>
      <c r="AK472" s="62">
        <f ca="1"/>
        <v>1.1461594254237266</v>
      </c>
      <c r="AL472" s="66" t="str">
        <f t="array" ref="AL472">IF($AB472, Push(MINVERSE(MMULT($I$38:$L$41,MMULT(Fetch(AG472),TRANSPOSE($I$38:$L$41))) + $N$38:$Q$41)), "")</f>
        <v/>
      </c>
      <c r="AM472" s="62">
        <f t="array" aca="1" ref="AM472:AP472" ca="1">X472:AA472 - AH472:AK472</f>
        <v>-0.38655358214962443</v>
      </c>
      <c r="AN472" s="62">
        <f ca="1"/>
        <v>-8.0599313811095974E-2</v>
      </c>
      <c r="AO472" s="62">
        <f ca="1"/>
        <v>0.40981919816699297</v>
      </c>
      <c r="AP472" s="62">
        <f ca="1"/>
        <v>8.3951595410034052E-2</v>
      </c>
      <c r="AQ472" s="66" t="str">
        <f t="array" ref="AQ472">IF($AB472, Push(MMULT(Fetch(AG472),MMULT(TRANSPOSE($I$38:$L$41),Fetch(AL472)))), "")</f>
        <v/>
      </c>
      <c r="AR472" s="62">
        <f t="array" aca="1" ref="AR472:AU472" ca="1">AC472:AF472 + TRANSPOSE(MMULT(IF($AB472,Fetch(AQ472),$L$61:$O$64),TRANSPOSE(AM472:AP472)))</f>
        <v>0.98629222672666383</v>
      </c>
      <c r="AS472" s="62">
        <f ca="1"/>
        <v>0.59298609048203366</v>
      </c>
      <c r="AT472" s="62">
        <f ca="1"/>
        <v>1.1136638840122703</v>
      </c>
      <c r="AU472" s="62">
        <f ca="1"/>
        <v>1.3883245224102585</v>
      </c>
      <c r="AV472" s="66" t="str">
        <f t="array" ref="AV472">IF($AB472, Push(Fetch(AG472) - MMULT(Fetch(AQ472),MMULT($I$38:$L$41,Fetch(AG472)))), "")</f>
        <v/>
      </c>
      <c r="AW472" s="97">
        <f t="array" aca="1" ref="AW472" ca="1">IF($AB472,LN(MDETERM(Fetch(AL472))),$J$65)   -   MMULT(AM472:AP472,MMULT(IF($AB472,Fetch(AL472),$G$61:$J$64),TRANSPOSE(AM472:AP472)))</f>
        <v>4.7883402945138114</v>
      </c>
    </row>
    <row r="473" spans="23:49" x14ac:dyDescent="0.15">
      <c r="W473" s="12">
        <f t="shared" si="14"/>
        <v>470</v>
      </c>
      <c r="X473" s="62">
        <f t="array" aca="1" ref="X473:AA473" ca="1">simulate!AE473:AH473</f>
        <v>1.5022889870676459</v>
      </c>
      <c r="Y473" s="62">
        <f ca="1"/>
        <v>1.5214883676502304</v>
      </c>
      <c r="Z473" s="62">
        <f ca="1"/>
        <v>0.65315860516919688</v>
      </c>
      <c r="AA473" s="62">
        <f ca="1"/>
        <v>0.2231809587414863</v>
      </c>
      <c r="AB473" s="98">
        <f t="shared" si="15"/>
        <v>0</v>
      </c>
      <c r="AC473" s="62">
        <f t="array" aca="1" ref="AC473:AF473" ca="1">TRANSPOSE($G$44:$G$47 + MMULT($I$44:$L$47,TRANSPOSE(AR472:AU472)))</f>
        <v>1.0404261709519491</v>
      </c>
      <c r="AD473" s="62">
        <f ca="1"/>
        <v>0.79588939996104757</v>
      </c>
      <c r="AE473" s="62">
        <f ca="1"/>
        <v>1.0756325563202174</v>
      </c>
      <c r="AF473" s="62">
        <f ca="1"/>
        <v>1.2169503397377195</v>
      </c>
      <c r="AG473" s="66" t="str">
        <f t="array" ref="AG473">IF($AB473, Push(MMULT($I$44:$L$47,MMULT(Fetch(AV472),TRANSPOSE($I$44:$L$47))) + $N$44:$Q$47), "")</f>
        <v/>
      </c>
      <c r="AH473" s="62">
        <f t="array" aca="1" ref="AH473:AK473" ca="1">TRANSPOSE($G$38:$G$41 + MMULT($I$38:$L$41,TRANSPOSE(AC473:AF473)))</f>
        <v>1.303296294143983</v>
      </c>
      <c r="AI473" s="62">
        <f ca="1"/>
        <v>1.0808792910474501</v>
      </c>
      <c r="AJ473" s="62">
        <f ca="1"/>
        <v>1.1475044519196</v>
      </c>
      <c r="AK473" s="62">
        <f ca="1"/>
        <v>1.1946037127514637</v>
      </c>
      <c r="AL473" s="66" t="str">
        <f t="array" ref="AL473">IF($AB473, Push(MINVERSE(MMULT($I$38:$L$41,MMULT(Fetch(AG473),TRANSPOSE($I$38:$L$41))) + $N$38:$Q$41)), "")</f>
        <v/>
      </c>
      <c r="AM473" s="62">
        <f t="array" aca="1" ref="AM473:AP473" ca="1">X473:AA473 - AH473:AK473</f>
        <v>0.19899269292366295</v>
      </c>
      <c r="AN473" s="62">
        <f ca="1"/>
        <v>0.44060907660278037</v>
      </c>
      <c r="AO473" s="62">
        <f ca="1"/>
        <v>-0.49434584675040316</v>
      </c>
      <c r="AP473" s="62">
        <f ca="1"/>
        <v>-0.97142275400997735</v>
      </c>
      <c r="AQ473" s="66" t="str">
        <f t="array" ref="AQ473">IF($AB473, Push(MMULT(Fetch(AG473),MMULT(TRANSPOSE($I$38:$L$41),Fetch(AL473)))), "")</f>
        <v/>
      </c>
      <c r="AR473" s="62">
        <f t="array" aca="1" ref="AR473:AU473" ca="1">AC473:AF473 + TRANSPOSE(MMULT(IF($AB473,Fetch(AQ473),$L$61:$O$64),TRANSPOSE(AM473:AP473)))</f>
        <v>1.2940412134018495</v>
      </c>
      <c r="AS473" s="62">
        <f ca="1"/>
        <v>0.92334558038795889</v>
      </c>
      <c r="AT473" s="62">
        <f ca="1"/>
        <v>0.36902995705420494</v>
      </c>
      <c r="AU473" s="62">
        <f ca="1"/>
        <v>0.68023250719611728</v>
      </c>
      <c r="AV473" s="66" t="str">
        <f t="array" ref="AV473">IF($AB473, Push(Fetch(AG473) - MMULT(Fetch(AQ473),MMULT($I$38:$L$41,Fetch(AG473)))), "")</f>
        <v/>
      </c>
      <c r="AW473" s="97">
        <f t="array" aca="1" ref="AW473" ca="1">IF($AB473,LN(MDETERM(Fetch(AL473))),$J$65)   -   MMULT(AM473:AP473,MMULT(IF($AB473,Fetch(AL473),$G$61:$J$64),TRANSPOSE(AM473:AP473)))</f>
        <v>-5.1582252659050774</v>
      </c>
    </row>
    <row r="474" spans="23:49" x14ac:dyDescent="0.15">
      <c r="W474" s="12">
        <f t="shared" si="14"/>
        <v>471</v>
      </c>
      <c r="X474" s="62">
        <f t="array" aca="1" ref="X474:AA474" ca="1">simulate!AE474:AH474</f>
        <v>2.1837970792759736</v>
      </c>
      <c r="Y474" s="62">
        <f ca="1"/>
        <v>1.6885980281374027</v>
      </c>
      <c r="Z474" s="62">
        <f ca="1"/>
        <v>-8.8380908058391938E-3</v>
      </c>
      <c r="AA474" s="62">
        <f ca="1"/>
        <v>0.69417770214708607</v>
      </c>
      <c r="AB474" s="98">
        <f t="shared" si="15"/>
        <v>0</v>
      </c>
      <c r="AC474" s="62">
        <f t="array" aca="1" ref="AC474:AF474" ca="1">TRANSPOSE($G$44:$G$47 + MMULT($I$44:$L$47,TRANSPOSE(AR473:AU473)))</f>
        <v>1.1684903708390144</v>
      </c>
      <c r="AD474" s="62">
        <f ca="1"/>
        <v>0.86367038486656866</v>
      </c>
      <c r="AE474" s="62">
        <f ca="1"/>
        <v>0.6442269342734237</v>
      </c>
      <c r="AF474" s="62">
        <f ca="1"/>
        <v>0.75193445845161078</v>
      </c>
      <c r="AG474" s="66" t="str">
        <f t="array" ref="AG474">IF($AB474, Push(MMULT($I$44:$L$47,MMULT(Fetch(AV473),TRANSPOSE($I$44:$L$47))) + $N$44:$Q$47), "")</f>
        <v/>
      </c>
      <c r="AH474" s="62">
        <f t="array" aca="1" ref="AH474:AK474" ca="1">TRANSPOSE($G$38:$G$41 + MMULT($I$38:$L$41,TRANSPOSE(AC474:AF474)))</f>
        <v>1.2492123565971993</v>
      </c>
      <c r="AI474" s="62">
        <f ca="1"/>
        <v>1.2061679493555475</v>
      </c>
      <c r="AJ474" s="62">
        <f ca="1"/>
        <v>0.82300507853809468</v>
      </c>
      <c r="AK474" s="62">
        <f ca="1"/>
        <v>0.64740802722099744</v>
      </c>
      <c r="AL474" s="66" t="str">
        <f t="array" ref="AL474">IF($AB474, Push(MINVERSE(MMULT($I$38:$L$41,MMULT(Fetch(AG474),TRANSPOSE($I$38:$L$41))) + $N$38:$Q$41)), "")</f>
        <v/>
      </c>
      <c r="AM474" s="62">
        <f t="array" aca="1" ref="AM474:AP474" ca="1">X474:AA474 - AH474:AK474</f>
        <v>0.93458472267877424</v>
      </c>
      <c r="AN474" s="62">
        <f ca="1"/>
        <v>0.48243007878185518</v>
      </c>
      <c r="AO474" s="62">
        <f ca="1"/>
        <v>-0.83184316934393387</v>
      </c>
      <c r="AP474" s="62">
        <f ca="1"/>
        <v>4.6769674926088634E-2</v>
      </c>
      <c r="AQ474" s="66" t="str">
        <f t="array" ref="AQ474">IF($AB474, Push(MMULT(Fetch(AG474),MMULT(TRANSPOSE($I$38:$L$41),Fetch(AL474)))), "")</f>
        <v/>
      </c>
      <c r="AR474" s="62">
        <f t="array" aca="1" ref="AR474:AU474" ca="1">AC474:AF474 + TRANSPOSE(MMULT(IF($AB474,Fetch(AQ474),$L$61:$O$64),TRANSPOSE(AM474:AP474)))</f>
        <v>1.4504016632612662</v>
      </c>
      <c r="AS474" s="62">
        <f ca="1"/>
        <v>1.1595527158607832</v>
      </c>
      <c r="AT474" s="62">
        <f ca="1"/>
        <v>0.81296109239574499</v>
      </c>
      <c r="AU474" s="62">
        <f ca="1"/>
        <v>0.43613366848850299</v>
      </c>
      <c r="AV474" s="66" t="str">
        <f t="array" ref="AV474">IF($AB474, Push(Fetch(AG474) - MMULT(Fetch(AQ474),MMULT($I$38:$L$41,Fetch(AG474)))), "")</f>
        <v/>
      </c>
      <c r="AW474" s="97">
        <f t="array" aca="1" ref="AW474" ca="1">IF($AB474,LN(MDETERM(Fetch(AL474))),$J$65)   -   MMULT(AM474:AP474,MMULT(IF($AB474,Fetch(AL474),$G$61:$J$64),TRANSPOSE(AM474:AP474)))</f>
        <v>-1.8161058153739056</v>
      </c>
    </row>
    <row r="475" spans="23:49" x14ac:dyDescent="0.15">
      <c r="W475" s="12">
        <f t="shared" si="14"/>
        <v>472</v>
      </c>
      <c r="X475" s="62">
        <f t="array" aca="1" ref="X475:AA475" ca="1">simulate!AE475:AH475</f>
        <v>0.43264803793166906</v>
      </c>
      <c r="Y475" s="62">
        <f ca="1"/>
        <v>0.6602169298501247</v>
      </c>
      <c r="Z475" s="62">
        <f ca="1"/>
        <v>1.9551634825013382</v>
      </c>
      <c r="AA475" s="62">
        <f ca="1"/>
        <v>0.92619908783705296</v>
      </c>
      <c r="AB475" s="98">
        <f t="shared" si="15"/>
        <v>0</v>
      </c>
      <c r="AC475" s="62">
        <f t="array" aca="1" ref="AC475:AF475" ca="1">TRANSPOSE($G$44:$G$47 + MMULT($I$44:$L$47,TRANSPOSE(AR474:AU474)))</f>
        <v>1.3077636030374327</v>
      </c>
      <c r="AD475" s="62">
        <f ca="1"/>
        <v>1.0649485909525322</v>
      </c>
      <c r="AE475" s="62">
        <f ca="1"/>
        <v>0.89733926724643576</v>
      </c>
      <c r="AF475" s="62">
        <f ca="1"/>
        <v>0.71650744322400217</v>
      </c>
      <c r="AG475" s="66" t="str">
        <f t="array" ref="AG475">IF($AB475, Push(MMULT($I$44:$L$47,MMULT(Fetch(AV474),TRANSPOSE($I$44:$L$47))) + $N$44:$Q$47), "")</f>
        <v/>
      </c>
      <c r="AH475" s="62">
        <f t="array" aca="1" ref="AH475:AK475" ca="1">TRANSPOSE($G$38:$G$41 + MMULT($I$38:$L$41,TRANSPOSE(AC475:AF475)))</f>
        <v>1.5092210381161142</v>
      </c>
      <c r="AI475" s="62">
        <f ca="1"/>
        <v>1.3614243488353552</v>
      </c>
      <c r="AJ475" s="62">
        <f ca="1"/>
        <v>0.74725948480139959</v>
      </c>
      <c r="AK475" s="62">
        <f ca="1"/>
        <v>0.8140946102083273</v>
      </c>
      <c r="AL475" s="66" t="str">
        <f t="array" ref="AL475">IF($AB475, Push(MINVERSE(MMULT($I$38:$L$41,MMULT(Fetch(AG475),TRANSPOSE($I$38:$L$41))) + $N$38:$Q$41)), "")</f>
        <v/>
      </c>
      <c r="AM475" s="62">
        <f t="array" aca="1" ref="AM475:AP475" ca="1">X475:AA475 - AH475:AK475</f>
        <v>-1.0765730001844451</v>
      </c>
      <c r="AN475" s="62">
        <f ca="1"/>
        <v>-0.70120741898523054</v>
      </c>
      <c r="AO475" s="62">
        <f ca="1"/>
        <v>1.2079039976999386</v>
      </c>
      <c r="AP475" s="62">
        <f ca="1"/>
        <v>0.11210447762872566</v>
      </c>
      <c r="AQ475" s="66" t="str">
        <f t="array" ref="AQ475">IF($AB475, Push(MMULT(Fetch(AG475),MMULT(TRANSPOSE($I$38:$L$41),Fetch(AL475)))), "")</f>
        <v/>
      </c>
      <c r="AR475" s="62">
        <f t="array" aca="1" ref="AR475:AU475" ca="1">AC475:AF475 + TRANSPOSE(MMULT(IF($AB475,Fetch(AQ475),$L$61:$O$64),TRANSPOSE(AM475:AP475)))</f>
        <v>0.98560611909176721</v>
      </c>
      <c r="AS475" s="62">
        <f ca="1"/>
        <v>0.62171869991381179</v>
      </c>
      <c r="AT475" s="62">
        <f ca="1"/>
        <v>0.87277179882250644</v>
      </c>
      <c r="AU475" s="62">
        <f ca="1"/>
        <v>1.2389374492925809</v>
      </c>
      <c r="AV475" s="66" t="str">
        <f t="array" ref="AV475">IF($AB475, Push(Fetch(AG475) - MMULT(Fetch(AQ475),MMULT($I$38:$L$41,Fetch(AG475)))), "")</f>
        <v/>
      </c>
      <c r="AW475" s="97">
        <f t="array" aca="1" ref="AW475" ca="1">IF($AB475,LN(MDETERM(Fetch(AL475))),$J$65)   -   MMULT(AM475:AP475,MMULT(IF($AB475,Fetch(AL475),$G$61:$J$64),TRANSPOSE(AM475:AP475)))</f>
        <v>-8.8524527391833292</v>
      </c>
    </row>
    <row r="476" spans="23:49" x14ac:dyDescent="0.15">
      <c r="W476" s="12">
        <f t="shared" si="14"/>
        <v>473</v>
      </c>
      <c r="X476" s="62">
        <f t="array" aca="1" ref="X476:AA476" ca="1">simulate!AE476:AH476</f>
        <v>1.9748878385250763</v>
      </c>
      <c r="Y476" s="62">
        <f ca="1"/>
        <v>2.0918438022306889</v>
      </c>
      <c r="Z476" s="62">
        <f ca="1"/>
        <v>0.42057949192286942</v>
      </c>
      <c r="AA476" s="62">
        <f ca="1"/>
        <v>1.5494709533500841</v>
      </c>
      <c r="AB476" s="98">
        <f t="shared" si="15"/>
        <v>0</v>
      </c>
      <c r="AC476" s="62">
        <f t="array" aca="1" ref="AC476:AF476" ca="1">TRANSPOSE($G$44:$G$47 + MMULT($I$44:$L$47,TRANSPOSE(AR475:AU475)))</f>
        <v>1.0199813293364721</v>
      </c>
      <c r="AD476" s="62">
        <f ca="1"/>
        <v>0.76501192894731929</v>
      </c>
      <c r="AE476" s="62">
        <f ca="1"/>
        <v>0.92804102699989843</v>
      </c>
      <c r="AF476" s="62">
        <f ca="1"/>
        <v>1.0991713123314593</v>
      </c>
      <c r="AG476" s="66" t="str">
        <f t="array" ref="AG476">IF($AB476, Push(MMULT($I$44:$L$47,MMULT(Fetch(AV475),TRANSPOSE($I$44:$L$47))) + $N$44:$Q$47), "")</f>
        <v/>
      </c>
      <c r="AH476" s="62">
        <f t="array" aca="1" ref="AH476:AK476" ca="1">TRANSPOSE($G$38:$G$41 + MMULT($I$38:$L$41,TRANSPOSE(AC476:AF476)))</f>
        <v>1.2299421756028708</v>
      </c>
      <c r="AI476" s="62">
        <f ca="1"/>
        <v>1.0609800048916649</v>
      </c>
      <c r="AJ476" s="62">
        <f ca="1"/>
        <v>1.0666861907433989</v>
      </c>
      <c r="AK476" s="62">
        <f ca="1"/>
        <v>1.0373835837833107</v>
      </c>
      <c r="AL476" s="66" t="str">
        <f t="array" ref="AL476">IF($AB476, Push(MINVERSE(MMULT($I$38:$L$41,MMULT(Fetch(AG476),TRANSPOSE($I$38:$L$41))) + $N$38:$Q$41)), "")</f>
        <v/>
      </c>
      <c r="AM476" s="62">
        <f t="array" aca="1" ref="AM476:AP476" ca="1">X476:AA476 - AH476:AK476</f>
        <v>0.74494566292220554</v>
      </c>
      <c r="AN476" s="62">
        <f ca="1"/>
        <v>1.030863797339024</v>
      </c>
      <c r="AO476" s="62">
        <f ca="1"/>
        <v>-0.64610669882052951</v>
      </c>
      <c r="AP476" s="62">
        <f ca="1"/>
        <v>0.51208736956677336</v>
      </c>
      <c r="AQ476" s="66" t="str">
        <f t="array" ref="AQ476">IF($AB476, Push(MMULT(Fetch(AG476),MMULT(TRANSPOSE($I$38:$L$41),Fetch(AL476)))), "")</f>
        <v/>
      </c>
      <c r="AR476" s="62">
        <f t="array" aca="1" ref="AR476:AU476" ca="1">AC476:AF476 + TRANSPOSE(MMULT(IF($AB476,Fetch(AQ476),$L$61:$O$64),TRANSPOSE(AM476:AP476)))</f>
        <v>1.2437047527734659</v>
      </c>
      <c r="AS476" s="62">
        <f ca="1"/>
        <v>1.4602348637965492</v>
      </c>
      <c r="AT476" s="62">
        <f ca="1"/>
        <v>1.2967475372252648</v>
      </c>
      <c r="AU476" s="62">
        <f ca="1"/>
        <v>1.0246302819445867</v>
      </c>
      <c r="AV476" s="66" t="str">
        <f t="array" ref="AV476">IF($AB476, Push(Fetch(AG476) - MMULT(Fetch(AQ476),MMULT($I$38:$L$41,Fetch(AG476)))), "")</f>
        <v/>
      </c>
      <c r="AW476" s="97">
        <f t="array" aca="1" ref="AW476" ca="1">IF($AB476,LN(MDETERM(Fetch(AL476))),$J$65)   -   MMULT(AM476:AP476,MMULT(IF($AB476,Fetch(AL476),$G$61:$J$64),TRANSPOSE(AM476:AP476)))</f>
        <v>-1.2619046472617725</v>
      </c>
    </row>
    <row r="477" spans="23:49" x14ac:dyDescent="0.15">
      <c r="W477" s="12">
        <f t="shared" si="14"/>
        <v>474</v>
      </c>
      <c r="X477" s="62">
        <f t="array" aca="1" ref="X477:AA477" ca="1">simulate!AE477:AH477</f>
        <v>1.066280839518797</v>
      </c>
      <c r="Y477" s="62">
        <f ca="1"/>
        <v>0.17042113958005356</v>
      </c>
      <c r="Z477" s="62">
        <f ca="1"/>
        <v>1.5943815210680079</v>
      </c>
      <c r="AA477" s="62">
        <f ca="1"/>
        <v>2.0003983267800844</v>
      </c>
      <c r="AB477" s="98">
        <f t="shared" si="15"/>
        <v>0</v>
      </c>
      <c r="AC477" s="62">
        <f t="array" aca="1" ref="AC477:AF477" ca="1">TRANSPOSE($G$44:$G$47 + MMULT($I$44:$L$47,TRANSPOSE(AR476:AU476)))</f>
        <v>1.3033483935088417</v>
      </c>
      <c r="AD477" s="62">
        <f ca="1"/>
        <v>1.3072676658016726</v>
      </c>
      <c r="AE477" s="62">
        <f ca="1"/>
        <v>1.279817658592546</v>
      </c>
      <c r="AF477" s="62">
        <f ca="1"/>
        <v>1.1243577219006151</v>
      </c>
      <c r="AG477" s="66" t="str">
        <f t="array" ref="AG477">IF($AB477, Push(MMULT($I$44:$L$47,MMULT(Fetch(AV476),TRANSPOSE($I$44:$L$47))) + $N$44:$Q$47), "")</f>
        <v/>
      </c>
      <c r="AH477" s="62">
        <f t="array" aca="1" ref="AH477:AK477" ca="1">TRANSPOSE($G$38:$G$41 + MMULT($I$38:$L$41,TRANSPOSE(AC477:AF477)))</f>
        <v>1.6204491449032388</v>
      </c>
      <c r="AI477" s="62">
        <f ca="1"/>
        <v>1.5533440113216874</v>
      </c>
      <c r="AJ477" s="62">
        <f ca="1"/>
        <v>0.95857759210794269</v>
      </c>
      <c r="AK477" s="62">
        <f ca="1"/>
        <v>1.340886226229584</v>
      </c>
      <c r="AL477" s="66" t="str">
        <f t="array" ref="AL477">IF($AB477, Push(MINVERSE(MMULT($I$38:$L$41,MMULT(Fetch(AG477),TRANSPOSE($I$38:$L$41))) + $N$38:$Q$41)), "")</f>
        <v/>
      </c>
      <c r="AM477" s="62">
        <f t="array" aca="1" ref="AM477:AP477" ca="1">X477:AA477 - AH477:AK477</f>
        <v>-0.55416830538444173</v>
      </c>
      <c r="AN477" s="62">
        <f ca="1"/>
        <v>-1.3829228717416338</v>
      </c>
      <c r="AO477" s="62">
        <f ca="1"/>
        <v>0.63580392896006521</v>
      </c>
      <c r="AP477" s="62">
        <f ca="1"/>
        <v>0.65951210055050047</v>
      </c>
      <c r="AQ477" s="66" t="str">
        <f t="array" ref="AQ477">IF($AB477, Push(MMULT(Fetch(AG477),MMULT(TRANSPOSE($I$38:$L$41),Fetch(AL477)))), "")</f>
        <v/>
      </c>
      <c r="AR477" s="62">
        <f t="array" aca="1" ref="AR477:AU477" ca="1">AC477:AF477 + TRANSPOSE(MMULT(IF($AB477,Fetch(AQ477),$L$61:$O$64),TRANSPOSE(AM477:AP477)))</f>
        <v>0.8458229506711713</v>
      </c>
      <c r="AS477" s="62">
        <f ca="1"/>
        <v>0.61266449719593297</v>
      </c>
      <c r="AT477" s="62">
        <f ca="1"/>
        <v>1.7946496742279812</v>
      </c>
      <c r="AU477" s="62">
        <f ca="1"/>
        <v>1.601932955452158</v>
      </c>
      <c r="AV477" s="66" t="str">
        <f t="array" ref="AV477">IF($AB477, Push(Fetch(AG477) - MMULT(Fetch(AQ477),MMULT($I$38:$L$41,Fetch(AG477)))), "")</f>
        <v/>
      </c>
      <c r="AW477" s="97">
        <f t="array" aca="1" ref="AW477" ca="1">IF($AB477,LN(MDETERM(Fetch(AL477))),$J$65)   -   MMULT(AM477:AP477,MMULT(IF($AB477,Fetch(AL477),$G$61:$J$64),TRANSPOSE(AM477:AP477)))</f>
        <v>-7.1087720221633433</v>
      </c>
    </row>
    <row r="478" spans="23:49" x14ac:dyDescent="0.15">
      <c r="W478" s="12">
        <f t="shared" si="14"/>
        <v>475</v>
      </c>
      <c r="X478" s="62">
        <f t="array" aca="1" ref="X478:AA478" ca="1">simulate!AE478:AH478</f>
        <v>0.53230482046614658</v>
      </c>
      <c r="Y478" s="62">
        <f ca="1"/>
        <v>0.90169983805696152</v>
      </c>
      <c r="Z478" s="62">
        <f ca="1"/>
        <v>1.6352608376258813</v>
      </c>
      <c r="AA478" s="62">
        <f ca="1"/>
        <v>1.2943178560776443</v>
      </c>
      <c r="AB478" s="98">
        <f t="shared" si="15"/>
        <v>0</v>
      </c>
      <c r="AC478" s="62">
        <f t="array" aca="1" ref="AC478:AF478" ca="1">TRANSPOSE($G$44:$G$47 + MMULT($I$44:$L$47,TRANSPOSE(AR477:AU477)))</f>
        <v>1.0262146343136942</v>
      </c>
      <c r="AD478" s="62">
        <f ca="1"/>
        <v>0.89969601094517604</v>
      </c>
      <c r="AE478" s="62">
        <f ca="1"/>
        <v>1.4682238203274272</v>
      </c>
      <c r="AF478" s="62">
        <f ca="1"/>
        <v>1.437529940410603</v>
      </c>
      <c r="AG478" s="66" t="str">
        <f t="array" ref="AG478">IF($AB478, Push(MMULT($I$44:$L$47,MMULT(Fetch(AV477),TRANSPOSE($I$44:$L$47))) + $N$44:$Q$47), "")</f>
        <v/>
      </c>
      <c r="AH478" s="62">
        <f t="array" aca="1" ref="AH478:AK478" ca="1">TRANSPOSE($G$38:$G$41 + MMULT($I$38:$L$41,TRANSPOSE(AC478:AF478)))</f>
        <v>1.4745651927035217</v>
      </c>
      <c r="AI478" s="62">
        <f ca="1"/>
        <v>1.1090954607175498</v>
      </c>
      <c r="AJ478" s="62">
        <f ca="1"/>
        <v>1.2502940410198553</v>
      </c>
      <c r="AK478" s="62">
        <f ca="1"/>
        <v>1.6106159164106448</v>
      </c>
      <c r="AL478" s="66" t="str">
        <f t="array" ref="AL478">IF($AB478, Push(MINVERSE(MMULT($I$38:$L$41,MMULT(Fetch(AG478),TRANSPOSE($I$38:$L$41))) + $N$38:$Q$41)), "")</f>
        <v/>
      </c>
      <c r="AM478" s="62">
        <f t="array" aca="1" ref="AM478:AP478" ca="1">X478:AA478 - AH478:AK478</f>
        <v>-0.94226037223737513</v>
      </c>
      <c r="AN478" s="62">
        <f ca="1"/>
        <v>-0.20739562266058831</v>
      </c>
      <c r="AO478" s="62">
        <f ca="1"/>
        <v>0.38496679660602595</v>
      </c>
      <c r="AP478" s="62">
        <f ca="1"/>
        <v>-0.31629806033300056</v>
      </c>
      <c r="AQ478" s="66" t="str">
        <f t="array" ref="AQ478">IF($AB478, Push(MMULT(Fetch(AG478),MMULT(TRANSPOSE($I$38:$L$41),Fetch(AL478)))), "")</f>
        <v/>
      </c>
      <c r="AR478" s="62">
        <f t="array" aca="1" ref="AR478:AU478" ca="1">AC478:AF478 + TRANSPOSE(MMULT(IF($AB478,Fetch(AQ478),$L$61:$O$64),TRANSPOSE(AM478:AP478)))</f>
        <v>0.73230202946293654</v>
      </c>
      <c r="AS478" s="62">
        <f ca="1"/>
        <v>0.80224146008671327</v>
      </c>
      <c r="AT478" s="62">
        <f ca="1"/>
        <v>1.0090905119747711</v>
      </c>
      <c r="AU478" s="62">
        <f ca="1"/>
        <v>1.4790687025133806</v>
      </c>
      <c r="AV478" s="66" t="str">
        <f t="array" ref="AV478">IF($AB478, Push(Fetch(AG478) - MMULT(Fetch(AQ478),MMULT($I$38:$L$41,Fetch(AG478)))), "")</f>
        <v/>
      </c>
      <c r="AW478" s="97">
        <f t="array" aca="1" ref="AW478" ca="1">IF($AB478,LN(MDETERM(Fetch(AL478))),$J$65)   -   MMULT(AM478:AP478,MMULT(IF($AB478,Fetch(AL478),$G$61:$J$64),TRANSPOSE(AM478:AP478)))</f>
        <v>1.7567606771128537</v>
      </c>
    </row>
    <row r="479" spans="23:49" x14ac:dyDescent="0.15">
      <c r="W479" s="12">
        <f t="shared" si="14"/>
        <v>476</v>
      </c>
      <c r="X479" s="62">
        <f t="array" aca="1" ref="X479:AA479" ca="1">simulate!AE479:AH479</f>
        <v>1.525339281287563</v>
      </c>
      <c r="Y479" s="62">
        <f ca="1"/>
        <v>1.4814077391449421</v>
      </c>
      <c r="Z479" s="62">
        <f ca="1"/>
        <v>1.1678344671335052</v>
      </c>
      <c r="AA479" s="62">
        <f ca="1"/>
        <v>0.89671626951405004</v>
      </c>
      <c r="AB479" s="98">
        <f t="shared" si="15"/>
        <v>0</v>
      </c>
      <c r="AC479" s="62">
        <f t="array" aca="1" ref="AC479:AF479" ca="1">TRANSPOSE($G$44:$G$47 + MMULT($I$44:$L$47,TRANSPOSE(AR478:AU478)))</f>
        <v>0.93113729068978213</v>
      </c>
      <c r="AD479" s="62">
        <f ca="1"/>
        <v>0.8586487333713595</v>
      </c>
      <c r="AE479" s="62">
        <f ca="1"/>
        <v>1.0484791469126007</v>
      </c>
      <c r="AF479" s="62">
        <f ca="1"/>
        <v>1.2516703861534948</v>
      </c>
      <c r="AG479" s="66" t="str">
        <f t="array" ref="AG479">IF($AB479, Push(MMULT($I$44:$L$47,MMULT(Fetch(AV478),TRANSPOSE($I$44:$L$47))) + $N$44:$Q$47), "")</f>
        <v/>
      </c>
      <c r="AH479" s="62">
        <f t="array" aca="1" ref="AH479:AK479" ca="1">TRANSPOSE($G$38:$G$41 + MMULT($I$38:$L$41,TRANSPOSE(AC479:AF479)))</f>
        <v>1.1946359001653537</v>
      </c>
      <c r="AI479" s="62">
        <f ca="1"/>
        <v>1.1088921073677172</v>
      </c>
      <c r="AJ479" s="62">
        <f ca="1"/>
        <v>1.1129393660447209</v>
      </c>
      <c r="AK479" s="62">
        <f ca="1"/>
        <v>1.2581571413396564</v>
      </c>
      <c r="AL479" s="66" t="str">
        <f t="array" ref="AL479">IF($AB479, Push(MINVERSE(MMULT($I$38:$L$41,MMULT(Fetch(AG479),TRANSPOSE($I$38:$L$41))) + $N$38:$Q$41)), "")</f>
        <v/>
      </c>
      <c r="AM479" s="62">
        <f t="array" aca="1" ref="AM479:AP479" ca="1">X479:AA479 - AH479:AK479</f>
        <v>0.33070338112220932</v>
      </c>
      <c r="AN479" s="62">
        <f ca="1"/>
        <v>0.37251563177722491</v>
      </c>
      <c r="AO479" s="62">
        <f ca="1"/>
        <v>5.489510108878437E-2</v>
      </c>
      <c r="AP479" s="62">
        <f ca="1"/>
        <v>-0.36144087182560636</v>
      </c>
      <c r="AQ479" s="66" t="str">
        <f t="array" ref="AQ479">IF($AB479, Push(MMULT(Fetch(AG479),MMULT(TRANSPOSE($I$38:$L$41),Fetch(AL479)))), "")</f>
        <v/>
      </c>
      <c r="AR479" s="62">
        <f t="array" aca="1" ref="AR479:AU479" ca="1">AC479:AF479 + TRANSPOSE(MMULT(IF($AB479,Fetch(AQ479),$L$61:$O$64),TRANSPOSE(AM479:AP479)))</f>
        <v>1.2349381333727694</v>
      </c>
      <c r="AS479" s="62">
        <f ca="1"/>
        <v>0.93020301547812245</v>
      </c>
      <c r="AT479" s="62">
        <f ca="1"/>
        <v>0.89275262595309512</v>
      </c>
      <c r="AU479" s="62">
        <f ca="1"/>
        <v>1.1516713668499585</v>
      </c>
      <c r="AV479" s="66" t="str">
        <f t="array" ref="AV479">IF($AB479, Push(Fetch(AG479) - MMULT(Fetch(AQ479),MMULT($I$38:$L$41,Fetch(AG479)))), "")</f>
        <v/>
      </c>
      <c r="AW479" s="97">
        <f t="array" aca="1" ref="AW479" ca="1">IF($AB479,LN(MDETERM(Fetch(AL479))),$J$65)   -   MMULT(AM479:AP479,MMULT(IF($AB479,Fetch(AL479),$G$61:$J$64),TRANSPOSE(AM479:AP479)))</f>
        <v>4.111229294795713</v>
      </c>
    </row>
    <row r="480" spans="23:49" x14ac:dyDescent="0.15">
      <c r="W480" s="12">
        <f t="shared" si="14"/>
        <v>477</v>
      </c>
      <c r="X480" s="62">
        <f t="array" aca="1" ref="X480:AA480" ca="1">simulate!AE480:AH480</f>
        <v>-3.6627422869643544E-2</v>
      </c>
      <c r="Y480" s="62">
        <f ca="1"/>
        <v>1.0074878195209145</v>
      </c>
      <c r="Z480" s="62">
        <f ca="1"/>
        <v>0.47303245716884446</v>
      </c>
      <c r="AA480" s="62">
        <f ca="1"/>
        <v>1.7699355185218839</v>
      </c>
      <c r="AB480" s="98">
        <f t="shared" si="15"/>
        <v>0</v>
      </c>
      <c r="AC480" s="62">
        <f t="array" aca="1" ref="AC480:AF480" ca="1">TRANSPOSE($G$44:$G$47 + MMULT($I$44:$L$47,TRANSPOSE(AR479:AU479)))</f>
        <v>1.1975209071784236</v>
      </c>
      <c r="AD480" s="62">
        <f ca="1"/>
        <v>0.96884305257032433</v>
      </c>
      <c r="AE480" s="62">
        <f ca="1"/>
        <v>0.99375133212144695</v>
      </c>
      <c r="AF480" s="62">
        <f ca="1"/>
        <v>1.0892260295699734</v>
      </c>
      <c r="AG480" s="66" t="str">
        <f t="array" ref="AG480">IF($AB480, Push(MMULT($I$44:$L$47,MMULT(Fetch(AV479),TRANSPOSE($I$44:$L$47))) + $N$44:$Q$47), "")</f>
        <v/>
      </c>
      <c r="AH480" s="62">
        <f t="array" aca="1" ref="AH480:AK480" ca="1">TRANSPOSE($G$38:$G$41 + MMULT($I$38:$L$41,TRANSPOSE(AC480:AF480)))</f>
        <v>1.3907564823453935</v>
      </c>
      <c r="AI480" s="62">
        <f ca="1"/>
        <v>1.2855175499953595</v>
      </c>
      <c r="AJ480" s="62">
        <f ca="1"/>
        <v>1.0434804802856041</v>
      </c>
      <c r="AK480" s="62">
        <f ca="1"/>
        <v>1.0632162393565332</v>
      </c>
      <c r="AL480" s="66" t="str">
        <f t="array" ref="AL480">IF($AB480, Push(MINVERSE(MMULT($I$38:$L$41,MMULT(Fetch(AG480),TRANSPOSE($I$38:$L$41))) + $N$38:$Q$41)), "")</f>
        <v/>
      </c>
      <c r="AM480" s="62">
        <f t="array" aca="1" ref="AM480:AP480" ca="1">X480:AA480 - AH480:AK480</f>
        <v>-1.427383905215037</v>
      </c>
      <c r="AN480" s="62">
        <f ca="1"/>
        <v>-0.27802973047444501</v>
      </c>
      <c r="AO480" s="62">
        <f ca="1"/>
        <v>-0.57044802311675968</v>
      </c>
      <c r="AP480" s="62">
        <f ca="1"/>
        <v>0.70671927916535071</v>
      </c>
      <c r="AQ480" s="66" t="str">
        <f t="array" ref="AQ480">IF($AB480, Push(MMULT(Fetch(AG480),MMULT(TRANSPOSE($I$38:$L$41),Fetch(AL480)))), "")</f>
        <v/>
      </c>
      <c r="AR480" s="62">
        <f t="array" aca="1" ref="AR480:AU480" ca="1">AC480:AF480 + TRANSPOSE(MMULT(IF($AB480,Fetch(AQ480),$L$61:$O$64),TRANSPOSE(AM480:AP480)))</f>
        <v>0.2025014781379687</v>
      </c>
      <c r="AS480" s="62">
        <f ca="1"/>
        <v>1.3191169631967719</v>
      </c>
      <c r="AT480" s="62">
        <f ca="1"/>
        <v>0.88003834065346309</v>
      </c>
      <c r="AU480" s="62">
        <f ca="1"/>
        <v>1.0963741379837075</v>
      </c>
      <c r="AV480" s="66" t="str">
        <f t="array" ref="AV480">IF($AB480, Push(Fetch(AG480) - MMULT(Fetch(AQ480),MMULT($I$38:$L$41,Fetch(AG480)))), "")</f>
        <v/>
      </c>
      <c r="AW480" s="97">
        <f t="array" aca="1" ref="AW480" ca="1">IF($AB480,LN(MDETERM(Fetch(AL480))),$J$65)   -   MMULT(AM480:AP480,MMULT(IF($AB480,Fetch(AL480),$G$61:$J$64),TRANSPOSE(AM480:AP480)))</f>
        <v>-22.201702227889953</v>
      </c>
    </row>
    <row r="481" spans="23:49" x14ac:dyDescent="0.15">
      <c r="W481" s="12">
        <f t="shared" si="14"/>
        <v>478</v>
      </c>
      <c r="X481" s="62">
        <f t="array" aca="1" ref="X481:AA481" ca="1">simulate!AE481:AH481</f>
        <v>0.80037787827382656</v>
      </c>
      <c r="Y481" s="62">
        <f ca="1"/>
        <v>0.16688319105802191</v>
      </c>
      <c r="Z481" s="62">
        <f ca="1"/>
        <v>1.2397904409236582</v>
      </c>
      <c r="AA481" s="62">
        <f ca="1"/>
        <v>1.4729422299311079</v>
      </c>
      <c r="AB481" s="98">
        <f t="shared" si="15"/>
        <v>0</v>
      </c>
      <c r="AC481" s="62">
        <f t="array" aca="1" ref="AC481:AF481" ca="1">TRANSPOSE($G$44:$G$47 + MMULT($I$44:$L$47,TRANSPOSE(AR480:AU480)))</f>
        <v>0.6939214024069118</v>
      </c>
      <c r="AD481" s="62">
        <f ca="1"/>
        <v>1.0054417039256094</v>
      </c>
      <c r="AE481" s="62">
        <f ca="1"/>
        <v>0.96835249704473736</v>
      </c>
      <c r="AF481" s="62">
        <f ca="1"/>
        <v>1.0353670411904334</v>
      </c>
      <c r="AG481" s="66" t="str">
        <f t="array" ref="AG481">IF($AB481, Push(MMULT($I$44:$L$47,MMULT(Fetch(AV480),TRANSPOSE($I$44:$L$47))) + $N$44:$Q$47), "")</f>
        <v/>
      </c>
      <c r="AH481" s="62">
        <f t="array" aca="1" ref="AH481:AK481" ca="1">TRANSPOSE($G$38:$G$41 + MMULT($I$38:$L$41,TRANSPOSE(AC481:AF481)))</f>
        <v>1.0277072758414882</v>
      </c>
      <c r="AI481" s="62">
        <f ca="1"/>
        <v>1.126995777116258</v>
      </c>
      <c r="AJ481" s="62">
        <f ca="1"/>
        <v>0.79226394608294903</v>
      </c>
      <c r="AK481" s="62">
        <f ca="1"/>
        <v>1.2593136336865396</v>
      </c>
      <c r="AL481" s="66" t="str">
        <f t="array" ref="AL481">IF($AB481, Push(MINVERSE(MMULT($I$38:$L$41,MMULT(Fetch(AG481),TRANSPOSE($I$38:$L$41))) + $N$38:$Q$41)), "")</f>
        <v/>
      </c>
      <c r="AM481" s="62">
        <f t="array" aca="1" ref="AM481:AP481" ca="1">X481:AA481 - AH481:AK481</f>
        <v>-0.22732939756766168</v>
      </c>
      <c r="AN481" s="62">
        <f ca="1"/>
        <v>-0.96011258605823602</v>
      </c>
      <c r="AO481" s="62">
        <f ca="1"/>
        <v>0.44752649484070917</v>
      </c>
      <c r="AP481" s="62">
        <f ca="1"/>
        <v>0.21362859624456831</v>
      </c>
      <c r="AQ481" s="66" t="str">
        <f t="array" ref="AQ481">IF($AB481, Push(MMULT(Fetch(AG481),MMULT(TRANSPOSE($I$38:$L$41),Fetch(AL481)))), "")</f>
        <v/>
      </c>
      <c r="AR481" s="62">
        <f t="array" aca="1" ref="AR481:AU481" ca="1">AC481:AF481 + TRANSPOSE(MMULT(IF($AB481,Fetch(AQ481),$L$61:$O$64),TRANSPOSE(AM481:AP481)))</f>
        <v>0.50427184608506614</v>
      </c>
      <c r="AS481" s="62">
        <f ca="1"/>
        <v>0.44598370836945833</v>
      </c>
      <c r="AT481" s="62">
        <f ca="1"/>
        <v>1.2230481534682189</v>
      </c>
      <c r="AU481" s="62">
        <f ca="1"/>
        <v>1.2847285669055921</v>
      </c>
      <c r="AV481" s="66" t="str">
        <f t="array" ref="AV481">IF($AB481, Push(Fetch(AG481) - MMULT(Fetch(AQ481),MMULT($I$38:$L$41,Fetch(AG481)))), "")</f>
        <v/>
      </c>
      <c r="AW481" s="97">
        <f t="array" aca="1" ref="AW481" ca="1">IF($AB481,LN(MDETERM(Fetch(AL481))),$J$65)   -   MMULT(AM481:AP481,MMULT(IF($AB481,Fetch(AL481),$G$61:$J$64),TRANSPOSE(AM481:AP481)))</f>
        <v>2.5895992999574773</v>
      </c>
    </row>
    <row r="482" spans="23:49" x14ac:dyDescent="0.15">
      <c r="W482" s="12">
        <f t="shared" si="14"/>
        <v>479</v>
      </c>
      <c r="X482" s="62">
        <f t="array" aca="1" ref="X482:AA482" ca="1">simulate!AE482:AH482</f>
        <v>-0.2026850432294835</v>
      </c>
      <c r="Y482" s="62">
        <f ca="1"/>
        <v>1.6509964926601137</v>
      </c>
      <c r="Z482" s="62">
        <f ca="1"/>
        <v>0.38921913802706637</v>
      </c>
      <c r="AA482" s="62">
        <f ca="1"/>
        <v>3.6440490464687947E-2</v>
      </c>
      <c r="AB482" s="98">
        <f t="shared" si="15"/>
        <v>0</v>
      </c>
      <c r="AC482" s="62">
        <f t="array" aca="1" ref="AC482:AF482" ca="1">TRANSPOSE($G$44:$G$47 + MMULT($I$44:$L$47,TRANSPOSE(AR481:AU481)))</f>
        <v>0.76115207884074387</v>
      </c>
      <c r="AD482" s="62">
        <f ca="1"/>
        <v>0.64705002272816403</v>
      </c>
      <c r="AE482" s="62">
        <f ca="1"/>
        <v>1.0611977144216647</v>
      </c>
      <c r="AF482" s="62">
        <f ca="1"/>
        <v>1.1451324231163438</v>
      </c>
      <c r="AG482" s="66" t="str">
        <f t="array" ref="AG482">IF($AB482, Push(MMULT($I$44:$L$47,MMULT(Fetch(AV481),TRANSPOSE($I$44:$L$47))) + $N$44:$Q$47), "")</f>
        <v/>
      </c>
      <c r="AH482" s="62">
        <f t="array" aca="1" ref="AH482:AK482" ca="1">TRANSPOSE($G$38:$G$41 + MMULT($I$38:$L$41,TRANSPOSE(AC482:AF482)))</f>
        <v>1.1226506025437926</v>
      </c>
      <c r="AI482" s="62">
        <f ca="1"/>
        <v>0.83744454247511191</v>
      </c>
      <c r="AJ482" s="62">
        <f ca="1"/>
        <v>1.0374304469663165</v>
      </c>
      <c r="AK482" s="62">
        <f ca="1"/>
        <v>1.2333816352775324</v>
      </c>
      <c r="AL482" s="66" t="str">
        <f t="array" ref="AL482">IF($AB482, Push(MINVERSE(MMULT($I$38:$L$41,MMULT(Fetch(AG482),TRANSPOSE($I$38:$L$41))) + $N$38:$Q$41)), "")</f>
        <v/>
      </c>
      <c r="AM482" s="62">
        <f t="array" aca="1" ref="AM482:AP482" ca="1">X482:AA482 - AH482:AK482</f>
        <v>-1.3253356457732761</v>
      </c>
      <c r="AN482" s="62">
        <f ca="1"/>
        <v>0.81355195018500182</v>
      </c>
      <c r="AO482" s="62">
        <f ca="1"/>
        <v>-0.64821130893925005</v>
      </c>
      <c r="AP482" s="62">
        <f ca="1"/>
        <v>-1.1969411448128444</v>
      </c>
      <c r="AQ482" s="66" t="str">
        <f t="array" ref="AQ482">IF($AB482, Push(MMULT(Fetch(AG482),MMULT(TRANSPOSE($I$38:$L$41),Fetch(AL482)))), "")</f>
        <v/>
      </c>
      <c r="AR482" s="62">
        <f t="array" aca="1" ref="AR482:AU482" ca="1">AC482:AF482 + TRANSPOSE(MMULT(IF($AB482,Fetch(AQ482),$L$61:$O$64),TRANSPOSE(AM482:AP482)))</f>
        <v>0.39131624231630724</v>
      </c>
      <c r="AS482" s="62">
        <f ca="1"/>
        <v>1.2406258918337327</v>
      </c>
      <c r="AT482" s="62">
        <f ca="1"/>
        <v>-0.42000218640724873</v>
      </c>
      <c r="AU482" s="62">
        <f ca="1"/>
        <v>0.46405011380330952</v>
      </c>
      <c r="AV482" s="66" t="str">
        <f t="array" ref="AV482">IF($AB482, Push(Fetch(AG482) - MMULT(Fetch(AQ482),MMULT($I$38:$L$41,Fetch(AG482)))), "")</f>
        <v/>
      </c>
      <c r="AW482" s="97">
        <f t="array" aca="1" ref="AW482" ca="1">IF($AB482,LN(MDETERM(Fetch(AL482))),$J$65)   -   MMULT(AM482:AP482,MMULT(IF($AB482,Fetch(AL482),$G$61:$J$64),TRANSPOSE(AM482:AP482)))</f>
        <v>-9.9383202135357305</v>
      </c>
    </row>
    <row r="483" spans="23:49" x14ac:dyDescent="0.15">
      <c r="W483" s="12">
        <f t="shared" si="14"/>
        <v>480</v>
      </c>
      <c r="X483" s="62">
        <f t="array" aca="1" ref="X483:AA483" ca="1">simulate!AE483:AH483</f>
        <v>0.6757931694871071</v>
      </c>
      <c r="Y483" s="62">
        <f ca="1"/>
        <v>1.0297499337195135</v>
      </c>
      <c r="Z483" s="62">
        <f ca="1"/>
        <v>0.10414258645708169</v>
      </c>
      <c r="AA483" s="62">
        <f ca="1"/>
        <v>0.8203285384945298</v>
      </c>
      <c r="AB483" s="98">
        <f t="shared" si="15"/>
        <v>0</v>
      </c>
      <c r="AC483" s="62">
        <f t="array" aca="1" ref="AC483:AF483" ca="1">TRANSPOSE($G$44:$G$47 + MMULT($I$44:$L$47,TRANSPOSE(AR482:AU482)))</f>
        <v>0.66135114546913853</v>
      </c>
      <c r="AD483" s="62">
        <f ca="1"/>
        <v>0.75630084421802557</v>
      </c>
      <c r="AE483" s="62">
        <f ca="1"/>
        <v>0.17335177451723802</v>
      </c>
      <c r="AF483" s="62">
        <f ca="1"/>
        <v>0.48627696514339241</v>
      </c>
      <c r="AG483" s="66" t="str">
        <f t="array" ref="AG483">IF($AB483, Push(MMULT($I$44:$L$47,MMULT(Fetch(AV482),TRANSPOSE($I$44:$L$47))) + $N$44:$Q$47), "")</f>
        <v/>
      </c>
      <c r="AH483" s="62">
        <f t="array" aca="1" ref="AH483:AK483" ca="1">TRANSPOSE($G$38:$G$41 + MMULT($I$38:$L$41,TRANSPOSE(AC483:AF483)))</f>
        <v>0.66819413227707614</v>
      </c>
      <c r="AI483" s="62">
        <f ca="1"/>
        <v>0.99311010547053913</v>
      </c>
      <c r="AJ483" s="62">
        <f ca="1"/>
        <v>0.48964510580472415</v>
      </c>
      <c r="AK483" s="62">
        <f ca="1"/>
        <v>0.38873634585593903</v>
      </c>
      <c r="AL483" s="66" t="str">
        <f t="array" ref="AL483">IF($AB483, Push(MINVERSE(MMULT($I$38:$L$41,MMULT(Fetch(AG483),TRANSPOSE($I$38:$L$41))) + $N$38:$Q$41)), "")</f>
        <v/>
      </c>
      <c r="AM483" s="62">
        <f t="array" aca="1" ref="AM483:AP483" ca="1">X483:AA483 - AH483:AK483</f>
        <v>7.5990372100309678E-3</v>
      </c>
      <c r="AN483" s="62">
        <f ca="1"/>
        <v>3.6639828248974382E-2</v>
      </c>
      <c r="AO483" s="62">
        <f ca="1"/>
        <v>-0.38550251934764246</v>
      </c>
      <c r="AP483" s="62">
        <f ca="1"/>
        <v>0.43159219263859078</v>
      </c>
      <c r="AQ483" s="66" t="str">
        <f t="array" ref="AQ483">IF($AB483, Push(MMULT(Fetch(AG483),MMULT(TRANSPOSE($I$38:$L$41),Fetch(AL483)))), "")</f>
        <v/>
      </c>
      <c r="AR483" s="62">
        <f t="array" aca="1" ref="AR483:AU483" ca="1">AC483:AF483 + TRANSPOSE(MMULT(IF($AB483,Fetch(AQ483),$L$61:$O$64),TRANSPOSE(AM483:AP483)))</f>
        <v>0.47701517562112938</v>
      </c>
      <c r="AS483" s="62">
        <f ca="1"/>
        <v>0.94237953005685127</v>
      </c>
      <c r="AT483" s="62">
        <f ca="1"/>
        <v>0.39069748221685568</v>
      </c>
      <c r="AU483" s="62">
        <f ca="1"/>
        <v>0.480165327109496</v>
      </c>
      <c r="AV483" s="66" t="str">
        <f t="array" ref="AV483">IF($AB483, Push(Fetch(AG483) - MMULT(Fetch(AQ483),MMULT($I$38:$L$41,Fetch(AG483)))), "")</f>
        <v/>
      </c>
      <c r="AW483" s="97">
        <f t="array" aca="1" ref="AW483" ca="1">IF($AB483,LN(MDETERM(Fetch(AL483))),$J$65)   -   MMULT(AM483:AP483,MMULT(IF($AB483,Fetch(AL483),$G$61:$J$64),TRANSPOSE(AM483:AP483)))</f>
        <v>4.5497175094562774</v>
      </c>
    </row>
    <row r="484" spans="23:49" x14ac:dyDescent="0.15">
      <c r="W484" s="12">
        <f t="shared" si="14"/>
        <v>481</v>
      </c>
      <c r="X484" s="62">
        <f t="array" aca="1" ref="X484:AA484" ca="1">simulate!AE484:AH484</f>
        <v>0.55212970229363623</v>
      </c>
      <c r="Y484" s="62">
        <f ca="1"/>
        <v>1.1638062606457311</v>
      </c>
      <c r="Z484" s="62">
        <f ca="1"/>
        <v>-0.57011694387044654</v>
      </c>
      <c r="AA484" s="62">
        <f ca="1"/>
        <v>0.62914194741682639</v>
      </c>
      <c r="AB484" s="98">
        <f t="shared" si="15"/>
        <v>0</v>
      </c>
      <c r="AC484" s="62">
        <f t="array" aca="1" ref="AC484:AF484" ca="1">TRANSPOSE($G$44:$G$47 + MMULT($I$44:$L$47,TRANSPOSE(AR483:AU483)))</f>
        <v>0.72198012112837984</v>
      </c>
      <c r="AD484" s="62">
        <f ca="1"/>
        <v>0.73026314249159585</v>
      </c>
      <c r="AE484" s="62">
        <f ca="1"/>
        <v>0.57125227976075521</v>
      </c>
      <c r="AF484" s="62">
        <f ca="1"/>
        <v>0.60949337622904787</v>
      </c>
      <c r="AG484" s="66" t="str">
        <f t="array" ref="AG484">IF($AB484, Push(MMULT($I$44:$L$47,MMULT(Fetch(AV483),TRANSPOSE($I$44:$L$47))) + $N$44:$Q$47), "")</f>
        <v/>
      </c>
      <c r="AH484" s="62">
        <f t="array" aca="1" ref="AH484:AK484" ca="1">TRANSPOSE($G$38:$G$41 + MMULT($I$38:$L$41,TRANSPOSE(AC484:AF484)))</f>
        <v>0.93096455492238528</v>
      </c>
      <c r="AI484" s="62">
        <f ca="1"/>
        <v>0.9153868031431166</v>
      </c>
      <c r="AJ484" s="62">
        <f ca="1"/>
        <v>0.58887448573946255</v>
      </c>
      <c r="AK484" s="62">
        <f ca="1"/>
        <v>0.69357278404935951</v>
      </c>
      <c r="AL484" s="66" t="str">
        <f t="array" ref="AL484">IF($AB484, Push(MINVERSE(MMULT($I$38:$L$41,MMULT(Fetch(AG484),TRANSPOSE($I$38:$L$41))) + $N$38:$Q$41)), "")</f>
        <v/>
      </c>
      <c r="AM484" s="62">
        <f t="array" aca="1" ref="AM484:AP484" ca="1">X484:AA484 - AH484:AK484</f>
        <v>-0.37883485262874905</v>
      </c>
      <c r="AN484" s="62">
        <f ca="1"/>
        <v>0.24841945750261452</v>
      </c>
      <c r="AO484" s="62">
        <f ca="1"/>
        <v>-1.1589914296099091</v>
      </c>
      <c r="AP484" s="62">
        <f ca="1"/>
        <v>-6.4430836632533128E-2</v>
      </c>
      <c r="AQ484" s="66" t="str">
        <f t="array" ref="AQ484">IF($AB484, Push(MMULT(Fetch(AG484),MMULT(TRANSPOSE($I$38:$L$41),Fetch(AL484)))), "")</f>
        <v/>
      </c>
      <c r="AR484" s="62">
        <f t="array" aca="1" ref="AR484:AU484" ca="1">AC484:AF484 + TRANSPOSE(MMULT(IF($AB484,Fetch(AQ484),$L$61:$O$64),TRANSPOSE(AM484:AP484)))</f>
        <v>0.31220373879332897</v>
      </c>
      <c r="AS484" s="62">
        <f ca="1"/>
        <v>1.1682788370721267</v>
      </c>
      <c r="AT484" s="62">
        <f ca="1"/>
        <v>0.16440428601362833</v>
      </c>
      <c r="AU484" s="62">
        <f ca="1"/>
        <v>0.11515830710354641</v>
      </c>
      <c r="AV484" s="66" t="str">
        <f t="array" ref="AV484">IF($AB484, Push(Fetch(AG484) - MMULT(Fetch(AQ484),MMULT($I$38:$L$41,Fetch(AG484)))), "")</f>
        <v/>
      </c>
      <c r="AW484" s="97">
        <f t="array" aca="1" ref="AW484" ca="1">IF($AB484,LN(MDETERM(Fetch(AL484))),$J$65)   -   MMULT(AM484:AP484,MMULT(IF($AB484,Fetch(AL484),$G$61:$J$64),TRANSPOSE(AM484:AP484)))</f>
        <v>0.43252909684647811</v>
      </c>
    </row>
    <row r="485" spans="23:49" x14ac:dyDescent="0.15">
      <c r="W485" s="12">
        <f t="shared" si="14"/>
        <v>482</v>
      </c>
      <c r="X485" s="62">
        <f t="array" aca="1" ref="X485:AA485" ca="1">simulate!AE485:AH485</f>
        <v>0.98615695553036142</v>
      </c>
      <c r="Y485" s="62">
        <f ca="1"/>
        <v>1.1589158177557748</v>
      </c>
      <c r="Z485" s="62">
        <f ca="1"/>
        <v>0.74741126214781772</v>
      </c>
      <c r="AA485" s="62">
        <f ca="1"/>
        <v>0.73021858008948071</v>
      </c>
      <c r="AB485" s="98">
        <f t="shared" si="15"/>
        <v>0</v>
      </c>
      <c r="AC485" s="62">
        <f t="array" aca="1" ref="AC485:AF485" ca="1">TRANSPOSE($G$44:$G$47 + MMULT($I$44:$L$47,TRANSPOSE(AR484:AU484)))</f>
        <v>0.63275172757100329</v>
      </c>
      <c r="AD485" s="62">
        <f ca="1"/>
        <v>0.76603498108463541</v>
      </c>
      <c r="AE485" s="62">
        <f ca="1"/>
        <v>0.41996426452674096</v>
      </c>
      <c r="AF485" s="62">
        <f ca="1"/>
        <v>0.38378163375401642</v>
      </c>
      <c r="AG485" s="66" t="str">
        <f t="array" ref="AG485">IF($AB485, Push(MMULT($I$44:$L$47,MMULT(Fetch(AV484),TRANSPOSE($I$44:$L$47))) + $N$44:$Q$47), "")</f>
        <v/>
      </c>
      <c r="AH485" s="62">
        <f t="array" aca="1" ref="AH485:AK485" ca="1">TRANSPOSE($G$38:$G$41 + MMULT($I$38:$L$41,TRANSPOSE(AC485:AF485)))</f>
        <v>0.83321515050104389</v>
      </c>
      <c r="AI485" s="62">
        <f ca="1"/>
        <v>0.90784326392102532</v>
      </c>
      <c r="AJ485" s="62">
        <f ca="1"/>
        <v>0.36634356242995275</v>
      </c>
      <c r="AK485" s="62">
        <f ca="1"/>
        <v>0.53883648572212717</v>
      </c>
      <c r="AL485" s="66" t="str">
        <f t="array" ref="AL485">IF($AB485, Push(MINVERSE(MMULT($I$38:$L$41,MMULT(Fetch(AG485),TRANSPOSE($I$38:$L$41))) + $N$38:$Q$41)), "")</f>
        <v/>
      </c>
      <c r="AM485" s="62">
        <f t="array" aca="1" ref="AM485:AP485" ca="1">X485:AA485 - AH485:AK485</f>
        <v>0.15294180502931753</v>
      </c>
      <c r="AN485" s="62">
        <f ca="1"/>
        <v>0.25107255383474947</v>
      </c>
      <c r="AO485" s="62">
        <f ca="1"/>
        <v>0.38106769971786497</v>
      </c>
      <c r="AP485" s="62">
        <f ca="1"/>
        <v>0.19138209436735354</v>
      </c>
      <c r="AQ485" s="66" t="str">
        <f t="array" ref="AQ485">IF($AB485, Push(MMULT(Fetch(AG485),MMULT(TRANSPOSE($I$38:$L$41),Fetch(AL485)))), "")</f>
        <v/>
      </c>
      <c r="AR485" s="62">
        <f t="array" aca="1" ref="AR485:AU485" ca="1">AC485:AF485 + TRANSPOSE(MMULT(IF($AB485,Fetch(AQ485),$L$61:$O$64),TRANSPOSE(AM485:AP485)))</f>
        <v>0.7943692938531014</v>
      </c>
      <c r="AS485" s="62">
        <f ca="1"/>
        <v>0.84066302163680351</v>
      </c>
      <c r="AT485" s="62">
        <f ca="1"/>
        <v>0.63423165286548444</v>
      </c>
      <c r="AU485" s="62">
        <f ca="1"/>
        <v>0.60816254816168458</v>
      </c>
      <c r="AV485" s="66" t="str">
        <f t="array" ref="AV485">IF($AB485, Push(Fetch(AG485) - MMULT(Fetch(AQ485),MMULT($I$38:$L$41,Fetch(AG485)))), "")</f>
        <v/>
      </c>
      <c r="AW485" s="97">
        <f t="array" aca="1" ref="AW485" ca="1">IF($AB485,LN(MDETERM(Fetch(AL485))),$J$65)   -   MMULT(AM485:AP485,MMULT(IF($AB485,Fetch(AL485),$G$61:$J$64),TRANSPOSE(AM485:AP485)))</f>
        <v>5.4719436930365921</v>
      </c>
    </row>
    <row r="486" spans="23:49" x14ac:dyDescent="0.15">
      <c r="W486" s="12">
        <f t="shared" si="14"/>
        <v>483</v>
      </c>
      <c r="X486" s="62">
        <f t="array" aca="1" ref="X486:AA486" ca="1">simulate!AE486:AH486</f>
        <v>1.0995997079013518</v>
      </c>
      <c r="Y486" s="62">
        <f ca="1"/>
        <v>1.4378295442248061</v>
      </c>
      <c r="Z486" s="62">
        <f ca="1"/>
        <v>0.73845784246972501</v>
      </c>
      <c r="AA486" s="62">
        <f ca="1"/>
        <v>0.83510964678970911</v>
      </c>
      <c r="AB486" s="98">
        <f t="shared" si="15"/>
        <v>0</v>
      </c>
      <c r="AC486" s="62">
        <f t="array" aca="1" ref="AC486:AF486" ca="1">TRANSPOSE($G$44:$G$47 + MMULT($I$44:$L$47,TRANSPOSE(AR485:AU485)))</f>
        <v>0.90180855225653134</v>
      </c>
      <c r="AD486" s="62">
        <f ca="1"/>
        <v>0.77200636848938731</v>
      </c>
      <c r="AE486" s="62">
        <f ca="1"/>
        <v>0.72779716511593939</v>
      </c>
      <c r="AF486" s="62">
        <f ca="1"/>
        <v>0.72617166871692596</v>
      </c>
      <c r="AG486" s="66" t="str">
        <f t="array" ref="AG486">IF($AB486, Push(MMULT($I$44:$L$47,MMULT(Fetch(AV485),TRANSPOSE($I$44:$L$47))) + $N$44:$Q$47), "")</f>
        <v/>
      </c>
      <c r="AH486" s="62">
        <f t="array" aca="1" ref="AH486:AK486" ca="1">TRANSPOSE($G$38:$G$41 + MMULT($I$38:$L$41,TRANSPOSE(AC486:AF486)))</f>
        <v>1.1237717718015787</v>
      </c>
      <c r="AI486" s="62">
        <f ca="1"/>
        <v>1.001215993180546</v>
      </c>
      <c r="AJ486" s="62">
        <f ca="1"/>
        <v>0.72543137393391044</v>
      </c>
      <c r="AK486" s="62">
        <f ca="1"/>
        <v>0.78850344385396309</v>
      </c>
      <c r="AL486" s="66" t="str">
        <f t="array" ref="AL486">IF($AB486, Push(MINVERSE(MMULT($I$38:$L$41,MMULT(Fetch(AG486),TRANSPOSE($I$38:$L$41))) + $N$38:$Q$41)), "")</f>
        <v/>
      </c>
      <c r="AM486" s="62">
        <f t="array" aca="1" ref="AM486:AP486" ca="1">X486:AA486 - AH486:AK486</f>
        <v>-2.417206390022697E-2</v>
      </c>
      <c r="AN486" s="62">
        <f ca="1"/>
        <v>0.43661355104426014</v>
      </c>
      <c r="AO486" s="62">
        <f ca="1"/>
        <v>1.3026468535814573E-2</v>
      </c>
      <c r="AP486" s="62">
        <f ca="1"/>
        <v>4.6606202935746022E-2</v>
      </c>
      <c r="AQ486" s="66" t="str">
        <f t="array" ref="AQ486">IF($AB486, Push(MMULT(Fetch(AG486),MMULT(TRANSPOSE($I$38:$L$41),Fetch(AL486)))), "")</f>
        <v/>
      </c>
      <c r="AR486" s="62">
        <f t="array" aca="1" ref="AR486:AU486" ca="1">AC486:AF486 + TRANSPOSE(MMULT(IF($AB486,Fetch(AQ486),$L$61:$O$64),TRANSPOSE(AM486:AP486)))</f>
        <v>0.95204804093314321</v>
      </c>
      <c r="AS486" s="62">
        <f ca="1"/>
        <v>1.0317999450108475</v>
      </c>
      <c r="AT486" s="62">
        <f ca="1"/>
        <v>0.69693663571491116</v>
      </c>
      <c r="AU486" s="62">
        <f ca="1"/>
        <v>0.75071615488440946</v>
      </c>
      <c r="AV486" s="66" t="str">
        <f t="array" ref="AV486">IF($AB486, Push(Fetch(AG486) - MMULT(Fetch(AQ486),MMULT($I$38:$L$41,Fetch(AG486)))), "")</f>
        <v/>
      </c>
      <c r="AW486" s="97">
        <f t="array" aca="1" ref="AW486" ca="1">IF($AB486,LN(MDETERM(Fetch(AL486))),$J$65)   -   MMULT(AM486:AP486,MMULT(IF($AB486,Fetch(AL486),$G$61:$J$64),TRANSPOSE(AM486:AP486)))</f>
        <v>5.8748099606718513</v>
      </c>
    </row>
    <row r="487" spans="23:49" x14ac:dyDescent="0.15">
      <c r="W487" s="12">
        <f t="shared" si="14"/>
        <v>484</v>
      </c>
      <c r="X487" s="62">
        <f t="array" aca="1" ref="X487:AA487" ca="1">simulate!AE487:AH487</f>
        <v>0.7983368564968456</v>
      </c>
      <c r="Y487" s="62">
        <f ca="1"/>
        <v>1.565446995313539</v>
      </c>
      <c r="Z487" s="62">
        <f ca="1"/>
        <v>-0.24154995667237145</v>
      </c>
      <c r="AA487" s="62">
        <f ca="1"/>
        <v>0.69305740472313182</v>
      </c>
      <c r="AB487" s="98">
        <f t="shared" si="15"/>
        <v>0</v>
      </c>
      <c r="AC487" s="62">
        <f t="array" aca="1" ref="AC487:AF487" ca="1">TRANSPOSE($G$44:$G$47 + MMULT($I$44:$L$47,TRANSPOSE(AR486:AU486)))</f>
        <v>1.0265675193444657</v>
      </c>
      <c r="AD487" s="62">
        <f ca="1"/>
        <v>0.92026253853249806</v>
      </c>
      <c r="AE487" s="62">
        <f ca="1"/>
        <v>0.82501630467285003</v>
      </c>
      <c r="AF487" s="62">
        <f ca="1"/>
        <v>0.83452520627885285</v>
      </c>
      <c r="AG487" s="66" t="str">
        <f t="array" ref="AG487">IF($AB487, Push(MMULT($I$44:$L$47,MMULT(Fetch(AV486),TRANSPOSE($I$44:$L$47))) + $N$44:$Q$47), "")</f>
        <v/>
      </c>
      <c r="AH487" s="62">
        <f t="array" aca="1" ref="AH487:AK487" ca="1">TRANSPOSE($G$38:$G$41 + MMULT($I$38:$L$41,TRANSPOSE(AC487:AF487)))</f>
        <v>1.2361671523116033</v>
      </c>
      <c r="AI487" s="62">
        <f ca="1"/>
        <v>1.1730020493345594</v>
      </c>
      <c r="AJ487" s="62">
        <f ca="1"/>
        <v>0.79880562592631899</v>
      </c>
      <c r="AK487" s="62">
        <f ca="1"/>
        <v>0.89437974204520754</v>
      </c>
      <c r="AL487" s="66" t="str">
        <f t="array" ref="AL487">IF($AB487, Push(MINVERSE(MMULT($I$38:$L$41,MMULT(Fetch(AG487),TRANSPOSE($I$38:$L$41))) + $N$38:$Q$41)), "")</f>
        <v/>
      </c>
      <c r="AM487" s="62">
        <f t="array" aca="1" ref="AM487:AP487" ca="1">X487:AA487 - AH487:AK487</f>
        <v>-0.43783029581475774</v>
      </c>
      <c r="AN487" s="62">
        <f ca="1"/>
        <v>0.39244494597897961</v>
      </c>
      <c r="AO487" s="62">
        <f ca="1"/>
        <v>-1.0403555825986905</v>
      </c>
      <c r="AP487" s="62">
        <f ca="1"/>
        <v>-0.20132233732207572</v>
      </c>
      <c r="AQ487" s="66" t="str">
        <f t="array" ref="AQ487">IF($AB487, Push(MMULT(Fetch(AG487),MMULT(TRANSPOSE($I$38:$L$41),Fetch(AL487)))), "")</f>
        <v/>
      </c>
      <c r="AR487" s="62">
        <f t="array" aca="1" ref="AR487:AU487" ca="1">AC487:AF487 + TRANSPOSE(MMULT(IF($AB487,Fetch(AQ487),$L$61:$O$64),TRANSPOSE(AM487:AP487)))</f>
        <v>0.6729826896893083</v>
      </c>
      <c r="AS487" s="62">
        <f ca="1"/>
        <v>1.3986764183449079</v>
      </c>
      <c r="AT487" s="62">
        <f ca="1"/>
        <v>0.30848261796469745</v>
      </c>
      <c r="AU487" s="62">
        <f ca="1"/>
        <v>0.34152965374756961</v>
      </c>
      <c r="AV487" s="66" t="str">
        <f t="array" ref="AV487">IF($AB487, Push(Fetch(AG487) - MMULT(Fetch(AQ487),MMULT($I$38:$L$41,Fetch(AG487)))), "")</f>
        <v/>
      </c>
      <c r="AW487" s="97">
        <f t="array" aca="1" ref="AW487" ca="1">IF($AB487,LN(MDETERM(Fetch(AL487))),$J$65)   -   MMULT(AM487:AP487,MMULT(IF($AB487,Fetch(AL487),$G$61:$J$64),TRANSPOSE(AM487:AP487)))</f>
        <v>1.5235742207817013</v>
      </c>
    </row>
    <row r="488" spans="23:49" x14ac:dyDescent="0.15">
      <c r="W488" s="12">
        <f t="shared" si="14"/>
        <v>485</v>
      </c>
      <c r="X488" s="62">
        <f t="array" aca="1" ref="X488:AA488" ca="1">simulate!AE488:AH488</f>
        <v>0.21147951517369296</v>
      </c>
      <c r="Y488" s="62">
        <f ca="1"/>
        <v>0.61844403447344831</v>
      </c>
      <c r="Z488" s="62">
        <f ca="1"/>
        <v>-0.10597491313801842</v>
      </c>
      <c r="AA488" s="62">
        <f ca="1"/>
        <v>0.74810631036075292</v>
      </c>
      <c r="AB488" s="98">
        <f t="shared" si="15"/>
        <v>0</v>
      </c>
      <c r="AC488" s="62">
        <f t="array" aca="1" ref="AC488:AF488" ca="1">TRANSPOSE($G$44:$G$47 + MMULT($I$44:$L$47,TRANSPOSE(AR487:AU487)))</f>
        <v>0.88283058351906107</v>
      </c>
      <c r="AD488" s="62">
        <f ca="1"/>
        <v>0.98647911995822768</v>
      </c>
      <c r="AE488" s="62">
        <f ca="1"/>
        <v>0.5943671468635161</v>
      </c>
      <c r="AF488" s="62">
        <f ca="1"/>
        <v>0.56316958945665163</v>
      </c>
      <c r="AG488" s="66" t="str">
        <f t="array" ref="AG488">IF($AB488, Push(MMULT($I$44:$L$47,MMULT(Fetch(AV487),TRANSPOSE($I$44:$L$47))) + $N$44:$Q$47), "")</f>
        <v/>
      </c>
      <c r="AH488" s="62">
        <f t="array" aca="1" ref="AH488:AK488" ca="1">TRANSPOSE($G$38:$G$41 + MMULT($I$38:$L$41,TRANSPOSE(AC488:AF488)))</f>
        <v>1.0603165382654745</v>
      </c>
      <c r="AI488" s="62">
        <f ca="1"/>
        <v>1.1831289049237015</v>
      </c>
      <c r="AJ488" s="62">
        <f ca="1"/>
        <v>0.51289672776157458</v>
      </c>
      <c r="AK488" s="62">
        <f ca="1"/>
        <v>0.69662242248156159</v>
      </c>
      <c r="AL488" s="66" t="str">
        <f t="array" ref="AL488">IF($AB488, Push(MINVERSE(MMULT($I$38:$L$41,MMULT(Fetch(AG488),TRANSPOSE($I$38:$L$41))) + $N$38:$Q$41)), "")</f>
        <v/>
      </c>
      <c r="AM488" s="62">
        <f t="array" aca="1" ref="AM488:AP488" ca="1">X488:AA488 - AH488:AK488</f>
        <v>-0.84883702309178144</v>
      </c>
      <c r="AN488" s="62">
        <f ca="1"/>
        <v>-0.56468487045025317</v>
      </c>
      <c r="AO488" s="62">
        <f ca="1"/>
        <v>-0.61887164089959301</v>
      </c>
      <c r="AP488" s="62">
        <f ca="1"/>
        <v>5.1483887879191337E-2</v>
      </c>
      <c r="AQ488" s="66" t="str">
        <f t="array" ref="AQ488">IF($AB488, Push(MMULT(Fetch(AG488),MMULT(TRANSPOSE($I$38:$L$41),Fetch(AL488)))), "")</f>
        <v/>
      </c>
      <c r="AR488" s="62">
        <f t="array" aca="1" ref="AR488:AU488" ca="1">AC488:AF488 + TRANSPOSE(MMULT(IF($AB488,Fetch(AQ488),$L$61:$O$64),TRANSPOSE(AM488:AP488)))</f>
        <v>0.24112621644409005</v>
      </c>
      <c r="AS488" s="62">
        <f ca="1"/>
        <v>0.95241215309542093</v>
      </c>
      <c r="AT488" s="62">
        <f ca="1"/>
        <v>0.28691477822926492</v>
      </c>
      <c r="AU488" s="62">
        <f ca="1"/>
        <v>0.32195303406705506</v>
      </c>
      <c r="AV488" s="66" t="str">
        <f t="array" ref="AV488">IF($AB488, Push(Fetch(AG488) - MMULT(Fetch(AQ488),MMULT($I$38:$L$41,Fetch(AG488)))), "")</f>
        <v/>
      </c>
      <c r="AW488" s="97">
        <f t="array" aca="1" ref="AW488" ca="1">IF($AB488,LN(MDETERM(Fetch(AL488))),$J$65)   -   MMULT(AM488:AP488,MMULT(IF($AB488,Fetch(AL488),$G$61:$J$64),TRANSPOSE(AM488:AP488)))</f>
        <v>-0.6082337808672591</v>
      </c>
    </row>
    <row r="489" spans="23:49" x14ac:dyDescent="0.15">
      <c r="W489" s="12">
        <f t="shared" si="14"/>
        <v>486</v>
      </c>
      <c r="X489" s="62">
        <f t="array" aca="1" ref="X489:AA489" ca="1">simulate!AE489:AH489</f>
        <v>0.35902252504741938</v>
      </c>
      <c r="Y489" s="62">
        <f ca="1"/>
        <v>-0.69230499710014204</v>
      </c>
      <c r="Z489" s="62">
        <f ca="1"/>
        <v>0.80492490251020232</v>
      </c>
      <c r="AA489" s="62">
        <f ca="1"/>
        <v>0.16372775836895315</v>
      </c>
      <c r="AB489" s="98">
        <f t="shared" si="15"/>
        <v>0</v>
      </c>
      <c r="AC489" s="62">
        <f t="array" aca="1" ref="AC489:AF489" ca="1">TRANSPOSE($G$44:$G$47 + MMULT($I$44:$L$47,TRANSPOSE(AR488:AU488)))</f>
        <v>0.58107657066225382</v>
      </c>
      <c r="AD489" s="62">
        <f ca="1"/>
        <v>0.67076159406097546</v>
      </c>
      <c r="AE489" s="62">
        <f ca="1"/>
        <v>0.47662528765482121</v>
      </c>
      <c r="AF489" s="62">
        <f ca="1"/>
        <v>0.49657515492503962</v>
      </c>
      <c r="AG489" s="66" t="str">
        <f t="array" ref="AG489">IF($AB489, Push(MMULT($I$44:$L$47,MMULT(Fetch(AV488),TRANSPOSE($I$44:$L$47))) + $N$44:$Q$47), "")</f>
        <v/>
      </c>
      <c r="AH489" s="62">
        <f t="array" aca="1" ref="AH489:AK489" ca="1">TRANSPOSE($G$38:$G$41 + MMULT($I$38:$L$41,TRANSPOSE(AC489:AF489)))</f>
        <v>0.80525632750456522</v>
      </c>
      <c r="AI489" s="62">
        <f ca="1"/>
        <v>0.81340123916785256</v>
      </c>
      <c r="AJ489" s="62">
        <f ca="1"/>
        <v>0.47149217340969191</v>
      </c>
      <c r="AK489" s="62">
        <f ca="1"/>
        <v>0.62204085978255153</v>
      </c>
      <c r="AL489" s="66" t="str">
        <f t="array" ref="AL489">IF($AB489, Push(MINVERSE(MMULT($I$38:$L$41,MMULT(Fetch(AG489),TRANSPOSE($I$38:$L$41))) + $N$38:$Q$41)), "")</f>
        <v/>
      </c>
      <c r="AM489" s="62">
        <f t="array" aca="1" ref="AM489:AP489" ca="1">X489:AA489 - AH489:AK489</f>
        <v>-0.44623380245714583</v>
      </c>
      <c r="AN489" s="62">
        <f ca="1"/>
        <v>-1.5057062362679945</v>
      </c>
      <c r="AO489" s="62">
        <f ca="1"/>
        <v>0.33343272910051042</v>
      </c>
      <c r="AP489" s="62">
        <f ca="1"/>
        <v>-0.45831310141359838</v>
      </c>
      <c r="AQ489" s="66" t="str">
        <f t="array" ref="AQ489">IF($AB489, Push(MMULT(Fetch(AG489),MMULT(TRANSPOSE($I$38:$L$41),Fetch(AL489)))), "")</f>
        <v/>
      </c>
      <c r="AR489" s="62">
        <f t="array" aca="1" ref="AR489:AU489" ca="1">AC489:AF489 + TRANSPOSE(MMULT(IF($AB489,Fetch(AQ489),$L$61:$O$64),TRANSPOSE(AM489:AP489)))</f>
        <v>0.32841379340712312</v>
      </c>
      <c r="AS489" s="62">
        <f ca="1"/>
        <v>-0.27119275744652538</v>
      </c>
      <c r="AT489" s="62">
        <f ca="1"/>
        <v>0.25874419684508648</v>
      </c>
      <c r="AU489" s="62">
        <f ca="1"/>
        <v>0.46026443144061252</v>
      </c>
      <c r="AV489" s="66" t="str">
        <f t="array" ref="AV489">IF($AB489, Push(Fetch(AG489) - MMULT(Fetch(AQ489),MMULT($I$38:$L$41,Fetch(AG489)))), "")</f>
        <v/>
      </c>
      <c r="AW489" s="97">
        <f t="array" aca="1" ref="AW489" ca="1">IF($AB489,LN(MDETERM(Fetch(AL489))),$J$65)   -   MMULT(AM489:AP489,MMULT(IF($AB489,Fetch(AL489),$G$61:$J$64),TRANSPOSE(AM489:AP489)))</f>
        <v>-7.2702741156481601</v>
      </c>
    </row>
    <row r="490" spans="23:49" x14ac:dyDescent="0.15">
      <c r="W490" s="12">
        <f t="shared" si="14"/>
        <v>487</v>
      </c>
      <c r="X490" s="62">
        <f t="array" aca="1" ref="X490:AA490" ca="1">simulate!AE490:AH490</f>
        <v>0.23562932769591602</v>
      </c>
      <c r="Y490" s="62">
        <f ca="1"/>
        <v>0.59561603627421666</v>
      </c>
      <c r="Z490" s="62">
        <f ca="1"/>
        <v>1.6540014264228002</v>
      </c>
      <c r="AA490" s="62">
        <f ca="1"/>
        <v>-0.36776405614694085</v>
      </c>
      <c r="AB490" s="98">
        <f t="shared" si="15"/>
        <v>0</v>
      </c>
      <c r="AC490" s="62">
        <f t="array" aca="1" ref="AC490:AF490" ca="1">TRANSPOSE($G$44:$G$47 + MMULT($I$44:$L$47,TRANSPOSE(AR489:AU489)))</f>
        <v>0.45177695502769655</v>
      </c>
      <c r="AD490" s="62">
        <f ca="1"/>
        <v>2.9771978749645919E-2</v>
      </c>
      <c r="AE490" s="62">
        <f ca="1"/>
        <v>0.28942928335482793</v>
      </c>
      <c r="AF490" s="62">
        <f ca="1"/>
        <v>0.48379387299188631</v>
      </c>
      <c r="AG490" s="66" t="str">
        <f t="array" ref="AG490">IF($AB490, Push(MMULT($I$44:$L$47,MMULT(Fetch(AV489),TRANSPOSE($I$44:$L$47))) + $N$44:$Q$47), "")</f>
        <v/>
      </c>
      <c r="AH490" s="62">
        <f t="array" aca="1" ref="AH490:AK490" ca="1">TRANSPOSE($G$38:$G$41 + MMULT($I$38:$L$41,TRANSPOSE(AC490:AF490)))</f>
        <v>0.63135196269380867</v>
      </c>
      <c r="AI490" s="62">
        <f ca="1"/>
        <v>0.25238824105654667</v>
      </c>
      <c r="AJ490" s="62">
        <f ca="1"/>
        <v>0.67171840093501545</v>
      </c>
      <c r="AK490" s="62">
        <f ca="1"/>
        <v>0.34325253794167609</v>
      </c>
      <c r="AL490" s="66" t="str">
        <f t="array" ref="AL490">IF($AB490, Push(MINVERSE(MMULT($I$38:$L$41,MMULT(Fetch(AG490),TRANSPOSE($I$38:$L$41))) + $N$38:$Q$41)), "")</f>
        <v/>
      </c>
      <c r="AM490" s="62">
        <f t="array" aca="1" ref="AM490:AP490" ca="1">X490:AA490 - AH490:AK490</f>
        <v>-0.39572263499789262</v>
      </c>
      <c r="AN490" s="62">
        <f ca="1"/>
        <v>0.34322779521767</v>
      </c>
      <c r="AO490" s="62">
        <f ca="1"/>
        <v>0.98228302548778479</v>
      </c>
      <c r="AP490" s="62">
        <f ca="1"/>
        <v>-0.71101659408861695</v>
      </c>
      <c r="AQ490" s="66" t="str">
        <f t="array" ref="AQ490">IF($AB490, Push(MMULT(Fetch(AG490),MMULT(TRANSPOSE($I$38:$L$41),Fetch(AL490)))), "")</f>
        <v/>
      </c>
      <c r="AR490" s="62">
        <f t="array" aca="1" ref="AR490:AU490" ca="1">AC490:AF490 + TRANSPOSE(MMULT(IF($AB490,Fetch(AQ490),$L$61:$O$64),TRANSPOSE(AM490:AP490)))</f>
        <v>0.731358953539617</v>
      </c>
      <c r="AS490" s="62">
        <f ca="1"/>
        <v>-5.2519410926170004E-2</v>
      </c>
      <c r="AT490" s="62">
        <f ca="1"/>
        <v>-0.19989349072623092</v>
      </c>
      <c r="AU490" s="62">
        <f ca="1"/>
        <v>0.63674469827672442</v>
      </c>
      <c r="AV490" s="66" t="str">
        <f t="array" ref="AV490">IF($AB490, Push(Fetch(AG490) - MMULT(Fetch(AQ490),MMULT($I$38:$L$41,Fetch(AG490)))), "")</f>
        <v/>
      </c>
      <c r="AW490" s="97">
        <f t="array" aca="1" ref="AW490" ca="1">IF($AB490,LN(MDETERM(Fetch(AL490))),$J$65)   -   MMULT(AM490:AP490,MMULT(IF($AB490,Fetch(AL490),$G$61:$J$64),TRANSPOSE(AM490:AP490)))</f>
        <v>-4.2760541027173655</v>
      </c>
    </row>
    <row r="491" spans="23:49" x14ac:dyDescent="0.15">
      <c r="W491" s="12">
        <f t="shared" si="14"/>
        <v>488</v>
      </c>
      <c r="X491" s="62">
        <f t="array" aca="1" ref="X491:AA491" ca="1">simulate!AE491:AH491</f>
        <v>0.74221919669208958</v>
      </c>
      <c r="Y491" s="62">
        <f ca="1"/>
        <v>2.159875996510402E-2</v>
      </c>
      <c r="Z491" s="62">
        <f ca="1"/>
        <v>0.15606348637277689</v>
      </c>
      <c r="AA491" s="62">
        <f ca="1"/>
        <v>0.79326637053428306</v>
      </c>
      <c r="AB491" s="98">
        <f t="shared" si="15"/>
        <v>0</v>
      </c>
      <c r="AC491" s="62">
        <f t="array" aca="1" ref="AC491:AF491" ca="1">TRANSPOSE($G$44:$G$47 + MMULT($I$44:$L$47,TRANSPOSE(AR490:AU490)))</f>
        <v>0.67759255785315653</v>
      </c>
      <c r="AD491" s="62">
        <f ca="1"/>
        <v>0.15798213734935468</v>
      </c>
      <c r="AE491" s="62">
        <f ca="1"/>
        <v>0.13203502486560031</v>
      </c>
      <c r="AF491" s="62">
        <f ca="1"/>
        <v>0.53957188363544306</v>
      </c>
      <c r="AG491" s="66" t="str">
        <f t="array" ref="AG491">IF($AB491, Push(MMULT($I$44:$L$47,MMULT(Fetch(AV490),TRANSPOSE($I$44:$L$47))) + $N$44:$Q$47), "")</f>
        <v/>
      </c>
      <c r="AH491" s="62">
        <f t="array" aca="1" ref="AH491:AK491" ca="1">TRANSPOSE($G$38:$G$41 + MMULT($I$38:$L$41,TRANSPOSE(AC491:AF491)))</f>
        <v>0.67012852744127382</v>
      </c>
      <c r="AI491" s="62">
        <f ca="1"/>
        <v>0.49882941585610308</v>
      </c>
      <c r="AJ491" s="62">
        <f ca="1"/>
        <v>0.77154815677240052</v>
      </c>
      <c r="AK491" s="62">
        <f ca="1"/>
        <v>0.19122683102484148</v>
      </c>
      <c r="AL491" s="66" t="str">
        <f t="array" ref="AL491">IF($AB491, Push(MINVERSE(MMULT($I$38:$L$41,MMULT(Fetch(AG491),TRANSPOSE($I$38:$L$41))) + $N$38:$Q$41)), "")</f>
        <v/>
      </c>
      <c r="AM491" s="62">
        <f t="array" aca="1" ref="AM491:AP491" ca="1">X491:AA491 - AH491:AK491</f>
        <v>7.2090669250815753E-2</v>
      </c>
      <c r="AN491" s="62">
        <f ca="1"/>
        <v>-0.47723065589099906</v>
      </c>
      <c r="AO491" s="62">
        <f ca="1"/>
        <v>-0.61548467039962362</v>
      </c>
      <c r="AP491" s="62">
        <f ca="1"/>
        <v>0.60203953950944156</v>
      </c>
      <c r="AQ491" s="66" t="str">
        <f t="array" ref="AQ491">IF($AB491, Push(MMULT(Fetch(AG491),MMULT(TRANSPOSE($I$38:$L$41),Fetch(AL491)))), "")</f>
        <v/>
      </c>
      <c r="AR491" s="62">
        <f t="array" aca="1" ref="AR491:AU491" ca="1">AC491:AF491 + TRANSPOSE(MMULT(IF($AB491,Fetch(AQ491),$L$61:$O$64),TRANSPOSE(AM491:AP491)))</f>
        <v>0.34614012094198754</v>
      </c>
      <c r="AS491" s="62">
        <f ca="1"/>
        <v>0.12174145163641793</v>
      </c>
      <c r="AT491" s="62">
        <f ca="1"/>
        <v>0.51094465558931734</v>
      </c>
      <c r="AU491" s="62">
        <f ca="1"/>
        <v>0.49590182023511109</v>
      </c>
      <c r="AV491" s="66" t="str">
        <f t="array" ref="AV491">IF($AB491, Push(Fetch(AG491) - MMULT(Fetch(AQ491),MMULT($I$38:$L$41,Fetch(AG491)))), "")</f>
        <v/>
      </c>
      <c r="AW491" s="97">
        <f t="array" aca="1" ref="AW491" ca="1">IF($AB491,LN(MDETERM(Fetch(AL491))),$J$65)   -   MMULT(AM491:AP491,MMULT(IF($AB491,Fetch(AL491),$G$61:$J$64),TRANSPOSE(AM491:AP491)))</f>
        <v>3.3397444036141977E-2</v>
      </c>
    </row>
    <row r="492" spans="23:49" x14ac:dyDescent="0.15">
      <c r="W492" s="12">
        <f t="shared" si="14"/>
        <v>489</v>
      </c>
      <c r="X492" s="62">
        <f t="array" aca="1" ref="X492:AA492" ca="1">simulate!AE492:AH492</f>
        <v>-0.42984821079504298</v>
      </c>
      <c r="Y492" s="62">
        <f ca="1"/>
        <v>-0.35014272314541445</v>
      </c>
      <c r="Z492" s="62">
        <f ca="1"/>
        <v>1.8172323878676522</v>
      </c>
      <c r="AA492" s="62">
        <f ca="1"/>
        <v>0.20936790833962199</v>
      </c>
      <c r="AB492" s="98">
        <f t="shared" si="15"/>
        <v>0</v>
      </c>
      <c r="AC492" s="62">
        <f t="array" aca="1" ref="AC492:AF492" ca="1">TRANSPOSE($G$44:$G$47 + MMULT($I$44:$L$47,TRANSPOSE(AR491:AU491)))</f>
        <v>0.53916643703066947</v>
      </c>
      <c r="AD492" s="62">
        <f ca="1"/>
        <v>0.28472411611588311</v>
      </c>
      <c r="AE492" s="62">
        <f ca="1"/>
        <v>0.49596890111653591</v>
      </c>
      <c r="AF492" s="62">
        <f ca="1"/>
        <v>0.57281025493379079</v>
      </c>
      <c r="AG492" s="66" t="str">
        <f t="array" ref="AG492">IF($AB492, Push(MMULT($I$44:$L$47,MMULT(Fetch(AV491),TRANSPOSE($I$44:$L$47))) + $N$44:$Q$47), "")</f>
        <v/>
      </c>
      <c r="AH492" s="62">
        <f t="array" aca="1" ref="AH492:AK492" ca="1">TRANSPOSE($G$38:$G$41 + MMULT($I$38:$L$41,TRANSPOSE(AC492:AF492)))</f>
        <v>0.7863785750950425</v>
      </c>
      <c r="AI492" s="62">
        <f ca="1"/>
        <v>0.47157659915770933</v>
      </c>
      <c r="AJ492" s="62">
        <f ca="1"/>
        <v>0.66379753860799529</v>
      </c>
      <c r="AK492" s="62">
        <f ca="1"/>
        <v>0.56926253093280277</v>
      </c>
      <c r="AL492" s="66" t="str">
        <f t="array" ref="AL492">IF($AB492, Push(MINVERSE(MMULT($I$38:$L$41,MMULT(Fetch(AG492),TRANSPOSE($I$38:$L$41))) + $N$38:$Q$41)), "")</f>
        <v/>
      </c>
      <c r="AM492" s="62">
        <f t="array" aca="1" ref="AM492:AP492" ca="1">X492:AA492 - AH492:AK492</f>
        <v>-1.2162267858900855</v>
      </c>
      <c r="AN492" s="62">
        <f ca="1"/>
        <v>-0.82171932230312383</v>
      </c>
      <c r="AO492" s="62">
        <f ca="1"/>
        <v>1.1534348492596569</v>
      </c>
      <c r="AP492" s="62">
        <f ca="1"/>
        <v>-0.35989462259318078</v>
      </c>
      <c r="AQ492" s="66" t="str">
        <f t="array" ref="AQ492">IF($AB492, Push(MMULT(Fetch(AG492),MMULT(TRANSPOSE($I$38:$L$41),Fetch(AL492)))), "")</f>
        <v/>
      </c>
      <c r="AR492" s="62">
        <f t="array" aca="1" ref="AR492:AU492" ca="1">AC492:AF492 + TRANSPOSE(MMULT(IF($AB492,Fetch(AQ492),$L$61:$O$64),TRANSPOSE(AM492:AP492)))</f>
        <v>0.22679106884732625</v>
      </c>
      <c r="AS492" s="62">
        <f ca="1"/>
        <v>-0.28516006359940482</v>
      </c>
      <c r="AT492" s="62">
        <f ca="1"/>
        <v>0.11581080616561157</v>
      </c>
      <c r="AU492" s="62">
        <f ca="1"/>
        <v>0.90692308662616083</v>
      </c>
      <c r="AV492" s="66" t="str">
        <f t="array" ref="AV492">IF($AB492, Push(Fetch(AG492) - MMULT(Fetch(AQ492),MMULT($I$38:$L$41,Fetch(AG492)))), "")</f>
        <v/>
      </c>
      <c r="AW492" s="97">
        <f t="array" aca="1" ref="AW492" ca="1">IF($AB492,LN(MDETERM(Fetch(AL492))),$J$65)   -   MMULT(AM492:AP492,MMULT(IF($AB492,Fetch(AL492),$G$61:$J$64),TRANSPOSE(AM492:AP492)))</f>
        <v>-7.2039718624708886</v>
      </c>
    </row>
    <row r="493" spans="23:49" x14ac:dyDescent="0.15">
      <c r="W493" s="12">
        <f t="shared" si="14"/>
        <v>490</v>
      </c>
      <c r="X493" s="62">
        <f t="array" aca="1" ref="X493:AA493" ca="1">simulate!AE493:AH493</f>
        <v>1.2200540660920103</v>
      </c>
      <c r="Y493" s="62">
        <f ca="1"/>
        <v>-0.43059871010370887</v>
      </c>
      <c r="Z493" s="62">
        <f ca="1"/>
        <v>0.61446912994596381</v>
      </c>
      <c r="AA493" s="62">
        <f ca="1"/>
        <v>0.4456052903324107</v>
      </c>
      <c r="AB493" s="98">
        <f t="shared" si="15"/>
        <v>0</v>
      </c>
      <c r="AC493" s="62">
        <f t="array" aca="1" ref="AC493:AF493" ca="1">TRANSPOSE($G$44:$G$47 + MMULT($I$44:$L$47,TRANSPOSE(AR492:AU492)))</f>
        <v>0.40611598528749338</v>
      </c>
      <c r="AD493" s="62">
        <f ca="1"/>
        <v>1.6371063188941624E-2</v>
      </c>
      <c r="AE493" s="62">
        <f ca="1"/>
        <v>0.26883452496033083</v>
      </c>
      <c r="AF493" s="62">
        <f ca="1"/>
        <v>0.69593852583513416</v>
      </c>
      <c r="AG493" s="66" t="str">
        <f t="array" ref="AG493">IF($AB493, Push(MMULT($I$44:$L$47,MMULT(Fetch(AV492),TRANSPOSE($I$44:$L$47))) + $N$44:$Q$47), "")</f>
        <v/>
      </c>
      <c r="AH493" s="62">
        <f t="array" aca="1" ref="AH493:AK493" ca="1">TRANSPOSE($G$38:$G$41 + MMULT($I$38:$L$41,TRANSPOSE(AC493:AF493)))</f>
        <v>0.52595750302840016</v>
      </c>
      <c r="AI493" s="62">
        <f ca="1"/>
        <v>0.27077771168382181</v>
      </c>
      <c r="AJ493" s="62">
        <f ca="1"/>
        <v>0.83826071414802139</v>
      </c>
      <c r="AK493" s="62">
        <f ca="1"/>
        <v>0.43551032704556225</v>
      </c>
      <c r="AL493" s="66" t="str">
        <f t="array" ref="AL493">IF($AB493, Push(MINVERSE(MMULT($I$38:$L$41,MMULT(Fetch(AG493),TRANSPOSE($I$38:$L$41))) + $N$38:$Q$41)), "")</f>
        <v/>
      </c>
      <c r="AM493" s="62">
        <f t="array" aca="1" ref="AM493:AP493" ca="1">X493:AA493 - AH493:AK493</f>
        <v>0.69409656306361012</v>
      </c>
      <c r="AN493" s="62">
        <f ca="1"/>
        <v>-0.70137642178753068</v>
      </c>
      <c r="AO493" s="62">
        <f ca="1"/>
        <v>-0.22379158420205758</v>
      </c>
      <c r="AP493" s="62">
        <f ca="1"/>
        <v>1.0094963286848446E-2</v>
      </c>
      <c r="AQ493" s="66" t="str">
        <f t="array" ref="AQ493">IF($AB493, Push(MMULT(Fetch(AG493),MMULT(TRANSPOSE($I$38:$L$41),Fetch(AL493)))), "")</f>
        <v/>
      </c>
      <c r="AR493" s="62">
        <f t="array" aca="1" ref="AR493:AU493" ca="1">AC493:AF493 + TRANSPOSE(MMULT(IF($AB493,Fetch(AQ493),$L$61:$O$64),TRANSPOSE(AM493:AP493)))</f>
        <v>0.55375487664853895</v>
      </c>
      <c r="AS493" s="62">
        <f ca="1"/>
        <v>-0.455855305177092</v>
      </c>
      <c r="AT493" s="62">
        <f ca="1"/>
        <v>0.5778906646517934</v>
      </c>
      <c r="AU493" s="62">
        <f ca="1"/>
        <v>0.60590780024203661</v>
      </c>
      <c r="AV493" s="66" t="str">
        <f t="array" ref="AV493">IF($AB493, Push(Fetch(AG493) - MMULT(Fetch(AQ493),MMULT($I$38:$L$41,Fetch(AG493)))), "")</f>
        <v/>
      </c>
      <c r="AW493" s="97">
        <f t="array" aca="1" ref="AW493" ca="1">IF($AB493,LN(MDETERM(Fetch(AL493))),$J$65)   -   MMULT(AM493:AP493,MMULT(IF($AB493,Fetch(AL493),$G$61:$J$64),TRANSPOSE(AM493:AP493)))</f>
        <v>-3.3608835177072915</v>
      </c>
    </row>
    <row r="494" spans="23:49" x14ac:dyDescent="0.15">
      <c r="W494" s="12">
        <f t="shared" si="14"/>
        <v>491</v>
      </c>
      <c r="X494" s="62">
        <f t="array" aca="1" ref="X494:AA494" ca="1">simulate!AE494:AH494</f>
        <v>1.8319728698468101</v>
      </c>
      <c r="Y494" s="62">
        <f ca="1"/>
        <v>0.32879940459987889</v>
      </c>
      <c r="Z494" s="62">
        <f ca="1"/>
        <v>0.78354001054292488</v>
      </c>
      <c r="AA494" s="62">
        <f ca="1"/>
        <v>0.92509875937745223</v>
      </c>
      <c r="AB494" s="98">
        <f t="shared" si="15"/>
        <v>0</v>
      </c>
      <c r="AC494" s="62">
        <f t="array" aca="1" ref="AC494:AF494" ca="1">TRANSPOSE($G$44:$G$47 + MMULT($I$44:$L$47,TRANSPOSE(AR493:AU493)))</f>
        <v>0.5758665399556292</v>
      </c>
      <c r="AD494" s="62">
        <f ca="1"/>
        <v>2.4225009966546557E-2</v>
      </c>
      <c r="AE494" s="62">
        <f ca="1"/>
        <v>0.46940501924618067</v>
      </c>
      <c r="AF494" s="62">
        <f ca="1"/>
        <v>0.61195264778777347</v>
      </c>
      <c r="AG494" s="66" t="str">
        <f t="array" ref="AG494">IF($AB494, Push(MMULT($I$44:$L$47,MMULT(Fetch(AV493),TRANSPOSE($I$44:$L$47))) + $N$44:$Q$47), "")</f>
        <v/>
      </c>
      <c r="AH494" s="62">
        <f t="array" aca="1" ref="AH494:AK494" ca="1">TRANSPOSE($G$38:$G$41 + MMULT($I$38:$L$41,TRANSPOSE(AC494:AF494)))</f>
        <v>0.79842984088173607</v>
      </c>
      <c r="AI494" s="62">
        <f ca="1"/>
        <v>0.2726598803562631</v>
      </c>
      <c r="AJ494" s="62">
        <f ca="1"/>
        <v>0.81209855854345725</v>
      </c>
      <c r="AK494" s="62">
        <f ca="1"/>
        <v>0.47058040459794115</v>
      </c>
      <c r="AL494" s="66" t="str">
        <f t="array" ref="AL494">IF($AB494, Push(MINVERSE(MMULT($I$38:$L$41,MMULT(Fetch(AG494),TRANSPOSE($I$38:$L$41))) + $N$38:$Q$41)), "")</f>
        <v/>
      </c>
      <c r="AM494" s="62">
        <f t="array" aca="1" ref="AM494:AP494" ca="1">X494:AA494 - AH494:AK494</f>
        <v>1.033543028965074</v>
      </c>
      <c r="AN494" s="62">
        <f ca="1"/>
        <v>5.613952424361579E-2</v>
      </c>
      <c r="AO494" s="62">
        <f ca="1"/>
        <v>-2.8558548000532369E-2</v>
      </c>
      <c r="AP494" s="62">
        <f ca="1"/>
        <v>0.45451835477951108</v>
      </c>
      <c r="AQ494" s="66" t="str">
        <f t="array" ref="AQ494">IF($AB494, Push(MMULT(Fetch(AG494),MMULT(TRANSPOSE($I$38:$L$41),Fetch(AL494)))), "")</f>
        <v/>
      </c>
      <c r="AR494" s="62">
        <f t="array" aca="1" ref="AR494:AU494" ca="1">AC494:AF494 + TRANSPOSE(MMULT(IF($AB494,Fetch(AQ494),$L$61:$O$64),TRANSPOSE(AM494:AP494)))</f>
        <v>0.94601143102396823</v>
      </c>
      <c r="AS494" s="62">
        <f ca="1"/>
        <v>-2.7819598748577562E-2</v>
      </c>
      <c r="AT494" s="62">
        <f ca="1"/>
        <v>1.1319222911239513</v>
      </c>
      <c r="AU494" s="62">
        <f ca="1"/>
        <v>0.76314917392955617</v>
      </c>
      <c r="AV494" s="66" t="str">
        <f t="array" ref="AV494">IF($AB494, Push(Fetch(AG494) - MMULT(Fetch(AQ494),MMULT($I$38:$L$41,Fetch(AG494)))), "")</f>
        <v/>
      </c>
      <c r="AW494" s="97">
        <f t="array" aca="1" ref="AW494" ca="1">IF($AB494,LN(MDETERM(Fetch(AL494))),$J$65)   -   MMULT(AM494:AP494,MMULT(IF($AB494,Fetch(AL494),$G$61:$J$64),TRANSPOSE(AM494:AP494)))</f>
        <v>1.7771477459972873</v>
      </c>
    </row>
    <row r="495" spans="23:49" x14ac:dyDescent="0.15">
      <c r="W495" s="12">
        <f t="shared" si="14"/>
        <v>492</v>
      </c>
      <c r="X495" s="62">
        <f t="array" aca="1" ref="X495:AA495" ca="1">simulate!AE495:AH495</f>
        <v>1.5060308870429635</v>
      </c>
      <c r="Y495" s="62">
        <f ca="1"/>
        <v>0.59773339269689818</v>
      </c>
      <c r="Z495" s="62">
        <f ca="1"/>
        <v>0.99243656917223111</v>
      </c>
      <c r="AA495" s="62">
        <f ca="1"/>
        <v>0.78702016515344886</v>
      </c>
      <c r="AB495" s="98">
        <f t="shared" si="15"/>
        <v>0</v>
      </c>
      <c r="AC495" s="62">
        <f t="array" aca="1" ref="AC495:AF495" ca="1">TRANSPOSE($G$44:$G$47 + MMULT($I$44:$L$47,TRANSPOSE(AR494:AU494)))</f>
        <v>0.89805425150687057</v>
      </c>
      <c r="AD495" s="62">
        <f ca="1"/>
        <v>0.41226776777355645</v>
      </c>
      <c r="AE495" s="62">
        <f ca="1"/>
        <v>0.88931184770655092</v>
      </c>
      <c r="AF495" s="62">
        <f ca="1"/>
        <v>0.83614641725747396</v>
      </c>
      <c r="AG495" s="66" t="str">
        <f t="array" ref="AG495">IF($AB495, Push(MMULT($I$44:$L$47,MMULT(Fetch(AV494),TRANSPOSE($I$44:$L$47))) + $N$44:$Q$47), "")</f>
        <v/>
      </c>
      <c r="AH495" s="62">
        <f t="array" aca="1" ref="AH495:AK495" ca="1">TRANSPOSE($G$38:$G$41 + MMULT($I$38:$L$41,TRANSPOSE(AC495:AF495)))</f>
        <v>1.2116180239852199</v>
      </c>
      <c r="AI495" s="62">
        <f ca="1"/>
        <v>0.66672146848388325</v>
      </c>
      <c r="AJ495" s="62">
        <f ca="1"/>
        <v>0.93745353651604124</v>
      </c>
      <c r="AK495" s="62">
        <f ca="1"/>
        <v>0.84373427878558149</v>
      </c>
      <c r="AL495" s="66" t="str">
        <f t="array" ref="AL495">IF($AB495, Push(MINVERSE(MMULT($I$38:$L$41,MMULT(Fetch(AG495),TRANSPOSE($I$38:$L$41))) + $N$38:$Q$41)), "")</f>
        <v/>
      </c>
      <c r="AM495" s="62">
        <f t="array" aca="1" ref="AM495:AP495" ca="1">X495:AA495 - AH495:AK495</f>
        <v>0.29441286305774361</v>
      </c>
      <c r="AN495" s="62">
        <f ca="1"/>
        <v>-6.898807578698507E-2</v>
      </c>
      <c r="AO495" s="62">
        <f ca="1"/>
        <v>5.4983032656189867E-2</v>
      </c>
      <c r="AP495" s="62">
        <f ca="1"/>
        <v>-5.6714113632132634E-2</v>
      </c>
      <c r="AQ495" s="66" t="str">
        <f t="array" ref="AQ495">IF($AB495, Push(MMULT(Fetch(AG495),MMULT(TRANSPOSE($I$38:$L$41),Fetch(AL495)))), "")</f>
        <v/>
      </c>
      <c r="AR495" s="62">
        <f t="array" aca="1" ref="AR495:AU495" ca="1">AC495:AF495 + TRANSPOSE(MMULT(IF($AB495,Fetch(AQ495),$L$61:$O$64),TRANSPOSE(AM495:AP495)))</f>
        <v>1.0477824429764926</v>
      </c>
      <c r="AS495" s="62">
        <f ca="1"/>
        <v>0.29877465198207898</v>
      </c>
      <c r="AT495" s="62">
        <f ca="1"/>
        <v>0.97675440850523176</v>
      </c>
      <c r="AU495" s="62">
        <f ca="1"/>
        <v>0.83933996582359782</v>
      </c>
      <c r="AV495" s="66" t="str">
        <f t="array" ref="AV495">IF($AB495, Push(Fetch(AG495) - MMULT(Fetch(AQ495),MMULT($I$38:$L$41,Fetch(AG495)))), "")</f>
        <v/>
      </c>
      <c r="AW495" s="97">
        <f t="array" aca="1" ref="AW495" ca="1">IF($AB495,LN(MDETERM(Fetch(AL495))),$J$65)   -   MMULT(AM495:AP495,MMULT(IF($AB495,Fetch(AL495),$G$61:$J$64),TRANSPOSE(AM495:AP495)))</f>
        <v>6.3386892183196704</v>
      </c>
    </row>
    <row r="496" spans="23:49" x14ac:dyDescent="0.15">
      <c r="W496" s="12">
        <f t="shared" si="14"/>
        <v>493</v>
      </c>
      <c r="X496" s="62">
        <f t="array" aca="1" ref="X496:AA496" ca="1">simulate!AE496:AH496</f>
        <v>1.2301523866478623</v>
      </c>
      <c r="Y496" s="62">
        <f ca="1"/>
        <v>0.89090763866609846</v>
      </c>
      <c r="Z496" s="62">
        <f ca="1"/>
        <v>0.86397065385894278</v>
      </c>
      <c r="AA496" s="62">
        <f ca="1"/>
        <v>0.39644706671718266</v>
      </c>
      <c r="AB496" s="98">
        <f t="shared" si="15"/>
        <v>0</v>
      </c>
      <c r="AC496" s="62">
        <f t="array" aca="1" ref="AC496:AF496" ca="1">TRANSPOSE($G$44:$G$47 + MMULT($I$44:$L$47,TRANSPOSE(AR495:AU495)))</f>
        <v>0.99396726601100016</v>
      </c>
      <c r="AD496" s="62">
        <f ca="1"/>
        <v>0.58763663805715416</v>
      </c>
      <c r="AE496" s="62">
        <f ca="1"/>
        <v>0.87705533291809823</v>
      </c>
      <c r="AF496" s="62">
        <f ca="1"/>
        <v>0.88024097164848825</v>
      </c>
      <c r="AG496" s="66" t="str">
        <f t="array" ref="AG496">IF($AB496, Push(MMULT($I$44:$L$47,MMULT(Fetch(AV495),TRANSPOSE($I$44:$L$47))) + $N$44:$Q$47), "")</f>
        <v/>
      </c>
      <c r="AH496" s="62">
        <f t="array" aca="1" ref="AH496:AK496" ca="1">TRANSPOSE($G$38:$G$41 + MMULT($I$38:$L$41,TRANSPOSE(AC496:AF496)))</f>
        <v>1.2505901141998699</v>
      </c>
      <c r="AI496" s="62">
        <f ca="1"/>
        <v>0.86680615349704215</v>
      </c>
      <c r="AJ496" s="62">
        <f ca="1"/>
        <v>0.94589019509946315</v>
      </c>
      <c r="AK496" s="62">
        <f ca="1"/>
        <v>0.8643308002624992</v>
      </c>
      <c r="AL496" s="66" t="str">
        <f t="array" ref="AL496">IF($AB496, Push(MINVERSE(MMULT($I$38:$L$41,MMULT(Fetch(AG496),TRANSPOSE($I$38:$L$41))) + $N$38:$Q$41)), "")</f>
        <v/>
      </c>
      <c r="AM496" s="62">
        <f t="array" aca="1" ref="AM496:AP496" ca="1">X496:AA496 - AH496:AK496</f>
        <v>-2.0437727552007567E-2</v>
      </c>
      <c r="AN496" s="62">
        <f ca="1"/>
        <v>2.4101485169056303E-2</v>
      </c>
      <c r="AO496" s="62">
        <f ca="1"/>
        <v>-8.1919541240520366E-2</v>
      </c>
      <c r="AP496" s="62">
        <f ca="1"/>
        <v>-0.46788373354531654</v>
      </c>
      <c r="AQ496" s="66" t="str">
        <f t="array" ref="AQ496">IF($AB496, Push(MMULT(Fetch(AG496),MMULT(TRANSPOSE($I$38:$L$41),Fetch(AL496)))), "")</f>
        <v/>
      </c>
      <c r="AR496" s="62">
        <f t="array" aca="1" ref="AR496:AU496" ca="1">AC496:AF496 + TRANSPOSE(MMULT(IF($AB496,Fetch(AQ496),$L$61:$O$64),TRANSPOSE(AM496:AP496)))</f>
        <v>1.0728767362028866</v>
      </c>
      <c r="AS496" s="62">
        <f ca="1"/>
        <v>0.52925241094522357</v>
      </c>
      <c r="AT496" s="62">
        <f ca="1"/>
        <v>0.544586434663207</v>
      </c>
      <c r="AU496" s="62">
        <f ca="1"/>
        <v>0.68362324803746222</v>
      </c>
      <c r="AV496" s="66" t="str">
        <f t="array" ref="AV496">IF($AB496, Push(Fetch(AG496) - MMULT(Fetch(AQ496),MMULT($I$38:$L$41,Fetch(AG496)))), "")</f>
        <v/>
      </c>
      <c r="AW496" s="97">
        <f t="array" aca="1" ref="AW496" ca="1">IF($AB496,LN(MDETERM(Fetch(AL496))),$J$65)   -   MMULT(AM496:AP496,MMULT(IF($AB496,Fetch(AL496),$G$61:$J$64),TRANSPOSE(AM496:AP496)))</f>
        <v>4.989241558278291</v>
      </c>
    </row>
    <row r="497" spans="23:49" x14ac:dyDescent="0.15">
      <c r="W497" s="12">
        <f t="shared" si="14"/>
        <v>494</v>
      </c>
      <c r="X497" s="62">
        <f t="array" aca="1" ref="X497:AA497" ca="1">simulate!AE497:AH497</f>
        <v>0.32253575683138169</v>
      </c>
      <c r="Y497" s="62">
        <f ca="1"/>
        <v>0.58902091527636491</v>
      </c>
      <c r="Z497" s="62">
        <f ca="1"/>
        <v>1.2330365420726155</v>
      </c>
      <c r="AA497" s="62">
        <f ca="1"/>
        <v>1.2505706492146216</v>
      </c>
      <c r="AB497" s="98">
        <f t="shared" si="15"/>
        <v>0</v>
      </c>
      <c r="AC497" s="62">
        <f t="array" aca="1" ref="AC497:AF497" ca="1">TRANSPOSE($G$44:$G$47 + MMULT($I$44:$L$47,TRANSPOSE(AR496:AU496)))</f>
        <v>1.0033823877684194</v>
      </c>
      <c r="AD497" s="62">
        <f ca="1"/>
        <v>0.6411446052583003</v>
      </c>
      <c r="AE497" s="62">
        <f ca="1"/>
        <v>0.65981421662405348</v>
      </c>
      <c r="AF497" s="62">
        <f ca="1"/>
        <v>0.74358781984789624</v>
      </c>
      <c r="AG497" s="66" t="str">
        <f t="array" ref="AG497">IF($AB497, Push(MMULT($I$44:$L$47,MMULT(Fetch(AV496),TRANSPOSE($I$44:$L$47))) + $N$44:$Q$47), "")</f>
        <v/>
      </c>
      <c r="AH497" s="62">
        <f t="array" aca="1" ref="AH497:AK497" ca="1">TRANSPOSE($G$38:$G$41 + MMULT($I$38:$L$41,TRANSPOSE(AC497:AF497)))</f>
        <v>1.1551913135284426</v>
      </c>
      <c r="AI497" s="62">
        <f ca="1"/>
        <v>0.94556978267366909</v>
      </c>
      <c r="AJ497" s="62">
        <f ca="1"/>
        <v>0.83527747119262807</v>
      </c>
      <c r="AK497" s="62">
        <f ca="1"/>
        <v>0.66115669158544721</v>
      </c>
      <c r="AL497" s="66" t="str">
        <f t="array" ref="AL497">IF($AB497, Push(MINVERSE(MMULT($I$38:$L$41,MMULT(Fetch(AG497),TRANSPOSE($I$38:$L$41))) + $N$38:$Q$41)), "")</f>
        <v/>
      </c>
      <c r="AM497" s="62">
        <f t="array" aca="1" ref="AM497:AP497" ca="1">X497:AA497 - AH497:AK497</f>
        <v>-0.83265555669706093</v>
      </c>
      <c r="AN497" s="62">
        <f ca="1"/>
        <v>-0.35654886739730418</v>
      </c>
      <c r="AO497" s="62">
        <f ca="1"/>
        <v>0.39775907087998741</v>
      </c>
      <c r="AP497" s="62">
        <f ca="1"/>
        <v>0.58941395762917437</v>
      </c>
      <c r="AQ497" s="66" t="str">
        <f t="array" ref="AQ497">IF($AB497, Push(MMULT(Fetch(AG497),MMULT(TRANSPOSE($I$38:$L$41),Fetch(AL497)))), "")</f>
        <v/>
      </c>
      <c r="AR497" s="62">
        <f t="array" aca="1" ref="AR497:AU497" ca="1">AC497:AF497 + TRANSPOSE(MMULT(IF($AB497,Fetch(AQ497),$L$61:$O$64),TRANSPOSE(AM497:AP497)))</f>
        <v>0.53597168246531823</v>
      </c>
      <c r="AS497" s="62">
        <f ca="1"/>
        <v>0.61659107647705191</v>
      </c>
      <c r="AT497" s="62">
        <f ca="1"/>
        <v>0.85797438042998142</v>
      </c>
      <c r="AU497" s="62">
        <f ca="1"/>
        <v>1.1058740981142461</v>
      </c>
      <c r="AV497" s="66" t="str">
        <f t="array" ref="AV497">IF($AB497, Push(Fetch(AG497) - MMULT(Fetch(AQ497),MMULT($I$38:$L$41,Fetch(AG497)))), "")</f>
        <v/>
      </c>
      <c r="AW497" s="97">
        <f t="array" aca="1" ref="AW497" ca="1">IF($AB497,LN(MDETERM(Fetch(AL497))),$J$65)   -   MMULT(AM497:AP497,MMULT(IF($AB497,Fetch(AL497),$G$61:$J$64),TRANSPOSE(AM497:AP497)))</f>
        <v>-6.2621372845632717</v>
      </c>
    </row>
    <row r="498" spans="23:49" x14ac:dyDescent="0.15">
      <c r="W498" s="12">
        <f t="shared" si="14"/>
        <v>495</v>
      </c>
      <c r="X498" s="62">
        <f t="array" aca="1" ref="X498:AA498" ca="1">simulate!AE498:AH498</f>
        <v>0.83160389622109598</v>
      </c>
      <c r="Y498" s="62">
        <f ca="1"/>
        <v>1.2440120626684112</v>
      </c>
      <c r="Z498" s="62">
        <f ca="1"/>
        <v>1.6334594298195471</v>
      </c>
      <c r="AA498" s="62">
        <f ca="1"/>
        <v>0.97581588042769862</v>
      </c>
      <c r="AB498" s="98">
        <f t="shared" si="15"/>
        <v>0</v>
      </c>
      <c r="AC498" s="62">
        <f t="array" aca="1" ref="AC498:AF498" ca="1">TRANSPOSE($G$44:$G$47 + MMULT($I$44:$L$47,TRANSPOSE(AR497:AU497)))</f>
        <v>0.76893850669498209</v>
      </c>
      <c r="AD498" s="62">
        <f ca="1"/>
        <v>0.67757830089187865</v>
      </c>
      <c r="AE498" s="62">
        <f ca="1"/>
        <v>0.86751796646149693</v>
      </c>
      <c r="AF498" s="62">
        <f ca="1"/>
        <v>1.0029321899148456</v>
      </c>
      <c r="AG498" s="66" t="str">
        <f t="array" ref="AG498">IF($AB498, Push(MMULT($I$44:$L$47,MMULT(Fetch(AV497),TRANSPOSE($I$44:$L$47))) + $N$44:$Q$47), "")</f>
        <v/>
      </c>
      <c r="AH498" s="62">
        <f t="array" aca="1" ref="AH498:AK498" ca="1">TRANSPOSE($G$38:$G$41 + MMULT($I$38:$L$41,TRANSPOSE(AC498:AF498)))</f>
        <v>1.0438688086004404</v>
      </c>
      <c r="AI498" s="62">
        <f ca="1"/>
        <v>0.88847167678069905</v>
      </c>
      <c r="AJ498" s="62">
        <f ca="1"/>
        <v>0.92809192547804087</v>
      </c>
      <c r="AK498" s="62">
        <f ca="1"/>
        <v>1.0385481075025891</v>
      </c>
      <c r="AL498" s="66" t="str">
        <f t="array" ref="AL498">IF($AB498, Push(MINVERSE(MMULT($I$38:$L$41,MMULT(Fetch(AG498),TRANSPOSE($I$38:$L$41))) + $N$38:$Q$41)), "")</f>
        <v/>
      </c>
      <c r="AM498" s="62">
        <f t="array" aca="1" ref="AM498:AP498" ca="1">X498:AA498 - AH498:AK498</f>
        <v>-0.21226491237934442</v>
      </c>
      <c r="AN498" s="62">
        <f ca="1"/>
        <v>0.3555403858877122</v>
      </c>
      <c r="AO498" s="62">
        <f ca="1"/>
        <v>0.70536750434150619</v>
      </c>
      <c r="AP498" s="62">
        <f ca="1"/>
        <v>-6.2732227074890456E-2</v>
      </c>
      <c r="AQ498" s="66" t="str">
        <f t="array" ref="AQ498">IF($AB498, Push(MMULT(Fetch(AG498),MMULT(TRANSPOSE($I$38:$L$41),Fetch(AL498)))), "")</f>
        <v/>
      </c>
      <c r="AR498" s="62">
        <f t="array" aca="1" ref="AR498:AU498" ca="1">AC498:AF498 + TRANSPOSE(MMULT(IF($AB498,Fetch(AQ498),$L$61:$O$64),TRANSPOSE(AM498:AP498)))</f>
        <v>0.9190426661769675</v>
      </c>
      <c r="AS498" s="62">
        <f ca="1"/>
        <v>0.75705846738333415</v>
      </c>
      <c r="AT498" s="62">
        <f ca="1"/>
        <v>0.82347910233686883</v>
      </c>
      <c r="AU498" s="62">
        <f ca="1"/>
        <v>1.2701294378006447</v>
      </c>
      <c r="AV498" s="66" t="str">
        <f t="array" ref="AV498">IF($AB498, Push(Fetch(AG498) - MMULT(Fetch(AQ498),MMULT($I$38:$L$41,Fetch(AG498)))), "")</f>
        <v/>
      </c>
      <c r="AW498" s="97">
        <f t="array" aca="1" ref="AW498" ca="1">IF($AB498,LN(MDETERM(Fetch(AL498))),$J$65)   -   MMULT(AM498:AP498,MMULT(IF($AB498,Fetch(AL498),$G$61:$J$64),TRANSPOSE(AM498:AP498)))</f>
        <v>1.7800402793768395</v>
      </c>
    </row>
    <row r="499" spans="23:49" x14ac:dyDescent="0.15">
      <c r="W499" s="12">
        <f t="shared" si="14"/>
        <v>496</v>
      </c>
      <c r="X499" s="62">
        <f t="array" aca="1" ref="X499:AA499" ca="1">simulate!AE499:AH499</f>
        <v>0.40452774960035165</v>
      </c>
      <c r="Y499" s="62">
        <f ca="1"/>
        <v>0.43944446548118987</v>
      </c>
      <c r="Z499" s="62">
        <f ca="1"/>
        <v>0.86943221087653388</v>
      </c>
      <c r="AA499" s="62">
        <f ca="1"/>
        <v>0.67909053708233913</v>
      </c>
      <c r="AB499" s="98">
        <f t="shared" si="15"/>
        <v>0</v>
      </c>
      <c r="AC499" s="62">
        <f t="array" aca="1" ref="AC499:AF499" ca="1">TRANSPOSE($G$44:$G$47 + MMULT($I$44:$L$47,TRANSPOSE(AR498:AU498)))</f>
        <v>1.0020513031106355</v>
      </c>
      <c r="AD499" s="62">
        <f ca="1"/>
        <v>0.82222377149942538</v>
      </c>
      <c r="AE499" s="62">
        <f ca="1"/>
        <v>0.92327091913732928</v>
      </c>
      <c r="AF499" s="62">
        <f ca="1"/>
        <v>1.1144494021687263</v>
      </c>
      <c r="AG499" s="66" t="str">
        <f t="array" ref="AG499">IF($AB499, Push(MMULT($I$44:$L$47,MMULT(Fetch(AV498),TRANSPOSE($I$44:$L$47))) + $N$44:$Q$47), "")</f>
        <v/>
      </c>
      <c r="AH499" s="62">
        <f t="array" aca="1" ref="AH499:AK499" ca="1">TRANSPOSE($G$38:$G$41 + MMULT($I$38:$L$41,TRANSPOSE(AC499:AF499)))</f>
        <v>1.2066995739108848</v>
      </c>
      <c r="AI499" s="62">
        <f ca="1"/>
        <v>1.108417741039281</v>
      </c>
      <c r="AJ499" s="62">
        <f ca="1"/>
        <v>1.0512272631931117</v>
      </c>
      <c r="AK499" s="62">
        <f ca="1"/>
        <v>1.0660422463748223</v>
      </c>
      <c r="AL499" s="66" t="str">
        <f t="array" ref="AL499">IF($AB499, Push(MINVERSE(MMULT($I$38:$L$41,MMULT(Fetch(AG499),TRANSPOSE($I$38:$L$41))) + $N$38:$Q$41)), "")</f>
        <v/>
      </c>
      <c r="AM499" s="62">
        <f t="array" aca="1" ref="AM499:AP499" ca="1">X499:AA499 - AH499:AK499</f>
        <v>-0.80217182431053313</v>
      </c>
      <c r="AN499" s="62">
        <f ca="1"/>
        <v>-0.66897327555809116</v>
      </c>
      <c r="AO499" s="62">
        <f ca="1"/>
        <v>-0.18179505231657778</v>
      </c>
      <c r="AP499" s="62">
        <f ca="1"/>
        <v>-0.38695170929248313</v>
      </c>
      <c r="AQ499" s="66" t="str">
        <f t="array" ref="AQ499">IF($AB499, Push(MMULT(Fetch(AG499),MMULT(TRANSPOSE($I$38:$L$41),Fetch(AL499)))), "")</f>
        <v/>
      </c>
      <c r="AR499" s="62">
        <f t="array" aca="1" ref="AR499:AU499" ca="1">AC499:AF499 + TRANSPOSE(MMULT(IF($AB499,Fetch(AQ499),$L$61:$O$64),TRANSPOSE(AM499:AP499)))</f>
        <v>0.57325439762658381</v>
      </c>
      <c r="AS499" s="62">
        <f ca="1"/>
        <v>0.54185160361344376</v>
      </c>
      <c r="AT499" s="62">
        <f ca="1"/>
        <v>0.43088160124072195</v>
      </c>
      <c r="AU499" s="62">
        <f ca="1"/>
        <v>0.89769242153961371</v>
      </c>
      <c r="AV499" s="66" t="str">
        <f t="array" ref="AV499">IF($AB499, Push(Fetch(AG499) - MMULT(Fetch(AQ499),MMULT($I$38:$L$41,Fetch(AG499)))), "")</f>
        <v/>
      </c>
      <c r="AW499" s="97">
        <f t="array" aca="1" ref="AW499" ca="1">IF($AB499,LN(MDETERM(Fetch(AL499))),$J$65)   -   MMULT(AM499:AP499,MMULT(IF($AB499,Fetch(AL499),$G$61:$J$64),TRANSPOSE(AM499:AP499)))</f>
        <v>2.229065601067818</v>
      </c>
    </row>
    <row r="500" spans="23:49" x14ac:dyDescent="0.15">
      <c r="W500" s="12">
        <f t="shared" si="14"/>
        <v>497</v>
      </c>
      <c r="X500" s="62">
        <f t="array" aca="1" ref="X500:AA500" ca="1">simulate!AE500:AH500</f>
        <v>1.0444451835412156</v>
      </c>
      <c r="Y500" s="62">
        <f ca="1"/>
        <v>1.5658317002518496</v>
      </c>
      <c r="Z500" s="62">
        <f ca="1"/>
        <v>-2.5605015897204486E-2</v>
      </c>
      <c r="AA500" s="62">
        <f ca="1"/>
        <v>0.14111462995139751</v>
      </c>
      <c r="AB500" s="98">
        <f t="shared" si="15"/>
        <v>0</v>
      </c>
      <c r="AC500" s="62">
        <f t="array" aca="1" ref="AC500:AF500" ca="1">TRANSPOSE($G$44:$G$47 + MMULT($I$44:$L$47,TRANSPOSE(AR499:AU499)))</f>
        <v>0.73760685116616065</v>
      </c>
      <c r="AD500" s="62">
        <f ca="1"/>
        <v>0.56524149459375883</v>
      </c>
      <c r="AE500" s="62">
        <f ca="1"/>
        <v>0.59656612449586754</v>
      </c>
      <c r="AF500" s="62">
        <f ca="1"/>
        <v>0.81762729074748841</v>
      </c>
      <c r="AG500" s="66" t="str">
        <f t="array" ref="AG500">IF($AB500, Push(MMULT($I$44:$L$47,MMULT(Fetch(AV499),TRANSPOSE($I$44:$L$47))) + $N$44:$Q$47), "")</f>
        <v/>
      </c>
      <c r="AH500" s="62">
        <f t="array" aca="1" ref="AH500:AK500" ca="1">TRANSPOSE($G$38:$G$41 + MMULT($I$38:$L$41,TRANSPOSE(AC500:AF500)))</f>
        <v>0.90779966634705045</v>
      </c>
      <c r="AI500" s="62">
        <f ca="1"/>
        <v>0.81182126151844414</v>
      </c>
      <c r="AJ500" s="62">
        <f ca="1"/>
        <v>0.82908247589038719</v>
      </c>
      <c r="AK500" s="62">
        <f ca="1"/>
        <v>0.74331757340028881</v>
      </c>
      <c r="AL500" s="66" t="str">
        <f t="array" ref="AL500">IF($AB500, Push(MINVERSE(MMULT($I$38:$L$41,MMULT(Fetch(AG500),TRANSPOSE($I$38:$L$41))) + $N$38:$Q$41)), "")</f>
        <v/>
      </c>
      <c r="AM500" s="62">
        <f t="array" aca="1" ref="AM500:AP500" ca="1">X500:AA500 - AH500:AK500</f>
        <v>0.13664551719416518</v>
      </c>
      <c r="AN500" s="62">
        <f ca="1"/>
        <v>0.75401043873340545</v>
      </c>
      <c r="AO500" s="62">
        <f ca="1"/>
        <v>-0.85468749178759174</v>
      </c>
      <c r="AP500" s="62">
        <f ca="1"/>
        <v>-0.60220294344889136</v>
      </c>
      <c r="AQ500" s="66" t="str">
        <f t="array" ref="AQ500">IF($AB500, Push(MMULT(Fetch(AG500),MMULT(TRANSPOSE($I$38:$L$41),Fetch(AL500)))), "")</f>
        <v/>
      </c>
      <c r="AR500" s="62">
        <f t="array" aca="1" ref="AR500:AU500" ca="1">AC500:AF500 + TRANSPOSE(MMULT(IF($AB500,Fetch(AQ500),$L$61:$O$64),TRANSPOSE(AM500:AP500)))</f>
        <v>0.83872963523751343</v>
      </c>
      <c r="AS500" s="62">
        <f ca="1"/>
        <v>1.0311933033952816</v>
      </c>
      <c r="AT500" s="62">
        <f ca="1"/>
        <v>1.0237302489535582E-2</v>
      </c>
      <c r="AU500" s="62">
        <f ca="1"/>
        <v>0.26495670154663953</v>
      </c>
      <c r="AV500" s="66" t="str">
        <f t="array" ref="AV500">IF($AB500, Push(Fetch(AG500) - MMULT(Fetch(AQ500),MMULT($I$38:$L$41,Fetch(AG500)))), "")</f>
        <v/>
      </c>
      <c r="AW500" s="97">
        <f t="array" aca="1" ref="AW500" ca="1">IF($AB500,LN(MDETERM(Fetch(AL500))),$J$65)   -   MMULT(AM500:AP500,MMULT(IF($AB500,Fetch(AL500),$G$61:$J$64),TRANSPOSE(AM500:AP500)))</f>
        <v>-0.43684715623329851</v>
      </c>
    </row>
    <row r="501" spans="23:49" x14ac:dyDescent="0.15">
      <c r="W501" s="12">
        <f t="shared" si="14"/>
        <v>498</v>
      </c>
      <c r="X501" s="62">
        <f t="array" aca="1" ref="X501:AA501" ca="1">simulate!AE501:AH501</f>
        <v>0.70173314351212879</v>
      </c>
      <c r="Y501" s="62">
        <f ca="1"/>
        <v>0.42384553222390015</v>
      </c>
      <c r="Z501" s="62">
        <f ca="1"/>
        <v>1.7544500311469302</v>
      </c>
      <c r="AA501" s="62">
        <f ca="1"/>
        <v>0.73774201011098173</v>
      </c>
      <c r="AB501" s="98">
        <f t="shared" si="15"/>
        <v>0</v>
      </c>
      <c r="AC501" s="62">
        <f t="array" aca="1" ref="AC501:AF501" ca="1">TRANSPOSE($G$44:$G$47 + MMULT($I$44:$L$47,TRANSPOSE(AR500:AU500)))</f>
        <v>0.89305209647867834</v>
      </c>
      <c r="AD501" s="62">
        <f ca="1"/>
        <v>0.76533296079367996</v>
      </c>
      <c r="AE501" s="62">
        <f ca="1"/>
        <v>0.37409429000309746</v>
      </c>
      <c r="AF501" s="62">
        <f ca="1"/>
        <v>0.45519773815099979</v>
      </c>
      <c r="AG501" s="66" t="str">
        <f t="array" ref="AG501">IF($AB501, Push(MMULT($I$44:$L$47,MMULT(Fetch(AV500),TRANSPOSE($I$44:$L$47))) + $N$44:$Q$47), "")</f>
        <v/>
      </c>
      <c r="AH501" s="62">
        <f t="array" aca="1" ref="AH501:AK501" ca="1">TRANSPOSE($G$38:$G$41 + MMULT($I$38:$L$41,TRANSPOSE(AC501:AF501)))</f>
        <v>0.9699837905105344</v>
      </c>
      <c r="AI501" s="62">
        <f ca="1"/>
        <v>1.0292930560434419</v>
      </c>
      <c r="AJ501" s="62">
        <f ca="1"/>
        <v>0.53115868788728049</v>
      </c>
      <c r="AK501" s="62">
        <f ca="1"/>
        <v>0.41908110613580857</v>
      </c>
      <c r="AL501" s="66" t="str">
        <f t="array" ref="AL501">IF($AB501, Push(MINVERSE(MMULT($I$38:$L$41,MMULT(Fetch(AG501),TRANSPOSE($I$38:$L$41))) + $N$38:$Q$41)), "")</f>
        <v/>
      </c>
      <c r="AM501" s="62">
        <f t="array" aca="1" ref="AM501:AP501" ca="1">X501:AA501 - AH501:AK501</f>
        <v>-0.26825064699840562</v>
      </c>
      <c r="AN501" s="62">
        <f ca="1"/>
        <v>-0.60544752381954181</v>
      </c>
      <c r="AO501" s="62">
        <f ca="1"/>
        <v>1.2232913432596497</v>
      </c>
      <c r="AP501" s="62">
        <f ca="1"/>
        <v>0.31866090397517316</v>
      </c>
      <c r="AQ501" s="66" t="str">
        <f t="array" ref="AQ501">IF($AB501, Push(MMULT(Fetch(AG501),MMULT(TRANSPOSE($I$38:$L$41),Fetch(AL501)))), "")</f>
        <v/>
      </c>
      <c r="AR501" s="62">
        <f t="array" aca="1" ref="AR501:AU501" ca="1">AC501:AF501 + TRANSPOSE(MMULT(IF($AB501,Fetch(AQ501),$L$61:$O$64),TRANSPOSE(AM501:AP501)))</f>
        <v>0.91138437088720903</v>
      </c>
      <c r="AS501" s="62">
        <f ca="1"/>
        <v>0.2735088354589148</v>
      </c>
      <c r="AT501" s="62">
        <f ca="1"/>
        <v>0.76942236339907133</v>
      </c>
      <c r="AU501" s="62">
        <f ca="1"/>
        <v>1.0596224810719448</v>
      </c>
      <c r="AV501" s="66" t="str">
        <f t="array" ref="AV501">IF($AB501, Push(Fetch(AG501) - MMULT(Fetch(AQ501),MMULT($I$38:$L$41,Fetch(AG501)))), "")</f>
        <v/>
      </c>
      <c r="AW501" s="97">
        <f t="array" aca="1" ref="AW501" ca="1">IF($AB501,LN(MDETERM(Fetch(AL501))),$J$65)   -   MMULT(AM501:AP501,MMULT(IF($AB501,Fetch(AL501),$G$61:$J$64),TRANSPOSE(AM501:AP501)))</f>
        <v>-1.6863745975047113</v>
      </c>
    </row>
    <row r="502" spans="23:49" x14ac:dyDescent="0.15">
      <c r="W502" s="12">
        <f t="shared" si="14"/>
        <v>499</v>
      </c>
      <c r="X502" s="62">
        <f t="array" aca="1" ref="X502:AA502" ca="1">simulate!AE502:AH502</f>
        <v>0.89893857242909947</v>
      </c>
      <c r="Y502" s="62">
        <f ca="1"/>
        <v>0.99619269972247293</v>
      </c>
      <c r="Z502" s="62">
        <f ca="1"/>
        <v>1.5913586354141818</v>
      </c>
      <c r="AA502" s="62">
        <f ca="1"/>
        <v>0.57089750020552588</v>
      </c>
      <c r="AB502" s="98">
        <f t="shared" si="15"/>
        <v>0</v>
      </c>
      <c r="AC502" s="62">
        <f t="array" aca="1" ref="AC502:AF502" ca="1">TRANSPOSE($G$44:$G$47 + MMULT($I$44:$L$47,TRANSPOSE(AR501:AU501)))</f>
        <v>0.91239015270576496</v>
      </c>
      <c r="AD502" s="62">
        <f ca="1"/>
        <v>0.53684285201744442</v>
      </c>
      <c r="AE502" s="62">
        <f ca="1"/>
        <v>0.78386894723670375</v>
      </c>
      <c r="AF502" s="62">
        <f ca="1"/>
        <v>0.95719442326795168</v>
      </c>
      <c r="AG502" s="66" t="str">
        <f t="array" ref="AG502">IF($AB502, Push(MMULT($I$44:$L$47,MMULT(Fetch(AV501),TRANSPOSE($I$44:$L$47))) + $N$44:$Q$47), "")</f>
        <v/>
      </c>
      <c r="AH502" s="62">
        <f t="array" aca="1" ref="AH502:AK502" ca="1">TRANSPOSE($G$38:$G$41 + MMULT($I$38:$L$41,TRANSPOSE(AC502:AF502)))</f>
        <v>1.113771332757383</v>
      </c>
      <c r="AI502" s="62">
        <f ca="1"/>
        <v>0.83130678492666932</v>
      </c>
      <c r="AJ502" s="62">
        <f ca="1"/>
        <v>1.0065880011787636</v>
      </c>
      <c r="AK502" s="62">
        <f ca="1"/>
        <v>0.85104311721273507</v>
      </c>
      <c r="AL502" s="66" t="str">
        <f t="array" ref="AL502">IF($AB502, Push(MINVERSE(MMULT($I$38:$L$41,MMULT(Fetch(AG502),TRANSPOSE($I$38:$L$41))) + $N$38:$Q$41)), "")</f>
        <v/>
      </c>
      <c r="AM502" s="62">
        <f t="array" aca="1" ref="AM502:AP502" ca="1">X502:AA502 - AH502:AK502</f>
        <v>-0.21483276032828358</v>
      </c>
      <c r="AN502" s="62">
        <f ca="1"/>
        <v>0.16488591479580361</v>
      </c>
      <c r="AO502" s="62">
        <f ca="1"/>
        <v>0.5847706342354182</v>
      </c>
      <c r="AP502" s="62">
        <f ca="1"/>
        <v>-0.28014561700720919</v>
      </c>
      <c r="AQ502" s="66" t="str">
        <f t="array" ref="AQ502">IF($AB502, Push(MMULT(Fetch(AG502),MMULT(TRANSPOSE($I$38:$L$41),Fetch(AL502)))), "")</f>
        <v/>
      </c>
      <c r="AR502" s="62">
        <f t="array" aca="1" ref="AR502:AU502" ca="1">AC502:AF502 + TRANSPOSE(MMULT(IF($AB502,Fetch(AQ502),$L$61:$O$64),TRANSPOSE(AM502:AP502)))</f>
        <v>1.0499763121808465</v>
      </c>
      <c r="AS502" s="62">
        <f ca="1"/>
        <v>0.49014662016950244</v>
      </c>
      <c r="AT502" s="62">
        <f ca="1"/>
        <v>0.59934346666910021</v>
      </c>
      <c r="AU502" s="62">
        <f ca="1"/>
        <v>1.0980162545622683</v>
      </c>
      <c r="AV502" s="66" t="str">
        <f t="array" ref="AV502">IF($AB502, Push(Fetch(AG502) - MMULT(Fetch(AQ502),MMULT($I$38:$L$41,Fetch(AG502)))), "")</f>
        <v/>
      </c>
      <c r="AW502" s="97">
        <f t="array" aca="1" ref="AW502" ca="1">IF($AB502,LN(MDETERM(Fetch(AL502))),$J$65)   -   MMULT(AM502:AP502,MMULT(IF($AB502,Fetch(AL502),$G$61:$J$64),TRANSPOSE(AM502:AP502)))</f>
        <v>4.065094413382865</v>
      </c>
    </row>
    <row r="503" spans="23:49" x14ac:dyDescent="0.15">
      <c r="W503" s="12">
        <f t="shared" si="14"/>
        <v>500</v>
      </c>
      <c r="X503" s="62">
        <f t="array" aca="1" ref="X503:AA503" ca="1">simulate!AE503:AH503</f>
        <v>0.98447950842401299</v>
      </c>
      <c r="Y503" s="62">
        <f ca="1"/>
        <v>1.1104030748599001</v>
      </c>
      <c r="Z503" s="62">
        <f ca="1"/>
        <v>1.2298945897678821</v>
      </c>
      <c r="AA503" s="62">
        <f ca="1"/>
        <v>1.0282538688601224</v>
      </c>
      <c r="AB503" s="98">
        <f t="shared" si="15"/>
        <v>0</v>
      </c>
      <c r="AC503" s="62">
        <f t="array" aca="1" ref="AC503:AF503" ca="1">TRANSPOSE($G$44:$G$47 + MMULT($I$44:$L$47,TRANSPOSE(AR502:AU502)))</f>
        <v>1.009038850019625</v>
      </c>
      <c r="AD503" s="62">
        <f ca="1"/>
        <v>0.65390801735557536</v>
      </c>
      <c r="AE503" s="62">
        <f ca="1"/>
        <v>0.74273429456135343</v>
      </c>
      <c r="AF503" s="62">
        <f ca="1"/>
        <v>0.97239716466219761</v>
      </c>
      <c r="AG503" s="66" t="str">
        <f t="array" ref="AG503">IF($AB503, Push(MMULT($I$44:$L$47,MMULT(Fetch(AV502),TRANSPOSE($I$44:$L$47))) + $N$44:$Q$47), "")</f>
        <v/>
      </c>
      <c r="AH503" s="62">
        <f t="array" aca="1" ref="AH503:AK503" ca="1">TRANSPOSE($G$38:$G$41 + MMULT($I$38:$L$41,TRANSPOSE(AC503:AF503)))</f>
        <v>1.1462153784817768</v>
      </c>
      <c r="AI503" s="62">
        <f ca="1"/>
        <v>0.98256422412381772</v>
      </c>
      <c r="AJ503" s="62">
        <f ca="1"/>
        <v>1.0160104518207127</v>
      </c>
      <c r="AK503" s="62">
        <f ca="1"/>
        <v>0.82025034154722376</v>
      </c>
      <c r="AL503" s="66" t="str">
        <f t="array" ref="AL503">IF($AB503, Push(MINVERSE(MMULT($I$38:$L$41,MMULT(Fetch(AG503),TRANSPOSE($I$38:$L$41))) + $N$38:$Q$41)), "")</f>
        <v/>
      </c>
      <c r="AM503" s="62">
        <f t="array" aca="1" ref="AM503:AP503" ca="1">X503:AA503 - AH503:AK503</f>
        <v>-0.1617358700577638</v>
      </c>
      <c r="AN503" s="62">
        <f ca="1"/>
        <v>0.12783885073608237</v>
      </c>
      <c r="AO503" s="62">
        <f ca="1"/>
        <v>0.21388413794716943</v>
      </c>
      <c r="AP503" s="62">
        <f ca="1"/>
        <v>0.20800352731289862</v>
      </c>
      <c r="AQ503" s="66" t="str">
        <f t="array" ref="AQ503">IF($AB503, Push(MMULT(Fetch(AG503),MMULT(TRANSPOSE($I$38:$L$41),Fetch(AL503)))), "")</f>
        <v/>
      </c>
      <c r="AR503" s="62">
        <f t="array" aca="1" ref="AR503:AU503" ca="1">AC503:AF503 + TRANSPOSE(MMULT(IF($AB503,Fetch(AQ503),$L$61:$O$64),TRANSPOSE(AM503:AP503)))</f>
        <v>0.96242729931245563</v>
      </c>
      <c r="AS503" s="62">
        <f ca="1"/>
        <v>0.75148297201351433</v>
      </c>
      <c r="AT503" s="62">
        <f ca="1"/>
        <v>0.84106445392546036</v>
      </c>
      <c r="AU503" s="62">
        <f ca="1"/>
        <v>1.132456282078764</v>
      </c>
      <c r="AV503" s="66" t="str">
        <f t="array" ref="AV503">IF($AB503, Push(Fetch(AG503) - MMULT(Fetch(AQ503),MMULT($I$38:$L$41,Fetch(AG503)))), "")</f>
        <v/>
      </c>
      <c r="AW503" s="97">
        <f t="array" aca="1" ref="AW503" ca="1">IF($AB503,LN(MDETERM(Fetch(AL503))),$J$65)   -   MMULT(AM503:AP503,MMULT(IF($AB503,Fetch(AL503),$G$61:$J$64),TRANSPOSE(AM503:AP503)))</f>
        <v>5.491280359065378</v>
      </c>
    </row>
    <row r="504" spans="23:49" x14ac:dyDescent="0.15">
      <c r="W504" s="12">
        <f t="shared" si="14"/>
        <v>501</v>
      </c>
      <c r="X504" s="62">
        <f t="array" aca="1" ref="X504:AA504" ca="1">simulate!AE504:AH504</f>
        <v>1.8871058522621347</v>
      </c>
      <c r="Y504" s="62">
        <f ca="1"/>
        <v>1.9617120199061602</v>
      </c>
      <c r="Z504" s="62">
        <f ca="1"/>
        <v>1.0283207142140152</v>
      </c>
      <c r="AA504" s="62">
        <f ca="1"/>
        <v>1.3364619438018164</v>
      </c>
      <c r="AB504" s="98">
        <f t="shared" si="15"/>
        <v>0</v>
      </c>
      <c r="AC504" s="62">
        <f t="array" aca="1" ref="AC504:AF504" ca="1">TRANSPOSE($G$44:$G$47 + MMULT($I$44:$L$47,TRANSPOSE(AR503:AU503)))</f>
        <v>1.0192929446754915</v>
      </c>
      <c r="AD504" s="62">
        <f ca="1"/>
        <v>0.81905890221697231</v>
      </c>
      <c r="AE504" s="62">
        <f ca="1"/>
        <v>0.91457694582036453</v>
      </c>
      <c r="AF504" s="62">
        <f ca="1"/>
        <v>1.0446387509327786</v>
      </c>
      <c r="AG504" s="66" t="str">
        <f t="array" ref="AG504">IF($AB504, Push(MMULT($I$44:$L$47,MMULT(Fetch(AV503),TRANSPOSE($I$44:$L$47))) + $N$44:$Q$47), "")</f>
        <v/>
      </c>
      <c r="AH504" s="62">
        <f t="array" aca="1" ref="AH504:AK504" ca="1">TRANSPOSE($G$38:$G$41 + MMULT($I$38:$L$41,TRANSPOSE(AC504:AF504)))</f>
        <v>1.233529553135287</v>
      </c>
      <c r="AI504" s="62">
        <f ca="1"/>
        <v>1.100539859633449</v>
      </c>
      <c r="AJ504" s="62">
        <f ca="1"/>
        <v>1.0015960829296191</v>
      </c>
      <c r="AK504" s="62">
        <f ca="1"/>
        <v>1.0211953964912939</v>
      </c>
      <c r="AL504" s="66" t="str">
        <f t="array" ref="AL504">IF($AB504, Push(MINVERSE(MMULT($I$38:$L$41,MMULT(Fetch(AG504),TRANSPOSE($I$38:$L$41))) + $N$38:$Q$41)), "")</f>
        <v/>
      </c>
      <c r="AM504" s="62">
        <f t="array" aca="1" ref="AM504:AP504" ca="1">X504:AA504 - AH504:AK504</f>
        <v>0.65357629912684767</v>
      </c>
      <c r="AN504" s="62">
        <f ca="1"/>
        <v>0.86117216027271115</v>
      </c>
      <c r="AO504" s="62">
        <f ca="1"/>
        <v>2.6724631284396061E-2</v>
      </c>
      <c r="AP504" s="62">
        <f ca="1"/>
        <v>0.3152665473105225</v>
      </c>
      <c r="AQ504" s="66" t="str">
        <f t="array" ref="AQ504">IF($AB504, Push(MMULT(Fetch(AG504),MMULT(TRANSPOSE($I$38:$L$41),Fetch(AL504)))), "")</f>
        <v/>
      </c>
      <c r="AR504" s="62">
        <f t="array" aca="1" ref="AR504:AU504" ca="1">AC504:AF504 + TRANSPOSE(MMULT(IF($AB504,Fetch(AQ504),$L$61:$O$64),TRANSPOSE(AM504:AP504)))</f>
        <v>1.3877578267589317</v>
      </c>
      <c r="AS504" s="62">
        <f ca="1"/>
        <v>1.2532722799979141</v>
      </c>
      <c r="AT504" s="62">
        <f ca="1"/>
        <v>1.2554452802865306</v>
      </c>
      <c r="AU504" s="62">
        <f ca="1"/>
        <v>1.1739946727589212</v>
      </c>
      <c r="AV504" s="66" t="str">
        <f t="array" ref="AV504">IF($AB504, Push(Fetch(AG504) - MMULT(Fetch(AQ504),MMULT($I$38:$L$41,Fetch(AG504)))), "")</f>
        <v/>
      </c>
      <c r="AW504" s="97">
        <f t="array" aca="1" ref="AW504" ca="1">IF($AB504,LN(MDETERM(Fetch(AL504))),$J$65)   -   MMULT(AM504:AP504,MMULT(IF($AB504,Fetch(AL504),$G$61:$J$64),TRANSPOSE(AM504:AP504)))</f>
        <v>1.9312493383768521</v>
      </c>
    </row>
    <row r="505" spans="23:49" x14ac:dyDescent="0.15">
      <c r="W505" s="12">
        <f t="shared" si="14"/>
        <v>502</v>
      </c>
      <c r="X505" s="62">
        <f t="array" aca="1" ref="X505:AA505" ca="1">simulate!AE505:AH505</f>
        <v>1.5328579573158327</v>
      </c>
      <c r="Y505" s="62">
        <f ca="1"/>
        <v>1.1313811073124613</v>
      </c>
      <c r="Z505" s="62">
        <f ca="1"/>
        <v>1.3838592156567728</v>
      </c>
      <c r="AA505" s="62">
        <f ca="1"/>
        <v>1.5888870943822448</v>
      </c>
      <c r="AB505" s="98">
        <f t="shared" si="15"/>
        <v>0</v>
      </c>
      <c r="AC505" s="62">
        <f t="array" aca="1" ref="AC505:AF505" ca="1">TRANSPOSE($G$44:$G$47 + MMULT($I$44:$L$47,TRANSPOSE(AR504:AU504)))</f>
        <v>1.354756927350909</v>
      </c>
      <c r="AD505" s="62">
        <f ca="1"/>
        <v>1.2234007439326933</v>
      </c>
      <c r="AE505" s="62">
        <f ca="1"/>
        <v>1.2562678157340477</v>
      </c>
      <c r="AF505" s="62">
        <f ca="1"/>
        <v>1.1905100424920121</v>
      </c>
      <c r="AG505" s="66" t="str">
        <f t="array" ref="AG505">IF($AB505, Push(MMULT($I$44:$L$47,MMULT(Fetch(AV504),TRANSPOSE($I$44:$L$47))) + $N$44:$Q$47), "")</f>
        <v/>
      </c>
      <c r="AH505" s="62">
        <f t="array" aca="1" ref="AH505:AK505" ca="1">TRANSPOSE($G$38:$G$41 + MMULT($I$38:$L$41,TRANSPOSE(AC505:AF505)))</f>
        <v>1.6278835192502423</v>
      </c>
      <c r="AI505" s="62">
        <f ca="1"/>
        <v>1.5183092943033163</v>
      </c>
      <c r="AJ505" s="62">
        <f ca="1"/>
        <v>1.067751437327461</v>
      </c>
      <c r="AK505" s="62">
        <f ca="1"/>
        <v>1.3033949905157354</v>
      </c>
      <c r="AL505" s="66" t="str">
        <f t="array" ref="AL505">IF($AB505, Push(MINVERSE(MMULT($I$38:$L$41,MMULT(Fetch(AG505),TRANSPOSE($I$38:$L$41))) + $N$38:$Q$41)), "")</f>
        <v/>
      </c>
      <c r="AM505" s="62">
        <f t="array" aca="1" ref="AM505:AP505" ca="1">X505:AA505 - AH505:AK505</f>
        <v>-9.5025561934409586E-2</v>
      </c>
      <c r="AN505" s="62">
        <f ca="1"/>
        <v>-0.38692818699085496</v>
      </c>
      <c r="AO505" s="62">
        <f ca="1"/>
        <v>0.31610777832931181</v>
      </c>
      <c r="AP505" s="62">
        <f ca="1"/>
        <v>0.28549210386650947</v>
      </c>
      <c r="AQ505" s="66" t="str">
        <f t="array" ref="AQ505">IF($AB505, Push(MMULT(Fetch(AG505),MMULT(TRANSPOSE($I$38:$L$41),Fetch(AL505)))), "")</f>
        <v/>
      </c>
      <c r="AR505" s="62">
        <f t="array" aca="1" ref="AR505:AU505" ca="1">AC505:AF505 + TRANSPOSE(MMULT(IF($AB505,Fetch(AQ505),$L$61:$O$64),TRANSPOSE(AM505:AP505)))</f>
        <v>1.2660851089687246</v>
      </c>
      <c r="AS505" s="62">
        <f ca="1"/>
        <v>1.0096479629258059</v>
      </c>
      <c r="AT505" s="62">
        <f ca="1"/>
        <v>1.511932244271941</v>
      </c>
      <c r="AU505" s="62">
        <f ca="1"/>
        <v>1.4159093004028118</v>
      </c>
      <c r="AV505" s="66" t="str">
        <f t="array" ref="AV505">IF($AB505, Push(Fetch(AG505) - MMULT(Fetch(AQ505),MMULT($I$38:$L$41,Fetch(AG505)))), "")</f>
        <v/>
      </c>
      <c r="AW505" s="97">
        <f t="array" aca="1" ref="AW505" ca="1">IF($AB505,LN(MDETERM(Fetch(AL505))),$J$65)   -   MMULT(AM505:AP505,MMULT(IF($AB505,Fetch(AL505),$G$61:$J$64),TRANSPOSE(AM505:AP505)))</f>
        <v>5.6826074781272897</v>
      </c>
    </row>
    <row r="506" spans="23:49" x14ac:dyDescent="0.15">
      <c r="W506" s="12">
        <f t="shared" si="14"/>
        <v>503</v>
      </c>
      <c r="X506" s="62">
        <f t="array" aca="1" ref="X506:AA506" ca="1">simulate!AE506:AH506</f>
        <v>1.8996229924600665</v>
      </c>
      <c r="Y506" s="62">
        <f ca="1"/>
        <v>0.80832407899811032</v>
      </c>
      <c r="Z506" s="62">
        <f ca="1"/>
        <v>2.0186626980385647</v>
      </c>
      <c r="AA506" s="62">
        <f ca="1"/>
        <v>1.7784299257319534</v>
      </c>
      <c r="AB506" s="98">
        <f t="shared" si="15"/>
        <v>0</v>
      </c>
      <c r="AC506" s="62">
        <f t="array" aca="1" ref="AC506:AF506" ca="1">TRANSPOSE($G$44:$G$47 + MMULT($I$44:$L$47,TRANSPOSE(AR505:AU505)))</f>
        <v>1.282873340123402</v>
      </c>
      <c r="AD506" s="62">
        <f ca="1"/>
        <v>1.1272488449482376</v>
      </c>
      <c r="AE506" s="62">
        <f ca="1"/>
        <v>1.3823753134263423</v>
      </c>
      <c r="AF506" s="62">
        <f ca="1"/>
        <v>1.3396160396465466</v>
      </c>
      <c r="AG506" s="66" t="str">
        <f t="array" ref="AG506">IF($AB506, Push(MMULT($I$44:$L$47,MMULT(Fetch(AV505),TRANSPOSE($I$44:$L$47))) + $N$44:$Q$47), "")</f>
        <v/>
      </c>
      <c r="AH506" s="62">
        <f t="array" aca="1" ref="AH506:AK506" ca="1">TRANSPOSE($G$38:$G$41 + MMULT($I$38:$L$41,TRANSPOSE(AC506:AF506)))</f>
        <v>1.6193532023343513</v>
      </c>
      <c r="AI506" s="62">
        <f ca="1"/>
        <v>1.4050151155235551</v>
      </c>
      <c r="AJ506" s="62">
        <f ca="1"/>
        <v>1.1892901553014272</v>
      </c>
      <c r="AK506" s="62">
        <f ca="1"/>
        <v>1.4610913441002442</v>
      </c>
      <c r="AL506" s="66" t="str">
        <f t="array" ref="AL506">IF($AB506, Push(MINVERSE(MMULT($I$38:$L$41,MMULT(Fetch(AG506),TRANSPOSE($I$38:$L$41))) + $N$38:$Q$41)), "")</f>
        <v/>
      </c>
      <c r="AM506" s="62">
        <f t="array" aca="1" ref="AM506:AP506" ca="1">X506:AA506 - AH506:AK506</f>
        <v>0.28026979012571518</v>
      </c>
      <c r="AN506" s="62">
        <f ca="1"/>
        <v>-0.59669103652544475</v>
      </c>
      <c r="AO506" s="62">
        <f ca="1"/>
        <v>0.82937254273713745</v>
      </c>
      <c r="AP506" s="62">
        <f ca="1"/>
        <v>0.31733858163170914</v>
      </c>
      <c r="AQ506" s="66" t="str">
        <f t="array" ref="AQ506">IF($AB506, Push(MMULT(Fetch(AG506),MMULT(TRANSPOSE($I$38:$L$41),Fetch(AL506)))), "")</f>
        <v/>
      </c>
      <c r="AR506" s="62">
        <f t="array" aca="1" ref="AR506:AU506" ca="1">AC506:AF506 + TRANSPOSE(MMULT(IF($AB506,Fetch(AQ506),$L$61:$O$64),TRANSPOSE(AM506:AP506)))</f>
        <v>1.4537664153158678</v>
      </c>
      <c r="AS506" s="62">
        <f ca="1"/>
        <v>0.62707824026650938</v>
      </c>
      <c r="AT506" s="62">
        <f ca="1"/>
        <v>1.9082606670947568</v>
      </c>
      <c r="AU506" s="62">
        <f ca="1"/>
        <v>1.7851491704329625</v>
      </c>
      <c r="AV506" s="66" t="str">
        <f t="array" ref="AV506">IF($AB506, Push(Fetch(AG506) - MMULT(Fetch(AQ506),MMULT($I$38:$L$41,Fetch(AG506)))), "")</f>
        <v/>
      </c>
      <c r="AW506" s="97">
        <f t="array" aca="1" ref="AW506" ca="1">IF($AB506,LN(MDETERM(Fetch(AL506))),$J$65)   -   MMULT(AM506:AP506,MMULT(IF($AB506,Fetch(AL506),$G$61:$J$64),TRANSPOSE(AM506:AP506)))</f>
        <v>2.9859841944882746</v>
      </c>
    </row>
    <row r="507" spans="23:49" x14ac:dyDescent="0.15">
      <c r="W507" s="12">
        <f t="shared" si="14"/>
        <v>504</v>
      </c>
      <c r="X507" s="62">
        <f t="array" aca="1" ref="X507:AA507" ca="1">simulate!AE507:AH507</f>
        <v>1.2580707528105399</v>
      </c>
      <c r="Y507" s="62">
        <f ca="1"/>
        <v>0.31089995464154285</v>
      </c>
      <c r="Z507" s="62">
        <f ca="1"/>
        <v>0.3980022452600207</v>
      </c>
      <c r="AA507" s="62">
        <f ca="1"/>
        <v>2.055716695782956</v>
      </c>
      <c r="AB507" s="98">
        <f t="shared" si="15"/>
        <v>0</v>
      </c>
      <c r="AC507" s="62">
        <f t="array" aca="1" ref="AC507:AF507" ca="1">TRANSPOSE($G$44:$G$47 + MMULT($I$44:$L$47,TRANSPOSE(AR506:AU506)))</f>
        <v>1.3735744669869356</v>
      </c>
      <c r="AD507" s="62">
        <f ca="1"/>
        <v>1.0360414470274406</v>
      </c>
      <c r="AE507" s="62">
        <f ca="1"/>
        <v>1.6023124867434175</v>
      </c>
      <c r="AF507" s="62">
        <f ca="1"/>
        <v>1.5851673564017734</v>
      </c>
      <c r="AG507" s="66" t="str">
        <f t="array" ref="AG507">IF($AB507, Push(MMULT($I$44:$L$47,MMULT(Fetch(AV506),TRANSPOSE($I$44:$L$47))) + $N$44:$Q$47), "")</f>
        <v/>
      </c>
      <c r="AH507" s="62">
        <f t="array" aca="1" ref="AH507:AK507" ca="1">TRANSPOSE($G$38:$G$41 + MMULT($I$38:$L$41,TRANSPOSE(AC507:AF507)))</f>
        <v>1.7591153791766811</v>
      </c>
      <c r="AI507" s="62">
        <f ca="1"/>
        <v>1.3511576607464439</v>
      </c>
      <c r="AJ507" s="62">
        <f ca="1"/>
        <v>1.4436318663380792</v>
      </c>
      <c r="AK507" s="62">
        <f ca="1"/>
        <v>1.6562566477095231</v>
      </c>
      <c r="AL507" s="66" t="str">
        <f t="array" ref="AL507">IF($AB507, Push(MINVERSE(MMULT($I$38:$L$41,MMULT(Fetch(AG507),TRANSPOSE($I$38:$L$41))) + $N$38:$Q$41)), "")</f>
        <v/>
      </c>
      <c r="AM507" s="62">
        <f t="array" aca="1" ref="AM507:AP507" ca="1">X507:AA507 - AH507:AK507</f>
        <v>-0.50104462636614122</v>
      </c>
      <c r="AN507" s="62">
        <f ca="1"/>
        <v>-1.0402577061049012</v>
      </c>
      <c r="AO507" s="62">
        <f ca="1"/>
        <v>-1.0456296210780585</v>
      </c>
      <c r="AP507" s="62">
        <f ca="1"/>
        <v>0.39946004807343294</v>
      </c>
      <c r="AQ507" s="66" t="str">
        <f t="array" ref="AQ507">IF($AB507, Push(MMULT(Fetch(AG507),MMULT(TRANSPOSE($I$38:$L$41),Fetch(AL507)))), "")</f>
        <v/>
      </c>
      <c r="AR507" s="62">
        <f t="array" aca="1" ref="AR507:AU507" ca="1">AC507:AF507 + TRANSPOSE(MMULT(IF($AB507,Fetch(AQ507),$L$61:$O$64),TRANSPOSE(AM507:AP507)))</f>
        <v>0.63052964869479333</v>
      </c>
      <c r="AS507" s="62">
        <f ca="1"/>
        <v>0.8285856257155908</v>
      </c>
      <c r="AT507" s="62">
        <f ca="1"/>
        <v>1.6381132810440198</v>
      </c>
      <c r="AU507" s="62">
        <f ca="1"/>
        <v>1.2894969551199922</v>
      </c>
      <c r="AV507" s="66" t="str">
        <f t="array" ref="AV507">IF($AB507, Push(Fetch(AG507) - MMULT(Fetch(AQ507),MMULT($I$38:$L$41,Fetch(AG507)))), "")</f>
        <v/>
      </c>
      <c r="AW507" s="97">
        <f t="array" aca="1" ref="AW507" ca="1">IF($AB507,LN(MDETERM(Fetch(AL507))),$J$65)   -   MMULT(AM507:AP507,MMULT(IF($AB507,Fetch(AL507),$G$61:$J$64),TRANSPOSE(AM507:AP507)))</f>
        <v>-10.39854925378827</v>
      </c>
    </row>
    <row r="508" spans="23:49" x14ac:dyDescent="0.15">
      <c r="W508" s="12">
        <f t="shared" si="14"/>
        <v>505</v>
      </c>
      <c r="X508" s="62">
        <f t="array" aca="1" ref="X508:AA508" ca="1">simulate!AE508:AH508</f>
        <v>1.1167865733746314</v>
      </c>
      <c r="Y508" s="62">
        <f ca="1"/>
        <v>0.55630454231735593</v>
      </c>
      <c r="Z508" s="62">
        <f ca="1"/>
        <v>0.66680933902984441</v>
      </c>
      <c r="AA508" s="62">
        <f ca="1"/>
        <v>0.98962564650440288</v>
      </c>
      <c r="AB508" s="98">
        <f t="shared" si="15"/>
        <v>0</v>
      </c>
      <c r="AC508" s="62">
        <f t="array" aca="1" ref="AC508:AF508" ca="1">TRANSPOSE($G$44:$G$47 + MMULT($I$44:$L$47,TRANSPOSE(AR507:AU507)))</f>
        <v>0.91573745419598729</v>
      </c>
      <c r="AD508" s="62">
        <f ca="1"/>
        <v>0.93594825938367676</v>
      </c>
      <c r="AE508" s="62">
        <f ca="1"/>
        <v>1.3571762047313025</v>
      </c>
      <c r="AF508" s="62">
        <f ca="1"/>
        <v>1.2483999501394176</v>
      </c>
      <c r="AG508" s="66" t="str">
        <f t="array" ref="AG508">IF($AB508, Push(MMULT($I$44:$L$47,MMULT(Fetch(AV507),TRANSPOSE($I$44:$L$47))) + $N$44:$Q$47), "")</f>
        <v/>
      </c>
      <c r="AH508" s="62">
        <f t="array" aca="1" ref="AH508:AK508" ca="1">TRANSPOSE($G$38:$G$41 + MMULT($I$38:$L$41,TRANSPOSE(AC508:AF508)))</f>
        <v>1.3767764375266078</v>
      </c>
      <c r="AI508" s="62">
        <f ca="1"/>
        <v>1.0910155372829906</v>
      </c>
      <c r="AJ508" s="62">
        <f ca="1"/>
        <v>1.0461765840932353</v>
      </c>
      <c r="AK508" s="62">
        <f ca="1"/>
        <v>1.5102779948628553</v>
      </c>
      <c r="AL508" s="66" t="str">
        <f t="array" ref="AL508">IF($AB508, Push(MINVERSE(MMULT($I$38:$L$41,MMULT(Fetch(AG508),TRANSPOSE($I$38:$L$41))) + $N$38:$Q$41)), "")</f>
        <v/>
      </c>
      <c r="AM508" s="62">
        <f t="array" aca="1" ref="AM508:AP508" ca="1">X508:AA508 - AH508:AK508</f>
        <v>-0.25998986415197645</v>
      </c>
      <c r="AN508" s="62">
        <f ca="1"/>
        <v>-0.53471099496563468</v>
      </c>
      <c r="AO508" s="62">
        <f ca="1"/>
        <v>-0.37936724506339092</v>
      </c>
      <c r="AP508" s="62">
        <f ca="1"/>
        <v>-0.52065234835845242</v>
      </c>
      <c r="AQ508" s="66" t="str">
        <f t="array" ref="AQ508">IF($AB508, Push(MMULT(Fetch(AG508),MMULT(TRANSPOSE($I$38:$L$41),Fetch(AL508)))), "")</f>
        <v/>
      </c>
      <c r="AR508" s="62">
        <f t="array" aca="1" ref="AR508:AU508" ca="1">AC508:AF508 + TRANSPOSE(MMULT(IF($AB508,Fetch(AQ508),$L$61:$O$64),TRANSPOSE(AM508:AP508)))</f>
        <v>0.73524079367782047</v>
      </c>
      <c r="AS508" s="62">
        <f ca="1"/>
        <v>0.65248008480288355</v>
      </c>
      <c r="AT508" s="62">
        <f ca="1"/>
        <v>0.92318949500333036</v>
      </c>
      <c r="AU508" s="62">
        <f ca="1"/>
        <v>0.90738995975679226</v>
      </c>
      <c r="AV508" s="66" t="str">
        <f t="array" ref="AV508">IF($AB508, Push(Fetch(AG508) - MMULT(Fetch(AQ508),MMULT($I$38:$L$41,Fetch(AG508)))), "")</f>
        <v/>
      </c>
      <c r="AW508" s="97">
        <f t="array" aca="1" ref="AW508" ca="1">IF($AB508,LN(MDETERM(Fetch(AL508))),$J$65)   -   MMULT(AM508:AP508,MMULT(IF($AB508,Fetch(AL508),$G$61:$J$64),TRANSPOSE(AM508:AP508)))</f>
        <v>1.2034068776453273</v>
      </c>
    </row>
    <row r="509" spans="23:49" x14ac:dyDescent="0.15">
      <c r="W509" s="12">
        <f t="shared" si="14"/>
        <v>506</v>
      </c>
      <c r="X509" s="62">
        <f t="array" aca="1" ref="X509:AA509" ca="1">simulate!AE509:AH509</f>
        <v>0.77923372229048726</v>
      </c>
      <c r="Y509" s="62">
        <f ca="1"/>
        <v>1.0890951763042231</v>
      </c>
      <c r="Z509" s="62">
        <f ca="1"/>
        <v>0.96974906330634369</v>
      </c>
      <c r="AA509" s="62">
        <f ca="1"/>
        <v>1.1727234537277349</v>
      </c>
      <c r="AB509" s="98">
        <f t="shared" si="15"/>
        <v>0</v>
      </c>
      <c r="AC509" s="62">
        <f t="array" aca="1" ref="AC509:AF509" ca="1">TRANSPOSE($G$44:$G$47 + MMULT($I$44:$L$47,TRANSPOSE(AR508:AU508)))</f>
        <v>0.87697395186437288</v>
      </c>
      <c r="AD509" s="62">
        <f ca="1"/>
        <v>0.7248367563981355</v>
      </c>
      <c r="AE509" s="62">
        <f ca="1"/>
        <v>0.89337672376353372</v>
      </c>
      <c r="AF509" s="62">
        <f ca="1"/>
        <v>0.91845493538293832</v>
      </c>
      <c r="AG509" s="66" t="str">
        <f t="array" ref="AG509">IF($AB509, Push(MMULT($I$44:$L$47,MMULT(Fetch(AV508),TRANSPOSE($I$44:$L$47))) + $N$44:$Q$47), "")</f>
        <v/>
      </c>
      <c r="AH509" s="62">
        <f t="array" aca="1" ref="AH509:AK509" ca="1">TRANSPOSE($G$38:$G$41 + MMULT($I$38:$L$41,TRANSPOSE(AC509:AF509)))</f>
        <v>1.1591234771863652</v>
      </c>
      <c r="AI509" s="62">
        <f ca="1"/>
        <v>0.94640640856143854</v>
      </c>
      <c r="AJ509" s="62">
        <f ca="1"/>
        <v>0.87894478555965372</v>
      </c>
      <c r="AK509" s="62">
        <f ca="1"/>
        <v>0.9870254158733236</v>
      </c>
      <c r="AL509" s="66" t="str">
        <f t="array" ref="AL509">IF($AB509, Push(MINVERSE(MMULT($I$38:$L$41,MMULT(Fetch(AG509),TRANSPOSE($I$38:$L$41))) + $N$38:$Q$41)), "")</f>
        <v/>
      </c>
      <c r="AM509" s="62">
        <f t="array" aca="1" ref="AM509:AP509" ca="1">X509:AA509 - AH509:AK509</f>
        <v>-0.37988975489587795</v>
      </c>
      <c r="AN509" s="62">
        <f ca="1"/>
        <v>0.14268876774278461</v>
      </c>
      <c r="AO509" s="62">
        <f ca="1"/>
        <v>9.0804277746689976E-2</v>
      </c>
      <c r="AP509" s="62">
        <f ca="1"/>
        <v>0.1856980378544113</v>
      </c>
      <c r="AQ509" s="66" t="str">
        <f t="array" ref="AQ509">IF($AB509, Push(MMULT(Fetch(AG509),MMULT(TRANSPOSE($I$38:$L$41),Fetch(AL509)))), "")</f>
        <v/>
      </c>
      <c r="AR509" s="62">
        <f t="array" aca="1" ref="AR509:AU509" ca="1">AC509:AF509 + TRANSPOSE(MMULT(IF($AB509,Fetch(AQ509),$L$61:$O$64),TRANSPOSE(AM509:AP509)))</f>
        <v>0.70751317062010388</v>
      </c>
      <c r="AS509" s="62">
        <f ca="1"/>
        <v>0.89031457027957794</v>
      </c>
      <c r="AT509" s="62">
        <f ca="1"/>
        <v>0.87520822700609779</v>
      </c>
      <c r="AU509" s="62">
        <f ca="1"/>
        <v>1.0198901752291316</v>
      </c>
      <c r="AV509" s="66" t="str">
        <f t="array" ref="AV509">IF($AB509, Push(Fetch(AG509) - MMULT(Fetch(AQ509),MMULT($I$38:$L$41,Fetch(AG509)))), "")</f>
        <v/>
      </c>
      <c r="AW509" s="97">
        <f t="array" aca="1" ref="AW509" ca="1">IF($AB509,LN(MDETERM(Fetch(AL509))),$J$65)   -   MMULT(AM509:AP509,MMULT(IF($AB509,Fetch(AL509),$G$61:$J$64),TRANSPOSE(AM509:AP509)))</f>
        <v>4.3893827912423076</v>
      </c>
    </row>
    <row r="510" spans="23:49" x14ac:dyDescent="0.15">
      <c r="W510" s="12">
        <f t="shared" si="14"/>
        <v>507</v>
      </c>
      <c r="X510" s="62">
        <f t="array" aca="1" ref="X510:AA510" ca="1">simulate!AE510:AH510</f>
        <v>1.0661055291280832</v>
      </c>
      <c r="Y510" s="62">
        <f ca="1"/>
        <v>1.0050869862132723</v>
      </c>
      <c r="Z510" s="62">
        <f ca="1"/>
        <v>-5.5981809521259251E-2</v>
      </c>
      <c r="AA510" s="62">
        <f ca="1"/>
        <v>0.65603222290746799</v>
      </c>
      <c r="AB510" s="98">
        <f t="shared" si="15"/>
        <v>0</v>
      </c>
      <c r="AC510" s="62">
        <f t="array" aca="1" ref="AC510:AF510" ca="1">TRANSPOSE($G$44:$G$47 + MMULT($I$44:$L$47,TRANSPOSE(AR509:AU509)))</f>
        <v>0.89918716432567969</v>
      </c>
      <c r="AD510" s="62">
        <f ca="1"/>
        <v>0.84969067715014279</v>
      </c>
      <c r="AE510" s="62">
        <f ca="1"/>
        <v>0.9207532753549057</v>
      </c>
      <c r="AF510" s="62">
        <f ca="1"/>
        <v>0.9870206963664736</v>
      </c>
      <c r="AG510" s="66" t="str">
        <f t="array" ref="AG510">IF($AB510, Push(MMULT($I$44:$L$47,MMULT(Fetch(AV509),TRANSPOSE($I$44:$L$47))) + $N$44:$Q$47), "")</f>
        <v/>
      </c>
      <c r="AH510" s="62">
        <f t="array" aca="1" ref="AH510:AK510" ca="1">TRANSPOSE($G$38:$G$41 + MMULT($I$38:$L$41,TRANSPOSE(AC510:AF510)))</f>
        <v>1.1662976321576666</v>
      </c>
      <c r="AI510" s="62">
        <f ca="1"/>
        <v>1.0698915277649435</v>
      </c>
      <c r="AJ510" s="62">
        <f ca="1"/>
        <v>0.89482888512881043</v>
      </c>
      <c r="AK510" s="62">
        <f ca="1"/>
        <v>1.064357942716218</v>
      </c>
      <c r="AL510" s="66" t="str">
        <f t="array" ref="AL510">IF($AB510, Push(MINVERSE(MMULT($I$38:$L$41,MMULT(Fetch(AG510),TRANSPOSE($I$38:$L$41))) + $N$38:$Q$41)), "")</f>
        <v/>
      </c>
      <c r="AM510" s="62">
        <f t="array" aca="1" ref="AM510:AP510" ca="1">X510:AA510 - AH510:AK510</f>
        <v>-0.10019210302958337</v>
      </c>
      <c r="AN510" s="62">
        <f ca="1"/>
        <v>-6.4804541551671146E-2</v>
      </c>
      <c r="AO510" s="62">
        <f ca="1"/>
        <v>-0.95081069465006962</v>
      </c>
      <c r="AP510" s="62">
        <f ca="1"/>
        <v>-0.40832571980874999</v>
      </c>
      <c r="AQ510" s="66" t="str">
        <f t="array" ref="AQ510">IF($AB510, Push(MMULT(Fetch(AG510),MMULT(TRANSPOSE($I$38:$L$41),Fetch(AL510)))), "")</f>
        <v/>
      </c>
      <c r="AR510" s="62">
        <f t="array" aca="1" ref="AR510:AU510" ca="1">AC510:AF510 + TRANSPOSE(MMULT(IF($AB510,Fetch(AQ510),$L$61:$O$64),TRANSPOSE(AM510:AP510)))</f>
        <v>0.69654431142455731</v>
      </c>
      <c r="AS510" s="62">
        <f ca="1"/>
        <v>0.94851655320309047</v>
      </c>
      <c r="AT510" s="62">
        <f ca="1"/>
        <v>0.46308607264543938</v>
      </c>
      <c r="AU510" s="62">
        <f ca="1"/>
        <v>0.45627535262261332</v>
      </c>
      <c r="AV510" s="66" t="str">
        <f t="array" ref="AV510">IF($AB510, Push(Fetch(AG510) - MMULT(Fetch(AQ510),MMULT($I$38:$L$41,Fetch(AG510)))), "")</f>
        <v/>
      </c>
      <c r="AW510" s="97">
        <f t="array" aca="1" ref="AW510" ca="1">IF($AB510,LN(MDETERM(Fetch(AL510))),$J$65)   -   MMULT(AM510:AP510,MMULT(IF($AB510,Fetch(AL510),$G$61:$J$64),TRANSPOSE(AM510:AP510)))</f>
        <v>0.43838364542613739</v>
      </c>
    </row>
    <row r="511" spans="23:49" x14ac:dyDescent="0.15">
      <c r="W511" s="12">
        <f t="shared" si="14"/>
        <v>508</v>
      </c>
      <c r="X511" s="62">
        <f t="array" aca="1" ref="X511:AA511" ca="1">simulate!AE511:AH511</f>
        <v>0.68974104050676166</v>
      </c>
      <c r="Y511" s="62">
        <f ca="1"/>
        <v>0.4681034202982417</v>
      </c>
      <c r="Z511" s="62">
        <f ca="1"/>
        <v>0.48579036588692814</v>
      </c>
      <c r="AA511" s="62">
        <f ca="1"/>
        <v>-1.0250161681748499E-2</v>
      </c>
      <c r="AB511" s="98">
        <f t="shared" si="15"/>
        <v>0</v>
      </c>
      <c r="AC511" s="62">
        <f t="array" aca="1" ref="AC511:AF511" ca="1">TRANSPOSE($G$44:$G$47 + MMULT($I$44:$L$47,TRANSPOSE(AR510:AU510)))</f>
        <v>0.84545532556561986</v>
      </c>
      <c r="AD511" s="62">
        <f ca="1"/>
        <v>0.77823257503565935</v>
      </c>
      <c r="AE511" s="62">
        <f ca="1"/>
        <v>0.62343531353163562</v>
      </c>
      <c r="AF511" s="62">
        <f ca="1"/>
        <v>0.61933045653352936</v>
      </c>
      <c r="AG511" s="66" t="str">
        <f t="array" ref="AG511">IF($AB511, Push(MMULT($I$44:$L$47,MMULT(Fetch(AV510),TRANSPOSE($I$44:$L$47))) + $N$44:$Q$47), "")</f>
        <v/>
      </c>
      <c r="AH511" s="62">
        <f t="array" aca="1" ref="AH511:AK511" ca="1">TRANSPOSE($G$38:$G$41 + MMULT($I$38:$L$41,TRANSPOSE(AC511:AF511)))</f>
        <v>1.047142611578096</v>
      </c>
      <c r="AI511" s="62">
        <f ca="1"/>
        <v>0.99146297509746983</v>
      </c>
      <c r="AJ511" s="62">
        <f ca="1"/>
        <v>0.62175145697806011</v>
      </c>
      <c r="AK511" s="62">
        <f ca="1"/>
        <v>0.69467265064033312</v>
      </c>
      <c r="AL511" s="66" t="str">
        <f t="array" ref="AL511">IF($AB511, Push(MINVERSE(MMULT($I$38:$L$41,MMULT(Fetch(AG511),TRANSPOSE($I$38:$L$41))) + $N$38:$Q$41)), "")</f>
        <v/>
      </c>
      <c r="AM511" s="62">
        <f t="array" aca="1" ref="AM511:AP511" ca="1">X511:AA511 - AH511:AK511</f>
        <v>-0.3574015710713343</v>
      </c>
      <c r="AN511" s="62">
        <f ca="1"/>
        <v>-0.52335955479922813</v>
      </c>
      <c r="AO511" s="62">
        <f ca="1"/>
        <v>-0.13596109109113197</v>
      </c>
      <c r="AP511" s="62">
        <f ca="1"/>
        <v>-0.70492281232208165</v>
      </c>
      <c r="AQ511" s="66" t="str">
        <f t="array" ref="AQ511">IF($AB511, Push(MMULT(Fetch(AG511),MMULT(TRANSPOSE($I$38:$L$41),Fetch(AL511)))), "")</f>
        <v/>
      </c>
      <c r="AR511" s="62">
        <f t="array" aca="1" ref="AR511:AU511" ca="1">AC511:AF511 + TRANSPOSE(MMULT(IF($AB511,Fetch(AQ511),$L$61:$O$64),TRANSPOSE(AM511:AP511)))</f>
        <v>0.72479491701230003</v>
      </c>
      <c r="AS511" s="62">
        <f ca="1"/>
        <v>0.43061535075208202</v>
      </c>
      <c r="AT511" s="62">
        <f ca="1"/>
        <v>7.2388441797131664E-2</v>
      </c>
      <c r="AU511" s="62">
        <f ca="1"/>
        <v>0.3128859612874233</v>
      </c>
      <c r="AV511" s="66" t="str">
        <f t="array" ref="AV511">IF($AB511, Push(Fetch(AG511) - MMULT(Fetch(AQ511),MMULT($I$38:$L$41,Fetch(AG511)))), "")</f>
        <v/>
      </c>
      <c r="AW511" s="97">
        <f t="array" aca="1" ref="AW511" ca="1">IF($AB511,LN(MDETERM(Fetch(AL511))),$J$65)   -   MMULT(AM511:AP511,MMULT(IF($AB511,Fetch(AL511),$G$61:$J$64),TRANSPOSE(AM511:AP511)))</f>
        <v>0.59159817613460142</v>
      </c>
    </row>
    <row r="512" spans="23:49" x14ac:dyDescent="0.15">
      <c r="W512" s="12">
        <f t="shared" si="14"/>
        <v>509</v>
      </c>
      <c r="X512" s="62">
        <f t="array" aca="1" ref="X512:AA512" ca="1">simulate!AE512:AH512</f>
        <v>0.88266837066864123</v>
      </c>
      <c r="Y512" s="62">
        <f ca="1"/>
        <v>0.27803551089286627</v>
      </c>
      <c r="Z512" s="62">
        <f ca="1"/>
        <v>2.0579911983386143</v>
      </c>
      <c r="AA512" s="62">
        <f ca="1"/>
        <v>1.1854551042650172</v>
      </c>
      <c r="AB512" s="98">
        <f t="shared" si="15"/>
        <v>0</v>
      </c>
      <c r="AC512" s="62">
        <f t="array" aca="1" ref="AC512:AF512" ca="1">TRANSPOSE($G$44:$G$47 + MMULT($I$44:$L$47,TRANSPOSE(AR511:AU511)))</f>
        <v>0.74936598257258091</v>
      </c>
      <c r="AD512" s="62">
        <f ca="1"/>
        <v>0.43508717406182607</v>
      </c>
      <c r="AE512" s="62">
        <f ca="1"/>
        <v>0.30913372481904516</v>
      </c>
      <c r="AF512" s="62">
        <f ca="1"/>
        <v>0.4429474251127154</v>
      </c>
      <c r="AG512" s="66" t="str">
        <f t="array" ref="AG512">IF($AB512, Push(MMULT($I$44:$L$47,MMULT(Fetch(AV511),TRANSPOSE($I$44:$L$47))) + $N$44:$Q$47), "")</f>
        <v/>
      </c>
      <c r="AH512" s="62">
        <f t="array" aca="1" ref="AH512:AK512" ca="1">TRANSPOSE($G$38:$G$41 + MMULT($I$38:$L$41,TRANSPOSE(AC512:AF512)))</f>
        <v>0.84688677133812029</v>
      </c>
      <c r="AI512" s="62">
        <f ca="1"/>
        <v>0.7025794287758842</v>
      </c>
      <c r="AJ512" s="62">
        <f ca="1"/>
        <v>0.59686189372953491</v>
      </c>
      <c r="AK512" s="62">
        <f ca="1"/>
        <v>0.3303887019924116</v>
      </c>
      <c r="AL512" s="66" t="str">
        <f t="array" ref="AL512">IF($AB512, Push(MINVERSE(MMULT($I$38:$L$41,MMULT(Fetch(AG512),TRANSPOSE($I$38:$L$41))) + $N$38:$Q$41)), "")</f>
        <v/>
      </c>
      <c r="AM512" s="62">
        <f t="array" aca="1" ref="AM512:AP512" ca="1">X512:AA512 - AH512:AK512</f>
        <v>3.5781599330520941E-2</v>
      </c>
      <c r="AN512" s="62">
        <f ca="1"/>
        <v>-0.42454391788301793</v>
      </c>
      <c r="AO512" s="62">
        <f ca="1"/>
        <v>1.4611293046090794</v>
      </c>
      <c r="AP512" s="62">
        <f ca="1"/>
        <v>0.85506640227260555</v>
      </c>
      <c r="AQ512" s="66" t="str">
        <f t="array" ref="AQ512">IF($AB512, Push(MMULT(Fetch(AG512),MMULT(TRANSPOSE($I$38:$L$41),Fetch(AL512)))), "")</f>
        <v/>
      </c>
      <c r="AR512" s="62">
        <f t="array" aca="1" ref="AR512:AU512" ca="1">AC512:AF512 + TRANSPOSE(MMULT(IF($AB512,Fetch(AQ512),$L$61:$O$64),TRANSPOSE(AM512:AP512)))</f>
        <v>0.87375450147998823</v>
      </c>
      <c r="AS512" s="62">
        <f ca="1"/>
        <v>5.0029893210433329E-2</v>
      </c>
      <c r="AT512" s="62">
        <f ca="1"/>
        <v>1.185471699675114</v>
      </c>
      <c r="AU512" s="62">
        <f ca="1"/>
        <v>1.3339039703983826</v>
      </c>
      <c r="AV512" s="66" t="str">
        <f t="array" ref="AV512">IF($AB512, Push(Fetch(AG512) - MMULT(Fetch(AQ512),MMULT($I$38:$L$41,Fetch(AG512)))), "")</f>
        <v/>
      </c>
      <c r="AW512" s="97">
        <f t="array" aca="1" ref="AW512" ca="1">IF($AB512,LN(MDETERM(Fetch(AL512))),$J$65)   -   MMULT(AM512:AP512,MMULT(IF($AB512,Fetch(AL512),$G$61:$J$64),TRANSPOSE(AM512:AP512)))</f>
        <v>-9.642127859185786</v>
      </c>
    </row>
    <row r="513" spans="23:49" x14ac:dyDescent="0.15">
      <c r="W513" s="12">
        <f t="shared" si="14"/>
        <v>510</v>
      </c>
      <c r="X513" s="62">
        <f t="array" aca="1" ref="X513:AA513" ca="1">simulate!AE513:AH513</f>
        <v>1.1707337741840562</v>
      </c>
      <c r="Y513" s="62">
        <f ca="1"/>
        <v>0.37984954502911578</v>
      </c>
      <c r="Z513" s="62">
        <f ca="1"/>
        <v>0.80756543272143211</v>
      </c>
      <c r="AA513" s="62">
        <f ca="1"/>
        <v>0.57007232381295903</v>
      </c>
      <c r="AB513" s="98">
        <f t="shared" si="15"/>
        <v>0</v>
      </c>
      <c r="AC513" s="62">
        <f t="array" aca="1" ref="AC513:AF513" ca="1">TRANSPOSE($G$44:$G$47 + MMULT($I$44:$L$47,TRANSPOSE(AR512:AU512)))</f>
        <v>0.90179096591262708</v>
      </c>
      <c r="AD513" s="62">
        <f ca="1"/>
        <v>0.49113395336334786</v>
      </c>
      <c r="AE513" s="62">
        <f ca="1"/>
        <v>1.0101953374629009</v>
      </c>
      <c r="AF513" s="62">
        <f ca="1"/>
        <v>1.1551601934553966</v>
      </c>
      <c r="AG513" s="66" t="str">
        <f t="array" ref="AG513">IF($AB513, Push(MMULT($I$44:$L$47,MMULT(Fetch(AV512),TRANSPOSE($I$44:$L$47))) + $N$44:$Q$47), "")</f>
        <v/>
      </c>
      <c r="AH513" s="62">
        <f t="array" aca="1" ref="AH513:AK513" ca="1">TRANSPOSE($G$38:$G$41 + MMULT($I$38:$L$41,TRANSPOSE(AC513:AF513)))</f>
        <v>1.1962477702015917</v>
      </c>
      <c r="AI513" s="62">
        <f ca="1"/>
        <v>0.76862942384390376</v>
      </c>
      <c r="AJ513" s="62">
        <f ca="1"/>
        <v>1.1641453537514757</v>
      </c>
      <c r="AK513" s="62">
        <f ca="1"/>
        <v>1.0899167105211327</v>
      </c>
      <c r="AL513" s="66" t="str">
        <f t="array" ref="AL513">IF($AB513, Push(MINVERSE(MMULT($I$38:$L$41,MMULT(Fetch(AG513),TRANSPOSE($I$38:$L$41))) + $N$38:$Q$41)), "")</f>
        <v/>
      </c>
      <c r="AM513" s="62">
        <f t="array" aca="1" ref="AM513:AP513" ca="1">X513:AA513 - AH513:AK513</f>
        <v>-2.5513996017535456E-2</v>
      </c>
      <c r="AN513" s="62">
        <f ca="1"/>
        <v>-0.38877987881478798</v>
      </c>
      <c r="AO513" s="62">
        <f ca="1"/>
        <v>-0.35657992103004355</v>
      </c>
      <c r="AP513" s="62">
        <f ca="1"/>
        <v>-0.51984438670817368</v>
      </c>
      <c r="AQ513" s="66" t="str">
        <f t="array" ref="AQ513">IF($AB513, Push(MMULT(Fetch(AG513),MMULT(TRANSPOSE($I$38:$L$41),Fetch(AL513)))), "")</f>
        <v/>
      </c>
      <c r="AR513" s="62">
        <f t="array" aca="1" ref="AR513:AU513" ca="1">AC513:AF513 + TRANSPOSE(MMULT(IF($AB513,Fetch(AQ513),$L$61:$O$64),TRANSPOSE(AM513:AP513)))</f>
        <v>0.85644075491847604</v>
      </c>
      <c r="AS513" s="62">
        <f ca="1"/>
        <v>0.24539259294353644</v>
      </c>
      <c r="AT513" s="62">
        <f ca="1"/>
        <v>0.64728937299384426</v>
      </c>
      <c r="AU513" s="62">
        <f ca="1"/>
        <v>0.82559257069101977</v>
      </c>
      <c r="AV513" s="66" t="str">
        <f t="array" ref="AV513">IF($AB513, Push(Fetch(AG513) - MMULT(Fetch(AQ513),MMULT($I$38:$L$41,Fetch(AG513)))), "")</f>
        <v/>
      </c>
      <c r="AW513" s="97">
        <f t="array" aca="1" ref="AW513" ca="1">IF($AB513,LN(MDETERM(Fetch(AL513))),$J$65)   -   MMULT(AM513:AP513,MMULT(IF($AB513,Fetch(AL513),$G$61:$J$64),TRANSPOSE(AM513:AP513)))</f>
        <v>1.2054019413333226</v>
      </c>
    </row>
    <row r="514" spans="23:49" x14ac:dyDescent="0.15">
      <c r="W514" s="12">
        <f t="shared" si="14"/>
        <v>511</v>
      </c>
      <c r="X514" s="62">
        <f t="array" aca="1" ref="X514:AA514" ca="1">simulate!AE514:AH514</f>
        <v>7.622180059980696E-2</v>
      </c>
      <c r="Y514" s="62">
        <f ca="1"/>
        <v>7.6106451710478695E-3</v>
      </c>
      <c r="Z514" s="62">
        <f ca="1"/>
        <v>8.3849525083958598E-2</v>
      </c>
      <c r="AA514" s="62">
        <f ca="1"/>
        <v>-0.12714066933348989</v>
      </c>
      <c r="AB514" s="98">
        <f t="shared" si="15"/>
        <v>0</v>
      </c>
      <c r="AC514" s="62">
        <f t="array" aca="1" ref="AC514:AF514" ca="1">TRANSPOSE($G$44:$G$47 + MMULT($I$44:$L$47,TRANSPOSE(AR513:AU513)))</f>
        <v>0.8586152124312878</v>
      </c>
      <c r="AD514" s="62">
        <f ca="1"/>
        <v>0.47800363718549527</v>
      </c>
      <c r="AE514" s="62">
        <f ca="1"/>
        <v>0.67479759964343888</v>
      </c>
      <c r="AF514" s="62">
        <f ca="1"/>
        <v>0.80632953925081963</v>
      </c>
      <c r="AG514" s="66" t="str">
        <f t="array" ref="AG514">IF($AB514, Push(MMULT($I$44:$L$47,MMULT(Fetch(AV513),TRANSPOSE($I$44:$L$47))) + $N$44:$Q$47), "")</f>
        <v/>
      </c>
      <c r="AH514" s="62">
        <f t="array" aca="1" ref="AH514:AK514" ca="1">TRANSPOSE($G$38:$G$41 + MMULT($I$38:$L$41,TRANSPOSE(AC514:AF514)))</f>
        <v>1.0519663190455306</v>
      </c>
      <c r="AI514" s="62">
        <f ca="1"/>
        <v>0.75836619963851049</v>
      </c>
      <c r="AJ514" s="62">
        <f ca="1"/>
        <v>0.89228784958912311</v>
      </c>
      <c r="AK514" s="62">
        <f ca="1"/>
        <v>0.71390867170993211</v>
      </c>
      <c r="AL514" s="66" t="str">
        <f t="array" ref="AL514">IF($AB514, Push(MINVERSE(MMULT($I$38:$L$41,MMULT(Fetch(AG514),TRANSPOSE($I$38:$L$41))) + $N$38:$Q$41)), "")</f>
        <v/>
      </c>
      <c r="AM514" s="62">
        <f t="array" aca="1" ref="AM514:AP514" ca="1">X514:AA514 - AH514:AK514</f>
        <v>-0.97574451844572363</v>
      </c>
      <c r="AN514" s="62">
        <f ca="1"/>
        <v>-0.75075555446746267</v>
      </c>
      <c r="AO514" s="62">
        <f ca="1"/>
        <v>-0.80843832450516451</v>
      </c>
      <c r="AP514" s="62">
        <f ca="1"/>
        <v>-0.84104934104342199</v>
      </c>
      <c r="AQ514" s="66" t="str">
        <f t="array" ref="AQ514">IF($AB514, Push(MMULT(Fetch(AG514),MMULT(TRANSPOSE($I$38:$L$41),Fetch(AL514)))), "")</f>
        <v/>
      </c>
      <c r="AR514" s="62">
        <f t="array" aca="1" ref="AR514:AU514" ca="1">AC514:AF514 + TRANSPOSE(MMULT(IF($AB514,Fetch(AQ514),$L$61:$O$64),TRANSPOSE(AM514:AP514)))</f>
        <v>0.28269240263600792</v>
      </c>
      <c r="AS514" s="62">
        <f ca="1"/>
        <v>0.22251439882941487</v>
      </c>
      <c r="AT514" s="62">
        <f ca="1"/>
        <v>-0.27517048886695494</v>
      </c>
      <c r="AU514" s="62">
        <f ca="1"/>
        <v>0.17453525957895133</v>
      </c>
      <c r="AV514" s="66" t="str">
        <f t="array" ref="AV514">IF($AB514, Push(Fetch(AG514) - MMULT(Fetch(AQ514),MMULT($I$38:$L$41,Fetch(AG514)))), "")</f>
        <v/>
      </c>
      <c r="AW514" s="97">
        <f t="array" aca="1" ref="AW514" ca="1">IF($AB514,LN(MDETERM(Fetch(AL514))),$J$65)   -   MMULT(AM514:AP514,MMULT(IF($AB514,Fetch(AL514),$G$61:$J$64),TRANSPOSE(AM514:AP514)))</f>
        <v>-7.0630904622374686</v>
      </c>
    </row>
    <row r="515" spans="23:49" x14ac:dyDescent="0.15">
      <c r="W515" s="12">
        <f t="shared" si="14"/>
        <v>512</v>
      </c>
      <c r="X515" s="62">
        <f t="array" aca="1" ref="X515:AA515" ca="1">simulate!AE515:AH515</f>
        <v>0.60131213240964676</v>
      </c>
      <c r="Y515" s="62">
        <f ca="1"/>
        <v>7.5252222598232665E-2</v>
      </c>
      <c r="Z515" s="62">
        <f ca="1"/>
        <v>0.46176158214798246</v>
      </c>
      <c r="AA515" s="62">
        <f ca="1"/>
        <v>0.44788539203314082</v>
      </c>
      <c r="AB515" s="98">
        <f t="shared" si="15"/>
        <v>0</v>
      </c>
      <c r="AC515" s="62">
        <f t="array" aca="1" ref="AC515:AF515" ca="1">TRANSPOSE($G$44:$G$47 + MMULT($I$44:$L$47,TRANSPOSE(AR514:AU514)))</f>
        <v>0.44841142338968415</v>
      </c>
      <c r="AD515" s="62">
        <f ca="1"/>
        <v>0.18963350206976828</v>
      </c>
      <c r="AE515" s="62">
        <f ca="1"/>
        <v>3.5693558224486277E-2</v>
      </c>
      <c r="AF515" s="62">
        <f ca="1"/>
        <v>0.27573925276941358</v>
      </c>
      <c r="AG515" s="66" t="str">
        <f t="array" ref="AG515">IF($AB515, Push(MMULT($I$44:$L$47,MMULT(Fetch(AV514),TRANSPOSE($I$44:$L$47))) + $N$44:$Q$47), "")</f>
        <v/>
      </c>
      <c r="AH515" s="62">
        <f t="array" aca="1" ref="AH515:AK515" ca="1">TRANSPOSE($G$38:$G$41 + MMULT($I$38:$L$41,TRANSPOSE(AC515:AF515)))</f>
        <v>0.5182648430410457</v>
      </c>
      <c r="AI515" s="62">
        <f ca="1"/>
        <v>0.41438340808575308</v>
      </c>
      <c r="AJ515" s="62">
        <f ca="1"/>
        <v>0.45952536299162516</v>
      </c>
      <c r="AK515" s="62">
        <f ca="1"/>
        <v>0.12149014139764834</v>
      </c>
      <c r="AL515" s="66" t="str">
        <f t="array" ref="AL515">IF($AB515, Push(MINVERSE(MMULT($I$38:$L$41,MMULT(Fetch(AG515),TRANSPOSE($I$38:$L$41))) + $N$38:$Q$41)), "")</f>
        <v/>
      </c>
      <c r="AM515" s="62">
        <f t="array" aca="1" ref="AM515:AP515" ca="1">X515:AA515 - AH515:AK515</f>
        <v>8.3047289368601063E-2</v>
      </c>
      <c r="AN515" s="62">
        <f ca="1"/>
        <v>-0.33913118548752041</v>
      </c>
      <c r="AO515" s="62">
        <f ca="1"/>
        <v>2.2362191563572997E-3</v>
      </c>
      <c r="AP515" s="62">
        <f ca="1"/>
        <v>0.32639525063549246</v>
      </c>
      <c r="AQ515" s="66" t="str">
        <f t="array" ref="AQ515">IF($AB515, Push(MMULT(Fetch(AG515),MMULT(TRANSPOSE($I$38:$L$41),Fetch(AL515)))), "")</f>
        <v/>
      </c>
      <c r="AR515" s="62">
        <f t="array" aca="1" ref="AR515:AU515" ca="1">AC515:AF515 + TRANSPOSE(MMULT(IF($AB515,Fetch(AQ515),$L$61:$O$64),TRANSPOSE(AM515:AP515)))</f>
        <v>0.36038665840749207</v>
      </c>
      <c r="AS515" s="62">
        <f ca="1"/>
        <v>4.6017425724283884E-2</v>
      </c>
      <c r="AT515" s="62">
        <f ca="1"/>
        <v>0.32390722770711233</v>
      </c>
      <c r="AU515" s="62">
        <f ca="1"/>
        <v>0.38852300962216224</v>
      </c>
      <c r="AV515" s="66" t="str">
        <f t="array" ref="AV515">IF($AB515, Push(Fetch(AG515) - MMULT(Fetch(AQ515),MMULT($I$38:$L$41,Fetch(AG515)))), "")</f>
        <v/>
      </c>
      <c r="AW515" s="97">
        <f t="array" aca="1" ref="AW515" ca="1">IF($AB515,LN(MDETERM(Fetch(AL515))),$J$65)   -   MMULT(AM515:AP515,MMULT(IF($AB515,Fetch(AL515),$G$61:$J$64),TRANSPOSE(AM515:AP515)))</f>
        <v>5.9736833534272646</v>
      </c>
    </row>
    <row r="516" spans="23:49" x14ac:dyDescent="0.15">
      <c r="W516" s="12">
        <f t="shared" si="14"/>
        <v>513</v>
      </c>
      <c r="X516" s="62">
        <f t="array" aca="1" ref="X516:AA516" ca="1">simulate!AE516:AH516</f>
        <v>0.33266002249006038</v>
      </c>
      <c r="Y516" s="62">
        <f ca="1"/>
        <v>-0.32129012306087568</v>
      </c>
      <c r="Z516" s="62">
        <f ca="1"/>
        <v>1.8463958725624667</v>
      </c>
      <c r="AA516" s="62">
        <f ca="1"/>
        <v>-0.27686558079664514</v>
      </c>
      <c r="AB516" s="98">
        <f t="shared" si="15"/>
        <v>0</v>
      </c>
      <c r="AC516" s="62">
        <f t="array" aca="1" ref="AC516:AF516" ca="1">TRANSPOSE($G$44:$G$47 + MMULT($I$44:$L$47,TRANSPOSE(AR515:AU515)))</f>
        <v>0.51717997891224687</v>
      </c>
      <c r="AD516" s="62">
        <f ca="1"/>
        <v>0.21081703200693983</v>
      </c>
      <c r="AE516" s="62">
        <f ca="1"/>
        <v>0.36778318018794431</v>
      </c>
      <c r="AF516" s="62">
        <f ca="1"/>
        <v>0.47974464698135078</v>
      </c>
      <c r="AG516" s="66" t="str">
        <f t="array" ref="AG516">IF($AB516, Push(MMULT($I$44:$L$47,MMULT(Fetch(AV515),TRANSPOSE($I$44:$L$47))) + $N$44:$Q$47), "")</f>
        <v/>
      </c>
      <c r="AH516" s="62">
        <f t="array" aca="1" ref="AH516:AK516" ca="1">TRANSPOSE($G$38:$G$41 + MMULT($I$38:$L$41,TRANSPOSE(AC516:AF516)))</f>
        <v>0.71951764830725895</v>
      </c>
      <c r="AI516" s="62">
        <f ca="1"/>
        <v>0.41351277911557094</v>
      </c>
      <c r="AJ516" s="62">
        <f ca="1"/>
        <v>0.61756392173870145</v>
      </c>
      <c r="AK516" s="62">
        <f ca="1"/>
        <v>0.42414495860610074</v>
      </c>
      <c r="AL516" s="66" t="str">
        <f t="array" ref="AL516">IF($AB516, Push(MINVERSE(MMULT($I$38:$L$41,MMULT(Fetch(AG516),TRANSPOSE($I$38:$L$41))) + $N$38:$Q$41)), "")</f>
        <v/>
      </c>
      <c r="AM516" s="62">
        <f t="array" aca="1" ref="AM516:AP516" ca="1">X516:AA516 - AH516:AK516</f>
        <v>-0.38685762581719857</v>
      </c>
      <c r="AN516" s="62">
        <f ca="1"/>
        <v>-0.73480290217644662</v>
      </c>
      <c r="AO516" s="62">
        <f ca="1"/>
        <v>1.2288319508237653</v>
      </c>
      <c r="AP516" s="62">
        <f ca="1"/>
        <v>-0.70101053940274594</v>
      </c>
      <c r="AQ516" s="66" t="str">
        <f t="array" ref="AQ516">IF($AB516, Push(MMULT(Fetch(AG516),MMULT(TRANSPOSE($I$38:$L$41),Fetch(AL516)))), "")</f>
        <v/>
      </c>
      <c r="AR516" s="62">
        <f t="array" aca="1" ref="AR516:AU516" ca="1">AC516:AF516 + TRANSPOSE(MMULT(IF($AB516,Fetch(AQ516),$L$61:$O$64),TRANSPOSE(AM516:AP516)))</f>
        <v>0.69142867289506504</v>
      </c>
      <c r="AS516" s="62">
        <f ca="1"/>
        <v>-0.53767246733553142</v>
      </c>
      <c r="AT516" s="62">
        <f ca="1"/>
        <v>6.5658565958878645E-2</v>
      </c>
      <c r="AU516" s="62">
        <f ca="1"/>
        <v>0.72912663450929194</v>
      </c>
      <c r="AV516" s="66" t="str">
        <f t="array" ref="AV516">IF($AB516, Push(Fetch(AG516) - MMULT(Fetch(AQ516),MMULT($I$38:$L$41,Fetch(AG516)))), "")</f>
        <v/>
      </c>
      <c r="AW516" s="97">
        <f t="array" aca="1" ref="AW516" ca="1">IF($AB516,LN(MDETERM(Fetch(AL516))),$J$65)   -   MMULT(AM516:AP516,MMULT(IF($AB516,Fetch(AL516),$G$61:$J$64),TRANSPOSE(AM516:AP516)))</f>
        <v>-5.558165933140037</v>
      </c>
    </row>
    <row r="517" spans="23:49" x14ac:dyDescent="0.15">
      <c r="W517" s="12">
        <f t="shared" ref="W517:W580" si="16">W516+1</f>
        <v>514</v>
      </c>
      <c r="X517" s="62">
        <f t="array" aca="1" ref="X517:AA517" ca="1">simulate!AE517:AH517</f>
        <v>8.537920817093278E-2</v>
      </c>
      <c r="Y517" s="62">
        <f ca="1"/>
        <v>0.65390355601061634</v>
      </c>
      <c r="Z517" s="62">
        <f ca="1"/>
        <v>0.89669557409389866</v>
      </c>
      <c r="AA517" s="62">
        <f ca="1"/>
        <v>-0.60305739566215411</v>
      </c>
      <c r="AB517" s="98">
        <f t="shared" ref="AB517:AB580" si="17">($W517&lt;=$D$51) * 1</f>
        <v>0</v>
      </c>
      <c r="AC517" s="62">
        <f t="array" aca="1" ref="AC517:AF517" ca="1">TRANSPOSE($G$44:$G$47 + MMULT($I$44:$L$47,TRANSPOSE(AR516:AU516)))</f>
        <v>0.60757126405335027</v>
      </c>
      <c r="AD517" s="62">
        <f ca="1"/>
        <v>-6.4644386705078855E-2</v>
      </c>
      <c r="AE517" s="62">
        <f ca="1"/>
        <v>0.20751301998271049</v>
      </c>
      <c r="AF517" s="62">
        <f ca="1"/>
        <v>0.59612614157564114</v>
      </c>
      <c r="AG517" s="66" t="str">
        <f t="array" ref="AG517">IF($AB517, Push(MMULT($I$44:$L$47,MMULT(Fetch(AV516),TRANSPOSE($I$44:$L$47))) + $N$44:$Q$47), "")</f>
        <v/>
      </c>
      <c r="AH517" s="62">
        <f t="array" aca="1" ref="AH517:AK517" ca="1">TRANSPOSE($G$38:$G$41 + MMULT($I$38:$L$41,TRANSPOSE(AC517:AF517)))</f>
        <v>0.66376734919883984</v>
      </c>
      <c r="AI517" s="62">
        <f ca="1"/>
        <v>0.27077318540901368</v>
      </c>
      <c r="AJ517" s="62">
        <f ca="1"/>
        <v>0.8692553677684538</v>
      </c>
      <c r="AK517" s="62">
        <f ca="1"/>
        <v>0.23322748246059344</v>
      </c>
      <c r="AL517" s="66" t="str">
        <f t="array" ref="AL517">IF($AB517, Push(MINVERSE(MMULT($I$38:$L$41,MMULT(Fetch(AG517),TRANSPOSE($I$38:$L$41))) + $N$38:$Q$41)), "")</f>
        <v/>
      </c>
      <c r="AM517" s="62">
        <f t="array" aca="1" ref="AM517:AP517" ca="1">X517:AA517 - AH517:AK517</f>
        <v>-0.57838814102790703</v>
      </c>
      <c r="AN517" s="62">
        <f ca="1"/>
        <v>0.38313037060160265</v>
      </c>
      <c r="AO517" s="62">
        <f ca="1"/>
        <v>2.744020632544486E-2</v>
      </c>
      <c r="AP517" s="62">
        <f ca="1"/>
        <v>-0.83628487812274754</v>
      </c>
      <c r="AQ517" s="66" t="str">
        <f t="array" ref="AQ517">IF($AB517, Push(MMULT(Fetch(AG517),MMULT(TRANSPOSE($I$38:$L$41),Fetch(AL517)))), "")</f>
        <v/>
      </c>
      <c r="AR517" s="62">
        <f t="array" aca="1" ref="AR517:AU517" ca="1">AC517:AF517 + TRANSPOSE(MMULT(IF($AB517,Fetch(AQ517),$L$61:$O$64),TRANSPOSE(AM517:AP517)))</f>
        <v>0.59885400568548075</v>
      </c>
      <c r="AS517" s="62">
        <f ca="1"/>
        <v>8.3035837836553855E-2</v>
      </c>
      <c r="AT517" s="62">
        <f ca="1"/>
        <v>-0.59682462977418416</v>
      </c>
      <c r="AU517" s="62">
        <f ca="1"/>
        <v>0.31593481343867336</v>
      </c>
      <c r="AV517" s="66" t="str">
        <f t="array" ref="AV517">IF($AB517, Push(Fetch(AG517) - MMULT(Fetch(AQ517),MMULT($I$38:$L$41,Fetch(AG517)))), "")</f>
        <v/>
      </c>
      <c r="AW517" s="97">
        <f t="array" aca="1" ref="AW517" ca="1">IF($AB517,LN(MDETERM(Fetch(AL517))),$J$65)   -   MMULT(AM517:AP517,MMULT(IF($AB517,Fetch(AL517),$G$61:$J$64),TRANSPOSE(AM517:AP517)))</f>
        <v>1.1877643591387654</v>
      </c>
    </row>
    <row r="518" spans="23:49" x14ac:dyDescent="0.15">
      <c r="W518" s="12">
        <f t="shared" si="16"/>
        <v>515</v>
      </c>
      <c r="X518" s="62">
        <f t="array" aca="1" ref="X518:AA518" ca="1">simulate!AE518:AH518</f>
        <v>0.1718510002075615</v>
      </c>
      <c r="Y518" s="62">
        <f ca="1"/>
        <v>3.8104055637863898E-2</v>
      </c>
      <c r="Z518" s="62">
        <f ca="1"/>
        <v>-0.33677668015253798</v>
      </c>
      <c r="AA518" s="62">
        <f ca="1"/>
        <v>-0.23239017867401807</v>
      </c>
      <c r="AB518" s="98">
        <f t="shared" si="17"/>
        <v>0</v>
      </c>
      <c r="AC518" s="62">
        <f t="array" aca="1" ref="AC518:AF518" ca="1">TRANSPOSE($G$44:$G$47 + MMULT($I$44:$L$47,TRANSPOSE(AR517:AU517)))</f>
        <v>0.58241924410805623</v>
      </c>
      <c r="AD518" s="62">
        <f ca="1"/>
        <v>0.12809989882202072</v>
      </c>
      <c r="AE518" s="62">
        <f ca="1"/>
        <v>-0.11723798465848813</v>
      </c>
      <c r="AF518" s="62">
        <f ca="1"/>
        <v>0.30514666350384601</v>
      </c>
      <c r="AG518" s="66" t="str">
        <f t="array" ref="AG518">IF($AB518, Push(MMULT($I$44:$L$47,MMULT(Fetch(AV517),TRANSPOSE($I$44:$L$47))) + $N$44:$Q$47), "")</f>
        <v/>
      </c>
      <c r="AH518" s="62">
        <f t="array" aca="1" ref="AH518:AK518" ca="1">TRANSPOSE($G$38:$G$41 + MMULT($I$38:$L$41,TRANSPOSE(AC518:AF518)))</f>
        <v>0.51177087251346198</v>
      </c>
      <c r="AI518" s="62">
        <f ca="1"/>
        <v>0.45520894850231192</v>
      </c>
      <c r="AJ518" s="62">
        <f ca="1"/>
        <v>0.57349428711981698</v>
      </c>
      <c r="AK518" s="62">
        <f ca="1"/>
        <v>-5.5426564672056228E-2</v>
      </c>
      <c r="AL518" s="66" t="str">
        <f t="array" ref="AL518">IF($AB518, Push(MINVERSE(MMULT($I$38:$L$41,MMULT(Fetch(AG518),TRANSPOSE($I$38:$L$41))) + $N$38:$Q$41)), "")</f>
        <v/>
      </c>
      <c r="AM518" s="62">
        <f t="array" aca="1" ref="AM518:AP518" ca="1">X518:AA518 - AH518:AK518</f>
        <v>-0.33991987230590048</v>
      </c>
      <c r="AN518" s="62">
        <f ca="1"/>
        <v>-0.41710489286444802</v>
      </c>
      <c r="AO518" s="62">
        <f ca="1"/>
        <v>-0.91027096727235501</v>
      </c>
      <c r="AP518" s="62">
        <f ca="1"/>
        <v>-0.17696361400196184</v>
      </c>
      <c r="AQ518" s="66" t="str">
        <f t="array" ref="AQ518">IF($AB518, Push(MMULT(Fetch(AG518),MMULT(TRANSPOSE($I$38:$L$41),Fetch(AL518)))), "")</f>
        <v/>
      </c>
      <c r="AR518" s="62">
        <f t="array" aca="1" ref="AR518:AU518" ca="1">AC518:AF518 + TRANSPOSE(MMULT(IF($AB518,Fetch(AQ518),$L$61:$O$64),TRANSPOSE(AM518:AP518)))</f>
        <v>0.17368379253858435</v>
      </c>
      <c r="AS518" s="62">
        <f ca="1"/>
        <v>0.10520277647048626</v>
      </c>
      <c r="AT518" s="62">
        <f ca="1"/>
        <v>-0.45828344918043462</v>
      </c>
      <c r="AU518" s="62">
        <f ca="1"/>
        <v>-0.13165399693397933</v>
      </c>
      <c r="AV518" s="66" t="str">
        <f t="array" ref="AV518">IF($AB518, Push(Fetch(AG518) - MMULT(Fetch(AQ518),MMULT($I$38:$L$41,Fetch(AG518)))), "")</f>
        <v/>
      </c>
      <c r="AW518" s="97">
        <f t="array" aca="1" ref="AW518" ca="1">IF($AB518,LN(MDETERM(Fetch(AL518))),$J$65)   -   MMULT(AM518:AP518,MMULT(IF($AB518,Fetch(AL518),$G$61:$J$64),TRANSPOSE(AM518:AP518)))</f>
        <v>0.29832244313276313</v>
      </c>
    </row>
    <row r="519" spans="23:49" x14ac:dyDescent="0.15">
      <c r="W519" s="12">
        <f t="shared" si="16"/>
        <v>516</v>
      </c>
      <c r="X519" s="62">
        <f t="array" aca="1" ref="X519:AA519" ca="1">simulate!AE519:AH519</f>
        <v>1.3519715736877951</v>
      </c>
      <c r="Y519" s="62">
        <f ca="1"/>
        <v>0.14925549422020407</v>
      </c>
      <c r="Z519" s="62">
        <f ca="1"/>
        <v>-5.6857456960162839E-2</v>
      </c>
      <c r="AA519" s="62">
        <f ca="1"/>
        <v>0.81988866858856424</v>
      </c>
      <c r="AB519" s="98">
        <f t="shared" si="17"/>
        <v>0</v>
      </c>
      <c r="AC519" s="62">
        <f t="array" aca="1" ref="AC519:AF519" ca="1">TRANSPOSE($G$44:$G$47 + MMULT($I$44:$L$47,TRANSPOSE(AR518:AU518)))</f>
        <v>0.34442877313336706</v>
      </c>
      <c r="AD519" s="62">
        <f ca="1"/>
        <v>5.9683073803116778E-2</v>
      </c>
      <c r="AE519" s="62">
        <f ca="1"/>
        <v>-0.13532075826844925</v>
      </c>
      <c r="AF519" s="62">
        <f ca="1"/>
        <v>6.70548601835603E-2</v>
      </c>
      <c r="AG519" s="66" t="str">
        <f t="array" ref="AG519">IF($AB519, Push(MMULT($I$44:$L$47,MMULT(Fetch(AV518),TRANSPOSE($I$44:$L$47))) + $N$44:$Q$47), "")</f>
        <v/>
      </c>
      <c r="AH519" s="62">
        <f t="array" aca="1" ref="AH519:AK519" ca="1">TRANSPOSE($G$38:$G$41 + MMULT($I$38:$L$41,TRANSPOSE(AC519:AF519)))</f>
        <v>0.4013658466454415</v>
      </c>
      <c r="AI519" s="62">
        <f ca="1"/>
        <v>0.26537302883297231</v>
      </c>
      <c r="AJ519" s="62">
        <f ca="1"/>
        <v>0.31029558602434076</v>
      </c>
      <c r="AK519" s="62">
        <f ca="1"/>
        <v>-8.4314578418063418E-2</v>
      </c>
      <c r="AL519" s="66" t="str">
        <f t="array" ref="AL519">IF($AB519, Push(MINVERSE(MMULT($I$38:$L$41,MMULT(Fetch(AG519),TRANSPOSE($I$38:$L$41))) + $N$38:$Q$41)), "")</f>
        <v/>
      </c>
      <c r="AM519" s="62">
        <f t="array" aca="1" ref="AM519:AP519" ca="1">X519:AA519 - AH519:AK519</f>
        <v>0.95060572704235358</v>
      </c>
      <c r="AN519" s="62">
        <f ca="1"/>
        <v>-0.11611753461276825</v>
      </c>
      <c r="AO519" s="62">
        <f ca="1"/>
        <v>-0.36715304298450357</v>
      </c>
      <c r="AP519" s="62">
        <f ca="1"/>
        <v>0.90420324700662769</v>
      </c>
      <c r="AQ519" s="66" t="str">
        <f t="array" ref="AQ519">IF($AB519, Push(MMULT(Fetch(AG519),MMULT(TRANSPOSE($I$38:$L$41),Fetch(AL519)))), "")</f>
        <v/>
      </c>
      <c r="AR519" s="62">
        <f t="array" aca="1" ref="AR519:AU519" ca="1">AC519:AF519 + TRANSPOSE(MMULT(IF($AB519,Fetch(AQ519),$L$61:$O$64),TRANSPOSE(AM519:AP519)))</f>
        <v>0.46398807920431284</v>
      </c>
      <c r="AS519" s="62">
        <f ca="1"/>
        <v>8.4103688423706247E-2</v>
      </c>
      <c r="AT519" s="62">
        <f ca="1"/>
        <v>0.75783590313316274</v>
      </c>
      <c r="AU519" s="62">
        <f ca="1"/>
        <v>0.23577524697360128</v>
      </c>
      <c r="AV519" s="66" t="str">
        <f t="array" ref="AV519">IF($AB519, Push(Fetch(AG519) - MMULT(Fetch(AQ519),MMULT($I$38:$L$41,Fetch(AG519)))), "")</f>
        <v/>
      </c>
      <c r="AW519" s="97">
        <f t="array" aca="1" ref="AW519" ca="1">IF($AB519,LN(MDETERM(Fetch(AL519))),$J$65)   -   MMULT(AM519:AP519,MMULT(IF($AB519,Fetch(AL519),$G$61:$J$64),TRANSPOSE(AM519:AP519)))</f>
        <v>-1.577578755830384</v>
      </c>
    </row>
    <row r="520" spans="23:49" x14ac:dyDescent="0.15">
      <c r="W520" s="12">
        <f t="shared" si="16"/>
        <v>517</v>
      </c>
      <c r="X520" s="62">
        <f t="array" aca="1" ref="X520:AA520" ca="1">simulate!AE520:AH520</f>
        <v>1.3299799878670933</v>
      </c>
      <c r="Y520" s="62">
        <f ca="1"/>
        <v>1.4293567541069976</v>
      </c>
      <c r="Z520" s="62">
        <f ca="1"/>
        <v>-0.10900700668506103</v>
      </c>
      <c r="AA520" s="62">
        <f ca="1"/>
        <v>0.8257063142640364</v>
      </c>
      <c r="AB520" s="98">
        <f t="shared" si="17"/>
        <v>0</v>
      </c>
      <c r="AC520" s="62">
        <f t="array" aca="1" ref="AC520:AF520" ca="1">TRANSPOSE($G$44:$G$47 + MMULT($I$44:$L$47,TRANSPOSE(AR519:AU519)))</f>
        <v>0.60231716245196498</v>
      </c>
      <c r="AD520" s="62">
        <f ca="1"/>
        <v>0.30155164589788608</v>
      </c>
      <c r="AE520" s="62">
        <f ca="1"/>
        <v>0.59309017199356318</v>
      </c>
      <c r="AF520" s="62">
        <f ca="1"/>
        <v>0.47539170974087058</v>
      </c>
      <c r="AG520" s="66" t="str">
        <f t="array" ref="AG520">IF($AB520, Push(MMULT($I$44:$L$47,MMULT(Fetch(AV519),TRANSPOSE($I$44:$L$47))) + $N$44:$Q$47), "")</f>
        <v/>
      </c>
      <c r="AH520" s="62">
        <f t="array" aca="1" ref="AH520:AK520" ca="1">TRANSPOSE($G$38:$G$41 + MMULT($I$38:$L$41,TRANSPOSE(AC520:AF520)))</f>
        <v>0.92014131354595619</v>
      </c>
      <c r="AI520" s="62">
        <f ca="1"/>
        <v>0.4656356713938512</v>
      </c>
      <c r="AJ520" s="62">
        <f ca="1"/>
        <v>0.59141885921938875</v>
      </c>
      <c r="AK520" s="62">
        <f ca="1"/>
        <v>0.57452143133614575</v>
      </c>
      <c r="AL520" s="66" t="str">
        <f t="array" ref="AL520">IF($AB520, Push(MINVERSE(MMULT($I$38:$L$41,MMULT(Fetch(AG520),TRANSPOSE($I$38:$L$41))) + $N$38:$Q$41)), "")</f>
        <v/>
      </c>
      <c r="AM520" s="62">
        <f t="array" aca="1" ref="AM520:AP520" ca="1">X520:AA520 - AH520:AK520</f>
        <v>0.40983867432113708</v>
      </c>
      <c r="AN520" s="62">
        <f ca="1"/>
        <v>0.96372108271314638</v>
      </c>
      <c r="AO520" s="62">
        <f ca="1"/>
        <v>-0.70042586590444977</v>
      </c>
      <c r="AP520" s="62">
        <f ca="1"/>
        <v>0.25118488292789065</v>
      </c>
      <c r="AQ520" s="66" t="str">
        <f t="array" ref="AQ520">IF($AB520, Push(MMULT(Fetch(AG520),MMULT(TRANSPOSE($I$38:$L$41),Fetch(AL520)))), "")</f>
        <v/>
      </c>
      <c r="AR520" s="62">
        <f t="array" aca="1" ref="AR520:AU520" ca="1">AC520:AF520 + TRANSPOSE(MMULT(IF($AB520,Fetch(AQ520),$L$61:$O$64),TRANSPOSE(AM520:AP520)))</f>
        <v>0.7078841974414275</v>
      </c>
      <c r="AS520" s="62">
        <f ca="1"/>
        <v>0.97652701538594777</v>
      </c>
      <c r="AT520" s="62">
        <f ca="1"/>
        <v>0.66763536283064251</v>
      </c>
      <c r="AU520" s="62">
        <f ca="1"/>
        <v>0.28594815855343153</v>
      </c>
      <c r="AV520" s="66" t="str">
        <f t="array" ref="AV520">IF($AB520, Push(Fetch(AG520) - MMULT(Fetch(AQ520),MMULT($I$38:$L$41,Fetch(AG520)))), "")</f>
        <v/>
      </c>
      <c r="AW520" s="97">
        <f t="array" aca="1" ref="AW520" ca="1">IF($AB520,LN(MDETERM(Fetch(AL520))),$J$65)   -   MMULT(AM520:AP520,MMULT(IF($AB520,Fetch(AL520),$G$61:$J$64),TRANSPOSE(AM520:AP520)))</f>
        <v>1.2107991545796475</v>
      </c>
    </row>
    <row r="521" spans="23:49" x14ac:dyDescent="0.15">
      <c r="W521" s="12">
        <f t="shared" si="16"/>
        <v>518</v>
      </c>
      <c r="X521" s="62">
        <f t="array" aca="1" ref="X521:AA521" ca="1">simulate!AE521:AH521</f>
        <v>1.3973722461638285</v>
      </c>
      <c r="Y521" s="62">
        <f ca="1"/>
        <v>0.22609319269359984</v>
      </c>
      <c r="Z521" s="62">
        <f ca="1"/>
        <v>0.40495005220235403</v>
      </c>
      <c r="AA521" s="62">
        <f ca="1"/>
        <v>1.9253738592653959</v>
      </c>
      <c r="AB521" s="98">
        <f t="shared" si="17"/>
        <v>0</v>
      </c>
      <c r="AC521" s="62">
        <f t="array" aca="1" ref="AC521:AF521" ca="1">TRANSPOSE($G$44:$G$47 + MMULT($I$44:$L$47,TRANSPOSE(AR520:AU520)))</f>
        <v>0.86210040142746114</v>
      </c>
      <c r="AD521" s="62">
        <f ca="1"/>
        <v>0.81334844627502867</v>
      </c>
      <c r="AE521" s="62">
        <f ca="1"/>
        <v>0.71405527398287694</v>
      </c>
      <c r="AF521" s="62">
        <f ca="1"/>
        <v>0.56309043080457721</v>
      </c>
      <c r="AG521" s="66" t="str">
        <f t="array" ref="AG521">IF($AB521, Push(MMULT($I$44:$L$47,MMULT(Fetch(AV520),TRANSPOSE($I$44:$L$47))) + $N$44:$Q$47), "")</f>
        <v/>
      </c>
      <c r="AH521" s="62">
        <f t="array" aca="1" ref="AH521:AK521" ca="1">TRANSPOSE($G$38:$G$41 + MMULT($I$38:$L$41,TRANSPOSE(AC521:AF521)))</f>
        <v>1.1308173833523347</v>
      </c>
      <c r="AI521" s="62">
        <f ca="1"/>
        <v>0.99400616630455718</v>
      </c>
      <c r="AJ521" s="62">
        <f ca="1"/>
        <v>0.55944504232725933</v>
      </c>
      <c r="AK521" s="62">
        <f ca="1"/>
        <v>0.7393389257245595</v>
      </c>
      <c r="AL521" s="66" t="str">
        <f t="array" ref="AL521">IF($AB521, Push(MINVERSE(MMULT($I$38:$L$41,MMULT(Fetch(AG521),TRANSPOSE($I$38:$L$41))) + $N$38:$Q$41)), "")</f>
        <v/>
      </c>
      <c r="AM521" s="62">
        <f t="array" aca="1" ref="AM521:AP521" ca="1">X521:AA521 - AH521:AK521</f>
        <v>0.26655486281149376</v>
      </c>
      <c r="AN521" s="62">
        <f ca="1"/>
        <v>-0.76791297361095734</v>
      </c>
      <c r="AO521" s="62">
        <f ca="1"/>
        <v>-0.15449499012490531</v>
      </c>
      <c r="AP521" s="62">
        <f ca="1"/>
        <v>1.1860349335408364</v>
      </c>
      <c r="AQ521" s="66" t="str">
        <f t="array" ref="AQ521">IF($AB521, Push(MMULT(Fetch(AG521),MMULT(TRANSPOSE($I$38:$L$41),Fetch(AL521)))), "")</f>
        <v/>
      </c>
      <c r="AR521" s="62">
        <f t="array" aca="1" ref="AR521:AU521" ca="1">AC521:AF521 + TRANSPOSE(MMULT(IF($AB521,Fetch(AQ521),$L$61:$O$64),TRANSPOSE(AM521:AP521)))</f>
        <v>0.55820733506201781</v>
      </c>
      <c r="AS521" s="62">
        <f ca="1"/>
        <v>0.59663503991311362</v>
      </c>
      <c r="AT521" s="62">
        <f ca="1"/>
        <v>1.6626288851245692</v>
      </c>
      <c r="AU521" s="62">
        <f ca="1"/>
        <v>0.90978304031087631</v>
      </c>
      <c r="AV521" s="66" t="str">
        <f t="array" ref="AV521">IF($AB521, Push(Fetch(AG521) - MMULT(Fetch(AQ521),MMULT($I$38:$L$41,Fetch(AG521)))), "")</f>
        <v/>
      </c>
      <c r="AW521" s="97">
        <f t="array" aca="1" ref="AW521" ca="1">IF($AB521,LN(MDETERM(Fetch(AL521))),$J$65)   -   MMULT(AM521:AP521,MMULT(IF($AB521,Fetch(AL521),$G$61:$J$64),TRANSPOSE(AM521:AP521)))</f>
        <v>-7.0857250070491968</v>
      </c>
    </row>
    <row r="522" spans="23:49" x14ac:dyDescent="0.15">
      <c r="W522" s="12">
        <f t="shared" si="16"/>
        <v>519</v>
      </c>
      <c r="X522" s="62">
        <f t="array" aca="1" ref="X522:AA522" ca="1">simulate!AE522:AH522</f>
        <v>1.1267647728373427</v>
      </c>
      <c r="Y522" s="62">
        <f ca="1"/>
        <v>1.7681986472900715</v>
      </c>
      <c r="Z522" s="62">
        <f ca="1"/>
        <v>0.53672085176747963</v>
      </c>
      <c r="AA522" s="62">
        <f ca="1"/>
        <v>0.74687530391548762</v>
      </c>
      <c r="AB522" s="98">
        <f t="shared" si="17"/>
        <v>0</v>
      </c>
      <c r="AC522" s="62">
        <f t="array" aca="1" ref="AC522:AF522" ca="1">TRANSPOSE($G$44:$G$47 + MMULT($I$44:$L$47,TRANSPOSE(AR521:AU521)))</f>
        <v>0.82584907260457041</v>
      </c>
      <c r="AD522" s="62">
        <f ca="1"/>
        <v>0.77553404891368583</v>
      </c>
      <c r="AE522" s="62">
        <f ca="1"/>
        <v>1.2714145469632243</v>
      </c>
      <c r="AF522" s="62">
        <f ca="1"/>
        <v>1.027319816937672</v>
      </c>
      <c r="AG522" s="66" t="str">
        <f t="array" ref="AG522">IF($AB522, Push(MMULT($I$44:$L$47,MMULT(Fetch(AV521),TRANSPOSE($I$44:$L$47))) + $N$44:$Q$47), "")</f>
        <v/>
      </c>
      <c r="AH522" s="62">
        <f t="array" aca="1" ref="AH522:AK522" ca="1">TRANSPOSE($G$38:$G$41 + MMULT($I$38:$L$41,TRANSPOSE(AC522:AF522)))</f>
        <v>1.3293230474870426</v>
      </c>
      <c r="AI522" s="62">
        <f ca="1"/>
        <v>0.8964532117292241</v>
      </c>
      <c r="AJ522" s="62">
        <f ca="1"/>
        <v>0.89568344374297459</v>
      </c>
      <c r="AK522" s="62">
        <f ca="1"/>
        <v>1.3450822949737689</v>
      </c>
      <c r="AL522" s="66" t="str">
        <f t="array" ref="AL522">IF($AB522, Push(MINVERSE(MMULT($I$38:$L$41,MMULT(Fetch(AG522),TRANSPOSE($I$38:$L$41))) + $N$38:$Q$41)), "")</f>
        <v/>
      </c>
      <c r="AM522" s="62">
        <f t="array" aca="1" ref="AM522:AP522" ca="1">X522:AA522 - AH522:AK522</f>
        <v>-0.20255827464969989</v>
      </c>
      <c r="AN522" s="62">
        <f ca="1"/>
        <v>0.87174543556084738</v>
      </c>
      <c r="AO522" s="62">
        <f ca="1"/>
        <v>-0.35896259197549496</v>
      </c>
      <c r="AP522" s="62">
        <f ca="1"/>
        <v>-0.59820699105828123</v>
      </c>
      <c r="AQ522" s="66" t="str">
        <f t="array" ref="AQ522">IF($AB522, Push(MMULT(Fetch(AG522),MMULT(TRANSPOSE($I$38:$L$41),Fetch(AL522)))), "")</f>
        <v/>
      </c>
      <c r="AR522" s="62">
        <f t="array" aca="1" ref="AR522:AU522" ca="1">AC522:AF522 + TRANSPOSE(MMULT(IF($AB522,Fetch(AQ522),$L$61:$O$64),TRANSPOSE(AM522:AP522)))</f>
        <v>0.91445951190834251</v>
      </c>
      <c r="AS522" s="62">
        <f ca="1"/>
        <v>1.2646601343598374</v>
      </c>
      <c r="AT522" s="62">
        <f ca="1"/>
        <v>0.63349715735183953</v>
      </c>
      <c r="AU522" s="62">
        <f ca="1"/>
        <v>0.67760077265072316</v>
      </c>
      <c r="AV522" s="66" t="str">
        <f t="array" ref="AV522">IF($AB522, Push(Fetch(AG522) - MMULT(Fetch(AQ522),MMULT($I$38:$L$41,Fetch(AG522)))), "")</f>
        <v/>
      </c>
      <c r="AW522" s="97">
        <f t="array" aca="1" ref="AW522" ca="1">IF($AB522,LN(MDETERM(Fetch(AL522))),$J$65)   -   MMULT(AM522:AP522,MMULT(IF($AB522,Fetch(AL522),$G$61:$J$64),TRANSPOSE(AM522:AP522)))</f>
        <v>1.4945907221056522</v>
      </c>
    </row>
    <row r="523" spans="23:49" x14ac:dyDescent="0.15">
      <c r="W523" s="12">
        <f t="shared" si="16"/>
        <v>520</v>
      </c>
      <c r="X523" s="62">
        <f t="array" aca="1" ref="X523:AA523" ca="1">simulate!AE523:AH523</f>
        <v>0.43811978137777474</v>
      </c>
      <c r="Y523" s="62">
        <f ca="1"/>
        <v>1.2408362125603045</v>
      </c>
      <c r="Z523" s="62">
        <f ca="1"/>
        <v>0.35026922607269845</v>
      </c>
      <c r="AA523" s="62">
        <f ca="1"/>
        <v>0.62925572078234426</v>
      </c>
      <c r="AB523" s="98">
        <f t="shared" si="17"/>
        <v>0</v>
      </c>
      <c r="AC523" s="62">
        <f t="array" aca="1" ref="AC523:AF523" ca="1">TRANSPOSE($G$44:$G$47 + MMULT($I$44:$L$47,TRANSPOSE(AR522:AU522)))</f>
        <v>1.0326987096197107</v>
      </c>
      <c r="AD523" s="62">
        <f ca="1"/>
        <v>1.0253284784293371</v>
      </c>
      <c r="AE523" s="62">
        <f ca="1"/>
        <v>0.81506522765384404</v>
      </c>
      <c r="AF523" s="62">
        <f ca="1"/>
        <v>0.79950692000701928</v>
      </c>
      <c r="AG523" s="66" t="str">
        <f t="array" ref="AG523">IF($AB523, Push(MMULT($I$44:$L$47,MMULT(Fetch(AV522),TRANSPOSE($I$44:$L$47))) + $N$44:$Q$47), "")</f>
        <v/>
      </c>
      <c r="AH523" s="62">
        <f t="array" aca="1" ref="AH523:AK523" ca="1">TRANSPOSE($G$38:$G$41 + MMULT($I$38:$L$41,TRANSPOSE(AC523:AF523)))</f>
        <v>1.2386094128619372</v>
      </c>
      <c r="AI523" s="62">
        <f ca="1"/>
        <v>1.2624760932891392</v>
      </c>
      <c r="AJ523" s="62">
        <f ca="1"/>
        <v>0.73294483463219473</v>
      </c>
      <c r="AK523" s="62">
        <f ca="1"/>
        <v>0.90162781211810605</v>
      </c>
      <c r="AL523" s="66" t="str">
        <f t="array" ref="AL523">IF($AB523, Push(MINVERSE(MMULT($I$38:$L$41,MMULT(Fetch(AG523),TRANSPOSE($I$38:$L$41))) + $N$38:$Q$41)), "")</f>
        <v/>
      </c>
      <c r="AM523" s="62">
        <f t="array" aca="1" ref="AM523:AP523" ca="1">X523:AA523 - AH523:AK523</f>
        <v>-0.80048963148416241</v>
      </c>
      <c r="AN523" s="62">
        <f ca="1"/>
        <v>-2.1639880728834715E-2</v>
      </c>
      <c r="AO523" s="62">
        <f ca="1"/>
        <v>-0.38267560855949628</v>
      </c>
      <c r="AP523" s="62">
        <f ca="1"/>
        <v>-0.27237209133576179</v>
      </c>
      <c r="AQ523" s="66" t="str">
        <f t="array" ref="AQ523">IF($AB523, Push(MMULT(Fetch(AG523),MMULT(TRANSPOSE($I$38:$L$41),Fetch(AL523)))), "")</f>
        <v/>
      </c>
      <c r="AR523" s="62">
        <f t="array" aca="1" ref="AR523:AU523" ca="1">AC523:AF523 + TRANSPOSE(MMULT(IF($AB523,Fetch(AQ523),$L$61:$O$64),TRANSPOSE(AM523:AP523)))</f>
        <v>0.63003113943513311</v>
      </c>
      <c r="AS523" s="62">
        <f ca="1"/>
        <v>1.1787863204492315</v>
      </c>
      <c r="AT523" s="62">
        <f ca="1"/>
        <v>0.28331972925388926</v>
      </c>
      <c r="AU523" s="62">
        <f ca="1"/>
        <v>0.54544188440030128</v>
      </c>
      <c r="AV523" s="66" t="str">
        <f t="array" ref="AV523">IF($AB523, Push(Fetch(AG523) - MMULT(Fetch(AQ523),MMULT($I$38:$L$41,Fetch(AG523)))), "")</f>
        <v/>
      </c>
      <c r="AW523" s="97">
        <f t="array" aca="1" ref="AW523" ca="1">IF($AB523,LN(MDETERM(Fetch(AL523))),$J$65)   -   MMULT(AM523:AP523,MMULT(IF($AB523,Fetch(AL523),$G$61:$J$64),TRANSPOSE(AM523:AP523)))</f>
        <v>3.6505268211860966</v>
      </c>
    </row>
    <row r="524" spans="23:49" x14ac:dyDescent="0.15">
      <c r="W524" s="12">
        <f t="shared" si="16"/>
        <v>521</v>
      </c>
      <c r="X524" s="62">
        <f t="array" aca="1" ref="X524:AA524" ca="1">simulate!AE524:AH524</f>
        <v>0.68162858384853675</v>
      </c>
      <c r="Y524" s="62">
        <f ca="1"/>
        <v>0.15034736182942421</v>
      </c>
      <c r="Z524" s="62">
        <f ca="1"/>
        <v>1.0649148026587221</v>
      </c>
      <c r="AA524" s="62">
        <f ca="1"/>
        <v>0.66282098608192919</v>
      </c>
      <c r="AB524" s="98">
        <f t="shared" si="17"/>
        <v>0</v>
      </c>
      <c r="AC524" s="62">
        <f t="array" aca="1" ref="AC524:AF524" ca="1">TRANSPOSE($G$44:$G$47 + MMULT($I$44:$L$47,TRANSPOSE(AR523:AU523)))</f>
        <v>0.8350996731764313</v>
      </c>
      <c r="AD524" s="62">
        <f ca="1"/>
        <v>0.87153976188784055</v>
      </c>
      <c r="AE524" s="62">
        <f ca="1"/>
        <v>0.57219579146301069</v>
      </c>
      <c r="AF524" s="62">
        <f ca="1"/>
        <v>0.6514953533991994</v>
      </c>
      <c r="AG524" s="66" t="str">
        <f t="array" ref="AG524">IF($AB524, Push(MMULT($I$44:$L$47,MMULT(Fetch(AV523),TRANSPOSE($I$44:$L$47))) + $N$44:$Q$47), "")</f>
        <v/>
      </c>
      <c r="AH524" s="62">
        <f t="array" aca="1" ref="AH524:AK524" ca="1">TRANSPOSE($G$38:$G$41 + MMULT($I$38:$L$41,TRANSPOSE(AC524:AF524)))</f>
        <v>0.99304568122204073</v>
      </c>
      <c r="AI524" s="62">
        <f ca="1"/>
        <v>1.0883477407999158</v>
      </c>
      <c r="AJ524" s="62">
        <f ca="1"/>
        <v>0.61393726885209521</v>
      </c>
      <c r="AK524" s="62">
        <f ca="1"/>
        <v>0.70463972802741726</v>
      </c>
      <c r="AL524" s="66" t="str">
        <f t="array" ref="AL524">IF($AB524, Push(MINVERSE(MMULT($I$38:$L$41,MMULT(Fetch(AG524),TRANSPOSE($I$38:$L$41))) + $N$38:$Q$41)), "")</f>
        <v/>
      </c>
      <c r="AM524" s="62">
        <f t="array" aca="1" ref="AM524:AP524" ca="1">X524:AA524 - AH524:AK524</f>
        <v>-0.31141709737350398</v>
      </c>
      <c r="AN524" s="62">
        <f ca="1"/>
        <v>-0.9380003789704916</v>
      </c>
      <c r="AO524" s="62">
        <f ca="1"/>
        <v>0.45097753380662686</v>
      </c>
      <c r="AP524" s="62">
        <f ca="1"/>
        <v>-4.1818741945488069E-2</v>
      </c>
      <c r="AQ524" s="66" t="str">
        <f t="array" ref="AQ524">IF($AB524, Push(MMULT(Fetch(AG524),MMULT(TRANSPOSE($I$38:$L$41),Fetch(AL524)))), "")</f>
        <v/>
      </c>
      <c r="AR524" s="62">
        <f t="array" aca="1" ref="AR524:AU524" ca="1">AC524:AF524 + TRANSPOSE(MMULT(IF($AB524,Fetch(AQ524),$L$61:$O$64),TRANSPOSE(AM524:AP524)))</f>
        <v>0.66882009765257533</v>
      </c>
      <c r="AS524" s="62">
        <f ca="1"/>
        <v>0.28793275916908811</v>
      </c>
      <c r="AT524" s="62">
        <f ca="1"/>
        <v>0.62591840028509826</v>
      </c>
      <c r="AU524" s="62">
        <f ca="1"/>
        <v>0.81293557612980227</v>
      </c>
      <c r="AV524" s="66" t="str">
        <f t="array" ref="AV524">IF($AB524, Push(Fetch(AG524) - MMULT(Fetch(AQ524),MMULT($I$38:$L$41,Fetch(AG524)))), "")</f>
        <v/>
      </c>
      <c r="AW524" s="97">
        <f t="array" aca="1" ref="AW524" ca="1">IF($AB524,LN(MDETERM(Fetch(AL524))),$J$65)   -   MMULT(AM524:AP524,MMULT(IF($AB524,Fetch(AL524),$G$61:$J$64),TRANSPOSE(AM524:AP524)))</f>
        <v>2.8624238992558171</v>
      </c>
    </row>
    <row r="525" spans="23:49" x14ac:dyDescent="0.15">
      <c r="W525" s="12">
        <f t="shared" si="16"/>
        <v>522</v>
      </c>
      <c r="X525" s="62">
        <f t="array" aca="1" ref="X525:AA525" ca="1">simulate!AE525:AH525</f>
        <v>1.485600502132933</v>
      </c>
      <c r="Y525" s="62">
        <f ca="1"/>
        <v>1.5544362189662642</v>
      </c>
      <c r="Z525" s="62">
        <f ca="1"/>
        <v>-0.94773277111802356</v>
      </c>
      <c r="AA525" s="62">
        <f ca="1"/>
        <v>0.96091776358204517</v>
      </c>
      <c r="AB525" s="98">
        <f t="shared" si="17"/>
        <v>0</v>
      </c>
      <c r="AC525" s="62">
        <f t="array" aca="1" ref="AC525:AF525" ca="1">TRANSPOSE($G$44:$G$47 + MMULT($I$44:$L$47,TRANSPOSE(AR524:AU524)))</f>
        <v>0.7614521013936113</v>
      </c>
      <c r="AD525" s="62">
        <f ca="1"/>
        <v>0.46645278862925155</v>
      </c>
      <c r="AE525" s="62">
        <f ca="1"/>
        <v>0.65493383724435439</v>
      </c>
      <c r="AF525" s="62">
        <f ca="1"/>
        <v>0.79003596991612324</v>
      </c>
      <c r="AG525" s="66" t="str">
        <f t="array" ref="AG525">IF($AB525, Push(MMULT($I$44:$L$47,MMULT(Fetch(AV524),TRANSPOSE($I$44:$L$47))) + $N$44:$Q$47), "")</f>
        <v/>
      </c>
      <c r="AH525" s="62">
        <f t="array" aca="1" ref="AH525:AK525" ca="1">TRANSPOSE($G$38:$G$41 + MMULT($I$38:$L$41,TRANSPOSE(AC525:AF525)))</f>
        <v>0.97507048249495676</v>
      </c>
      <c r="AI525" s="62">
        <f ca="1"/>
        <v>0.71422837830849406</v>
      </c>
      <c r="AJ525" s="62">
        <f ca="1"/>
        <v>0.84735078725005342</v>
      </c>
      <c r="AK525" s="62">
        <f ca="1"/>
        <v>0.73271519145608832</v>
      </c>
      <c r="AL525" s="66" t="str">
        <f t="array" ref="AL525">IF($AB525, Push(MINVERSE(MMULT($I$38:$L$41,MMULT(Fetch(AG525),TRANSPOSE($I$38:$L$41))) + $N$38:$Q$41)), "")</f>
        <v/>
      </c>
      <c r="AM525" s="62">
        <f t="array" aca="1" ref="AM525:AP525" ca="1">X525:AA525 - AH525:AK525</f>
        <v>0.51053001963797628</v>
      </c>
      <c r="AN525" s="62">
        <f ca="1"/>
        <v>0.8402078406577701</v>
      </c>
      <c r="AO525" s="62">
        <f ca="1"/>
        <v>-1.7950835583680771</v>
      </c>
      <c r="AP525" s="62">
        <f ca="1"/>
        <v>0.22820257212595685</v>
      </c>
      <c r="AQ525" s="66" t="str">
        <f t="array" ref="AQ525">IF($AB525, Push(MMULT(Fetch(AG525),MMULT(TRANSPOSE($I$38:$L$41),Fetch(AL525)))), "")</f>
        <v/>
      </c>
      <c r="AR525" s="62">
        <f t="array" aca="1" ref="AR525:AU525" ca="1">AC525:AF525 + TRANSPOSE(MMULT(IF($AB525,Fetch(AQ525),$L$61:$O$64),TRANSPOSE(AM525:AP525)))</f>
        <v>0.62407635719087229</v>
      </c>
      <c r="AS525" s="62">
        <f ca="1"/>
        <v>1.2783777634006004</v>
      </c>
      <c r="AT525" s="62">
        <f ca="1"/>
        <v>0.58163255076218889</v>
      </c>
      <c r="AU525" s="62">
        <f ca="1"/>
        <v>0.14608376878721052</v>
      </c>
      <c r="AV525" s="66" t="str">
        <f t="array" ref="AV525">IF($AB525, Push(Fetch(AG525) - MMULT(Fetch(AQ525),MMULT($I$38:$L$41,Fetch(AG525)))), "")</f>
        <v/>
      </c>
      <c r="AW525" s="97">
        <f t="array" aca="1" ref="AW525" ca="1">IF($AB525,LN(MDETERM(Fetch(AL525))),$J$65)   -   MMULT(AM525:AP525,MMULT(IF($AB525,Fetch(AL525),$G$61:$J$64),TRANSPOSE(AM525:AP525)))</f>
        <v>-9.8601317107343416</v>
      </c>
    </row>
    <row r="526" spans="23:49" x14ac:dyDescent="0.15">
      <c r="W526" s="12">
        <f t="shared" si="16"/>
        <v>523</v>
      </c>
      <c r="X526" s="62">
        <f t="array" aca="1" ref="X526:AA526" ca="1">simulate!AE526:AH526</f>
        <v>0.34515613609404772</v>
      </c>
      <c r="Y526" s="62">
        <f ca="1"/>
        <v>0.92901127008038831</v>
      </c>
      <c r="Z526" s="62">
        <f ca="1"/>
        <v>0.13700150991452836</v>
      </c>
      <c r="AA526" s="62">
        <f ca="1"/>
        <v>0.48903292055473924</v>
      </c>
      <c r="AB526" s="98">
        <f t="shared" si="17"/>
        <v>0</v>
      </c>
      <c r="AC526" s="62">
        <f t="array" aca="1" ref="AC526:AF526" ca="1">TRANSPOSE($G$44:$G$47 + MMULT($I$44:$L$47,TRANSPOSE(AR525:AU525)))</f>
        <v>0.84866590089048355</v>
      </c>
      <c r="AD526" s="62">
        <f ca="1"/>
        <v>0.94007967836663686</v>
      </c>
      <c r="AE526" s="62">
        <f ca="1"/>
        <v>0.68995126896264136</v>
      </c>
      <c r="AF526" s="62">
        <f ca="1"/>
        <v>0.49104921803287566</v>
      </c>
      <c r="AG526" s="66" t="str">
        <f t="array" ref="AG526">IF($AB526, Push(MMULT($I$44:$L$47,MMULT(Fetch(AV525),TRANSPOSE($I$44:$L$47))) + $N$44:$Q$47), "")</f>
        <v/>
      </c>
      <c r="AH526" s="62">
        <f t="array" aca="1" ref="AH526:AK526" ca="1">TRANSPOSE($G$38:$G$41 + MMULT($I$38:$L$41,TRANSPOSE(AC526:AF526)))</f>
        <v>1.1196422157004724</v>
      </c>
      <c r="AI526" s="62">
        <f ca="1"/>
        <v>1.0914589450822381</v>
      </c>
      <c r="AJ526" s="62">
        <f ca="1"/>
        <v>0.44818468473303802</v>
      </c>
      <c r="AK526" s="62">
        <f ca="1"/>
        <v>0.73595739467556065</v>
      </c>
      <c r="AL526" s="66" t="str">
        <f t="array" ref="AL526">IF($AB526, Push(MINVERSE(MMULT($I$38:$L$41,MMULT(Fetch(AG526),TRANSPOSE($I$38:$L$41))) + $N$38:$Q$41)), "")</f>
        <v/>
      </c>
      <c r="AM526" s="62">
        <f t="array" aca="1" ref="AM526:AP526" ca="1">X526:AA526 - AH526:AK526</f>
        <v>-0.77448607960642468</v>
      </c>
      <c r="AN526" s="62">
        <f ca="1"/>
        <v>-0.16244767500184976</v>
      </c>
      <c r="AO526" s="62">
        <f ca="1"/>
        <v>-0.31118317481850966</v>
      </c>
      <c r="AP526" s="62">
        <f ca="1"/>
        <v>-0.24692447412082141</v>
      </c>
      <c r="AQ526" s="66" t="str">
        <f t="array" ref="AQ526">IF($AB526, Push(MMULT(Fetch(AG526),MMULT(TRANSPOSE($I$38:$L$41),Fetch(AL526)))), "")</f>
        <v/>
      </c>
      <c r="AR526" s="62">
        <f t="array" aca="1" ref="AR526:AU526" ca="1">AC526:AF526 + TRANSPOSE(MMULT(IF($AB526,Fetch(AQ526),$L$61:$O$64),TRANSPOSE(AM526:AP526)))</f>
        <v>0.44798889337881842</v>
      </c>
      <c r="AS526" s="62">
        <f ca="1"/>
        <v>0.99874142578291125</v>
      </c>
      <c r="AT526" s="62">
        <f ca="1"/>
        <v>0.21420602241110237</v>
      </c>
      <c r="AU526" s="62">
        <f ca="1"/>
        <v>0.27410494449870937</v>
      </c>
      <c r="AV526" s="66" t="str">
        <f t="array" ref="AV526">IF($AB526, Push(Fetch(AG526) - MMULT(Fetch(AQ526),MMULT($I$38:$L$41,Fetch(AG526)))), "")</f>
        <v/>
      </c>
      <c r="AW526" s="97">
        <f t="array" aca="1" ref="AW526" ca="1">IF($AB526,LN(MDETERM(Fetch(AL526))),$J$65)   -   MMULT(AM526:AP526,MMULT(IF($AB526,Fetch(AL526),$G$61:$J$64),TRANSPOSE(AM526:AP526)))</f>
        <v>4.0445652178496809</v>
      </c>
    </row>
    <row r="527" spans="23:49" x14ac:dyDescent="0.15">
      <c r="W527" s="12">
        <f t="shared" si="16"/>
        <v>524</v>
      </c>
      <c r="X527" s="62">
        <f t="array" aca="1" ref="X527:AA527" ca="1">simulate!AE527:AH527</f>
        <v>0.14169413634575309</v>
      </c>
      <c r="Y527" s="62">
        <f ca="1"/>
        <v>0.98791843589973527</v>
      </c>
      <c r="Z527" s="62">
        <f ca="1"/>
        <v>-0.68288589872018046</v>
      </c>
      <c r="AA527" s="62">
        <f ca="1"/>
        <v>0.1081845506861753</v>
      </c>
      <c r="AB527" s="98">
        <f t="shared" si="17"/>
        <v>0</v>
      </c>
      <c r="AC527" s="62">
        <f t="array" aca="1" ref="AC527:AF527" ca="1">TRANSPOSE($G$44:$G$47 + MMULT($I$44:$L$47,TRANSPOSE(AR526:AU526)))</f>
        <v>0.69217915969166577</v>
      </c>
      <c r="AD527" s="62">
        <f ca="1"/>
        <v>0.71520276356318757</v>
      </c>
      <c r="AE527" s="62">
        <f ca="1"/>
        <v>0.45252327450339008</v>
      </c>
      <c r="AF527" s="62">
        <f ca="1"/>
        <v>0.47216743974655578</v>
      </c>
      <c r="AG527" s="66" t="str">
        <f t="array" ref="AG527">IF($AB527, Push(MMULT($I$44:$L$47,MMULT(Fetch(AV526),TRANSPOSE($I$44:$L$47))) + $N$44:$Q$47), "")</f>
        <v/>
      </c>
      <c r="AH527" s="62">
        <f t="array" aca="1" ref="AH527:AK527" ca="1">TRANSPOSE($G$38:$G$41 + MMULT($I$38:$L$41,TRANSPOSE(AC527:AF527)))</f>
        <v>0.87399397830284631</v>
      </c>
      <c r="AI527" s="62">
        <f ca="1"/>
        <v>0.89458994843281103</v>
      </c>
      <c r="AJ527" s="62">
        <f ca="1"/>
        <v>0.47942012451259247</v>
      </c>
      <c r="AK527" s="62">
        <f ca="1"/>
        <v>0.55788384242761113</v>
      </c>
      <c r="AL527" s="66" t="str">
        <f t="array" ref="AL527">IF($AB527, Push(MINVERSE(MMULT($I$38:$L$41,MMULT(Fetch(AG527),TRANSPOSE($I$38:$L$41))) + $N$38:$Q$41)), "")</f>
        <v/>
      </c>
      <c r="AM527" s="62">
        <f t="array" aca="1" ref="AM527:AP527" ca="1">X527:AA527 - AH527:AK527</f>
        <v>-0.73229984195709319</v>
      </c>
      <c r="AN527" s="62">
        <f ca="1"/>
        <v>9.3328487466924237E-2</v>
      </c>
      <c r="AO527" s="62">
        <f ca="1"/>
        <v>-1.1623060232327729</v>
      </c>
      <c r="AP527" s="62">
        <f ca="1"/>
        <v>-0.44969929174143586</v>
      </c>
      <c r="AQ527" s="66" t="str">
        <f t="array" ref="AQ527">IF($AB527, Push(MMULT(Fetch(AG527),MMULT(TRANSPOSE($I$38:$L$41),Fetch(AL527)))), "")</f>
        <v/>
      </c>
      <c r="AR527" s="62">
        <f t="array" aca="1" ref="AR527:AU527" ca="1">AC527:AF527 + TRANSPOSE(MMULT(IF($AB527,Fetch(AQ527),$L$61:$O$64),TRANSPOSE(AM527:AP527)))</f>
        <v>0.18280364998800991</v>
      </c>
      <c r="AS527" s="62">
        <f ca="1"/>
        <v>1.0506234284144806</v>
      </c>
      <c r="AT527" s="62">
        <f ca="1"/>
        <v>-0.31737841900614755</v>
      </c>
      <c r="AU527" s="62">
        <f ca="1"/>
        <v>-0.16038767874045029</v>
      </c>
      <c r="AV527" s="66" t="str">
        <f t="array" ref="AV527">IF($AB527, Push(Fetch(AG527) - MMULT(Fetch(AQ527),MMULT($I$38:$L$41,Fetch(AG527)))), "")</f>
        <v/>
      </c>
      <c r="AW527" s="97">
        <f t="array" aca="1" ref="AW527" ca="1">IF($AB527,LN(MDETERM(Fetch(AL527))),$J$65)   -   MMULT(AM527:AP527,MMULT(IF($AB527,Fetch(AL527),$G$61:$J$64),TRANSPOSE(AM527:AP527)))</f>
        <v>-1.2767452236267012</v>
      </c>
    </row>
    <row r="528" spans="23:49" x14ac:dyDescent="0.15">
      <c r="W528" s="12">
        <f t="shared" si="16"/>
        <v>525</v>
      </c>
      <c r="X528" s="62">
        <f t="array" aca="1" ref="X528:AA528" ca="1">simulate!AE528:AH528</f>
        <v>0.48958539138228341</v>
      </c>
      <c r="Y528" s="62">
        <f ca="1"/>
        <v>1.115587132305849</v>
      </c>
      <c r="Z528" s="62">
        <f ca="1"/>
        <v>-0.42270763634231423</v>
      </c>
      <c r="AA528" s="62">
        <f ca="1"/>
        <v>0.3575277516384463</v>
      </c>
      <c r="AB528" s="98">
        <f t="shared" si="17"/>
        <v>0</v>
      </c>
      <c r="AC528" s="62">
        <f t="array" aca="1" ref="AC528:AF528" ca="1">TRANSPOSE($G$44:$G$47 + MMULT($I$44:$L$47,TRANSPOSE(AR527:AU527)))</f>
        <v>0.49791745534690479</v>
      </c>
      <c r="AD528" s="62">
        <f ca="1"/>
        <v>0.59056892789253979</v>
      </c>
      <c r="AE528" s="62">
        <f ca="1"/>
        <v>9.0673539873581926E-2</v>
      </c>
      <c r="AF528" s="62">
        <f ca="1"/>
        <v>0.14215057552039523</v>
      </c>
      <c r="AG528" s="66" t="str">
        <f t="array" ref="AG528">IF($AB528, Push(MMULT($I$44:$L$47,MMULT(Fetch(AV527),TRANSPOSE($I$44:$L$47))) + $N$44:$Q$47), "")</f>
        <v/>
      </c>
      <c r="AH528" s="62">
        <f t="array" aca="1" ref="AH528:AK528" ca="1">TRANSPOSE($G$38:$G$41 + MMULT($I$38:$L$41,TRANSPOSE(AC528:AF528)))</f>
        <v>0.6053688971073482</v>
      </c>
      <c r="AI528" s="62">
        <f ca="1"/>
        <v>0.74173291187149992</v>
      </c>
      <c r="AJ528" s="62">
        <f ca="1"/>
        <v>0.20968065460794516</v>
      </c>
      <c r="AK528" s="62">
        <f ca="1"/>
        <v>0.20456603308847507</v>
      </c>
      <c r="AL528" s="66" t="str">
        <f t="array" ref="AL528">IF($AB528, Push(MINVERSE(MMULT($I$38:$L$41,MMULT(Fetch(AG528),TRANSPOSE($I$38:$L$41))) + $N$38:$Q$41)), "")</f>
        <v/>
      </c>
      <c r="AM528" s="62">
        <f t="array" aca="1" ref="AM528:AP528" ca="1">X528:AA528 - AH528:AK528</f>
        <v>-0.11578350572506479</v>
      </c>
      <c r="AN528" s="62">
        <f ca="1"/>
        <v>0.37385422043434913</v>
      </c>
      <c r="AO528" s="62">
        <f ca="1"/>
        <v>-0.63238829095025939</v>
      </c>
      <c r="AP528" s="62">
        <f ca="1"/>
        <v>0.15296171854997123</v>
      </c>
      <c r="AQ528" s="66" t="str">
        <f t="array" ref="AQ528">IF($AB528, Push(MMULT(Fetch(AG528),MMULT(TRANSPOSE($I$38:$L$41),Fetch(AL528)))), "")</f>
        <v/>
      </c>
      <c r="AR528" s="62">
        <f t="array" aca="1" ref="AR528:AU528" ca="1">AC528:AF528 + TRANSPOSE(MMULT(IF($AB528,Fetch(AQ528),$L$61:$O$64),TRANSPOSE(AM528:AP528)))</f>
        <v>0.31086024370787202</v>
      </c>
      <c r="AS528" s="62">
        <f ca="1"/>
        <v>0.98698583327360156</v>
      </c>
      <c r="AT528" s="62">
        <f ca="1"/>
        <v>-4.4285492367067136E-3</v>
      </c>
      <c r="AU528" s="62">
        <f ca="1"/>
        <v>-5.9906667054255569E-2</v>
      </c>
      <c r="AV528" s="66" t="str">
        <f t="array" ref="AV528">IF($AB528, Push(Fetch(AG528) - MMULT(Fetch(AQ528),MMULT($I$38:$L$41,Fetch(AG528)))), "")</f>
        <v/>
      </c>
      <c r="AW528" s="97">
        <f t="array" aca="1" ref="AW528" ca="1">IF($AB528,LN(MDETERM(Fetch(AL528))),$J$65)   -   MMULT(AM528:AP528,MMULT(IF($AB528,Fetch(AL528),$G$61:$J$64),TRANSPOSE(AM528:AP528)))</f>
        <v>4.4780069863357799</v>
      </c>
    </row>
    <row r="529" spans="23:49" x14ac:dyDescent="0.15">
      <c r="W529" s="12">
        <f t="shared" si="16"/>
        <v>526</v>
      </c>
      <c r="X529" s="62">
        <f t="array" aca="1" ref="X529:AA529" ca="1">simulate!AE529:AH529</f>
        <v>0.9337899855968238</v>
      </c>
      <c r="Y529" s="62">
        <f ca="1"/>
        <v>-0.57418565774266339</v>
      </c>
      <c r="Z529" s="62">
        <f ca="1"/>
        <v>-0.11887780411461624</v>
      </c>
      <c r="AA529" s="62">
        <f ca="1"/>
        <v>3.3590111668947265E-2</v>
      </c>
      <c r="AB529" s="98">
        <f t="shared" si="17"/>
        <v>0</v>
      </c>
      <c r="AC529" s="62">
        <f t="array" aca="1" ref="AC529:AF529" ca="1">TRANSPOSE($G$44:$G$47 + MMULT($I$44:$L$47,TRANSPOSE(AR528:AU528)))</f>
        <v>0.58476537365165493</v>
      </c>
      <c r="AD529" s="62">
        <f ca="1"/>
        <v>0.6304575369861557</v>
      </c>
      <c r="AE529" s="62">
        <f ca="1"/>
        <v>0.27334352497768505</v>
      </c>
      <c r="AF529" s="62">
        <f ca="1"/>
        <v>0.24885215615961376</v>
      </c>
      <c r="AG529" s="66" t="str">
        <f t="array" ref="AG529">IF($AB529, Push(MMULT($I$44:$L$47,MMULT(Fetch(AV528),TRANSPOSE($I$44:$L$47))) + $N$44:$Q$47), "")</f>
        <v/>
      </c>
      <c r="AH529" s="62">
        <f t="array" aca="1" ref="AH529:AK529" ca="1">TRANSPOSE($G$38:$G$41 + MMULT($I$38:$L$41,TRANSPOSE(AC529:AF529)))</f>
        <v>0.75120981347979909</v>
      </c>
      <c r="AI529" s="62">
        <f ca="1"/>
        <v>0.78290911997155099</v>
      </c>
      <c r="AJ529" s="62">
        <f ca="1"/>
        <v>0.3002324279794395</v>
      </c>
      <c r="AK529" s="62">
        <f ca="1"/>
        <v>0.3553059951275947</v>
      </c>
      <c r="AL529" s="66" t="str">
        <f t="array" ref="AL529">IF($AB529, Push(MINVERSE(MMULT($I$38:$L$41,MMULT(Fetch(AG529),TRANSPOSE($I$38:$L$41))) + $N$38:$Q$41)), "")</f>
        <v/>
      </c>
      <c r="AM529" s="62">
        <f t="array" aca="1" ref="AM529:AP529" ca="1">X529:AA529 - AH529:AK529</f>
        <v>0.18258017211702471</v>
      </c>
      <c r="AN529" s="62">
        <f ca="1"/>
        <v>-1.3570947777142144</v>
      </c>
      <c r="AO529" s="62">
        <f ca="1"/>
        <v>-0.41911023209405573</v>
      </c>
      <c r="AP529" s="62">
        <f ca="1"/>
        <v>-0.32171588345864743</v>
      </c>
      <c r="AQ529" s="66" t="str">
        <f t="array" ref="AQ529">IF($AB529, Push(MMULT(Fetch(AG529),MMULT(TRANSPOSE($I$38:$L$41),Fetch(AL529)))), "")</f>
        <v/>
      </c>
      <c r="AR529" s="62">
        <f t="array" aca="1" ref="AR529:AU529" ca="1">AC529:AF529 + TRANSPOSE(MMULT(IF($AB529,Fetch(AQ529),$L$61:$O$64),TRANSPOSE(AM529:AP529)))</f>
        <v>0.42223368425197966</v>
      </c>
      <c r="AS529" s="62">
        <f ca="1"/>
        <v>-0.15149711625257645</v>
      </c>
      <c r="AT529" s="62">
        <f ca="1"/>
        <v>0.22784366312179591</v>
      </c>
      <c r="AU529" s="62">
        <f ca="1"/>
        <v>-4.3043306426109484E-2</v>
      </c>
      <c r="AV529" s="66" t="str">
        <f t="array" ref="AV529">IF($AB529, Push(Fetch(AG529) - MMULT(Fetch(AQ529),MMULT($I$38:$L$41,Fetch(AG529)))), "")</f>
        <v/>
      </c>
      <c r="AW529" s="97">
        <f t="array" aca="1" ref="AW529" ca="1">IF($AB529,LN(MDETERM(Fetch(AL529))),$J$65)   -   MMULT(AM529:AP529,MMULT(IF($AB529,Fetch(AL529),$G$61:$J$64),TRANSPOSE(AM529:AP529)))</f>
        <v>-13.707836701164458</v>
      </c>
    </row>
    <row r="530" spans="23:49" x14ac:dyDescent="0.15">
      <c r="W530" s="12">
        <f t="shared" si="16"/>
        <v>527</v>
      </c>
      <c r="X530" s="62">
        <f t="array" aca="1" ref="X530:AA530" ca="1">simulate!AE530:AH530</f>
        <v>1.1451415920473593</v>
      </c>
      <c r="Y530" s="62">
        <f ca="1"/>
        <v>0.74061159783280006</v>
      </c>
      <c r="Z530" s="62">
        <f ca="1"/>
        <v>-0.59047447827707467</v>
      </c>
      <c r="AA530" s="62">
        <f ca="1"/>
        <v>0.33856525356884043</v>
      </c>
      <c r="AB530" s="98">
        <f t="shared" si="17"/>
        <v>0</v>
      </c>
      <c r="AC530" s="62">
        <f t="array" aca="1" ref="AC530:AF530" ca="1">TRANSPOSE($G$44:$G$47 + MMULT($I$44:$L$47,TRANSPOSE(AR529:AU529)))</f>
        <v>0.49377423669399628</v>
      </c>
      <c r="AD530" s="62">
        <f ca="1"/>
        <v>6.9248848804237137E-2</v>
      </c>
      <c r="AE530" s="62">
        <f ca="1"/>
        <v>0.22436774715362745</v>
      </c>
      <c r="AF530" s="62">
        <f ca="1"/>
        <v>0.21998201934607683</v>
      </c>
      <c r="AG530" s="66" t="str">
        <f t="array" ref="AG530">IF($AB530, Push(MMULT($I$44:$L$47,MMULT(Fetch(AV529),TRANSPOSE($I$44:$L$47))) + $N$44:$Q$47), "")</f>
        <v/>
      </c>
      <c r="AH530" s="62">
        <f t="array" aca="1" ref="AH530:AK530" ca="1">TRANSPOSE($G$38:$G$41 + MMULT($I$38:$L$41,TRANSPOSE(AC530:AF530)))</f>
        <v>0.69296083194669778</v>
      </c>
      <c r="AI530" s="62">
        <f ca="1"/>
        <v>0.26709844321780896</v>
      </c>
      <c r="AJ530" s="62">
        <f ca="1"/>
        <v>0.45866907904660242</v>
      </c>
      <c r="AK530" s="62">
        <f ca="1"/>
        <v>0.17666971716412183</v>
      </c>
      <c r="AL530" s="66" t="str">
        <f t="array" ref="AL530">IF($AB530, Push(MINVERSE(MMULT($I$38:$L$41,MMULT(Fetch(AG530),TRANSPOSE($I$38:$L$41))) + $N$38:$Q$41)), "")</f>
        <v/>
      </c>
      <c r="AM530" s="62">
        <f t="array" aca="1" ref="AM530:AP530" ca="1">X530:AA530 - AH530:AK530</f>
        <v>0.45218076010066155</v>
      </c>
      <c r="AN530" s="62">
        <f ca="1"/>
        <v>0.47351315461499111</v>
      </c>
      <c r="AO530" s="62">
        <f ca="1"/>
        <v>-1.0491435573236771</v>
      </c>
      <c r="AP530" s="62">
        <f ca="1"/>
        <v>0.1618955364047186</v>
      </c>
      <c r="AQ530" s="66" t="str">
        <f t="array" ref="AQ530">IF($AB530, Push(MMULT(Fetch(AG530),MMULT(TRANSPOSE($I$38:$L$41),Fetch(AL530)))), "")</f>
        <v/>
      </c>
      <c r="AR530" s="62">
        <f t="array" aca="1" ref="AR530:AU530" ca="1">AC530:AF530 + TRANSPOSE(MMULT(IF($AB530,Fetch(AQ530),$L$61:$O$64),TRANSPOSE(AM530:AP530)))</f>
        <v>0.47434741171119993</v>
      </c>
      <c r="AS530" s="62">
        <f ca="1"/>
        <v>0.51260546346587277</v>
      </c>
      <c r="AT530" s="62">
        <f ca="1"/>
        <v>0.25833016446972829</v>
      </c>
      <c r="AU530" s="62">
        <f ca="1"/>
        <v>-0.14598353881422041</v>
      </c>
      <c r="AV530" s="66" t="str">
        <f t="array" ref="AV530">IF($AB530, Push(Fetch(AG530) - MMULT(Fetch(AQ530),MMULT($I$38:$L$41,Fetch(AG530)))), "")</f>
        <v/>
      </c>
      <c r="AW530" s="97">
        <f t="array" aca="1" ref="AW530" ca="1">IF($AB530,LN(MDETERM(Fetch(AL530))),$J$65)   -   MMULT(AM530:AP530,MMULT(IF($AB530,Fetch(AL530),$G$61:$J$64),TRANSPOSE(AM530:AP530)))</f>
        <v>0.8224993614767433</v>
      </c>
    </row>
    <row r="531" spans="23:49" x14ac:dyDescent="0.15">
      <c r="W531" s="12">
        <f t="shared" si="16"/>
        <v>528</v>
      </c>
      <c r="X531" s="62">
        <f t="array" aca="1" ref="X531:AA531" ca="1">simulate!AE531:AH531</f>
        <v>-8.5888110092199987E-2</v>
      </c>
      <c r="Y531" s="62">
        <f ca="1"/>
        <v>0.57151104427643573</v>
      </c>
      <c r="Z531" s="62">
        <f ca="1"/>
        <v>0.35193519797576223</v>
      </c>
      <c r="AA531" s="62">
        <f ca="1"/>
        <v>0.49582033013668192</v>
      </c>
      <c r="AB531" s="98">
        <f t="shared" si="17"/>
        <v>0</v>
      </c>
      <c r="AC531" s="62">
        <f t="array" aca="1" ref="AC531:AF531" ca="1">TRANSPOSE($G$44:$G$47 + MMULT($I$44:$L$47,TRANSPOSE(AR530:AU530)))</f>
        <v>0.61742418136335964</v>
      </c>
      <c r="AD531" s="62">
        <f ca="1"/>
        <v>0.43355912153964032</v>
      </c>
      <c r="AE531" s="62">
        <f ca="1"/>
        <v>0.33713161588897206</v>
      </c>
      <c r="AF531" s="62">
        <f ca="1"/>
        <v>0.21911398252458589</v>
      </c>
      <c r="AG531" s="66" t="str">
        <f t="array" ref="AG531">IF($AB531, Push(MMULT($I$44:$L$47,MMULT(Fetch(AV530),TRANSPOSE($I$44:$L$47))) + $N$44:$Q$47), "")</f>
        <v/>
      </c>
      <c r="AH531" s="62">
        <f t="array" aca="1" ref="AH531:AK531" ca="1">TRANSPOSE($G$38:$G$41 + MMULT($I$38:$L$41,TRANSPOSE(AC531:AF531)))</f>
        <v>0.83405027433488566</v>
      </c>
      <c r="AI531" s="62">
        <f ca="1"/>
        <v>0.60128554746799801</v>
      </c>
      <c r="AJ531" s="62">
        <f ca="1"/>
        <v>0.35687706640941586</v>
      </c>
      <c r="AK531" s="62">
        <f ca="1"/>
        <v>0.31370570506547035</v>
      </c>
      <c r="AL531" s="66" t="str">
        <f t="array" ref="AL531">IF($AB531, Push(MINVERSE(MMULT($I$38:$L$41,MMULT(Fetch(AG531),TRANSPOSE($I$38:$L$41))) + $N$38:$Q$41)), "")</f>
        <v/>
      </c>
      <c r="AM531" s="62">
        <f t="array" aca="1" ref="AM531:AP531" ca="1">X531:AA531 - AH531:AK531</f>
        <v>-0.91993838442708564</v>
      </c>
      <c r="AN531" s="62">
        <f ca="1"/>
        <v>-2.9774503191562274E-2</v>
      </c>
      <c r="AO531" s="62">
        <f ca="1"/>
        <v>-4.9418684336536289E-3</v>
      </c>
      <c r="AP531" s="62">
        <f ca="1"/>
        <v>0.18211462507121157</v>
      </c>
      <c r="AQ531" s="66" t="str">
        <f t="array" ref="AQ531">IF($AB531, Push(MMULT(Fetch(AG531),MMULT(TRANSPOSE($I$38:$L$41),Fetch(AL531)))), "")</f>
        <v/>
      </c>
      <c r="AR531" s="62">
        <f t="array" aca="1" ref="AR531:AU531" ca="1">AC531:AF531 + TRANSPOSE(MMULT(IF($AB531,Fetch(AQ531),$L$61:$O$64),TRANSPOSE(AM531:AP531)))</f>
        <v>0.15187634226169983</v>
      </c>
      <c r="AS531" s="62">
        <f ca="1"/>
        <v>0.61422281640735177</v>
      </c>
      <c r="AT531" s="62">
        <f ca="1"/>
        <v>0.12620076943058145</v>
      </c>
      <c r="AU531" s="62">
        <f ca="1"/>
        <v>0.27711290804300054</v>
      </c>
      <c r="AV531" s="66" t="str">
        <f t="array" ref="AV531">IF($AB531, Push(Fetch(AG531) - MMULT(Fetch(AQ531),MMULT($I$38:$L$41,Fetch(AG531)))), "")</f>
        <v/>
      </c>
      <c r="AW531" s="97">
        <f t="array" aca="1" ref="AW531" ca="1">IF($AB531,LN(MDETERM(Fetch(AL531))),$J$65)   -   MMULT(AM531:AP531,MMULT(IF($AB531,Fetch(AL531),$G$61:$J$64),TRANSPOSE(AM531:AP531)))</f>
        <v>-1.0698308144624491</v>
      </c>
    </row>
    <row r="532" spans="23:49" x14ac:dyDescent="0.15">
      <c r="W532" s="12">
        <f t="shared" si="16"/>
        <v>529</v>
      </c>
      <c r="X532" s="62">
        <f t="array" aca="1" ref="X532:AA532" ca="1">simulate!AE532:AH532</f>
        <v>-0.10524937052831818</v>
      </c>
      <c r="Y532" s="62">
        <f ca="1"/>
        <v>0.75958230798401905</v>
      </c>
      <c r="Z532" s="62">
        <f ca="1"/>
        <v>0.27100194261551064</v>
      </c>
      <c r="AA532" s="62">
        <f ca="1"/>
        <v>9.5330076617813342E-3</v>
      </c>
      <c r="AB532" s="98">
        <f t="shared" si="17"/>
        <v>0</v>
      </c>
      <c r="AC532" s="62">
        <f t="array" aca="1" ref="AC532:AF532" ca="1">TRANSPOSE($G$44:$G$47 + MMULT($I$44:$L$47,TRANSPOSE(AR531:AU531)))</f>
        <v>0.46923088441168026</v>
      </c>
      <c r="AD532" s="62">
        <f ca="1"/>
        <v>0.44664734639656317</v>
      </c>
      <c r="AE532" s="62">
        <f ca="1"/>
        <v>0.32193031960278756</v>
      </c>
      <c r="AF532" s="62">
        <f ca="1"/>
        <v>0.41790214993432151</v>
      </c>
      <c r="AG532" s="66" t="str">
        <f t="array" ref="AG532">IF($AB532, Push(MMULT($I$44:$L$47,MMULT(Fetch(AV531),TRANSPOSE($I$44:$L$47))) + $N$44:$Q$47), "")</f>
        <v/>
      </c>
      <c r="AH532" s="62">
        <f t="array" aca="1" ref="AH532:AK532" ca="1">TRANSPOSE($G$38:$G$41 + MMULT($I$38:$L$41,TRANSPOSE(AC532:AF532)))</f>
        <v>0.66112817802072921</v>
      </c>
      <c r="AI532" s="62">
        <f ca="1"/>
        <v>0.60081821166500227</v>
      </c>
      <c r="AJ532" s="62">
        <f ca="1"/>
        <v>0.46206096147673831</v>
      </c>
      <c r="AK532" s="62">
        <f ca="1"/>
        <v>0.45832398960877019</v>
      </c>
      <c r="AL532" s="66" t="str">
        <f t="array" ref="AL532">IF($AB532, Push(MINVERSE(MMULT($I$38:$L$41,MMULT(Fetch(AG532),TRANSPOSE($I$38:$L$41))) + $N$38:$Q$41)), "")</f>
        <v/>
      </c>
      <c r="AM532" s="62">
        <f t="array" aca="1" ref="AM532:AP532" ca="1">X532:AA532 - AH532:AK532</f>
        <v>-0.76637754854904738</v>
      </c>
      <c r="AN532" s="62">
        <f ca="1"/>
        <v>0.15876409631901678</v>
      </c>
      <c r="AO532" s="62">
        <f ca="1"/>
        <v>-0.19105901886122767</v>
      </c>
      <c r="AP532" s="62">
        <f ca="1"/>
        <v>-0.44879098194698885</v>
      </c>
      <c r="AQ532" s="66" t="str">
        <f t="array" ref="AQ532">IF($AB532, Push(MMULT(Fetch(AG532),MMULT(TRANSPOSE($I$38:$L$41),Fetch(AL532)))), "")</f>
        <v/>
      </c>
      <c r="AR532" s="62">
        <f t="array" aca="1" ref="AR532:AU532" ca="1">AC532:AF532 + TRANSPOSE(MMULT(IF($AB532,Fetch(AQ532),$L$61:$O$64),TRANSPOSE(AM532:AP532)))</f>
        <v>0.19801677624288799</v>
      </c>
      <c r="AS532" s="62">
        <f ca="1"/>
        <v>0.62186535151414102</v>
      </c>
      <c r="AT532" s="62">
        <f ca="1"/>
        <v>-0.30401355570654182</v>
      </c>
      <c r="AU532" s="62">
        <f ca="1"/>
        <v>0.1817059212061797</v>
      </c>
      <c r="AV532" s="66" t="str">
        <f t="array" ref="AV532">IF($AB532, Push(Fetch(AG532) - MMULT(Fetch(AQ532),MMULT($I$38:$L$41,Fetch(AG532)))), "")</f>
        <v/>
      </c>
      <c r="AW532" s="97">
        <f t="array" aca="1" ref="AW532" ca="1">IF($AB532,LN(MDETERM(Fetch(AL532))),$J$65)   -   MMULT(AM532:AP532,MMULT(IF($AB532,Fetch(AL532),$G$61:$J$64),TRANSPOSE(AM532:AP532)))</f>
        <v>3.8296626292052554</v>
      </c>
    </row>
    <row r="533" spans="23:49" x14ac:dyDescent="0.15">
      <c r="W533" s="12">
        <f t="shared" si="16"/>
        <v>530</v>
      </c>
      <c r="X533" s="62">
        <f t="array" aca="1" ref="X533:AA533" ca="1">simulate!AE533:AH533</f>
        <v>1.1393068353300095</v>
      </c>
      <c r="Y533" s="62">
        <f ca="1"/>
        <v>0.86989466388319703</v>
      </c>
      <c r="Z533" s="62">
        <f ca="1"/>
        <v>-0.21198662991955985</v>
      </c>
      <c r="AA533" s="62">
        <f ca="1"/>
        <v>-0.63818872961620798</v>
      </c>
      <c r="AB533" s="98">
        <f t="shared" si="17"/>
        <v>0</v>
      </c>
      <c r="AC533" s="62">
        <f t="array" aca="1" ref="AC533:AF533" ca="1">TRANSPOSE($G$44:$G$47 + MMULT($I$44:$L$47,TRANSPOSE(AR532:AU532)))</f>
        <v>0.46007212729233971</v>
      </c>
      <c r="AD533" s="62">
        <f ca="1"/>
        <v>0.3878068713644493</v>
      </c>
      <c r="AE533" s="62">
        <f ca="1"/>
        <v>7.9988315171001717E-2</v>
      </c>
      <c r="AF533" s="62">
        <f ca="1"/>
        <v>0.29928711470772695</v>
      </c>
      <c r="AG533" s="66" t="str">
        <f t="array" ref="AG533">IF($AB533, Push(MMULT($I$44:$L$47,MMULT(Fetch(AV532),TRANSPOSE($I$44:$L$47))) + $N$44:$Q$47), "")</f>
        <v/>
      </c>
      <c r="AH533" s="62">
        <f t="array" aca="1" ref="AH533:AK533" ca="1">TRANSPOSE($G$38:$G$41 + MMULT($I$38:$L$41,TRANSPOSE(AC533:AF533)))</f>
        <v>0.53756349283447702</v>
      </c>
      <c r="AI533" s="62">
        <f ca="1"/>
        <v>0.58467710773593351</v>
      </c>
      <c r="AJ533" s="62">
        <f ca="1"/>
        <v>0.40430599105128306</v>
      </c>
      <c r="AK533" s="62">
        <f ca="1"/>
        <v>0.21897666634364546</v>
      </c>
      <c r="AL533" s="66" t="str">
        <f t="array" ref="AL533">IF($AB533, Push(MINVERSE(MMULT($I$38:$L$41,MMULT(Fetch(AG533),TRANSPOSE($I$38:$L$41))) + $N$38:$Q$41)), "")</f>
        <v/>
      </c>
      <c r="AM533" s="62">
        <f t="array" aca="1" ref="AM533:AP533" ca="1">X533:AA533 - AH533:AK533</f>
        <v>0.60174334249553252</v>
      </c>
      <c r="AN533" s="62">
        <f ca="1"/>
        <v>0.28521755614726352</v>
      </c>
      <c r="AO533" s="62">
        <f ca="1"/>
        <v>-0.61629262097084292</v>
      </c>
      <c r="AP533" s="62">
        <f ca="1"/>
        <v>-0.85716539595985342</v>
      </c>
      <c r="AQ533" s="66" t="str">
        <f t="array" ref="AQ533">IF($AB533, Push(MMULT(Fetch(AG533),MMULT(TRANSPOSE($I$38:$L$41),Fetch(AL533)))), "")</f>
        <v/>
      </c>
      <c r="AR533" s="62">
        <f t="array" aca="1" ref="AR533:AU533" ca="1">AC533:AF533 + TRANSPOSE(MMULT(IF($AB533,Fetch(AQ533),$L$61:$O$64),TRANSPOSE(AM533:AP533)))</f>
        <v>0.81644812923054766</v>
      </c>
      <c r="AS533" s="62">
        <f ca="1"/>
        <v>0.40462250871488281</v>
      </c>
      <c r="AT533" s="62">
        <f ca="1"/>
        <v>-0.40623219401569277</v>
      </c>
      <c r="AU533" s="62">
        <f ca="1"/>
        <v>-0.24684665882079515</v>
      </c>
      <c r="AV533" s="66" t="str">
        <f t="array" ref="AV533">IF($AB533, Push(Fetch(AG533) - MMULT(Fetch(AQ533),MMULT($I$38:$L$41,Fetch(AG533)))), "")</f>
        <v/>
      </c>
      <c r="AW533" s="97">
        <f t="array" aca="1" ref="AW533" ca="1">IF($AB533,LN(MDETERM(Fetch(AL533))),$J$65)   -   MMULT(AM533:AP533,MMULT(IF($AB533,Fetch(AL533),$G$61:$J$64),TRANSPOSE(AM533:AP533)))</f>
        <v>-9.8138740548663268</v>
      </c>
    </row>
    <row r="534" spans="23:49" x14ac:dyDescent="0.15">
      <c r="W534" s="12">
        <f t="shared" si="16"/>
        <v>531</v>
      </c>
      <c r="X534" s="62">
        <f t="array" aca="1" ref="X534:AA534" ca="1">simulate!AE534:AH534</f>
        <v>1.140591378821997</v>
      </c>
      <c r="Y534" s="62">
        <f ca="1"/>
        <v>1.3815295273630313</v>
      </c>
      <c r="Z534" s="62">
        <f ca="1"/>
        <v>-0.27870503147892545</v>
      </c>
      <c r="AA534" s="62">
        <f ca="1"/>
        <v>0.96586838903608618</v>
      </c>
      <c r="AB534" s="98">
        <f t="shared" si="17"/>
        <v>0</v>
      </c>
      <c r="AC534" s="62">
        <f t="array" aca="1" ref="AC534:AF534" ca="1">TRANSPOSE($G$44:$G$47 + MMULT($I$44:$L$47,TRANSPOSE(AR533:AU533)))</f>
        <v>0.73405059471095613</v>
      </c>
      <c r="AD534" s="62">
        <f ca="1"/>
        <v>0.32525441815594675</v>
      </c>
      <c r="AE534" s="62">
        <f ca="1"/>
        <v>-2.9888686843330001E-2</v>
      </c>
      <c r="AF534" s="62">
        <f ca="1"/>
        <v>6.5495464130021996E-2</v>
      </c>
      <c r="AG534" s="66" t="str">
        <f t="array" ref="AG534">IF($AB534, Push(MMULT($I$44:$L$47,MMULT(Fetch(AV533),TRANSPOSE($I$44:$L$47))) + $N$44:$Q$47), "")</f>
        <v/>
      </c>
      <c r="AH534" s="62">
        <f t="array" aca="1" ref="AH534:AK534" ca="1">TRANSPOSE($G$38:$G$41 + MMULT($I$38:$L$41,TRANSPOSE(AC534:AF534)))</f>
        <v>0.73350401116697117</v>
      </c>
      <c r="AI534" s="62">
        <f ca="1"/>
        <v>0.61366647254505746</v>
      </c>
      <c r="AJ534" s="62">
        <f ca="1"/>
        <v>0.34893894270327641</v>
      </c>
      <c r="AK534" s="62">
        <f ca="1"/>
        <v>-0.10259746418265708</v>
      </c>
      <c r="AL534" s="66" t="str">
        <f t="array" ref="AL534">IF($AB534, Push(MINVERSE(MMULT($I$38:$L$41,MMULT(Fetch(AG534),TRANSPOSE($I$38:$L$41))) + $N$38:$Q$41)), "")</f>
        <v/>
      </c>
      <c r="AM534" s="62">
        <f t="array" aca="1" ref="AM534:AP534" ca="1">X534:AA534 - AH534:AK534</f>
        <v>0.40708736765502584</v>
      </c>
      <c r="AN534" s="62">
        <f ca="1"/>
        <v>0.76786305481797379</v>
      </c>
      <c r="AO534" s="62">
        <f ca="1"/>
        <v>-0.62764397418220186</v>
      </c>
      <c r="AP534" s="62">
        <f ca="1"/>
        <v>1.0684658532187432</v>
      </c>
      <c r="AQ534" s="66" t="str">
        <f t="array" ref="AQ534">IF($AB534, Push(MMULT(Fetch(AG534),MMULT(TRANSPOSE($I$38:$L$41),Fetch(AL534)))), "")</f>
        <v/>
      </c>
      <c r="AR534" s="62">
        <f t="array" aca="1" ref="AR534:AU534" ca="1">AC534:AF534 + TRANSPOSE(MMULT(IF($AB534,Fetch(AQ534),$L$61:$O$64),TRANSPOSE(AM534:AP534)))</f>
        <v>0.64254155745882491</v>
      </c>
      <c r="AS534" s="62">
        <f ca="1"/>
        <v>1.0359547146288564</v>
      </c>
      <c r="AT534" s="62">
        <f ca="1"/>
        <v>0.61894248119908524</v>
      </c>
      <c r="AU534" s="62">
        <f ca="1"/>
        <v>0.18963316393490351</v>
      </c>
      <c r="AV534" s="66" t="str">
        <f t="array" ref="AV534">IF($AB534, Push(Fetch(AG534) - MMULT(Fetch(AQ534),MMULT($I$38:$L$41,Fetch(AG534)))), "")</f>
        <v/>
      </c>
      <c r="AW534" s="97">
        <f t="array" aca="1" ref="AW534" ca="1">IF($AB534,LN(MDETERM(Fetch(AL534))),$J$65)   -   MMULT(AM534:AP534,MMULT(IF($AB534,Fetch(AL534),$G$61:$J$64),TRANSPOSE(AM534:AP534)))</f>
        <v>-8.1741225884288973</v>
      </c>
    </row>
    <row r="535" spans="23:49" x14ac:dyDescent="0.15">
      <c r="W535" s="12">
        <f t="shared" si="16"/>
        <v>532</v>
      </c>
      <c r="X535" s="62">
        <f t="array" aca="1" ref="X535:AA535" ca="1">simulate!AE535:AH535</f>
        <v>1.0955606201345178</v>
      </c>
      <c r="Y535" s="62">
        <f ca="1"/>
        <v>1.2429146221563669</v>
      </c>
      <c r="Z535" s="62">
        <f ca="1"/>
        <v>0.22562573217997212</v>
      </c>
      <c r="AA535" s="62">
        <f ca="1"/>
        <v>0.98743999972427487</v>
      </c>
      <c r="AB535" s="98">
        <f t="shared" si="17"/>
        <v>0</v>
      </c>
      <c r="AC535" s="62">
        <f t="array" aca="1" ref="AC535:AF535" ca="1">TRANSPOSE($G$44:$G$47 + MMULT($I$44:$L$47,TRANSPOSE(AR534:AU534)))</f>
        <v>0.8275106560878287</v>
      </c>
      <c r="AD535" s="62">
        <f ca="1"/>
        <v>0.82077266333175924</v>
      </c>
      <c r="AE535" s="62">
        <f ca="1"/>
        <v>0.67850103927241623</v>
      </c>
      <c r="AF535" s="62">
        <f ca="1"/>
        <v>0.50425757363140966</v>
      </c>
      <c r="AG535" s="66" t="str">
        <f t="array" ref="AG535">IF($AB535, Push(MMULT($I$44:$L$47,MMULT(Fetch(AV534),TRANSPOSE($I$44:$L$47))) + $N$44:$Q$47), "")</f>
        <v/>
      </c>
      <c r="AH535" s="62">
        <f t="array" aca="1" ref="AH535:AK535" ca="1">TRANSPOSE($G$38:$G$41 + MMULT($I$38:$L$41,TRANSPOSE(AC535:AF535)))</f>
        <v>1.099800010725418</v>
      </c>
      <c r="AI535" s="62">
        <f ca="1"/>
        <v>0.98520058514729847</v>
      </c>
      <c r="AJ535" s="62">
        <f ca="1"/>
        <v>0.49742108003584573</v>
      </c>
      <c r="AK535" s="62">
        <f ca="1"/>
        <v>0.70631786262764784</v>
      </c>
      <c r="AL535" s="66" t="str">
        <f t="array" ref="AL535">IF($AB535, Push(MINVERSE(MMULT($I$38:$L$41,MMULT(Fetch(AG535),TRANSPOSE($I$38:$L$41))) + $N$38:$Q$41)), "")</f>
        <v/>
      </c>
      <c r="AM535" s="62">
        <f t="array" aca="1" ref="AM535:AP535" ca="1">X535:AA535 - AH535:AK535</f>
        <v>-4.2393905909001717E-3</v>
      </c>
      <c r="AN535" s="62">
        <f ca="1"/>
        <v>0.25771403700906848</v>
      </c>
      <c r="AO535" s="62">
        <f ca="1"/>
        <v>-0.27179534785587361</v>
      </c>
      <c r="AP535" s="62">
        <f ca="1"/>
        <v>0.28112213709662703</v>
      </c>
      <c r="AQ535" s="66" t="str">
        <f t="array" ref="AQ535">IF($AB535, Push(MMULT(Fetch(AG535),MMULT(TRANSPOSE($I$38:$L$41),Fetch(AL535)))), "")</f>
        <v/>
      </c>
      <c r="AR535" s="62">
        <f t="array" aca="1" ref="AR535:AU535" ca="1">AC535:AF535 + TRANSPOSE(MMULT(IF($AB535,Fetch(AQ535),$L$61:$O$64),TRANSPOSE(AM535:AP535)))</f>
        <v>0.73472008925380827</v>
      </c>
      <c r="AS535" s="62">
        <f ca="1"/>
        <v>1.0813131003638445</v>
      </c>
      <c r="AT535" s="62">
        <f ca="1"/>
        <v>0.7837924844633315</v>
      </c>
      <c r="AU535" s="62">
        <f ca="1"/>
        <v>0.49344832521535287</v>
      </c>
      <c r="AV535" s="66" t="str">
        <f t="array" ref="AV535">IF($AB535, Push(Fetch(AG535) - MMULT(Fetch(AQ535),MMULT($I$38:$L$41,Fetch(AG535)))), "")</f>
        <v/>
      </c>
      <c r="AW535" s="97">
        <f t="array" aca="1" ref="AW535" ca="1">IF($AB535,LN(MDETERM(Fetch(AL535))),$J$65)   -   MMULT(AM535:AP535,MMULT(IF($AB535,Fetch(AL535),$G$61:$J$64),TRANSPOSE(AM535:AP535)))</f>
        <v>5.6336064217016926</v>
      </c>
    </row>
    <row r="536" spans="23:49" x14ac:dyDescent="0.15">
      <c r="W536" s="12">
        <f t="shared" si="16"/>
        <v>533</v>
      </c>
      <c r="X536" s="62">
        <f t="array" aca="1" ref="X536:AA536" ca="1">simulate!AE536:AH536</f>
        <v>1.1861420039065094</v>
      </c>
      <c r="Y536" s="62">
        <f ca="1"/>
        <v>0.95529625776505933</v>
      </c>
      <c r="Z536" s="62">
        <f ca="1"/>
        <v>0.32160558937080952</v>
      </c>
      <c r="AA536" s="62">
        <f ca="1"/>
        <v>1.9786719418302141</v>
      </c>
      <c r="AB536" s="98">
        <f t="shared" si="17"/>
        <v>0</v>
      </c>
      <c r="AC536" s="62">
        <f t="array" aca="1" ref="AC536:AF536" ca="1">TRANSPOSE($G$44:$G$47 + MMULT($I$44:$L$47,TRANSPOSE(AR535:AU535)))</f>
        <v>0.91034124608343503</v>
      </c>
      <c r="AD536" s="62">
        <f ca="1"/>
        <v>0.90625868537407839</v>
      </c>
      <c r="AE536" s="62">
        <f ca="1"/>
        <v>0.82642031747409328</v>
      </c>
      <c r="AF536" s="62">
        <f ca="1"/>
        <v>0.70276393547299976</v>
      </c>
      <c r="AG536" s="66" t="str">
        <f t="array" ref="AG536">IF($AB536, Push(MMULT($I$44:$L$47,MMULT(Fetch(AV535),TRANSPOSE($I$44:$L$47))) + $N$44:$Q$47), "")</f>
        <v/>
      </c>
      <c r="AH536" s="62">
        <f t="array" aca="1" ref="AH536:AK536" ca="1">TRANSPOSE($G$38:$G$41 + MMULT($I$38:$L$41,TRANSPOSE(AC536:AF536)))</f>
        <v>1.1921332593052605</v>
      </c>
      <c r="AI536" s="62">
        <f ca="1"/>
        <v>1.0915445238437853</v>
      </c>
      <c r="AJ536" s="62">
        <f ca="1"/>
        <v>0.64901031750120519</v>
      </c>
      <c r="AK536" s="62">
        <f ca="1"/>
        <v>0.88698301187567363</v>
      </c>
      <c r="AL536" s="66" t="str">
        <f t="array" ref="AL536">IF($AB536, Push(MINVERSE(MMULT($I$38:$L$41,MMULT(Fetch(AG536),TRANSPOSE($I$38:$L$41))) + $N$38:$Q$41)), "")</f>
        <v/>
      </c>
      <c r="AM536" s="62">
        <f t="array" aca="1" ref="AM536:AP536" ca="1">X536:AA536 - AH536:AK536</f>
        <v>-5.9912553987511163E-3</v>
      </c>
      <c r="AN536" s="62">
        <f ca="1"/>
        <v>-0.13624826607872598</v>
      </c>
      <c r="AO536" s="62">
        <f ca="1"/>
        <v>-0.32740472813039567</v>
      </c>
      <c r="AP536" s="62">
        <f ca="1"/>
        <v>1.0916889299545405</v>
      </c>
      <c r="AQ536" s="66" t="str">
        <f t="array" ref="AQ536">IF($AB536, Push(MMULT(Fetch(AG536),MMULT(TRANSPOSE($I$38:$L$41),Fetch(AL536)))), "")</f>
        <v/>
      </c>
      <c r="AR536" s="62">
        <f t="array" aca="1" ref="AR536:AU536" ca="1">AC536:AF536 + TRANSPOSE(MMULT(IF($AB536,Fetch(AQ536),$L$61:$O$64),TRANSPOSE(AM536:AP536)))</f>
        <v>0.55918101997456571</v>
      </c>
      <c r="AS536" s="62">
        <f ca="1"/>
        <v>1.1149337455636539</v>
      </c>
      <c r="AT536" s="62">
        <f ca="1"/>
        <v>1.5052123219914346</v>
      </c>
      <c r="AU536" s="62">
        <f ca="1"/>
        <v>0.9494998643960405</v>
      </c>
      <c r="AV536" s="66" t="str">
        <f t="array" ref="AV536">IF($AB536, Push(Fetch(AG536) - MMULT(Fetch(AQ536),MMULT($I$38:$L$41,Fetch(AG536)))), "")</f>
        <v/>
      </c>
      <c r="AW536" s="97">
        <f t="array" aca="1" ref="AW536" ca="1">IF($AB536,LN(MDETERM(Fetch(AL536))),$J$65)   -   MMULT(AM536:AP536,MMULT(IF($AB536,Fetch(AL536),$G$61:$J$64),TRANSPOSE(AM536:AP536)))</f>
        <v>-6.0102177223976998</v>
      </c>
    </row>
    <row r="537" spans="23:49" x14ac:dyDescent="0.15">
      <c r="W537" s="12">
        <f t="shared" si="16"/>
        <v>534</v>
      </c>
      <c r="X537" s="62">
        <f t="array" aca="1" ref="X537:AA537" ca="1">simulate!AE537:AH537</f>
        <v>1.0809472203500921</v>
      </c>
      <c r="Y537" s="62">
        <f ca="1"/>
        <v>0.69307149737792173</v>
      </c>
      <c r="Z537" s="62">
        <f ca="1"/>
        <v>1.6261466159602813</v>
      </c>
      <c r="AA537" s="62">
        <f ca="1"/>
        <v>1.1645814807630477</v>
      </c>
      <c r="AB537" s="98">
        <f t="shared" si="17"/>
        <v>0</v>
      </c>
      <c r="AC537" s="62">
        <f t="array" aca="1" ref="AC537:AF537" ca="1">TRANSPOSE($G$44:$G$47 + MMULT($I$44:$L$47,TRANSPOSE(AR536:AU536)))</f>
        <v>0.89378172467058836</v>
      </c>
      <c r="AD537" s="62">
        <f ca="1"/>
        <v>1.0351430965194395</v>
      </c>
      <c r="AE537" s="62">
        <f ca="1"/>
        <v>1.2764957023117012</v>
      </c>
      <c r="AF537" s="62">
        <f ca="1"/>
        <v>1.0601529529843097</v>
      </c>
      <c r="AG537" s="66" t="str">
        <f t="array" ref="AG537">IF($AB537, Push(MMULT($I$44:$L$47,MMULT(Fetch(AV536),TRANSPOSE($I$44:$L$47))) + $N$44:$Q$47), "")</f>
        <v/>
      </c>
      <c r="AH537" s="62">
        <f t="array" aca="1" ref="AH537:AK537" ca="1">TRANSPOSE($G$38:$G$41 + MMULT($I$38:$L$41,TRANSPOSE(AC537:AF537)))</f>
        <v>1.3580374577234551</v>
      </c>
      <c r="AI537" s="62">
        <f ca="1"/>
        <v>1.1529415658754267</v>
      </c>
      <c r="AJ537" s="62">
        <f ca="1"/>
        <v>0.85028611270895227</v>
      </c>
      <c r="AK537" s="62">
        <f ca="1"/>
        <v>1.4117443152323506</v>
      </c>
      <c r="AL537" s="66" t="str">
        <f t="array" ref="AL537">IF($AB537, Push(MINVERSE(MMULT($I$38:$L$41,MMULT(Fetch(AG537),TRANSPOSE($I$38:$L$41))) + $N$38:$Q$41)), "")</f>
        <v/>
      </c>
      <c r="AM537" s="62">
        <f t="array" aca="1" ref="AM537:AP537" ca="1">X537:AA537 - AH537:AK537</f>
        <v>-0.27709023737336302</v>
      </c>
      <c r="AN537" s="62">
        <f ca="1"/>
        <v>-0.459870068497505</v>
      </c>
      <c r="AO537" s="62">
        <f ca="1"/>
        <v>0.77586050325132905</v>
      </c>
      <c r="AP537" s="62">
        <f ca="1"/>
        <v>-0.24716283446930287</v>
      </c>
      <c r="AQ537" s="66" t="str">
        <f t="array" ref="AQ537">IF($AB537, Push(MMULT(Fetch(AG537),MMULT(TRANSPOSE($I$38:$L$41),Fetch(AL537)))), "")</f>
        <v/>
      </c>
      <c r="AR537" s="62">
        <f t="array" aca="1" ref="AR537:AU537" ca="1">AC537:AF537 + TRANSPOSE(MMULT(IF($AB537,Fetch(AQ537),$L$61:$O$64),TRANSPOSE(AM537:AP537)))</f>
        <v>0.94563596054980803</v>
      </c>
      <c r="AS537" s="62">
        <f ca="1"/>
        <v>0.60940557222570035</v>
      </c>
      <c r="AT537" s="62">
        <f ca="1"/>
        <v>1.2020473229885382</v>
      </c>
      <c r="AU537" s="62">
        <f ca="1"/>
        <v>1.2857443164154125</v>
      </c>
      <c r="AV537" s="66" t="str">
        <f t="array" ref="AV537">IF($AB537, Push(Fetch(AG537) - MMULT(Fetch(AQ537),MMULT($I$38:$L$41,Fetch(AG537)))), "")</f>
        <v/>
      </c>
      <c r="AW537" s="97">
        <f t="array" aca="1" ref="AW537" ca="1">IF($AB537,LN(MDETERM(Fetch(AL537))),$J$65)   -   MMULT(AM537:AP537,MMULT(IF($AB537,Fetch(AL537),$G$61:$J$64),TRANSPOSE(AM537:AP537)))</f>
        <v>3.5060060865818237</v>
      </c>
    </row>
    <row r="538" spans="23:49" x14ac:dyDescent="0.15">
      <c r="W538" s="12">
        <f t="shared" si="16"/>
        <v>535</v>
      </c>
      <c r="X538" s="62">
        <f t="array" aca="1" ref="X538:AA538" ca="1">simulate!AE538:AH538</f>
        <v>2.1232228865647209</v>
      </c>
      <c r="Y538" s="62">
        <f ca="1"/>
        <v>0.88736811184173348</v>
      </c>
      <c r="Z538" s="62">
        <f ca="1"/>
        <v>0.56599689570108924</v>
      </c>
      <c r="AA538" s="62">
        <f ca="1"/>
        <v>2.0927542209109373</v>
      </c>
      <c r="AB538" s="98">
        <f t="shared" si="17"/>
        <v>0</v>
      </c>
      <c r="AC538" s="62">
        <f t="array" aca="1" ref="AC538:AF538" ca="1">TRANSPOSE($G$44:$G$47 + MMULT($I$44:$L$47,TRANSPOSE(AR537:AU537)))</f>
        <v>1.022260588510562</v>
      </c>
      <c r="AD538" s="62">
        <f ca="1"/>
        <v>0.80393414832500887</v>
      </c>
      <c r="AE538" s="62">
        <f ca="1"/>
        <v>1.107957049912542</v>
      </c>
      <c r="AF538" s="62">
        <f ca="1"/>
        <v>1.1751143050600736</v>
      </c>
      <c r="AG538" s="66" t="str">
        <f t="array" ref="AG538">IF($AB538, Push(MMULT($I$44:$L$47,MMULT(Fetch(AV537),TRANSPOSE($I$44:$L$47))) + $N$44:$Q$47), "")</f>
        <v/>
      </c>
      <c r="AH538" s="62">
        <f t="array" aca="1" ref="AH538:AK538" ca="1">TRANSPOSE($G$38:$G$41 + MMULT($I$38:$L$41,TRANSPOSE(AC538:AF538)))</f>
        <v>1.3223316923526387</v>
      </c>
      <c r="AI538" s="62">
        <f ca="1"/>
        <v>1.0646848317223838</v>
      </c>
      <c r="AJ538" s="62">
        <f ca="1"/>
        <v>1.0994763393721851</v>
      </c>
      <c r="AK538" s="62">
        <f ca="1"/>
        <v>1.2106824736665107</v>
      </c>
      <c r="AL538" s="66" t="str">
        <f t="array" ref="AL538">IF($AB538, Push(MINVERSE(MMULT($I$38:$L$41,MMULT(Fetch(AG538),TRANSPOSE($I$38:$L$41))) + $N$38:$Q$41)), "")</f>
        <v/>
      </c>
      <c r="AM538" s="62">
        <f t="array" aca="1" ref="AM538:AP538" ca="1">X538:AA538 - AH538:AK538</f>
        <v>0.80089119421208221</v>
      </c>
      <c r="AN538" s="62">
        <f ca="1"/>
        <v>-0.17731671988065034</v>
      </c>
      <c r="AO538" s="62">
        <f ca="1"/>
        <v>-0.5334794436710959</v>
      </c>
      <c r="AP538" s="62">
        <f ca="1"/>
        <v>0.88207174724442661</v>
      </c>
      <c r="AQ538" s="66" t="str">
        <f t="array" ref="AQ538">IF($AB538, Push(MMULT(Fetch(AG538),MMULT(TRANSPOSE($I$38:$L$41),Fetch(AL538)))), "")</f>
        <v/>
      </c>
      <c r="AR538" s="62">
        <f t="array" aca="1" ref="AR538:AU538" ca="1">AC538:AF538 + TRANSPOSE(MMULT(IF($AB538,Fetch(AQ538),$L$61:$O$64),TRANSPOSE(AM538:AP538)))</f>
        <v>1.027319521587428</v>
      </c>
      <c r="AS538" s="62">
        <f ca="1"/>
        <v>0.8500418356345758</v>
      </c>
      <c r="AT538" s="62">
        <f ca="1"/>
        <v>1.9118399227510776</v>
      </c>
      <c r="AU538" s="62">
        <f ca="1"/>
        <v>1.2673693176628928</v>
      </c>
      <c r="AV538" s="66" t="str">
        <f t="array" ref="AV538">IF($AB538, Push(Fetch(AG538) - MMULT(Fetch(AQ538),MMULT($I$38:$L$41,Fetch(AG538)))), "")</f>
        <v/>
      </c>
      <c r="AW538" s="97">
        <f t="array" aca="1" ref="AW538" ca="1">IF($AB538,LN(MDETERM(Fetch(AL538))),$J$65)   -   MMULT(AM538:AP538,MMULT(IF($AB538,Fetch(AL538),$G$61:$J$64),TRANSPOSE(AM538:AP538)))</f>
        <v>-1.9006750467248761</v>
      </c>
    </row>
    <row r="539" spans="23:49" x14ac:dyDescent="0.15">
      <c r="W539" s="12">
        <f t="shared" si="16"/>
        <v>536</v>
      </c>
      <c r="X539" s="62">
        <f t="array" aca="1" ref="X539:AA539" ca="1">simulate!AE539:AH539</f>
        <v>1.0031479674650228</v>
      </c>
      <c r="Y539" s="62">
        <f ca="1"/>
        <v>0.98013913224018856</v>
      </c>
      <c r="Z539" s="62">
        <f ca="1"/>
        <v>2.2307991500236373</v>
      </c>
      <c r="AA539" s="62">
        <f ca="1"/>
        <v>0.99784249829061844</v>
      </c>
      <c r="AB539" s="98">
        <f t="shared" si="17"/>
        <v>0</v>
      </c>
      <c r="AC539" s="62">
        <f t="array" aca="1" ref="AC539:AF539" ca="1">TRANSPOSE($G$44:$G$47 + MMULT($I$44:$L$47,TRANSPOSE(AR538:AU538)))</f>
        <v>1.1516304792074574</v>
      </c>
      <c r="AD539" s="62">
        <f ca="1"/>
        <v>1.0508929088322121</v>
      </c>
      <c r="AE539" s="62">
        <f ca="1"/>
        <v>1.5334629306094396</v>
      </c>
      <c r="AF539" s="62">
        <f ca="1"/>
        <v>1.3014868560078741</v>
      </c>
      <c r="AG539" s="66" t="str">
        <f t="array" ref="AG539">IF($AB539, Push(MMULT($I$44:$L$47,MMULT(Fetch(AV538),TRANSPOSE($I$44:$L$47))) + $N$44:$Q$47), "")</f>
        <v/>
      </c>
      <c r="AH539" s="62">
        <f t="array" aca="1" ref="AH539:AK539" ca="1">TRANSPOSE($G$38:$G$41 + MMULT($I$38:$L$41,TRANSPOSE(AC539:AF539)))</f>
        <v>1.6364508131095841</v>
      </c>
      <c r="AI539" s="62">
        <f ca="1"/>
        <v>1.2438245583425291</v>
      </c>
      <c r="AJ539" s="62">
        <f ca="1"/>
        <v>1.121653448999322</v>
      </c>
      <c r="AK539" s="62">
        <f ca="1"/>
        <v>1.5894921703227656</v>
      </c>
      <c r="AL539" s="66" t="str">
        <f t="array" ref="AL539">IF($AB539, Push(MINVERSE(MMULT($I$38:$L$41,MMULT(Fetch(AG539),TRANSPOSE($I$38:$L$41))) + $N$38:$Q$41)), "")</f>
        <v/>
      </c>
      <c r="AM539" s="62">
        <f t="array" aca="1" ref="AM539:AP539" ca="1">X539:AA539 - AH539:AK539</f>
        <v>-0.6333028456445613</v>
      </c>
      <c r="AN539" s="62">
        <f ca="1"/>
        <v>-0.26368542610234058</v>
      </c>
      <c r="AO539" s="62">
        <f ca="1"/>
        <v>1.1091457010243153</v>
      </c>
      <c r="AP539" s="62">
        <f ca="1"/>
        <v>-0.59164967203214713</v>
      </c>
      <c r="AQ539" s="66" t="str">
        <f t="array" ref="AQ539">IF($AB539, Push(MMULT(Fetch(AG539),MMULT(TRANSPOSE($I$38:$L$41),Fetch(AL539)))), "")</f>
        <v/>
      </c>
      <c r="AR539" s="62">
        <f t="array" aca="1" ref="AR539:AU539" ca="1">AC539:AF539 + TRANSPOSE(MMULT(IF($AB539,Fetch(AQ539),$L$61:$O$64),TRANSPOSE(AM539:AP539)))</f>
        <v>1.2329726645331105</v>
      </c>
      <c r="AS539" s="62">
        <f ca="1"/>
        <v>0.66093378404255088</v>
      </c>
      <c r="AT539" s="62">
        <f ca="1"/>
        <v>1.1344108242158679</v>
      </c>
      <c r="AU539" s="62">
        <f ca="1"/>
        <v>1.5426814120033732</v>
      </c>
      <c r="AV539" s="66" t="str">
        <f t="array" ref="AV539">IF($AB539, Push(Fetch(AG539) - MMULT(Fetch(AQ539),MMULT($I$38:$L$41,Fetch(AG539)))), "")</f>
        <v/>
      </c>
      <c r="AW539" s="97">
        <f t="array" aca="1" ref="AW539" ca="1">IF($AB539,LN(MDETERM(Fetch(AL539))),$J$65)   -   MMULT(AM539:AP539,MMULT(IF($AB539,Fetch(AL539),$G$61:$J$64),TRANSPOSE(AM539:AP539)))</f>
        <v>-2.650024703867329</v>
      </c>
    </row>
    <row r="540" spans="23:49" x14ac:dyDescent="0.15">
      <c r="W540" s="12">
        <f t="shared" si="16"/>
        <v>537</v>
      </c>
      <c r="X540" s="62">
        <f t="array" aca="1" ref="X540:AA540" ca="1">simulate!AE540:AH540</f>
        <v>1.4570558505225595</v>
      </c>
      <c r="Y540" s="62">
        <f ca="1"/>
        <v>1.5193104801969834</v>
      </c>
      <c r="Z540" s="62">
        <f ca="1"/>
        <v>1.0921125121953077</v>
      </c>
      <c r="AA540" s="62">
        <f ca="1"/>
        <v>1.7278314110252866</v>
      </c>
      <c r="AB540" s="98">
        <f t="shared" si="17"/>
        <v>0</v>
      </c>
      <c r="AC540" s="62">
        <f t="array" aca="1" ref="AC540:AF540" ca="1">TRANSPOSE($G$44:$G$47 + MMULT($I$44:$L$47,TRANSPOSE(AR539:AU539)))</f>
        <v>1.1926022661344802</v>
      </c>
      <c r="AD540" s="62">
        <f ca="1"/>
        <v>0.88669524320857052</v>
      </c>
      <c r="AE540" s="62">
        <f ca="1"/>
        <v>1.1382724999691471</v>
      </c>
      <c r="AF540" s="62">
        <f ca="1"/>
        <v>1.3203742095592712</v>
      </c>
      <c r="AG540" s="66" t="str">
        <f t="array" ref="AG540">IF($AB540, Push(MMULT($I$44:$L$47,MMULT(Fetch(AV539),TRANSPOSE($I$44:$L$47))) + $N$44:$Q$47), "")</f>
        <v/>
      </c>
      <c r="AH540" s="62">
        <f t="array" aca="1" ref="AH540:AK540" ca="1">TRANSPOSE($G$38:$G$41 + MMULT($I$38:$L$41,TRANSPOSE(AC540:AF540)))</f>
        <v>1.4177645762833446</v>
      </c>
      <c r="AI540" s="62">
        <f ca="1"/>
        <v>1.2206194971509103</v>
      </c>
      <c r="AJ540" s="62">
        <f ca="1"/>
        <v>1.2523996269838633</v>
      </c>
      <c r="AK540" s="62">
        <f ca="1"/>
        <v>1.2434935269520362</v>
      </c>
      <c r="AL540" s="66" t="str">
        <f t="array" ref="AL540">IF($AB540, Push(MINVERSE(MMULT($I$38:$L$41,MMULT(Fetch(AG540),TRANSPOSE($I$38:$L$41))) + $N$38:$Q$41)), "")</f>
        <v/>
      </c>
      <c r="AM540" s="62">
        <f t="array" aca="1" ref="AM540:AP540" ca="1">X540:AA540 - AH540:AK540</f>
        <v>3.9291274239214857E-2</v>
      </c>
      <c r="AN540" s="62">
        <f ca="1"/>
        <v>0.29869098304607311</v>
      </c>
      <c r="AO540" s="62">
        <f ca="1"/>
        <v>-0.16028711478855562</v>
      </c>
      <c r="AP540" s="62">
        <f ca="1"/>
        <v>0.4843378840732504</v>
      </c>
      <c r="AQ540" s="66" t="str">
        <f t="array" ref="AQ540">IF($AB540, Push(MMULT(Fetch(AG540),MMULT(TRANSPOSE($I$38:$L$41),Fetch(AL540)))), "")</f>
        <v/>
      </c>
      <c r="AR540" s="62">
        <f t="array" aca="1" ref="AR540:AU540" ca="1">AC540:AF540 + TRANSPOSE(MMULT(IF($AB540,Fetch(AQ540),$L$61:$O$64),TRANSPOSE(AM540:AP540)))</f>
        <v>1.1084229941056989</v>
      </c>
      <c r="AS540" s="62">
        <f ca="1"/>
        <v>1.1799740183086669</v>
      </c>
      <c r="AT540" s="62">
        <f ca="1"/>
        <v>1.4068784720134382</v>
      </c>
      <c r="AU540" s="62">
        <f ca="1"/>
        <v>1.4263830864378788</v>
      </c>
      <c r="AV540" s="66" t="str">
        <f t="array" ref="AV540">IF($AB540, Push(Fetch(AG540) - MMULT(Fetch(AQ540),MMULT($I$38:$L$41,Fetch(AG540)))), "")</f>
        <v/>
      </c>
      <c r="AW540" s="97">
        <f t="array" aca="1" ref="AW540" ca="1">IF($AB540,LN(MDETERM(Fetch(AL540))),$J$65)   -   MMULT(AM540:AP540,MMULT(IF($AB540,Fetch(AL540),$G$61:$J$64),TRANSPOSE(AM540:AP540)))</f>
        <v>3.8456256986441528</v>
      </c>
    </row>
    <row r="541" spans="23:49" x14ac:dyDescent="0.15">
      <c r="W541" s="12">
        <f t="shared" si="16"/>
        <v>538</v>
      </c>
      <c r="X541" s="62">
        <f t="array" aca="1" ref="X541:AA541" ca="1">simulate!AE541:AH541</f>
        <v>1.1834013939522525</v>
      </c>
      <c r="Y541" s="62">
        <f ca="1"/>
        <v>0.79810843731439896</v>
      </c>
      <c r="Z541" s="62">
        <f ca="1"/>
        <v>1.3820206068666496</v>
      </c>
      <c r="AA541" s="62">
        <f ca="1"/>
        <v>1.2469862336193323</v>
      </c>
      <c r="AB541" s="98">
        <f t="shared" si="17"/>
        <v>0</v>
      </c>
      <c r="AC541" s="62">
        <f t="array" aca="1" ref="AC541:AF541" ca="1">TRANSPOSE($G$44:$G$47 + MMULT($I$44:$L$47,TRANSPOSE(AR540:AU540)))</f>
        <v>1.2159559877627797</v>
      </c>
      <c r="AD541" s="62">
        <f ca="1"/>
        <v>1.1788382010479594</v>
      </c>
      <c r="AE541" s="62">
        <f ca="1"/>
        <v>1.3436195718446755</v>
      </c>
      <c r="AF541" s="62">
        <f ca="1"/>
        <v>1.332764050383801</v>
      </c>
      <c r="AG541" s="66" t="str">
        <f t="array" ref="AG541">IF($AB541, Push(MMULT($I$44:$L$47,MMULT(Fetch(AV540),TRANSPOSE($I$44:$L$47))) + $N$44:$Q$47), "")</f>
        <v/>
      </c>
      <c r="AH541" s="62">
        <f t="array" aca="1" ref="AH541:AK541" ca="1">TRANSPOSE($G$38:$G$41 + MMULT($I$38:$L$41,TRANSPOSE(AC541:AF541)))</f>
        <v>1.5460436099738459</v>
      </c>
      <c r="AI541" s="62">
        <f ca="1"/>
        <v>1.4337657390553049</v>
      </c>
      <c r="AJ541" s="62">
        <f ca="1"/>
        <v>1.1417060576149651</v>
      </c>
      <c r="AK541" s="62">
        <f ca="1"/>
        <v>1.4760315560792852</v>
      </c>
      <c r="AL541" s="66" t="str">
        <f t="array" ref="AL541">IF($AB541, Push(MINVERSE(MMULT($I$38:$L$41,MMULT(Fetch(AG541),TRANSPOSE($I$38:$L$41))) + $N$38:$Q$41)), "")</f>
        <v/>
      </c>
      <c r="AM541" s="62">
        <f t="array" aca="1" ref="AM541:AP541" ca="1">X541:AA541 - AH541:AK541</f>
        <v>-0.36264221602159341</v>
      </c>
      <c r="AN541" s="62">
        <f ca="1"/>
        <v>-0.63565730174090596</v>
      </c>
      <c r="AO541" s="62">
        <f ca="1"/>
        <v>0.24031454925168449</v>
      </c>
      <c r="AP541" s="62">
        <f ca="1"/>
        <v>-0.2290453224599529</v>
      </c>
      <c r="AQ541" s="66" t="str">
        <f t="array" ref="AQ541">IF($AB541, Push(MMULT(Fetch(AG541),MMULT(TRANSPOSE($I$38:$L$41),Fetch(AL541)))), "")</f>
        <v/>
      </c>
      <c r="AR541" s="62">
        <f t="array" aca="1" ref="AR541:AU541" ca="1">AC541:AF541 + TRANSPOSE(MMULT(IF($AB541,Fetch(AQ541),$L$61:$O$64),TRANSPOSE(AM541:AP541)))</f>
        <v>1.0629140876798882</v>
      </c>
      <c r="AS541" s="62">
        <f ca="1"/>
        <v>0.78363985668877645</v>
      </c>
      <c r="AT541" s="62">
        <f ca="1"/>
        <v>1.1817901611818222</v>
      </c>
      <c r="AU541" s="62">
        <f ca="1"/>
        <v>1.3449444222301037</v>
      </c>
      <c r="AV541" s="66" t="str">
        <f t="array" ref="AV541">IF($AB541, Push(Fetch(AG541) - MMULT(Fetch(AQ541),MMULT($I$38:$L$41,Fetch(AG541)))), "")</f>
        <v/>
      </c>
      <c r="AW541" s="97">
        <f t="array" aca="1" ref="AW541" ca="1">IF($AB541,LN(MDETERM(Fetch(AL541))),$J$65)   -   MMULT(AM541:AP541,MMULT(IF($AB541,Fetch(AL541),$G$61:$J$64),TRANSPOSE(AM541:AP541)))</f>
        <v>4.7496973490862207</v>
      </c>
    </row>
    <row r="542" spans="23:49" x14ac:dyDescent="0.15">
      <c r="W542" s="12">
        <f t="shared" si="16"/>
        <v>539</v>
      </c>
      <c r="X542" s="62">
        <f t="array" aca="1" ref="X542:AA542" ca="1">simulate!AE542:AH542</f>
        <v>1.5518189815017993</v>
      </c>
      <c r="Y542" s="62">
        <f ca="1"/>
        <v>0.12322248490352972</v>
      </c>
      <c r="Z542" s="62">
        <f ca="1"/>
        <v>0.741999758407204</v>
      </c>
      <c r="AA542" s="62">
        <f ca="1"/>
        <v>1.604709719059858</v>
      </c>
      <c r="AB542" s="98">
        <f t="shared" si="17"/>
        <v>0</v>
      </c>
      <c r="AC542" s="62">
        <f t="array" aca="1" ref="AC542:AF542" ca="1">TRANSPOSE($G$44:$G$47 + MMULT($I$44:$L$47,TRANSPOSE(AR541:AU541)))</f>
        <v>1.1127876066158742</v>
      </c>
      <c r="AD542" s="62">
        <f ca="1"/>
        <v>0.91829112231602228</v>
      </c>
      <c r="AE542" s="62">
        <f ca="1"/>
        <v>1.1424146730906439</v>
      </c>
      <c r="AF542" s="62">
        <f ca="1"/>
        <v>1.2218363460663806</v>
      </c>
      <c r="AG542" s="66" t="str">
        <f t="array" ref="AG542">IF($AB542, Push(MMULT($I$44:$L$47,MMULT(Fetch(AV541),TRANSPOSE($I$44:$L$47))) + $N$44:$Q$47), "")</f>
        <v/>
      </c>
      <c r="AH542" s="62">
        <f t="array" aca="1" ref="AH542:AK542" ca="1">TRANSPOSE($G$38:$G$41 + MMULT($I$38:$L$41,TRANSPOSE(AC542:AF542)))</f>
        <v>1.3896509934118761</v>
      </c>
      <c r="AI542" s="62">
        <f ca="1"/>
        <v>1.1981948895803773</v>
      </c>
      <c r="AJ542" s="62">
        <f ca="1"/>
        <v>1.1268547750441567</v>
      </c>
      <c r="AK542" s="62">
        <f ca="1"/>
        <v>1.2498811067307709</v>
      </c>
      <c r="AL542" s="66" t="str">
        <f t="array" ref="AL542">IF($AB542, Push(MINVERSE(MMULT($I$38:$L$41,MMULT(Fetch(AG542),TRANSPOSE($I$38:$L$41))) + $N$38:$Q$41)), "")</f>
        <v/>
      </c>
      <c r="AM542" s="62">
        <f t="array" aca="1" ref="AM542:AP542" ca="1">X542:AA542 - AH542:AK542</f>
        <v>0.16216798808992317</v>
      </c>
      <c r="AN542" s="62">
        <f ca="1"/>
        <v>-1.0749724046768476</v>
      </c>
      <c r="AO542" s="62">
        <f ca="1"/>
        <v>-0.38485501663695265</v>
      </c>
      <c r="AP542" s="62">
        <f ca="1"/>
        <v>0.35482861232908713</v>
      </c>
      <c r="AQ542" s="66" t="str">
        <f t="array" ref="AQ542">IF($AB542, Push(MMULT(Fetch(AG542),MMULT(TRANSPOSE($I$38:$L$41),Fetch(AL542)))), "")</f>
        <v/>
      </c>
      <c r="AR542" s="62">
        <f t="array" aca="1" ref="AR542:AU542" ca="1">AC542:AF542 + TRANSPOSE(MMULT(IF($AB542,Fetch(AQ542),$L$61:$O$64),TRANSPOSE(AM542:AP542)))</f>
        <v>0.8419717795190329</v>
      </c>
      <c r="AS542" s="62">
        <f ca="1"/>
        <v>0.42793860519688637</v>
      </c>
      <c r="AT542" s="62">
        <f ca="1"/>
        <v>1.5053900767319157</v>
      </c>
      <c r="AU542" s="62">
        <f ca="1"/>
        <v>1.1819754869223005</v>
      </c>
      <c r="AV542" s="66" t="str">
        <f t="array" ref="AV542">IF($AB542, Push(Fetch(AG542) - MMULT(Fetch(AQ542),MMULT($I$38:$L$41,Fetch(AG542)))), "")</f>
        <v/>
      </c>
      <c r="AW542" s="97">
        <f t="array" aca="1" ref="AW542" ca="1">IF($AB542,LN(MDETERM(Fetch(AL542))),$J$65)   -   MMULT(AM542:AP542,MMULT(IF($AB542,Fetch(AL542),$G$61:$J$64),TRANSPOSE(AM542:AP542)))</f>
        <v>-3.1510896815327367</v>
      </c>
    </row>
    <row r="543" spans="23:49" x14ac:dyDescent="0.15">
      <c r="W543" s="12">
        <f t="shared" si="16"/>
        <v>540</v>
      </c>
      <c r="X543" s="62">
        <f t="array" aca="1" ref="X543:AA543" ca="1">simulate!AE543:AH543</f>
        <v>1.233593172716378</v>
      </c>
      <c r="Y543" s="62">
        <f ca="1"/>
        <v>1.3734189850201608</v>
      </c>
      <c r="Z543" s="62">
        <f ca="1"/>
        <v>0.24736030067636638</v>
      </c>
      <c r="AA543" s="62">
        <f ca="1"/>
        <v>0.56976836108467888</v>
      </c>
      <c r="AB543" s="98">
        <f t="shared" si="17"/>
        <v>0</v>
      </c>
      <c r="AC543" s="62">
        <f t="array" aca="1" ref="AC543:AF543" ca="1">TRANSPOSE($G$44:$G$47 + MMULT($I$44:$L$47,TRANSPOSE(AR542:AU542)))</f>
        <v>0.95602503415966278</v>
      </c>
      <c r="AD543" s="62">
        <f ca="1"/>
        <v>0.72660295930337571</v>
      </c>
      <c r="AE543" s="62">
        <f ca="1"/>
        <v>1.2195858201395937</v>
      </c>
      <c r="AF543" s="62">
        <f ca="1"/>
        <v>1.1504228868769217</v>
      </c>
      <c r="AG543" s="66" t="str">
        <f t="array" ref="AG543">IF($AB543, Push(MMULT($I$44:$L$47,MMULT(Fetch(AV542),TRANSPOSE($I$44:$L$47))) + $N$44:$Q$47), "")</f>
        <v/>
      </c>
      <c r="AH543" s="62">
        <f t="array" aca="1" ref="AH543:AK543" ca="1">TRANSPOSE($G$38:$G$41 + MMULT($I$38:$L$41,TRANSPOSE(AC543:AF543)))</f>
        <v>1.3570692316452559</v>
      </c>
      <c r="AI543" s="62">
        <f ca="1"/>
        <v>0.93942009202326415</v>
      </c>
      <c r="AJ543" s="62">
        <f ca="1"/>
        <v>1.0722362445885874</v>
      </c>
      <c r="AK543" s="62">
        <f ca="1"/>
        <v>1.286826649531484</v>
      </c>
      <c r="AL543" s="66" t="str">
        <f t="array" ref="AL543">IF($AB543, Push(MINVERSE(MMULT($I$38:$L$41,MMULT(Fetch(AG543),TRANSPOSE($I$38:$L$41))) + $N$38:$Q$41)), "")</f>
        <v/>
      </c>
      <c r="AM543" s="62">
        <f t="array" aca="1" ref="AM543:AP543" ca="1">X543:AA543 - AH543:AK543</f>
        <v>-0.12347605892887792</v>
      </c>
      <c r="AN543" s="62">
        <f ca="1"/>
        <v>0.43399889299689665</v>
      </c>
      <c r="AO543" s="62">
        <f ca="1"/>
        <v>-0.82487594391222097</v>
      </c>
      <c r="AP543" s="62">
        <f ca="1"/>
        <v>-0.71705828844680508</v>
      </c>
      <c r="AQ543" s="66" t="str">
        <f t="array" ref="AQ543">IF($AB543, Push(MMULT(Fetch(AG543),MMULT(TRANSPOSE($I$38:$L$41),Fetch(AL543)))), "")</f>
        <v/>
      </c>
      <c r="AR543" s="62">
        <f t="array" aca="1" ref="AR543:AU543" ca="1">AC543:AF543 + TRANSPOSE(MMULT(IF($AB543,Fetch(AQ543),$L$61:$O$64),TRANSPOSE(AM543:AP543)))</f>
        <v>0.92182565770255498</v>
      </c>
      <c r="AS543" s="62">
        <f ca="1"/>
        <v>1.0263332215059779</v>
      </c>
      <c r="AT543" s="62">
        <f ca="1"/>
        <v>0.50855292429999954</v>
      </c>
      <c r="AU543" s="62">
        <f ca="1"/>
        <v>0.56661480960602539</v>
      </c>
      <c r="AV543" s="66" t="str">
        <f t="array" ref="AV543">IF($AB543, Push(Fetch(AG543) - MMULT(Fetch(AQ543),MMULT($I$38:$L$41,Fetch(AG543)))), "")</f>
        <v/>
      </c>
      <c r="AW543" s="97">
        <f t="array" aca="1" ref="AW543" ca="1">IF($AB543,LN(MDETERM(Fetch(AL543))),$J$65)   -   MMULT(AM543:AP543,MMULT(IF($AB543,Fetch(AL543),$G$61:$J$64),TRANSPOSE(AM543:AP543)))</f>
        <v>6.0402051800235057E-2</v>
      </c>
    </row>
    <row r="544" spans="23:49" x14ac:dyDescent="0.15">
      <c r="W544" s="12">
        <f t="shared" si="16"/>
        <v>541</v>
      </c>
      <c r="X544" s="62">
        <f t="array" aca="1" ref="X544:AA544" ca="1">simulate!AE544:AH544</f>
        <v>1.4067351338476826</v>
      </c>
      <c r="Y544" s="62">
        <f ca="1"/>
        <v>0.5016244153873477</v>
      </c>
      <c r="Z544" s="62">
        <f ca="1"/>
        <v>1.9087329740917198</v>
      </c>
      <c r="AA544" s="62">
        <f ca="1"/>
        <v>1.5340606258557572</v>
      </c>
      <c r="AB544" s="98">
        <f t="shared" si="17"/>
        <v>0</v>
      </c>
      <c r="AC544" s="62">
        <f t="array" aca="1" ref="AC544:AF544" ca="1">TRANSPOSE($G$44:$G$47 + MMULT($I$44:$L$47,TRANSPOSE(AR543:AU543)))</f>
        <v>0.98717920221552991</v>
      </c>
      <c r="AD544" s="62">
        <f ca="1"/>
        <v>0.8714190608727389</v>
      </c>
      <c r="AE544" s="62">
        <f ca="1"/>
        <v>0.69299072154373664</v>
      </c>
      <c r="AF544" s="62">
        <f ca="1"/>
        <v>0.70266930279243955</v>
      </c>
      <c r="AG544" s="66" t="str">
        <f t="array" ref="AG544">IF($AB544, Push(MMULT($I$44:$L$47,MMULT(Fetch(AV543),TRANSPOSE($I$44:$L$47))) + $N$44:$Q$47), "")</f>
        <v/>
      </c>
      <c r="AH544" s="62">
        <f t="array" aca="1" ref="AH544:AK544" ca="1">TRANSPOSE($G$38:$G$41 + MMULT($I$38:$L$41,TRANSPOSE(AC544:AF544)))</f>
        <v>1.1641182030045478</v>
      </c>
      <c r="AI544" s="62">
        <f ca="1"/>
        <v>1.1236956075483631</v>
      </c>
      <c r="AJ544" s="62">
        <f ca="1"/>
        <v>0.70428265362040943</v>
      </c>
      <c r="AK544" s="62">
        <f ca="1"/>
        <v>0.74539286299359508</v>
      </c>
      <c r="AL544" s="66" t="str">
        <f t="array" ref="AL544">IF($AB544, Push(MINVERSE(MMULT($I$38:$L$41,MMULT(Fetch(AG544),TRANSPOSE($I$38:$L$41))) + $N$38:$Q$41)), "")</f>
        <v/>
      </c>
      <c r="AM544" s="62">
        <f t="array" aca="1" ref="AM544:AP544" ca="1">X544:AA544 - AH544:AK544</f>
        <v>0.24261693084313474</v>
      </c>
      <c r="AN544" s="62">
        <f ca="1"/>
        <v>-0.62207119216101536</v>
      </c>
      <c r="AO544" s="62">
        <f ca="1"/>
        <v>1.2044503204713104</v>
      </c>
      <c r="AP544" s="62">
        <f ca="1"/>
        <v>0.78866776286216211</v>
      </c>
      <c r="AQ544" s="66" t="str">
        <f t="array" ref="AQ544">IF($AB544, Push(MMULT(Fetch(AG544),MMULT(TRANSPOSE($I$38:$L$41),Fetch(AL544)))), "")</f>
        <v/>
      </c>
      <c r="AR544" s="62">
        <f t="array" aca="1" ref="AR544:AU544" ca="1">AC544:AF544 + TRANSPOSE(MMULT(IF($AB544,Fetch(AQ544),$L$61:$O$64),TRANSPOSE(AM544:AP544)))</f>
        <v>1.1252791844798999</v>
      </c>
      <c r="AS544" s="62">
        <f ca="1"/>
        <v>0.37824963981585669</v>
      </c>
      <c r="AT544" s="62">
        <f ca="1"/>
        <v>1.582188046457468</v>
      </c>
      <c r="AU544" s="62">
        <f ca="1"/>
        <v>1.4652415126530622</v>
      </c>
      <c r="AV544" s="66" t="str">
        <f t="array" ref="AV544">IF($AB544, Push(Fetch(AG544) - MMULT(Fetch(AQ544),MMULT($I$38:$L$41,Fetch(AG544)))), "")</f>
        <v/>
      </c>
      <c r="AW544" s="97">
        <f t="array" aca="1" ref="AW544" ca="1">IF($AB544,LN(MDETERM(Fetch(AL544))),$J$65)   -   MMULT(AM544:AP544,MMULT(IF($AB544,Fetch(AL544),$G$61:$J$64),TRANSPOSE(AM544:AP544)))</f>
        <v>-3.6726024934034793</v>
      </c>
    </row>
    <row r="545" spans="23:49" x14ac:dyDescent="0.15">
      <c r="W545" s="12">
        <f t="shared" si="16"/>
        <v>542</v>
      </c>
      <c r="X545" s="62">
        <f t="array" aca="1" ref="X545:AA545" ca="1">simulate!AE545:AH545</f>
        <v>1.8507042007778831</v>
      </c>
      <c r="Y545" s="62">
        <f ca="1"/>
        <v>0.79531967447111507</v>
      </c>
      <c r="Z545" s="62">
        <f ca="1"/>
        <v>0.93609114177657426</v>
      </c>
      <c r="AA545" s="62">
        <f ca="1"/>
        <v>0.89194881557965722</v>
      </c>
      <c r="AB545" s="98">
        <f t="shared" si="17"/>
        <v>0</v>
      </c>
      <c r="AC545" s="62">
        <f t="array" aca="1" ref="AC545:AF545" ca="1">TRANSPOSE($G$44:$G$47 + MMULT($I$44:$L$47,TRANSPOSE(AR544:AU544)))</f>
        <v>1.1207579613001337</v>
      </c>
      <c r="AD545" s="62">
        <f ca="1"/>
        <v>0.77729424019290438</v>
      </c>
      <c r="AE545" s="62">
        <f ca="1"/>
        <v>1.3150827204465647</v>
      </c>
      <c r="AF545" s="62">
        <f ca="1"/>
        <v>1.3259540774305376</v>
      </c>
      <c r="AG545" s="66" t="str">
        <f t="array" ref="AG545">IF($AB545, Push(MMULT($I$44:$L$47,MMULT(Fetch(AV544),TRANSPOSE($I$44:$L$47))) + $N$44:$Q$47), "")</f>
        <v/>
      </c>
      <c r="AH545" s="62">
        <f t="array" aca="1" ref="AH545:AK545" ca="1">TRANSPOSE($G$38:$G$41 + MMULT($I$38:$L$41,TRANSPOSE(AC545:AF545)))</f>
        <v>1.4830362427746253</v>
      </c>
      <c r="AI545" s="62">
        <f ca="1"/>
        <v>1.0546292023083748</v>
      </c>
      <c r="AJ545" s="62">
        <f ca="1"/>
        <v>1.2543927016314147</v>
      </c>
      <c r="AK545" s="62">
        <f ca="1"/>
        <v>1.3723579200700986</v>
      </c>
      <c r="AL545" s="66" t="str">
        <f t="array" ref="AL545">IF($AB545, Push(MINVERSE(MMULT($I$38:$L$41,MMULT(Fetch(AG545),TRANSPOSE($I$38:$L$41))) + $N$38:$Q$41)), "")</f>
        <v/>
      </c>
      <c r="AM545" s="62">
        <f t="array" aca="1" ref="AM545:AP545" ca="1">X545:AA545 - AH545:AK545</f>
        <v>0.3676679580032578</v>
      </c>
      <c r="AN545" s="62">
        <f ca="1"/>
        <v>-0.25930952783725969</v>
      </c>
      <c r="AO545" s="62">
        <f ca="1"/>
        <v>-0.31830155985484043</v>
      </c>
      <c r="AP545" s="62">
        <f ca="1"/>
        <v>-0.48040910449044139</v>
      </c>
      <c r="AQ545" s="66" t="str">
        <f t="array" ref="AQ545">IF($AB545, Push(MMULT(Fetch(AG545),MMULT(TRANSPOSE($I$38:$L$41),Fetch(AL545)))), "")</f>
        <v/>
      </c>
      <c r="AR545" s="62">
        <f t="array" aca="1" ref="AR545:AU545" ca="1">AC545:AF545 + TRANSPOSE(MMULT(IF($AB545,Fetch(AQ545),$L$61:$O$64),TRANSPOSE(AM545:AP545)))</f>
        <v>1.2754395864682999</v>
      </c>
      <c r="AS545" s="62">
        <f ca="1"/>
        <v>0.53662662131810557</v>
      </c>
      <c r="AT545" s="62">
        <f ca="1"/>
        <v>1.1109760245471123</v>
      </c>
      <c r="AU545" s="62">
        <f ca="1"/>
        <v>1.0280883808589287</v>
      </c>
      <c r="AV545" s="66" t="str">
        <f t="array" ref="AV545">IF($AB545, Push(Fetch(AG545) - MMULT(Fetch(AQ545),MMULT($I$38:$L$41,Fetch(AG545)))), "")</f>
        <v/>
      </c>
      <c r="AW545" s="97">
        <f t="array" aca="1" ref="AW545" ca="1">IF($AB545,LN(MDETERM(Fetch(AL545))),$J$65)   -   MMULT(AM545:AP545,MMULT(IF($AB545,Fetch(AL545),$G$61:$J$64),TRANSPOSE(AM545:AP545)))</f>
        <v>-0.85590472320973809</v>
      </c>
    </row>
    <row r="546" spans="23:49" x14ac:dyDescent="0.15">
      <c r="W546" s="12">
        <f t="shared" si="16"/>
        <v>543</v>
      </c>
      <c r="X546" s="62">
        <f t="array" aca="1" ref="X546:AA546" ca="1">simulate!AE546:AH546</f>
        <v>1.8389623456672726</v>
      </c>
      <c r="Y546" s="62">
        <f ca="1"/>
        <v>1.805900543415063</v>
      </c>
      <c r="Z546" s="62">
        <f ca="1"/>
        <v>0.35070347338078234</v>
      </c>
      <c r="AA546" s="62">
        <f ca="1"/>
        <v>1.4791947809562025</v>
      </c>
      <c r="AB546" s="98">
        <f t="shared" si="17"/>
        <v>0</v>
      </c>
      <c r="AC546" s="62">
        <f t="array" aca="1" ref="AC546:AF546" ca="1">TRANSPOSE($G$44:$G$47 + MMULT($I$44:$L$47,TRANSPOSE(AR545:AU545)))</f>
        <v>1.1707439495543948</v>
      </c>
      <c r="AD546" s="62">
        <f ca="1"/>
        <v>0.78635624404465987</v>
      </c>
      <c r="AE546" s="62">
        <f ca="1"/>
        <v>1.0323011839593317</v>
      </c>
      <c r="AF546" s="62">
        <f ca="1"/>
        <v>1.0318427789889506</v>
      </c>
      <c r="AG546" s="66" t="str">
        <f t="array" ref="AG546">IF($AB546, Push(MMULT($I$44:$L$47,MMULT(Fetch(AV545),TRANSPOSE($I$44:$L$47))) + $N$44:$Q$47), "")</f>
        <v/>
      </c>
      <c r="AH546" s="62">
        <f t="array" aca="1" ref="AH546:AK546" ca="1">TRANSPOSE($G$38:$G$41 + MMULT($I$38:$L$41,TRANSPOSE(AC546:AF546)))</f>
        <v>1.4221239714832148</v>
      </c>
      <c r="AI546" s="62">
        <f ca="1"/>
        <v>1.0954778794053717</v>
      </c>
      <c r="AJ546" s="62">
        <f ca="1"/>
        <v>1.0509307545325368</v>
      </c>
      <c r="AK546" s="62">
        <f ca="1"/>
        <v>1.0226839446974365</v>
      </c>
      <c r="AL546" s="66" t="str">
        <f t="array" ref="AL546">IF($AB546, Push(MINVERSE(MMULT($I$38:$L$41,MMULT(Fetch(AG546),TRANSPOSE($I$38:$L$41))) + $N$38:$Q$41)), "")</f>
        <v/>
      </c>
      <c r="AM546" s="62">
        <f t="array" aca="1" ref="AM546:AP546" ca="1">X546:AA546 - AH546:AK546</f>
        <v>0.41683837418405778</v>
      </c>
      <c r="AN546" s="62">
        <f ca="1"/>
        <v>0.71042266400969134</v>
      </c>
      <c r="AO546" s="62">
        <f ca="1"/>
        <v>-0.70022728115175448</v>
      </c>
      <c r="AP546" s="62">
        <f ca="1"/>
        <v>0.45651083625876598</v>
      </c>
      <c r="AQ546" s="66" t="str">
        <f t="array" ref="AQ546">IF($AB546, Push(MMULT(Fetch(AG546),MMULT(TRANSPOSE($I$38:$L$41),Fetch(AL546)))), "")</f>
        <v/>
      </c>
      <c r="AR546" s="62">
        <f t="array" aca="1" ref="AR546:AU546" ca="1">AC546:AF546 + TRANSPOSE(MMULT(IF($AB546,Fetch(AQ546),$L$61:$O$64),TRANSPOSE(AM546:AP546)))</f>
        <v>1.1937750583043356</v>
      </c>
      <c r="AS546" s="62">
        <f ca="1"/>
        <v>1.3563370099238075</v>
      </c>
      <c r="AT546" s="62">
        <f ca="1"/>
        <v>1.2765655468705435</v>
      </c>
      <c r="AU546" s="62">
        <f ca="1"/>
        <v>0.91241142515741747</v>
      </c>
      <c r="AV546" s="66" t="str">
        <f t="array" ref="AV546">IF($AB546, Push(Fetch(AG546) - MMULT(Fetch(AQ546),MMULT($I$38:$L$41,Fetch(AG546)))), "")</f>
        <v/>
      </c>
      <c r="AW546" s="97">
        <f t="array" aca="1" ref="AW546" ca="1">IF($AB546,LN(MDETERM(Fetch(AL546))),$J$65)   -   MMULT(AM546:AP546,MMULT(IF($AB546,Fetch(AL546),$G$61:$J$64),TRANSPOSE(AM546:AP546)))</f>
        <v>1.5765627189858087</v>
      </c>
    </row>
    <row r="547" spans="23:49" x14ac:dyDescent="0.15">
      <c r="W547" s="12">
        <f t="shared" si="16"/>
        <v>544</v>
      </c>
      <c r="X547" s="62">
        <f t="array" aca="1" ref="X547:AA547" ca="1">simulate!AE547:AH547</f>
        <v>1.0103459324198381</v>
      </c>
      <c r="Y547" s="62">
        <f ca="1"/>
        <v>0.42186447084231576</v>
      </c>
      <c r="Z547" s="62">
        <f ca="1"/>
        <v>1.1224477121283307</v>
      </c>
      <c r="AA547" s="62">
        <f ca="1"/>
        <v>1.1611179652122621</v>
      </c>
      <c r="AB547" s="98">
        <f t="shared" si="17"/>
        <v>0</v>
      </c>
      <c r="AC547" s="62">
        <f t="array" aca="1" ref="AC547:AF547" ca="1">TRANSPOSE($G$44:$G$47 + MMULT($I$44:$L$47,TRANSPOSE(AR546:AU546)))</f>
        <v>1.2541772820606751</v>
      </c>
      <c r="AD547" s="62">
        <f ca="1"/>
        <v>1.2320735839791772</v>
      </c>
      <c r="AE547" s="62">
        <f ca="1"/>
        <v>1.2318874688702424</v>
      </c>
      <c r="AF547" s="62">
        <f ca="1"/>
        <v>1.0506791789444343</v>
      </c>
      <c r="AG547" s="66" t="str">
        <f t="array" ref="AG547">IF($AB547, Push(MMULT($I$44:$L$47,MMULT(Fetch(AV546),TRANSPOSE($I$44:$L$47))) + $N$44:$Q$47), "")</f>
        <v/>
      </c>
      <c r="AH547" s="62">
        <f t="array" aca="1" ref="AH547:AK547" ca="1">TRANSPOSE($G$38:$G$41 + MMULT($I$38:$L$41,TRANSPOSE(AC547:AF547)))</f>
        <v>1.5797363492344858</v>
      </c>
      <c r="AI547" s="62">
        <f ca="1"/>
        <v>1.4674022529788053</v>
      </c>
      <c r="AJ547" s="62">
        <f ca="1"/>
        <v>0.91105016530853034</v>
      </c>
      <c r="AK547" s="62">
        <f ca="1"/>
        <v>1.2738384442772146</v>
      </c>
      <c r="AL547" s="66" t="str">
        <f t="array" ref="AL547">IF($AB547, Push(MINVERSE(MMULT($I$38:$L$41,MMULT(Fetch(AG547),TRANSPOSE($I$38:$L$41))) + $N$38:$Q$41)), "")</f>
        <v/>
      </c>
      <c r="AM547" s="62">
        <f t="array" aca="1" ref="AM547:AP547" ca="1">X547:AA547 - AH547:AK547</f>
        <v>-0.56939041681464775</v>
      </c>
      <c r="AN547" s="62">
        <f ca="1"/>
        <v>-1.0455377821364895</v>
      </c>
      <c r="AO547" s="62">
        <f ca="1"/>
        <v>0.21139754681980039</v>
      </c>
      <c r="AP547" s="62">
        <f ca="1"/>
        <v>-0.11272047906495253</v>
      </c>
      <c r="AQ547" s="66" t="str">
        <f t="array" ref="AQ547">IF($AB547, Push(MMULT(Fetch(AG547),MMULT(TRANSPOSE($I$38:$L$41),Fetch(AL547)))), "")</f>
        <v/>
      </c>
      <c r="AR547" s="62">
        <f t="array" aca="1" ref="AR547:AU547" ca="1">AC547:AF547 + TRANSPOSE(MMULT(IF($AB547,Fetch(AQ547),$L$61:$O$64),TRANSPOSE(AM547:AP547)))</f>
        <v>0.9094209527341881</v>
      </c>
      <c r="AS547" s="62">
        <f ca="1"/>
        <v>0.66828336420295176</v>
      </c>
      <c r="AT547" s="62">
        <f ca="1"/>
        <v>1.1183992448221094</v>
      </c>
      <c r="AU547" s="62">
        <f ca="1"/>
        <v>1.0880643497042672</v>
      </c>
      <c r="AV547" s="66" t="str">
        <f t="array" ref="AV547">IF($AB547, Push(Fetch(AG547) - MMULT(Fetch(AQ547),MMULT($I$38:$L$41,Fetch(AG547)))), "")</f>
        <v/>
      </c>
      <c r="AW547" s="97">
        <f t="array" aca="1" ref="AW547" ca="1">IF($AB547,LN(MDETERM(Fetch(AL547))),$J$65)   -   MMULT(AM547:AP547,MMULT(IF($AB547,Fetch(AL547),$G$61:$J$64),TRANSPOSE(AM547:AP547)))</f>
        <v>1.3933334325104418</v>
      </c>
    </row>
    <row r="548" spans="23:49" x14ac:dyDescent="0.15">
      <c r="W548" s="12">
        <f t="shared" si="16"/>
        <v>545</v>
      </c>
      <c r="X548" s="62">
        <f t="array" aca="1" ref="X548:AA548" ca="1">simulate!AE548:AH548</f>
        <v>0.79574787127120228</v>
      </c>
      <c r="Y548" s="62">
        <f ca="1"/>
        <v>1.3288202503540871</v>
      </c>
      <c r="Z548" s="62">
        <f ca="1"/>
        <v>1.1228380332104071</v>
      </c>
      <c r="AA548" s="62">
        <f ca="1"/>
        <v>0.88706978179315077</v>
      </c>
      <c r="AB548" s="98">
        <f t="shared" si="17"/>
        <v>0</v>
      </c>
      <c r="AC548" s="62">
        <f t="array" aca="1" ref="AC548:AF548" ca="1">TRANSPOSE($G$44:$G$47 + MMULT($I$44:$L$47,TRANSPOSE(AR547:AU547)))</f>
        <v>0.99596116552622926</v>
      </c>
      <c r="AD548" s="62">
        <f ca="1"/>
        <v>0.80340193633512769</v>
      </c>
      <c r="AE548" s="62">
        <f ca="1"/>
        <v>1.0405073987080777</v>
      </c>
      <c r="AF548" s="62">
        <f ca="1"/>
        <v>1.0572220736628619</v>
      </c>
      <c r="AG548" s="66" t="str">
        <f t="array" ref="AG548">IF($AB548, Push(MMULT($I$44:$L$47,MMULT(Fetch(AV547),TRANSPOSE($I$44:$L$47))) + $N$44:$Q$47), "")</f>
        <v/>
      </c>
      <c r="AH548" s="62">
        <f t="array" aca="1" ref="AH548:AK548" ca="1">TRANSPOSE($G$38:$G$41 + MMULT($I$38:$L$41,TRANSPOSE(AC548:AF548)))</f>
        <v>1.2941808048167718</v>
      </c>
      <c r="AI548" s="62">
        <f ca="1"/>
        <v>1.0485570213505746</v>
      </c>
      <c r="AJ548" s="62">
        <f ca="1"/>
        <v>0.99731865621279026</v>
      </c>
      <c r="AK548" s="62">
        <f ca="1"/>
        <v>1.123211303528074</v>
      </c>
      <c r="AL548" s="66" t="str">
        <f t="array" ref="AL548">IF($AB548, Push(MINVERSE(MMULT($I$38:$L$41,MMULT(Fetch(AG548),TRANSPOSE($I$38:$L$41))) + $N$38:$Q$41)), "")</f>
        <v/>
      </c>
      <c r="AM548" s="62">
        <f t="array" aca="1" ref="AM548:AP548" ca="1">X548:AA548 - AH548:AK548</f>
        <v>-0.4984329335455695</v>
      </c>
      <c r="AN548" s="62">
        <f ca="1"/>
        <v>0.28026322900351253</v>
      </c>
      <c r="AO548" s="62">
        <f ca="1"/>
        <v>0.12551937699761684</v>
      </c>
      <c r="AP548" s="62">
        <f ca="1"/>
        <v>-0.2361415217349232</v>
      </c>
      <c r="AQ548" s="66" t="str">
        <f t="array" ref="AQ548">IF($AB548, Push(MMULT(Fetch(AG548),MMULT(TRANSPOSE($I$38:$L$41),Fetch(AL548)))), "")</f>
        <v/>
      </c>
      <c r="AR548" s="62">
        <f t="array" aca="1" ref="AR548:AU548" ca="1">AC548:AF548 + TRANSPOSE(MMULT(IF($AB548,Fetch(AQ548),$L$61:$O$64),TRANSPOSE(AM548:AP548)))</f>
        <v>0.89745975198090355</v>
      </c>
      <c r="AS548" s="62">
        <f ca="1"/>
        <v>0.9770196387581418</v>
      </c>
      <c r="AT548" s="62">
        <f ca="1"/>
        <v>0.69000007525524176</v>
      </c>
      <c r="AU548" s="62">
        <f ca="1"/>
        <v>1.0260693162689203</v>
      </c>
      <c r="AV548" s="66" t="str">
        <f t="array" ref="AV548">IF($AB548, Push(Fetch(AG548) - MMULT(Fetch(AQ548),MMULT($I$38:$L$41,Fetch(AG548)))), "")</f>
        <v/>
      </c>
      <c r="AW548" s="97">
        <f t="array" aca="1" ref="AW548" ca="1">IF($AB548,LN(MDETERM(Fetch(AL548))),$J$65)   -   MMULT(AM548:AP548,MMULT(IF($AB548,Fetch(AL548),$G$61:$J$64),TRANSPOSE(AM548:AP548)))</f>
        <v>4.6921480736113219</v>
      </c>
    </row>
    <row r="549" spans="23:49" x14ac:dyDescent="0.15">
      <c r="W549" s="12">
        <f t="shared" si="16"/>
        <v>546</v>
      </c>
      <c r="X549" s="62">
        <f t="array" aca="1" ref="X549:AA549" ca="1">simulate!AE549:AH549</f>
        <v>1.3941599796628059</v>
      </c>
      <c r="Y549" s="62">
        <f ca="1"/>
        <v>0.92848851740781957</v>
      </c>
      <c r="Z549" s="62">
        <f ca="1"/>
        <v>0.76940860401941435</v>
      </c>
      <c r="AA549" s="62">
        <f ca="1"/>
        <v>0.49058033985876581</v>
      </c>
      <c r="AB549" s="98">
        <f t="shared" si="17"/>
        <v>0</v>
      </c>
      <c r="AC549" s="62">
        <f t="array" aca="1" ref="AC549:AF549" ca="1">TRANSPOSE($G$44:$G$47 + MMULT($I$44:$L$47,TRANSPOSE(AR548:AU548)))</f>
        <v>1.0017172546956639</v>
      </c>
      <c r="AD549" s="62">
        <f ca="1"/>
        <v>0.90038823485295971</v>
      </c>
      <c r="AE549" s="62">
        <f ca="1"/>
        <v>0.84923998745462137</v>
      </c>
      <c r="AF549" s="62">
        <f ca="1"/>
        <v>0.97558754088637678</v>
      </c>
      <c r="AG549" s="66" t="str">
        <f t="array" ref="AG549">IF($AB549, Push(MMULT($I$44:$L$47,MMULT(Fetch(AV548),TRANSPOSE($I$44:$L$47))) + $N$44:$Q$47), "")</f>
        <v/>
      </c>
      <c r="AH549" s="62">
        <f t="array" aca="1" ref="AH549:AK549" ca="1">TRANSPOSE($G$38:$G$41 + MMULT($I$38:$L$41,TRANSPOSE(AC549:AF549)))</f>
        <v>1.194726815280825</v>
      </c>
      <c r="AI549" s="62">
        <f ca="1"/>
        <v>1.168026129895678</v>
      </c>
      <c r="AJ549" s="62">
        <f ca="1"/>
        <v>0.91231327541311891</v>
      </c>
      <c r="AK549" s="62">
        <f ca="1"/>
        <v>0.97727633336713127</v>
      </c>
      <c r="AL549" s="66" t="str">
        <f t="array" ref="AL549">IF($AB549, Push(MINVERSE(MMULT($I$38:$L$41,MMULT(Fetch(AG549),TRANSPOSE($I$38:$L$41))) + $N$38:$Q$41)), "")</f>
        <v/>
      </c>
      <c r="AM549" s="62">
        <f t="array" aca="1" ref="AM549:AP549" ca="1">X549:AA549 - AH549:AK549</f>
        <v>0.19943316438198089</v>
      </c>
      <c r="AN549" s="62">
        <f ca="1"/>
        <v>-0.23953761248785843</v>
      </c>
      <c r="AO549" s="62">
        <f ca="1"/>
        <v>-0.14290467139370455</v>
      </c>
      <c r="AP549" s="62">
        <f ca="1"/>
        <v>-0.48669599350836545</v>
      </c>
      <c r="AQ549" s="66" t="str">
        <f t="array" ref="AQ549">IF($AB549, Push(MMULT(Fetch(AG549),MMULT(TRANSPOSE($I$38:$L$41),Fetch(AL549)))), "")</f>
        <v/>
      </c>
      <c r="AR549" s="62">
        <f t="array" aca="1" ref="AR549:AU549" ca="1">AC549:AF549 + TRANSPOSE(MMULT(IF($AB549,Fetch(AQ549),$L$61:$O$64),TRANSPOSE(AM549:AP549)))</f>
        <v>1.1283194561854017</v>
      </c>
      <c r="AS549" s="62">
        <f ca="1"/>
        <v>0.66231822305852539</v>
      </c>
      <c r="AT549" s="62">
        <f ca="1"/>
        <v>0.60706806189977869</v>
      </c>
      <c r="AU549" s="62">
        <f ca="1"/>
        <v>0.74651268978853935</v>
      </c>
      <c r="AV549" s="66" t="str">
        <f t="array" ref="AV549">IF($AB549, Push(Fetch(AG549) - MMULT(Fetch(AQ549),MMULT($I$38:$L$41,Fetch(AG549)))), "")</f>
        <v/>
      </c>
      <c r="AW549" s="97">
        <f t="array" aca="1" ref="AW549" ca="1">IF($AB549,LN(MDETERM(Fetch(AL549))),$J$65)   -   MMULT(AM549:AP549,MMULT(IF($AB549,Fetch(AL549),$G$61:$J$64),TRANSPOSE(AM549:AP549)))</f>
        <v>1.8791163151025305</v>
      </c>
    </row>
    <row r="550" spans="23:49" x14ac:dyDescent="0.15">
      <c r="W550" s="12">
        <f t="shared" si="16"/>
        <v>547</v>
      </c>
      <c r="X550" s="62">
        <f t="array" aca="1" ref="X550:AA550" ca="1">simulate!AE550:AH550</f>
        <v>1.1826692874454316</v>
      </c>
      <c r="Y550" s="62">
        <f ca="1"/>
        <v>1.096568617804178</v>
      </c>
      <c r="Z550" s="62">
        <f ca="1"/>
        <v>0.44794583882376093</v>
      </c>
      <c r="AA550" s="62">
        <f ca="1"/>
        <v>0.51423935256699504</v>
      </c>
      <c r="AB550" s="98">
        <f t="shared" si="17"/>
        <v>0</v>
      </c>
      <c r="AC550" s="62">
        <f t="array" aca="1" ref="AC550:AF550" ca="1">TRANSPOSE($G$44:$G$47 + MMULT($I$44:$L$47,TRANSPOSE(AR549:AU549)))</f>
        <v>1.0604880340624474</v>
      </c>
      <c r="AD550" s="62">
        <f ca="1"/>
        <v>0.73573518481190769</v>
      </c>
      <c r="AE550" s="62">
        <f ca="1"/>
        <v>0.7284171892997463</v>
      </c>
      <c r="AF550" s="62">
        <f ca="1"/>
        <v>0.79983376083000235</v>
      </c>
      <c r="AG550" s="66" t="str">
        <f t="array" ref="AG550">IF($AB550, Push(MMULT($I$44:$L$47,MMULT(Fetch(AV549),TRANSPOSE($I$44:$L$47))) + $N$44:$Q$47), "")</f>
        <v/>
      </c>
      <c r="AH550" s="62">
        <f t="array" aca="1" ref="AH550:AK550" ca="1">TRANSPOSE($G$38:$G$41 + MMULT($I$38:$L$41,TRANSPOSE(AC550:AF550)))</f>
        <v>1.2186573490638444</v>
      </c>
      <c r="AI550" s="62">
        <f ca="1"/>
        <v>1.0426382125830409</v>
      </c>
      <c r="AJ550" s="62">
        <f ca="1"/>
        <v>0.86202156038772926</v>
      </c>
      <c r="AK550" s="62">
        <f ca="1"/>
        <v>0.73805234983299206</v>
      </c>
      <c r="AL550" s="66" t="str">
        <f t="array" ref="AL550">IF($AB550, Push(MINVERSE(MMULT($I$38:$L$41,MMULT(Fetch(AG550),TRANSPOSE($I$38:$L$41))) + $N$38:$Q$41)), "")</f>
        <v/>
      </c>
      <c r="AM550" s="62">
        <f t="array" aca="1" ref="AM550:AP550" ca="1">X550:AA550 - AH550:AK550</f>
        <v>-3.5988061618412726E-2</v>
      </c>
      <c r="AN550" s="62">
        <f ca="1"/>
        <v>5.3930405221137123E-2</v>
      </c>
      <c r="AO550" s="62">
        <f ca="1"/>
        <v>-0.41407572156396832</v>
      </c>
      <c r="AP550" s="62">
        <f ca="1"/>
        <v>-0.22381299726599702</v>
      </c>
      <c r="AQ550" s="66" t="str">
        <f t="array" ref="AQ550">IF($AB550, Push(MMULT(Fetch(AG550),MMULT(TRANSPOSE($I$38:$L$41),Fetch(AL550)))), "")</f>
        <v/>
      </c>
      <c r="AR550" s="62">
        <f t="array" aca="1" ref="AR550:AU550" ca="1">AC550:AF550 + TRANSPOSE(MMULT(IF($AB550,Fetch(AQ550),$L$61:$O$64),TRANSPOSE(AM550:AP550)))</f>
        <v>0.99891306160643611</v>
      </c>
      <c r="AS550" s="62">
        <f ca="1"/>
        <v>0.81517377436588379</v>
      </c>
      <c r="AT550" s="62">
        <f ca="1"/>
        <v>0.49124029899703564</v>
      </c>
      <c r="AU550" s="62">
        <f ca="1"/>
        <v>0.55324399518316747</v>
      </c>
      <c r="AV550" s="66" t="str">
        <f t="array" ref="AV550">IF($AB550, Push(Fetch(AG550) - MMULT(Fetch(AQ550),MMULT($I$38:$L$41,Fetch(AG550)))), "")</f>
        <v/>
      </c>
      <c r="AW550" s="97">
        <f t="array" aca="1" ref="AW550" ca="1">IF($AB550,LN(MDETERM(Fetch(AL550))),$J$65)   -   MMULT(AM550:AP550,MMULT(IF($AB550,Fetch(AL550),$G$61:$J$64),TRANSPOSE(AM550:AP550)))</f>
        <v>6.0070479206019831</v>
      </c>
    </row>
    <row r="551" spans="23:49" x14ac:dyDescent="0.15">
      <c r="W551" s="12">
        <f t="shared" si="16"/>
        <v>548</v>
      </c>
      <c r="X551" s="62">
        <f t="array" aca="1" ref="X551:AA551" ca="1">simulate!AE551:AH551</f>
        <v>1.1670171147403945</v>
      </c>
      <c r="Y551" s="62">
        <f ca="1"/>
        <v>0.83954859459408115</v>
      </c>
      <c r="Z551" s="62">
        <f ca="1"/>
        <v>1.1078554434494765</v>
      </c>
      <c r="AA551" s="62">
        <f ca="1"/>
        <v>0.90175804241698865</v>
      </c>
      <c r="AB551" s="98">
        <f t="shared" si="17"/>
        <v>0</v>
      </c>
      <c r="AC551" s="62">
        <f t="array" aca="1" ref="AC551:AF551" ca="1">TRANSPOSE($G$44:$G$47 + MMULT($I$44:$L$47,TRANSPOSE(AR550:AU550)))</f>
        <v>0.99568749898344144</v>
      </c>
      <c r="AD551" s="62">
        <f ca="1"/>
        <v>0.76637916277917839</v>
      </c>
      <c r="AE551" s="62">
        <f ca="1"/>
        <v>0.65286542861672447</v>
      </c>
      <c r="AF551" s="62">
        <f ca="1"/>
        <v>0.68131057329440992</v>
      </c>
      <c r="AG551" s="66" t="str">
        <f t="array" ref="AG551">IF($AB551, Push(MMULT($I$44:$L$47,MMULT(Fetch(AV550),TRANSPOSE($I$44:$L$47))) + $N$44:$Q$47), "")</f>
        <v/>
      </c>
      <c r="AH551" s="62">
        <f t="array" aca="1" ref="AH551:AK551" ca="1">TRANSPOSE($G$38:$G$41 + MMULT($I$38:$L$41,TRANSPOSE(AC551:AF551)))</f>
        <v>1.156335043112541</v>
      </c>
      <c r="AI551" s="62">
        <f ca="1"/>
        <v>1.0413769525569851</v>
      </c>
      <c r="AJ551" s="62">
        <f ca="1"/>
        <v>0.73336386492899996</v>
      </c>
      <c r="AK551" s="62">
        <f ca="1"/>
        <v>0.67130271266997976</v>
      </c>
      <c r="AL551" s="66" t="str">
        <f t="array" ref="AL551">IF($AB551, Push(MINVERSE(MMULT($I$38:$L$41,MMULT(Fetch(AG551),TRANSPOSE($I$38:$L$41))) + $N$38:$Q$41)), "")</f>
        <v/>
      </c>
      <c r="AM551" s="62">
        <f t="array" aca="1" ref="AM551:AP551" ca="1">X551:AA551 - AH551:AK551</f>
        <v>1.0682071627853507E-2</v>
      </c>
      <c r="AN551" s="62">
        <f ca="1"/>
        <v>-0.20182835796290399</v>
      </c>
      <c r="AO551" s="62">
        <f ca="1"/>
        <v>0.37449157852047654</v>
      </c>
      <c r="AP551" s="62">
        <f ca="1"/>
        <v>0.23045532974700889</v>
      </c>
      <c r="AQ551" s="66" t="str">
        <f t="array" ref="AQ551">IF($AB551, Push(MMULT(Fetch(AG551),MMULT(TRANSPOSE($I$38:$L$41),Fetch(AL551)))), "")</f>
        <v/>
      </c>
      <c r="AR551" s="62">
        <f t="array" aca="1" ref="AR551:AU551" ca="1">AC551:AF551 + TRANSPOSE(MMULT(IF($AB551,Fetch(AQ551),$L$61:$O$64),TRANSPOSE(AM551:AP551)))</f>
        <v>1.0111421010194053</v>
      </c>
      <c r="AS551" s="62">
        <f ca="1"/>
        <v>0.6166077956896856</v>
      </c>
      <c r="AT551" s="62">
        <f ca="1"/>
        <v>0.89717899409349411</v>
      </c>
      <c r="AU551" s="62">
        <f ca="1"/>
        <v>0.91296441759609204</v>
      </c>
      <c r="AV551" s="66" t="str">
        <f t="array" ref="AV551">IF($AB551, Push(Fetch(AG551) - MMULT(Fetch(AQ551),MMULT($I$38:$L$41,Fetch(AG551)))), "")</f>
        <v/>
      </c>
      <c r="AW551" s="97">
        <f t="array" aca="1" ref="AW551" ca="1">IF($AB551,LN(MDETERM(Fetch(AL551))),$J$65)   -   MMULT(AM551:AP551,MMULT(IF($AB551,Fetch(AL551),$G$61:$J$64),TRANSPOSE(AM551:AP551)))</f>
        <v>6.2264480161486482</v>
      </c>
    </row>
    <row r="552" spans="23:49" x14ac:dyDescent="0.15">
      <c r="W552" s="12">
        <f t="shared" si="16"/>
        <v>549</v>
      </c>
      <c r="X552" s="62">
        <f t="array" aca="1" ref="X552:AA552" ca="1">simulate!AE552:AH552</f>
        <v>0.82947577234585834</v>
      </c>
      <c r="Y552" s="62">
        <f ca="1"/>
        <v>-5.0858510363345766E-2</v>
      </c>
      <c r="Z552" s="62">
        <f ca="1"/>
        <v>0.29638457263410029</v>
      </c>
      <c r="AA552" s="62">
        <f ca="1"/>
        <v>0.78864963298496171</v>
      </c>
      <c r="AB552" s="98">
        <f t="shared" si="17"/>
        <v>0</v>
      </c>
      <c r="AC552" s="62">
        <f t="array" aca="1" ref="AC552:AF552" ca="1">TRANSPOSE($G$44:$G$47 + MMULT($I$44:$L$47,TRANSPOSE(AR551:AU551)))</f>
        <v>1.0190888577838737</v>
      </c>
      <c r="AD552" s="62">
        <f ca="1"/>
        <v>0.74680577237540113</v>
      </c>
      <c r="AE552" s="62">
        <f ca="1"/>
        <v>0.89396952910266803</v>
      </c>
      <c r="AF552" s="62">
        <f ca="1"/>
        <v>0.92794758930293675</v>
      </c>
      <c r="AG552" s="66" t="str">
        <f t="array" ref="AG552">IF($AB552, Push(MMULT($I$44:$L$47,MMULT(Fetch(AV551),TRANSPOSE($I$44:$L$47))) + $N$44:$Q$47), "")</f>
        <v/>
      </c>
      <c r="AH552" s="62">
        <f t="array" aca="1" ref="AH552:AK552" ca="1">TRANSPOSE($G$38:$G$41 + MMULT($I$38:$L$41,TRANSPOSE(AC552:AF552)))</f>
        <v>1.2573029915322891</v>
      </c>
      <c r="AI552" s="62">
        <f ca="1"/>
        <v>1.0198405066999945</v>
      </c>
      <c r="AJ552" s="62">
        <f ca="1"/>
        <v>0.93341539973151466</v>
      </c>
      <c r="AK552" s="62">
        <f ca="1"/>
        <v>0.9343859399142227</v>
      </c>
      <c r="AL552" s="66" t="str">
        <f t="array" ref="AL552">IF($AB552, Push(MINVERSE(MMULT($I$38:$L$41,MMULT(Fetch(AG552),TRANSPOSE($I$38:$L$41))) + $N$38:$Q$41)), "")</f>
        <v/>
      </c>
      <c r="AM552" s="62">
        <f t="array" aca="1" ref="AM552:AP552" ca="1">X552:AA552 - AH552:AK552</f>
        <v>-0.42782721918643074</v>
      </c>
      <c r="AN552" s="62">
        <f ca="1"/>
        <v>-1.0706990170633404</v>
      </c>
      <c r="AO552" s="62">
        <f ca="1"/>
        <v>-0.63703082709741432</v>
      </c>
      <c r="AP552" s="62">
        <f ca="1"/>
        <v>-0.14573630692926098</v>
      </c>
      <c r="AQ552" s="66" t="str">
        <f t="array" ref="AQ552">IF($AB552, Push(MMULT(Fetch(AG552),MMULT(TRANSPOSE($I$38:$L$41),Fetch(AL552)))), "")</f>
        <v/>
      </c>
      <c r="AR552" s="62">
        <f t="array" aca="1" ref="AR552:AU552" ca="1">AC552:AF552 + TRANSPOSE(MMULT(IF($AB552,Fetch(AQ552),$L$61:$O$64),TRANSPOSE(AM552:AP552)))</f>
        <v>0.52942504601663209</v>
      </c>
      <c r="AS552" s="62">
        <f ca="1"/>
        <v>0.31531731875361907</v>
      </c>
      <c r="AT552" s="62">
        <f ca="1"/>
        <v>0.67003822362240339</v>
      </c>
      <c r="AU552" s="62">
        <f ca="1"/>
        <v>0.6084781866115716</v>
      </c>
      <c r="AV552" s="66" t="str">
        <f t="array" ref="AV552">IF($AB552, Push(Fetch(AG552) - MMULT(Fetch(AQ552),MMULT($I$38:$L$41,Fetch(AG552)))), "")</f>
        <v/>
      </c>
      <c r="AW552" s="97">
        <f t="array" aca="1" ref="AW552" ca="1">IF($AB552,LN(MDETERM(Fetch(AL552))),$J$65)   -   MMULT(AM552:AP552,MMULT(IF($AB552,Fetch(AL552),$G$61:$J$64),TRANSPOSE(AM552:AP552)))</f>
        <v>-4.1833301455341285</v>
      </c>
    </row>
    <row r="553" spans="23:49" x14ac:dyDescent="0.15">
      <c r="W553" s="12">
        <f t="shared" si="16"/>
        <v>550</v>
      </c>
      <c r="X553" s="62">
        <f t="array" aca="1" ref="X553:AA553" ca="1">simulate!AE553:AH553</f>
        <v>1.8922044025608775</v>
      </c>
      <c r="Y553" s="62">
        <f ca="1"/>
        <v>0.88041981478004472</v>
      </c>
      <c r="Z553" s="62">
        <f ca="1"/>
        <v>0.41734063147796746</v>
      </c>
      <c r="AA553" s="62">
        <f ca="1"/>
        <v>1.368496853882148</v>
      </c>
      <c r="AB553" s="98">
        <f t="shared" si="17"/>
        <v>0</v>
      </c>
      <c r="AC553" s="62">
        <f t="array" aca="1" ref="AC553:AF553" ca="1">TRANSPOSE($G$44:$G$47 + MMULT($I$44:$L$47,TRANSPOSE(AR552:AU552)))</f>
        <v>0.68353631320243657</v>
      </c>
      <c r="AD553" s="62">
        <f ca="1"/>
        <v>0.45058568410257804</v>
      </c>
      <c r="AE553" s="62">
        <f ca="1"/>
        <v>0.64302744022391967</v>
      </c>
      <c r="AF553" s="62">
        <f ca="1"/>
        <v>0.68202759581267269</v>
      </c>
      <c r="AG553" s="66" t="str">
        <f t="array" ref="AG553">IF($AB553, Push(MMULT($I$44:$L$47,MMULT(Fetch(AV552),TRANSPOSE($I$44:$L$47))) + $N$44:$Q$47), "")</f>
        <v/>
      </c>
      <c r="AH553" s="62">
        <f t="array" aca="1" ref="AH553:AK553" ca="1">TRANSPOSE($G$38:$G$41 + MMULT($I$38:$L$41,TRANSPOSE(AC553:AF553)))</f>
        <v>0.94332108572183815</v>
      </c>
      <c r="AI553" s="62">
        <f ca="1"/>
        <v>0.65339105148959364</v>
      </c>
      <c r="AJ553" s="62">
        <f ca="1"/>
        <v>0.73415139662357931</v>
      </c>
      <c r="AK553" s="62">
        <f ca="1"/>
        <v>0.70807985801283957</v>
      </c>
      <c r="AL553" s="66" t="str">
        <f t="array" ref="AL553">IF($AB553, Push(MINVERSE(MMULT($I$38:$L$41,MMULT(Fetch(AG553),TRANSPOSE($I$38:$L$41))) + $N$38:$Q$41)), "")</f>
        <v/>
      </c>
      <c r="AM553" s="62">
        <f t="array" aca="1" ref="AM553:AP553" ca="1">X553:AA553 - AH553:AK553</f>
        <v>0.94888331683903937</v>
      </c>
      <c r="AN553" s="62">
        <f ca="1"/>
        <v>0.22702876329045107</v>
      </c>
      <c r="AO553" s="62">
        <f ca="1"/>
        <v>-0.31681076514561185</v>
      </c>
      <c r="AP553" s="62">
        <f ca="1"/>
        <v>0.66041699586930847</v>
      </c>
      <c r="AQ553" s="66" t="str">
        <f t="array" ref="AQ553">IF($AB553, Push(MMULT(Fetch(AG553),MMULT(TRANSPOSE($I$38:$L$41),Fetch(AL553)))), "")</f>
        <v/>
      </c>
      <c r="AR553" s="62">
        <f t="array" aca="1" ref="AR553:AU553" ca="1">AC553:AF553 + TRANSPOSE(MMULT(IF($AB553,Fetch(AQ553),$L$61:$O$64),TRANSPOSE(AM553:AP553)))</f>
        <v>0.92342344476568894</v>
      </c>
      <c r="AS553" s="62">
        <f ca="1"/>
        <v>0.6121004622188303</v>
      </c>
      <c r="AT553" s="62">
        <f ca="1"/>
        <v>1.3402633570715436</v>
      </c>
      <c r="AU553" s="62">
        <f ca="1"/>
        <v>0.78854896370752603</v>
      </c>
      <c r="AV553" s="66" t="str">
        <f t="array" ref="AV553">IF($AB553, Push(Fetch(AG553) - MMULT(Fetch(AQ553),MMULT($I$38:$L$41,Fetch(AG553)))), "")</f>
        <v/>
      </c>
      <c r="AW553" s="97">
        <f t="array" aca="1" ref="AW553" ca="1">IF($AB553,LN(MDETERM(Fetch(AL553))),$J$65)   -   MMULT(AM553:AP553,MMULT(IF($AB553,Fetch(AL553),$G$61:$J$64),TRANSPOSE(AM553:AP553)))</f>
        <v>1.3777872954387451</v>
      </c>
    </row>
    <row r="554" spans="23:49" x14ac:dyDescent="0.15">
      <c r="W554" s="12">
        <f t="shared" si="16"/>
        <v>551</v>
      </c>
      <c r="X554" s="62">
        <f t="array" aca="1" ref="X554:AA554" ca="1">simulate!AE554:AH554</f>
        <v>1.5321037650429314</v>
      </c>
      <c r="Y554" s="62">
        <f ca="1"/>
        <v>0.78063286575910151</v>
      </c>
      <c r="Z554" s="62">
        <f ca="1"/>
        <v>1.6345126781607766</v>
      </c>
      <c r="AA554" s="62">
        <f ca="1"/>
        <v>0.92693096472297254</v>
      </c>
      <c r="AB554" s="98">
        <f t="shared" si="17"/>
        <v>0</v>
      </c>
      <c r="AC554" s="62">
        <f t="array" aca="1" ref="AC554:AF554" ca="1">TRANSPOSE($G$44:$G$47 + MMULT($I$44:$L$47,TRANSPOSE(AR553:AU553)))</f>
        <v>0.99660868293250982</v>
      </c>
      <c r="AD554" s="62">
        <f ca="1"/>
        <v>0.7868457521143285</v>
      </c>
      <c r="AE554" s="62">
        <f ca="1"/>
        <v>1.1078798649361687</v>
      </c>
      <c r="AF554" s="62">
        <f ca="1"/>
        <v>0.92815675915421436</v>
      </c>
      <c r="AG554" s="66" t="str">
        <f t="array" ref="AG554">IF($AB554, Push(MMULT($I$44:$L$47,MMULT(Fetch(AV553),TRANSPOSE($I$44:$L$47))) + $N$44:$Q$47), "")</f>
        <v/>
      </c>
      <c r="AH554" s="62">
        <f t="array" aca="1" ref="AH554:AK554" ca="1">TRANSPOSE($G$38:$G$41 + MMULT($I$38:$L$41,TRANSPOSE(AC554:AF554)))</f>
        <v>1.375082078412603</v>
      </c>
      <c r="AI554" s="62">
        <f ca="1"/>
        <v>0.9917866259733642</v>
      </c>
      <c r="AJ554" s="62">
        <f ca="1"/>
        <v>0.88979172481080537</v>
      </c>
      <c r="AK554" s="62">
        <f ca="1"/>
        <v>1.1113160821271779</v>
      </c>
      <c r="AL554" s="66" t="str">
        <f t="array" ref="AL554">IF($AB554, Push(MINVERSE(MMULT($I$38:$L$41,MMULT(Fetch(AG554),TRANSPOSE($I$38:$L$41))) + $N$38:$Q$41)), "")</f>
        <v/>
      </c>
      <c r="AM554" s="62">
        <f t="array" aca="1" ref="AM554:AP554" ca="1">X554:AA554 - AH554:AK554</f>
        <v>0.15702168663032845</v>
      </c>
      <c r="AN554" s="62">
        <f ca="1"/>
        <v>-0.21115376021426269</v>
      </c>
      <c r="AO554" s="62">
        <f ca="1"/>
        <v>0.74472095334997124</v>
      </c>
      <c r="AP554" s="62">
        <f ca="1"/>
        <v>-0.18438511740420538</v>
      </c>
      <c r="AQ554" s="66" t="str">
        <f t="array" ref="AQ554">IF($AB554, Push(MMULT(Fetch(AG554),MMULT(TRANSPOSE($I$38:$L$41),Fetch(AL554)))), "")</f>
        <v/>
      </c>
      <c r="AR554" s="62">
        <f t="array" aca="1" ref="AR554:AU554" ca="1">AC554:AF554 + TRANSPOSE(MMULT(IF($AB554,Fetch(AQ554),$L$61:$O$64),TRANSPOSE(AM554:AP554)))</f>
        <v>1.2631672890507548</v>
      </c>
      <c r="AS554" s="62">
        <f ca="1"/>
        <v>0.446253308257621</v>
      </c>
      <c r="AT554" s="62">
        <f ca="1"/>
        <v>1.1957205585884356</v>
      </c>
      <c r="AU554" s="62">
        <f ca="1"/>
        <v>1.1663000598456152</v>
      </c>
      <c r="AV554" s="66" t="str">
        <f t="array" ref="AV554">IF($AB554, Push(Fetch(AG554) - MMULT(Fetch(AQ554),MMULT($I$38:$L$41,Fetch(AG554)))), "")</f>
        <v/>
      </c>
      <c r="AW554" s="97">
        <f t="array" aca="1" ref="AW554" ca="1">IF($AB554,LN(MDETERM(Fetch(AL554))),$J$65)   -   MMULT(AM554:AP554,MMULT(IF($AB554,Fetch(AL554),$G$61:$J$64),TRANSPOSE(AM554:AP554)))</f>
        <v>3.8205616062216654</v>
      </c>
    </row>
    <row r="555" spans="23:49" x14ac:dyDescent="0.15">
      <c r="W555" s="12">
        <f t="shared" si="16"/>
        <v>552</v>
      </c>
      <c r="X555" s="62">
        <f t="array" aca="1" ref="X555:AA555" ca="1">simulate!AE555:AH555</f>
        <v>1.770630447775273</v>
      </c>
      <c r="Y555" s="62">
        <f ca="1"/>
        <v>2.1811069052785372</v>
      </c>
      <c r="Z555" s="62">
        <f ca="1"/>
        <v>0.96045286745244474</v>
      </c>
      <c r="AA555" s="62">
        <f ca="1"/>
        <v>1.8200795016123168</v>
      </c>
      <c r="AB555" s="98">
        <f t="shared" si="17"/>
        <v>0</v>
      </c>
      <c r="AC555" s="62">
        <f t="array" aca="1" ref="AC555:AF555" ca="1">TRANSPOSE($G$44:$G$47 + MMULT($I$44:$L$47,TRANSPOSE(AR554:AU554)))</f>
        <v>1.1634158074014438</v>
      </c>
      <c r="AD555" s="62">
        <f ca="1"/>
        <v>0.75793523292220111</v>
      </c>
      <c r="AE555" s="62">
        <f ca="1"/>
        <v>1.0829771124162286</v>
      </c>
      <c r="AF555" s="62">
        <f ca="1"/>
        <v>1.1132236567407305</v>
      </c>
      <c r="AG555" s="66" t="str">
        <f t="array" ref="AG555">IF($AB555, Push(MMULT($I$44:$L$47,MMULT(Fetch(AV554),TRANSPOSE($I$44:$L$47))) + $N$44:$Q$47), "")</f>
        <v/>
      </c>
      <c r="AH555" s="62">
        <f t="array" aca="1" ref="AH555:AK555" ca="1">TRANSPOSE($G$38:$G$41 + MMULT($I$38:$L$41,TRANSPOSE(AC555:AF555)))</f>
        <v>1.427471531025035</v>
      </c>
      <c r="AI555" s="62">
        <f ca="1"/>
        <v>1.0710477028541854</v>
      </c>
      <c r="AJ555" s="62">
        <f ca="1"/>
        <v>1.1221506857605228</v>
      </c>
      <c r="AK555" s="62">
        <f ca="1"/>
        <v>1.0886736712142284</v>
      </c>
      <c r="AL555" s="66" t="str">
        <f t="array" ref="AL555">IF($AB555, Push(MINVERSE(MMULT($I$38:$L$41,MMULT(Fetch(AG555),TRANSPOSE($I$38:$L$41))) + $N$38:$Q$41)), "")</f>
        <v/>
      </c>
      <c r="AM555" s="62">
        <f t="array" aca="1" ref="AM555:AP555" ca="1">X555:AA555 - AH555:AK555</f>
        <v>0.34315891675023802</v>
      </c>
      <c r="AN555" s="62">
        <f ca="1"/>
        <v>1.1100592024243519</v>
      </c>
      <c r="AO555" s="62">
        <f ca="1"/>
        <v>-0.16169781830807806</v>
      </c>
      <c r="AP555" s="62">
        <f ca="1"/>
        <v>0.73140583039808837</v>
      </c>
      <c r="AQ555" s="66" t="str">
        <f t="array" ref="AQ555">IF($AB555, Push(MMULT(Fetch(AG555),MMULT(TRANSPOSE($I$38:$L$41),Fetch(AL555)))), "")</f>
        <v/>
      </c>
      <c r="AR555" s="62">
        <f t="array" aca="1" ref="AR555:AU555" ca="1">AC555:AF555 + TRANSPOSE(MMULT(IF($AB555,Fetch(AQ555),$L$61:$O$64),TRANSPOSE(AM555:AP555)))</f>
        <v>1.2889444613317149</v>
      </c>
      <c r="AS555" s="62">
        <f ca="1"/>
        <v>1.5103785281410449</v>
      </c>
      <c r="AT555" s="62">
        <f ca="1"/>
        <v>1.522159683614128</v>
      </c>
      <c r="AU555" s="62">
        <f ca="1"/>
        <v>1.3116939140587065</v>
      </c>
      <c r="AV555" s="66" t="str">
        <f t="array" ref="AV555">IF($AB555, Push(Fetch(AG555) - MMULT(Fetch(AQ555),MMULT($I$38:$L$41,Fetch(AG555)))), "")</f>
        <v/>
      </c>
      <c r="AW555" s="97">
        <f t="array" aca="1" ref="AW555" ca="1">IF($AB555,LN(MDETERM(Fetch(AL555))),$J$65)   -   MMULT(AM555:AP555,MMULT(IF($AB555,Fetch(AL555),$G$61:$J$64),TRANSPOSE(AM555:AP555)))</f>
        <v>-5.9587728675831997</v>
      </c>
    </row>
    <row r="556" spans="23:49" x14ac:dyDescent="0.15">
      <c r="W556" s="12">
        <f t="shared" si="16"/>
        <v>553</v>
      </c>
      <c r="X556" s="62">
        <f t="array" aca="1" ref="X556:AA556" ca="1">simulate!AE556:AH556</f>
        <v>1.9720958692708552</v>
      </c>
      <c r="Y556" s="62">
        <f ca="1"/>
        <v>0.69155089992764518</v>
      </c>
      <c r="Z556" s="62">
        <f ca="1"/>
        <v>2.1115475336327627</v>
      </c>
      <c r="AA556" s="62">
        <f ca="1"/>
        <v>1.4727620156210819</v>
      </c>
      <c r="AB556" s="98">
        <f t="shared" si="17"/>
        <v>0</v>
      </c>
      <c r="AC556" s="62">
        <f t="array" aca="1" ref="AC556:AF556" ca="1">TRANSPOSE($G$44:$G$47 + MMULT($I$44:$L$47,TRANSPOSE(AR555:AU555)))</f>
        <v>1.3650427192066468</v>
      </c>
      <c r="AD556" s="62">
        <f ca="1"/>
        <v>1.3954873540353498</v>
      </c>
      <c r="AE556" s="62">
        <f ca="1"/>
        <v>1.4554016009970354</v>
      </c>
      <c r="AF556" s="62">
        <f ca="1"/>
        <v>1.3217348158290474</v>
      </c>
      <c r="AG556" s="66" t="str">
        <f t="array" ref="AG556">IF($AB556, Push(MMULT($I$44:$L$47,MMULT(Fetch(AV555),TRANSPOSE($I$44:$L$47))) + $N$44:$Q$47), "")</f>
        <v/>
      </c>
      <c r="AH556" s="62">
        <f t="array" aca="1" ref="AH556:AK556" ca="1">TRANSPOSE($G$38:$G$41 + MMULT($I$38:$L$41,TRANSPOSE(AC556:AF556)))</f>
        <v>1.7154322888813507</v>
      </c>
      <c r="AI556" s="62">
        <f ca="1"/>
        <v>1.6469583509319417</v>
      </c>
      <c r="AJ556" s="62">
        <f ca="1"/>
        <v>1.0974404830345958</v>
      </c>
      <c r="AK556" s="62">
        <f ca="1"/>
        <v>1.5513808735633152</v>
      </c>
      <c r="AL556" s="66" t="str">
        <f t="array" ref="AL556">IF($AB556, Push(MINVERSE(MMULT($I$38:$L$41,MMULT(Fetch(AG556),TRANSPOSE($I$38:$L$41))) + $N$38:$Q$41)), "")</f>
        <v/>
      </c>
      <c r="AM556" s="62">
        <f t="array" aca="1" ref="AM556:AP556" ca="1">X556:AA556 - AH556:AK556</f>
        <v>0.25666358038950454</v>
      </c>
      <c r="AN556" s="62">
        <f ca="1"/>
        <v>-0.95540745100429647</v>
      </c>
      <c r="AO556" s="62">
        <f ca="1"/>
        <v>1.0141070505981669</v>
      </c>
      <c r="AP556" s="62">
        <f ca="1"/>
        <v>-7.8618857942233333E-2</v>
      </c>
      <c r="AQ556" s="66" t="str">
        <f t="array" ref="AQ556">IF($AB556, Push(MMULT(Fetch(AG556),MMULT(TRANSPOSE($I$38:$L$41),Fetch(AL556)))), "")</f>
        <v/>
      </c>
      <c r="AR556" s="62">
        <f t="array" aca="1" ref="AR556:AU556" ca="1">AC556:AF556 + TRANSPOSE(MMULT(IF($AB556,Fetch(AQ556),$L$61:$O$64),TRANSPOSE(AM556:AP556)))</f>
        <v>1.6041485408777674</v>
      </c>
      <c r="AS556" s="62">
        <f ca="1"/>
        <v>0.5774790032208087</v>
      </c>
      <c r="AT556" s="62">
        <f ca="1"/>
        <v>1.7882740991837518</v>
      </c>
      <c r="AU556" s="62">
        <f ca="1"/>
        <v>1.7017098326244693</v>
      </c>
      <c r="AV556" s="66" t="str">
        <f t="array" ref="AV556">IF($AB556, Push(Fetch(AG556) - MMULT(Fetch(AQ556),MMULT($I$38:$L$41,Fetch(AG556)))), "")</f>
        <v/>
      </c>
      <c r="AW556" s="97">
        <f t="array" aca="1" ref="AW556" ca="1">IF($AB556,LN(MDETERM(Fetch(AL556))),$J$65)   -   MMULT(AM556:AP556,MMULT(IF($AB556,Fetch(AL556),$G$61:$J$64),TRANSPOSE(AM556:AP556)))</f>
        <v>-1.666783381629747</v>
      </c>
    </row>
    <row r="557" spans="23:49" x14ac:dyDescent="0.15">
      <c r="W557" s="12">
        <f t="shared" si="16"/>
        <v>554</v>
      </c>
      <c r="X557" s="62">
        <f t="array" aca="1" ref="X557:AA557" ca="1">simulate!AE557:AH557</f>
        <v>0.93597379963468708</v>
      </c>
      <c r="Y557" s="62">
        <f ca="1"/>
        <v>-0.37906798746506842</v>
      </c>
      <c r="Z557" s="62">
        <f ca="1"/>
        <v>1.4654064756621656</v>
      </c>
      <c r="AA557" s="62">
        <f ca="1"/>
        <v>1.4307443399069124</v>
      </c>
      <c r="AB557" s="98">
        <f t="shared" si="17"/>
        <v>0</v>
      </c>
      <c r="AC557" s="62">
        <f t="array" aca="1" ref="AC557:AF557" ca="1">TRANSPOSE($G$44:$G$47 + MMULT($I$44:$L$47,TRANSPOSE(AR556:AU556)))</f>
        <v>1.4349009925533369</v>
      </c>
      <c r="AD557" s="62">
        <f ca="1"/>
        <v>1.0099736704133202</v>
      </c>
      <c r="AE557" s="62">
        <f ca="1"/>
        <v>1.5278143145553367</v>
      </c>
      <c r="AF557" s="62">
        <f ca="1"/>
        <v>1.5243189469455298</v>
      </c>
      <c r="AG557" s="66" t="str">
        <f t="array" ref="AG557">IF($AB557, Push(MMULT($I$44:$L$47,MMULT(Fetch(AV556),TRANSPOSE($I$44:$L$47))) + $N$44:$Q$47), "")</f>
        <v/>
      </c>
      <c r="AH557" s="62">
        <f t="array" aca="1" ref="AH557:AK557" ca="1">TRANSPOSE($G$38:$G$41 + MMULT($I$38:$L$41,TRANSPOSE(AC557:AF557)))</f>
        <v>1.7742986554524667</v>
      </c>
      <c r="AI557" s="62">
        <f ca="1"/>
        <v>1.3582121072585149</v>
      </c>
      <c r="AJ557" s="62">
        <f ca="1"/>
        <v>1.4333503453409997</v>
      </c>
      <c r="AK557" s="62">
        <f ca="1"/>
        <v>1.5409008002621662</v>
      </c>
      <c r="AL557" s="66" t="str">
        <f t="array" ref="AL557">IF($AB557, Push(MINVERSE(MMULT($I$38:$L$41,MMULT(Fetch(AG557),TRANSPOSE($I$38:$L$41))) + $N$38:$Q$41)), "")</f>
        <v/>
      </c>
      <c r="AM557" s="62">
        <f t="array" aca="1" ref="AM557:AP557" ca="1">X557:AA557 - AH557:AK557</f>
        <v>-0.8383248558177796</v>
      </c>
      <c r="AN557" s="62">
        <f ca="1"/>
        <v>-1.7372800947235834</v>
      </c>
      <c r="AO557" s="62">
        <f ca="1"/>
        <v>3.2056130321165943E-2</v>
      </c>
      <c r="AP557" s="62">
        <f ca="1"/>
        <v>-0.11015646035525384</v>
      </c>
      <c r="AQ557" s="66" t="str">
        <f t="array" ref="AQ557">IF($AB557, Push(MMULT(Fetch(AG557),MMULT(TRANSPOSE($I$38:$L$41),Fetch(AL557)))), "")</f>
        <v/>
      </c>
      <c r="AR557" s="62">
        <f t="array" aca="1" ref="AR557:AU557" ca="1">AC557:AF557 + TRANSPOSE(MMULT(IF($AB557,Fetch(AQ557),$L$61:$O$64),TRANSPOSE(AM557:AP557)))</f>
        <v>0.81373760182954746</v>
      </c>
      <c r="AS557" s="62">
        <f ca="1"/>
        <v>0.13661606396412329</v>
      </c>
      <c r="AT557" s="62">
        <f ca="1"/>
        <v>1.3752735942646885</v>
      </c>
      <c r="AU557" s="62">
        <f ca="1"/>
        <v>1.4837100346951884</v>
      </c>
      <c r="AV557" s="66" t="str">
        <f t="array" ref="AV557">IF($AB557, Push(Fetch(AG557) - MMULT(Fetch(AQ557),MMULT($I$38:$L$41,Fetch(AG557)))), "")</f>
        <v/>
      </c>
      <c r="AW557" s="97">
        <f t="array" aca="1" ref="AW557" ca="1">IF($AB557,LN(MDETERM(Fetch(AL557))),$J$65)   -   MMULT(AM557:AP557,MMULT(IF($AB557,Fetch(AL557),$G$61:$J$64),TRANSPOSE(AM557:AP557)))</f>
        <v>-9.8064719224167245</v>
      </c>
    </row>
    <row r="558" spans="23:49" x14ac:dyDescent="0.15">
      <c r="W558" s="12">
        <f t="shared" si="16"/>
        <v>555</v>
      </c>
      <c r="X558" s="62">
        <f t="array" aca="1" ref="X558:AA558" ca="1">simulate!AE558:AH558</f>
        <v>1.2307444339414093</v>
      </c>
      <c r="Y558" s="62">
        <f ca="1"/>
        <v>1.7862463627213603</v>
      </c>
      <c r="Z558" s="62">
        <f ca="1"/>
        <v>1.5308011346090471</v>
      </c>
      <c r="AA558" s="62">
        <f ca="1"/>
        <v>1.0094171877348121</v>
      </c>
      <c r="AB558" s="98">
        <f t="shared" si="17"/>
        <v>0</v>
      </c>
      <c r="AC558" s="62">
        <f t="array" aca="1" ref="AC558:AF558" ca="1">TRANSPOSE($G$44:$G$47 + MMULT($I$44:$L$47,TRANSPOSE(AR557:AU557)))</f>
        <v>0.90290116207022564</v>
      </c>
      <c r="AD558" s="62">
        <f ca="1"/>
        <v>0.56690538973442706</v>
      </c>
      <c r="AE558" s="62">
        <f ca="1"/>
        <v>1.1446584110274451</v>
      </c>
      <c r="AF558" s="62">
        <f ca="1"/>
        <v>1.2701622117630491</v>
      </c>
      <c r="AG558" s="66" t="str">
        <f t="array" ref="AG558">IF($AB558, Push(MMULT($I$44:$L$47,MMULT(Fetch(AV557),TRANSPOSE($I$44:$L$47))) + $N$44:$Q$47), "")</f>
        <v/>
      </c>
      <c r="AH558" s="62">
        <f t="array" aca="1" ref="AH558:AK558" ca="1">TRANSPOSE($G$38:$G$41 + MMULT($I$38:$L$41,TRANSPOSE(AC558:AF558)))</f>
        <v>1.245827796888793</v>
      </c>
      <c r="AI558" s="62">
        <f ca="1"/>
        <v>0.82330141951358371</v>
      </c>
      <c r="AJ558" s="62">
        <f ca="1"/>
        <v>1.2193379320578146</v>
      </c>
      <c r="AK558" s="62">
        <f ca="1"/>
        <v>1.2588986581238037</v>
      </c>
      <c r="AL558" s="66" t="str">
        <f t="array" ref="AL558">IF($AB558, Push(MINVERSE(MMULT($I$38:$L$41,MMULT(Fetch(AG558),TRANSPOSE($I$38:$L$41))) + $N$38:$Q$41)), "")</f>
        <v/>
      </c>
      <c r="AM558" s="62">
        <f t="array" aca="1" ref="AM558:AP558" ca="1">X558:AA558 - AH558:AK558</f>
        <v>-1.5083362947383661E-2</v>
      </c>
      <c r="AN558" s="62">
        <f ca="1"/>
        <v>0.96294494320777657</v>
      </c>
      <c r="AO558" s="62">
        <f ca="1"/>
        <v>0.3114632025512325</v>
      </c>
      <c r="AP558" s="62">
        <f ca="1"/>
        <v>-0.2494814703889916</v>
      </c>
      <c r="AQ558" s="66" t="str">
        <f t="array" ref="AQ558">IF($AB558, Push(MMULT(Fetch(AG558),MMULT(TRANSPOSE($I$38:$L$41),Fetch(AL558)))), "")</f>
        <v/>
      </c>
      <c r="AR558" s="62">
        <f t="array" aca="1" ref="AR558:AU558" ca="1">AC558:AF558 + TRANSPOSE(MMULT(IF($AB558,Fetch(AQ558),$L$61:$O$64),TRANSPOSE(AM558:AP558)))</f>
        <v>1.181067741140549</v>
      </c>
      <c r="AS558" s="62">
        <f ca="1"/>
        <v>1.0039988129762243</v>
      </c>
      <c r="AT558" s="62">
        <f ca="1"/>
        <v>0.90616257013871526</v>
      </c>
      <c r="AU558" s="62">
        <f ca="1"/>
        <v>1.3166501612977035</v>
      </c>
      <c r="AV558" s="66" t="str">
        <f t="array" ref="AV558">IF($AB558, Push(Fetch(AG558) - MMULT(Fetch(AQ558),MMULT($I$38:$L$41,Fetch(AG558)))), "")</f>
        <v/>
      </c>
      <c r="AW558" s="97">
        <f t="array" aca="1" ref="AW558" ca="1">IF($AB558,LN(MDETERM(Fetch(AL558))),$J$65)   -   MMULT(AM558:AP558,MMULT(IF($AB558,Fetch(AL558),$G$61:$J$64),TRANSPOSE(AM558:AP558)))</f>
        <v>-0.20972629894305861</v>
      </c>
    </row>
    <row r="559" spans="23:49" x14ac:dyDescent="0.15">
      <c r="W559" s="12">
        <f t="shared" si="16"/>
        <v>556</v>
      </c>
      <c r="X559" s="62">
        <f t="array" aca="1" ref="X559:AA559" ca="1">simulate!AE559:AH559</f>
        <v>0.66690510216527443</v>
      </c>
      <c r="Y559" s="62">
        <f ca="1"/>
        <v>-0.50611817481340549</v>
      </c>
      <c r="Z559" s="62">
        <f ca="1"/>
        <v>2.5613680419719937</v>
      </c>
      <c r="AA559" s="62">
        <f ca="1"/>
        <v>1.3324088947637411</v>
      </c>
      <c r="AB559" s="98">
        <f t="shared" si="17"/>
        <v>0</v>
      </c>
      <c r="AC559" s="62">
        <f t="array" aca="1" ref="AC559:AF559" ca="1">TRANSPOSE($G$44:$G$47 + MMULT($I$44:$L$47,TRANSPOSE(AR558:AU558)))</f>
        <v>1.1882307254616822</v>
      </c>
      <c r="AD559" s="62">
        <f ca="1"/>
        <v>1.0136802664021092</v>
      </c>
      <c r="AE559" s="62">
        <f ca="1"/>
        <v>1.0335558887837273</v>
      </c>
      <c r="AF559" s="62">
        <f ca="1"/>
        <v>1.1831684237336875</v>
      </c>
      <c r="AG559" s="66" t="str">
        <f t="array" ref="AG559">IF($AB559, Push(MMULT($I$44:$L$47,MMULT(Fetch(AV558),TRANSPOSE($I$44:$L$47))) + $N$44:$Q$47), "")</f>
        <v/>
      </c>
      <c r="AH559" s="62">
        <f t="array" aca="1" ref="AH559:AK559" ca="1">TRANSPOSE($G$38:$G$41 + MMULT($I$38:$L$41,TRANSPOSE(AC559:AF559)))</f>
        <v>1.380325649142029</v>
      </c>
      <c r="AI559" s="62">
        <f ca="1"/>
        <v>1.3294394448856903</v>
      </c>
      <c r="AJ559" s="62">
        <f ca="1"/>
        <v>1.0976182443535354</v>
      </c>
      <c r="AK559" s="62">
        <f ca="1"/>
        <v>1.1500345942273202</v>
      </c>
      <c r="AL559" s="66" t="str">
        <f t="array" ref="AL559">IF($AB559, Push(MINVERSE(MMULT($I$38:$L$41,MMULT(Fetch(AG559),TRANSPOSE($I$38:$L$41))) + $N$38:$Q$41)), "")</f>
        <v/>
      </c>
      <c r="AM559" s="62">
        <f t="array" aca="1" ref="AM559:AP559" ca="1">X559:AA559 - AH559:AK559</f>
        <v>-0.71342054697675461</v>
      </c>
      <c r="AN559" s="62">
        <f ca="1"/>
        <v>-1.8355576196990957</v>
      </c>
      <c r="AO559" s="62">
        <f ca="1"/>
        <v>1.4637497976184584</v>
      </c>
      <c r="AP559" s="62">
        <f ca="1"/>
        <v>0.1823743005364209</v>
      </c>
      <c r="AQ559" s="66" t="str">
        <f t="array" ref="AQ559">IF($AB559, Push(MMULT(Fetch(AG559),MMULT(TRANSPOSE($I$38:$L$41),Fetch(AL559)))), "")</f>
        <v/>
      </c>
      <c r="AR559" s="62">
        <f t="array" aca="1" ref="AR559:AU559" ca="1">AC559:AF559 + TRANSPOSE(MMULT(IF($AB559,Fetch(AQ559),$L$61:$O$64),TRANSPOSE(AM559:AP559)))</f>
        <v>0.90200295140702913</v>
      </c>
      <c r="AS559" s="62">
        <f ca="1"/>
        <v>-0.17965849521683652</v>
      </c>
      <c r="AT559" s="62">
        <f ca="1"/>
        <v>1.3730981759208423</v>
      </c>
      <c r="AU559" s="62">
        <f ca="1"/>
        <v>1.8277529659580498</v>
      </c>
      <c r="AV559" s="66" t="str">
        <f t="array" ref="AV559">IF($AB559, Push(Fetch(AG559) - MMULT(Fetch(AQ559),MMULT($I$38:$L$41,Fetch(AG559)))), "")</f>
        <v/>
      </c>
      <c r="AW559" s="97">
        <f t="array" aca="1" ref="AW559" ca="1">IF($AB559,LN(MDETERM(Fetch(AL559))),$J$65)   -   MMULT(AM559:AP559,MMULT(IF($AB559,Fetch(AL559),$G$61:$J$64),TRANSPOSE(AM559:AP559)))</f>
        <v>-13.730236448850979</v>
      </c>
    </row>
    <row r="560" spans="23:49" x14ac:dyDescent="0.15">
      <c r="W560" s="12">
        <f t="shared" si="16"/>
        <v>557</v>
      </c>
      <c r="X560" s="62">
        <f t="array" aca="1" ref="X560:AA560" ca="1">simulate!AE560:AH560</f>
        <v>0.9701734013622294</v>
      </c>
      <c r="Y560" s="62">
        <f ca="1"/>
        <v>0.98677592014216486</v>
      </c>
      <c r="Z560" s="62">
        <f ca="1"/>
        <v>0.56881950184968788</v>
      </c>
      <c r="AA560" s="62">
        <f ca="1"/>
        <v>0.75750280016758476</v>
      </c>
      <c r="AB560" s="98">
        <f t="shared" si="17"/>
        <v>0</v>
      </c>
      <c r="AC560" s="62">
        <f t="array" aca="1" ref="AC560:AF560" ca="1">TRANSPOSE($G$44:$G$47 + MMULT($I$44:$L$47,TRANSPOSE(AR559:AU559)))</f>
        <v>0.92014353048018749</v>
      </c>
      <c r="AD560" s="62">
        <f ca="1"/>
        <v>0.43459251148506239</v>
      </c>
      <c r="AE560" s="62">
        <f ca="1"/>
        <v>1.1493316689804312</v>
      </c>
      <c r="AF560" s="62">
        <f ca="1"/>
        <v>1.4373459775330784</v>
      </c>
      <c r="AG560" s="66" t="str">
        <f t="array" ref="AG560">IF($AB560, Push(MMULT($I$44:$L$47,MMULT(Fetch(AV559),TRANSPOSE($I$44:$L$47))) + $N$44:$Q$47), "")</f>
        <v/>
      </c>
      <c r="AH560" s="62">
        <f t="array" aca="1" ref="AH560:AK560" ca="1">TRANSPOSE($G$38:$G$41 + MMULT($I$38:$L$41,TRANSPOSE(AC560:AF560)))</f>
        <v>1.2206033956544196</v>
      </c>
      <c r="AI560" s="62">
        <f ca="1"/>
        <v>0.74605941887753069</v>
      </c>
      <c r="AJ560" s="62">
        <f ca="1"/>
        <v>1.415463705730164</v>
      </c>
      <c r="AK560" s="62">
        <f ca="1"/>
        <v>1.2855131601384771</v>
      </c>
      <c r="AL560" s="66" t="str">
        <f t="array" ref="AL560">IF($AB560, Push(MINVERSE(MMULT($I$38:$L$41,MMULT(Fetch(AG560),TRANSPOSE($I$38:$L$41))) + $N$38:$Q$41)), "")</f>
        <v/>
      </c>
      <c r="AM560" s="62">
        <f t="array" aca="1" ref="AM560:AP560" ca="1">X560:AA560 - AH560:AK560</f>
        <v>-0.25042999429219015</v>
      </c>
      <c r="AN560" s="62">
        <f ca="1"/>
        <v>0.24071650126463418</v>
      </c>
      <c r="AO560" s="62">
        <f ca="1"/>
        <v>-0.84664420388047612</v>
      </c>
      <c r="AP560" s="62">
        <f ca="1"/>
        <v>-0.5280103599708923</v>
      </c>
      <c r="AQ560" s="66" t="str">
        <f t="array" ref="AQ560">IF($AB560, Push(MMULT(Fetch(AG560),MMULT(TRANSPOSE($I$38:$L$41),Fetch(AL560)))), "")</f>
        <v/>
      </c>
      <c r="AR560" s="62">
        <f t="array" aca="1" ref="AR560:AU560" ca="1">AC560:AF560 + TRANSPOSE(MMULT(IF($AB560,Fetch(AQ560),$L$61:$O$64),TRANSPOSE(AM560:AP560)))</f>
        <v>0.74997836421110742</v>
      </c>
      <c r="AS560" s="62">
        <f ca="1"/>
        <v>0.68830314580889085</v>
      </c>
      <c r="AT560" s="62">
        <f ca="1"/>
        <v>0.53742343447537855</v>
      </c>
      <c r="AU560" s="62">
        <f ca="1"/>
        <v>0.90884923368642645</v>
      </c>
      <c r="AV560" s="66" t="str">
        <f t="array" ref="AV560">IF($AB560, Push(Fetch(AG560) - MMULT(Fetch(AQ560),MMULT($I$38:$L$41,Fetch(AG560)))), "")</f>
        <v/>
      </c>
      <c r="AW560" s="97">
        <f t="array" aca="1" ref="AW560" ca="1">IF($AB560,LN(MDETERM(Fetch(AL560))),$J$65)   -   MMULT(AM560:AP560,MMULT(IF($AB560,Fetch(AL560),$G$61:$J$64),TRANSPOSE(AM560:AP560)))</f>
        <v>2.1660356595428922</v>
      </c>
    </row>
    <row r="561" spans="23:49" x14ac:dyDescent="0.15">
      <c r="W561" s="12">
        <f t="shared" si="16"/>
        <v>558</v>
      </c>
      <c r="X561" s="62">
        <f t="array" aca="1" ref="X561:AA561" ca="1">simulate!AE561:AH561</f>
        <v>1.3699231279896948</v>
      </c>
      <c r="Y561" s="62">
        <f ca="1"/>
        <v>0.54361586026097841</v>
      </c>
      <c r="Z561" s="62">
        <f ca="1"/>
        <v>1.2626866866514284</v>
      </c>
      <c r="AA561" s="62">
        <f ca="1"/>
        <v>1.4080312521079419</v>
      </c>
      <c r="AB561" s="98">
        <f t="shared" si="17"/>
        <v>0</v>
      </c>
      <c r="AC561" s="62">
        <f t="array" aca="1" ref="AC561:AF561" ca="1">TRANSPOSE($G$44:$G$47 + MMULT($I$44:$L$47,TRANSPOSE(AR560:AU560)))</f>
        <v>0.86284472936492884</v>
      </c>
      <c r="AD561" s="62">
        <f ca="1"/>
        <v>0.6895905599443698</v>
      </c>
      <c r="AE561" s="62">
        <f ca="1"/>
        <v>0.69211547158390563</v>
      </c>
      <c r="AF561" s="62">
        <f ca="1"/>
        <v>0.85986843623762832</v>
      </c>
      <c r="AG561" s="66" t="str">
        <f t="array" ref="AG561">IF($AB561, Push(MMULT($I$44:$L$47,MMULT(Fetch(AV560),TRANSPOSE($I$44:$L$47))) + $N$44:$Q$47), "")</f>
        <v/>
      </c>
      <c r="AH561" s="62">
        <f t="array" aca="1" ref="AH561:AK561" ca="1">TRANSPOSE($G$38:$G$41 + MMULT($I$38:$L$41,TRANSPOSE(AC561:AF561)))</f>
        <v>1.0395492020869388</v>
      </c>
      <c r="AI561" s="62">
        <f ca="1"/>
        <v>0.95038660389295526</v>
      </c>
      <c r="AJ561" s="62">
        <f ca="1"/>
        <v>0.85665930307219385</v>
      </c>
      <c r="AK561" s="62">
        <f ca="1"/>
        <v>0.81218289571938085</v>
      </c>
      <c r="AL561" s="66" t="str">
        <f t="array" ref="AL561">IF($AB561, Push(MINVERSE(MMULT($I$38:$L$41,MMULT(Fetch(AG561),TRANSPOSE($I$38:$L$41))) + $N$38:$Q$41)), "")</f>
        <v/>
      </c>
      <c r="AM561" s="62">
        <f t="array" aca="1" ref="AM561:AP561" ca="1">X561:AA561 - AH561:AK561</f>
        <v>0.33037392590275605</v>
      </c>
      <c r="AN561" s="62">
        <f ca="1"/>
        <v>-0.40677074363197685</v>
      </c>
      <c r="AO561" s="62">
        <f ca="1"/>
        <v>0.40602738357923451</v>
      </c>
      <c r="AP561" s="62">
        <f ca="1"/>
        <v>0.59584835638856104</v>
      </c>
      <c r="AQ561" s="66" t="str">
        <f t="array" ref="AQ561">IF($AB561, Push(MMULT(Fetch(AG561),MMULT(TRANSPOSE($I$38:$L$41),Fetch(AL561)))), "")</f>
        <v/>
      </c>
      <c r="AR561" s="62">
        <f t="array" aca="1" ref="AR561:AU561" ca="1">AC561:AF561 + TRANSPOSE(MMULT(IF($AB561,Fetch(AQ561),$L$61:$O$64),TRANSPOSE(AM561:AP561)))</f>
        <v>0.9176322696083713</v>
      </c>
      <c r="AS561" s="62">
        <f ca="1"/>
        <v>0.43306861229146931</v>
      </c>
      <c r="AT561" s="62">
        <f ca="1"/>
        <v>1.3242436661877512</v>
      </c>
      <c r="AU561" s="62">
        <f ca="1"/>
        <v>1.2316592673599098</v>
      </c>
      <c r="AV561" s="66" t="str">
        <f t="array" ref="AV561">IF($AB561, Push(Fetch(AG561) - MMULT(Fetch(AQ561),MMULT($I$38:$L$41,Fetch(AG561)))), "")</f>
        <v/>
      </c>
      <c r="AW561" s="97">
        <f t="array" aca="1" ref="AW561" ca="1">IF($AB561,LN(MDETERM(Fetch(AL561))),$J$65)   -   MMULT(AM561:AP561,MMULT(IF($AB561,Fetch(AL561),$G$61:$J$64),TRANSPOSE(AM561:AP561)))</f>
        <v>3.8608044192695563</v>
      </c>
    </row>
    <row r="562" spans="23:49" x14ac:dyDescent="0.15">
      <c r="W562" s="12">
        <f t="shared" si="16"/>
        <v>559</v>
      </c>
      <c r="X562" s="62">
        <f t="array" aca="1" ref="X562:AA562" ca="1">simulate!AE562:AH562</f>
        <v>1.930234854266478</v>
      </c>
      <c r="Y562" s="62">
        <f ca="1"/>
        <v>1.9592290292424843</v>
      </c>
      <c r="Z562" s="62">
        <f ca="1"/>
        <v>1.3860984779761878</v>
      </c>
      <c r="AA562" s="62">
        <f ca="1"/>
        <v>0.9192299264631254</v>
      </c>
      <c r="AB562" s="98">
        <f t="shared" si="17"/>
        <v>0</v>
      </c>
      <c r="AC562" s="62">
        <f t="array" aca="1" ref="AC562:AF562" ca="1">TRANSPOSE($G$44:$G$47 + MMULT($I$44:$L$47,TRANSPOSE(AR561:AU561)))</f>
        <v>0.98713947169528371</v>
      </c>
      <c r="AD562" s="62">
        <f ca="1"/>
        <v>0.7183863540689911</v>
      </c>
      <c r="AE562" s="62">
        <f ca="1"/>
        <v>1.1353246783337179</v>
      </c>
      <c r="AF562" s="62">
        <f ca="1"/>
        <v>1.151846052154144</v>
      </c>
      <c r="AG562" s="66" t="str">
        <f t="array" ref="AG562">IF($AB562, Push(MMULT($I$44:$L$47,MMULT(Fetch(AV561),TRANSPOSE($I$44:$L$47))) + $N$44:$Q$47), "")</f>
        <v/>
      </c>
      <c r="AH562" s="62">
        <f t="array" aca="1" ref="AH562:AK562" ca="1">TRANSPOSE($G$38:$G$41 + MMULT($I$38:$L$41,TRANSPOSE(AC562:AF562)))</f>
        <v>1.3257700438626012</v>
      </c>
      <c r="AI562" s="62">
        <f ca="1"/>
        <v>0.96558509709273799</v>
      </c>
      <c r="AJ562" s="62">
        <f ca="1"/>
        <v>1.0964130790396127</v>
      </c>
      <c r="AK562" s="62">
        <f ca="1"/>
        <v>1.2100880003880428</v>
      </c>
      <c r="AL562" s="66" t="str">
        <f t="array" ref="AL562">IF($AB562, Push(MINVERSE(MMULT($I$38:$L$41,MMULT(Fetch(AG562),TRANSPOSE($I$38:$L$41))) + $N$38:$Q$41)), "")</f>
        <v/>
      </c>
      <c r="AM562" s="62">
        <f t="array" aca="1" ref="AM562:AP562" ca="1">X562:AA562 - AH562:AK562</f>
        <v>0.60446481040387678</v>
      </c>
      <c r="AN562" s="62">
        <f ca="1"/>
        <v>0.99364393214974633</v>
      </c>
      <c r="AO562" s="62">
        <f ca="1"/>
        <v>0.28968539893657508</v>
      </c>
      <c r="AP562" s="62">
        <f ca="1"/>
        <v>-0.29085807392491736</v>
      </c>
      <c r="AQ562" s="66" t="str">
        <f t="array" ref="AQ562">IF($AB562, Push(MMULT(Fetch(AG562),MMULT(TRANSPOSE($I$38:$L$41),Fetch(AL562)))), "")</f>
        <v/>
      </c>
      <c r="AR562" s="62">
        <f t="array" aca="1" ref="AR562:AU562" ca="1">AC562:AF562 + TRANSPOSE(MMULT(IF($AB562,Fetch(AQ562),$L$61:$O$64),TRANSPOSE(AM562:AP562)))</f>
        <v>1.5559727345002254</v>
      </c>
      <c r="AS562" s="62">
        <f ca="1"/>
        <v>1.0612786230394715</v>
      </c>
      <c r="AT562" s="62">
        <f ca="1"/>
        <v>1.0868369240589566</v>
      </c>
      <c r="AU562" s="62">
        <f ca="1"/>
        <v>1.1774909131685827</v>
      </c>
      <c r="AV562" s="66" t="str">
        <f t="array" ref="AV562">IF($AB562, Push(Fetch(AG562) - MMULT(Fetch(AQ562),MMULT($I$38:$L$41,Fetch(AG562)))), "")</f>
        <v/>
      </c>
      <c r="AW562" s="97">
        <f t="array" aca="1" ref="AW562" ca="1">IF($AB562,LN(MDETERM(Fetch(AL562))),$J$65)   -   MMULT(AM562:AP562,MMULT(IF($AB562,Fetch(AL562),$G$61:$J$64),TRANSPOSE(AM562:AP562)))</f>
        <v>-1.4880464156257265</v>
      </c>
    </row>
    <row r="563" spans="23:49" x14ac:dyDescent="0.15">
      <c r="W563" s="12">
        <f t="shared" si="16"/>
        <v>560</v>
      </c>
      <c r="X563" s="62">
        <f t="array" aca="1" ref="X563:AA563" ca="1">simulate!AE563:AH563</f>
        <v>0.78368860591507072</v>
      </c>
      <c r="Y563" s="62">
        <f ca="1"/>
        <v>1.4284395044213496</v>
      </c>
      <c r="Z563" s="62">
        <f ca="1"/>
        <v>1.2939180929501006</v>
      </c>
      <c r="AA563" s="62">
        <f ca="1"/>
        <v>0.62216891098542604</v>
      </c>
      <c r="AB563" s="98">
        <f t="shared" si="17"/>
        <v>0</v>
      </c>
      <c r="AC563" s="62">
        <f t="array" aca="1" ref="AC563:AF563" ca="1">TRANSPOSE($G$44:$G$47 + MMULT($I$44:$L$47,TRANSPOSE(AR562:AU562)))</f>
        <v>1.4053580302854192</v>
      </c>
      <c r="AD563" s="62">
        <f ca="1"/>
        <v>1.122317456214819</v>
      </c>
      <c r="AE563" s="62">
        <f ca="1"/>
        <v>1.1465262356887453</v>
      </c>
      <c r="AF563" s="62">
        <f ca="1"/>
        <v>1.1594399356181722</v>
      </c>
      <c r="AG563" s="66" t="str">
        <f t="array" ref="AG563">IF($AB563, Push(MMULT($I$44:$L$47,MMULT(Fetch(AV562),TRANSPOSE($I$44:$L$47))) + $N$44:$Q$47), "")</f>
        <v/>
      </c>
      <c r="AH563" s="62">
        <f t="array" aca="1" ref="AH563:AK563" ca="1">TRANSPOSE($G$38:$G$41 + MMULT($I$38:$L$41,TRANSPOSE(AC563:AF563)))</f>
        <v>1.6084901559835829</v>
      </c>
      <c r="AI563" s="62">
        <f ca="1"/>
        <v>1.4708930014026551</v>
      </c>
      <c r="AJ563" s="62">
        <f ca="1"/>
        <v>1.1099676596743588</v>
      </c>
      <c r="AK563" s="62">
        <f ca="1"/>
        <v>1.1571751156506618</v>
      </c>
      <c r="AL563" s="66" t="str">
        <f t="array" ref="AL563">IF($AB563, Push(MINVERSE(MMULT($I$38:$L$41,MMULT(Fetch(AG563),TRANSPOSE($I$38:$L$41))) + $N$38:$Q$41)), "")</f>
        <v/>
      </c>
      <c r="AM563" s="62">
        <f t="array" aca="1" ref="AM563:AP563" ca="1">X563:AA563 - AH563:AK563</f>
        <v>-0.82480155006851219</v>
      </c>
      <c r="AN563" s="62">
        <f ca="1"/>
        <v>-4.2453496981305516E-2</v>
      </c>
      <c r="AO563" s="62">
        <f ca="1"/>
        <v>0.18395043327574179</v>
      </c>
      <c r="AP563" s="62">
        <f ca="1"/>
        <v>-0.53500620466523574</v>
      </c>
      <c r="AQ563" s="66" t="str">
        <f t="array" ref="AQ563">IF($AB563, Push(MMULT(Fetch(AG563),MMULT(TRANSPOSE($I$38:$L$41),Fetch(AL563)))), "")</f>
        <v/>
      </c>
      <c r="AR563" s="62">
        <f t="array" aca="1" ref="AR563:AU563" ca="1">AC563:AF563 + TRANSPOSE(MMULT(IF($AB563,Fetch(AQ563),$L$61:$O$64),TRANSPOSE(AM563:AP563)))</f>
        <v>1.1894199940420092</v>
      </c>
      <c r="AS563" s="62">
        <f ca="1"/>
        <v>1.0971991090067388</v>
      </c>
      <c r="AT563" s="62">
        <f ca="1"/>
        <v>0.53124493331807277</v>
      </c>
      <c r="AU563" s="62">
        <f ca="1"/>
        <v>1.0443126476544899</v>
      </c>
      <c r="AV563" s="66" t="str">
        <f t="array" ref="AV563">IF($AB563, Push(Fetch(AG563) - MMULT(Fetch(AQ563),MMULT($I$38:$L$41,Fetch(AG563)))), "")</f>
        <v/>
      </c>
      <c r="AW563" s="97">
        <f t="array" aca="1" ref="AW563" ca="1">IF($AB563,LN(MDETERM(Fetch(AL563))),$J$65)   -   MMULT(AM563:AP563,MMULT(IF($AB563,Fetch(AL563),$G$61:$J$64),TRANSPOSE(AM563:AP563)))</f>
        <v>3.103621928596616</v>
      </c>
    </row>
    <row r="564" spans="23:49" x14ac:dyDescent="0.15">
      <c r="W564" s="12">
        <f t="shared" si="16"/>
        <v>561</v>
      </c>
      <c r="X564" s="62">
        <f t="array" aca="1" ref="X564:AA564" ca="1">simulate!AE564:AH564</f>
        <v>-0.3984200074374894</v>
      </c>
      <c r="Y564" s="62">
        <f ca="1"/>
        <v>0.86764456483149621</v>
      </c>
      <c r="Z564" s="62">
        <f ca="1"/>
        <v>0.96829832545494743</v>
      </c>
      <c r="AA564" s="62">
        <f ca="1"/>
        <v>-0.4029599068482323</v>
      </c>
      <c r="AB564" s="98">
        <f t="shared" si="17"/>
        <v>0</v>
      </c>
      <c r="AC564" s="62">
        <f t="array" aca="1" ref="AC564:AF564" ca="1">TRANSPOSE($G$44:$G$47 + MMULT($I$44:$L$47,TRANSPOSE(AR563:AU563)))</f>
        <v>1.1667590384476374</v>
      </c>
      <c r="AD564" s="62">
        <f ca="1"/>
        <v>0.99050096360205375</v>
      </c>
      <c r="AE564" s="62">
        <f ca="1"/>
        <v>0.80649529456810076</v>
      </c>
      <c r="AF564" s="62">
        <f ca="1"/>
        <v>0.98225001170258963</v>
      </c>
      <c r="AG564" s="66" t="str">
        <f t="array" ref="AG564">IF($AB564, Push(MMULT($I$44:$L$47,MMULT(Fetch(AV563),TRANSPOSE($I$44:$L$47))) + $N$44:$Q$47), "")</f>
        <v/>
      </c>
      <c r="AH564" s="62">
        <f t="array" aca="1" ref="AH564:AK564" ca="1">TRANSPOSE($G$38:$G$41 + MMULT($I$38:$L$41,TRANSPOSE(AC564:AF564)))</f>
        <v>1.278934496843664</v>
      </c>
      <c r="AI564" s="62">
        <f ca="1"/>
        <v>1.3198357164120991</v>
      </c>
      <c r="AJ564" s="62">
        <f ca="1"/>
        <v>0.95143109155532413</v>
      </c>
      <c r="AK564" s="62">
        <f ca="1"/>
        <v>0.90268877527752522</v>
      </c>
      <c r="AL564" s="66" t="str">
        <f t="array" ref="AL564">IF($AB564, Push(MINVERSE(MMULT($I$38:$L$41,MMULT(Fetch(AG564),TRANSPOSE($I$38:$L$41))) + $N$38:$Q$41)), "")</f>
        <v/>
      </c>
      <c r="AM564" s="62">
        <f t="array" aca="1" ref="AM564:AP564" ca="1">X564:AA564 - AH564:AK564</f>
        <v>-1.6773545042811535</v>
      </c>
      <c r="AN564" s="62">
        <f ca="1"/>
        <v>-0.45219115158060286</v>
      </c>
      <c r="AO564" s="62">
        <f ca="1"/>
        <v>1.6867233899623302E-2</v>
      </c>
      <c r="AP564" s="62">
        <f ca="1"/>
        <v>-1.3056486821257576</v>
      </c>
      <c r="AQ564" s="66" t="str">
        <f t="array" ref="AQ564">IF($AB564, Push(MMULT(Fetch(AG564),MMULT(TRANSPOSE($I$38:$L$41),Fetch(AL564)))), "")</f>
        <v/>
      </c>
      <c r="AR564" s="62">
        <f t="array" aca="1" ref="AR564:AU564" ca="1">AC564:AF564 + TRANSPOSE(MMULT(IF($AB564,Fetch(AQ564),$L$61:$O$64),TRANSPOSE(AM564:AP564)))</f>
        <v>0.62950389973852872</v>
      </c>
      <c r="AS564" s="62">
        <f ca="1"/>
        <v>0.76242702456487299</v>
      </c>
      <c r="AT564" s="62">
        <f ca="1"/>
        <v>-0.60235237432562516</v>
      </c>
      <c r="AU564" s="62">
        <f ca="1"/>
        <v>0.52404545062003371</v>
      </c>
      <c r="AV564" s="66" t="str">
        <f t="array" ref="AV564">IF($AB564, Push(Fetch(AG564) - MMULT(Fetch(AQ564),MMULT($I$38:$L$41,Fetch(AG564)))), "")</f>
        <v/>
      </c>
      <c r="AW564" s="97">
        <f t="array" aca="1" ref="AW564" ca="1">IF($AB564,LN(MDETERM(Fetch(AL564))),$J$65)   -   MMULT(AM564:AP564,MMULT(IF($AB564,Fetch(AL564),$G$61:$J$64),TRANSPOSE(AM564:AP564)))</f>
        <v>-10.713099846537881</v>
      </c>
    </row>
    <row r="565" spans="23:49" x14ac:dyDescent="0.15">
      <c r="W565" s="12">
        <f t="shared" si="16"/>
        <v>562</v>
      </c>
      <c r="X565" s="62">
        <f t="array" aca="1" ref="X565:AA565" ca="1">simulate!AE565:AH565</f>
        <v>0.99691985421072904</v>
      </c>
      <c r="Y565" s="62">
        <f ca="1"/>
        <v>0.77631913668208674</v>
      </c>
      <c r="Z565" s="62">
        <f ca="1"/>
        <v>0.17932009768347484</v>
      </c>
      <c r="AA565" s="62">
        <f ca="1"/>
        <v>0.65899306447674744</v>
      </c>
      <c r="AB565" s="98">
        <f t="shared" si="17"/>
        <v>0</v>
      </c>
      <c r="AC565" s="62">
        <f t="array" aca="1" ref="AC565:AF565" ca="1">TRANSPOSE($G$44:$G$47 + MMULT($I$44:$L$47,TRANSPOSE(AR564:AU564)))</f>
        <v>0.70912380963262067</v>
      </c>
      <c r="AD565" s="62">
        <f ca="1"/>
        <v>0.51399424550892481</v>
      </c>
      <c r="AE565" s="62">
        <f ca="1"/>
        <v>2.3062677060380468E-2</v>
      </c>
      <c r="AF565" s="62">
        <f ca="1"/>
        <v>0.46647892539549285</v>
      </c>
      <c r="AG565" s="66" t="str">
        <f t="array" ref="AG565">IF($AB565, Push(MMULT($I$44:$L$47,MMULT(Fetch(AV564),TRANSPOSE($I$44:$L$47))) + $N$44:$Q$47), "")</f>
        <v/>
      </c>
      <c r="AH565" s="62">
        <f t="array" aca="1" ref="AH565:AK565" ca="1">TRANSPOSE($G$38:$G$41 + MMULT($I$38:$L$41,TRANSPOSE(AC565:AF565)))</f>
        <v>0.62527759702620678</v>
      </c>
      <c r="AI565" s="62">
        <f ca="1"/>
        <v>0.83417515711422552</v>
      </c>
      <c r="AJ565" s="62">
        <f ca="1"/>
        <v>0.59759714920866713</v>
      </c>
      <c r="AK565" s="62">
        <f ca="1"/>
        <v>0.17609180694309701</v>
      </c>
      <c r="AL565" s="66" t="str">
        <f t="array" ref="AL565">IF($AB565, Push(MINVERSE(MMULT($I$38:$L$41,MMULT(Fetch(AG565),TRANSPOSE($I$38:$L$41))) + $N$38:$Q$41)), "")</f>
        <v/>
      </c>
      <c r="AM565" s="62">
        <f t="array" aca="1" ref="AM565:AP565" ca="1">X565:AA565 - AH565:AK565</f>
        <v>0.37164225718452226</v>
      </c>
      <c r="AN565" s="62">
        <f ca="1"/>
        <v>-5.7856020432138777E-2</v>
      </c>
      <c r="AO565" s="62">
        <f ca="1"/>
        <v>-0.41827705152519229</v>
      </c>
      <c r="AP565" s="62">
        <f ca="1"/>
        <v>0.48290125753365043</v>
      </c>
      <c r="AQ565" s="66" t="str">
        <f t="array" ref="AQ565">IF($AB565, Push(MMULT(Fetch(AG565),MMULT(TRANSPOSE($I$38:$L$41),Fetch(AL565)))), "")</f>
        <v/>
      </c>
      <c r="AR565" s="62">
        <f t="array" aca="1" ref="AR565:AU565" ca="1">AC565:AF565 + TRANSPOSE(MMULT(IF($AB565,Fetch(AQ565),$L$61:$O$64),TRANSPOSE(AM565:AP565)))</f>
        <v>0.65596460683935243</v>
      </c>
      <c r="AS565" s="62">
        <f ca="1"/>
        <v>0.59972770450626511</v>
      </c>
      <c r="AT565" s="62">
        <f ca="1"/>
        <v>0.41266704561406431</v>
      </c>
      <c r="AU565" s="62">
        <f ca="1"/>
        <v>0.46559219091711196</v>
      </c>
      <c r="AV565" s="66" t="str">
        <f t="array" ref="AV565">IF($AB565, Push(Fetch(AG565) - MMULT(Fetch(AQ565),MMULT($I$38:$L$41,Fetch(AG565)))), "")</f>
        <v/>
      </c>
      <c r="AW565" s="97">
        <f t="array" aca="1" ref="AW565" ca="1">IF($AB565,LN(MDETERM(Fetch(AL565))),$J$65)   -   MMULT(AM565:AP565,MMULT(IF($AB565,Fetch(AL565),$G$61:$J$64),TRANSPOSE(AM565:AP565)))</f>
        <v>4.2139042711092518</v>
      </c>
    </row>
    <row r="566" spans="23:49" x14ac:dyDescent="0.15">
      <c r="W566" s="12">
        <f t="shared" si="16"/>
        <v>563</v>
      </c>
      <c r="X566" s="62">
        <f t="array" aca="1" ref="X566:AA566" ca="1">simulate!AE566:AH566</f>
        <v>1.2051708547957927</v>
      </c>
      <c r="Y566" s="62">
        <f ca="1"/>
        <v>0.41582525679912574</v>
      </c>
      <c r="Z566" s="62">
        <f ca="1"/>
        <v>0.91749631648727192</v>
      </c>
      <c r="AA566" s="62">
        <f ca="1"/>
        <v>1.052173384985319</v>
      </c>
      <c r="AB566" s="98">
        <f t="shared" si="17"/>
        <v>0</v>
      </c>
      <c r="AC566" s="62">
        <f t="array" aca="1" ref="AC566:AF566" ca="1">TRANSPOSE($G$44:$G$47 + MMULT($I$44:$L$47,TRANSPOSE(AR565:AU565)))</f>
        <v>0.76878027990982334</v>
      </c>
      <c r="AD566" s="62">
        <f ca="1"/>
        <v>0.57647365160036967</v>
      </c>
      <c r="AE566" s="62">
        <f ca="1"/>
        <v>0.53806622199358478</v>
      </c>
      <c r="AF566" s="62">
        <f ca="1"/>
        <v>0.58939808158009033</v>
      </c>
      <c r="AG566" s="66" t="str">
        <f t="array" ref="AG566">IF($AB566, Push(MMULT($I$44:$L$47,MMULT(Fetch(AV565),TRANSPOSE($I$44:$L$47))) + $N$44:$Q$47), "")</f>
        <v/>
      </c>
      <c r="AH566" s="62">
        <f t="array" aca="1" ref="AH566:AK566" ca="1">TRANSPOSE($G$38:$G$41 + MMULT($I$38:$L$41,TRANSPOSE(AC566:AF566)))</f>
        <v>0.95721622173423304</v>
      </c>
      <c r="AI566" s="62">
        <f ca="1"/>
        <v>0.80323373166794432</v>
      </c>
      <c r="AJ566" s="62">
        <f ca="1"/>
        <v>0.65168638821583258</v>
      </c>
      <c r="AK566" s="62">
        <f ca="1"/>
        <v>0.59290600142823524</v>
      </c>
      <c r="AL566" s="66" t="str">
        <f t="array" ref="AL566">IF($AB566, Push(MINVERSE(MMULT($I$38:$L$41,MMULT(Fetch(AG566),TRANSPOSE($I$38:$L$41))) + $N$38:$Q$41)), "")</f>
        <v/>
      </c>
      <c r="AM566" s="62">
        <f t="array" aca="1" ref="AM566:AP566" ca="1">X566:AA566 - AH566:AK566</f>
        <v>0.24795463306155963</v>
      </c>
      <c r="AN566" s="62">
        <f ca="1"/>
        <v>-0.38740847486881858</v>
      </c>
      <c r="AO566" s="62">
        <f ca="1"/>
        <v>0.26580992827143934</v>
      </c>
      <c r="AP566" s="62">
        <f ca="1"/>
        <v>0.45926738355708374</v>
      </c>
      <c r="AQ566" s="66" t="str">
        <f t="array" ref="AQ566">IF($AB566, Push(MMULT(Fetch(AG566),MMULT(TRANSPOSE($I$38:$L$41),Fetch(AL566)))), "")</f>
        <v/>
      </c>
      <c r="AR566" s="62">
        <f t="array" aca="1" ref="AR566:AU566" ca="1">AC566:AF566 + TRANSPOSE(MMULT(IF($AB566,Fetch(AQ566),$L$61:$O$64),TRANSPOSE(AM566:AP566)))</f>
        <v>0.78455802993800983</v>
      </c>
      <c r="AS566" s="62">
        <f ca="1"/>
        <v>0.34766264475274711</v>
      </c>
      <c r="AT566" s="62">
        <f ca="1"/>
        <v>1.0242144856615167</v>
      </c>
      <c r="AU566" s="62">
        <f ca="1"/>
        <v>0.85621630928388359</v>
      </c>
      <c r="AV566" s="66" t="str">
        <f t="array" ref="AV566">IF($AB566, Push(Fetch(AG566) - MMULT(Fetch(AQ566),MMULT($I$38:$L$41,Fetch(AG566)))), "")</f>
        <v/>
      </c>
      <c r="AW566" s="97">
        <f t="array" aca="1" ref="AW566" ca="1">IF($AB566,LN(MDETERM(Fetch(AL566))),$J$65)   -   MMULT(AM566:AP566,MMULT(IF($AB566,Fetch(AL566),$G$61:$J$64),TRANSPOSE(AM566:AP566)))</f>
        <v>5.1472073179367541</v>
      </c>
    </row>
    <row r="567" spans="23:49" x14ac:dyDescent="0.15">
      <c r="W567" s="12">
        <f t="shared" si="16"/>
        <v>564</v>
      </c>
      <c r="X567" s="62">
        <f t="array" aca="1" ref="X567:AA567" ca="1">simulate!AE567:AH567</f>
        <v>1.1113968376244714</v>
      </c>
      <c r="Y567" s="62">
        <f ca="1"/>
        <v>1.6481725104797667</v>
      </c>
      <c r="Z567" s="62">
        <f ca="1"/>
        <v>1.2829849995744773</v>
      </c>
      <c r="AA567" s="62">
        <f ca="1"/>
        <v>1.2031697309361344</v>
      </c>
      <c r="AB567" s="98">
        <f t="shared" si="17"/>
        <v>0</v>
      </c>
      <c r="AC567" s="62">
        <f t="array" aca="1" ref="AC567:AF567" ca="1">TRANSPOSE($G$44:$G$47 + MMULT($I$44:$L$47,TRANSPOSE(AR566:AU566)))</f>
        <v>0.86323078670041342</v>
      </c>
      <c r="AD567" s="62">
        <f ca="1"/>
        <v>0.57952777049317827</v>
      </c>
      <c r="AE567" s="62">
        <f ca="1"/>
        <v>0.89438503668557401</v>
      </c>
      <c r="AF567" s="62">
        <f ca="1"/>
        <v>0.88789167621482012</v>
      </c>
      <c r="AG567" s="66" t="str">
        <f t="array" ref="AG567">IF($AB567, Push(MMULT($I$44:$L$47,MMULT(Fetch(AV566),TRANSPOSE($I$44:$L$47))) + $N$44:$Q$47), "")</f>
        <v/>
      </c>
      <c r="AH567" s="62">
        <f t="array" aca="1" ref="AH567:AK567" ca="1">TRANSPOSE($G$38:$G$41 + MMULT($I$38:$L$41,TRANSPOSE(AC567:AF567)))</f>
        <v>1.1663375449589277</v>
      </c>
      <c r="AI567" s="62">
        <f ca="1"/>
        <v>0.8084475258710262</v>
      </c>
      <c r="AJ567" s="62">
        <f ca="1"/>
        <v>0.90320522029482975</v>
      </c>
      <c r="AK567" s="62">
        <f ca="1"/>
        <v>0.93637523622089525</v>
      </c>
      <c r="AL567" s="66" t="str">
        <f t="array" ref="AL567">IF($AB567, Push(MINVERSE(MMULT($I$38:$L$41,MMULT(Fetch(AG567),TRANSPOSE($I$38:$L$41))) + $N$38:$Q$41)), "")</f>
        <v/>
      </c>
      <c r="AM567" s="62">
        <f t="array" aca="1" ref="AM567:AP567" ca="1">X567:AA567 - AH567:AK567</f>
        <v>-5.4940707334456329E-2</v>
      </c>
      <c r="AN567" s="62">
        <f ca="1"/>
        <v>0.83972498460874045</v>
      </c>
      <c r="AO567" s="62">
        <f ca="1"/>
        <v>0.37977977927964757</v>
      </c>
      <c r="AP567" s="62">
        <f ca="1"/>
        <v>0.26679449471523919</v>
      </c>
      <c r="AQ567" s="66" t="str">
        <f t="array" ref="AQ567">IF($AB567, Push(MMULT(Fetch(AG567),MMULT(TRANSPOSE($I$38:$L$41),Fetch(AL567)))), "")</f>
        <v/>
      </c>
      <c r="AR567" s="62">
        <f t="array" aca="1" ref="AR567:AU567" ca="1">AC567:AF567 + TRANSPOSE(MMULT(IF($AB567,Fetch(AQ567),$L$61:$O$64),TRANSPOSE(AM567:AP567)))</f>
        <v>1.0052342719322345</v>
      </c>
      <c r="AS567" s="62">
        <f ca="1"/>
        <v>1.0414404769689714</v>
      </c>
      <c r="AT567" s="62">
        <f ca="1"/>
        <v>1.0085417031870705</v>
      </c>
      <c r="AU567" s="62">
        <f ca="1"/>
        <v>1.1414352018856035</v>
      </c>
      <c r="AV567" s="66" t="str">
        <f t="array" ref="AV567">IF($AB567, Push(Fetch(AG567) - MMULT(Fetch(AQ567),MMULT($I$38:$L$41,Fetch(AG567)))), "")</f>
        <v/>
      </c>
      <c r="AW567" s="97">
        <f t="array" aca="1" ref="AW567" ca="1">IF($AB567,LN(MDETERM(Fetch(AL567))),$J$65)   -   MMULT(AM567:AP567,MMULT(IF($AB567,Fetch(AL567),$G$61:$J$64),TRANSPOSE(AM567:AP567)))</f>
        <v>-1.8111892436354342</v>
      </c>
    </row>
    <row r="568" spans="23:49" x14ac:dyDescent="0.15">
      <c r="W568" s="12">
        <f t="shared" si="16"/>
        <v>565</v>
      </c>
      <c r="X568" s="62">
        <f t="array" aca="1" ref="X568:AA568" ca="1">simulate!AE568:AH568</f>
        <v>0.96616815065788786</v>
      </c>
      <c r="Y568" s="62">
        <f ca="1"/>
        <v>0.65199789380027617</v>
      </c>
      <c r="Z568" s="62">
        <f ca="1"/>
        <v>1.0344604955608292</v>
      </c>
      <c r="AA568" s="62">
        <f ca="1"/>
        <v>1.0935424521788752</v>
      </c>
      <c r="AB568" s="98">
        <f t="shared" si="17"/>
        <v>0</v>
      </c>
      <c r="AC568" s="62">
        <f t="array" aca="1" ref="AC568:AF568" ca="1">TRANSPOSE($G$44:$G$47 + MMULT($I$44:$L$47,TRANSPOSE(AR567:AU567)))</f>
        <v>1.0976762047792037</v>
      </c>
      <c r="AD568" s="62">
        <f ca="1"/>
        <v>1.0080320694450711</v>
      </c>
      <c r="AE568" s="62">
        <f ca="1"/>
        <v>1.0564805452294102</v>
      </c>
      <c r="AF568" s="62">
        <f ca="1"/>
        <v>1.0993769415236614</v>
      </c>
      <c r="AG568" s="66" t="str">
        <f t="array" ref="AG568">IF($AB568, Push(MMULT($I$44:$L$47,MMULT(Fetch(AV567),TRANSPOSE($I$44:$L$47))) + $N$44:$Q$47), "")</f>
        <v/>
      </c>
      <c r="AH568" s="62">
        <f t="array" aca="1" ref="AH568:AK568" ca="1">TRANSPOSE($G$38:$G$41 + MMULT($I$38:$L$41,TRANSPOSE(AC568:AF568)))</f>
        <v>1.3542564098268275</v>
      </c>
      <c r="AI568" s="62">
        <f ca="1"/>
        <v>1.2686885853306784</v>
      </c>
      <c r="AJ568" s="62">
        <f ca="1"/>
        <v>0.99263761670137329</v>
      </c>
      <c r="AK568" s="62">
        <f ca="1"/>
        <v>1.16971634596889</v>
      </c>
      <c r="AL568" s="66" t="str">
        <f t="array" ref="AL568">IF($AB568, Push(MINVERSE(MMULT($I$38:$L$41,MMULT(Fetch(AG568),TRANSPOSE($I$38:$L$41))) + $N$38:$Q$41)), "")</f>
        <v/>
      </c>
      <c r="AM568" s="62">
        <f t="array" aca="1" ref="AM568:AP568" ca="1">X568:AA568 - AH568:AK568</f>
        <v>-0.38808825916893963</v>
      </c>
      <c r="AN568" s="62">
        <f ca="1"/>
        <v>-0.61669069153040224</v>
      </c>
      <c r="AO568" s="62">
        <f ca="1"/>
        <v>4.1822878859455903E-2</v>
      </c>
      <c r="AP568" s="62">
        <f ca="1"/>
        <v>-7.6173893790014713E-2</v>
      </c>
      <c r="AQ568" s="66" t="str">
        <f t="array" ref="AQ568">IF($AB568, Push(MMULT(Fetch(AG568),MMULT(TRANSPOSE($I$38:$L$41),Fetch(AL568)))), "")</f>
        <v/>
      </c>
      <c r="AR568" s="62">
        <f t="array" aca="1" ref="AR568:AU568" ca="1">AC568:AF568 + TRANSPOSE(MMULT(IF($AB568,Fetch(AQ568),$L$61:$O$64),TRANSPOSE(AM568:AP568)))</f>
        <v>0.85193354371017449</v>
      </c>
      <c r="AS568" s="62">
        <f ca="1"/>
        <v>0.70005636542841954</v>
      </c>
      <c r="AT568" s="62">
        <f ca="1"/>
        <v>0.95021406829554167</v>
      </c>
      <c r="AU568" s="62">
        <f ca="1"/>
        <v>1.0840938998784577</v>
      </c>
      <c r="AV568" s="66" t="str">
        <f t="array" ref="AV568">IF($AB568, Push(Fetch(AG568) - MMULT(Fetch(AQ568),MMULT($I$38:$L$41,Fetch(AG568)))), "")</f>
        <v/>
      </c>
      <c r="AW568" s="97">
        <f t="array" aca="1" ref="AW568" ca="1">IF($AB568,LN(MDETERM(Fetch(AL568))),$J$65)   -   MMULT(AM568:AP568,MMULT(IF($AB568,Fetch(AL568),$G$61:$J$64),TRANSPOSE(AM568:AP568)))</f>
        <v>5.0730073040734265</v>
      </c>
    </row>
    <row r="569" spans="23:49" x14ac:dyDescent="0.15">
      <c r="W569" s="12">
        <f t="shared" si="16"/>
        <v>566</v>
      </c>
      <c r="X569" s="62">
        <f t="array" aca="1" ref="X569:AA569" ca="1">simulate!AE569:AH569</f>
        <v>1.0343293429201934</v>
      </c>
      <c r="Y569" s="62">
        <f ca="1"/>
        <v>0.79703807340159172</v>
      </c>
      <c r="Z569" s="62">
        <f ca="1"/>
        <v>0.97446475302019264</v>
      </c>
      <c r="AA569" s="62">
        <f ca="1"/>
        <v>1.0869140466296283</v>
      </c>
      <c r="AB569" s="98">
        <f t="shared" si="17"/>
        <v>0</v>
      </c>
      <c r="AC569" s="62">
        <f t="array" aca="1" ref="AC569:AF569" ca="1">TRANSPOSE($G$44:$G$47 + MMULT($I$44:$L$47,TRANSPOSE(AR568:AU568)))</f>
        <v>0.95745295552328979</v>
      </c>
      <c r="AD569" s="62">
        <f ca="1"/>
        <v>0.78605553341521739</v>
      </c>
      <c r="AE569" s="62">
        <f ca="1"/>
        <v>0.95015373132446623</v>
      </c>
      <c r="AF569" s="62">
        <f ca="1"/>
        <v>1.0272703673740837</v>
      </c>
      <c r="AG569" s="66" t="str">
        <f t="array" ref="AG569">IF($AB569, Push(MMULT($I$44:$L$47,MMULT(Fetch(AV568),TRANSPOSE($I$44:$L$47))) + $N$44:$Q$47), "")</f>
        <v/>
      </c>
      <c r="AH569" s="62">
        <f t="array" aca="1" ref="AH569:AK569" ca="1">TRANSPOSE($G$38:$G$41 + MMULT($I$38:$L$41,TRANSPOSE(AC569:AF569)))</f>
        <v>1.2186077360879881</v>
      </c>
      <c r="AI569" s="62">
        <f ca="1"/>
        <v>1.0363993589814893</v>
      </c>
      <c r="AJ569" s="62">
        <f ca="1"/>
        <v>0.97240867732620107</v>
      </c>
      <c r="AK569" s="62">
        <f ca="1"/>
        <v>1.0571426624668911</v>
      </c>
      <c r="AL569" s="66" t="str">
        <f t="array" ref="AL569">IF($AB569, Push(MINVERSE(MMULT($I$38:$L$41,MMULT(Fetch(AG569),TRANSPOSE($I$38:$L$41))) + $N$38:$Q$41)), "")</f>
        <v/>
      </c>
      <c r="AM569" s="62">
        <f t="array" aca="1" ref="AM569:AP569" ca="1">X569:AA569 - AH569:AK569</f>
        <v>-0.18427839316779471</v>
      </c>
      <c r="AN569" s="62">
        <f ca="1"/>
        <v>-0.23936128557989755</v>
      </c>
      <c r="AO569" s="62">
        <f ca="1"/>
        <v>2.056075693991577E-3</v>
      </c>
      <c r="AP569" s="62">
        <f ca="1"/>
        <v>2.9771384162737169E-2</v>
      </c>
      <c r="AQ569" s="66" t="str">
        <f t="array" ref="AQ569">IF($AB569, Push(MMULT(Fetch(AG569),MMULT(TRANSPOSE($I$38:$L$41),Fetch(AL569)))), "")</f>
        <v/>
      </c>
      <c r="AR569" s="62">
        <f t="array" aca="1" ref="AR569:AU569" ca="1">AC569:AF569 + TRANSPOSE(MMULT(IF($AB569,Fetch(AQ569),$L$61:$O$64),TRANSPOSE(AM569:AP569)))</f>
        <v>0.82988389828326814</v>
      </c>
      <c r="AS569" s="62">
        <f ca="1"/>
        <v>0.68713829300231422</v>
      </c>
      <c r="AT569" s="62">
        <f ca="1"/>
        <v>0.93339020413768548</v>
      </c>
      <c r="AU569" s="62">
        <f ca="1"/>
        <v>1.0361541100359273</v>
      </c>
      <c r="AV569" s="66" t="str">
        <f t="array" ref="AV569">IF($AB569, Push(Fetch(AG569) - MMULT(Fetch(AQ569),MMULT($I$38:$L$41,Fetch(AG569)))), "")</f>
        <v/>
      </c>
      <c r="AW569" s="97">
        <f t="array" aca="1" ref="AW569" ca="1">IF($AB569,LN(MDETERM(Fetch(AL569))),$J$65)   -   MMULT(AM569:AP569,MMULT(IF($AB569,Fetch(AL569),$G$61:$J$64),TRANSPOSE(AM569:AP569)))</f>
        <v>6.8969696959548941</v>
      </c>
    </row>
    <row r="570" spans="23:49" x14ac:dyDescent="0.15">
      <c r="W570" s="12">
        <f t="shared" si="16"/>
        <v>567</v>
      </c>
      <c r="X570" s="62">
        <f t="array" aca="1" ref="X570:AA570" ca="1">simulate!AE570:AH570</f>
        <v>0.75238159845528407</v>
      </c>
      <c r="Y570" s="62">
        <f ca="1"/>
        <v>1.2529842843816943</v>
      </c>
      <c r="Z570" s="62">
        <f ca="1"/>
        <v>0.29450634868676429</v>
      </c>
      <c r="AA570" s="62">
        <f ca="1"/>
        <v>1.0647296870302958</v>
      </c>
      <c r="AB570" s="98">
        <f t="shared" si="17"/>
        <v>0</v>
      </c>
      <c r="AC570" s="62">
        <f t="array" aca="1" ref="AC570:AF570" ca="1">TRANSPOSE($G$44:$G$47 + MMULT($I$44:$L$47,TRANSPOSE(AR569:AU569)))</f>
        <v>0.94013137734012053</v>
      </c>
      <c r="AD570" s="62">
        <f ca="1"/>
        <v>0.7695965217514219</v>
      </c>
      <c r="AE570" s="62">
        <f ca="1"/>
        <v>0.93030597065235943</v>
      </c>
      <c r="AF570" s="62">
        <f ca="1"/>
        <v>0.99666861546448815</v>
      </c>
      <c r="AG570" s="66" t="str">
        <f t="array" ref="AG570">IF($AB570, Push(MMULT($I$44:$L$47,MMULT(Fetch(AV569),TRANSPOSE($I$44:$L$47))) + $N$44:$Q$47), "")</f>
        <v/>
      </c>
      <c r="AH570" s="62">
        <f t="array" aca="1" ref="AH570:AK570" ca="1">TRANSPOSE($G$38:$G$41 + MMULT($I$38:$L$41,TRANSPOSE(AC570:AF570)))</f>
        <v>1.2031706203914887</v>
      </c>
      <c r="AI570" s="62">
        <f ca="1"/>
        <v>1.0147075162915649</v>
      </c>
      <c r="AJ570" s="62">
        <f ca="1"/>
        <v>0.94825083867033744</v>
      </c>
      <c r="AK570" s="62">
        <f ca="1"/>
        <v>1.0324668603420566</v>
      </c>
      <c r="AL570" s="66" t="str">
        <f t="array" ref="AL570">IF($AB570, Push(MINVERSE(MMULT($I$38:$L$41,MMULT(Fetch(AG570),TRANSPOSE($I$38:$L$41))) + $N$38:$Q$41)), "")</f>
        <v/>
      </c>
      <c r="AM570" s="62">
        <f t="array" aca="1" ref="AM570:AP570" ca="1">X570:AA570 - AH570:AK570</f>
        <v>-0.45078902193620463</v>
      </c>
      <c r="AN570" s="62">
        <f ca="1"/>
        <v>0.23827676809012943</v>
      </c>
      <c r="AO570" s="62">
        <f ca="1"/>
        <v>-0.65374448998357315</v>
      </c>
      <c r="AP570" s="62">
        <f ca="1"/>
        <v>3.226282668823921E-2</v>
      </c>
      <c r="AQ570" s="66" t="str">
        <f t="array" ref="AQ570">IF($AB570, Push(MMULT(Fetch(AG570),MMULT(TRANSPOSE($I$38:$L$41),Fetch(AL570)))), "")</f>
        <v/>
      </c>
      <c r="AR570" s="62">
        <f t="array" aca="1" ref="AR570:AU570" ca="1">AC570:AF570 + TRANSPOSE(MMULT(IF($AB570,Fetch(AQ570),$L$61:$O$64),TRANSPOSE(AM570:AP570)))</f>
        <v>0.60104707903084664</v>
      </c>
      <c r="AS570" s="62">
        <f ca="1"/>
        <v>1.1276294443833947</v>
      </c>
      <c r="AT570" s="62">
        <f ca="1"/>
        <v>0.64761292887303767</v>
      </c>
      <c r="AU570" s="62">
        <f ca="1"/>
        <v>0.74160459359190534</v>
      </c>
      <c r="AV570" s="66" t="str">
        <f t="array" ref="AV570">IF($AB570, Push(Fetch(AG570) - MMULT(Fetch(AQ570),MMULT($I$38:$L$41,Fetch(AG570)))), "")</f>
        <v/>
      </c>
      <c r="AW570" s="97">
        <f t="array" aca="1" ref="AW570" ca="1">IF($AB570,LN(MDETERM(Fetch(AL570))),$J$65)   -   MMULT(AM570:AP570,MMULT(IF($AB570,Fetch(AL570),$G$61:$J$64),TRANSPOSE(AM570:AP570)))</f>
        <v>3.6454889529286776</v>
      </c>
    </row>
    <row r="571" spans="23:49" x14ac:dyDescent="0.15">
      <c r="W571" s="12">
        <f t="shared" si="16"/>
        <v>568</v>
      </c>
      <c r="X571" s="62">
        <f t="array" aca="1" ref="X571:AA571" ca="1">simulate!AE571:AH571</f>
        <v>1.5726934647419233</v>
      </c>
      <c r="Y571" s="62">
        <f ca="1"/>
        <v>0.80192565518211056</v>
      </c>
      <c r="Z571" s="62">
        <f ca="1"/>
        <v>1.0352231212178393</v>
      </c>
      <c r="AA571" s="62">
        <f ca="1"/>
        <v>1.3126243417620989</v>
      </c>
      <c r="AB571" s="98">
        <f t="shared" si="17"/>
        <v>0</v>
      </c>
      <c r="AC571" s="62">
        <f t="array" aca="1" ref="AC571:AF571" ca="1">TRANSPOSE($G$44:$G$47 + MMULT($I$44:$L$47,TRANSPOSE(AR570:AU570)))</f>
        <v>0.84723378572229469</v>
      </c>
      <c r="AD571" s="62">
        <f ca="1"/>
        <v>0.90708115605529904</v>
      </c>
      <c r="AE571" s="62">
        <f ca="1"/>
        <v>0.78760270201223637</v>
      </c>
      <c r="AF571" s="62">
        <f ca="1"/>
        <v>0.81155002702456813</v>
      </c>
      <c r="AG571" s="66" t="str">
        <f t="array" ref="AG571">IF($AB571, Push(MMULT($I$44:$L$47,MMULT(Fetch(AV570),TRANSPOSE($I$44:$L$47))) + $N$44:$Q$47), "")</f>
        <v/>
      </c>
      <c r="AH571" s="62">
        <f t="array" aca="1" ref="AH571:AK571" ca="1">TRANSPOSE($G$38:$G$41 + MMULT($I$38:$L$41,TRANSPOSE(AC571:AF571)))</f>
        <v>1.091312233137183</v>
      </c>
      <c r="AI571" s="62">
        <f ca="1"/>
        <v>1.1002146984599241</v>
      </c>
      <c r="AJ571" s="62">
        <f ca="1"/>
        <v>0.71877239489294742</v>
      </c>
      <c r="AK571" s="62">
        <f ca="1"/>
        <v>0.93407494652477552</v>
      </c>
      <c r="AL571" s="66" t="str">
        <f t="array" ref="AL571">IF($AB571, Push(MINVERSE(MMULT($I$38:$L$41,MMULT(Fetch(AG571),TRANSPOSE($I$38:$L$41))) + $N$38:$Q$41)), "")</f>
        <v/>
      </c>
      <c r="AM571" s="62">
        <f t="array" aca="1" ref="AM571:AP571" ca="1">X571:AA571 - AH571:AK571</f>
        <v>0.48138123160474033</v>
      </c>
      <c r="AN571" s="62">
        <f ca="1"/>
        <v>-0.29828904327781358</v>
      </c>
      <c r="AO571" s="62">
        <f ca="1"/>
        <v>0.31645072632489191</v>
      </c>
      <c r="AP571" s="62">
        <f ca="1"/>
        <v>0.37854939523732334</v>
      </c>
      <c r="AQ571" s="66" t="str">
        <f t="array" ref="AQ571">IF($AB571, Push(MMULT(Fetch(AG571),MMULT(TRANSPOSE($I$38:$L$41),Fetch(AL571)))), "")</f>
        <v/>
      </c>
      <c r="AR571" s="62">
        <f t="array" aca="1" ref="AR571:AU571" ca="1">AC571:AF571 + TRANSPOSE(MMULT(IF($AB571,Fetch(AQ571),$L$61:$O$64),TRANSPOSE(AM571:AP571)))</f>
        <v>1.0140552951097177</v>
      </c>
      <c r="AS571" s="62">
        <f ca="1"/>
        <v>0.66174969790894789</v>
      </c>
      <c r="AT571" s="62">
        <f ca="1"/>
        <v>1.3026082000078414</v>
      </c>
      <c r="AU571" s="62">
        <f ca="1"/>
        <v>1.0722970594437409</v>
      </c>
      <c r="AV571" s="66" t="str">
        <f t="array" ref="AV571">IF($AB571, Push(Fetch(AG571) - MMULT(Fetch(AQ571),MMULT($I$38:$L$41,Fetch(AG571)))), "")</f>
        <v/>
      </c>
      <c r="AW571" s="97">
        <f t="array" aca="1" ref="AW571" ca="1">IF($AB571,LN(MDETERM(Fetch(AL571))),$J$65)   -   MMULT(AM571:AP571,MMULT(IF($AB571,Fetch(AL571),$G$61:$J$64),TRANSPOSE(AM571:AP571)))</f>
        <v>5.1348111299117347</v>
      </c>
    </row>
    <row r="572" spans="23:49" x14ac:dyDescent="0.15">
      <c r="W572" s="12">
        <f t="shared" si="16"/>
        <v>569</v>
      </c>
      <c r="X572" s="62">
        <f t="array" aca="1" ref="X572:AA572" ca="1">simulate!AE572:AH572</f>
        <v>2.1693681136422027</v>
      </c>
      <c r="Y572" s="62">
        <f ca="1"/>
        <v>0.76376854969222885</v>
      </c>
      <c r="Z572" s="62">
        <f ca="1"/>
        <v>1.6217060952502176</v>
      </c>
      <c r="AA572" s="62">
        <f ca="1"/>
        <v>1.4694800881512462</v>
      </c>
      <c r="AB572" s="98">
        <f t="shared" si="17"/>
        <v>0</v>
      </c>
      <c r="AC572" s="62">
        <f t="array" aca="1" ref="AC572:AF572" ca="1">TRANSPOSE($G$44:$G$47 + MMULT($I$44:$L$47,TRANSPOSE(AR571:AU571)))</f>
        <v>1.0638595653952083</v>
      </c>
      <c r="AD572" s="62">
        <f ca="1"/>
        <v>0.84300060197612869</v>
      </c>
      <c r="AE572" s="62">
        <f ca="1"/>
        <v>1.1440480333224936</v>
      </c>
      <c r="AF572" s="62">
        <f ca="1"/>
        <v>1.0831778435931187</v>
      </c>
      <c r="AG572" s="66" t="str">
        <f t="array" ref="AG572">IF($AB572, Push(MMULT($I$44:$L$47,MMULT(Fetch(AV571),TRANSPOSE($I$44:$L$47))) + $N$44:$Q$47), "")</f>
        <v/>
      </c>
      <c r="AH572" s="62">
        <f t="array" aca="1" ref="AH572:AK572" ca="1">TRANSPOSE($G$38:$G$41 + MMULT($I$38:$L$41,TRANSPOSE(AC572:AF572)))</f>
        <v>1.3991220305300167</v>
      </c>
      <c r="AI572" s="62">
        <f ca="1"/>
        <v>1.0868214543170689</v>
      </c>
      <c r="AJ572" s="62">
        <f ca="1"/>
        <v>1.0205743889675623</v>
      </c>
      <c r="AK572" s="62">
        <f ca="1"/>
        <v>1.1907017120609682</v>
      </c>
      <c r="AL572" s="66" t="str">
        <f t="array" ref="AL572">IF($AB572, Push(MINVERSE(MMULT($I$38:$L$41,MMULT(Fetch(AG572),TRANSPOSE($I$38:$L$41))) + $N$38:$Q$41)), "")</f>
        <v/>
      </c>
      <c r="AM572" s="62">
        <f t="array" aca="1" ref="AM572:AP572" ca="1">X572:AA572 - AH572:AK572</f>
        <v>0.77024608311218601</v>
      </c>
      <c r="AN572" s="62">
        <f ca="1"/>
        <v>-0.32305290462484004</v>
      </c>
      <c r="AO572" s="62">
        <f ca="1"/>
        <v>0.60113170628265533</v>
      </c>
      <c r="AP572" s="62">
        <f ca="1"/>
        <v>0.278778376090278</v>
      </c>
      <c r="AQ572" s="66" t="str">
        <f t="array" ref="AQ572">IF($AB572, Push(MMULT(Fetch(AG572),MMULT(TRANSPOSE($I$38:$L$41),Fetch(AL572)))), "")</f>
        <v/>
      </c>
      <c r="AR572" s="62">
        <f t="array" aca="1" ref="AR572:AU572" ca="1">AC572:AF572 + TRANSPOSE(MMULT(IF($AB572,Fetch(AQ572),$L$61:$O$64),TRANSPOSE(AM572:AP572)))</f>
        <v>1.4520924661978136</v>
      </c>
      <c r="AS572" s="62">
        <f ca="1"/>
        <v>0.45366018728418173</v>
      </c>
      <c r="AT572" s="62">
        <f ca="1"/>
        <v>1.7493299681377663</v>
      </c>
      <c r="AU572" s="62">
        <f ca="1"/>
        <v>1.4259608861335231</v>
      </c>
      <c r="AV572" s="66" t="str">
        <f t="array" ref="AV572">IF($AB572, Push(Fetch(AG572) - MMULT(Fetch(AQ572),MMULT($I$38:$L$41,Fetch(AG572)))), "")</f>
        <v/>
      </c>
      <c r="AW572" s="97">
        <f t="array" aca="1" ref="AW572" ca="1">IF($AB572,LN(MDETERM(Fetch(AL572))),$J$65)   -   MMULT(AM572:AP572,MMULT(IF($AB572,Fetch(AL572),$G$61:$J$64),TRANSPOSE(AM572:AP572)))</f>
        <v>2.3277263001910162</v>
      </c>
    </row>
    <row r="573" spans="23:49" x14ac:dyDescent="0.15">
      <c r="W573" s="12">
        <f t="shared" si="16"/>
        <v>570</v>
      </c>
      <c r="X573" s="62">
        <f t="array" aca="1" ref="X573:AA573" ca="1">simulate!AE573:AH573</f>
        <v>0.79691597936240544</v>
      </c>
      <c r="Y573" s="62">
        <f ca="1"/>
        <v>0.96510495337751334</v>
      </c>
      <c r="Z573" s="62">
        <f ca="1"/>
        <v>1.6812613163316683</v>
      </c>
      <c r="AA573" s="62">
        <f ca="1"/>
        <v>1.4232643028130003</v>
      </c>
      <c r="AB573" s="98">
        <f t="shared" si="17"/>
        <v>0</v>
      </c>
      <c r="AC573" s="62">
        <f t="array" aca="1" ref="AC573:AF573" ca="1">TRANSPOSE($G$44:$G$47 + MMULT($I$44:$L$47,TRANSPOSE(AR572:AU572)))</f>
        <v>1.3184317779309558</v>
      </c>
      <c r="AD573" s="62">
        <f ca="1"/>
        <v>0.89302227217581354</v>
      </c>
      <c r="AE573" s="62">
        <f ca="1"/>
        <v>1.4350460588460487</v>
      </c>
      <c r="AF573" s="62">
        <f ca="1"/>
        <v>1.352949924296271</v>
      </c>
      <c r="AG573" s="66" t="str">
        <f t="array" ref="AG573">IF($AB573, Push(MMULT($I$44:$L$47,MMULT(Fetch(AV572),TRANSPOSE($I$44:$L$47))) + $N$44:$Q$47), "")</f>
        <v/>
      </c>
      <c r="AH573" s="62">
        <f t="array" aca="1" ref="AH573:AK573" ca="1">TRANSPOSE($G$38:$G$41 + MMULT($I$38:$L$41,TRANSPOSE(AC573:AF573)))</f>
        <v>1.686927123774872</v>
      </c>
      <c r="AI573" s="62">
        <f ca="1"/>
        <v>1.2032464555576201</v>
      </c>
      <c r="AJ573" s="62">
        <f ca="1"/>
        <v>1.2982437606779538</v>
      </c>
      <c r="AK573" s="62">
        <f ca="1"/>
        <v>1.4171507630036526</v>
      </c>
      <c r="AL573" s="66" t="str">
        <f t="array" ref="AL573">IF($AB573, Push(MINVERSE(MMULT($I$38:$L$41,MMULT(Fetch(AG573),TRANSPOSE($I$38:$L$41))) + $N$38:$Q$41)), "")</f>
        <v/>
      </c>
      <c r="AM573" s="62">
        <f t="array" aca="1" ref="AM573:AP573" ca="1">X573:AA573 - AH573:AK573</f>
        <v>-0.89001114441246654</v>
      </c>
      <c r="AN573" s="62">
        <f ca="1"/>
        <v>-0.23814150218010677</v>
      </c>
      <c r="AO573" s="62">
        <f ca="1"/>
        <v>0.38301755565371454</v>
      </c>
      <c r="AP573" s="62">
        <f ca="1"/>
        <v>6.1135398093477011E-3</v>
      </c>
      <c r="AQ573" s="66" t="str">
        <f t="array" ref="AQ573">IF($AB573, Push(MMULT(Fetch(AG573),MMULT(TRANSPOSE($I$38:$L$41),Fetch(AL573)))), "")</f>
        <v/>
      </c>
      <c r="AR573" s="62">
        <f t="array" aca="1" ref="AR573:AU573" ca="1">AC573:AF573 + TRANSPOSE(MMULT(IF($AB573,Fetch(AQ573),$L$61:$O$64),TRANSPOSE(AM573:AP573)))</f>
        <v>0.97065356961639149</v>
      </c>
      <c r="AS573" s="62">
        <f ca="1"/>
        <v>0.83332274900094949</v>
      </c>
      <c r="AT573" s="62">
        <f ca="1"/>
        <v>1.2107823288006743</v>
      </c>
      <c r="AU573" s="62">
        <f ca="1"/>
        <v>1.5062222400538938</v>
      </c>
      <c r="AV573" s="66" t="str">
        <f t="array" ref="AV573">IF($AB573, Push(Fetch(AG573) - MMULT(Fetch(AQ573),MMULT($I$38:$L$41,Fetch(AG573)))), "")</f>
        <v/>
      </c>
      <c r="AW573" s="97">
        <f t="array" aca="1" ref="AW573" ca="1">IF($AB573,LN(MDETERM(Fetch(AL573))),$J$65)   -   MMULT(AM573:AP573,MMULT(IF($AB573,Fetch(AL573),$G$61:$J$64),TRANSPOSE(AM573:AP573)))</f>
        <v>0.82809834211614053</v>
      </c>
    </row>
    <row r="574" spans="23:49" x14ac:dyDescent="0.15">
      <c r="W574" s="12">
        <f t="shared" si="16"/>
        <v>571</v>
      </c>
      <c r="X574" s="62">
        <f t="array" aca="1" ref="X574:AA574" ca="1">simulate!AE574:AH574</f>
        <v>1.8553031128057054</v>
      </c>
      <c r="Y574" s="62">
        <f ca="1"/>
        <v>1.7473160041732738</v>
      </c>
      <c r="Z574" s="62">
        <f ca="1"/>
        <v>1.1492687916552535</v>
      </c>
      <c r="AA574" s="62">
        <f ca="1"/>
        <v>1.5574077338022685</v>
      </c>
      <c r="AB574" s="98">
        <f t="shared" si="17"/>
        <v>0</v>
      </c>
      <c r="AC574" s="62">
        <f t="array" aca="1" ref="AC574:AF574" ca="1">TRANSPOSE($G$44:$G$47 + MMULT($I$44:$L$47,TRANSPOSE(AR573:AU573)))</f>
        <v>1.0801267360259743</v>
      </c>
      <c r="AD574" s="62">
        <f ca="1"/>
        <v>0.94591513960104123</v>
      </c>
      <c r="AE574" s="62">
        <f ca="1"/>
        <v>1.1834393700361692</v>
      </c>
      <c r="AF574" s="62">
        <f ca="1"/>
        <v>1.3127485552909448</v>
      </c>
      <c r="AG574" s="66" t="str">
        <f t="array" ref="AG574">IF($AB574, Push(MMULT($I$44:$L$47,MMULT(Fetch(AV573),TRANSPOSE($I$44:$L$47))) + $N$44:$Q$47), "")</f>
        <v/>
      </c>
      <c r="AH574" s="62">
        <f t="array" aca="1" ref="AH574:AK574" ca="1">TRANSPOSE($G$38:$G$41 + MMULT($I$38:$L$41,TRANSPOSE(AC574:AF574)))</f>
        <v>1.3650522365690292</v>
      </c>
      <c r="AI574" s="62">
        <f ca="1"/>
        <v>1.2175649159969724</v>
      </c>
      <c r="AJ574" s="62">
        <f ca="1"/>
        <v>1.1758512885123955</v>
      </c>
      <c r="AK574" s="62">
        <f ca="1"/>
        <v>1.3415158122226309</v>
      </c>
      <c r="AL574" s="66" t="str">
        <f t="array" ref="AL574">IF($AB574, Push(MINVERSE(MMULT($I$38:$L$41,MMULT(Fetch(AG574),TRANSPOSE($I$38:$L$41))) + $N$38:$Q$41)), "")</f>
        <v/>
      </c>
      <c r="AM574" s="62">
        <f t="array" aca="1" ref="AM574:AP574" ca="1">X574:AA574 - AH574:AK574</f>
        <v>0.49025087623667618</v>
      </c>
      <c r="AN574" s="62">
        <f ca="1"/>
        <v>0.52975108817630145</v>
      </c>
      <c r="AO574" s="62">
        <f ca="1"/>
        <v>-2.658249685714198E-2</v>
      </c>
      <c r="AP574" s="62">
        <f ca="1"/>
        <v>0.21589192157963755</v>
      </c>
      <c r="AQ574" s="66" t="str">
        <f t="array" ref="AQ574">IF($AB574, Push(MMULT(Fetch(AG574),MMULT(TRANSPOSE($I$38:$L$41),Fetch(AL574)))), "")</f>
        <v/>
      </c>
      <c r="AR574" s="62">
        <f t="array" aca="1" ref="AR574:AU574" ca="1">AC574:AF574 + TRANSPOSE(MMULT(IF($AB574,Fetch(AQ574),$L$61:$O$64),TRANSPOSE(AM574:AP574)))</f>
        <v>1.3312225744074535</v>
      </c>
      <c r="AS574" s="62">
        <f ca="1"/>
        <v>1.211016198100193</v>
      </c>
      <c r="AT574" s="62">
        <f ca="1"/>
        <v>1.4323281857809667</v>
      </c>
      <c r="AU574" s="62">
        <f ca="1"/>
        <v>1.3827799240819214</v>
      </c>
      <c r="AV574" s="66" t="str">
        <f t="array" ref="AV574">IF($AB574, Push(Fetch(AG574) - MMULT(Fetch(AQ574),MMULT($I$38:$L$41,Fetch(AG574)))), "")</f>
        <v/>
      </c>
      <c r="AW574" s="97">
        <f t="array" aca="1" ref="AW574" ca="1">IF($AB574,LN(MDETERM(Fetch(AL574))),$J$65)   -   MMULT(AM574:AP574,MMULT(IF($AB574,Fetch(AL574),$G$61:$J$64),TRANSPOSE(AM574:AP574)))</f>
        <v>5.1273555293155484</v>
      </c>
    </row>
    <row r="575" spans="23:49" x14ac:dyDescent="0.15">
      <c r="W575" s="12">
        <f t="shared" si="16"/>
        <v>572</v>
      </c>
      <c r="X575" s="62">
        <f t="array" aca="1" ref="X575:AA575" ca="1">simulate!AE575:AH575</f>
        <v>1.1838829864733214</v>
      </c>
      <c r="Y575" s="62">
        <f ca="1"/>
        <v>1.4352065700140855</v>
      </c>
      <c r="Z575" s="62">
        <f ca="1"/>
        <v>2.0486156148282402</v>
      </c>
      <c r="AA575" s="62">
        <f ca="1"/>
        <v>1.4584984405261268</v>
      </c>
      <c r="AB575" s="98">
        <f t="shared" si="17"/>
        <v>0</v>
      </c>
      <c r="AC575" s="62">
        <f t="array" aca="1" ref="AC575:AF575" ca="1">TRANSPOSE($G$44:$G$47 + MMULT($I$44:$L$47,TRANSPOSE(AR574:AU574)))</f>
        <v>1.3405946111968634</v>
      </c>
      <c r="AD575" s="62">
        <f ca="1"/>
        <v>1.2324394696286449</v>
      </c>
      <c r="AE575" s="62">
        <f ca="1"/>
        <v>1.3718111205315413</v>
      </c>
      <c r="AF575" s="62">
        <f ca="1"/>
        <v>1.3262635578456465</v>
      </c>
      <c r="AG575" s="66" t="str">
        <f t="array" ref="AG575">IF($AB575, Push(MMULT($I$44:$L$47,MMULT(Fetch(AV574),TRANSPOSE($I$44:$L$47))) + $N$44:$Q$47), "")</f>
        <v/>
      </c>
      <c r="AH575" s="62">
        <f t="array" aca="1" ref="AH575:AK575" ca="1">TRANSPOSE($G$38:$G$41 + MMULT($I$38:$L$41,TRANSPOSE(AC575:AF575)))</f>
        <v>1.6521436773628155</v>
      </c>
      <c r="AI575" s="62">
        <f ca="1"/>
        <v>1.5180994613147645</v>
      </c>
      <c r="AJ575" s="62">
        <f ca="1"/>
        <v>1.1614797713610274</v>
      </c>
      <c r="AK575" s="62">
        <f ca="1"/>
        <v>1.4540201612980843</v>
      </c>
      <c r="AL575" s="66" t="str">
        <f t="array" ref="AL575">IF($AB575, Push(MINVERSE(MMULT($I$38:$L$41,MMULT(Fetch(AG575),TRANSPOSE($I$38:$L$41))) + $N$38:$Q$41)), "")</f>
        <v/>
      </c>
      <c r="AM575" s="62">
        <f t="array" aca="1" ref="AM575:AP575" ca="1">X575:AA575 - AH575:AK575</f>
        <v>-0.46826069088949418</v>
      </c>
      <c r="AN575" s="62">
        <f ca="1"/>
        <v>-8.2892891300679006E-2</v>
      </c>
      <c r="AO575" s="62">
        <f ca="1"/>
        <v>0.88713584346721275</v>
      </c>
      <c r="AP575" s="62">
        <f ca="1"/>
        <v>4.4782792280424477E-3</v>
      </c>
      <c r="AQ575" s="66" t="str">
        <f t="array" ref="AQ575">IF($AB575, Push(MMULT(Fetch(AG575),MMULT(TRANSPOSE($I$38:$L$41),Fetch(AL575)))), "")</f>
        <v/>
      </c>
      <c r="AR575" s="62">
        <f t="array" aca="1" ref="AR575:AU575" ca="1">AC575:AF575 + TRANSPOSE(MMULT(IF($AB575,Fetch(AQ575),$L$61:$O$64),TRANSPOSE(AM575:AP575)))</f>
        <v>1.3359577722678144</v>
      </c>
      <c r="AS575" s="62">
        <f ca="1"/>
        <v>1.0817043365523553</v>
      </c>
      <c r="AT575" s="62">
        <f ca="1"/>
        <v>1.3650567588669635</v>
      </c>
      <c r="AU575" s="62">
        <f ca="1"/>
        <v>1.6869786415566614</v>
      </c>
      <c r="AV575" s="66" t="str">
        <f t="array" ref="AV575">IF($AB575, Push(Fetch(AG575) - MMULT(Fetch(AQ575),MMULT($I$38:$L$41,Fetch(AG575)))), "")</f>
        <v/>
      </c>
      <c r="AW575" s="97">
        <f t="array" aca="1" ref="AW575" ca="1">IF($AB575,LN(MDETERM(Fetch(AL575))),$J$65)   -   MMULT(AM575:AP575,MMULT(IF($AB575,Fetch(AL575),$G$61:$J$64),TRANSPOSE(AM575:AP575)))</f>
        <v>0.89001090592748344</v>
      </c>
    </row>
    <row r="576" spans="23:49" x14ac:dyDescent="0.15">
      <c r="W576" s="12">
        <f t="shared" si="16"/>
        <v>573</v>
      </c>
      <c r="X576" s="62">
        <f t="array" aca="1" ref="X576:AA576" ca="1">simulate!AE576:AH576</f>
        <v>1.567728325205445</v>
      </c>
      <c r="Y576" s="62">
        <f ca="1"/>
        <v>1.4488305148202796</v>
      </c>
      <c r="Z576" s="62">
        <f ca="1"/>
        <v>1.1370566556464627</v>
      </c>
      <c r="AA576" s="62">
        <f ca="1"/>
        <v>1.5718834535447777</v>
      </c>
      <c r="AB576" s="98">
        <f t="shared" si="17"/>
        <v>0</v>
      </c>
      <c r="AC576" s="62">
        <f t="array" aca="1" ref="AC576:AF576" ca="1">TRANSPOSE($G$44:$G$47 + MMULT($I$44:$L$47,TRANSPOSE(AR575:AU575)))</f>
        <v>1.3338447824455313</v>
      </c>
      <c r="AD576" s="62">
        <f ca="1"/>
        <v>1.1750685991622791</v>
      </c>
      <c r="AE576" s="62">
        <f ca="1"/>
        <v>1.3598402975016417</v>
      </c>
      <c r="AF576" s="62">
        <f ca="1"/>
        <v>1.4706540973874569</v>
      </c>
      <c r="AG576" s="66" t="str">
        <f t="array" ref="AG576">IF($AB576, Push(MMULT($I$44:$L$47,MMULT(Fetch(AV575),TRANSPOSE($I$44:$L$47))) + $N$44:$Q$47), "")</f>
        <v/>
      </c>
      <c r="AH576" s="62">
        <f t="array" aca="1" ref="AH576:AK576" ca="1">TRANSPOSE($G$38:$G$41 + MMULT($I$38:$L$41,TRANSPOSE(AC576:AF576)))</f>
        <v>1.601676039542169</v>
      </c>
      <c r="AI576" s="62">
        <f ca="1"/>
        <v>1.4970526252237257</v>
      </c>
      <c r="AJ576" s="62">
        <f ca="1"/>
        <v>1.3023746428000349</v>
      </c>
      <c r="AK576" s="62">
        <f ca="1"/>
        <v>1.4925894354029439</v>
      </c>
      <c r="AL576" s="66" t="str">
        <f t="array" ref="AL576">IF($AB576, Push(MINVERSE(MMULT($I$38:$L$41,MMULT(Fetch(AG576),TRANSPOSE($I$38:$L$41))) + $N$38:$Q$41)), "")</f>
        <v/>
      </c>
      <c r="AM576" s="62">
        <f t="array" aca="1" ref="AM576:AP576" ca="1">X576:AA576 - AH576:AK576</f>
        <v>-3.3947714336723944E-2</v>
      </c>
      <c r="AN576" s="62">
        <f ca="1"/>
        <v>-4.822211040344615E-2</v>
      </c>
      <c r="AO576" s="62">
        <f ca="1"/>
        <v>-0.16531798715357215</v>
      </c>
      <c r="AP576" s="62">
        <f ca="1"/>
        <v>7.9294018141833789E-2</v>
      </c>
      <c r="AQ576" s="66" t="str">
        <f t="array" ref="AQ576">IF($AB576, Push(MMULT(Fetch(AG576),MMULT(TRANSPOSE($I$38:$L$41),Fetch(AL576)))), "")</f>
        <v/>
      </c>
      <c r="AR576" s="62">
        <f t="array" aca="1" ref="AR576:AU576" ca="1">AC576:AF576 + TRANSPOSE(MMULT(IF($AB576,Fetch(AQ576),$L$61:$O$64),TRANSPOSE(AM576:AP576)))</f>
        <v>1.251573351245137</v>
      </c>
      <c r="AS576" s="62">
        <f ca="1"/>
        <v>1.2038867244817342</v>
      </c>
      <c r="AT576" s="62">
        <f ca="1"/>
        <v>1.3779162276472987</v>
      </c>
      <c r="AU576" s="62">
        <f ca="1"/>
        <v>1.4305196998747058</v>
      </c>
      <c r="AV576" s="66" t="str">
        <f t="array" ref="AV576">IF($AB576, Push(Fetch(AG576) - MMULT(Fetch(AQ576),MMULT($I$38:$L$41,Fetch(AG576)))), "")</f>
        <v/>
      </c>
      <c r="AW576" s="97">
        <f t="array" aca="1" ref="AW576" ca="1">IF($AB576,LN(MDETERM(Fetch(AL576))),$J$65)   -   MMULT(AM576:AP576,MMULT(IF($AB576,Fetch(AL576),$G$61:$J$64),TRANSPOSE(AM576:AP576)))</f>
        <v>7.0661133958290012</v>
      </c>
    </row>
    <row r="577" spans="23:49" x14ac:dyDescent="0.15">
      <c r="W577" s="12">
        <f t="shared" si="16"/>
        <v>574</v>
      </c>
      <c r="X577" s="62">
        <f t="array" aca="1" ref="X577:AA577" ca="1">simulate!AE577:AH577</f>
        <v>0.45550781671387491</v>
      </c>
      <c r="Y577" s="62">
        <f ca="1"/>
        <v>1.1302321944852201</v>
      </c>
      <c r="Z577" s="62">
        <f ca="1"/>
        <v>1.704411980289148</v>
      </c>
      <c r="AA577" s="62">
        <f ca="1"/>
        <v>1.7657069706769499</v>
      </c>
      <c r="AB577" s="98">
        <f t="shared" si="17"/>
        <v>0</v>
      </c>
      <c r="AC577" s="62">
        <f t="array" aca="1" ref="AC577:AF577" ca="1">TRANSPOSE($G$44:$G$47 + MMULT($I$44:$L$47,TRANSPOSE(AR576:AU576)))</f>
        <v>1.2949439002119922</v>
      </c>
      <c r="AD577" s="62">
        <f ca="1"/>
        <v>1.2110029977295069</v>
      </c>
      <c r="AE577" s="62">
        <f ca="1"/>
        <v>1.3426624021977702</v>
      </c>
      <c r="AF577" s="62">
        <f ca="1"/>
        <v>1.3388772023454898</v>
      </c>
      <c r="AG577" s="66" t="str">
        <f t="array" ref="AG577">IF($AB577, Push(MMULT($I$44:$L$47,MMULT(Fetch(AV576),TRANSPOSE($I$44:$L$47))) + $N$44:$Q$47), "")</f>
        <v/>
      </c>
      <c r="AH577" s="62">
        <f t="array" aca="1" ref="AH577:AK577" ca="1">TRANSPOSE($G$38:$G$41 + MMULT($I$38:$L$41,TRANSPOSE(AC577:AF577)))</f>
        <v>1.5984967481124728</v>
      </c>
      <c r="AI577" s="62">
        <f ca="1"/>
        <v>1.4924604642271844</v>
      </c>
      <c r="AJ577" s="62">
        <f ca="1"/>
        <v>1.1652203331329654</v>
      </c>
      <c r="AK577" s="62">
        <f ca="1"/>
        <v>1.4523117828392065</v>
      </c>
      <c r="AL577" s="66" t="str">
        <f t="array" ref="AL577">IF($AB577, Push(MINVERSE(MMULT($I$38:$L$41,MMULT(Fetch(AG577),TRANSPOSE($I$38:$L$41))) + $N$38:$Q$41)), "")</f>
        <v/>
      </c>
      <c r="AM577" s="62">
        <f t="array" aca="1" ref="AM577:AP577" ca="1">X577:AA577 - AH577:AK577</f>
        <v>-1.1429889313985979</v>
      </c>
      <c r="AN577" s="62">
        <f ca="1"/>
        <v>-0.36222826974196431</v>
      </c>
      <c r="AO577" s="62">
        <f ca="1"/>
        <v>0.53919164715618262</v>
      </c>
      <c r="AP577" s="62">
        <f ca="1"/>
        <v>0.31339518783774345</v>
      </c>
      <c r="AQ577" s="66" t="str">
        <f t="array" ref="AQ577">IF($AB577, Push(MMULT(Fetch(AG577),MMULT(TRANSPOSE($I$38:$L$41),Fetch(AL577)))), "")</f>
        <v/>
      </c>
      <c r="AR577" s="62">
        <f t="array" aca="1" ref="AR577:AU577" ca="1">AC577:AF577 + TRANSPOSE(MMULT(IF($AB577,Fetch(AQ577),$L$61:$O$64),TRANSPOSE(AM577:AP577)))</f>
        <v>0.78278095269406889</v>
      </c>
      <c r="AS577" s="62">
        <f ca="1"/>
        <v>1.1528949551724539</v>
      </c>
      <c r="AT577" s="62">
        <f ca="1"/>
        <v>1.2709995874521913</v>
      </c>
      <c r="AU577" s="62">
        <f ca="1"/>
        <v>1.6612581080976008</v>
      </c>
      <c r="AV577" s="66" t="str">
        <f t="array" ref="AV577">IF($AB577, Push(Fetch(AG577) - MMULT(Fetch(AQ577),MMULT($I$38:$L$41,Fetch(AG577)))), "")</f>
        <v/>
      </c>
      <c r="AW577" s="97">
        <f t="array" aca="1" ref="AW577" ca="1">IF($AB577,LN(MDETERM(Fetch(AL577))),$J$65)   -   MMULT(AM577:AP577,MMULT(IF($AB577,Fetch(AL577),$G$61:$J$64),TRANSPOSE(AM577:AP577)))</f>
        <v>-7.7417485311614715</v>
      </c>
    </row>
    <row r="578" spans="23:49" x14ac:dyDescent="0.15">
      <c r="W578" s="12">
        <f t="shared" si="16"/>
        <v>575</v>
      </c>
      <c r="X578" s="62">
        <f t="array" aca="1" ref="X578:AA578" ca="1">simulate!AE578:AH578</f>
        <v>0.51256339819571806</v>
      </c>
      <c r="Y578" s="62">
        <f ca="1"/>
        <v>0.21370947750764724</v>
      </c>
      <c r="Z578" s="62">
        <f ca="1"/>
        <v>2.9026953913740874</v>
      </c>
      <c r="AA578" s="62">
        <f ca="1"/>
        <v>1.3086471161166542</v>
      </c>
      <c r="AB578" s="98">
        <f t="shared" si="17"/>
        <v>0</v>
      </c>
      <c r="AC578" s="62">
        <f t="array" aca="1" ref="AC578:AF578" ca="1">TRANSPOSE($G$44:$G$47 + MMULT($I$44:$L$47,TRANSPOSE(AR577:AU577)))</f>
        <v>1.0376921901643379</v>
      </c>
      <c r="AD578" s="62">
        <f ca="1"/>
        <v>1.1079527237972697</v>
      </c>
      <c r="AE578" s="62">
        <f ca="1"/>
        <v>1.2774173214806357</v>
      </c>
      <c r="AF578" s="62">
        <f ca="1"/>
        <v>1.4199763496885447</v>
      </c>
      <c r="AG578" s="66" t="str">
        <f t="array" ref="AG578">IF($AB578, Push(MMULT($I$44:$L$47,MMULT(Fetch(AV577),TRANSPOSE($I$44:$L$47))) + $N$44:$Q$47), "")</f>
        <v/>
      </c>
      <c r="AH578" s="62">
        <f t="array" aca="1" ref="AH578:AK578" ca="1">TRANSPOSE($G$38:$G$41 + MMULT($I$38:$L$41,TRANSPOSE(AC578:AF578)))</f>
        <v>1.3553655514099543</v>
      </c>
      <c r="AI578" s="62">
        <f ca="1"/>
        <v>1.3401096848679876</v>
      </c>
      <c r="AJ578" s="62">
        <f ca="1"/>
        <v>1.1787145375017956</v>
      </c>
      <c r="AK578" s="62">
        <f ca="1"/>
        <v>1.5239089979010119</v>
      </c>
      <c r="AL578" s="66" t="str">
        <f t="array" ref="AL578">IF($AB578, Push(MINVERSE(MMULT($I$38:$L$41,MMULT(Fetch(AG578),TRANSPOSE($I$38:$L$41))) + $N$38:$Q$41)), "")</f>
        <v/>
      </c>
      <c r="AM578" s="62">
        <f t="array" aca="1" ref="AM578:AP578" ca="1">X578:AA578 - AH578:AK578</f>
        <v>-0.84280215321423624</v>
      </c>
      <c r="AN578" s="62">
        <f ca="1"/>
        <v>-1.1264002073603403</v>
      </c>
      <c r="AO578" s="62">
        <f ca="1"/>
        <v>1.7239808538722918</v>
      </c>
      <c r="AP578" s="62">
        <f ca="1"/>
        <v>-0.21526188178435768</v>
      </c>
      <c r="AQ578" s="66" t="str">
        <f t="array" ref="AQ578">IF($AB578, Push(MMULT(Fetch(AG578),MMULT(TRANSPOSE($I$38:$L$41),Fetch(AL578)))), "")</f>
        <v/>
      </c>
      <c r="AR578" s="62">
        <f t="array" aca="1" ref="AR578:AU578" ca="1">AC578:AF578 + TRANSPOSE(MMULT(IF($AB578,Fetch(AQ578),$L$61:$O$64),TRANSPOSE(AM578:AP578)))</f>
        <v>0.9582140959734059</v>
      </c>
      <c r="AS578" s="62">
        <f ca="1"/>
        <v>0.20821001366266711</v>
      </c>
      <c r="AT578" s="62">
        <f ca="1"/>
        <v>1.2627162572907629</v>
      </c>
      <c r="AU578" s="62">
        <f ca="1"/>
        <v>2.0362628375633953</v>
      </c>
      <c r="AV578" s="66" t="str">
        <f t="array" ref="AV578">IF($AB578, Push(Fetch(AG578) - MMULT(Fetch(AQ578),MMULT($I$38:$L$41,Fetch(AG578)))), "")</f>
        <v/>
      </c>
      <c r="AW578" s="97">
        <f t="array" aca="1" ref="AW578" ca="1">IF($AB578,LN(MDETERM(Fetch(AL578))),$J$65)   -   MMULT(AM578:AP578,MMULT(IF($AB578,Fetch(AL578),$G$61:$J$64),TRANSPOSE(AM578:AP578)))</f>
        <v>-11.546101799237659</v>
      </c>
    </row>
    <row r="579" spans="23:49" x14ac:dyDescent="0.15">
      <c r="W579" s="12">
        <f t="shared" si="16"/>
        <v>576</v>
      </c>
      <c r="X579" s="62">
        <f t="array" aca="1" ref="X579:AA579" ca="1">simulate!AE579:AH579</f>
        <v>1.1600643612003549</v>
      </c>
      <c r="Y579" s="62">
        <f ca="1"/>
        <v>0.87246254493180209</v>
      </c>
      <c r="Z579" s="62">
        <f ca="1"/>
        <v>1.3104790618465569</v>
      </c>
      <c r="AA579" s="62">
        <f ca="1"/>
        <v>0.80533343747557129</v>
      </c>
      <c r="AB579" s="98">
        <f t="shared" si="17"/>
        <v>0</v>
      </c>
      <c r="AC579" s="62">
        <f t="array" aca="1" ref="AC579:AF579" ca="1">TRANSPOSE($G$44:$G$47 + MMULT($I$44:$L$47,TRANSPOSE(AR578:AU578)))</f>
        <v>1.010065566914629</v>
      </c>
      <c r="AD579" s="62">
        <f ca="1"/>
        <v>0.65170386035419436</v>
      </c>
      <c r="AE579" s="62">
        <f ca="1"/>
        <v>1.1875503360024304</v>
      </c>
      <c r="AF579" s="62">
        <f ca="1"/>
        <v>1.5623464781065006</v>
      </c>
      <c r="AG579" s="66" t="str">
        <f t="array" ref="AG579">IF($AB579, Push(MMULT($I$44:$L$47,MMULT(Fetch(AV578),TRANSPOSE($I$44:$L$47))) + $N$44:$Q$47), "")</f>
        <v/>
      </c>
      <c r="AH579" s="62">
        <f t="array" aca="1" ref="AH579:AK579" ca="1">TRANSPOSE($G$38:$G$41 + MMULT($I$38:$L$41,TRANSPOSE(AC579:AF579)))</f>
        <v>1.2621636220010188</v>
      </c>
      <c r="AI579" s="62">
        <f ca="1"/>
        <v>0.98330096089183927</v>
      </c>
      <c r="AJ579" s="62">
        <f ca="1"/>
        <v>1.4686081180238388</v>
      </c>
      <c r="AK579" s="62">
        <f ca="1"/>
        <v>1.3926297875475198</v>
      </c>
      <c r="AL579" s="66" t="str">
        <f t="array" ref="AL579">IF($AB579, Push(MINVERSE(MMULT($I$38:$L$41,MMULT(Fetch(AG579),TRANSPOSE($I$38:$L$41))) + $N$38:$Q$41)), "")</f>
        <v/>
      </c>
      <c r="AM579" s="62">
        <f t="array" aca="1" ref="AM579:AP579" ca="1">X579:AA579 - AH579:AK579</f>
        <v>-0.10209926080066389</v>
      </c>
      <c r="AN579" s="62">
        <f ca="1"/>
        <v>-0.11083841596003718</v>
      </c>
      <c r="AO579" s="62">
        <f ca="1"/>
        <v>-0.1581290561772819</v>
      </c>
      <c r="AP579" s="62">
        <f ca="1"/>
        <v>-0.58729635007194847</v>
      </c>
      <c r="AQ579" s="66" t="str">
        <f t="array" ref="AQ579">IF($AB579, Push(MMULT(Fetch(AG579),MMULT(TRANSPOSE($I$38:$L$41),Fetch(AL579)))), "")</f>
        <v/>
      </c>
      <c r="AR579" s="62">
        <f t="array" aca="1" ref="AR579:AU579" ca="1">AC579:AF579 + TRANSPOSE(MMULT(IF($AB579,Fetch(AQ579),$L$61:$O$64),TRANSPOSE(AM579:AP579)))</f>
        <v>1.0383285794319281</v>
      </c>
      <c r="AS579" s="62">
        <f ca="1"/>
        <v>0.52286637602437769</v>
      </c>
      <c r="AT579" s="62">
        <f ca="1"/>
        <v>0.75092378222433287</v>
      </c>
      <c r="AU579" s="62">
        <f ca="1"/>
        <v>1.2917508175120735</v>
      </c>
      <c r="AV579" s="66" t="str">
        <f t="array" ref="AV579">IF($AB579, Push(Fetch(AG579) - MMULT(Fetch(AQ579),MMULT($I$38:$L$41,Fetch(AG579)))), "")</f>
        <v/>
      </c>
      <c r="AW579" s="97">
        <f t="array" aca="1" ref="AW579" ca="1">IF($AB579,LN(MDETERM(Fetch(AL579))),$J$65)   -   MMULT(AM579:AP579,MMULT(IF($AB579,Fetch(AL579),$G$61:$J$64),TRANSPOSE(AM579:AP579)))</f>
        <v>3.483822974390927</v>
      </c>
    </row>
    <row r="580" spans="23:49" x14ac:dyDescent="0.15">
      <c r="W580" s="12">
        <f t="shared" si="16"/>
        <v>577</v>
      </c>
      <c r="X580" s="62">
        <f t="array" aca="1" ref="X580:AA580" ca="1">simulate!AE580:AH580</f>
        <v>1.057752525819162</v>
      </c>
      <c r="Y580" s="62">
        <f ca="1"/>
        <v>1.7712616676563502</v>
      </c>
      <c r="Z580" s="62">
        <f ca="1"/>
        <v>0.14921213067241756</v>
      </c>
      <c r="AA580" s="62">
        <f ca="1"/>
        <v>0.73661392134879056</v>
      </c>
      <c r="AB580" s="98">
        <f t="shared" si="17"/>
        <v>0</v>
      </c>
      <c r="AC580" s="62">
        <f t="array" aca="1" ref="AC580:AF580" ca="1">TRANSPOSE($G$44:$G$47 + MMULT($I$44:$L$47,TRANSPOSE(AR579:AU579)))</f>
        <v>1.0276905145744826</v>
      </c>
      <c r="AD580" s="62">
        <f ca="1"/>
        <v>0.70591129882582238</v>
      </c>
      <c r="AE580" s="62">
        <f ca="1"/>
        <v>0.85775325064216401</v>
      </c>
      <c r="AF580" s="62">
        <f ca="1"/>
        <v>1.1034082141852326</v>
      </c>
      <c r="AG580" s="66" t="str">
        <f t="array" ref="AG580">IF($AB580, Push(MMULT($I$44:$L$47,MMULT(Fetch(AV579),TRANSPOSE($I$44:$L$47))) + $N$44:$Q$47), "")</f>
        <v/>
      </c>
      <c r="AH580" s="62">
        <f t="array" aca="1" ref="AH580:AK580" ca="1">TRANSPOSE($G$38:$G$41 + MMULT($I$38:$L$41,TRANSPOSE(AC580:AF580)))</f>
        <v>1.1926859268796934</v>
      </c>
      <c r="AI580" s="62">
        <f ca="1"/>
        <v>1.0311319877114826</v>
      </c>
      <c r="AJ580" s="62">
        <f ca="1"/>
        <v>1.1021927074851039</v>
      </c>
      <c r="AK580" s="62">
        <f ca="1"/>
        <v>0.96687830787586893</v>
      </c>
      <c r="AL580" s="66" t="str">
        <f t="array" ref="AL580">IF($AB580, Push(MINVERSE(MMULT($I$38:$L$41,MMULT(Fetch(AG580),TRANSPOSE($I$38:$L$41))) + $N$38:$Q$41)), "")</f>
        <v/>
      </c>
      <c r="AM580" s="62">
        <f t="array" aca="1" ref="AM580:AP580" ca="1">X580:AA580 - AH580:AK580</f>
        <v>-0.13493340106053142</v>
      </c>
      <c r="AN580" s="62">
        <f ca="1"/>
        <v>0.74012967994486756</v>
      </c>
      <c r="AO580" s="62">
        <f ca="1"/>
        <v>-0.95298057681268633</v>
      </c>
      <c r="AP580" s="62">
        <f ca="1"/>
        <v>-0.23026438652707837</v>
      </c>
      <c r="AQ580" s="66" t="str">
        <f t="array" ref="AQ580">IF($AB580, Push(MMULT(Fetch(AG580),MMULT(TRANSPOSE($I$38:$L$41),Fetch(AL580)))), "")</f>
        <v/>
      </c>
      <c r="AR580" s="62">
        <f t="array" aca="1" ref="AR580:AU580" ca="1">AC580:AF580 + TRANSPOSE(MMULT(IF($AB580,Fetch(AQ580),$L$61:$O$64),TRANSPOSE(AM580:AP580)))</f>
        <v>0.8948973249991703</v>
      </c>
      <c r="AS580" s="62">
        <f ca="1"/>
        <v>1.305755571864696</v>
      </c>
      <c r="AT580" s="62">
        <f ca="1"/>
        <v>0.40302583725208313</v>
      </c>
      <c r="AU580" s="62">
        <f ca="1"/>
        <v>0.63944527795381889</v>
      </c>
      <c r="AV580" s="66" t="str">
        <f t="array" ref="AV580">IF($AB580, Push(Fetch(AG580) - MMULT(Fetch(AQ580),MMULT($I$38:$L$41,Fetch(AG580)))), "")</f>
        <v/>
      </c>
      <c r="AW580" s="97">
        <f t="array" aca="1" ref="AW580" ca="1">IF($AB580,LN(MDETERM(Fetch(AL580))),$J$65)   -   MMULT(AM580:AP580,MMULT(IF($AB580,Fetch(AL580),$G$61:$J$64),TRANSPOSE(AM580:AP580)))</f>
        <v>1.9548000530715957</v>
      </c>
    </row>
    <row r="581" spans="23:49" x14ac:dyDescent="0.15">
      <c r="W581" s="12">
        <f t="shared" ref="W581:W602" si="18">W580+1</f>
        <v>578</v>
      </c>
      <c r="X581" s="62">
        <f t="array" aca="1" ref="X581:AA581" ca="1">simulate!AE581:AH581</f>
        <v>0.13598344388833017</v>
      </c>
      <c r="Y581" s="62">
        <f ca="1"/>
        <v>1.4417386267126187</v>
      </c>
      <c r="Z581" s="62">
        <f ca="1"/>
        <v>-0.60464651320714702</v>
      </c>
      <c r="AA581" s="62">
        <f ca="1"/>
        <v>0.50819506454674968</v>
      </c>
      <c r="AB581" s="98">
        <f t="shared" ref="AB581:AB602" si="19">($W581&lt;=$D$51) * 1</f>
        <v>0</v>
      </c>
      <c r="AC581" s="62">
        <f t="array" aca="1" ref="AC581:AF581" ca="1">TRANSPOSE($G$44:$G$47 + MMULT($I$44:$L$47,TRANSPOSE(AR580:AU580)))</f>
        <v>1.009976054464687</v>
      </c>
      <c r="AD581" s="62">
        <f ca="1"/>
        <v>1.0075231961197426</v>
      </c>
      <c r="AE581" s="62">
        <f ca="1"/>
        <v>0.69022654420180163</v>
      </c>
      <c r="AF581" s="62">
        <f ca="1"/>
        <v>0.74346610073344244</v>
      </c>
      <c r="AG581" s="66" t="str">
        <f t="array" ref="AG581">IF($AB581, Push(MMULT($I$44:$L$47,MMULT(Fetch(AV580),TRANSPOSE($I$44:$L$47))) + $N$44:$Q$47), "")</f>
        <v/>
      </c>
      <c r="AH581" s="62">
        <f t="array" aca="1" ref="AH581:AK581" ca="1">TRANSPOSE($G$38:$G$41 + MMULT($I$38:$L$41,TRANSPOSE(AC581:AF581)))</f>
        <v>1.1598420713995232</v>
      </c>
      <c r="AI581" s="62">
        <f ca="1"/>
        <v>1.2594438218718089</v>
      </c>
      <c r="AJ581" s="62">
        <f ca="1"/>
        <v>0.69572946336947039</v>
      </c>
      <c r="AK581" s="62">
        <f ca="1"/>
        <v>0.79226536501177947</v>
      </c>
      <c r="AL581" s="66" t="str">
        <f t="array" ref="AL581">IF($AB581, Push(MINVERSE(MMULT($I$38:$L$41,MMULT(Fetch(AG581),TRANSPOSE($I$38:$L$41))) + $N$38:$Q$41)), "")</f>
        <v/>
      </c>
      <c r="AM581" s="62">
        <f t="array" aca="1" ref="AM581:AP581" ca="1">X581:AA581 - AH581:AK581</f>
        <v>-1.0238586275111929</v>
      </c>
      <c r="AN581" s="62">
        <f ca="1"/>
        <v>0.18229480484080973</v>
      </c>
      <c r="AO581" s="62">
        <f ca="1"/>
        <v>-1.3003759765766174</v>
      </c>
      <c r="AP581" s="62">
        <f ca="1"/>
        <v>-0.28407030046502979</v>
      </c>
      <c r="AQ581" s="66" t="str">
        <f t="array" ref="AQ581">IF($AB581, Push(MMULT(Fetch(AG581),MMULT(TRANSPOSE($I$38:$L$41),Fetch(AL581)))), "")</f>
        <v/>
      </c>
      <c r="AR581" s="62">
        <f t="array" aca="1" ref="AR581:AU581" ca="1">AC581:AF581 + TRANSPOSE(MMULT(IF($AB581,Fetch(AQ581),$L$61:$O$64),TRANSPOSE(AM581:AP581)))</f>
        <v>0.31002351662606953</v>
      </c>
      <c r="AS581" s="62">
        <f ca="1"/>
        <v>1.5063766932434044</v>
      </c>
      <c r="AT581" s="62">
        <f ca="1"/>
        <v>-0.11088430347595957</v>
      </c>
      <c r="AU581" s="62">
        <f ca="1"/>
        <v>0.11203780196896429</v>
      </c>
      <c r="AV581" s="66" t="str">
        <f t="array" ref="AV581">IF($AB581, Push(Fetch(AG581) - MMULT(Fetch(AQ581),MMULT($I$38:$L$41,Fetch(AG581)))), "")</f>
        <v/>
      </c>
      <c r="AW581" s="97">
        <f t="array" aca="1" ref="AW581" ca="1">IF($AB581,LN(MDETERM(Fetch(AL581))),$J$65)   -   MMULT(AM581:AP581,MMULT(IF($AB581,Fetch(AL581),$G$61:$J$64),TRANSPOSE(AM581:AP581)))</f>
        <v>-5.1443884571446699</v>
      </c>
    </row>
    <row r="582" spans="23:49" x14ac:dyDescent="0.15">
      <c r="W582" s="12">
        <f t="shared" si="18"/>
        <v>579</v>
      </c>
      <c r="X582" s="62">
        <f t="array" aca="1" ref="X582:AA582" ca="1">simulate!AE582:AH582</f>
        <v>1.0708190672278297</v>
      </c>
      <c r="Y582" s="62">
        <f ca="1"/>
        <v>0.84052544166057108</v>
      </c>
      <c r="Z582" s="62">
        <f ca="1"/>
        <v>-0.47479162292972693</v>
      </c>
      <c r="AA582" s="62">
        <f ca="1"/>
        <v>0.87632973369283307</v>
      </c>
      <c r="AB582" s="98">
        <f t="shared" si="19"/>
        <v>0</v>
      </c>
      <c r="AC582" s="62">
        <f t="array" aca="1" ref="AC582:AF582" ca="1">TRANSPOSE($G$44:$G$47 + MMULT($I$44:$L$47,TRANSPOSE(AR581:AU581)))</f>
        <v>0.66186375458587521</v>
      </c>
      <c r="AD582" s="62">
        <f ca="1"/>
        <v>0.90731669069742771</v>
      </c>
      <c r="AE582" s="62">
        <f ca="1"/>
        <v>0.325564307064309</v>
      </c>
      <c r="AF582" s="62">
        <f ca="1"/>
        <v>0.36136282772717648</v>
      </c>
      <c r="AG582" s="66" t="str">
        <f t="array" ref="AG582">IF($AB582, Push(MMULT($I$44:$L$47,MMULT(Fetch(AV581),TRANSPOSE($I$44:$L$47))) + $N$44:$Q$47), "")</f>
        <v/>
      </c>
      <c r="AH582" s="62">
        <f t="array" aca="1" ref="AH582:AK582" ca="1">TRANSPOSE($G$38:$G$41 + MMULT($I$38:$L$41,TRANSPOSE(AC582:AF582)))</f>
        <v>0.7928831803054639</v>
      </c>
      <c r="AI582" s="62">
        <f ca="1"/>
        <v>1.0614322752629406</v>
      </c>
      <c r="AJ582" s="62">
        <f ca="1"/>
        <v>0.31399001941840521</v>
      </c>
      <c r="AK582" s="62">
        <f ca="1"/>
        <v>0.49124614290029084</v>
      </c>
      <c r="AL582" s="66" t="str">
        <f t="array" ref="AL582">IF($AB582, Push(MINVERSE(MMULT($I$38:$L$41,MMULT(Fetch(AG582),TRANSPOSE($I$38:$L$41))) + $N$38:$Q$41)), "")</f>
        <v/>
      </c>
      <c r="AM582" s="62">
        <f t="array" aca="1" ref="AM582:AP582" ca="1">X582:AA582 - AH582:AK582</f>
        <v>0.27793588692236582</v>
      </c>
      <c r="AN582" s="62">
        <f ca="1"/>
        <v>-0.22090683360236951</v>
      </c>
      <c r="AO582" s="62">
        <f ca="1"/>
        <v>-0.78878164234813219</v>
      </c>
      <c r="AP582" s="62">
        <f ca="1"/>
        <v>0.38508359079254223</v>
      </c>
      <c r="AQ582" s="66" t="str">
        <f t="array" ref="AQ582">IF($AB582, Push(MMULT(Fetch(AG582),MMULT(TRANSPOSE($I$38:$L$41),Fetch(AL582)))), "")</f>
        <v/>
      </c>
      <c r="AR582" s="62">
        <f t="array" aca="1" ref="AR582:AU582" ca="1">AC582:AF582 + TRANSPOSE(MMULT(IF($AB582,Fetch(AQ582),$L$61:$O$64),TRANSPOSE(AM582:AP582)))</f>
        <v>0.46950420077886584</v>
      </c>
      <c r="AS582" s="62">
        <f ca="1"/>
        <v>0.97465762318020543</v>
      </c>
      <c r="AT582" s="62">
        <f ca="1"/>
        <v>0.57472225272147526</v>
      </c>
      <c r="AU582" s="62">
        <f ca="1"/>
        <v>0.17389369120714307</v>
      </c>
      <c r="AV582" s="66" t="str">
        <f t="array" ref="AV582">IF($AB582, Push(Fetch(AG582) - MMULT(Fetch(AQ582),MMULT($I$38:$L$41,Fetch(AG582)))), "")</f>
        <v/>
      </c>
      <c r="AW582" s="97">
        <f t="array" aca="1" ref="AW582" ca="1">IF($AB582,LN(MDETERM(Fetch(AL582))),$J$65)   -   MMULT(AM582:AP582,MMULT(IF($AB582,Fetch(AL582),$G$61:$J$64),TRANSPOSE(AM582:AP582)))</f>
        <v>1.4100329773222313</v>
      </c>
    </row>
    <row r="583" spans="23:49" x14ac:dyDescent="0.15">
      <c r="W583" s="12">
        <f t="shared" si="18"/>
        <v>580</v>
      </c>
      <c r="X583" s="62">
        <f t="array" aca="1" ref="X583:AA583" ca="1">simulate!AE583:AH583</f>
        <v>1.1021862851099442</v>
      </c>
      <c r="Y583" s="62">
        <f ca="1"/>
        <v>8.8413406159231295E-2</v>
      </c>
      <c r="Z583" s="62">
        <f ca="1"/>
        <v>0.19457980025206478</v>
      </c>
      <c r="AA583" s="62">
        <f ca="1"/>
        <v>0.85799658448468508</v>
      </c>
      <c r="AB583" s="98">
        <f t="shared" si="19"/>
        <v>0</v>
      </c>
      <c r="AC583" s="62">
        <f t="array" aca="1" ref="AC583:AF583" ca="1">TRANSPOSE($G$44:$G$47 + MMULT($I$44:$L$47,TRANSPOSE(AR582:AU582)))</f>
        <v>0.72108199087823621</v>
      </c>
      <c r="AD583" s="62">
        <f ca="1"/>
        <v>0.75190876302258203</v>
      </c>
      <c r="AE583" s="62">
        <f ca="1"/>
        <v>0.63001989948122905</v>
      </c>
      <c r="AF583" s="62">
        <f ca="1"/>
        <v>0.4758987320216731</v>
      </c>
      <c r="AG583" s="66" t="str">
        <f t="array" ref="AG583">IF($AB583, Push(MMULT($I$44:$L$47,MMULT(Fetch(AV582),TRANSPOSE($I$44:$L$47))) + $N$44:$Q$47), "")</f>
        <v/>
      </c>
      <c r="AH583" s="62">
        <f t="array" aca="1" ref="AH583:AK583" ca="1">TRANSPOSE($G$38:$G$41 + MMULT($I$38:$L$41,TRANSPOSE(AC583:AF583)))</f>
        <v>1.0045484637672177</v>
      </c>
      <c r="AI583" s="62">
        <f ca="1"/>
        <v>0.89263907911277063</v>
      </c>
      <c r="AJ583" s="62">
        <f ca="1"/>
        <v>0.46325673491337421</v>
      </c>
      <c r="AK583" s="62">
        <f ca="1"/>
        <v>0.68591564995281673</v>
      </c>
      <c r="AL583" s="66" t="str">
        <f t="array" ref="AL583">IF($AB583, Push(MINVERSE(MMULT($I$38:$L$41,MMULT(Fetch(AG583),TRANSPOSE($I$38:$L$41))) + $N$38:$Q$41)), "")</f>
        <v/>
      </c>
      <c r="AM583" s="62">
        <f t="array" aca="1" ref="AM583:AP583" ca="1">X583:AA583 - AH583:AK583</f>
        <v>9.7637821342726472E-2</v>
      </c>
      <c r="AN583" s="62">
        <f ca="1"/>
        <v>-0.80422567295353931</v>
      </c>
      <c r="AO583" s="62">
        <f ca="1"/>
        <v>-0.26867693466130943</v>
      </c>
      <c r="AP583" s="62">
        <f ca="1"/>
        <v>0.17208093453186835</v>
      </c>
      <c r="AQ583" s="66" t="str">
        <f t="array" ref="AQ583">IF($AB583, Push(MMULT(Fetch(AG583),MMULT(TRANSPOSE($I$38:$L$41),Fetch(AL583)))), "")</f>
        <v/>
      </c>
      <c r="AR583" s="62">
        <f t="array" aca="1" ref="AR583:AU583" ca="1">AC583:AF583 + TRANSPOSE(MMULT(IF($AB583,Fetch(AQ583),$L$61:$O$64),TRANSPOSE(AM583:AP583)))</f>
        <v>0.53347273451371757</v>
      </c>
      <c r="AS583" s="62">
        <f ca="1"/>
        <v>0.36661837973081035</v>
      </c>
      <c r="AT583" s="62">
        <f ca="1"/>
        <v>0.83472222131273899</v>
      </c>
      <c r="AU583" s="62">
        <f ca="1"/>
        <v>0.42123446015928451</v>
      </c>
      <c r="AV583" s="66" t="str">
        <f t="array" ref="AV583">IF($AB583, Push(Fetch(AG583) - MMULT(Fetch(AQ583),MMULT($I$38:$L$41,Fetch(AG583)))), "")</f>
        <v/>
      </c>
      <c r="AW583" s="97">
        <f t="array" aca="1" ref="AW583" ca="1">IF($AB583,LN(MDETERM(Fetch(AL583))),$J$65)   -   MMULT(AM583:AP583,MMULT(IF($AB583,Fetch(AL583),$G$61:$J$64),TRANSPOSE(AM583:AP583)))</f>
        <v>1.6933964699902138</v>
      </c>
    </row>
    <row r="584" spans="23:49" x14ac:dyDescent="0.15">
      <c r="W584" s="12">
        <f t="shared" si="18"/>
        <v>581</v>
      </c>
      <c r="X584" s="62">
        <f t="array" aca="1" ref="X584:AA584" ca="1">simulate!AE584:AH584</f>
        <v>1.0254624169937741</v>
      </c>
      <c r="Y584" s="62">
        <f ca="1"/>
        <v>0.91858562509061004</v>
      </c>
      <c r="Z584" s="62">
        <f ca="1"/>
        <v>1.0250618325344576</v>
      </c>
      <c r="AA584" s="62">
        <f ca="1"/>
        <v>0.22984001592889342</v>
      </c>
      <c r="AB584" s="98">
        <f t="shared" si="19"/>
        <v>0</v>
      </c>
      <c r="AC584" s="62">
        <f t="array" aca="1" ref="AC584:AF584" ca="1">TRANSPOSE($G$44:$G$47 + MMULT($I$44:$L$47,TRANSPOSE(AR583:AU583)))</f>
        <v>0.69603917003111904</v>
      </c>
      <c r="AD584" s="62">
        <f ca="1"/>
        <v>0.48999236676021307</v>
      </c>
      <c r="AE584" s="62">
        <f ca="1"/>
        <v>0.71287603368450658</v>
      </c>
      <c r="AF584" s="62">
        <f ca="1"/>
        <v>0.61148634073382935</v>
      </c>
      <c r="AG584" s="66" t="str">
        <f t="array" ref="AG584">IF($AB584, Push(MMULT($I$44:$L$47,MMULT(Fetch(AV583),TRANSPOSE($I$44:$L$47))) + $N$44:$Q$47), "")</f>
        <v/>
      </c>
      <c r="AH584" s="62">
        <f t="array" aca="1" ref="AH584:AK584" ca="1">TRANSPOSE($G$38:$G$41 + MMULT($I$38:$L$41,TRANSPOSE(AC584:AF584)))</f>
        <v>1.0146621660071846</v>
      </c>
      <c r="AI584" s="62">
        <f ca="1"/>
        <v>0.6606377463851556</v>
      </c>
      <c r="AJ584" s="62">
        <f ca="1"/>
        <v>0.65860119335842127</v>
      </c>
      <c r="AK584" s="62">
        <f ca="1"/>
        <v>0.73480447600603971</v>
      </c>
      <c r="AL584" s="66" t="str">
        <f t="array" ref="AL584">IF($AB584, Push(MINVERSE(MMULT($I$38:$L$41,MMULT(Fetch(AG584),TRANSPOSE($I$38:$L$41))) + $N$38:$Q$41)), "")</f>
        <v/>
      </c>
      <c r="AM584" s="62">
        <f t="array" aca="1" ref="AM584:AP584" ca="1">X584:AA584 - AH584:AK584</f>
        <v>1.0800250986589433E-2</v>
      </c>
      <c r="AN584" s="62">
        <f ca="1"/>
        <v>0.25794787870545444</v>
      </c>
      <c r="AO584" s="62">
        <f ca="1"/>
        <v>0.36646063917603633</v>
      </c>
      <c r="AP584" s="62">
        <f ca="1"/>
        <v>-0.50496446007714635</v>
      </c>
      <c r="AQ584" s="66" t="str">
        <f t="array" ref="AQ584">IF($AB584, Push(MMULT(Fetch(AG584),MMULT(TRANSPOSE($I$38:$L$41),Fetch(AL584)))), "")</f>
        <v/>
      </c>
      <c r="AR584" s="62">
        <f t="array" aca="1" ref="AR584:AU584" ca="1">AC584:AF584 + TRANSPOSE(MMULT(IF($AB584,Fetch(AQ584),$L$61:$O$64),TRANSPOSE(AM584:AP584)))</f>
        <v>0.94661049539274433</v>
      </c>
      <c r="AS584" s="62">
        <f ca="1"/>
        <v>0.4581744345026032</v>
      </c>
      <c r="AT584" s="62">
        <f ca="1"/>
        <v>0.41356203366542554</v>
      </c>
      <c r="AU584" s="62">
        <f ca="1"/>
        <v>0.58635454705867607</v>
      </c>
      <c r="AV584" s="66" t="str">
        <f t="array" ref="AV584">IF($AB584, Push(Fetch(AG584) - MMULT(Fetch(AQ584),MMULT($I$38:$L$41,Fetch(AG584)))), "")</f>
        <v/>
      </c>
      <c r="AW584" s="97">
        <f t="array" aca="1" ref="AW584" ca="1">IF($AB584,LN(MDETERM(Fetch(AL584))),$J$65)   -   MMULT(AM584:AP584,MMULT(IF($AB584,Fetch(AL584),$G$61:$J$64),TRANSPOSE(AM584:AP584)))</f>
        <v>3.5529619125592258</v>
      </c>
    </row>
    <row r="585" spans="23:49" x14ac:dyDescent="0.15">
      <c r="W585" s="12">
        <f t="shared" si="18"/>
        <v>582</v>
      </c>
      <c r="X585" s="62">
        <f t="array" aca="1" ref="X585:AA585" ca="1">simulate!AE585:AH585</f>
        <v>0.61248053023739923</v>
      </c>
      <c r="Y585" s="62">
        <f ca="1"/>
        <v>1.2028456746813805</v>
      </c>
      <c r="Z585" s="62">
        <f ca="1"/>
        <v>-0.50773279643113978</v>
      </c>
      <c r="AA585" s="62">
        <f ca="1"/>
        <v>0.41769040825692294</v>
      </c>
      <c r="AB585" s="98">
        <f t="shared" si="19"/>
        <v>0</v>
      </c>
      <c r="AC585" s="62">
        <f t="array" aca="1" ref="AC585:AF585" ca="1">TRANSPOSE($G$44:$G$47 + MMULT($I$44:$L$47,TRANSPOSE(AR584:AU584)))</f>
        <v>0.91066916062571779</v>
      </c>
      <c r="AD585" s="62">
        <f ca="1"/>
        <v>0.55594223575584134</v>
      </c>
      <c r="AE585" s="62">
        <f ca="1"/>
        <v>0.55412804279923389</v>
      </c>
      <c r="AF585" s="62">
        <f ca="1"/>
        <v>0.65865497875600731</v>
      </c>
      <c r="AG585" s="66" t="str">
        <f t="array" ref="AG585">IF($AB585, Push(MMULT($I$44:$L$47,MMULT(Fetch(AV584),TRANSPOSE($I$44:$L$47))) + $N$44:$Q$47), "")</f>
        <v/>
      </c>
      <c r="AH585" s="62">
        <f t="array" aca="1" ref="AH585:AK585" ca="1">TRANSPOSE($G$38:$G$41 + MMULT($I$38:$L$41,TRANSPOSE(AC585:AF585)))</f>
        <v>1.0503284823856183</v>
      </c>
      <c r="AI585" s="62">
        <f ca="1"/>
        <v>0.84734621848165348</v>
      </c>
      <c r="AJ585" s="62">
        <f ca="1"/>
        <v>0.77069085811669935</v>
      </c>
      <c r="AK585" s="62">
        <f ca="1"/>
        <v>0.56408543640026654</v>
      </c>
      <c r="AL585" s="66" t="str">
        <f t="array" ref="AL585">IF($AB585, Push(MINVERSE(MMULT($I$38:$L$41,MMULT(Fetch(AG585),TRANSPOSE($I$38:$L$41))) + $N$38:$Q$41)), "")</f>
        <v/>
      </c>
      <c r="AM585" s="62">
        <f t="array" aca="1" ref="AM585:AP585" ca="1">X585:AA585 - AH585:AK585</f>
        <v>-0.43784795214821903</v>
      </c>
      <c r="AN585" s="62">
        <f ca="1"/>
        <v>0.355499456199727</v>
      </c>
      <c r="AO585" s="62">
        <f ca="1"/>
        <v>-1.2784236545478391</v>
      </c>
      <c r="AP585" s="62">
        <f ca="1"/>
        <v>-0.1463950281433436</v>
      </c>
      <c r="AQ585" s="66" t="str">
        <f t="array" ref="AQ585">IF($AB585, Push(MMULT(Fetch(AG585),MMULT(TRANSPOSE($I$38:$L$41),Fetch(AL585)))), "")</f>
        <v/>
      </c>
      <c r="AR585" s="62">
        <f t="array" aca="1" ref="AR585:AU585" ca="1">AC585:AF585 + TRANSPOSE(MMULT(IF($AB585,Fetch(AQ585),$L$61:$O$64),TRANSPOSE(AM585:AP585)))</f>
        <v>0.47924534435379318</v>
      </c>
      <c r="AS585" s="62">
        <f ca="1"/>
        <v>1.0741060931105584</v>
      </c>
      <c r="AT585" s="62">
        <f ca="1"/>
        <v>3.8230083592868835E-2</v>
      </c>
      <c r="AU585" s="62">
        <f ca="1"/>
        <v>8.7581325761765583E-2</v>
      </c>
      <c r="AV585" s="66" t="str">
        <f t="array" ref="AV585">IF($AB585, Push(Fetch(AG585) - MMULT(Fetch(AQ585),MMULT($I$38:$L$41,Fetch(AG585)))), "")</f>
        <v/>
      </c>
      <c r="AW585" s="97">
        <f t="array" aca="1" ref="AW585" ca="1">IF($AB585,LN(MDETERM(Fetch(AL585))),$J$65)   -   MMULT(AM585:AP585,MMULT(IF($AB585,Fetch(AL585),$G$61:$J$64),TRANSPOSE(AM585:AP585)))</f>
        <v>-0.95445661889453071</v>
      </c>
    </row>
    <row r="586" spans="23:49" x14ac:dyDescent="0.15">
      <c r="W586" s="12">
        <f t="shared" si="18"/>
        <v>583</v>
      </c>
      <c r="X586" s="62">
        <f t="array" aca="1" ref="X586:AA586" ca="1">simulate!AE586:AH586</f>
        <v>0.38692649032994858</v>
      </c>
      <c r="Y586" s="62">
        <f ca="1"/>
        <v>0.89948418575103206</v>
      </c>
      <c r="Z586" s="62">
        <f ca="1"/>
        <v>0.39907767758363488</v>
      </c>
      <c r="AA586" s="62">
        <f ca="1"/>
        <v>0.34747168395789296</v>
      </c>
      <c r="AB586" s="98">
        <f t="shared" si="19"/>
        <v>0</v>
      </c>
      <c r="AC586" s="62">
        <f t="array" aca="1" ref="AC586:AF586" ca="1">TRANSPOSE($G$44:$G$47 + MMULT($I$44:$L$47,TRANSPOSE(AR585:AU585)))</f>
        <v>0.69872317131831752</v>
      </c>
      <c r="AD586" s="62">
        <f ca="1"/>
        <v>0.72165977793299707</v>
      </c>
      <c r="AE586" s="62">
        <f ca="1"/>
        <v>0.34434038776289727</v>
      </c>
      <c r="AF586" s="62">
        <f ca="1"/>
        <v>0.34972612641767736</v>
      </c>
      <c r="AG586" s="66" t="str">
        <f t="array" ref="AG586">IF($AB586, Push(MMULT($I$44:$L$47,MMULT(Fetch(AV585),TRANSPOSE($I$44:$L$47))) + $N$44:$Q$47), "")</f>
        <v/>
      </c>
      <c r="AH586" s="62">
        <f t="array" aca="1" ref="AH586:AK586" ca="1">TRANSPOSE($G$38:$G$41 + MMULT($I$38:$L$41,TRANSPOSE(AC586:AF586)))</f>
        <v>0.84435608416241803</v>
      </c>
      <c r="AI586" s="62">
        <f ca="1"/>
        <v>0.90621836108716536</v>
      </c>
      <c r="AJ586" s="62">
        <f ca="1"/>
        <v>0.38729460334633659</v>
      </c>
      <c r="AK586" s="62">
        <f ca="1"/>
        <v>0.42643349851077245</v>
      </c>
      <c r="AL586" s="66" t="str">
        <f t="array" ref="AL586">IF($AB586, Push(MINVERSE(MMULT($I$38:$L$41,MMULT(Fetch(AG586),TRANSPOSE($I$38:$L$41))) + $N$38:$Q$41)), "")</f>
        <v/>
      </c>
      <c r="AM586" s="62">
        <f t="array" aca="1" ref="AM586:AP586" ca="1">X586:AA586 - AH586:AK586</f>
        <v>-0.45742959383246945</v>
      </c>
      <c r="AN586" s="62">
        <f ca="1"/>
        <v>-6.7341753361332968E-3</v>
      </c>
      <c r="AO586" s="62">
        <f ca="1"/>
        <v>1.1783074237298297E-2</v>
      </c>
      <c r="AP586" s="62">
        <f ca="1"/>
        <v>-7.8961814552879483E-2</v>
      </c>
      <c r="AQ586" s="66" t="str">
        <f t="array" ref="AQ586">IF($AB586, Push(MMULT(Fetch(AG586),MMULT(TRANSPOSE($I$38:$L$41),Fetch(AL586)))), "")</f>
        <v/>
      </c>
      <c r="AR586" s="62">
        <f t="array" aca="1" ref="AR586:AU586" ca="1">AC586:AF586 + TRANSPOSE(MMULT(IF($AB586,Fetch(AQ586),$L$61:$O$64),TRANSPOSE(AM586:AP586)))</f>
        <v>0.51010755523710027</v>
      </c>
      <c r="AS586" s="62">
        <f ca="1"/>
        <v>0.77946197886690383</v>
      </c>
      <c r="AT586" s="62">
        <f ca="1"/>
        <v>0.1291869705321127</v>
      </c>
      <c r="AU586" s="62">
        <f ca="1"/>
        <v>0.32524645039903982</v>
      </c>
      <c r="AV586" s="66" t="str">
        <f t="array" ref="AV586">IF($AB586, Push(Fetch(AG586) - MMULT(Fetch(AQ586),MMULT($I$38:$L$41,Fetch(AG586)))), "")</f>
        <v/>
      </c>
      <c r="AW586" s="97">
        <f t="array" aca="1" ref="AW586" ca="1">IF($AB586,LN(MDETERM(Fetch(AL586))),$J$65)   -   MMULT(AM586:AP586,MMULT(IF($AB586,Fetch(AL586),$G$61:$J$64),TRANSPOSE(AM586:AP586)))</f>
        <v>6.0275199549559284</v>
      </c>
    </row>
    <row r="587" spans="23:49" x14ac:dyDescent="0.15">
      <c r="W587" s="12">
        <f t="shared" si="18"/>
        <v>584</v>
      </c>
      <c r="X587" s="62">
        <f t="array" aca="1" ref="X587:AA587" ca="1">simulate!AE587:AH587</f>
        <v>0.40709771335718048</v>
      </c>
      <c r="Y587" s="62">
        <f ca="1"/>
        <v>0.15242502697440752</v>
      </c>
      <c r="Z587" s="62">
        <f ca="1"/>
        <v>0.2190016609936403</v>
      </c>
      <c r="AA587" s="62">
        <f ca="1"/>
        <v>0.28323402817266519</v>
      </c>
      <c r="AB587" s="98">
        <f t="shared" si="19"/>
        <v>0</v>
      </c>
      <c r="AC587" s="62">
        <f t="array" aca="1" ref="AC587:AF587" ca="1">TRANSPOSE($G$44:$G$47 + MMULT($I$44:$L$47,TRANSPOSE(AR586:AU586)))</f>
        <v>0.68968211679974067</v>
      </c>
      <c r="AD587" s="62">
        <f ca="1"/>
        <v>0.59791940419187073</v>
      </c>
      <c r="AE587" s="62">
        <f ca="1"/>
        <v>0.38299481729870011</v>
      </c>
      <c r="AF587" s="62">
        <f ca="1"/>
        <v>0.47336004786437241</v>
      </c>
      <c r="AG587" s="66" t="str">
        <f t="array" ref="AG587">IF($AB587, Push(MMULT($I$44:$L$47,MMULT(Fetch(AV586),TRANSPOSE($I$44:$L$47))) + $N$44:$Q$47), "")</f>
        <v/>
      </c>
      <c r="AH587" s="62">
        <f t="array" aca="1" ref="AH587:AK587" ca="1">TRANSPOSE($G$38:$G$41 + MMULT($I$38:$L$41,TRANSPOSE(AC587:AF587)))</f>
        <v>0.83387271301486643</v>
      </c>
      <c r="AI587" s="62">
        <f ca="1"/>
        <v>0.80947819162609669</v>
      </c>
      <c r="AJ587" s="62">
        <f ca="1"/>
        <v>0.53046789092550062</v>
      </c>
      <c r="AK587" s="62">
        <f ca="1"/>
        <v>0.47339923582243232</v>
      </c>
      <c r="AL587" s="66" t="str">
        <f t="array" ref="AL587">IF($AB587, Push(MINVERSE(MMULT($I$38:$L$41,MMULT(Fetch(AG587),TRANSPOSE($I$38:$L$41))) + $N$38:$Q$41)), "")</f>
        <v/>
      </c>
      <c r="AM587" s="62">
        <f t="array" aca="1" ref="AM587:AP587" ca="1">X587:AA587 - AH587:AK587</f>
        <v>-0.42677499965768595</v>
      </c>
      <c r="AN587" s="62">
        <f ca="1"/>
        <v>-0.65705316465168917</v>
      </c>
      <c r="AO587" s="62">
        <f ca="1"/>
        <v>-0.31146622993186035</v>
      </c>
      <c r="AP587" s="62">
        <f ca="1"/>
        <v>-0.19016520764976713</v>
      </c>
      <c r="AQ587" s="66" t="str">
        <f t="array" ref="AQ587">IF($AB587, Push(MMULT(Fetch(AG587),MMULT(TRANSPOSE($I$38:$L$41),Fetch(AL587)))), "")</f>
        <v/>
      </c>
      <c r="AR587" s="62">
        <f t="array" aca="1" ref="AR587:AU587" ca="1">AC587:AF587 + TRANSPOSE(MMULT(IF($AB587,Fetch(AQ587),$L$61:$O$64),TRANSPOSE(AM587:AP587)))</f>
        <v>0.35696240196434137</v>
      </c>
      <c r="AS587" s="62">
        <f ca="1"/>
        <v>0.32511912889277278</v>
      </c>
      <c r="AT587" s="62">
        <f ca="1"/>
        <v>0.13304744732935397</v>
      </c>
      <c r="AU587" s="62">
        <f ca="1"/>
        <v>0.27392162754588845</v>
      </c>
      <c r="AV587" s="66" t="str">
        <f t="array" ref="AV587">IF($AB587, Push(Fetch(AG587) - MMULT(Fetch(AQ587),MMULT($I$38:$L$41,Fetch(AG587)))), "")</f>
        <v/>
      </c>
      <c r="AW587" s="97">
        <f t="array" aca="1" ref="AW587" ca="1">IF($AB587,LN(MDETERM(Fetch(AL587))),$J$65)   -   MMULT(AM587:AP587,MMULT(IF($AB587,Fetch(AL587),$G$61:$J$64),TRANSPOSE(AM587:AP587)))</f>
        <v>3.2740550416616392</v>
      </c>
    </row>
    <row r="588" spans="23:49" x14ac:dyDescent="0.15">
      <c r="W588" s="12">
        <f t="shared" si="18"/>
        <v>585</v>
      </c>
      <c r="X588" s="62">
        <f t="array" aca="1" ref="X588:AA588" ca="1">simulate!AE588:AH588</f>
        <v>1.675986680130507</v>
      </c>
      <c r="Y588" s="62">
        <f ca="1"/>
        <v>1.519701280866766</v>
      </c>
      <c r="Z588" s="62">
        <f ca="1"/>
        <v>0.45023725369057865</v>
      </c>
      <c r="AA588" s="62">
        <f ca="1"/>
        <v>1.5337470166190339</v>
      </c>
      <c r="AB588" s="98">
        <f t="shared" si="19"/>
        <v>0</v>
      </c>
      <c r="AC588" s="62">
        <f t="array" aca="1" ref="AC588:AF588" ca="1">TRANSPOSE($G$44:$G$47 + MMULT($I$44:$L$47,TRANSPOSE(AR587:AU587)))</f>
        <v>0.53754189041688738</v>
      </c>
      <c r="AD588" s="62">
        <f ca="1"/>
        <v>0.32459353498895593</v>
      </c>
      <c r="AE588" s="62">
        <f ca="1"/>
        <v>0.29281574744749983</v>
      </c>
      <c r="AF588" s="62">
        <f ca="1"/>
        <v>0.40656632500507806</v>
      </c>
      <c r="AG588" s="66" t="str">
        <f t="array" ref="AG588">IF($AB588, Push(MMULT($I$44:$L$47,MMULT(Fetch(AV587),TRANSPOSE($I$44:$L$47))) + $N$44:$Q$47), "")</f>
        <v/>
      </c>
      <c r="AH588" s="62">
        <f t="array" aca="1" ref="AH588:AK588" ca="1">TRANSPOSE($G$38:$G$41 + MMULT($I$38:$L$41,TRANSPOSE(AC588:AF588)))</f>
        <v>0.70118238572418412</v>
      </c>
      <c r="AI588" s="62">
        <f ca="1"/>
        <v>0.52495632711030638</v>
      </c>
      <c r="AJ588" s="62">
        <f ca="1"/>
        <v>0.52807183836363558</v>
      </c>
      <c r="AK588" s="62">
        <f ca="1"/>
        <v>0.36439377770194892</v>
      </c>
      <c r="AL588" s="66" t="str">
        <f t="array" ref="AL588">IF($AB588, Push(MINVERSE(MMULT($I$38:$L$41,MMULT(Fetch(AG588),TRANSPOSE($I$38:$L$41))) + $N$38:$Q$41)), "")</f>
        <v/>
      </c>
      <c r="AM588" s="62">
        <f t="array" aca="1" ref="AM588:AP588" ca="1">X588:AA588 - AH588:AK588</f>
        <v>0.97480429440632288</v>
      </c>
      <c r="AN588" s="62">
        <f ca="1"/>
        <v>0.99474495375645966</v>
      </c>
      <c r="AO588" s="62">
        <f ca="1"/>
        <v>-7.7834584673056928E-2</v>
      </c>
      <c r="AP588" s="62">
        <f ca="1"/>
        <v>1.1693532389170849</v>
      </c>
      <c r="AQ588" s="66" t="str">
        <f t="array" ref="AQ588">IF($AB588, Push(MMULT(Fetch(AG588),MMULT(TRANSPOSE($I$38:$L$41),Fetch(AL588)))), "")</f>
        <v/>
      </c>
      <c r="AR588" s="62">
        <f t="array" aca="1" ref="AR588:AU588" ca="1">AC588:AF588 + TRANSPOSE(MMULT(IF($AB588,Fetch(AQ588),$L$61:$O$64),TRANSPOSE(AM588:AP588)))</f>
        <v>0.85530613058008942</v>
      </c>
      <c r="AS588" s="62">
        <f ca="1"/>
        <v>0.97042950052845667</v>
      </c>
      <c r="AT588" s="62">
        <f ca="1"/>
        <v>1.2783428064029088</v>
      </c>
      <c r="AU588" s="62">
        <f ca="1"/>
        <v>0.79358610906430527</v>
      </c>
      <c r="AV588" s="66" t="str">
        <f t="array" ref="AV588">IF($AB588, Push(Fetch(AG588) - MMULT(Fetch(AQ588),MMULT($I$38:$L$41,Fetch(AG588)))), "")</f>
        <v/>
      </c>
      <c r="AW588" s="97">
        <f t="array" aca="1" ref="AW588" ca="1">IF($AB588,LN(MDETERM(Fetch(AL588))),$J$65)   -   MMULT(AM588:AP588,MMULT(IF($AB588,Fetch(AL588),$G$61:$J$64),TRANSPOSE(AM588:AP588)))</f>
        <v>-9.7736544541679482</v>
      </c>
    </row>
    <row r="589" spans="23:49" x14ac:dyDescent="0.15">
      <c r="W589" s="12">
        <f t="shared" si="18"/>
        <v>586</v>
      </c>
      <c r="X589" s="62">
        <f t="array" aca="1" ref="X589:AA589" ca="1">simulate!AE589:AH589</f>
        <v>0.44620146039445957</v>
      </c>
      <c r="Y589" s="62">
        <f ca="1"/>
        <v>0.9930863358995341</v>
      </c>
      <c r="Z589" s="62">
        <f ca="1"/>
        <v>1.3109193830100661</v>
      </c>
      <c r="AA589" s="62">
        <f ca="1"/>
        <v>0.5418985302380771</v>
      </c>
      <c r="AB589" s="98">
        <f t="shared" si="19"/>
        <v>0</v>
      </c>
      <c r="AC589" s="62">
        <f t="array" aca="1" ref="AC589:AF589" ca="1">TRANSPOSE($G$44:$G$47 + MMULT($I$44:$L$47,TRANSPOSE(AR588:AU588)))</f>
        <v>1.0086841263025286</v>
      </c>
      <c r="AD589" s="62">
        <f ca="1"/>
        <v>0.96050557504858514</v>
      </c>
      <c r="AE589" s="62">
        <f ca="1"/>
        <v>1.1285129426530431</v>
      </c>
      <c r="AF589" s="62">
        <f ca="1"/>
        <v>0.94305754324370672</v>
      </c>
      <c r="AG589" s="66" t="str">
        <f t="array" ref="AG589">IF($AB589, Push(MMULT($I$44:$L$47,MMULT(Fetch(AV588),TRANSPOSE($I$44:$L$47))) + $N$44:$Q$47), "")</f>
        <v/>
      </c>
      <c r="AH589" s="62">
        <f t="array" aca="1" ref="AH589:AK589" ca="1">TRANSPOSE($G$38:$G$41 + MMULT($I$38:$L$41,TRANSPOSE(AC589:AF589)))</f>
        <v>1.383389185605306</v>
      </c>
      <c r="AI589" s="62">
        <f ca="1"/>
        <v>1.1452220644564461</v>
      </c>
      <c r="AJ589" s="62">
        <f ca="1"/>
        <v>0.83902280298624743</v>
      </c>
      <c r="AK589" s="62">
        <f ca="1"/>
        <v>1.1803260992338063</v>
      </c>
      <c r="AL589" s="66" t="str">
        <f t="array" ref="AL589">IF($AB589, Push(MINVERSE(MMULT($I$38:$L$41,MMULT(Fetch(AG589),TRANSPOSE($I$38:$L$41))) + $N$38:$Q$41)), "")</f>
        <v/>
      </c>
      <c r="AM589" s="62">
        <f t="array" aca="1" ref="AM589:AP589" ca="1">X589:AA589 - AH589:AK589</f>
        <v>-0.93718772521084648</v>
      </c>
      <c r="AN589" s="62">
        <f ca="1"/>
        <v>-0.15213572855691204</v>
      </c>
      <c r="AO589" s="62">
        <f ca="1"/>
        <v>0.47189658002381862</v>
      </c>
      <c r="AP589" s="62">
        <f ca="1"/>
        <v>-0.63842756899572917</v>
      </c>
      <c r="AQ589" s="66" t="str">
        <f t="array" ref="AQ589">IF($AB589, Push(MMULT(Fetch(AG589),MMULT(TRANSPOSE($I$38:$L$41),Fetch(AL589)))), "")</f>
        <v/>
      </c>
      <c r="AR589" s="62">
        <f t="array" aca="1" ref="AR589:AU589" ca="1">AC589:AF589 + TRANSPOSE(MMULT(IF($AB589,Fetch(AQ589),$L$61:$O$64),TRANSPOSE(AM589:AP589)))</f>
        <v>0.81982643040419112</v>
      </c>
      <c r="AS589" s="62">
        <f ca="1"/>
        <v>0.81151810206699748</v>
      </c>
      <c r="AT589" s="62">
        <f ca="1"/>
        <v>0.46675437104050088</v>
      </c>
      <c r="AU589" s="62">
        <f ca="1"/>
        <v>0.90796481189391731</v>
      </c>
      <c r="AV589" s="66" t="str">
        <f t="array" ref="AV589">IF($AB589, Push(Fetch(AG589) - MMULT(Fetch(AQ589),MMULT($I$38:$L$41,Fetch(AG589)))), "")</f>
        <v/>
      </c>
      <c r="AW589" s="97">
        <f t="array" aca="1" ref="AW589" ca="1">IF($AB589,LN(MDETERM(Fetch(AL589))),$J$65)   -   MMULT(AM589:AP589,MMULT(IF($AB589,Fetch(AL589),$G$61:$J$64),TRANSPOSE(AM589:AP589)))</f>
        <v>0.68147252448707452</v>
      </c>
    </row>
    <row r="590" spans="23:49" x14ac:dyDescent="0.15">
      <c r="W590" s="12">
        <f t="shared" si="18"/>
        <v>587</v>
      </c>
      <c r="X590" s="62">
        <f t="array" aca="1" ref="X590:AA590" ca="1">simulate!AE590:AH590</f>
        <v>1.6971481538513966</v>
      </c>
      <c r="Y590" s="62">
        <f ca="1"/>
        <v>0.12842577306990932</v>
      </c>
      <c r="Z590" s="62">
        <f ca="1"/>
        <v>1.2542756655975686</v>
      </c>
      <c r="AA590" s="62">
        <f ca="1"/>
        <v>1.227430486049655</v>
      </c>
      <c r="AB590" s="98">
        <f t="shared" si="19"/>
        <v>0</v>
      </c>
      <c r="AC590" s="62">
        <f t="array" aca="1" ref="AC590:AF590" ca="1">TRANSPOSE($G$44:$G$47 + MMULT($I$44:$L$47,TRANSPOSE(AR589:AU589)))</f>
        <v>0.91372965441472309</v>
      </c>
      <c r="AD590" s="62">
        <f ca="1"/>
        <v>0.75695499853594828</v>
      </c>
      <c r="AE590" s="62">
        <f ca="1"/>
        <v>0.6787951902320436</v>
      </c>
      <c r="AF590" s="62">
        <f ca="1"/>
        <v>0.86004445801303775</v>
      </c>
      <c r="AG590" s="66" t="str">
        <f t="array" ref="AG590">IF($AB590, Push(MMULT($I$44:$L$47,MMULT(Fetch(AV589),TRANSPOSE($I$44:$L$47))) + $N$44:$Q$47), "")</f>
        <v/>
      </c>
      <c r="AH590" s="62">
        <f t="array" aca="1" ref="AH590:AK590" ca="1">TRANSPOSE($G$38:$G$41 + MMULT($I$38:$L$41,TRANSPOSE(AC590:AF590)))</f>
        <v>1.0638554818497645</v>
      </c>
      <c r="AI590" s="62">
        <f ca="1"/>
        <v>1.0313465503238881</v>
      </c>
      <c r="AJ590" s="62">
        <f ca="1"/>
        <v>0.85212974046250523</v>
      </c>
      <c r="AK590" s="62">
        <f ca="1"/>
        <v>0.80039820380161975</v>
      </c>
      <c r="AL590" s="66" t="str">
        <f t="array" ref="AL590">IF($AB590, Push(MINVERSE(MMULT($I$38:$L$41,MMULT(Fetch(AG590),TRANSPOSE($I$38:$L$41))) + $N$38:$Q$41)), "")</f>
        <v/>
      </c>
      <c r="AM590" s="62">
        <f t="array" aca="1" ref="AM590:AP590" ca="1">X590:AA590 - AH590:AK590</f>
        <v>0.63329267200163208</v>
      </c>
      <c r="AN590" s="62">
        <f ca="1"/>
        <v>-0.90292077725397879</v>
      </c>
      <c r="AO590" s="62">
        <f ca="1"/>
        <v>0.40214592513506342</v>
      </c>
      <c r="AP590" s="62">
        <f ca="1"/>
        <v>0.42703228224803524</v>
      </c>
      <c r="AQ590" s="66" t="str">
        <f t="array" ref="AQ590">IF($AB590, Push(MMULT(Fetch(AG590),MMULT(TRANSPOSE($I$38:$L$41),Fetch(AL590)))), "")</f>
        <v/>
      </c>
      <c r="AR590" s="62">
        <f t="array" aca="1" ref="AR590:AU590" ca="1">AC590:AF590 + TRANSPOSE(MMULT(IF($AB590,Fetch(AQ590),$L$61:$O$64),TRANSPOSE(AM590:AP590)))</f>
        <v>1.0655538821412001</v>
      </c>
      <c r="AS590" s="62">
        <f ca="1"/>
        <v>0.1318810286770955</v>
      </c>
      <c r="AT590" s="62">
        <f ca="1"/>
        <v>1.3714721681647912</v>
      </c>
      <c r="AU590" s="62">
        <f ca="1"/>
        <v>1.1689536546041253</v>
      </c>
      <c r="AV590" s="66" t="str">
        <f t="array" ref="AV590">IF($AB590, Push(Fetch(AG590) - MMULT(Fetch(AQ590),MMULT($I$38:$L$41,Fetch(AG590)))), "")</f>
        <v/>
      </c>
      <c r="AW590" s="97">
        <f t="array" aca="1" ref="AW590" ca="1">IF($AB590,LN(MDETERM(Fetch(AL590))),$J$65)   -   MMULT(AM590:AP590,MMULT(IF($AB590,Fetch(AL590),$G$61:$J$64),TRANSPOSE(AM590:AP590)))</f>
        <v>-0.38338040795268657</v>
      </c>
    </row>
    <row r="591" spans="23:49" x14ac:dyDescent="0.15">
      <c r="W591" s="12">
        <f t="shared" si="18"/>
        <v>588</v>
      </c>
      <c r="X591" s="62">
        <f t="array" aca="1" ref="X591:AA591" ca="1">simulate!AE591:AH591</f>
        <v>1.1258275380026872</v>
      </c>
      <c r="Y591" s="62">
        <f ca="1"/>
        <v>0.54617970114551762</v>
      </c>
      <c r="Z591" s="62">
        <f ca="1"/>
        <v>1.0054750257539724</v>
      </c>
      <c r="AA591" s="62">
        <f ca="1"/>
        <v>1.058952631595409</v>
      </c>
      <c r="AB591" s="98">
        <f t="shared" si="19"/>
        <v>0</v>
      </c>
      <c r="AC591" s="62">
        <f t="array" aca="1" ref="AC591:AF591" ca="1">TRANSPOSE($G$44:$G$47 + MMULT($I$44:$L$47,TRANSPOSE(AR590:AU590)))</f>
        <v>1.0228036207297737</v>
      </c>
      <c r="AD591" s="62">
        <f ca="1"/>
        <v>0.58226484197996287</v>
      </c>
      <c r="AE591" s="62">
        <f ca="1"/>
        <v>1.1131805991023316</v>
      </c>
      <c r="AF591" s="62">
        <f ca="1"/>
        <v>1.1113171709945509</v>
      </c>
      <c r="AG591" s="66" t="str">
        <f t="array" ref="AG591">IF($AB591, Push(MMULT($I$44:$L$47,MMULT(Fetch(AV590),TRANSPOSE($I$44:$L$47))) + $N$44:$Q$47), "")</f>
        <v/>
      </c>
      <c r="AH591" s="62">
        <f t="array" aca="1" ref="AH591:AK591" ca="1">TRANSPOSE($G$38:$G$41 + MMULT($I$38:$L$41,TRANSPOSE(AC591:AF591)))</f>
        <v>1.3559521511772183</v>
      </c>
      <c r="AI591" s="62">
        <f ca="1"/>
        <v>0.85786847692629375</v>
      </c>
      <c r="AJ591" s="62">
        <f ca="1"/>
        <v>1.1301148665784333</v>
      </c>
      <c r="AK591" s="62">
        <f ca="1"/>
        <v>1.1190698280955436</v>
      </c>
      <c r="AL591" s="66" t="str">
        <f t="array" ref="AL591">IF($AB591, Push(MINVERSE(MMULT($I$38:$L$41,MMULT(Fetch(AG591),TRANSPOSE($I$38:$L$41))) + $N$38:$Q$41)), "")</f>
        <v/>
      </c>
      <c r="AM591" s="62">
        <f t="array" aca="1" ref="AM591:AP591" ca="1">X591:AA591 - AH591:AK591</f>
        <v>-0.23012461317453115</v>
      </c>
      <c r="AN591" s="62">
        <f ca="1"/>
        <v>-0.31168877578077614</v>
      </c>
      <c r="AO591" s="62">
        <f ca="1"/>
        <v>-0.12463984082446089</v>
      </c>
      <c r="AP591" s="62">
        <f ca="1"/>
        <v>-6.0117196500134584E-2</v>
      </c>
      <c r="AQ591" s="66" t="str">
        <f t="array" ref="AQ591">IF($AB591, Push(MMULT(Fetch(AG591),MMULT(TRANSPOSE($I$38:$L$41),Fetch(AL591)))), "")</f>
        <v/>
      </c>
      <c r="AR591" s="62">
        <f t="array" aca="1" ref="AR591:AU591" ca="1">AC591:AF591 + TRANSPOSE(MMULT(IF($AB591,Fetch(AQ591),$L$61:$O$64),TRANSPOSE(AM591:AP591)))</f>
        <v>0.85141742745167315</v>
      </c>
      <c r="AS591" s="62">
        <f ca="1"/>
        <v>0.45880978152394303</v>
      </c>
      <c r="AT591" s="62">
        <f ca="1"/>
        <v>1.0082935796108585</v>
      </c>
      <c r="AU591" s="62">
        <f ca="1"/>
        <v>1.0365291201527818</v>
      </c>
      <c r="AV591" s="66" t="str">
        <f t="array" ref="AV591">IF($AB591, Push(Fetch(AG591) - MMULT(Fetch(AQ591),MMULT($I$38:$L$41,Fetch(AG591)))), "")</f>
        <v/>
      </c>
      <c r="AW591" s="97">
        <f t="array" aca="1" ref="AW591" ca="1">IF($AB591,LN(MDETERM(Fetch(AL591))),$J$65)   -   MMULT(AM591:AP591,MMULT(IF($AB591,Fetch(AL591),$G$61:$J$64),TRANSPOSE(AM591:AP591)))</f>
        <v>6.4850511131071054</v>
      </c>
    </row>
    <row r="592" spans="23:49" x14ac:dyDescent="0.15">
      <c r="W592" s="12">
        <f t="shared" si="18"/>
        <v>589</v>
      </c>
      <c r="X592" s="62">
        <f t="array" aca="1" ref="X592:AA592" ca="1">simulate!AE592:AH592</f>
        <v>0.85060933550319706</v>
      </c>
      <c r="Y592" s="62">
        <f ca="1"/>
        <v>1.712976184001914</v>
      </c>
      <c r="Z592" s="62">
        <f ca="1"/>
        <v>0.56938530553044409</v>
      </c>
      <c r="AA592" s="62">
        <f ca="1"/>
        <v>0.60153383016672124</v>
      </c>
      <c r="AB592" s="98">
        <f t="shared" si="19"/>
        <v>0</v>
      </c>
      <c r="AC592" s="62">
        <f t="array" aca="1" ref="AC592:AF592" ca="1">TRANSPOSE($G$44:$G$47 + MMULT($I$44:$L$47,TRANSPOSE(AR591:AU591)))</f>
        <v>0.92332039433124269</v>
      </c>
      <c r="AD592" s="62">
        <f ca="1"/>
        <v>0.66088997273371131</v>
      </c>
      <c r="AE592" s="62">
        <f ca="1"/>
        <v>0.9352763806790706</v>
      </c>
      <c r="AF592" s="62">
        <f ca="1"/>
        <v>0.99381398697859269</v>
      </c>
      <c r="AG592" s="66" t="str">
        <f t="array" ref="AG592">IF($AB592, Push(MMULT($I$44:$L$47,MMULT(Fetch(AV591),TRANSPOSE($I$44:$L$47))) + $N$44:$Q$47), "")</f>
        <v/>
      </c>
      <c r="AH592" s="62">
        <f t="array" aca="1" ref="AH592:AK592" ca="1">TRANSPOSE($G$38:$G$41 + MMULT($I$38:$L$41,TRANSPOSE(AC592:AF592)))</f>
        <v>1.2008860702482185</v>
      </c>
      <c r="AI592" s="62">
        <f ca="1"/>
        <v>0.91193928257565726</v>
      </c>
      <c r="AJ592" s="62">
        <f ca="1"/>
        <v>0.98019648858109254</v>
      </c>
      <c r="AK592" s="62">
        <f ca="1"/>
        <v>1.0091104211865334</v>
      </c>
      <c r="AL592" s="66" t="str">
        <f t="array" ref="AL592">IF($AB592, Push(MINVERSE(MMULT($I$38:$L$41,MMULT(Fetch(AG592),TRANSPOSE($I$38:$L$41))) + $N$38:$Q$41)), "")</f>
        <v/>
      </c>
      <c r="AM592" s="62">
        <f t="array" aca="1" ref="AM592:AP592" ca="1">X592:AA592 - AH592:AK592</f>
        <v>-0.35027673474502141</v>
      </c>
      <c r="AN592" s="62">
        <f ca="1"/>
        <v>0.80103690142625672</v>
      </c>
      <c r="AO592" s="62">
        <f ca="1"/>
        <v>-0.41081118305064845</v>
      </c>
      <c r="AP592" s="62">
        <f ca="1"/>
        <v>-0.40757659101981214</v>
      </c>
      <c r="AQ592" s="66" t="str">
        <f t="array" ref="AQ592">IF($AB592, Push(MMULT(Fetch(AG592),MMULT(TRANSPOSE($I$38:$L$41),Fetch(AL592)))), "")</f>
        <v/>
      </c>
      <c r="AR592" s="62">
        <f t="array" aca="1" ref="AR592:AU592" ca="1">AC592:AF592 + TRANSPOSE(MMULT(IF($AB592,Fetch(AQ592),$L$61:$O$64),TRANSPOSE(AM592:AP592)))</f>
        <v>0.87782405141491304</v>
      </c>
      <c r="AS592" s="62">
        <f ca="1"/>
        <v>1.184159564677258</v>
      </c>
      <c r="AT592" s="62">
        <f ca="1"/>
        <v>0.36947629685284522</v>
      </c>
      <c r="AU592" s="62">
        <f ca="1"/>
        <v>0.68848532910126459</v>
      </c>
      <c r="AV592" s="66" t="str">
        <f t="array" ref="AV592">IF($AB592, Push(Fetch(AG592) - MMULT(Fetch(AQ592),MMULT($I$38:$L$41,Fetch(AG592)))), "")</f>
        <v/>
      </c>
      <c r="AW592" s="97">
        <f t="array" aca="1" ref="AW592" ca="1">IF($AB592,LN(MDETERM(Fetch(AL592))),$J$65)   -   MMULT(AM592:AP592,MMULT(IF($AB592,Fetch(AL592),$G$61:$J$64),TRANSPOSE(AM592:AP592)))</f>
        <v>2.5972130328344329</v>
      </c>
    </row>
    <row r="593" spans="23:49" x14ac:dyDescent="0.15">
      <c r="W593" s="12">
        <f t="shared" si="18"/>
        <v>590</v>
      </c>
      <c r="X593" s="62">
        <f t="array" aca="1" ref="X593:AA593" ca="1">simulate!AE593:AH593</f>
        <v>0.85482651083852979</v>
      </c>
      <c r="Y593" s="62">
        <f ca="1"/>
        <v>1.4121540704711448</v>
      </c>
      <c r="Z593" s="62">
        <f ca="1"/>
        <v>0.28892273005065228</v>
      </c>
      <c r="AA593" s="62">
        <f ca="1"/>
        <v>0.30438658316546996</v>
      </c>
      <c r="AB593" s="98">
        <f t="shared" si="19"/>
        <v>0</v>
      </c>
      <c r="AC593" s="62">
        <f t="array" aca="1" ref="AC593:AF593" ca="1">TRANSPOSE($G$44:$G$47 + MMULT($I$44:$L$47,TRANSPOSE(AR592:AU592)))</f>
        <v>0.98272853993312337</v>
      </c>
      <c r="AD593" s="62">
        <f ca="1"/>
        <v>0.93760606467897056</v>
      </c>
      <c r="AE593" s="62">
        <f ca="1"/>
        <v>0.65840715461383637</v>
      </c>
      <c r="AF593" s="62">
        <f ca="1"/>
        <v>0.7550281865546784</v>
      </c>
      <c r="AG593" s="66" t="str">
        <f t="array" ref="AG593">IF($AB593, Push(MMULT($I$44:$L$47,MMULT(Fetch(AV592),TRANSPOSE($I$44:$L$47))) + $N$44:$Q$47), "")</f>
        <v/>
      </c>
      <c r="AH593" s="62">
        <f t="array" aca="1" ref="AH593:AK593" ca="1">TRANSPOSE($G$38:$G$41 + MMULT($I$38:$L$41,TRANSPOSE(AC593:AF593)))</f>
        <v>1.1205340579695031</v>
      </c>
      <c r="AI593" s="62">
        <f ca="1"/>
        <v>1.1988474031342515</v>
      </c>
      <c r="AJ593" s="62">
        <f ca="1"/>
        <v>0.72436994662444842</v>
      </c>
      <c r="AK593" s="62">
        <f ca="1"/>
        <v>0.76506859066937749</v>
      </c>
      <c r="AL593" s="66" t="str">
        <f t="array" ref="AL593">IF($AB593, Push(MINVERSE(MMULT($I$38:$L$41,MMULT(Fetch(AG593),TRANSPOSE($I$38:$L$41))) + $N$38:$Q$41)), "")</f>
        <v/>
      </c>
      <c r="AM593" s="62">
        <f t="array" aca="1" ref="AM593:AP593" ca="1">X593:AA593 - AH593:AK593</f>
        <v>-0.26570754713097333</v>
      </c>
      <c r="AN593" s="62">
        <f ca="1"/>
        <v>0.2133066673368933</v>
      </c>
      <c r="AO593" s="62">
        <f ca="1"/>
        <v>-0.43544721657379615</v>
      </c>
      <c r="AP593" s="62">
        <f ca="1"/>
        <v>-0.46068200750390753</v>
      </c>
      <c r="AQ593" s="66" t="str">
        <f t="array" ref="AQ593">IF($AB593, Push(MMULT(Fetch(AG593),MMULT(TRANSPOSE($I$38:$L$41),Fetch(AL593)))), "")</f>
        <v/>
      </c>
      <c r="AR593" s="62">
        <f t="array" aca="1" ref="AR593:AU593" ca="1">AC593:AF593 + TRANSPOSE(MMULT(IF($AB593,Fetch(AQ593),$L$61:$O$64),TRANSPOSE(AM593:AP593)))</f>
        <v>0.88934769812024694</v>
      </c>
      <c r="AS593" s="62">
        <f ca="1"/>
        <v>1.1054899356555223</v>
      </c>
      <c r="AT593" s="62">
        <f ca="1"/>
        <v>0.15817381684250609</v>
      </c>
      <c r="AU593" s="62">
        <f ca="1"/>
        <v>0.41731895025418686</v>
      </c>
      <c r="AV593" s="66" t="str">
        <f t="array" ref="AV593">IF($AB593, Push(Fetch(AG593) - MMULT(Fetch(AQ593),MMULT($I$38:$L$41,Fetch(AG593)))), "")</f>
        <v/>
      </c>
      <c r="AW593" s="97">
        <f t="array" aca="1" ref="AW593" ca="1">IF($AB593,LN(MDETERM(Fetch(AL593))),$J$65)   -   MMULT(AM593:AP593,MMULT(IF($AB593,Fetch(AL593),$G$61:$J$64),TRANSPOSE(AM593:AP593)))</f>
        <v>5.0436420931878168</v>
      </c>
    </row>
    <row r="594" spans="23:49" x14ac:dyDescent="0.15">
      <c r="W594" s="12">
        <f t="shared" si="18"/>
        <v>591</v>
      </c>
      <c r="X594" s="62">
        <f t="array" aca="1" ref="X594:AA594" ca="1">simulate!AE594:AH594</f>
        <v>1.5071545082297022</v>
      </c>
      <c r="Y594" s="62">
        <f ca="1"/>
        <v>2.4799908671046387</v>
      </c>
      <c r="Z594" s="62">
        <f ca="1"/>
        <v>-0.12274586542654495</v>
      </c>
      <c r="AA594" s="62">
        <f ca="1"/>
        <v>0.2760910005390762</v>
      </c>
      <c r="AB594" s="98">
        <f t="shared" si="19"/>
        <v>0</v>
      </c>
      <c r="AC594" s="62">
        <f t="array" aca="1" ref="AC594:AF594" ca="1">TRANSPOSE($G$44:$G$47 + MMULT($I$44:$L$47,TRANSPOSE(AR593:AU593)))</f>
        <v>0.94923740637309262</v>
      </c>
      <c r="AD594" s="62">
        <f ca="1"/>
        <v>0.84641603504967389</v>
      </c>
      <c r="AE594" s="62">
        <f ca="1"/>
        <v>0.49220529695835369</v>
      </c>
      <c r="AF594" s="62">
        <f ca="1"/>
        <v>0.56922485425683811</v>
      </c>
      <c r="AG594" s="66" t="str">
        <f t="array" ref="AG594">IF($AB594, Push(MMULT($I$44:$L$47,MMULT(Fetch(AV593),TRANSPOSE($I$44:$L$47))) + $N$44:$Q$47), "")</f>
        <v/>
      </c>
      <c r="AH594" s="62">
        <f t="array" aca="1" ref="AH594:AK594" ca="1">TRANSPOSE($G$38:$G$41 + MMULT($I$38:$L$41,TRANSPOSE(AC594:AF594)))</f>
        <v>1.0485599303897426</v>
      </c>
      <c r="AI594" s="62">
        <f ca="1"/>
        <v>1.1129563876269839</v>
      </c>
      <c r="AJ594" s="62">
        <f ca="1"/>
        <v>0.60633272188951692</v>
      </c>
      <c r="AK594" s="62">
        <f ca="1"/>
        <v>0.5527177364135476</v>
      </c>
      <c r="AL594" s="66" t="str">
        <f t="array" ref="AL594">IF($AB594, Push(MINVERSE(MMULT($I$38:$L$41,MMULT(Fetch(AG594),TRANSPOSE($I$38:$L$41))) + $N$38:$Q$41)), "")</f>
        <v/>
      </c>
      <c r="AM594" s="62">
        <f t="array" aca="1" ref="AM594:AP594" ca="1">X594:AA594 - AH594:AK594</f>
        <v>0.45859457783995961</v>
      </c>
      <c r="AN594" s="62">
        <f ca="1"/>
        <v>1.3670344794776548</v>
      </c>
      <c r="AO594" s="62">
        <f ca="1"/>
        <v>-0.7290785873160619</v>
      </c>
      <c r="AP594" s="62">
        <f ca="1"/>
        <v>-0.2766267358744714</v>
      </c>
      <c r="AQ594" s="66" t="str">
        <f t="array" ref="AQ594">IF($AB594, Push(MMULT(Fetch(AG594),MMULT(TRANSPOSE($I$38:$L$41),Fetch(AL594)))), "")</f>
        <v/>
      </c>
      <c r="AR594" s="62">
        <f t="array" aca="1" ref="AR594:AU594" ca="1">AC594:AF594 + TRANSPOSE(MMULT(IF($AB594,Fetch(AQ594),$L$61:$O$64),TRANSPOSE(AM594:AP594)))</f>
        <v>1.2514566426752127</v>
      </c>
      <c r="AS594" s="62">
        <f ca="1"/>
        <v>1.6441870326449299</v>
      </c>
      <c r="AT594" s="62">
        <f ca="1"/>
        <v>0.18114928349126252</v>
      </c>
      <c r="AU594" s="62">
        <f ca="1"/>
        <v>0.186851141107921</v>
      </c>
      <c r="AV594" s="66" t="str">
        <f t="array" ref="AV594">IF($AB594, Push(Fetch(AG594) - MMULT(Fetch(AQ594),MMULT($I$38:$L$41,Fetch(AG594)))), "")</f>
        <v/>
      </c>
      <c r="AW594" s="97">
        <f t="array" aca="1" ref="AW594" ca="1">IF($AB594,LN(MDETERM(Fetch(AL594))),$J$65)   -   MMULT(AM594:AP594,MMULT(IF($AB594,Fetch(AL594),$G$61:$J$64),TRANSPOSE(AM594:AP594)))</f>
        <v>-2.7954026123328966</v>
      </c>
    </row>
    <row r="595" spans="23:49" x14ac:dyDescent="0.15">
      <c r="W595" s="12">
        <f t="shared" si="18"/>
        <v>592</v>
      </c>
      <c r="X595" s="62">
        <f t="array" aca="1" ref="X595:AA595" ca="1">simulate!AE595:AH595</f>
        <v>-5.6766863778427101E-2</v>
      </c>
      <c r="Y595" s="62">
        <f ca="1"/>
        <v>-0.54039522424206243</v>
      </c>
      <c r="Z595" s="62">
        <f ca="1"/>
        <v>2.0736581629619288</v>
      </c>
      <c r="AA595" s="62">
        <f ca="1"/>
        <v>1.357737916636963</v>
      </c>
      <c r="AB595" s="98">
        <f t="shared" si="19"/>
        <v>0</v>
      </c>
      <c r="AC595" s="62">
        <f t="array" aca="1" ref="AC595:AF595" ca="1">TRANSPOSE($G$44:$G$47 + MMULT($I$44:$L$47,TRANSPOSE(AR594:AU594)))</f>
        <v>1.2150859491559021</v>
      </c>
      <c r="AD595" s="62">
        <f ca="1"/>
        <v>1.1831392531194298</v>
      </c>
      <c r="AE595" s="62">
        <f ca="1"/>
        <v>0.58374548080601274</v>
      </c>
      <c r="AF595" s="62">
        <f ca="1"/>
        <v>0.50423309554112938</v>
      </c>
      <c r="AG595" s="66" t="str">
        <f t="array" ref="AG595">IF($AB595, Push(MMULT($I$44:$L$47,MMULT(Fetch(AV594),TRANSPOSE($I$44:$L$47))) + $N$44:$Q$47), "")</f>
        <v/>
      </c>
      <c r="AH595" s="62">
        <f t="array" aca="1" ref="AH595:AK595" ca="1">TRANSPOSE($G$38:$G$41 + MMULT($I$38:$L$41,TRANSPOSE(AC595:AF595)))</f>
        <v>1.2975826814715163</v>
      </c>
      <c r="AI595" s="62">
        <f ca="1"/>
        <v>1.4685360557990168</v>
      </c>
      <c r="AJ595" s="62">
        <f ca="1"/>
        <v>0.51841026720142891</v>
      </c>
      <c r="AK595" s="62">
        <f ca="1"/>
        <v>0.57467037258261877</v>
      </c>
      <c r="AL595" s="66" t="str">
        <f t="array" ref="AL595">IF($AB595, Push(MINVERSE(MMULT($I$38:$L$41,MMULT(Fetch(AG595),TRANSPOSE($I$38:$L$41))) + $N$38:$Q$41)), "")</f>
        <v/>
      </c>
      <c r="AM595" s="62">
        <f t="array" aca="1" ref="AM595:AP595" ca="1">X595:AA595 - AH595:AK595</f>
        <v>-1.3543495452499434</v>
      </c>
      <c r="AN595" s="62">
        <f ca="1"/>
        <v>-2.0089312800410792</v>
      </c>
      <c r="AO595" s="62">
        <f ca="1"/>
        <v>1.5552478957605</v>
      </c>
      <c r="AP595" s="62">
        <f ca="1"/>
        <v>0.7830675440543442</v>
      </c>
      <c r="AQ595" s="66" t="str">
        <f t="array" ref="AQ595">IF($AB595, Push(MMULT(Fetch(AG595),MMULT(TRANSPOSE($I$38:$L$41),Fetch(AL595)))), "")</f>
        <v/>
      </c>
      <c r="AR595" s="62">
        <f t="array" aca="1" ref="AR595:AU595" ca="1">AC595:AF595 + TRANSPOSE(MMULT(IF($AB595,Fetch(AQ595),$L$61:$O$64),TRANSPOSE(AM595:AP595)))</f>
        <v>0.49808472430161022</v>
      </c>
      <c r="AS595" s="62">
        <f ca="1"/>
        <v>0.10274976512360556</v>
      </c>
      <c r="AT595" s="62">
        <f ca="1"/>
        <v>1.1236738208251211</v>
      </c>
      <c r="AU595" s="62">
        <f ca="1"/>
        <v>1.3922447373402762</v>
      </c>
      <c r="AV595" s="66" t="str">
        <f t="array" ref="AV595">IF($AB595, Push(Fetch(AG595) - MMULT(Fetch(AQ595),MMULT($I$38:$L$41,Fetch(AG595)))), "")</f>
        <v/>
      </c>
      <c r="AW595" s="97">
        <f t="array" aca="1" ref="AW595" ca="1">IF($AB595,LN(MDETERM(Fetch(AL595))),$J$65)   -   MMULT(AM595:AP595,MMULT(IF($AB595,Fetch(AL595),$G$61:$J$64),TRANSPOSE(AM595:AP595)))</f>
        <v>-33.539513106241166</v>
      </c>
    </row>
    <row r="596" spans="23:49" x14ac:dyDescent="0.15">
      <c r="W596" s="12">
        <f t="shared" si="18"/>
        <v>593</v>
      </c>
      <c r="X596" s="62">
        <f t="array" aca="1" ref="X596:AA596" ca="1">simulate!AE596:AH596</f>
        <v>0.77099230595732471</v>
      </c>
      <c r="Y596" s="62">
        <f ca="1"/>
        <v>0.3859941646301589</v>
      </c>
      <c r="Z596" s="62">
        <f ca="1"/>
        <v>1.1367798923479109</v>
      </c>
      <c r="AA596" s="62">
        <f ca="1"/>
        <v>0.70458071948222123</v>
      </c>
      <c r="AB596" s="98">
        <f t="shared" si="19"/>
        <v>0</v>
      </c>
      <c r="AC596" s="62">
        <f t="array" aca="1" ref="AC596:AF596" ca="1">TRANSPOSE($G$44:$G$47 + MMULT($I$44:$L$47,TRANSPOSE(AR595:AU595)))</f>
        <v>0.70510788777468081</v>
      </c>
      <c r="AD596" s="62">
        <f ca="1"/>
        <v>0.45362036388473348</v>
      </c>
      <c r="AE596" s="62">
        <f ca="1"/>
        <v>0.96727182018813262</v>
      </c>
      <c r="AF596" s="62">
        <f ca="1"/>
        <v>1.1623348347325611</v>
      </c>
      <c r="AG596" s="66" t="str">
        <f t="array" ref="AG596">IF($AB596, Push(MMULT($I$44:$L$47,MMULT(Fetch(AV595),TRANSPOSE($I$44:$L$47))) + $N$44:$Q$47), "")</f>
        <v/>
      </c>
      <c r="AH596" s="62">
        <f t="array" aca="1" ref="AH596:AK596" ca="1">TRANSPOSE($G$38:$G$41 + MMULT($I$38:$L$41,TRANSPOSE(AC596:AF596)))</f>
        <v>1.0281924654889092</v>
      </c>
      <c r="AI596" s="62">
        <f ca="1"/>
        <v>0.67555626201228391</v>
      </c>
      <c r="AJ596" s="62">
        <f ca="1"/>
        <v>1.1123417341946862</v>
      </c>
      <c r="AK596" s="62">
        <f ca="1"/>
        <v>1.1388717157758452</v>
      </c>
      <c r="AL596" s="66" t="str">
        <f t="array" ref="AL596">IF($AB596, Push(MINVERSE(MMULT($I$38:$L$41,MMULT(Fetch(AG596),TRANSPOSE($I$38:$L$41))) + $N$38:$Q$41)), "")</f>
        <v/>
      </c>
      <c r="AM596" s="62">
        <f t="array" aca="1" ref="AM596:AP596" ca="1">X596:AA596 - AH596:AK596</f>
        <v>-0.25720015953158448</v>
      </c>
      <c r="AN596" s="62">
        <f ca="1"/>
        <v>-0.28956209738212502</v>
      </c>
      <c r="AO596" s="62">
        <f ca="1"/>
        <v>2.4438158153224698E-2</v>
      </c>
      <c r="AP596" s="62">
        <f ca="1"/>
        <v>-0.434290996293624</v>
      </c>
      <c r="AQ596" s="66" t="str">
        <f t="array" ref="AQ596">IF($AB596, Push(MMULT(Fetch(AG596),MMULT(TRANSPOSE($I$38:$L$41),Fetch(AL596)))), "")</f>
        <v/>
      </c>
      <c r="AR596" s="62">
        <f t="array" aca="1" ref="AR596:AU596" ca="1">AC596:AF596 + TRANSPOSE(MMULT(IF($AB596,Fetch(AQ596),$L$61:$O$64),TRANSPOSE(AM596:AP596)))</f>
        <v>0.64621539177208187</v>
      </c>
      <c r="AS596" s="62">
        <f ca="1"/>
        <v>0.24197759093929611</v>
      </c>
      <c r="AT596" s="62">
        <f ca="1"/>
        <v>0.62847835190686674</v>
      </c>
      <c r="AU596" s="62">
        <f ca="1"/>
        <v>1.017718385676146</v>
      </c>
      <c r="AV596" s="66" t="str">
        <f t="array" ref="AV596">IF($AB596, Push(Fetch(AG596) - MMULT(Fetch(AQ596),MMULT($I$38:$L$41,Fetch(AG596)))), "")</f>
        <v/>
      </c>
      <c r="AW596" s="97">
        <f t="array" aca="1" ref="AW596" ca="1">IF($AB596,LN(MDETERM(Fetch(AL596))),$J$65)   -   MMULT(AM596:AP596,MMULT(IF($AB596,Fetch(AL596),$G$61:$J$64),TRANSPOSE(AM596:AP596)))</f>
        <v>5.1772166505295054</v>
      </c>
    </row>
    <row r="597" spans="23:49" x14ac:dyDescent="0.15">
      <c r="W597" s="12">
        <f t="shared" si="18"/>
        <v>594</v>
      </c>
      <c r="X597" s="62">
        <f t="array" aca="1" ref="X597:AA597" ca="1">simulate!AE597:AH597</f>
        <v>0.49941104248034335</v>
      </c>
      <c r="Y597" s="62">
        <f ca="1"/>
        <v>1.0339173851231935</v>
      </c>
      <c r="Z597" s="62">
        <f ca="1"/>
        <v>1.0571796498464596</v>
      </c>
      <c r="AA597" s="62">
        <f ca="1"/>
        <v>5.325696939346114E-2</v>
      </c>
      <c r="AB597" s="98">
        <f t="shared" si="19"/>
        <v>0</v>
      </c>
      <c r="AC597" s="62">
        <f t="array" aca="1" ref="AC597:AF597" ca="1">TRANSPOSE($G$44:$G$47 + MMULT($I$44:$L$47,TRANSPOSE(AR596:AU596)))</f>
        <v>0.75246609987104462</v>
      </c>
      <c r="AD597" s="62">
        <f ca="1"/>
        <v>0.45291950859913416</v>
      </c>
      <c r="AE597" s="62">
        <f ca="1"/>
        <v>0.67755210862333437</v>
      </c>
      <c r="AF597" s="62">
        <f ca="1"/>
        <v>0.89669208676998613</v>
      </c>
      <c r="AG597" s="66" t="str">
        <f t="array" ref="AG597">IF($AB597, Push(MMULT($I$44:$L$47,MMULT(Fetch(AV596),TRANSPOSE($I$44:$L$47))) + $N$44:$Q$47), "")</f>
        <v/>
      </c>
      <c r="AH597" s="62">
        <f t="array" aca="1" ref="AH597:AK597" ca="1">TRANSPOSE($G$38:$G$41 + MMULT($I$38:$L$41,TRANSPOSE(AC597:AF597)))</f>
        <v>0.95340824106777622</v>
      </c>
      <c r="AI597" s="62">
        <f ca="1"/>
        <v>0.71429465280392046</v>
      </c>
      <c r="AJ597" s="62">
        <f ca="1"/>
        <v>0.93599534861439859</v>
      </c>
      <c r="AK597" s="62">
        <f ca="1"/>
        <v>0.79455284987569441</v>
      </c>
      <c r="AL597" s="66" t="str">
        <f t="array" ref="AL597">IF($AB597, Push(MINVERSE(MMULT($I$38:$L$41,MMULT(Fetch(AG597),TRANSPOSE($I$38:$L$41))) + $N$38:$Q$41)), "")</f>
        <v/>
      </c>
      <c r="AM597" s="62">
        <f t="array" aca="1" ref="AM597:AP597" ca="1">X597:AA597 - AH597:AK597</f>
        <v>-0.45399719858743287</v>
      </c>
      <c r="AN597" s="62">
        <f ca="1"/>
        <v>0.31962273231927307</v>
      </c>
      <c r="AO597" s="62">
        <f ca="1"/>
        <v>0.12118430123206103</v>
      </c>
      <c r="AP597" s="62">
        <f ca="1"/>
        <v>-0.74129588048223327</v>
      </c>
      <c r="AQ597" s="66" t="str">
        <f t="array" ref="AQ597">IF($AB597, Push(MMULT(Fetch(AG597),MMULT(TRANSPOSE($I$38:$L$41),Fetch(AL597)))), "")</f>
        <v/>
      </c>
      <c r="AR597" s="62">
        <f t="array" aca="1" ref="AR597:AU597" ca="1">AC597:AF597 + TRANSPOSE(MMULT(IF($AB597,Fetch(AQ597),$L$61:$O$64),TRANSPOSE(AM597:AP597)))</f>
        <v>0.79262127768116186</v>
      </c>
      <c r="AS597" s="62">
        <f ca="1"/>
        <v>0.54187464370377314</v>
      </c>
      <c r="AT597" s="62">
        <f ca="1"/>
        <v>4.7420135406148756E-3</v>
      </c>
      <c r="AU597" s="62">
        <f ca="1"/>
        <v>0.68786362800657286</v>
      </c>
      <c r="AV597" s="66" t="str">
        <f t="array" ref="AV597">IF($AB597, Push(Fetch(AG597) - MMULT(Fetch(AQ597),MMULT($I$38:$L$41,Fetch(AG597)))), "")</f>
        <v/>
      </c>
      <c r="AW597" s="97">
        <f t="array" aca="1" ref="AW597" ca="1">IF($AB597,LN(MDETERM(Fetch(AL597))),$J$65)   -   MMULT(AM597:AP597,MMULT(IF($AB597,Fetch(AL597),$G$61:$J$64),TRANSPOSE(AM597:AP597)))</f>
        <v>2.3984344838513207</v>
      </c>
    </row>
    <row r="598" spans="23:49" x14ac:dyDescent="0.15">
      <c r="W598" s="12">
        <f t="shared" si="18"/>
        <v>595</v>
      </c>
      <c r="X598" s="62">
        <f t="array" aca="1" ref="X598:AA598" ca="1">simulate!AE598:AH598</f>
        <v>0.96793716724827861</v>
      </c>
      <c r="Y598" s="62">
        <f ca="1"/>
        <v>0.80147243838974125</v>
      </c>
      <c r="Z598" s="62">
        <f ca="1"/>
        <v>-0.63417530979773584</v>
      </c>
      <c r="AA598" s="62">
        <f ca="1"/>
        <v>0.18568727918913003</v>
      </c>
      <c r="AB598" s="98">
        <f t="shared" si="19"/>
        <v>0</v>
      </c>
      <c r="AC598" s="62">
        <f t="array" aca="1" ref="AC598:AF598" ca="1">TRANSPOSE($G$44:$G$47 + MMULT($I$44:$L$47,TRANSPOSE(AR597:AU597)))</f>
        <v>0.81566714868826296</v>
      </c>
      <c r="AD598" s="62">
        <f ca="1"/>
        <v>0.52286897698079293</v>
      </c>
      <c r="AE598" s="62">
        <f ca="1"/>
        <v>0.35098515211003423</v>
      </c>
      <c r="AF598" s="62">
        <f ca="1"/>
        <v>0.64565962058530735</v>
      </c>
      <c r="AG598" s="66" t="str">
        <f t="array" ref="AG598">IF($AB598, Push(MMULT($I$44:$L$47,MMULT(Fetch(AV597),TRANSPOSE($I$44:$L$47))) + $N$44:$Q$47), "")</f>
        <v/>
      </c>
      <c r="AH598" s="62">
        <f t="array" aca="1" ref="AH598:AK598" ca="1">TRANSPOSE($G$38:$G$41 + MMULT($I$38:$L$41,TRANSPOSE(AC598:AF598)))</f>
        <v>0.85861831478590767</v>
      </c>
      <c r="AI598" s="62">
        <f ca="1"/>
        <v>0.8327409346811977</v>
      </c>
      <c r="AJ598" s="62">
        <f ca="1"/>
        <v>0.75456834034809739</v>
      </c>
      <c r="AK598" s="62">
        <f ca="1"/>
        <v>0.4443812266392298</v>
      </c>
      <c r="AL598" s="66" t="str">
        <f t="array" ref="AL598">IF($AB598, Push(MINVERSE(MMULT($I$38:$L$41,MMULT(Fetch(AG598),TRANSPOSE($I$38:$L$41))) + $N$38:$Q$41)), "")</f>
        <v/>
      </c>
      <c r="AM598" s="62">
        <f t="array" aca="1" ref="AM598:AP598" ca="1">X598:AA598 - AH598:AK598</f>
        <v>0.10931885246237094</v>
      </c>
      <c r="AN598" s="62">
        <f ca="1"/>
        <v>-3.1268496291456449E-2</v>
      </c>
      <c r="AO598" s="62">
        <f ca="1"/>
        <v>-1.3887436501458332</v>
      </c>
      <c r="AP598" s="62">
        <f ca="1"/>
        <v>-0.25869394745009977</v>
      </c>
      <c r="AQ598" s="66" t="str">
        <f t="array" ref="AQ598">IF($AB598, Push(MMULT(Fetch(AG598),MMULT(TRANSPOSE($I$38:$L$41),Fetch(AL598)))), "")</f>
        <v/>
      </c>
      <c r="AR598" s="62">
        <f t="array" aca="1" ref="AR598:AU598" ca="1">AC598:AF598 + TRANSPOSE(MMULT(IF($AB598,Fetch(AQ598),$L$61:$O$64),TRANSPOSE(AM598:AP598)))</f>
        <v>0.57023212265005652</v>
      </c>
      <c r="AS598" s="62">
        <f ca="1"/>
        <v>0.72580903905672822</v>
      </c>
      <c r="AT598" s="62">
        <f ca="1"/>
        <v>-1.0255464648676105E-2</v>
      </c>
      <c r="AU598" s="62">
        <f ca="1"/>
        <v>-1.0275177047292861E-2</v>
      </c>
      <c r="AV598" s="66" t="str">
        <f t="array" ref="AV598">IF($AB598, Push(Fetch(AG598) - MMULT(Fetch(AQ598),MMULT($I$38:$L$41,Fetch(AG598)))), "")</f>
        <v/>
      </c>
      <c r="AW598" s="97">
        <f t="array" aca="1" ref="AW598" ca="1">IF($AB598,LN(MDETERM(Fetch(AL598))),$J$65)   -   MMULT(AM598:AP598,MMULT(IF($AB598,Fetch(AL598),$G$61:$J$64),TRANSPOSE(AM598:AP598)))</f>
        <v>-5.1981871302491758</v>
      </c>
    </row>
    <row r="599" spans="23:49" x14ac:dyDescent="0.15">
      <c r="W599" s="12">
        <f t="shared" si="18"/>
        <v>596</v>
      </c>
      <c r="X599" s="62">
        <f t="array" aca="1" ref="X599:AA599" ca="1">simulate!AE599:AH599</f>
        <v>1.6514080609328419</v>
      </c>
      <c r="Y599" s="62">
        <f ca="1"/>
        <v>0.33225684603455929</v>
      </c>
      <c r="Z599" s="62">
        <f ca="1"/>
        <v>-0.98386050232635869</v>
      </c>
      <c r="AA599" s="62">
        <f ca="1"/>
        <v>0.84893816119816379</v>
      </c>
      <c r="AB599" s="98">
        <f t="shared" si="19"/>
        <v>0</v>
      </c>
      <c r="AC599" s="62">
        <f t="array" aca="1" ref="AC599:AF599" ca="1">TRANSPOSE($G$44:$G$47 + MMULT($I$44:$L$47,TRANSPOSE(AR598:AU598)))</f>
        <v>0.68816399283506757</v>
      </c>
      <c r="AD599" s="62">
        <f ca="1"/>
        <v>0.53418470094457615</v>
      </c>
      <c r="AE599" s="62">
        <f ca="1"/>
        <v>0.25360003593011948</v>
      </c>
      <c r="AF599" s="62">
        <f ca="1"/>
        <v>0.26858357169009273</v>
      </c>
      <c r="AG599" s="66" t="str">
        <f t="array" ref="AG599">IF($AB599, Push(MMULT($I$44:$L$47,MMULT(Fetch(AV598),TRANSPOSE($I$44:$L$47))) + $N$44:$Q$47), "")</f>
        <v/>
      </c>
      <c r="AH599" s="62">
        <f t="array" aca="1" ref="AH599:AK599" ca="1">TRANSPOSE($G$38:$G$41 + MMULT($I$38:$L$41,TRANSPOSE(AC599:AF599)))</f>
        <v>0.81212068134407578</v>
      </c>
      <c r="AI599" s="62">
        <f ca="1"/>
        <v>0.74620312660491706</v>
      </c>
      <c r="AJ599" s="62">
        <f ca="1"/>
        <v>0.39509201723525056</v>
      </c>
      <c r="AK599" s="62">
        <f ca="1"/>
        <v>0.27355599769431616</v>
      </c>
      <c r="AL599" s="66" t="str">
        <f t="array" ref="AL599">IF($AB599, Push(MINVERSE(MMULT($I$38:$L$41,MMULT(Fetch(AG599),TRANSPOSE($I$38:$L$41))) + $N$38:$Q$41)), "")</f>
        <v/>
      </c>
      <c r="AM599" s="62">
        <f t="array" aca="1" ref="AM599:AP599" ca="1">X599:AA599 - AH599:AK599</f>
        <v>0.83928737958876609</v>
      </c>
      <c r="AN599" s="62">
        <f ca="1"/>
        <v>-0.41394628057035776</v>
      </c>
      <c r="AO599" s="62">
        <f ca="1"/>
        <v>-1.3789525195616092</v>
      </c>
      <c r="AP599" s="62">
        <f ca="1"/>
        <v>0.57538216350384763</v>
      </c>
      <c r="AQ599" s="66" t="str">
        <f t="array" ref="AQ599">IF($AB599, Push(MMULT(Fetch(AG599),MMULT(TRANSPOSE($I$38:$L$41),Fetch(AL599)))), "")</f>
        <v/>
      </c>
      <c r="AR599" s="62">
        <f t="array" aca="1" ref="AR599:AU599" ca="1">AC599:AF599 + TRANSPOSE(MMULT(IF($AB599,Fetch(AQ599),$L$61:$O$64),TRANSPOSE(AM599:AP599)))</f>
        <v>0.53035478136382297</v>
      </c>
      <c r="AS599" s="62">
        <f ca="1"/>
        <v>0.55501778410810698</v>
      </c>
      <c r="AT599" s="62">
        <f ca="1"/>
        <v>0.7564720003960459</v>
      </c>
      <c r="AU599" s="62">
        <f ca="1"/>
        <v>-9.2206155538438028E-2</v>
      </c>
      <c r="AV599" s="66" t="str">
        <f t="array" ref="AV599">IF($AB599, Push(Fetch(AG599) - MMULT(Fetch(AQ599),MMULT($I$38:$L$41,Fetch(AG599)))), "")</f>
        <v/>
      </c>
      <c r="AW599" s="97">
        <f t="array" aca="1" ref="AW599" ca="1">IF($AB599,LN(MDETERM(Fetch(AL599))),$J$65)   -   MMULT(AM599:AP599,MMULT(IF($AB599,Fetch(AL599),$G$61:$J$64),TRANSPOSE(AM599:AP599)))</f>
        <v>-13.793041638803727</v>
      </c>
    </row>
    <row r="600" spans="23:49" x14ac:dyDescent="0.15">
      <c r="W600" s="12">
        <f t="shared" si="18"/>
        <v>597</v>
      </c>
      <c r="X600" s="62">
        <f t="array" aca="1" ref="X600:AA600" ca="1">simulate!AE600:AH600</f>
        <v>0.5100749805352045</v>
      </c>
      <c r="Y600" s="62">
        <f ca="1"/>
        <v>0.84308738593105637</v>
      </c>
      <c r="Z600" s="62">
        <f ca="1"/>
        <v>0.38307883206950677</v>
      </c>
      <c r="AA600" s="62">
        <f ca="1"/>
        <v>0.33332198668566171</v>
      </c>
      <c r="AB600" s="98">
        <f t="shared" si="19"/>
        <v>0</v>
      </c>
      <c r="AC600" s="62">
        <f t="array" aca="1" ref="AC600:AF600" ca="1">TRANSPOSE($G$44:$G$47 + MMULT($I$44:$L$47,TRANSPOSE(AR599:AU599)))</f>
        <v>0.69199285883098383</v>
      </c>
      <c r="AD600" s="62">
        <f ca="1"/>
        <v>0.54310697322090784</v>
      </c>
      <c r="AE600" s="62">
        <f ca="1"/>
        <v>0.62499688174711332</v>
      </c>
      <c r="AF600" s="62">
        <f ca="1"/>
        <v>0.33474647242290723</v>
      </c>
      <c r="AG600" s="66" t="str">
        <f t="array" ref="AG600">IF($AB600, Push(MMULT($I$44:$L$47,MMULT(Fetch(AV599),TRANSPOSE($I$44:$L$47))) + $N$44:$Q$47), "")</f>
        <v/>
      </c>
      <c r="AH600" s="62">
        <f t="array" aca="1" ref="AH600:AK600" ca="1">TRANSPOSE($G$38:$G$41 + MMULT($I$38:$L$41,TRANSPOSE(AC600:AF600)))</f>
        <v>1.0317732581898835</v>
      </c>
      <c r="AI600" s="62">
        <f ca="1"/>
        <v>0.67348620586834995</v>
      </c>
      <c r="AJ600" s="62">
        <f ca="1"/>
        <v>0.41389582227976018</v>
      </c>
      <c r="AK600" s="62">
        <f ca="1"/>
        <v>0.57107713225960244</v>
      </c>
      <c r="AL600" s="66" t="str">
        <f t="array" ref="AL600">IF($AB600, Push(MINVERSE(MMULT($I$38:$L$41,MMULT(Fetch(AG600),TRANSPOSE($I$38:$L$41))) + $N$38:$Q$41)), "")</f>
        <v/>
      </c>
      <c r="AM600" s="62">
        <f t="array" aca="1" ref="AM600:AP600" ca="1">X600:AA600 - AH600:AK600</f>
        <v>-0.52169827765467902</v>
      </c>
      <c r="AN600" s="62">
        <f ca="1"/>
        <v>0.16960118006270641</v>
      </c>
      <c r="AO600" s="62">
        <f ca="1"/>
        <v>-3.0816990210253414E-2</v>
      </c>
      <c r="AP600" s="62">
        <f ca="1"/>
        <v>-0.23775514557394073</v>
      </c>
      <c r="AQ600" s="66" t="str">
        <f t="array" ref="AQ600">IF($AB600, Push(MMULT(Fetch(AG600),MMULT(TRANSPOSE($I$38:$L$41),Fetch(AL600)))), "")</f>
        <v/>
      </c>
      <c r="AR600" s="62">
        <f t="array" aca="1" ref="AR600:AU600" ca="1">AC600:AF600 + TRANSPOSE(MMULT(IF($AB600,Fetch(AQ600),$L$61:$O$64),TRANSPOSE(AM600:AP600)))</f>
        <v>0.52670325788862371</v>
      </c>
      <c r="AS600" s="62">
        <f ca="1"/>
        <v>0.69011852524209427</v>
      </c>
      <c r="AT600" s="62">
        <f ca="1"/>
        <v>0.25252899516264593</v>
      </c>
      <c r="AU600" s="62">
        <f ca="1"/>
        <v>0.23847617433230323</v>
      </c>
      <c r="AV600" s="66" t="str">
        <f t="array" ref="AV600">IF($AB600, Push(Fetch(AG600) - MMULT(Fetch(AQ600),MMULT($I$38:$L$41,Fetch(AG600)))), "")</f>
        <v/>
      </c>
      <c r="AW600" s="97">
        <f t="array" aca="1" ref="AW600" ca="1">IF($AB600,LN(MDETERM(Fetch(AL600))),$J$65)   -   MMULT(AM600:AP600,MMULT(IF($AB600,Fetch(AL600),$G$61:$J$64),TRANSPOSE(AM600:AP600)))</f>
        <v>5.4596301371246208</v>
      </c>
    </row>
    <row r="601" spans="23:49" x14ac:dyDescent="0.15">
      <c r="W601" s="12">
        <f t="shared" si="18"/>
        <v>598</v>
      </c>
      <c r="X601" s="62">
        <f t="array" aca="1" ref="X601:AA601" ca="1">simulate!AE601:AH601</f>
        <v>0.5123388510839294</v>
      </c>
      <c r="Y601" s="62">
        <f ca="1"/>
        <v>0.10649504246851144</v>
      </c>
      <c r="Z601" s="62">
        <f ca="1"/>
        <v>0.80066595876932256</v>
      </c>
      <c r="AA601" s="62">
        <f ca="1"/>
        <v>0.23996967471613467</v>
      </c>
      <c r="AB601" s="98">
        <f t="shared" si="19"/>
        <v>0</v>
      </c>
      <c r="AC601" s="62">
        <f t="array" aca="1" ref="AC601:AF601" ca="1">TRANSPOSE($G$44:$G$47 + MMULT($I$44:$L$47,TRANSPOSE(AR600:AU600)))</f>
        <v>0.69003312649941939</v>
      </c>
      <c r="AD601" s="62">
        <f ca="1"/>
        <v>0.56443864608538441</v>
      </c>
      <c r="AE601" s="62">
        <f ca="1"/>
        <v>0.42344305850242342</v>
      </c>
      <c r="AF601" s="62">
        <f ca="1"/>
        <v>0.44096110859850007</v>
      </c>
      <c r="AG601" s="66" t="str">
        <f t="array" ref="AG601">IF($AB601, Push(MMULT($I$44:$L$47,MMULT(Fetch(AV600),TRANSPOSE($I$44:$L$47))) + $N$44:$Q$47), "")</f>
        <v/>
      </c>
      <c r="AH601" s="62">
        <f t="array" aca="1" ref="AH601:AK601" ca="1">TRANSPOSE($G$38:$G$41 + MMULT($I$38:$L$41,TRANSPOSE(AC601:AF601)))</f>
        <v>0.87084087443496894</v>
      </c>
      <c r="AI601" s="62">
        <f ca="1"/>
        <v>0.76373132416570044</v>
      </c>
      <c r="AJ601" s="62">
        <f ca="1"/>
        <v>0.51249794964871764</v>
      </c>
      <c r="AK601" s="62">
        <f ca="1"/>
        <v>0.47834860169188853</v>
      </c>
      <c r="AL601" s="66" t="str">
        <f t="array" ref="AL601">IF($AB601, Push(MINVERSE(MMULT($I$38:$L$41,MMULT(Fetch(AG601),TRANSPOSE($I$38:$L$41))) + $N$38:$Q$41)), "")</f>
        <v/>
      </c>
      <c r="AM601" s="62">
        <f t="array" aca="1" ref="AM601:AP601" ca="1">X601:AA601 - AH601:AK601</f>
        <v>-0.35850202335103953</v>
      </c>
      <c r="AN601" s="62">
        <f ca="1"/>
        <v>-0.65723628169718906</v>
      </c>
      <c r="AO601" s="62">
        <f ca="1"/>
        <v>0.28816800912060492</v>
      </c>
      <c r="AP601" s="62">
        <f ca="1"/>
        <v>-0.23837892697575386</v>
      </c>
      <c r="AQ601" s="66" t="str">
        <f t="array" ref="AQ601">IF($AB601, Push(MMULT(Fetch(AG601),MMULT(TRANSPOSE($I$38:$L$41),Fetch(AL601)))), "")</f>
        <v/>
      </c>
      <c r="AR601" s="62">
        <f t="array" aca="1" ref="AR601:AU601" ca="1">AC601:AF601 + TRANSPOSE(MMULT(IF($AB601,Fetch(AQ601),$L$61:$O$64),TRANSPOSE(AM601:AP601)))</f>
        <v>0.54959129893303271</v>
      </c>
      <c r="AS601" s="62">
        <f ca="1"/>
        <v>0.14432210113203581</v>
      </c>
      <c r="AT601" s="62">
        <f ca="1"/>
        <v>0.26776431639327192</v>
      </c>
      <c r="AU601" s="62">
        <f ca="1"/>
        <v>0.46924384535170621</v>
      </c>
      <c r="AV601" s="66" t="str">
        <f t="array" ref="AV601">IF($AB601, Push(Fetch(AG601) - MMULT(Fetch(AQ601),MMULT($I$38:$L$41,Fetch(AG601)))), "")</f>
        <v/>
      </c>
      <c r="AW601" s="97">
        <f t="array" aca="1" ref="AW601" ca="1">IF($AB601,LN(MDETERM(Fetch(AL601))),$J$65)   -   MMULT(AM601:AP601,MMULT(IF($AB601,Fetch(AL601),$G$61:$J$64),TRANSPOSE(AM601:AP601)))</f>
        <v>4.5447203804760559</v>
      </c>
    </row>
    <row r="602" spans="23:49" x14ac:dyDescent="0.15">
      <c r="W602" s="12">
        <f t="shared" si="18"/>
        <v>599</v>
      </c>
      <c r="X602" s="62">
        <f t="array" aca="1" ref="X602:AA602" ca="1">simulate!AE602:AH602</f>
        <v>2.7426600669336831E-2</v>
      </c>
      <c r="Y602" s="62">
        <f ca="1"/>
        <v>0.32161194915358993</v>
      </c>
      <c r="Z602" s="62">
        <f ca="1"/>
        <v>-6.6533676737980219E-2</v>
      </c>
      <c r="AA602" s="62">
        <f ca="1"/>
        <v>0.24406960466070776</v>
      </c>
      <c r="AB602" s="98">
        <f t="shared" si="19"/>
        <v>0</v>
      </c>
      <c r="AC602" s="62">
        <f t="array" aca="1" ref="AC602:AF602" ca="1">TRANSPOSE($G$44:$G$47 + MMULT($I$44:$L$47,TRANSPOSE(AR601:AU601)))</f>
        <v>0.633795488001895</v>
      </c>
      <c r="AD602" s="62">
        <f ca="1"/>
        <v>0.29206545590736088</v>
      </c>
      <c r="AE602" s="62">
        <f ca="1"/>
        <v>0.37883678007646182</v>
      </c>
      <c r="AF602" s="62">
        <f ca="1"/>
        <v>0.53031461781305267</v>
      </c>
      <c r="AG602" s="66" t="str">
        <f t="array" ref="AG602">IF($AB602, Push(MMULT($I$44:$L$47,MMULT(Fetch(AV601),TRANSPOSE($I$44:$L$47))) + $N$44:$Q$47), "")</f>
        <v/>
      </c>
      <c r="AH602" s="62">
        <f t="array" aca="1" ref="AH602:AK602" ca="1">TRANSPOSE($G$38:$G$41 + MMULT($I$38:$L$41,TRANSPOSE(AC602:AF602)))</f>
        <v>0.79127824496602162</v>
      </c>
      <c r="AI602" s="62">
        <f ca="1"/>
        <v>0.5345640859691535</v>
      </c>
      <c r="AJ602" s="62">
        <f ca="1"/>
        <v>0.67299530548230191</v>
      </c>
      <c r="AK602" s="62">
        <f ca="1"/>
        <v>0.42622989012605489</v>
      </c>
      <c r="AL602" s="66" t="str">
        <f t="array" ref="AL602">IF($AB602, Push(MINVERSE(MMULT($I$38:$L$41,MMULT(Fetch(AG602),TRANSPOSE($I$38:$L$41))) + $N$38:$Q$41)), "")</f>
        <v/>
      </c>
      <c r="AM602" s="62">
        <f t="array" aca="1" ref="AM602:AP602" ca="1">X602:AA602 - AH602:AK602</f>
        <v>-0.76385164429668473</v>
      </c>
      <c r="AN602" s="62">
        <f ca="1"/>
        <v>-0.21295213681556358</v>
      </c>
      <c r="AO602" s="62">
        <f ca="1"/>
        <v>-0.73952898222028218</v>
      </c>
      <c r="AP602" s="62">
        <f ca="1"/>
        <v>-0.18216028546534713</v>
      </c>
      <c r="AQ602" s="66" t="str">
        <f t="array" ref="AQ602">IF($AB602, Push(MMULT(Fetch(AG602),MMULT(TRANSPOSE($I$38:$L$41),Fetch(AL602)))), "")</f>
        <v/>
      </c>
      <c r="AR602" s="62">
        <f t="array" aca="1" ref="AR602:AU602" ca="1">AC602:AF602 + TRANSPOSE(MMULT(IF($AB602,Fetch(AQ602),$L$61:$O$64),TRANSPOSE(AM602:AP602)))</f>
        <v>0.1080680164415565</v>
      </c>
      <c r="AS602" s="62">
        <f ca="1"/>
        <v>0.42273523812328506</v>
      </c>
      <c r="AT602" s="62">
        <f ca="1"/>
        <v>-0.1163432140245978</v>
      </c>
      <c r="AU602" s="62">
        <f ca="1"/>
        <v>0.16114672596167745</v>
      </c>
      <c r="AV602" s="66" t="str">
        <f t="array" ref="AV602">IF($AB602, Push(Fetch(AG602) - MMULT(Fetch(AQ602),MMULT($I$38:$L$41,Fetch(AG602)))), "")</f>
        <v/>
      </c>
      <c r="AW602" s="97">
        <f t="array" aca="1" ref="AW602" ca="1">IF($AB602,LN(MDETERM(Fetch(AL602))),$J$65)   -   MMULT(AM602:AP602,MMULT(IF($AB602,Fetch(AL602),$G$61:$J$64),TRANSPOSE(AM602:AP602)))</f>
        <v>1.7312770053146149</v>
      </c>
    </row>
    <row r="603" spans="23:49" x14ac:dyDescent="0.15">
      <c r="W603" s="12"/>
      <c r="X603" s="62"/>
      <c r="Y603" s="62"/>
      <c r="Z603" s="62"/>
      <c r="AA603" s="62"/>
      <c r="AB603" s="98"/>
      <c r="AC603" s="62"/>
      <c r="AD603" s="62"/>
      <c r="AE603" s="62"/>
      <c r="AF603" s="62"/>
      <c r="AG603" s="66"/>
      <c r="AH603" s="62"/>
      <c r="AI603" s="62"/>
      <c r="AJ603" s="62"/>
      <c r="AK603" s="62"/>
      <c r="AL603" s="66"/>
      <c r="AM603" s="62"/>
      <c r="AN603" s="62"/>
      <c r="AO603" s="62"/>
      <c r="AP603" s="62"/>
      <c r="AQ603" s="66"/>
      <c r="AR603" s="62"/>
      <c r="AS603" s="62"/>
      <c r="AT603" s="62"/>
      <c r="AU603" s="62"/>
      <c r="AV603" s="66"/>
      <c r="AW603" s="97"/>
    </row>
    <row r="604" spans="23:49" x14ac:dyDescent="0.15">
      <c r="W604" s="12"/>
      <c r="X604" s="62"/>
      <c r="Y604" s="62"/>
      <c r="Z604" s="62"/>
      <c r="AA604" s="62"/>
      <c r="AB604" s="98"/>
      <c r="AC604" s="62"/>
      <c r="AD604" s="62"/>
      <c r="AE604" s="62"/>
      <c r="AF604" s="62"/>
      <c r="AG604" s="66"/>
      <c r="AH604" s="62"/>
      <c r="AI604" s="62"/>
      <c r="AJ604" s="62"/>
      <c r="AK604" s="62"/>
      <c r="AL604" s="66"/>
      <c r="AM604" s="62"/>
      <c r="AN604" s="62"/>
      <c r="AO604" s="62"/>
      <c r="AP604" s="62"/>
      <c r="AQ604" s="66"/>
      <c r="AR604" s="62"/>
      <c r="AS604" s="62"/>
      <c r="AT604" s="62"/>
      <c r="AU604" s="62"/>
      <c r="AV604" s="66"/>
      <c r="AW604" s="97"/>
    </row>
    <row r="605" spans="23:49" x14ac:dyDescent="0.15">
      <c r="W605" s="12"/>
      <c r="X605" s="62"/>
      <c r="Y605" s="62"/>
      <c r="Z605" s="62"/>
      <c r="AA605" s="62"/>
      <c r="AB605" s="98"/>
      <c r="AC605" s="62"/>
      <c r="AD605" s="62"/>
      <c r="AE605" s="62"/>
      <c r="AF605" s="62"/>
      <c r="AG605" s="66"/>
      <c r="AH605" s="62"/>
      <c r="AI605" s="62"/>
      <c r="AJ605" s="62"/>
      <c r="AK605" s="62"/>
      <c r="AL605" s="66"/>
      <c r="AM605" s="62"/>
      <c r="AN605" s="62"/>
      <c r="AO605" s="62"/>
      <c r="AP605" s="62"/>
      <c r="AQ605" s="66"/>
      <c r="AR605" s="62"/>
      <c r="AS605" s="62"/>
      <c r="AT605" s="62"/>
      <c r="AU605" s="62"/>
      <c r="AV605" s="66"/>
      <c r="AW605" s="97"/>
    </row>
    <row r="606" spans="23:49" x14ac:dyDescent="0.15">
      <c r="W606" s="12"/>
      <c r="X606" s="62"/>
      <c r="Y606" s="62"/>
      <c r="Z606" s="62"/>
      <c r="AA606" s="62"/>
      <c r="AB606" s="98"/>
      <c r="AC606" s="62"/>
      <c r="AD606" s="62"/>
      <c r="AE606" s="62"/>
      <c r="AF606" s="62"/>
      <c r="AG606" s="66"/>
      <c r="AH606" s="62"/>
      <c r="AI606" s="62"/>
      <c r="AJ606" s="62"/>
      <c r="AK606" s="62"/>
      <c r="AL606" s="66"/>
      <c r="AM606" s="62"/>
      <c r="AN606" s="62"/>
      <c r="AO606" s="62"/>
      <c r="AP606" s="62"/>
      <c r="AQ606" s="66"/>
      <c r="AR606" s="62"/>
      <c r="AS606" s="62"/>
      <c r="AT606" s="62"/>
      <c r="AU606" s="62"/>
      <c r="AV606" s="66"/>
      <c r="AW606" s="97"/>
    </row>
    <row r="607" spans="23:49" x14ac:dyDescent="0.15">
      <c r="W607" s="12"/>
      <c r="X607" s="62"/>
      <c r="Y607" s="62"/>
      <c r="Z607" s="62"/>
      <c r="AA607" s="62"/>
      <c r="AB607" s="98"/>
      <c r="AC607" s="62"/>
      <c r="AD607" s="62"/>
      <c r="AE607" s="62"/>
      <c r="AF607" s="62"/>
      <c r="AG607" s="66"/>
      <c r="AH607" s="62"/>
      <c r="AI607" s="62"/>
      <c r="AJ607" s="62"/>
      <c r="AK607" s="62"/>
      <c r="AL607" s="66"/>
      <c r="AM607" s="62"/>
      <c r="AN607" s="62"/>
      <c r="AO607" s="62"/>
      <c r="AP607" s="62"/>
      <c r="AQ607" s="66"/>
      <c r="AR607" s="62"/>
      <c r="AS607" s="62"/>
      <c r="AT607" s="62"/>
      <c r="AU607" s="62"/>
      <c r="AV607" s="66"/>
      <c r="AW607" s="97"/>
    </row>
    <row r="608" spans="23:49" x14ac:dyDescent="0.15">
      <c r="W608" s="12"/>
      <c r="X608" s="62"/>
      <c r="Y608" s="62"/>
      <c r="Z608" s="62"/>
      <c r="AA608" s="62"/>
      <c r="AB608" s="98"/>
      <c r="AC608" s="62"/>
      <c r="AD608" s="62"/>
      <c r="AE608" s="62"/>
      <c r="AF608" s="62"/>
      <c r="AG608" s="66"/>
      <c r="AH608" s="62"/>
      <c r="AI608" s="62"/>
      <c r="AJ608" s="62"/>
      <c r="AK608" s="62"/>
      <c r="AL608" s="66"/>
      <c r="AM608" s="62"/>
      <c r="AN608" s="62"/>
      <c r="AO608" s="62"/>
      <c r="AP608" s="62"/>
      <c r="AQ608" s="66"/>
      <c r="AR608" s="62"/>
      <c r="AS608" s="62"/>
      <c r="AT608" s="62"/>
      <c r="AU608" s="62"/>
      <c r="AV608" s="66"/>
      <c r="AW608" s="97"/>
    </row>
    <row r="609" spans="23:49" x14ac:dyDescent="0.15">
      <c r="W609" s="12"/>
      <c r="X609" s="62"/>
      <c r="Y609" s="62"/>
      <c r="Z609" s="62"/>
      <c r="AA609" s="62"/>
      <c r="AB609" s="98"/>
      <c r="AC609" s="62"/>
      <c r="AD609" s="62"/>
      <c r="AE609" s="62"/>
      <c r="AF609" s="62"/>
      <c r="AG609" s="66"/>
      <c r="AH609" s="62"/>
      <c r="AI609" s="62"/>
      <c r="AJ609" s="62"/>
      <c r="AK609" s="62"/>
      <c r="AL609" s="66"/>
      <c r="AM609" s="62"/>
      <c r="AN609" s="62"/>
      <c r="AO609" s="62"/>
      <c r="AP609" s="62"/>
      <c r="AQ609" s="66"/>
      <c r="AR609" s="62"/>
      <c r="AS609" s="62"/>
      <c r="AT609" s="62"/>
      <c r="AU609" s="62"/>
      <c r="AV609" s="66"/>
      <c r="AW609" s="97"/>
    </row>
    <row r="610" spans="23:49" x14ac:dyDescent="0.15">
      <c r="W610" s="12"/>
      <c r="X610" s="62"/>
      <c r="Y610" s="62"/>
      <c r="Z610" s="62"/>
      <c r="AA610" s="62"/>
      <c r="AB610" s="98"/>
      <c r="AC610" s="62"/>
      <c r="AD610" s="62"/>
      <c r="AE610" s="62"/>
      <c r="AF610" s="62"/>
      <c r="AG610" s="66"/>
      <c r="AH610" s="62"/>
      <c r="AI610" s="62"/>
      <c r="AJ610" s="62"/>
      <c r="AK610" s="62"/>
      <c r="AL610" s="66"/>
      <c r="AM610" s="62"/>
      <c r="AN610" s="62"/>
      <c r="AO610" s="62"/>
      <c r="AP610" s="62"/>
      <c r="AQ610" s="66"/>
      <c r="AR610" s="62"/>
      <c r="AS610" s="62"/>
      <c r="AT610" s="62"/>
      <c r="AU610" s="62"/>
      <c r="AV610" s="66"/>
      <c r="AW610" s="97"/>
    </row>
    <row r="611" spans="23:49" x14ac:dyDescent="0.15">
      <c r="W611" s="12"/>
      <c r="X611" s="62"/>
      <c r="Y611" s="62"/>
      <c r="Z611" s="62"/>
      <c r="AA611" s="62"/>
      <c r="AB611" s="98"/>
      <c r="AC611" s="62"/>
      <c r="AD611" s="62"/>
      <c r="AE611" s="62"/>
      <c r="AF611" s="62"/>
      <c r="AG611" s="66"/>
      <c r="AH611" s="62"/>
      <c r="AI611" s="62"/>
      <c r="AJ611" s="62"/>
      <c r="AK611" s="62"/>
      <c r="AL611" s="66"/>
      <c r="AM611" s="62"/>
      <c r="AN611" s="62"/>
      <c r="AO611" s="62"/>
      <c r="AP611" s="62"/>
      <c r="AQ611" s="66"/>
      <c r="AR611" s="62"/>
      <c r="AS611" s="62"/>
      <c r="AT611" s="62"/>
      <c r="AU611" s="62"/>
      <c r="AV611" s="66"/>
      <c r="AW611" s="97"/>
    </row>
    <row r="612" spans="23:49" x14ac:dyDescent="0.15">
      <c r="W612" s="12"/>
      <c r="X612" s="62"/>
      <c r="Y612" s="62"/>
      <c r="Z612" s="62"/>
      <c r="AA612" s="62"/>
      <c r="AB612" s="98"/>
      <c r="AC612" s="62"/>
      <c r="AD612" s="62"/>
      <c r="AE612" s="62"/>
      <c r="AF612" s="62"/>
      <c r="AG612" s="66"/>
      <c r="AH612" s="62"/>
      <c r="AI612" s="62"/>
      <c r="AJ612" s="62"/>
      <c r="AK612" s="62"/>
      <c r="AL612" s="66"/>
      <c r="AM612" s="62"/>
      <c r="AN612" s="62"/>
      <c r="AO612" s="62"/>
      <c r="AP612" s="62"/>
      <c r="AQ612" s="66"/>
      <c r="AR612" s="62"/>
      <c r="AS612" s="62"/>
      <c r="AT612" s="62"/>
      <c r="AU612" s="62"/>
      <c r="AV612" s="66"/>
      <c r="AW612" s="97"/>
    </row>
    <row r="613" spans="23:49" x14ac:dyDescent="0.15">
      <c r="W613" s="12"/>
      <c r="X613" s="62"/>
      <c r="Y613" s="62"/>
      <c r="Z613" s="62"/>
      <c r="AA613" s="62"/>
      <c r="AB613" s="98"/>
      <c r="AC613" s="62"/>
      <c r="AD613" s="62"/>
      <c r="AE613" s="62"/>
      <c r="AF613" s="62"/>
      <c r="AG613" s="66"/>
      <c r="AH613" s="62"/>
      <c r="AI613" s="62"/>
      <c r="AJ613" s="62"/>
      <c r="AK613" s="62"/>
      <c r="AL613" s="66"/>
      <c r="AM613" s="62"/>
      <c r="AN613" s="62"/>
      <c r="AO613" s="62"/>
      <c r="AP613" s="62"/>
      <c r="AQ613" s="66"/>
      <c r="AR613" s="62"/>
      <c r="AS613" s="62"/>
      <c r="AT613" s="62"/>
      <c r="AU613" s="62"/>
      <c r="AV613" s="66"/>
      <c r="AW613" s="97"/>
    </row>
    <row r="614" spans="23:49" x14ac:dyDescent="0.15">
      <c r="W614" s="12"/>
      <c r="X614" s="62"/>
      <c r="Y614" s="62"/>
      <c r="Z614" s="62"/>
      <c r="AA614" s="62"/>
      <c r="AB614" s="98"/>
      <c r="AC614" s="62"/>
      <c r="AD614" s="62"/>
      <c r="AE614" s="62"/>
      <c r="AF614" s="62"/>
      <c r="AG614" s="66"/>
      <c r="AH614" s="62"/>
      <c r="AI614" s="62"/>
      <c r="AJ614" s="62"/>
      <c r="AK614" s="62"/>
      <c r="AL614" s="66"/>
      <c r="AM614" s="62"/>
      <c r="AN614" s="62"/>
      <c r="AO614" s="62"/>
      <c r="AP614" s="62"/>
      <c r="AQ614" s="66"/>
      <c r="AR614" s="62"/>
      <c r="AS614" s="62"/>
      <c r="AT614" s="62"/>
      <c r="AU614" s="62"/>
      <c r="AV614" s="66"/>
      <c r="AW614" s="97"/>
    </row>
    <row r="615" spans="23:49" x14ac:dyDescent="0.15">
      <c r="W615" s="12"/>
      <c r="X615" s="62"/>
      <c r="Y615" s="62"/>
      <c r="Z615" s="62"/>
      <c r="AA615" s="62"/>
      <c r="AB615" s="98"/>
      <c r="AC615" s="62"/>
      <c r="AD615" s="62"/>
      <c r="AE615" s="62"/>
      <c r="AF615" s="62"/>
      <c r="AG615" s="66"/>
      <c r="AH615" s="62"/>
      <c r="AI615" s="62"/>
      <c r="AJ615" s="62"/>
      <c r="AK615" s="62"/>
      <c r="AL615" s="66"/>
      <c r="AM615" s="62"/>
      <c r="AN615" s="62"/>
      <c r="AO615" s="62"/>
      <c r="AP615" s="62"/>
      <c r="AQ615" s="66"/>
      <c r="AR615" s="62"/>
      <c r="AS615" s="62"/>
      <c r="AT615" s="62"/>
      <c r="AU615" s="62"/>
      <c r="AV615" s="66"/>
      <c r="AW615" s="97"/>
    </row>
    <row r="616" spans="23:49" x14ac:dyDescent="0.15">
      <c r="W616" s="12"/>
      <c r="X616" s="62"/>
      <c r="Y616" s="62"/>
      <c r="Z616" s="62"/>
      <c r="AA616" s="62"/>
      <c r="AB616" s="98"/>
      <c r="AC616" s="62"/>
      <c r="AD616" s="62"/>
      <c r="AE616" s="62"/>
      <c r="AF616" s="62"/>
      <c r="AG616" s="66"/>
      <c r="AH616" s="62"/>
      <c r="AI616" s="62"/>
      <c r="AJ616" s="62"/>
      <c r="AK616" s="62"/>
      <c r="AL616" s="66"/>
      <c r="AM616" s="62"/>
      <c r="AN616" s="62"/>
      <c r="AO616" s="62"/>
      <c r="AP616" s="62"/>
      <c r="AQ616" s="66"/>
      <c r="AR616" s="62"/>
      <c r="AS616" s="62"/>
      <c r="AT616" s="62"/>
      <c r="AU616" s="62"/>
      <c r="AV616" s="66"/>
      <c r="AW616" s="97"/>
    </row>
    <row r="617" spans="23:49" x14ac:dyDescent="0.15">
      <c r="W617" s="12"/>
      <c r="X617" s="62"/>
      <c r="Y617" s="62"/>
      <c r="Z617" s="62"/>
      <c r="AA617" s="62"/>
      <c r="AB617" s="98"/>
      <c r="AC617" s="62"/>
      <c r="AD617" s="62"/>
      <c r="AE617" s="62"/>
      <c r="AF617" s="62"/>
      <c r="AG617" s="66"/>
      <c r="AH617" s="62"/>
      <c r="AI617" s="62"/>
      <c r="AJ617" s="62"/>
      <c r="AK617" s="62"/>
      <c r="AL617" s="66"/>
      <c r="AM617" s="62"/>
      <c r="AN617" s="62"/>
      <c r="AO617" s="62"/>
      <c r="AP617" s="62"/>
      <c r="AQ617" s="66"/>
      <c r="AR617" s="62"/>
      <c r="AS617" s="62"/>
      <c r="AT617" s="62"/>
      <c r="AU617" s="62"/>
      <c r="AV617" s="66"/>
      <c r="AW617" s="97"/>
    </row>
    <row r="618" spans="23:49" x14ac:dyDescent="0.15">
      <c r="W618" s="12"/>
      <c r="X618" s="62"/>
      <c r="Y618" s="62"/>
      <c r="Z618" s="62"/>
      <c r="AA618" s="62"/>
      <c r="AB618" s="98"/>
      <c r="AC618" s="62"/>
      <c r="AD618" s="62"/>
      <c r="AE618" s="62"/>
      <c r="AF618" s="62"/>
      <c r="AG618" s="66"/>
      <c r="AH618" s="62"/>
      <c r="AI618" s="62"/>
      <c r="AJ618" s="62"/>
      <c r="AK618" s="62"/>
      <c r="AL618" s="66"/>
      <c r="AM618" s="62"/>
      <c r="AN618" s="62"/>
      <c r="AO618" s="62"/>
      <c r="AP618" s="62"/>
      <c r="AQ618" s="66"/>
      <c r="AR618" s="62"/>
      <c r="AS618" s="62"/>
      <c r="AT618" s="62"/>
      <c r="AU618" s="62"/>
      <c r="AV618" s="66"/>
      <c r="AW618" s="97"/>
    </row>
    <row r="619" spans="23:49" x14ac:dyDescent="0.15">
      <c r="W619" s="12"/>
      <c r="X619" s="62"/>
      <c r="Y619" s="62"/>
      <c r="Z619" s="62"/>
      <c r="AA619" s="62"/>
      <c r="AB619" s="98"/>
      <c r="AC619" s="62"/>
      <c r="AD619" s="62"/>
      <c r="AE619" s="62"/>
      <c r="AF619" s="62"/>
      <c r="AG619" s="66"/>
      <c r="AH619" s="62"/>
      <c r="AI619" s="62"/>
      <c r="AJ619" s="62"/>
      <c r="AK619" s="62"/>
      <c r="AL619" s="66"/>
      <c r="AM619" s="62"/>
      <c r="AN619" s="62"/>
      <c r="AO619" s="62"/>
      <c r="AP619" s="62"/>
      <c r="AQ619" s="66"/>
      <c r="AR619" s="62"/>
      <c r="AS619" s="62"/>
      <c r="AT619" s="62"/>
      <c r="AU619" s="62"/>
      <c r="AV619" s="66"/>
      <c r="AW619" s="97"/>
    </row>
    <row r="620" spans="23:49" x14ac:dyDescent="0.15">
      <c r="W620" s="12"/>
      <c r="X620" s="62"/>
      <c r="Y620" s="62"/>
      <c r="Z620" s="62"/>
      <c r="AA620" s="62"/>
      <c r="AB620" s="98"/>
      <c r="AC620" s="62"/>
      <c r="AD620" s="62"/>
      <c r="AE620" s="62"/>
      <c r="AF620" s="62"/>
      <c r="AG620" s="66"/>
      <c r="AH620" s="62"/>
      <c r="AI620" s="62"/>
      <c r="AJ620" s="62"/>
      <c r="AK620" s="62"/>
      <c r="AL620" s="66"/>
      <c r="AM620" s="62"/>
      <c r="AN620" s="62"/>
      <c r="AO620" s="62"/>
      <c r="AP620" s="62"/>
      <c r="AQ620" s="66"/>
      <c r="AR620" s="62"/>
      <c r="AS620" s="62"/>
      <c r="AT620" s="62"/>
      <c r="AU620" s="62"/>
      <c r="AV620" s="66"/>
      <c r="AW620" s="97"/>
    </row>
    <row r="621" spans="23:49" x14ac:dyDescent="0.15">
      <c r="W621" s="12"/>
      <c r="X621" s="62"/>
      <c r="Y621" s="62"/>
      <c r="Z621" s="62"/>
      <c r="AA621" s="62"/>
      <c r="AB621" s="98"/>
      <c r="AC621" s="62"/>
      <c r="AD621" s="62"/>
      <c r="AE621" s="62"/>
      <c r="AF621" s="62"/>
      <c r="AG621" s="66"/>
      <c r="AH621" s="62"/>
      <c r="AI621" s="62"/>
      <c r="AJ621" s="62"/>
      <c r="AK621" s="62"/>
      <c r="AL621" s="66"/>
      <c r="AM621" s="62"/>
      <c r="AN621" s="62"/>
      <c r="AO621" s="62"/>
      <c r="AP621" s="62"/>
      <c r="AQ621" s="66"/>
      <c r="AR621" s="62"/>
      <c r="AS621" s="62"/>
      <c r="AT621" s="62"/>
      <c r="AU621" s="62"/>
      <c r="AV621" s="66"/>
      <c r="AW621" s="97"/>
    </row>
    <row r="622" spans="23:49" x14ac:dyDescent="0.15">
      <c r="W622" s="12"/>
      <c r="X622" s="62"/>
      <c r="Y622" s="62"/>
      <c r="Z622" s="62"/>
      <c r="AA622" s="62"/>
      <c r="AB622" s="98"/>
      <c r="AC622" s="62"/>
      <c r="AD622" s="62"/>
      <c r="AE622" s="62"/>
      <c r="AF622" s="62"/>
      <c r="AG622" s="66"/>
      <c r="AH622" s="62"/>
      <c r="AI622" s="62"/>
      <c r="AJ622" s="62"/>
      <c r="AK622" s="62"/>
      <c r="AL622" s="66"/>
      <c r="AM622" s="62"/>
      <c r="AN622" s="62"/>
      <c r="AO622" s="62"/>
      <c r="AP622" s="62"/>
      <c r="AQ622" s="66"/>
      <c r="AR622" s="62"/>
      <c r="AS622" s="62"/>
      <c r="AT622" s="62"/>
      <c r="AU622" s="62"/>
      <c r="AV622" s="66"/>
      <c r="AW622" s="97"/>
    </row>
    <row r="623" spans="23:49" x14ac:dyDescent="0.15">
      <c r="W623" s="12"/>
      <c r="X623" s="62"/>
      <c r="Y623" s="62"/>
      <c r="Z623" s="62"/>
      <c r="AA623" s="62"/>
      <c r="AB623" s="98"/>
      <c r="AC623" s="62"/>
      <c r="AD623" s="62"/>
      <c r="AE623" s="62"/>
      <c r="AF623" s="62"/>
      <c r="AG623" s="66"/>
      <c r="AH623" s="62"/>
      <c r="AI623" s="62"/>
      <c r="AJ623" s="62"/>
      <c r="AK623" s="62"/>
      <c r="AL623" s="66"/>
      <c r="AM623" s="62"/>
      <c r="AN623" s="62"/>
      <c r="AO623" s="62"/>
      <c r="AP623" s="62"/>
      <c r="AQ623" s="66"/>
      <c r="AR623" s="62"/>
      <c r="AS623" s="62"/>
      <c r="AT623" s="62"/>
      <c r="AU623" s="62"/>
      <c r="AV623" s="66"/>
      <c r="AW623" s="97"/>
    </row>
    <row r="624" spans="23:49" x14ac:dyDescent="0.15">
      <c r="W624" s="12"/>
      <c r="X624" s="62"/>
      <c r="Y624" s="62"/>
      <c r="Z624" s="62"/>
      <c r="AA624" s="62"/>
      <c r="AB624" s="98"/>
      <c r="AC624" s="62"/>
      <c r="AD624" s="62"/>
      <c r="AE624" s="62"/>
      <c r="AF624" s="62"/>
      <c r="AG624" s="66"/>
      <c r="AH624" s="62"/>
      <c r="AI624" s="62"/>
      <c r="AJ624" s="62"/>
      <c r="AK624" s="62"/>
      <c r="AL624" s="66"/>
      <c r="AM624" s="62"/>
      <c r="AN624" s="62"/>
      <c r="AO624" s="62"/>
      <c r="AP624" s="62"/>
      <c r="AQ624" s="66"/>
      <c r="AR624" s="62"/>
      <c r="AS624" s="62"/>
      <c r="AT624" s="62"/>
      <c r="AU624" s="62"/>
      <c r="AV624" s="66"/>
      <c r="AW624" s="97"/>
    </row>
    <row r="625" spans="23:49" x14ac:dyDescent="0.15">
      <c r="W625" s="12"/>
      <c r="X625" s="62"/>
      <c r="Y625" s="62"/>
      <c r="Z625" s="62"/>
      <c r="AA625" s="62"/>
      <c r="AB625" s="98"/>
      <c r="AC625" s="62"/>
      <c r="AD625" s="62"/>
      <c r="AE625" s="62"/>
      <c r="AF625" s="62"/>
      <c r="AG625" s="66"/>
      <c r="AH625" s="62"/>
      <c r="AI625" s="62"/>
      <c r="AJ625" s="62"/>
      <c r="AK625" s="62"/>
      <c r="AL625" s="66"/>
      <c r="AM625" s="62"/>
      <c r="AN625" s="62"/>
      <c r="AO625" s="62"/>
      <c r="AP625" s="62"/>
      <c r="AQ625" s="66"/>
      <c r="AR625" s="62"/>
      <c r="AS625" s="62"/>
      <c r="AT625" s="62"/>
      <c r="AU625" s="62"/>
      <c r="AV625" s="66"/>
      <c r="AW625" s="97"/>
    </row>
    <row r="626" spans="23:49" x14ac:dyDescent="0.15">
      <c r="W626" s="12"/>
      <c r="X626" s="62"/>
      <c r="Y626" s="62"/>
      <c r="Z626" s="62"/>
      <c r="AA626" s="62"/>
      <c r="AB626" s="98"/>
      <c r="AC626" s="62"/>
      <c r="AD626" s="62"/>
      <c r="AE626" s="62"/>
      <c r="AF626" s="62"/>
      <c r="AG626" s="66"/>
      <c r="AH626" s="62"/>
      <c r="AI626" s="62"/>
      <c r="AJ626" s="62"/>
      <c r="AK626" s="62"/>
      <c r="AL626" s="66"/>
      <c r="AM626" s="62"/>
      <c r="AN626" s="62"/>
      <c r="AO626" s="62"/>
      <c r="AP626" s="62"/>
      <c r="AQ626" s="66"/>
      <c r="AR626" s="62"/>
      <c r="AS626" s="62"/>
      <c r="AT626" s="62"/>
      <c r="AU626" s="62"/>
      <c r="AV626" s="66"/>
      <c r="AW626" s="97"/>
    </row>
    <row r="627" spans="23:49" x14ac:dyDescent="0.15">
      <c r="W627" s="12"/>
      <c r="X627" s="62"/>
      <c r="Y627" s="62"/>
      <c r="Z627" s="62"/>
      <c r="AA627" s="62"/>
      <c r="AB627" s="98"/>
      <c r="AC627" s="62"/>
      <c r="AD627" s="62"/>
      <c r="AE627" s="62"/>
      <c r="AF627" s="62"/>
      <c r="AG627" s="66"/>
      <c r="AH627" s="62"/>
      <c r="AI627" s="62"/>
      <c r="AJ627" s="62"/>
      <c r="AK627" s="62"/>
      <c r="AL627" s="66"/>
      <c r="AM627" s="62"/>
      <c r="AN627" s="62"/>
      <c r="AO627" s="62"/>
      <c r="AP627" s="62"/>
      <c r="AQ627" s="66"/>
      <c r="AR627" s="62"/>
      <c r="AS627" s="62"/>
      <c r="AT627" s="62"/>
      <c r="AU627" s="62"/>
      <c r="AV627" s="66"/>
      <c r="AW627" s="97"/>
    </row>
    <row r="628" spans="23:49" x14ac:dyDescent="0.15">
      <c r="W628" s="12"/>
      <c r="X628" s="62"/>
      <c r="Y628" s="62"/>
      <c r="Z628" s="62"/>
      <c r="AA628" s="62"/>
      <c r="AB628" s="98"/>
      <c r="AC628" s="62"/>
      <c r="AD628" s="62"/>
      <c r="AE628" s="62"/>
      <c r="AF628" s="62"/>
      <c r="AG628" s="66"/>
      <c r="AH628" s="62"/>
      <c r="AI628" s="62"/>
      <c r="AJ628" s="62"/>
      <c r="AK628" s="62"/>
      <c r="AL628" s="66"/>
      <c r="AM628" s="62"/>
      <c r="AN628" s="62"/>
      <c r="AO628" s="62"/>
      <c r="AP628" s="62"/>
      <c r="AQ628" s="66"/>
      <c r="AR628" s="62"/>
      <c r="AS628" s="62"/>
      <c r="AT628" s="62"/>
      <c r="AU628" s="62"/>
      <c r="AV628" s="66"/>
      <c r="AW628" s="97"/>
    </row>
    <row r="629" spans="23:49" x14ac:dyDescent="0.15">
      <c r="W629" s="12"/>
      <c r="X629" s="62"/>
      <c r="Y629" s="62"/>
      <c r="Z629" s="62"/>
      <c r="AA629" s="62"/>
      <c r="AB629" s="98"/>
      <c r="AC629" s="62"/>
      <c r="AD629" s="62"/>
      <c r="AE629" s="62"/>
      <c r="AF629" s="62"/>
      <c r="AG629" s="66"/>
      <c r="AH629" s="62"/>
      <c r="AI629" s="62"/>
      <c r="AJ629" s="62"/>
      <c r="AK629" s="62"/>
      <c r="AL629" s="66"/>
      <c r="AM629" s="62"/>
      <c r="AN629" s="62"/>
      <c r="AO629" s="62"/>
      <c r="AP629" s="62"/>
      <c r="AQ629" s="66"/>
      <c r="AR629" s="62"/>
      <c r="AS629" s="62"/>
      <c r="AT629" s="62"/>
      <c r="AU629" s="62"/>
      <c r="AV629" s="66"/>
      <c r="AW629" s="97"/>
    </row>
    <row r="630" spans="23:49" x14ac:dyDescent="0.15">
      <c r="W630" s="12"/>
      <c r="X630" s="62"/>
      <c r="Y630" s="62"/>
      <c r="Z630" s="62"/>
      <c r="AA630" s="62"/>
      <c r="AB630" s="98"/>
      <c r="AC630" s="62"/>
      <c r="AD630" s="62"/>
      <c r="AE630" s="62"/>
      <c r="AF630" s="62"/>
      <c r="AG630" s="66"/>
      <c r="AH630" s="62"/>
      <c r="AI630" s="62"/>
      <c r="AJ630" s="62"/>
      <c r="AK630" s="62"/>
      <c r="AL630" s="66"/>
      <c r="AM630" s="62"/>
      <c r="AN630" s="62"/>
      <c r="AO630" s="62"/>
      <c r="AP630" s="62"/>
      <c r="AQ630" s="66"/>
      <c r="AR630" s="62"/>
      <c r="AS630" s="62"/>
      <c r="AT630" s="62"/>
      <c r="AU630" s="62"/>
      <c r="AV630" s="66"/>
      <c r="AW630" s="97"/>
    </row>
    <row r="631" spans="23:49" x14ac:dyDescent="0.15">
      <c r="W631" s="12"/>
      <c r="X631" s="62"/>
      <c r="Y631" s="62"/>
      <c r="Z631" s="62"/>
      <c r="AA631" s="62"/>
      <c r="AB631" s="98"/>
      <c r="AC631" s="62"/>
      <c r="AD631" s="62"/>
      <c r="AE631" s="62"/>
      <c r="AF631" s="62"/>
      <c r="AG631" s="66"/>
      <c r="AH631" s="62"/>
      <c r="AI631" s="62"/>
      <c r="AJ631" s="62"/>
      <c r="AK631" s="62"/>
      <c r="AL631" s="66"/>
      <c r="AM631" s="62"/>
      <c r="AN631" s="62"/>
      <c r="AO631" s="62"/>
      <c r="AP631" s="62"/>
      <c r="AQ631" s="66"/>
      <c r="AR631" s="62"/>
      <c r="AS631" s="62"/>
      <c r="AT631" s="62"/>
      <c r="AU631" s="62"/>
      <c r="AV631" s="66"/>
      <c r="AW631" s="97"/>
    </row>
    <row r="632" spans="23:49" x14ac:dyDescent="0.15">
      <c r="W632" s="12"/>
      <c r="X632" s="62"/>
      <c r="Y632" s="62"/>
      <c r="Z632" s="62"/>
      <c r="AA632" s="62"/>
      <c r="AB632" s="98"/>
      <c r="AC632" s="62"/>
      <c r="AD632" s="62"/>
      <c r="AE632" s="62"/>
      <c r="AF632" s="62"/>
      <c r="AG632" s="66"/>
      <c r="AH632" s="62"/>
      <c r="AI632" s="62"/>
      <c r="AJ632" s="62"/>
      <c r="AK632" s="62"/>
      <c r="AL632" s="66"/>
      <c r="AM632" s="62"/>
      <c r="AN632" s="62"/>
      <c r="AO632" s="62"/>
      <c r="AP632" s="62"/>
      <c r="AQ632" s="66"/>
      <c r="AR632" s="62"/>
      <c r="AS632" s="62"/>
      <c r="AT632" s="62"/>
      <c r="AU632" s="62"/>
      <c r="AV632" s="66"/>
      <c r="AW632" s="97"/>
    </row>
    <row r="633" spans="23:49" x14ac:dyDescent="0.15">
      <c r="W633" s="12"/>
      <c r="X633" s="62"/>
      <c r="Y633" s="62"/>
      <c r="Z633" s="62"/>
      <c r="AA633" s="62"/>
      <c r="AB633" s="98"/>
      <c r="AC633" s="62"/>
      <c r="AD633" s="62"/>
      <c r="AE633" s="62"/>
      <c r="AF633" s="62"/>
      <c r="AG633" s="66"/>
      <c r="AH633" s="62"/>
      <c r="AI633" s="62"/>
      <c r="AJ633" s="62"/>
      <c r="AK633" s="62"/>
      <c r="AL633" s="66"/>
      <c r="AM633" s="62"/>
      <c r="AN633" s="62"/>
      <c r="AO633" s="62"/>
      <c r="AP633" s="62"/>
      <c r="AQ633" s="66"/>
      <c r="AR633" s="62"/>
      <c r="AS633" s="62"/>
      <c r="AT633" s="62"/>
      <c r="AU633" s="62"/>
      <c r="AV633" s="66"/>
      <c r="AW633" s="97"/>
    </row>
    <row r="634" spans="23:49" x14ac:dyDescent="0.15">
      <c r="W634" s="12"/>
      <c r="X634" s="62"/>
      <c r="Y634" s="62"/>
      <c r="Z634" s="62"/>
      <c r="AA634" s="62"/>
      <c r="AB634" s="98"/>
      <c r="AC634" s="62"/>
      <c r="AD634" s="62"/>
      <c r="AE634" s="62"/>
      <c r="AF634" s="62"/>
      <c r="AG634" s="66"/>
      <c r="AH634" s="62"/>
      <c r="AI634" s="62"/>
      <c r="AJ634" s="62"/>
      <c r="AK634" s="62"/>
      <c r="AL634" s="66"/>
      <c r="AM634" s="62"/>
      <c r="AN634" s="62"/>
      <c r="AO634" s="62"/>
      <c r="AP634" s="62"/>
      <c r="AQ634" s="66"/>
      <c r="AR634" s="62"/>
      <c r="AS634" s="62"/>
      <c r="AT634" s="62"/>
      <c r="AU634" s="62"/>
      <c r="AV634" s="66"/>
      <c r="AW634" s="97"/>
    </row>
    <row r="635" spans="23:49" x14ac:dyDescent="0.15">
      <c r="W635" s="12"/>
      <c r="X635" s="62"/>
      <c r="Y635" s="62"/>
      <c r="Z635" s="62"/>
      <c r="AA635" s="62"/>
      <c r="AB635" s="98"/>
      <c r="AC635" s="62"/>
      <c r="AD635" s="62"/>
      <c r="AE635" s="62"/>
      <c r="AF635" s="62"/>
      <c r="AG635" s="66"/>
      <c r="AH635" s="62"/>
      <c r="AI635" s="62"/>
      <c r="AJ635" s="62"/>
      <c r="AK635" s="62"/>
      <c r="AL635" s="66"/>
      <c r="AM635" s="62"/>
      <c r="AN635" s="62"/>
      <c r="AO635" s="62"/>
      <c r="AP635" s="62"/>
      <c r="AQ635" s="66"/>
      <c r="AR635" s="62"/>
      <c r="AS635" s="62"/>
      <c r="AT635" s="62"/>
      <c r="AU635" s="62"/>
      <c r="AV635" s="66"/>
      <c r="AW635" s="97"/>
    </row>
    <row r="636" spans="23:49" x14ac:dyDescent="0.15">
      <c r="W636" s="12"/>
      <c r="X636" s="62"/>
      <c r="Y636" s="62"/>
      <c r="Z636" s="62"/>
      <c r="AA636" s="62"/>
      <c r="AB636" s="98"/>
      <c r="AC636" s="62"/>
      <c r="AD636" s="62"/>
      <c r="AE636" s="62"/>
      <c r="AF636" s="62"/>
      <c r="AG636" s="66"/>
      <c r="AH636" s="62"/>
      <c r="AI636" s="62"/>
      <c r="AJ636" s="62"/>
      <c r="AK636" s="62"/>
      <c r="AL636" s="66"/>
      <c r="AM636" s="62"/>
      <c r="AN636" s="62"/>
      <c r="AO636" s="62"/>
      <c r="AP636" s="62"/>
      <c r="AQ636" s="66"/>
      <c r="AR636" s="62"/>
      <c r="AS636" s="62"/>
      <c r="AT636" s="62"/>
      <c r="AU636" s="62"/>
      <c r="AV636" s="66"/>
      <c r="AW636" s="97"/>
    </row>
    <row r="637" spans="23:49" x14ac:dyDescent="0.15">
      <c r="W637" s="12"/>
      <c r="X637" s="62"/>
      <c r="Y637" s="62"/>
      <c r="Z637" s="62"/>
      <c r="AA637" s="62"/>
      <c r="AB637" s="98"/>
      <c r="AC637" s="62"/>
      <c r="AD637" s="62"/>
      <c r="AE637" s="62"/>
      <c r="AF637" s="62"/>
      <c r="AG637" s="66"/>
      <c r="AH637" s="62"/>
      <c r="AI637" s="62"/>
      <c r="AJ637" s="62"/>
      <c r="AK637" s="62"/>
      <c r="AL637" s="66"/>
      <c r="AM637" s="62"/>
      <c r="AN637" s="62"/>
      <c r="AO637" s="62"/>
      <c r="AP637" s="62"/>
      <c r="AQ637" s="66"/>
      <c r="AR637" s="62"/>
      <c r="AS637" s="62"/>
      <c r="AT637" s="62"/>
      <c r="AU637" s="62"/>
      <c r="AV637" s="66"/>
      <c r="AW637" s="97"/>
    </row>
    <row r="638" spans="23:49" x14ac:dyDescent="0.15">
      <c r="W638" s="12"/>
      <c r="X638" s="62"/>
      <c r="Y638" s="62"/>
      <c r="Z638" s="62"/>
      <c r="AA638" s="62"/>
      <c r="AB638" s="98"/>
      <c r="AC638" s="62"/>
      <c r="AD638" s="62"/>
      <c r="AE638" s="62"/>
      <c r="AF638" s="62"/>
      <c r="AG638" s="66"/>
      <c r="AH638" s="62"/>
      <c r="AI638" s="62"/>
      <c r="AJ638" s="62"/>
      <c r="AK638" s="62"/>
      <c r="AL638" s="66"/>
      <c r="AM638" s="62"/>
      <c r="AN638" s="62"/>
      <c r="AO638" s="62"/>
      <c r="AP638" s="62"/>
      <c r="AQ638" s="66"/>
      <c r="AR638" s="62"/>
      <c r="AS638" s="62"/>
      <c r="AT638" s="62"/>
      <c r="AU638" s="62"/>
      <c r="AV638" s="66"/>
      <c r="AW638" s="97"/>
    </row>
    <row r="639" spans="23:49" x14ac:dyDescent="0.15">
      <c r="W639" s="12"/>
      <c r="X639" s="62"/>
      <c r="Y639" s="62"/>
      <c r="Z639" s="62"/>
      <c r="AA639" s="62"/>
      <c r="AB639" s="98"/>
      <c r="AC639" s="62"/>
      <c r="AD639" s="62"/>
      <c r="AE639" s="62"/>
      <c r="AF639" s="62"/>
      <c r="AG639" s="66"/>
      <c r="AH639" s="62"/>
      <c r="AI639" s="62"/>
      <c r="AJ639" s="62"/>
      <c r="AK639" s="62"/>
      <c r="AL639" s="66"/>
      <c r="AM639" s="62"/>
      <c r="AN639" s="62"/>
      <c r="AO639" s="62"/>
      <c r="AP639" s="62"/>
      <c r="AQ639" s="66"/>
      <c r="AR639" s="62"/>
      <c r="AS639" s="62"/>
      <c r="AT639" s="62"/>
      <c r="AU639" s="62"/>
      <c r="AV639" s="66"/>
      <c r="AW639" s="97"/>
    </row>
    <row r="640" spans="23:49" x14ac:dyDescent="0.15">
      <c r="W640" s="12"/>
      <c r="X640" s="62"/>
      <c r="Y640" s="62"/>
      <c r="Z640" s="62"/>
      <c r="AA640" s="62"/>
      <c r="AB640" s="98"/>
      <c r="AC640" s="62"/>
      <c r="AD640" s="62"/>
      <c r="AE640" s="62"/>
      <c r="AF640" s="62"/>
      <c r="AG640" s="66"/>
      <c r="AH640" s="62"/>
      <c r="AI640" s="62"/>
      <c r="AJ640" s="62"/>
      <c r="AK640" s="62"/>
      <c r="AL640" s="66"/>
      <c r="AM640" s="62"/>
      <c r="AN640" s="62"/>
      <c r="AO640" s="62"/>
      <c r="AP640" s="62"/>
      <c r="AQ640" s="66"/>
      <c r="AR640" s="62"/>
      <c r="AS640" s="62"/>
      <c r="AT640" s="62"/>
      <c r="AU640" s="62"/>
      <c r="AV640" s="66"/>
      <c r="AW640" s="97"/>
    </row>
    <row r="641" spans="23:49" x14ac:dyDescent="0.15">
      <c r="W641" s="12"/>
      <c r="X641" s="62"/>
      <c r="Y641" s="62"/>
      <c r="Z641" s="62"/>
      <c r="AA641" s="62"/>
      <c r="AB641" s="98"/>
      <c r="AC641" s="62"/>
      <c r="AD641" s="62"/>
      <c r="AE641" s="62"/>
      <c r="AF641" s="62"/>
      <c r="AG641" s="66"/>
      <c r="AH641" s="62"/>
      <c r="AI641" s="62"/>
      <c r="AJ641" s="62"/>
      <c r="AK641" s="62"/>
      <c r="AL641" s="66"/>
      <c r="AM641" s="62"/>
      <c r="AN641" s="62"/>
      <c r="AO641" s="62"/>
      <c r="AP641" s="62"/>
      <c r="AQ641" s="66"/>
      <c r="AR641" s="62"/>
      <c r="AS641" s="62"/>
      <c r="AT641" s="62"/>
      <c r="AU641" s="62"/>
      <c r="AV641" s="66"/>
      <c r="AW641" s="97"/>
    </row>
    <row r="642" spans="23:49" x14ac:dyDescent="0.15">
      <c r="W642" s="12"/>
      <c r="X642" s="62"/>
      <c r="Y642" s="62"/>
      <c r="Z642" s="62"/>
      <c r="AA642" s="62"/>
      <c r="AB642" s="98"/>
      <c r="AC642" s="62"/>
      <c r="AD642" s="62"/>
      <c r="AE642" s="62"/>
      <c r="AF642" s="62"/>
      <c r="AG642" s="66"/>
      <c r="AH642" s="62"/>
      <c r="AI642" s="62"/>
      <c r="AJ642" s="62"/>
      <c r="AK642" s="62"/>
      <c r="AL642" s="66"/>
      <c r="AM642" s="62"/>
      <c r="AN642" s="62"/>
      <c r="AO642" s="62"/>
      <c r="AP642" s="62"/>
      <c r="AQ642" s="66"/>
      <c r="AR642" s="62"/>
      <c r="AS642" s="62"/>
      <c r="AT642" s="62"/>
      <c r="AU642" s="62"/>
      <c r="AV642" s="66"/>
      <c r="AW642" s="97"/>
    </row>
    <row r="643" spans="23:49" x14ac:dyDescent="0.15">
      <c r="W643" s="12"/>
      <c r="X643" s="62"/>
      <c r="Y643" s="62"/>
      <c r="Z643" s="62"/>
      <c r="AA643" s="62"/>
      <c r="AB643" s="98"/>
      <c r="AC643" s="62"/>
      <c r="AD643" s="62"/>
      <c r="AE643" s="62"/>
      <c r="AF643" s="62"/>
      <c r="AG643" s="66"/>
      <c r="AH643" s="62"/>
      <c r="AI643" s="62"/>
      <c r="AJ643" s="62"/>
      <c r="AK643" s="62"/>
      <c r="AL643" s="66"/>
      <c r="AM643" s="62"/>
      <c r="AN643" s="62"/>
      <c r="AO643" s="62"/>
      <c r="AP643" s="62"/>
      <c r="AQ643" s="66"/>
      <c r="AR643" s="62"/>
      <c r="AS643" s="62"/>
      <c r="AT643" s="62"/>
      <c r="AU643" s="62"/>
      <c r="AV643" s="66"/>
      <c r="AW643" s="97"/>
    </row>
    <row r="644" spans="23:49" x14ac:dyDescent="0.15">
      <c r="W644" s="12"/>
      <c r="X644" s="62"/>
      <c r="Y644" s="62"/>
      <c r="Z644" s="62"/>
      <c r="AA644" s="62"/>
      <c r="AB644" s="98"/>
      <c r="AC644" s="62"/>
      <c r="AD644" s="62"/>
      <c r="AE644" s="62"/>
      <c r="AF644" s="62"/>
      <c r="AG644" s="66"/>
      <c r="AH644" s="62"/>
      <c r="AI644" s="62"/>
      <c r="AJ644" s="62"/>
      <c r="AK644" s="62"/>
      <c r="AL644" s="66"/>
      <c r="AM644" s="62"/>
      <c r="AN644" s="62"/>
      <c r="AO644" s="62"/>
      <c r="AP644" s="62"/>
      <c r="AQ644" s="66"/>
      <c r="AR644" s="62"/>
      <c r="AS644" s="62"/>
      <c r="AT644" s="62"/>
      <c r="AU644" s="62"/>
      <c r="AV644" s="66"/>
      <c r="AW644" s="97"/>
    </row>
    <row r="645" spans="23:49" x14ac:dyDescent="0.15">
      <c r="W645" s="12"/>
      <c r="X645" s="62"/>
      <c r="Y645" s="62"/>
      <c r="Z645" s="62"/>
      <c r="AA645" s="62"/>
      <c r="AB645" s="98"/>
      <c r="AC645" s="62"/>
      <c r="AD645" s="62"/>
      <c r="AE645" s="62"/>
      <c r="AF645" s="62"/>
      <c r="AG645" s="66"/>
      <c r="AH645" s="62"/>
      <c r="AI645" s="62"/>
      <c r="AJ645" s="62"/>
      <c r="AK645" s="62"/>
      <c r="AL645" s="66"/>
      <c r="AM645" s="62"/>
      <c r="AN645" s="62"/>
      <c r="AO645" s="62"/>
      <c r="AP645" s="62"/>
      <c r="AQ645" s="66"/>
      <c r="AR645" s="62"/>
      <c r="AS645" s="62"/>
      <c r="AT645" s="62"/>
      <c r="AU645" s="62"/>
      <c r="AV645" s="66"/>
      <c r="AW645" s="97"/>
    </row>
    <row r="646" spans="23:49" x14ac:dyDescent="0.15">
      <c r="W646" s="12"/>
      <c r="X646" s="62"/>
      <c r="Y646" s="62"/>
      <c r="Z646" s="62"/>
      <c r="AA646" s="62"/>
      <c r="AB646" s="98"/>
      <c r="AC646" s="62"/>
      <c r="AD646" s="62"/>
      <c r="AE646" s="62"/>
      <c r="AF646" s="62"/>
      <c r="AG646" s="66"/>
      <c r="AH646" s="62"/>
      <c r="AI646" s="62"/>
      <c r="AJ646" s="62"/>
      <c r="AK646" s="62"/>
      <c r="AL646" s="66"/>
      <c r="AM646" s="62"/>
      <c r="AN646" s="62"/>
      <c r="AO646" s="62"/>
      <c r="AP646" s="62"/>
      <c r="AQ646" s="66"/>
      <c r="AR646" s="62"/>
      <c r="AS646" s="62"/>
      <c r="AT646" s="62"/>
      <c r="AU646" s="62"/>
      <c r="AV646" s="66"/>
      <c r="AW646" s="97"/>
    </row>
    <row r="647" spans="23:49" x14ac:dyDescent="0.15">
      <c r="W647" s="12"/>
      <c r="X647" s="62"/>
      <c r="Y647" s="62"/>
      <c r="Z647" s="62"/>
      <c r="AA647" s="62"/>
      <c r="AB647" s="98"/>
      <c r="AC647" s="62"/>
      <c r="AD647" s="62"/>
      <c r="AE647" s="62"/>
      <c r="AF647" s="62"/>
      <c r="AG647" s="66"/>
      <c r="AH647" s="62"/>
      <c r="AI647" s="62"/>
      <c r="AJ647" s="62"/>
      <c r="AK647" s="62"/>
      <c r="AL647" s="66"/>
      <c r="AM647" s="62"/>
      <c r="AN647" s="62"/>
      <c r="AO647" s="62"/>
      <c r="AP647" s="62"/>
      <c r="AQ647" s="66"/>
      <c r="AR647" s="62"/>
      <c r="AS647" s="62"/>
      <c r="AT647" s="62"/>
      <c r="AU647" s="62"/>
      <c r="AV647" s="66"/>
      <c r="AW647" s="97"/>
    </row>
    <row r="648" spans="23:49" x14ac:dyDescent="0.15">
      <c r="W648" s="12"/>
      <c r="X648" s="62"/>
      <c r="Y648" s="62"/>
      <c r="Z648" s="62"/>
      <c r="AA648" s="62"/>
      <c r="AB648" s="98"/>
      <c r="AC648" s="62"/>
      <c r="AD648" s="62"/>
      <c r="AE648" s="62"/>
      <c r="AF648" s="62"/>
      <c r="AG648" s="66"/>
      <c r="AH648" s="62"/>
      <c r="AI648" s="62"/>
      <c r="AJ648" s="62"/>
      <c r="AK648" s="62"/>
      <c r="AL648" s="66"/>
      <c r="AM648" s="62"/>
      <c r="AN648" s="62"/>
      <c r="AO648" s="62"/>
      <c r="AP648" s="62"/>
      <c r="AQ648" s="66"/>
      <c r="AR648" s="62"/>
      <c r="AS648" s="62"/>
      <c r="AT648" s="62"/>
      <c r="AU648" s="62"/>
      <c r="AV648" s="66"/>
      <c r="AW648" s="97"/>
    </row>
    <row r="649" spans="23:49" x14ac:dyDescent="0.15">
      <c r="W649" s="12"/>
      <c r="X649" s="62"/>
      <c r="Y649" s="62"/>
      <c r="Z649" s="62"/>
      <c r="AA649" s="62"/>
      <c r="AB649" s="98"/>
      <c r="AC649" s="62"/>
      <c r="AD649" s="62"/>
      <c r="AE649" s="62"/>
      <c r="AF649" s="62"/>
      <c r="AG649" s="66"/>
      <c r="AH649" s="62"/>
      <c r="AI649" s="62"/>
      <c r="AJ649" s="62"/>
      <c r="AK649" s="62"/>
      <c r="AL649" s="66"/>
      <c r="AM649" s="62"/>
      <c r="AN649" s="62"/>
      <c r="AO649" s="62"/>
      <c r="AP649" s="62"/>
      <c r="AQ649" s="66"/>
      <c r="AR649" s="62"/>
      <c r="AS649" s="62"/>
      <c r="AT649" s="62"/>
      <c r="AU649" s="62"/>
      <c r="AV649" s="66"/>
      <c r="AW649" s="97"/>
    </row>
    <row r="650" spans="23:49" x14ac:dyDescent="0.15">
      <c r="W650" s="12"/>
      <c r="X650" s="62"/>
      <c r="Y650" s="62"/>
      <c r="Z650" s="62"/>
      <c r="AA650" s="62"/>
      <c r="AB650" s="98"/>
      <c r="AC650" s="62"/>
      <c r="AD650" s="62"/>
      <c r="AE650" s="62"/>
      <c r="AF650" s="62"/>
      <c r="AG650" s="66"/>
      <c r="AH650" s="62"/>
      <c r="AI650" s="62"/>
      <c r="AJ650" s="62"/>
      <c r="AK650" s="62"/>
      <c r="AL650" s="66"/>
      <c r="AM650" s="62"/>
      <c r="AN650" s="62"/>
      <c r="AO650" s="62"/>
      <c r="AP650" s="62"/>
      <c r="AQ650" s="66"/>
      <c r="AR650" s="62"/>
      <c r="AS650" s="62"/>
      <c r="AT650" s="62"/>
      <c r="AU650" s="62"/>
      <c r="AV650" s="66"/>
      <c r="AW650" s="97"/>
    </row>
    <row r="651" spans="23:49" x14ac:dyDescent="0.15">
      <c r="W651" s="12"/>
      <c r="X651" s="62"/>
      <c r="Y651" s="62"/>
      <c r="Z651" s="62"/>
      <c r="AA651" s="62"/>
      <c r="AB651" s="98"/>
      <c r="AC651" s="62"/>
      <c r="AD651" s="62"/>
      <c r="AE651" s="62"/>
      <c r="AF651" s="62"/>
      <c r="AG651" s="66"/>
      <c r="AH651" s="62"/>
      <c r="AI651" s="62"/>
      <c r="AJ651" s="62"/>
      <c r="AK651" s="62"/>
      <c r="AL651" s="66"/>
      <c r="AM651" s="62"/>
      <c r="AN651" s="62"/>
      <c r="AO651" s="62"/>
      <c r="AP651" s="62"/>
      <c r="AQ651" s="66"/>
      <c r="AR651" s="62"/>
      <c r="AS651" s="62"/>
      <c r="AT651" s="62"/>
      <c r="AU651" s="62"/>
      <c r="AV651" s="66"/>
      <c r="AW651" s="97"/>
    </row>
    <row r="652" spans="23:49" x14ac:dyDescent="0.15">
      <c r="W652" s="12"/>
      <c r="X652" s="62"/>
      <c r="Y652" s="62"/>
      <c r="Z652" s="62"/>
      <c r="AA652" s="62"/>
      <c r="AB652" s="98"/>
      <c r="AC652" s="62"/>
      <c r="AD652" s="62"/>
      <c r="AE652" s="62"/>
      <c r="AF652" s="62"/>
      <c r="AG652" s="66"/>
      <c r="AH652" s="62"/>
      <c r="AI652" s="62"/>
      <c r="AJ652" s="62"/>
      <c r="AK652" s="62"/>
      <c r="AL652" s="66"/>
      <c r="AM652" s="62"/>
      <c r="AN652" s="62"/>
      <c r="AO652" s="62"/>
      <c r="AP652" s="62"/>
      <c r="AQ652" s="66"/>
      <c r="AR652" s="62"/>
      <c r="AS652" s="62"/>
      <c r="AT652" s="62"/>
      <c r="AU652" s="62"/>
      <c r="AV652" s="66"/>
      <c r="AW652" s="97"/>
    </row>
    <row r="653" spans="23:49" x14ac:dyDescent="0.15">
      <c r="W653" s="12"/>
      <c r="X653" s="62"/>
      <c r="Y653" s="62"/>
      <c r="Z653" s="62"/>
      <c r="AA653" s="62"/>
      <c r="AB653" s="98"/>
      <c r="AC653" s="62"/>
      <c r="AD653" s="62"/>
      <c r="AE653" s="62"/>
      <c r="AF653" s="62"/>
      <c r="AG653" s="66"/>
      <c r="AH653" s="62"/>
      <c r="AI653" s="62"/>
      <c r="AJ653" s="62"/>
      <c r="AK653" s="62"/>
      <c r="AL653" s="66"/>
      <c r="AM653" s="62"/>
      <c r="AN653" s="62"/>
      <c r="AO653" s="62"/>
      <c r="AP653" s="62"/>
      <c r="AQ653" s="66"/>
      <c r="AR653" s="62"/>
      <c r="AS653" s="62"/>
      <c r="AT653" s="62"/>
      <c r="AU653" s="62"/>
      <c r="AV653" s="66"/>
      <c r="AW653" s="97"/>
    </row>
    <row r="654" spans="23:49" x14ac:dyDescent="0.15">
      <c r="W654" s="12"/>
      <c r="X654" s="62"/>
      <c r="Y654" s="62"/>
      <c r="Z654" s="62"/>
      <c r="AA654" s="62"/>
      <c r="AB654" s="98"/>
      <c r="AC654" s="62"/>
      <c r="AD654" s="62"/>
      <c r="AE654" s="62"/>
      <c r="AF654" s="62"/>
      <c r="AG654" s="66"/>
      <c r="AH654" s="62"/>
      <c r="AI654" s="62"/>
      <c r="AJ654" s="62"/>
      <c r="AK654" s="62"/>
      <c r="AL654" s="66"/>
      <c r="AM654" s="62"/>
      <c r="AN654" s="62"/>
      <c r="AO654" s="62"/>
      <c r="AP654" s="62"/>
      <c r="AQ654" s="66"/>
      <c r="AR654" s="62"/>
      <c r="AS654" s="62"/>
      <c r="AT654" s="62"/>
      <c r="AU654" s="62"/>
      <c r="AV654" s="66"/>
      <c r="AW654" s="97"/>
    </row>
    <row r="655" spans="23:49" x14ac:dyDescent="0.15">
      <c r="W655" s="12"/>
      <c r="X655" s="62"/>
      <c r="Y655" s="62"/>
      <c r="Z655" s="62"/>
      <c r="AA655" s="62"/>
      <c r="AB655" s="98"/>
      <c r="AC655" s="62"/>
      <c r="AD655" s="62"/>
      <c r="AE655" s="62"/>
      <c r="AF655" s="62"/>
      <c r="AG655" s="66"/>
      <c r="AH655" s="62"/>
      <c r="AI655" s="62"/>
      <c r="AJ655" s="62"/>
      <c r="AK655" s="62"/>
      <c r="AL655" s="66"/>
      <c r="AM655" s="62"/>
      <c r="AN655" s="62"/>
      <c r="AO655" s="62"/>
      <c r="AP655" s="62"/>
      <c r="AQ655" s="66"/>
      <c r="AR655" s="62"/>
      <c r="AS655" s="62"/>
      <c r="AT655" s="62"/>
      <c r="AU655" s="62"/>
      <c r="AV655" s="66"/>
      <c r="AW655" s="97"/>
    </row>
    <row r="656" spans="23:49" x14ac:dyDescent="0.15">
      <c r="W656" s="12"/>
      <c r="X656" s="62"/>
      <c r="Y656" s="62"/>
      <c r="Z656" s="62"/>
      <c r="AA656" s="62"/>
      <c r="AB656" s="98"/>
      <c r="AC656" s="62"/>
      <c r="AD656" s="62"/>
      <c r="AE656" s="62"/>
      <c r="AF656" s="62"/>
      <c r="AG656" s="66"/>
      <c r="AH656" s="62"/>
      <c r="AI656" s="62"/>
      <c r="AJ656" s="62"/>
      <c r="AK656" s="62"/>
      <c r="AL656" s="66"/>
      <c r="AM656" s="62"/>
      <c r="AN656" s="62"/>
      <c r="AO656" s="62"/>
      <c r="AP656" s="62"/>
      <c r="AQ656" s="66"/>
      <c r="AR656" s="62"/>
      <c r="AS656" s="62"/>
      <c r="AT656" s="62"/>
      <c r="AU656" s="62"/>
      <c r="AV656" s="66"/>
      <c r="AW656" s="97"/>
    </row>
    <row r="657" spans="23:49" x14ac:dyDescent="0.15">
      <c r="W657" s="12"/>
      <c r="X657" s="62"/>
      <c r="Y657" s="62"/>
      <c r="Z657" s="62"/>
      <c r="AA657" s="62"/>
      <c r="AB657" s="98"/>
      <c r="AC657" s="62"/>
      <c r="AD657" s="62"/>
      <c r="AE657" s="62"/>
      <c r="AF657" s="62"/>
      <c r="AG657" s="66"/>
      <c r="AH657" s="62"/>
      <c r="AI657" s="62"/>
      <c r="AJ657" s="62"/>
      <c r="AK657" s="62"/>
      <c r="AL657" s="66"/>
      <c r="AM657" s="62"/>
      <c r="AN657" s="62"/>
      <c r="AO657" s="62"/>
      <c r="AP657" s="62"/>
      <c r="AQ657" s="66"/>
      <c r="AR657" s="62"/>
      <c r="AS657" s="62"/>
      <c r="AT657" s="62"/>
      <c r="AU657" s="62"/>
      <c r="AV657" s="66"/>
      <c r="AW657" s="97"/>
    </row>
    <row r="658" spans="23:49" x14ac:dyDescent="0.15">
      <c r="W658" s="12"/>
      <c r="X658" s="62"/>
      <c r="Y658" s="62"/>
      <c r="Z658" s="62"/>
      <c r="AA658" s="62"/>
      <c r="AB658" s="98"/>
      <c r="AC658" s="62"/>
      <c r="AD658" s="62"/>
      <c r="AE658" s="62"/>
      <c r="AF658" s="62"/>
      <c r="AG658" s="66"/>
      <c r="AH658" s="62"/>
      <c r="AI658" s="62"/>
      <c r="AJ658" s="62"/>
      <c r="AK658" s="62"/>
      <c r="AL658" s="66"/>
      <c r="AM658" s="62"/>
      <c r="AN658" s="62"/>
      <c r="AO658" s="62"/>
      <c r="AP658" s="62"/>
      <c r="AQ658" s="66"/>
      <c r="AR658" s="62"/>
      <c r="AS658" s="62"/>
      <c r="AT658" s="62"/>
      <c r="AU658" s="62"/>
      <c r="AV658" s="66"/>
      <c r="AW658" s="97"/>
    </row>
    <row r="659" spans="23:49" x14ac:dyDescent="0.15">
      <c r="W659" s="12"/>
      <c r="X659" s="62"/>
      <c r="Y659" s="62"/>
      <c r="Z659" s="62"/>
      <c r="AA659" s="62"/>
      <c r="AB659" s="98"/>
      <c r="AC659" s="62"/>
      <c r="AD659" s="62"/>
      <c r="AE659" s="62"/>
      <c r="AF659" s="62"/>
      <c r="AG659" s="66"/>
      <c r="AH659" s="62"/>
      <c r="AI659" s="62"/>
      <c r="AJ659" s="62"/>
      <c r="AK659" s="62"/>
      <c r="AL659" s="66"/>
      <c r="AM659" s="62"/>
      <c r="AN659" s="62"/>
      <c r="AO659" s="62"/>
      <c r="AP659" s="62"/>
      <c r="AQ659" s="66"/>
      <c r="AR659" s="62"/>
      <c r="AS659" s="62"/>
      <c r="AT659" s="62"/>
      <c r="AU659" s="62"/>
      <c r="AV659" s="66"/>
      <c r="AW659" s="97"/>
    </row>
    <row r="660" spans="23:49" x14ac:dyDescent="0.15">
      <c r="W660" s="12"/>
      <c r="X660" s="62"/>
      <c r="Y660" s="62"/>
      <c r="Z660" s="62"/>
      <c r="AA660" s="62"/>
      <c r="AB660" s="98"/>
      <c r="AC660" s="62"/>
      <c r="AD660" s="62"/>
      <c r="AE660" s="62"/>
      <c r="AF660" s="62"/>
      <c r="AG660" s="66"/>
      <c r="AH660" s="62"/>
      <c r="AI660" s="62"/>
      <c r="AJ660" s="62"/>
      <c r="AK660" s="62"/>
      <c r="AL660" s="66"/>
      <c r="AM660" s="62"/>
      <c r="AN660" s="62"/>
      <c r="AO660" s="62"/>
      <c r="AP660" s="62"/>
      <c r="AQ660" s="66"/>
      <c r="AR660" s="62"/>
      <c r="AS660" s="62"/>
      <c r="AT660" s="62"/>
      <c r="AU660" s="62"/>
      <c r="AV660" s="66"/>
      <c r="AW660" s="97"/>
    </row>
    <row r="661" spans="23:49" x14ac:dyDescent="0.15">
      <c r="W661" s="12"/>
      <c r="X661" s="62"/>
      <c r="Y661" s="62"/>
      <c r="Z661" s="62"/>
      <c r="AA661" s="62"/>
      <c r="AB661" s="98"/>
      <c r="AC661" s="62"/>
      <c r="AD661" s="62"/>
      <c r="AE661" s="62"/>
      <c r="AF661" s="62"/>
      <c r="AG661" s="66"/>
      <c r="AH661" s="62"/>
      <c r="AI661" s="62"/>
      <c r="AJ661" s="62"/>
      <c r="AK661" s="62"/>
      <c r="AL661" s="66"/>
      <c r="AM661" s="62"/>
      <c r="AN661" s="62"/>
      <c r="AO661" s="62"/>
      <c r="AP661" s="62"/>
      <c r="AQ661" s="66"/>
      <c r="AR661" s="62"/>
      <c r="AS661" s="62"/>
      <c r="AT661" s="62"/>
      <c r="AU661" s="62"/>
      <c r="AV661" s="66"/>
      <c r="AW661" s="97"/>
    </row>
    <row r="662" spans="23:49" x14ac:dyDescent="0.15">
      <c r="W662" s="12"/>
      <c r="X662" s="62"/>
      <c r="Y662" s="62"/>
      <c r="Z662" s="62"/>
      <c r="AA662" s="62"/>
      <c r="AB662" s="98"/>
      <c r="AC662" s="62"/>
      <c r="AD662" s="62"/>
      <c r="AE662" s="62"/>
      <c r="AF662" s="62"/>
      <c r="AG662" s="66"/>
      <c r="AH662" s="62"/>
      <c r="AI662" s="62"/>
      <c r="AJ662" s="62"/>
      <c r="AK662" s="62"/>
      <c r="AL662" s="66"/>
      <c r="AM662" s="62"/>
      <c r="AN662" s="62"/>
      <c r="AO662" s="62"/>
      <c r="AP662" s="62"/>
      <c r="AQ662" s="66"/>
      <c r="AR662" s="62"/>
      <c r="AS662" s="62"/>
      <c r="AT662" s="62"/>
      <c r="AU662" s="62"/>
      <c r="AV662" s="66"/>
      <c r="AW662" s="97"/>
    </row>
    <row r="663" spans="23:49" x14ac:dyDescent="0.15">
      <c r="W663" s="12"/>
      <c r="X663" s="62"/>
      <c r="Y663" s="62"/>
      <c r="Z663" s="62"/>
      <c r="AA663" s="62"/>
      <c r="AB663" s="98"/>
      <c r="AC663" s="62"/>
      <c r="AD663" s="62"/>
      <c r="AE663" s="62"/>
      <c r="AF663" s="62"/>
      <c r="AG663" s="66"/>
      <c r="AH663" s="62"/>
      <c r="AI663" s="62"/>
      <c r="AJ663" s="62"/>
      <c r="AK663" s="62"/>
      <c r="AL663" s="66"/>
      <c r="AM663" s="62"/>
      <c r="AN663" s="62"/>
      <c r="AO663" s="62"/>
      <c r="AP663" s="62"/>
      <c r="AQ663" s="66"/>
      <c r="AR663" s="62"/>
      <c r="AS663" s="62"/>
      <c r="AT663" s="62"/>
      <c r="AU663" s="62"/>
      <c r="AV663" s="66"/>
      <c r="AW663" s="97"/>
    </row>
    <row r="664" spans="23:49" x14ac:dyDescent="0.15">
      <c r="W664" s="12"/>
      <c r="X664" s="62"/>
      <c r="Y664" s="62"/>
      <c r="Z664" s="62"/>
      <c r="AA664" s="62"/>
      <c r="AB664" s="98"/>
      <c r="AC664" s="62"/>
      <c r="AD664" s="62"/>
      <c r="AE664" s="62"/>
      <c r="AF664" s="62"/>
      <c r="AG664" s="66"/>
      <c r="AH664" s="62"/>
      <c r="AI664" s="62"/>
      <c r="AJ664" s="62"/>
      <c r="AK664" s="62"/>
      <c r="AL664" s="66"/>
      <c r="AM664" s="62"/>
      <c r="AN664" s="62"/>
      <c r="AO664" s="62"/>
      <c r="AP664" s="62"/>
      <c r="AQ664" s="66"/>
      <c r="AR664" s="62"/>
      <c r="AS664" s="62"/>
      <c r="AT664" s="62"/>
      <c r="AU664" s="62"/>
      <c r="AV664" s="66"/>
      <c r="AW664" s="97"/>
    </row>
    <row r="665" spans="23:49" x14ac:dyDescent="0.15">
      <c r="W665" s="12"/>
      <c r="X665" s="62"/>
      <c r="Y665" s="62"/>
      <c r="Z665" s="62"/>
      <c r="AA665" s="62"/>
      <c r="AB665" s="98"/>
      <c r="AC665" s="62"/>
      <c r="AD665" s="62"/>
      <c r="AE665" s="62"/>
      <c r="AF665" s="62"/>
      <c r="AG665" s="66"/>
      <c r="AH665" s="62"/>
      <c r="AI665" s="62"/>
      <c r="AJ665" s="62"/>
      <c r="AK665" s="62"/>
      <c r="AL665" s="66"/>
      <c r="AM665" s="62"/>
      <c r="AN665" s="62"/>
      <c r="AO665" s="62"/>
      <c r="AP665" s="62"/>
      <c r="AQ665" s="66"/>
      <c r="AR665" s="62"/>
      <c r="AS665" s="62"/>
      <c r="AT665" s="62"/>
      <c r="AU665" s="62"/>
      <c r="AV665" s="66"/>
      <c r="AW665" s="97"/>
    </row>
    <row r="666" spans="23:49" x14ac:dyDescent="0.15">
      <c r="W666" s="12"/>
      <c r="X666" s="62"/>
      <c r="Y666" s="62"/>
      <c r="Z666" s="62"/>
      <c r="AA666" s="62"/>
      <c r="AB666" s="98"/>
      <c r="AC666" s="62"/>
      <c r="AD666" s="62"/>
      <c r="AE666" s="62"/>
      <c r="AF666" s="62"/>
      <c r="AG666" s="66"/>
      <c r="AH666" s="62"/>
      <c r="AI666" s="62"/>
      <c r="AJ666" s="62"/>
      <c r="AK666" s="62"/>
      <c r="AL666" s="66"/>
      <c r="AM666" s="62"/>
      <c r="AN666" s="62"/>
      <c r="AO666" s="62"/>
      <c r="AP666" s="62"/>
      <c r="AQ666" s="66"/>
      <c r="AR666" s="62"/>
      <c r="AS666" s="62"/>
      <c r="AT666" s="62"/>
      <c r="AU666" s="62"/>
      <c r="AV666" s="66"/>
      <c r="AW666" s="97"/>
    </row>
    <row r="667" spans="23:49" x14ac:dyDescent="0.15">
      <c r="W667" s="12"/>
      <c r="X667" s="62"/>
      <c r="Y667" s="62"/>
      <c r="Z667" s="62"/>
      <c r="AA667" s="62"/>
      <c r="AB667" s="98"/>
      <c r="AC667" s="62"/>
      <c r="AD667" s="62"/>
      <c r="AE667" s="62"/>
      <c r="AF667" s="62"/>
      <c r="AG667" s="66"/>
      <c r="AH667" s="62"/>
      <c r="AI667" s="62"/>
      <c r="AJ667" s="62"/>
      <c r="AK667" s="62"/>
      <c r="AL667" s="66"/>
      <c r="AM667" s="62"/>
      <c r="AN667" s="62"/>
      <c r="AO667" s="62"/>
      <c r="AP667" s="62"/>
      <c r="AQ667" s="66"/>
      <c r="AR667" s="62"/>
      <c r="AS667" s="62"/>
      <c r="AT667" s="62"/>
      <c r="AU667" s="62"/>
      <c r="AV667" s="66"/>
      <c r="AW667" s="97"/>
    </row>
    <row r="668" spans="23:49" x14ac:dyDescent="0.15">
      <c r="W668" s="12"/>
      <c r="X668" s="62"/>
      <c r="Y668" s="62"/>
      <c r="Z668" s="62"/>
      <c r="AA668" s="62"/>
      <c r="AB668" s="98"/>
      <c r="AC668" s="62"/>
      <c r="AD668" s="62"/>
      <c r="AE668" s="62"/>
      <c r="AF668" s="62"/>
      <c r="AG668" s="66"/>
      <c r="AH668" s="62"/>
      <c r="AI668" s="62"/>
      <c r="AJ668" s="62"/>
      <c r="AK668" s="62"/>
      <c r="AL668" s="66"/>
      <c r="AM668" s="62"/>
      <c r="AN668" s="62"/>
      <c r="AO668" s="62"/>
      <c r="AP668" s="62"/>
      <c r="AQ668" s="66"/>
      <c r="AR668" s="62"/>
      <c r="AS668" s="62"/>
      <c r="AT668" s="62"/>
      <c r="AU668" s="62"/>
      <c r="AV668" s="66"/>
      <c r="AW668" s="97"/>
    </row>
    <row r="669" spans="23:49" x14ac:dyDescent="0.15">
      <c r="W669" s="12"/>
      <c r="X669" s="62"/>
      <c r="Y669" s="62"/>
      <c r="Z669" s="62"/>
      <c r="AA669" s="62"/>
      <c r="AB669" s="98"/>
      <c r="AC669" s="62"/>
      <c r="AD669" s="62"/>
      <c r="AE669" s="62"/>
      <c r="AF669" s="62"/>
      <c r="AG669" s="66"/>
      <c r="AH669" s="62"/>
      <c r="AI669" s="62"/>
      <c r="AJ669" s="62"/>
      <c r="AK669" s="62"/>
      <c r="AL669" s="66"/>
      <c r="AM669" s="62"/>
      <c r="AN669" s="62"/>
      <c r="AO669" s="62"/>
      <c r="AP669" s="62"/>
      <c r="AQ669" s="66"/>
      <c r="AR669" s="62"/>
      <c r="AS669" s="62"/>
      <c r="AT669" s="62"/>
      <c r="AU669" s="62"/>
      <c r="AV669" s="66"/>
      <c r="AW669" s="97"/>
    </row>
    <row r="670" spans="23:49" x14ac:dyDescent="0.15">
      <c r="W670" s="12"/>
      <c r="X670" s="62"/>
      <c r="Y670" s="62"/>
      <c r="Z670" s="62"/>
      <c r="AA670" s="62"/>
      <c r="AB670" s="98"/>
      <c r="AC670" s="62"/>
      <c r="AD670" s="62"/>
      <c r="AE670" s="62"/>
      <c r="AF670" s="62"/>
      <c r="AG670" s="66"/>
      <c r="AH670" s="62"/>
      <c r="AI670" s="62"/>
      <c r="AJ670" s="62"/>
      <c r="AK670" s="62"/>
      <c r="AL670" s="66"/>
      <c r="AM670" s="62"/>
      <c r="AN670" s="62"/>
      <c r="AO670" s="62"/>
      <c r="AP670" s="62"/>
      <c r="AQ670" s="66"/>
      <c r="AR670" s="62"/>
      <c r="AS670" s="62"/>
      <c r="AT670" s="62"/>
      <c r="AU670" s="62"/>
      <c r="AV670" s="66"/>
      <c r="AW670" s="97"/>
    </row>
    <row r="671" spans="23:49" x14ac:dyDescent="0.15">
      <c r="W671" s="12"/>
      <c r="X671" s="62"/>
      <c r="Y671" s="62"/>
      <c r="Z671" s="62"/>
      <c r="AA671" s="62"/>
      <c r="AB671" s="98"/>
      <c r="AC671" s="62"/>
      <c r="AD671" s="62"/>
      <c r="AE671" s="62"/>
      <c r="AF671" s="62"/>
      <c r="AG671" s="66"/>
      <c r="AH671" s="62"/>
      <c r="AI671" s="62"/>
      <c r="AJ671" s="62"/>
      <c r="AK671" s="62"/>
      <c r="AL671" s="66"/>
      <c r="AM671" s="62"/>
      <c r="AN671" s="62"/>
      <c r="AO671" s="62"/>
      <c r="AP671" s="62"/>
      <c r="AQ671" s="66"/>
      <c r="AR671" s="62"/>
      <c r="AS671" s="62"/>
      <c r="AT671" s="62"/>
      <c r="AU671" s="62"/>
      <c r="AV671" s="66"/>
      <c r="AW671" s="97"/>
    </row>
    <row r="672" spans="23:49" x14ac:dyDescent="0.15">
      <c r="W672" s="12"/>
      <c r="X672" s="62"/>
      <c r="Y672" s="62"/>
      <c r="Z672" s="62"/>
      <c r="AA672" s="62"/>
      <c r="AB672" s="98"/>
      <c r="AC672" s="62"/>
      <c r="AD672" s="62"/>
      <c r="AE672" s="62"/>
      <c r="AF672" s="62"/>
      <c r="AG672" s="66"/>
      <c r="AH672" s="62"/>
      <c r="AI672" s="62"/>
      <c r="AJ672" s="62"/>
      <c r="AK672" s="62"/>
      <c r="AL672" s="66"/>
      <c r="AM672" s="62"/>
      <c r="AN672" s="62"/>
      <c r="AO672" s="62"/>
      <c r="AP672" s="62"/>
      <c r="AQ672" s="66"/>
      <c r="AR672" s="62"/>
      <c r="AS672" s="62"/>
      <c r="AT672" s="62"/>
      <c r="AU672" s="62"/>
      <c r="AV672" s="66"/>
      <c r="AW672" s="97"/>
    </row>
    <row r="673" spans="23:49" x14ac:dyDescent="0.15">
      <c r="W673" s="12"/>
      <c r="X673" s="62"/>
      <c r="Y673" s="62"/>
      <c r="Z673" s="62"/>
      <c r="AA673" s="62"/>
      <c r="AB673" s="98"/>
      <c r="AC673" s="62"/>
      <c r="AD673" s="62"/>
      <c r="AE673" s="62"/>
      <c r="AF673" s="62"/>
      <c r="AG673" s="66"/>
      <c r="AH673" s="62"/>
      <c r="AI673" s="62"/>
      <c r="AJ673" s="62"/>
      <c r="AK673" s="62"/>
      <c r="AL673" s="66"/>
      <c r="AM673" s="62"/>
      <c r="AN673" s="62"/>
      <c r="AO673" s="62"/>
      <c r="AP673" s="62"/>
      <c r="AQ673" s="66"/>
      <c r="AR673" s="62"/>
      <c r="AS673" s="62"/>
      <c r="AT673" s="62"/>
      <c r="AU673" s="62"/>
      <c r="AV673" s="66"/>
      <c r="AW673" s="97"/>
    </row>
    <row r="674" spans="23:49" x14ac:dyDescent="0.15">
      <c r="W674" s="12"/>
      <c r="X674" s="62"/>
      <c r="Y674" s="62"/>
      <c r="Z674" s="62"/>
      <c r="AA674" s="62"/>
      <c r="AB674" s="98"/>
      <c r="AC674" s="62"/>
      <c r="AD674" s="62"/>
      <c r="AE674" s="62"/>
      <c r="AF674" s="62"/>
      <c r="AG674" s="66"/>
      <c r="AH674" s="62"/>
      <c r="AI674" s="62"/>
      <c r="AJ674" s="62"/>
      <c r="AK674" s="62"/>
      <c r="AL674" s="66"/>
      <c r="AM674" s="62"/>
      <c r="AN674" s="62"/>
      <c r="AO674" s="62"/>
      <c r="AP674" s="62"/>
      <c r="AQ674" s="66"/>
      <c r="AR674" s="62"/>
      <c r="AS674" s="62"/>
      <c r="AT674" s="62"/>
      <c r="AU674" s="62"/>
      <c r="AV674" s="66"/>
      <c r="AW674" s="97"/>
    </row>
    <row r="675" spans="23:49" x14ac:dyDescent="0.15">
      <c r="W675" s="12"/>
      <c r="X675" s="62"/>
      <c r="Y675" s="62"/>
      <c r="Z675" s="62"/>
      <c r="AA675" s="62"/>
      <c r="AB675" s="98"/>
      <c r="AC675" s="62"/>
      <c r="AD675" s="62"/>
      <c r="AE675" s="62"/>
      <c r="AF675" s="62"/>
      <c r="AG675" s="66"/>
      <c r="AH675" s="62"/>
      <c r="AI675" s="62"/>
      <c r="AJ675" s="62"/>
      <c r="AK675" s="62"/>
      <c r="AL675" s="66"/>
      <c r="AM675" s="62"/>
      <c r="AN675" s="62"/>
      <c r="AO675" s="62"/>
      <c r="AP675" s="62"/>
      <c r="AQ675" s="66"/>
      <c r="AR675" s="62"/>
      <c r="AS675" s="62"/>
      <c r="AT675" s="62"/>
      <c r="AU675" s="62"/>
      <c r="AV675" s="66"/>
      <c r="AW675" s="97"/>
    </row>
    <row r="676" spans="23:49" x14ac:dyDescent="0.15">
      <c r="W676" s="12"/>
      <c r="X676" s="62"/>
      <c r="Y676" s="62"/>
      <c r="Z676" s="62"/>
      <c r="AA676" s="62"/>
      <c r="AB676" s="98"/>
      <c r="AC676" s="62"/>
      <c r="AD676" s="62"/>
      <c r="AE676" s="62"/>
      <c r="AF676" s="62"/>
      <c r="AG676" s="66"/>
      <c r="AH676" s="62"/>
      <c r="AI676" s="62"/>
      <c r="AJ676" s="62"/>
      <c r="AK676" s="62"/>
      <c r="AL676" s="66"/>
      <c r="AM676" s="62"/>
      <c r="AN676" s="62"/>
      <c r="AO676" s="62"/>
      <c r="AP676" s="62"/>
      <c r="AQ676" s="66"/>
      <c r="AR676" s="62"/>
      <c r="AS676" s="62"/>
      <c r="AT676" s="62"/>
      <c r="AU676" s="62"/>
      <c r="AV676" s="66"/>
      <c r="AW676" s="97"/>
    </row>
    <row r="677" spans="23:49" x14ac:dyDescent="0.15">
      <c r="W677" s="12"/>
      <c r="X677" s="62"/>
      <c r="Y677" s="62"/>
      <c r="Z677" s="62"/>
      <c r="AA677" s="62"/>
      <c r="AB677" s="98"/>
      <c r="AC677" s="62"/>
      <c r="AD677" s="62"/>
      <c r="AE677" s="62"/>
      <c r="AF677" s="62"/>
      <c r="AG677" s="66"/>
      <c r="AH677" s="62"/>
      <c r="AI677" s="62"/>
      <c r="AJ677" s="62"/>
      <c r="AK677" s="62"/>
      <c r="AL677" s="66"/>
      <c r="AM677" s="62"/>
      <c r="AN677" s="62"/>
      <c r="AO677" s="62"/>
      <c r="AP677" s="62"/>
      <c r="AQ677" s="66"/>
      <c r="AR677" s="62"/>
      <c r="AS677" s="62"/>
      <c r="AT677" s="62"/>
      <c r="AU677" s="62"/>
      <c r="AV677" s="66"/>
      <c r="AW677" s="97"/>
    </row>
    <row r="678" spans="23:49" x14ac:dyDescent="0.15">
      <c r="W678" s="12"/>
      <c r="X678" s="62"/>
      <c r="Y678" s="62"/>
      <c r="Z678" s="62"/>
      <c r="AA678" s="62"/>
      <c r="AB678" s="98"/>
      <c r="AC678" s="62"/>
      <c r="AD678" s="62"/>
      <c r="AE678" s="62"/>
      <c r="AF678" s="62"/>
      <c r="AG678" s="66"/>
      <c r="AH678" s="62"/>
      <c r="AI678" s="62"/>
      <c r="AJ678" s="62"/>
      <c r="AK678" s="62"/>
      <c r="AL678" s="66"/>
      <c r="AM678" s="62"/>
      <c r="AN678" s="62"/>
      <c r="AO678" s="62"/>
      <c r="AP678" s="62"/>
      <c r="AQ678" s="66"/>
      <c r="AR678" s="62"/>
      <c r="AS678" s="62"/>
      <c r="AT678" s="62"/>
      <c r="AU678" s="62"/>
      <c r="AV678" s="66"/>
      <c r="AW678" s="97"/>
    </row>
    <row r="679" spans="23:49" x14ac:dyDescent="0.15">
      <c r="W679" s="12"/>
      <c r="X679" s="62"/>
      <c r="Y679" s="62"/>
      <c r="Z679" s="62"/>
      <c r="AA679" s="62"/>
      <c r="AB679" s="98"/>
      <c r="AC679" s="62"/>
      <c r="AD679" s="62"/>
      <c r="AE679" s="62"/>
      <c r="AF679" s="62"/>
      <c r="AG679" s="66"/>
      <c r="AH679" s="62"/>
      <c r="AI679" s="62"/>
      <c r="AJ679" s="62"/>
      <c r="AK679" s="62"/>
      <c r="AL679" s="66"/>
      <c r="AM679" s="62"/>
      <c r="AN679" s="62"/>
      <c r="AO679" s="62"/>
      <c r="AP679" s="62"/>
      <c r="AQ679" s="66"/>
      <c r="AR679" s="62"/>
      <c r="AS679" s="62"/>
      <c r="AT679" s="62"/>
      <c r="AU679" s="62"/>
      <c r="AV679" s="66"/>
      <c r="AW679" s="97"/>
    </row>
    <row r="680" spans="23:49" x14ac:dyDescent="0.15">
      <c r="W680" s="12"/>
      <c r="X680" s="62"/>
      <c r="Y680" s="62"/>
      <c r="Z680" s="62"/>
      <c r="AA680" s="62"/>
      <c r="AB680" s="98"/>
      <c r="AC680" s="62"/>
      <c r="AD680" s="62"/>
      <c r="AE680" s="62"/>
      <c r="AF680" s="62"/>
      <c r="AG680" s="66"/>
      <c r="AH680" s="62"/>
      <c r="AI680" s="62"/>
      <c r="AJ680" s="62"/>
      <c r="AK680" s="62"/>
      <c r="AL680" s="66"/>
      <c r="AM680" s="62"/>
      <c r="AN680" s="62"/>
      <c r="AO680" s="62"/>
      <c r="AP680" s="62"/>
      <c r="AQ680" s="66"/>
      <c r="AR680" s="62"/>
      <c r="AS680" s="62"/>
      <c r="AT680" s="62"/>
      <c r="AU680" s="62"/>
      <c r="AV680" s="66"/>
      <c r="AW680" s="97"/>
    </row>
    <row r="681" spans="23:49" x14ac:dyDescent="0.15">
      <c r="W681" s="12"/>
      <c r="X681" s="62"/>
      <c r="Y681" s="62"/>
      <c r="Z681" s="62"/>
      <c r="AA681" s="62"/>
      <c r="AB681" s="98"/>
      <c r="AC681" s="62"/>
      <c r="AD681" s="62"/>
      <c r="AE681" s="62"/>
      <c r="AF681" s="62"/>
      <c r="AG681" s="66"/>
      <c r="AH681" s="62"/>
      <c r="AI681" s="62"/>
      <c r="AJ681" s="62"/>
      <c r="AK681" s="62"/>
      <c r="AL681" s="66"/>
      <c r="AM681" s="62"/>
      <c r="AN681" s="62"/>
      <c r="AO681" s="62"/>
      <c r="AP681" s="62"/>
      <c r="AQ681" s="66"/>
      <c r="AR681" s="62"/>
      <c r="AS681" s="62"/>
      <c r="AT681" s="62"/>
      <c r="AU681" s="62"/>
      <c r="AV681" s="66"/>
      <c r="AW681" s="97"/>
    </row>
    <row r="682" spans="23:49" x14ac:dyDescent="0.15">
      <c r="W682" s="12"/>
      <c r="X682" s="62"/>
      <c r="Y682" s="62"/>
      <c r="Z682" s="62"/>
      <c r="AA682" s="62"/>
      <c r="AB682" s="98"/>
      <c r="AC682" s="62"/>
      <c r="AD682" s="62"/>
      <c r="AE682" s="62"/>
      <c r="AF682" s="62"/>
      <c r="AG682" s="66"/>
      <c r="AH682" s="62"/>
      <c r="AI682" s="62"/>
      <c r="AJ682" s="62"/>
      <c r="AK682" s="62"/>
      <c r="AL682" s="66"/>
      <c r="AM682" s="62"/>
      <c r="AN682" s="62"/>
      <c r="AO682" s="62"/>
      <c r="AP682" s="62"/>
      <c r="AQ682" s="66"/>
      <c r="AR682" s="62"/>
      <c r="AS682" s="62"/>
      <c r="AT682" s="62"/>
      <c r="AU682" s="62"/>
      <c r="AV682" s="66"/>
      <c r="AW682" s="97"/>
    </row>
    <row r="683" spans="23:49" x14ac:dyDescent="0.15">
      <c r="W683" s="12"/>
      <c r="X683" s="62"/>
      <c r="Y683" s="62"/>
      <c r="Z683" s="62"/>
      <c r="AA683" s="62"/>
      <c r="AB683" s="98"/>
      <c r="AC683" s="62"/>
      <c r="AD683" s="62"/>
      <c r="AE683" s="62"/>
      <c r="AF683" s="62"/>
      <c r="AG683" s="66"/>
      <c r="AH683" s="62"/>
      <c r="AI683" s="62"/>
      <c r="AJ683" s="62"/>
      <c r="AK683" s="62"/>
      <c r="AL683" s="66"/>
      <c r="AM683" s="62"/>
      <c r="AN683" s="62"/>
      <c r="AO683" s="62"/>
      <c r="AP683" s="62"/>
      <c r="AQ683" s="66"/>
      <c r="AR683" s="62"/>
      <c r="AS683" s="62"/>
      <c r="AT683" s="62"/>
      <c r="AU683" s="62"/>
      <c r="AV683" s="66"/>
      <c r="AW683" s="97"/>
    </row>
    <row r="684" spans="23:49" x14ac:dyDescent="0.15">
      <c r="W684" s="12"/>
      <c r="X684" s="62"/>
      <c r="Y684" s="62"/>
      <c r="Z684" s="62"/>
      <c r="AA684" s="62"/>
      <c r="AB684" s="98"/>
      <c r="AC684" s="62"/>
      <c r="AD684" s="62"/>
      <c r="AE684" s="62"/>
      <c r="AF684" s="62"/>
      <c r="AG684" s="66"/>
      <c r="AH684" s="62"/>
      <c r="AI684" s="62"/>
      <c r="AJ684" s="62"/>
      <c r="AK684" s="62"/>
      <c r="AL684" s="66"/>
      <c r="AM684" s="62"/>
      <c r="AN684" s="62"/>
      <c r="AO684" s="62"/>
      <c r="AP684" s="62"/>
      <c r="AQ684" s="66"/>
      <c r="AR684" s="62"/>
      <c r="AS684" s="62"/>
      <c r="AT684" s="62"/>
      <c r="AU684" s="62"/>
      <c r="AV684" s="66"/>
      <c r="AW684" s="97"/>
    </row>
    <row r="685" spans="23:49" x14ac:dyDescent="0.15">
      <c r="W685" s="12"/>
      <c r="X685" s="62"/>
      <c r="Y685" s="62"/>
      <c r="Z685" s="62"/>
      <c r="AA685" s="62"/>
      <c r="AB685" s="98"/>
      <c r="AC685" s="62"/>
      <c r="AD685" s="62"/>
      <c r="AE685" s="62"/>
      <c r="AF685" s="62"/>
      <c r="AG685" s="66"/>
      <c r="AH685" s="62"/>
      <c r="AI685" s="62"/>
      <c r="AJ685" s="62"/>
      <c r="AK685" s="62"/>
      <c r="AL685" s="66"/>
      <c r="AM685" s="62"/>
      <c r="AN685" s="62"/>
      <c r="AO685" s="62"/>
      <c r="AP685" s="62"/>
      <c r="AQ685" s="66"/>
      <c r="AR685" s="62"/>
      <c r="AS685" s="62"/>
      <c r="AT685" s="62"/>
      <c r="AU685" s="62"/>
      <c r="AV685" s="66"/>
      <c r="AW685" s="97"/>
    </row>
    <row r="686" spans="23:49" x14ac:dyDescent="0.15">
      <c r="W686" s="12"/>
      <c r="X686" s="62"/>
      <c r="Y686" s="62"/>
      <c r="Z686" s="62"/>
      <c r="AA686" s="62"/>
      <c r="AB686" s="98"/>
      <c r="AC686" s="62"/>
      <c r="AD686" s="62"/>
      <c r="AE686" s="62"/>
      <c r="AF686" s="62"/>
      <c r="AG686" s="66"/>
      <c r="AH686" s="62"/>
      <c r="AI686" s="62"/>
      <c r="AJ686" s="62"/>
      <c r="AK686" s="62"/>
      <c r="AL686" s="66"/>
      <c r="AM686" s="62"/>
      <c r="AN686" s="62"/>
      <c r="AO686" s="62"/>
      <c r="AP686" s="62"/>
      <c r="AQ686" s="66"/>
      <c r="AR686" s="62"/>
      <c r="AS686" s="62"/>
      <c r="AT686" s="62"/>
      <c r="AU686" s="62"/>
      <c r="AV686" s="66"/>
      <c r="AW686" s="97"/>
    </row>
    <row r="687" spans="23:49" x14ac:dyDescent="0.15">
      <c r="W687" s="12"/>
      <c r="X687" s="62"/>
      <c r="Y687" s="62"/>
      <c r="Z687" s="62"/>
      <c r="AA687" s="62"/>
      <c r="AB687" s="98"/>
      <c r="AC687" s="62"/>
      <c r="AD687" s="62"/>
      <c r="AE687" s="62"/>
      <c r="AF687" s="62"/>
      <c r="AG687" s="66"/>
      <c r="AH687" s="62"/>
      <c r="AI687" s="62"/>
      <c r="AJ687" s="62"/>
      <c r="AK687" s="62"/>
      <c r="AL687" s="66"/>
      <c r="AM687" s="62"/>
      <c r="AN687" s="62"/>
      <c r="AO687" s="62"/>
      <c r="AP687" s="62"/>
      <c r="AQ687" s="66"/>
      <c r="AR687" s="62"/>
      <c r="AS687" s="62"/>
      <c r="AT687" s="62"/>
      <c r="AU687" s="62"/>
      <c r="AV687" s="66"/>
      <c r="AW687" s="97"/>
    </row>
    <row r="688" spans="23:49" x14ac:dyDescent="0.15">
      <c r="W688" s="12"/>
      <c r="X688" s="62"/>
      <c r="Y688" s="62"/>
      <c r="Z688" s="62"/>
      <c r="AA688" s="62"/>
      <c r="AB688" s="98"/>
      <c r="AC688" s="62"/>
      <c r="AD688" s="62"/>
      <c r="AE688" s="62"/>
      <c r="AF688" s="62"/>
      <c r="AG688" s="66"/>
      <c r="AH688" s="62"/>
      <c r="AI688" s="62"/>
      <c r="AJ688" s="62"/>
      <c r="AK688" s="62"/>
      <c r="AL688" s="66"/>
      <c r="AM688" s="62"/>
      <c r="AN688" s="62"/>
      <c r="AO688" s="62"/>
      <c r="AP688" s="62"/>
      <c r="AQ688" s="66"/>
      <c r="AR688" s="62"/>
      <c r="AS688" s="62"/>
      <c r="AT688" s="62"/>
      <c r="AU688" s="62"/>
      <c r="AV688" s="66"/>
      <c r="AW688" s="97"/>
    </row>
    <row r="689" spans="23:49" x14ac:dyDescent="0.15">
      <c r="W689" s="12"/>
      <c r="X689" s="62"/>
      <c r="Y689" s="62"/>
      <c r="Z689" s="62"/>
      <c r="AA689" s="62"/>
      <c r="AB689" s="98"/>
      <c r="AC689" s="62"/>
      <c r="AD689" s="62"/>
      <c r="AE689" s="62"/>
      <c r="AF689" s="62"/>
      <c r="AG689" s="66"/>
      <c r="AH689" s="62"/>
      <c r="AI689" s="62"/>
      <c r="AJ689" s="62"/>
      <c r="AK689" s="62"/>
      <c r="AL689" s="66"/>
      <c r="AM689" s="62"/>
      <c r="AN689" s="62"/>
      <c r="AO689" s="62"/>
      <c r="AP689" s="62"/>
      <c r="AQ689" s="66"/>
      <c r="AR689" s="62"/>
      <c r="AS689" s="62"/>
      <c r="AT689" s="62"/>
      <c r="AU689" s="62"/>
      <c r="AV689" s="66"/>
      <c r="AW689" s="97"/>
    </row>
    <row r="690" spans="23:49" x14ac:dyDescent="0.15">
      <c r="W690" s="12"/>
      <c r="X690" s="62"/>
      <c r="Y690" s="62"/>
      <c r="Z690" s="62"/>
      <c r="AA690" s="62"/>
      <c r="AB690" s="98"/>
      <c r="AC690" s="62"/>
      <c r="AD690" s="62"/>
      <c r="AE690" s="62"/>
      <c r="AF690" s="62"/>
      <c r="AG690" s="66"/>
      <c r="AH690" s="62"/>
      <c r="AI690" s="62"/>
      <c r="AJ690" s="62"/>
      <c r="AK690" s="62"/>
      <c r="AL690" s="66"/>
      <c r="AM690" s="62"/>
      <c r="AN690" s="62"/>
      <c r="AO690" s="62"/>
      <c r="AP690" s="62"/>
      <c r="AQ690" s="66"/>
      <c r="AR690" s="62"/>
      <c r="AS690" s="62"/>
      <c r="AT690" s="62"/>
      <c r="AU690" s="62"/>
      <c r="AV690" s="66"/>
      <c r="AW690" s="97"/>
    </row>
    <row r="691" spans="23:49" x14ac:dyDescent="0.15">
      <c r="W691" s="12"/>
      <c r="X691" s="62"/>
      <c r="Y691" s="62"/>
      <c r="Z691" s="62"/>
      <c r="AA691" s="62"/>
      <c r="AB691" s="98"/>
      <c r="AC691" s="62"/>
      <c r="AD691" s="62"/>
      <c r="AE691" s="62"/>
      <c r="AF691" s="62"/>
      <c r="AG691" s="66"/>
      <c r="AH691" s="62"/>
      <c r="AI691" s="62"/>
      <c r="AJ691" s="62"/>
      <c r="AK691" s="62"/>
      <c r="AL691" s="66"/>
      <c r="AM691" s="62"/>
      <c r="AN691" s="62"/>
      <c r="AO691" s="62"/>
      <c r="AP691" s="62"/>
      <c r="AQ691" s="66"/>
      <c r="AR691" s="62"/>
      <c r="AS691" s="62"/>
      <c r="AT691" s="62"/>
      <c r="AU691" s="62"/>
      <c r="AV691" s="66"/>
      <c r="AW691" s="97"/>
    </row>
    <row r="692" spans="23:49" x14ac:dyDescent="0.15">
      <c r="W692" s="12"/>
      <c r="X692" s="62"/>
      <c r="Y692" s="62"/>
      <c r="Z692" s="62"/>
      <c r="AA692" s="62"/>
      <c r="AB692" s="98"/>
      <c r="AC692" s="62"/>
      <c r="AD692" s="62"/>
      <c r="AE692" s="62"/>
      <c r="AF692" s="62"/>
      <c r="AG692" s="66"/>
      <c r="AH692" s="62"/>
      <c r="AI692" s="62"/>
      <c r="AJ692" s="62"/>
      <c r="AK692" s="62"/>
      <c r="AL692" s="66"/>
      <c r="AM692" s="62"/>
      <c r="AN692" s="62"/>
      <c r="AO692" s="62"/>
      <c r="AP692" s="62"/>
      <c r="AQ692" s="66"/>
      <c r="AR692" s="62"/>
      <c r="AS692" s="62"/>
      <c r="AT692" s="62"/>
      <c r="AU692" s="62"/>
      <c r="AV692" s="66"/>
      <c r="AW692" s="97"/>
    </row>
    <row r="693" spans="23:49" x14ac:dyDescent="0.15">
      <c r="W693" s="12"/>
      <c r="X693" s="62"/>
      <c r="Y693" s="62"/>
      <c r="Z693" s="62"/>
      <c r="AA693" s="62"/>
      <c r="AB693" s="98"/>
      <c r="AC693" s="62"/>
      <c r="AD693" s="62"/>
      <c r="AE693" s="62"/>
      <c r="AF693" s="62"/>
      <c r="AG693" s="66"/>
      <c r="AH693" s="62"/>
      <c r="AI693" s="62"/>
      <c r="AJ693" s="62"/>
      <c r="AK693" s="62"/>
      <c r="AL693" s="66"/>
      <c r="AM693" s="62"/>
      <c r="AN693" s="62"/>
      <c r="AO693" s="62"/>
      <c r="AP693" s="62"/>
      <c r="AQ693" s="66"/>
      <c r="AR693" s="62"/>
      <c r="AS693" s="62"/>
      <c r="AT693" s="62"/>
      <c r="AU693" s="62"/>
      <c r="AV693" s="66"/>
      <c r="AW693" s="97"/>
    </row>
    <row r="694" spans="23:49" x14ac:dyDescent="0.15">
      <c r="W694" s="12"/>
      <c r="X694" s="62"/>
      <c r="Y694" s="62"/>
      <c r="Z694" s="62"/>
      <c r="AA694" s="62"/>
      <c r="AB694" s="98"/>
      <c r="AC694" s="62"/>
      <c r="AD694" s="62"/>
      <c r="AE694" s="62"/>
      <c r="AF694" s="62"/>
      <c r="AG694" s="66"/>
      <c r="AH694" s="62"/>
      <c r="AI694" s="62"/>
      <c r="AJ694" s="62"/>
      <c r="AK694" s="62"/>
      <c r="AL694" s="66"/>
      <c r="AM694" s="62"/>
      <c r="AN694" s="62"/>
      <c r="AO694" s="62"/>
      <c r="AP694" s="62"/>
      <c r="AQ694" s="66"/>
      <c r="AR694" s="62"/>
      <c r="AS694" s="62"/>
      <c r="AT694" s="62"/>
      <c r="AU694" s="62"/>
      <c r="AV694" s="66"/>
      <c r="AW694" s="97"/>
    </row>
    <row r="695" spans="23:49" x14ac:dyDescent="0.15">
      <c r="W695" s="12"/>
      <c r="X695" s="62"/>
      <c r="Y695" s="62"/>
      <c r="Z695" s="62"/>
      <c r="AA695" s="62"/>
      <c r="AB695" s="98"/>
      <c r="AC695" s="62"/>
      <c r="AD695" s="62"/>
      <c r="AE695" s="62"/>
      <c r="AF695" s="62"/>
      <c r="AG695" s="66"/>
      <c r="AH695" s="62"/>
      <c r="AI695" s="62"/>
      <c r="AJ695" s="62"/>
      <c r="AK695" s="62"/>
      <c r="AL695" s="66"/>
      <c r="AM695" s="62"/>
      <c r="AN695" s="62"/>
      <c r="AO695" s="62"/>
      <c r="AP695" s="62"/>
      <c r="AQ695" s="66"/>
      <c r="AR695" s="62"/>
      <c r="AS695" s="62"/>
      <c r="AT695" s="62"/>
      <c r="AU695" s="62"/>
      <c r="AV695" s="66"/>
      <c r="AW695" s="97"/>
    </row>
    <row r="696" spans="23:49" x14ac:dyDescent="0.15">
      <c r="W696" s="12"/>
      <c r="X696" s="62"/>
      <c r="Y696" s="62"/>
      <c r="Z696" s="62"/>
      <c r="AA696" s="62"/>
      <c r="AB696" s="98"/>
      <c r="AC696" s="62"/>
      <c r="AD696" s="62"/>
      <c r="AE696" s="62"/>
      <c r="AF696" s="62"/>
      <c r="AG696" s="66"/>
      <c r="AH696" s="62"/>
      <c r="AI696" s="62"/>
      <c r="AJ696" s="62"/>
      <c r="AK696" s="62"/>
      <c r="AL696" s="66"/>
      <c r="AM696" s="62"/>
      <c r="AN696" s="62"/>
      <c r="AO696" s="62"/>
      <c r="AP696" s="62"/>
      <c r="AQ696" s="66"/>
      <c r="AR696" s="62"/>
      <c r="AS696" s="62"/>
      <c r="AT696" s="62"/>
      <c r="AU696" s="62"/>
      <c r="AV696" s="66"/>
      <c r="AW696" s="97"/>
    </row>
    <row r="697" spans="23:49" x14ac:dyDescent="0.15">
      <c r="W697" s="12"/>
      <c r="X697" s="62"/>
      <c r="Y697" s="62"/>
      <c r="Z697" s="62"/>
      <c r="AA697" s="62"/>
      <c r="AB697" s="98"/>
      <c r="AC697" s="62"/>
      <c r="AD697" s="62"/>
      <c r="AE697" s="62"/>
      <c r="AF697" s="62"/>
      <c r="AG697" s="66"/>
      <c r="AH697" s="62"/>
      <c r="AI697" s="62"/>
      <c r="AJ697" s="62"/>
      <c r="AK697" s="62"/>
      <c r="AL697" s="66"/>
      <c r="AM697" s="62"/>
      <c r="AN697" s="62"/>
      <c r="AO697" s="62"/>
      <c r="AP697" s="62"/>
      <c r="AQ697" s="66"/>
      <c r="AR697" s="62"/>
      <c r="AS697" s="62"/>
      <c r="AT697" s="62"/>
      <c r="AU697" s="62"/>
      <c r="AV697" s="66"/>
      <c r="AW697" s="97"/>
    </row>
    <row r="698" spans="23:49" x14ac:dyDescent="0.15">
      <c r="W698" s="12"/>
      <c r="X698" s="62"/>
      <c r="Y698" s="62"/>
      <c r="Z698" s="62"/>
      <c r="AA698" s="62"/>
      <c r="AB698" s="98"/>
      <c r="AC698" s="62"/>
      <c r="AD698" s="62"/>
      <c r="AE698" s="62"/>
      <c r="AF698" s="62"/>
      <c r="AG698" s="66"/>
      <c r="AH698" s="62"/>
      <c r="AI698" s="62"/>
      <c r="AJ698" s="62"/>
      <c r="AK698" s="62"/>
      <c r="AL698" s="66"/>
      <c r="AM698" s="62"/>
      <c r="AN698" s="62"/>
      <c r="AO698" s="62"/>
      <c r="AP698" s="62"/>
      <c r="AQ698" s="66"/>
      <c r="AR698" s="62"/>
      <c r="AS698" s="62"/>
      <c r="AT698" s="62"/>
      <c r="AU698" s="62"/>
      <c r="AV698" s="66"/>
      <c r="AW698" s="97"/>
    </row>
    <row r="699" spans="23:49" x14ac:dyDescent="0.15">
      <c r="W699" s="12"/>
      <c r="X699" s="62"/>
      <c r="Y699" s="62"/>
      <c r="Z699" s="62"/>
      <c r="AA699" s="62"/>
      <c r="AB699" s="98"/>
      <c r="AC699" s="62"/>
      <c r="AD699" s="62"/>
      <c r="AE699" s="62"/>
      <c r="AF699" s="62"/>
      <c r="AG699" s="66"/>
      <c r="AH699" s="62"/>
      <c r="AI699" s="62"/>
      <c r="AJ699" s="62"/>
      <c r="AK699" s="62"/>
      <c r="AL699" s="66"/>
      <c r="AM699" s="62"/>
      <c r="AN699" s="62"/>
      <c r="AO699" s="62"/>
      <c r="AP699" s="62"/>
      <c r="AQ699" s="66"/>
      <c r="AR699" s="62"/>
      <c r="AS699" s="62"/>
      <c r="AT699" s="62"/>
      <c r="AU699" s="62"/>
      <c r="AV699" s="66"/>
      <c r="AW699" s="97"/>
    </row>
    <row r="700" spans="23:49" x14ac:dyDescent="0.15">
      <c r="W700" s="12"/>
      <c r="X700" s="62"/>
      <c r="Y700" s="62"/>
      <c r="Z700" s="62"/>
      <c r="AA700" s="62"/>
      <c r="AB700" s="98"/>
      <c r="AC700" s="62"/>
      <c r="AD700" s="62"/>
      <c r="AE700" s="62"/>
      <c r="AF700" s="62"/>
      <c r="AG700" s="66"/>
      <c r="AH700" s="62"/>
      <c r="AI700" s="62"/>
      <c r="AJ700" s="62"/>
      <c r="AK700" s="62"/>
      <c r="AL700" s="66"/>
      <c r="AM700" s="62"/>
      <c r="AN700" s="62"/>
      <c r="AO700" s="62"/>
      <c r="AP700" s="62"/>
      <c r="AQ700" s="66"/>
      <c r="AR700" s="62"/>
      <c r="AS700" s="62"/>
      <c r="AT700" s="62"/>
      <c r="AU700" s="62"/>
      <c r="AV700" s="66"/>
      <c r="AW700" s="97"/>
    </row>
    <row r="701" spans="23:49" x14ac:dyDescent="0.15">
      <c r="W701" s="12"/>
      <c r="X701" s="62"/>
      <c r="Y701" s="62"/>
      <c r="Z701" s="62"/>
      <c r="AA701" s="62"/>
      <c r="AB701" s="98"/>
      <c r="AC701" s="62"/>
      <c r="AD701" s="62"/>
      <c r="AE701" s="62"/>
      <c r="AF701" s="62"/>
      <c r="AG701" s="66"/>
      <c r="AH701" s="62"/>
      <c r="AI701" s="62"/>
      <c r="AJ701" s="62"/>
      <c r="AK701" s="62"/>
      <c r="AL701" s="66"/>
      <c r="AM701" s="62"/>
      <c r="AN701" s="62"/>
      <c r="AO701" s="62"/>
      <c r="AP701" s="62"/>
      <c r="AQ701" s="66"/>
      <c r="AR701" s="62"/>
      <c r="AS701" s="62"/>
      <c r="AT701" s="62"/>
      <c r="AU701" s="62"/>
      <c r="AV701" s="66"/>
      <c r="AW701" s="97"/>
    </row>
    <row r="702" spans="23:49" x14ac:dyDescent="0.15">
      <c r="W702" s="12"/>
      <c r="X702" s="62"/>
      <c r="Y702" s="62"/>
      <c r="Z702" s="62"/>
      <c r="AA702" s="62"/>
      <c r="AB702" s="98"/>
      <c r="AC702" s="62"/>
      <c r="AD702" s="62"/>
      <c r="AE702" s="62"/>
      <c r="AF702" s="62"/>
      <c r="AG702" s="66"/>
      <c r="AH702" s="62"/>
      <c r="AI702" s="62"/>
      <c r="AJ702" s="62"/>
      <c r="AK702" s="62"/>
      <c r="AL702" s="66"/>
      <c r="AM702" s="62"/>
      <c r="AN702" s="62"/>
      <c r="AO702" s="62"/>
      <c r="AP702" s="62"/>
      <c r="AQ702" s="66"/>
      <c r="AR702" s="62"/>
      <c r="AS702" s="62"/>
      <c r="AT702" s="62"/>
      <c r="AU702" s="62"/>
      <c r="AV702" s="66"/>
      <c r="AW702" s="97"/>
    </row>
    <row r="703" spans="23:49" x14ac:dyDescent="0.15">
      <c r="W703" s="12"/>
      <c r="X703" s="62"/>
      <c r="Y703" s="62"/>
      <c r="Z703" s="62"/>
      <c r="AA703" s="62"/>
      <c r="AB703" s="98"/>
      <c r="AC703" s="62"/>
      <c r="AD703" s="62"/>
      <c r="AE703" s="62"/>
      <c r="AF703" s="62"/>
      <c r="AG703" s="66"/>
      <c r="AH703" s="62"/>
      <c r="AI703" s="62"/>
      <c r="AJ703" s="62"/>
      <c r="AK703" s="62"/>
      <c r="AL703" s="66"/>
      <c r="AM703" s="62"/>
      <c r="AN703" s="62"/>
      <c r="AO703" s="62"/>
      <c r="AP703" s="62"/>
      <c r="AQ703" s="66"/>
      <c r="AR703" s="62"/>
      <c r="AS703" s="62"/>
      <c r="AT703" s="62"/>
      <c r="AU703" s="62"/>
      <c r="AV703" s="66"/>
      <c r="AW703" s="97"/>
    </row>
    <row r="704" spans="23:49" x14ac:dyDescent="0.15">
      <c r="W704" s="12"/>
      <c r="X704" s="62"/>
      <c r="Y704" s="62"/>
      <c r="Z704" s="62"/>
      <c r="AA704" s="62"/>
      <c r="AB704" s="98"/>
      <c r="AC704" s="62"/>
      <c r="AD704" s="62"/>
      <c r="AE704" s="62"/>
      <c r="AF704" s="62"/>
      <c r="AG704" s="66"/>
      <c r="AH704" s="62"/>
      <c r="AI704" s="62"/>
      <c r="AJ704" s="62"/>
      <c r="AK704" s="62"/>
      <c r="AL704" s="66"/>
      <c r="AM704" s="62"/>
      <c r="AN704" s="62"/>
      <c r="AO704" s="62"/>
      <c r="AP704" s="62"/>
      <c r="AQ704" s="66"/>
      <c r="AR704" s="62"/>
      <c r="AS704" s="62"/>
      <c r="AT704" s="62"/>
      <c r="AU704" s="62"/>
      <c r="AV704" s="66"/>
      <c r="AW704" s="97"/>
    </row>
    <row r="705" spans="23:49" x14ac:dyDescent="0.15">
      <c r="W705" s="12"/>
      <c r="X705" s="62"/>
      <c r="Y705" s="62"/>
      <c r="Z705" s="62"/>
      <c r="AA705" s="62"/>
      <c r="AB705" s="98"/>
      <c r="AC705" s="62"/>
      <c r="AD705" s="62"/>
      <c r="AE705" s="62"/>
      <c r="AF705" s="62"/>
      <c r="AG705" s="66"/>
      <c r="AH705" s="62"/>
      <c r="AI705" s="62"/>
      <c r="AJ705" s="62"/>
      <c r="AK705" s="62"/>
      <c r="AL705" s="66"/>
      <c r="AM705" s="62"/>
      <c r="AN705" s="62"/>
      <c r="AO705" s="62"/>
      <c r="AP705" s="62"/>
      <c r="AQ705" s="66"/>
      <c r="AR705" s="62"/>
      <c r="AS705" s="62"/>
      <c r="AT705" s="62"/>
      <c r="AU705" s="62"/>
      <c r="AV705" s="66"/>
      <c r="AW705" s="97"/>
    </row>
    <row r="706" spans="23:49" x14ac:dyDescent="0.15">
      <c r="W706" s="12"/>
      <c r="X706" s="62"/>
      <c r="Y706" s="62"/>
      <c r="Z706" s="62"/>
      <c r="AA706" s="62"/>
      <c r="AB706" s="98"/>
      <c r="AC706" s="62"/>
      <c r="AD706" s="62"/>
      <c r="AE706" s="62"/>
      <c r="AF706" s="62"/>
      <c r="AG706" s="66"/>
      <c r="AH706" s="62"/>
      <c r="AI706" s="62"/>
      <c r="AJ706" s="62"/>
      <c r="AK706" s="62"/>
      <c r="AL706" s="66"/>
      <c r="AM706" s="62"/>
      <c r="AN706" s="62"/>
      <c r="AO706" s="62"/>
      <c r="AP706" s="62"/>
      <c r="AQ706" s="66"/>
      <c r="AR706" s="62"/>
      <c r="AS706" s="62"/>
      <c r="AT706" s="62"/>
      <c r="AU706" s="62"/>
      <c r="AV706" s="66"/>
      <c r="AW706" s="97"/>
    </row>
    <row r="707" spans="23:49" x14ac:dyDescent="0.15">
      <c r="W707" s="12"/>
      <c r="X707" s="62"/>
      <c r="Y707" s="62"/>
      <c r="Z707" s="62"/>
      <c r="AA707" s="62"/>
      <c r="AB707" s="98"/>
      <c r="AC707" s="62"/>
      <c r="AD707" s="62"/>
      <c r="AE707" s="62"/>
      <c r="AF707" s="62"/>
      <c r="AG707" s="66"/>
      <c r="AH707" s="62"/>
      <c r="AI707" s="62"/>
      <c r="AJ707" s="62"/>
      <c r="AK707" s="62"/>
      <c r="AL707" s="66"/>
      <c r="AM707" s="62"/>
      <c r="AN707" s="62"/>
      <c r="AO707" s="62"/>
      <c r="AP707" s="62"/>
      <c r="AQ707" s="66"/>
      <c r="AR707" s="62"/>
      <c r="AS707" s="62"/>
      <c r="AT707" s="62"/>
      <c r="AU707" s="62"/>
      <c r="AV707" s="66"/>
      <c r="AW707" s="97"/>
    </row>
    <row r="708" spans="23:49" x14ac:dyDescent="0.15">
      <c r="W708" s="12"/>
      <c r="X708" s="62"/>
      <c r="Y708" s="62"/>
      <c r="Z708" s="62"/>
      <c r="AA708" s="62"/>
      <c r="AB708" s="98"/>
      <c r="AC708" s="62"/>
      <c r="AD708" s="62"/>
      <c r="AE708" s="62"/>
      <c r="AF708" s="62"/>
      <c r="AG708" s="66"/>
      <c r="AH708" s="62"/>
      <c r="AI708" s="62"/>
      <c r="AJ708" s="62"/>
      <c r="AK708" s="62"/>
      <c r="AL708" s="66"/>
      <c r="AM708" s="62"/>
      <c r="AN708" s="62"/>
      <c r="AO708" s="62"/>
      <c r="AP708" s="62"/>
      <c r="AQ708" s="66"/>
      <c r="AR708" s="62"/>
      <c r="AS708" s="62"/>
      <c r="AT708" s="62"/>
      <c r="AU708" s="62"/>
      <c r="AV708" s="66"/>
      <c r="AW708" s="97"/>
    </row>
    <row r="709" spans="23:49" x14ac:dyDescent="0.15">
      <c r="W709" s="12"/>
      <c r="X709" s="62"/>
      <c r="Y709" s="62"/>
      <c r="Z709" s="62"/>
      <c r="AA709" s="62"/>
      <c r="AB709" s="98"/>
      <c r="AC709" s="62"/>
      <c r="AD709" s="62"/>
      <c r="AE709" s="62"/>
      <c r="AF709" s="62"/>
      <c r="AG709" s="66"/>
      <c r="AH709" s="62"/>
      <c r="AI709" s="62"/>
      <c r="AJ709" s="62"/>
      <c r="AK709" s="62"/>
      <c r="AL709" s="66"/>
      <c r="AM709" s="62"/>
      <c r="AN709" s="62"/>
      <c r="AO709" s="62"/>
      <c r="AP709" s="62"/>
      <c r="AQ709" s="66"/>
      <c r="AR709" s="62"/>
      <c r="AS709" s="62"/>
      <c r="AT709" s="62"/>
      <c r="AU709" s="62"/>
      <c r="AV709" s="66"/>
      <c r="AW709" s="97"/>
    </row>
    <row r="710" spans="23:49" x14ac:dyDescent="0.15">
      <c r="W710" s="12"/>
      <c r="X710" s="62"/>
      <c r="Y710" s="62"/>
      <c r="Z710" s="62"/>
      <c r="AA710" s="62"/>
      <c r="AB710" s="98"/>
      <c r="AC710" s="62"/>
      <c r="AD710" s="62"/>
      <c r="AE710" s="62"/>
      <c r="AF710" s="62"/>
      <c r="AG710" s="66"/>
      <c r="AH710" s="62"/>
      <c r="AI710" s="62"/>
      <c r="AJ710" s="62"/>
      <c r="AK710" s="62"/>
      <c r="AL710" s="66"/>
      <c r="AM710" s="62"/>
      <c r="AN710" s="62"/>
      <c r="AO710" s="62"/>
      <c r="AP710" s="62"/>
      <c r="AQ710" s="66"/>
      <c r="AR710" s="62"/>
      <c r="AS710" s="62"/>
      <c r="AT710" s="62"/>
      <c r="AU710" s="62"/>
      <c r="AV710" s="66"/>
      <c r="AW710" s="97"/>
    </row>
    <row r="711" spans="23:49" x14ac:dyDescent="0.15">
      <c r="W711" s="12"/>
      <c r="X711" s="62"/>
      <c r="Y711" s="62"/>
      <c r="Z711" s="62"/>
      <c r="AA711" s="62"/>
      <c r="AB711" s="98"/>
      <c r="AC711" s="62"/>
      <c r="AD711" s="62"/>
      <c r="AE711" s="62"/>
      <c r="AF711" s="62"/>
      <c r="AG711" s="66"/>
      <c r="AH711" s="62"/>
      <c r="AI711" s="62"/>
      <c r="AJ711" s="62"/>
      <c r="AK711" s="62"/>
      <c r="AL711" s="66"/>
      <c r="AM711" s="62"/>
      <c r="AN711" s="62"/>
      <c r="AO711" s="62"/>
      <c r="AP711" s="62"/>
      <c r="AQ711" s="66"/>
      <c r="AR711" s="62"/>
      <c r="AS711" s="62"/>
      <c r="AT711" s="62"/>
      <c r="AU711" s="62"/>
      <c r="AV711" s="66"/>
      <c r="AW711" s="97"/>
    </row>
    <row r="712" spans="23:49" x14ac:dyDescent="0.15">
      <c r="W712" s="12"/>
      <c r="X712" s="62"/>
      <c r="Y712" s="62"/>
      <c r="Z712" s="62"/>
      <c r="AA712" s="62"/>
      <c r="AB712" s="98"/>
      <c r="AC712" s="62"/>
      <c r="AD712" s="62"/>
      <c r="AE712" s="62"/>
      <c r="AF712" s="62"/>
      <c r="AG712" s="66"/>
      <c r="AH712" s="62"/>
      <c r="AI712" s="62"/>
      <c r="AJ712" s="62"/>
      <c r="AK712" s="62"/>
      <c r="AL712" s="66"/>
      <c r="AM712" s="62"/>
      <c r="AN712" s="62"/>
      <c r="AO712" s="62"/>
      <c r="AP712" s="62"/>
      <c r="AQ712" s="66"/>
      <c r="AR712" s="62"/>
      <c r="AS712" s="62"/>
      <c r="AT712" s="62"/>
      <c r="AU712" s="62"/>
      <c r="AV712" s="66"/>
      <c r="AW712" s="97"/>
    </row>
    <row r="713" spans="23:49" x14ac:dyDescent="0.15">
      <c r="W713" s="12"/>
      <c r="X713" s="62"/>
      <c r="Y713" s="62"/>
      <c r="Z713" s="62"/>
      <c r="AA713" s="62"/>
      <c r="AB713" s="98"/>
      <c r="AC713" s="62"/>
      <c r="AD713" s="62"/>
      <c r="AE713" s="62"/>
      <c r="AF713" s="62"/>
      <c r="AG713" s="66"/>
      <c r="AH713" s="62"/>
      <c r="AI713" s="62"/>
      <c r="AJ713" s="62"/>
      <c r="AK713" s="62"/>
      <c r="AL713" s="66"/>
      <c r="AM713" s="62"/>
      <c r="AN713" s="62"/>
      <c r="AO713" s="62"/>
      <c r="AP713" s="62"/>
      <c r="AQ713" s="66"/>
      <c r="AR713" s="62"/>
      <c r="AS713" s="62"/>
      <c r="AT713" s="62"/>
      <c r="AU713" s="62"/>
      <c r="AV713" s="66"/>
      <c r="AW713" s="97"/>
    </row>
    <row r="714" spans="23:49" x14ac:dyDescent="0.15">
      <c r="W714" s="12"/>
      <c r="X714" s="62"/>
      <c r="Y714" s="62"/>
      <c r="Z714" s="62"/>
      <c r="AA714" s="62"/>
      <c r="AB714" s="98"/>
      <c r="AC714" s="62"/>
      <c r="AD714" s="62"/>
      <c r="AE714" s="62"/>
      <c r="AF714" s="62"/>
      <c r="AG714" s="66"/>
      <c r="AH714" s="62"/>
      <c r="AI714" s="62"/>
      <c r="AJ714" s="62"/>
      <c r="AK714" s="62"/>
      <c r="AL714" s="66"/>
      <c r="AM714" s="62"/>
      <c r="AN714" s="62"/>
      <c r="AO714" s="62"/>
      <c r="AP714" s="62"/>
      <c r="AQ714" s="66"/>
      <c r="AR714" s="62"/>
      <c r="AS714" s="62"/>
      <c r="AT714" s="62"/>
      <c r="AU714" s="62"/>
      <c r="AV714" s="66"/>
      <c r="AW714" s="97"/>
    </row>
    <row r="715" spans="23:49" x14ac:dyDescent="0.15">
      <c r="W715" s="12"/>
      <c r="X715" s="62"/>
      <c r="Y715" s="62"/>
      <c r="Z715" s="62"/>
      <c r="AA715" s="62"/>
      <c r="AB715" s="98"/>
      <c r="AC715" s="62"/>
      <c r="AD715" s="62"/>
      <c r="AE715" s="62"/>
      <c r="AF715" s="62"/>
      <c r="AG715" s="66"/>
      <c r="AH715" s="62"/>
      <c r="AI715" s="62"/>
      <c r="AJ715" s="62"/>
      <c r="AK715" s="62"/>
      <c r="AL715" s="66"/>
      <c r="AM715" s="62"/>
      <c r="AN715" s="62"/>
      <c r="AO715" s="62"/>
      <c r="AP715" s="62"/>
      <c r="AQ715" s="66"/>
      <c r="AR715" s="62"/>
      <c r="AS715" s="62"/>
      <c r="AT715" s="62"/>
      <c r="AU715" s="62"/>
      <c r="AV715" s="66"/>
      <c r="AW715" s="97"/>
    </row>
    <row r="716" spans="23:49" x14ac:dyDescent="0.15">
      <c r="W716" s="12"/>
      <c r="X716" s="62"/>
      <c r="Y716" s="62"/>
      <c r="Z716" s="62"/>
      <c r="AA716" s="62"/>
      <c r="AB716" s="98"/>
      <c r="AC716" s="62"/>
      <c r="AD716" s="62"/>
      <c r="AE716" s="62"/>
      <c r="AF716" s="62"/>
      <c r="AG716" s="66"/>
      <c r="AH716" s="62"/>
      <c r="AI716" s="62"/>
      <c r="AJ716" s="62"/>
      <c r="AK716" s="62"/>
      <c r="AL716" s="66"/>
      <c r="AM716" s="62"/>
      <c r="AN716" s="62"/>
      <c r="AO716" s="62"/>
      <c r="AP716" s="62"/>
      <c r="AQ716" s="66"/>
      <c r="AR716" s="62"/>
      <c r="AS716" s="62"/>
      <c r="AT716" s="62"/>
      <c r="AU716" s="62"/>
      <c r="AV716" s="66"/>
      <c r="AW716" s="97"/>
    </row>
    <row r="717" spans="23:49" x14ac:dyDescent="0.15">
      <c r="W717" s="12"/>
      <c r="X717" s="62"/>
      <c r="Y717" s="62"/>
      <c r="Z717" s="62"/>
      <c r="AA717" s="62"/>
      <c r="AB717" s="98"/>
      <c r="AC717" s="62"/>
      <c r="AD717" s="62"/>
      <c r="AE717" s="62"/>
      <c r="AF717" s="62"/>
      <c r="AG717" s="66"/>
      <c r="AH717" s="62"/>
      <c r="AI717" s="62"/>
      <c r="AJ717" s="62"/>
      <c r="AK717" s="62"/>
      <c r="AL717" s="66"/>
      <c r="AM717" s="62"/>
      <c r="AN717" s="62"/>
      <c r="AO717" s="62"/>
      <c r="AP717" s="62"/>
      <c r="AQ717" s="66"/>
      <c r="AR717" s="62"/>
      <c r="AS717" s="62"/>
      <c r="AT717" s="62"/>
      <c r="AU717" s="62"/>
      <c r="AV717" s="66"/>
      <c r="AW717" s="97"/>
    </row>
    <row r="718" spans="23:49" x14ac:dyDescent="0.15">
      <c r="W718" s="12"/>
      <c r="X718" s="62"/>
      <c r="Y718" s="62"/>
      <c r="Z718" s="62"/>
      <c r="AA718" s="62"/>
      <c r="AB718" s="98"/>
      <c r="AC718" s="62"/>
      <c r="AD718" s="62"/>
      <c r="AE718" s="62"/>
      <c r="AF718" s="62"/>
      <c r="AG718" s="66"/>
      <c r="AH718" s="62"/>
      <c r="AI718" s="62"/>
      <c r="AJ718" s="62"/>
      <c r="AK718" s="62"/>
      <c r="AL718" s="66"/>
      <c r="AM718" s="62"/>
      <c r="AN718" s="62"/>
      <c r="AO718" s="62"/>
      <c r="AP718" s="62"/>
      <c r="AQ718" s="66"/>
      <c r="AR718" s="62"/>
      <c r="AS718" s="62"/>
      <c r="AT718" s="62"/>
      <c r="AU718" s="62"/>
      <c r="AV718" s="66"/>
      <c r="AW718" s="97"/>
    </row>
    <row r="719" spans="23:49" x14ac:dyDescent="0.15">
      <c r="W719" s="12"/>
      <c r="X719" s="62"/>
      <c r="Y719" s="62"/>
      <c r="Z719" s="62"/>
      <c r="AA719" s="62"/>
      <c r="AB719" s="98"/>
      <c r="AC719" s="62"/>
      <c r="AD719" s="62"/>
      <c r="AE719" s="62"/>
      <c r="AF719" s="62"/>
      <c r="AG719" s="66"/>
      <c r="AH719" s="62"/>
      <c r="AI719" s="62"/>
      <c r="AJ719" s="62"/>
      <c r="AK719" s="62"/>
      <c r="AL719" s="66"/>
      <c r="AM719" s="62"/>
      <c r="AN719" s="62"/>
      <c r="AO719" s="62"/>
      <c r="AP719" s="62"/>
      <c r="AQ719" s="66"/>
      <c r="AR719" s="62"/>
      <c r="AS719" s="62"/>
      <c r="AT719" s="62"/>
      <c r="AU719" s="62"/>
      <c r="AV719" s="66"/>
      <c r="AW719" s="97"/>
    </row>
    <row r="720" spans="23:49" x14ac:dyDescent="0.15">
      <c r="W720" s="12"/>
      <c r="X720" s="62"/>
      <c r="Y720" s="62"/>
      <c r="Z720" s="62"/>
      <c r="AA720" s="62"/>
      <c r="AB720" s="98"/>
      <c r="AC720" s="62"/>
      <c r="AD720" s="62"/>
      <c r="AE720" s="62"/>
      <c r="AF720" s="62"/>
      <c r="AG720" s="66"/>
      <c r="AH720" s="62"/>
      <c r="AI720" s="62"/>
      <c r="AJ720" s="62"/>
      <c r="AK720" s="62"/>
      <c r="AL720" s="66"/>
      <c r="AM720" s="62"/>
      <c r="AN720" s="62"/>
      <c r="AO720" s="62"/>
      <c r="AP720" s="62"/>
      <c r="AQ720" s="66"/>
      <c r="AR720" s="62"/>
      <c r="AS720" s="62"/>
      <c r="AT720" s="62"/>
      <c r="AU720" s="62"/>
      <c r="AV720" s="66"/>
      <c r="AW720" s="97"/>
    </row>
    <row r="721" spans="23:49" x14ac:dyDescent="0.15">
      <c r="W721" s="12"/>
      <c r="X721" s="62"/>
      <c r="Y721" s="62"/>
      <c r="Z721" s="62"/>
      <c r="AA721" s="62"/>
      <c r="AB721" s="98"/>
      <c r="AC721" s="62"/>
      <c r="AD721" s="62"/>
      <c r="AE721" s="62"/>
      <c r="AF721" s="62"/>
      <c r="AG721" s="66"/>
      <c r="AH721" s="62"/>
      <c r="AI721" s="62"/>
      <c r="AJ721" s="62"/>
      <c r="AK721" s="62"/>
      <c r="AL721" s="66"/>
      <c r="AM721" s="62"/>
      <c r="AN721" s="62"/>
      <c r="AO721" s="62"/>
      <c r="AP721" s="62"/>
      <c r="AQ721" s="66"/>
      <c r="AR721" s="62"/>
      <c r="AS721" s="62"/>
      <c r="AT721" s="62"/>
      <c r="AU721" s="62"/>
      <c r="AV721" s="66"/>
      <c r="AW721" s="97"/>
    </row>
    <row r="722" spans="23:49" x14ac:dyDescent="0.15">
      <c r="W722" s="12"/>
      <c r="X722" s="62"/>
      <c r="Y722" s="62"/>
      <c r="Z722" s="62"/>
      <c r="AA722" s="62"/>
      <c r="AB722" s="98"/>
      <c r="AC722" s="62"/>
      <c r="AD722" s="62"/>
      <c r="AE722" s="62"/>
      <c r="AF722" s="62"/>
      <c r="AG722" s="66"/>
      <c r="AH722" s="62"/>
      <c r="AI722" s="62"/>
      <c r="AJ722" s="62"/>
      <c r="AK722" s="62"/>
      <c r="AL722" s="66"/>
      <c r="AM722" s="62"/>
      <c r="AN722" s="62"/>
      <c r="AO722" s="62"/>
      <c r="AP722" s="62"/>
      <c r="AQ722" s="66"/>
      <c r="AR722" s="62"/>
      <c r="AS722" s="62"/>
      <c r="AT722" s="62"/>
      <c r="AU722" s="62"/>
      <c r="AV722" s="66"/>
      <c r="AW722" s="97"/>
    </row>
    <row r="723" spans="23:49" x14ac:dyDescent="0.15">
      <c r="W723" s="12"/>
      <c r="X723" s="62"/>
      <c r="Y723" s="62"/>
      <c r="Z723" s="62"/>
      <c r="AA723" s="62"/>
      <c r="AB723" s="98"/>
      <c r="AC723" s="62"/>
      <c r="AD723" s="62"/>
      <c r="AE723" s="62"/>
      <c r="AF723" s="62"/>
      <c r="AG723" s="66"/>
      <c r="AH723" s="62"/>
      <c r="AI723" s="62"/>
      <c r="AJ723" s="62"/>
      <c r="AK723" s="62"/>
      <c r="AL723" s="66"/>
      <c r="AM723" s="62"/>
      <c r="AN723" s="62"/>
      <c r="AO723" s="62"/>
      <c r="AP723" s="62"/>
      <c r="AQ723" s="66"/>
      <c r="AR723" s="62"/>
      <c r="AS723" s="62"/>
      <c r="AT723" s="62"/>
      <c r="AU723" s="62"/>
      <c r="AV723" s="66"/>
      <c r="AW723" s="97"/>
    </row>
    <row r="724" spans="23:49" x14ac:dyDescent="0.15">
      <c r="W724" s="12"/>
      <c r="X724" s="62"/>
      <c r="Y724" s="62"/>
      <c r="Z724" s="62"/>
      <c r="AA724" s="62"/>
      <c r="AB724" s="98"/>
      <c r="AC724" s="62"/>
      <c r="AD724" s="62"/>
      <c r="AE724" s="62"/>
      <c r="AF724" s="62"/>
      <c r="AG724" s="66"/>
      <c r="AH724" s="62"/>
      <c r="AI724" s="62"/>
      <c r="AJ724" s="62"/>
      <c r="AK724" s="62"/>
      <c r="AL724" s="66"/>
      <c r="AM724" s="62"/>
      <c r="AN724" s="62"/>
      <c r="AO724" s="62"/>
      <c r="AP724" s="62"/>
      <c r="AQ724" s="66"/>
      <c r="AR724" s="62"/>
      <c r="AS724" s="62"/>
      <c r="AT724" s="62"/>
      <c r="AU724" s="62"/>
      <c r="AV724" s="66"/>
      <c r="AW724" s="97"/>
    </row>
    <row r="725" spans="23:49" x14ac:dyDescent="0.15">
      <c r="W725" s="12"/>
      <c r="X725" s="62"/>
      <c r="Y725" s="62"/>
      <c r="Z725" s="62"/>
      <c r="AA725" s="62"/>
      <c r="AB725" s="98"/>
      <c r="AC725" s="62"/>
      <c r="AD725" s="62"/>
      <c r="AE725" s="62"/>
      <c r="AF725" s="62"/>
      <c r="AG725" s="66"/>
      <c r="AH725" s="62"/>
      <c r="AI725" s="62"/>
      <c r="AJ725" s="62"/>
      <c r="AK725" s="62"/>
      <c r="AL725" s="66"/>
      <c r="AM725" s="62"/>
      <c r="AN725" s="62"/>
      <c r="AO725" s="62"/>
      <c r="AP725" s="62"/>
      <c r="AQ725" s="66"/>
      <c r="AR725" s="62"/>
      <c r="AS725" s="62"/>
      <c r="AT725" s="62"/>
      <c r="AU725" s="62"/>
      <c r="AV725" s="66"/>
      <c r="AW725" s="97"/>
    </row>
    <row r="726" spans="23:49" x14ac:dyDescent="0.15">
      <c r="W726" s="12"/>
      <c r="X726" s="62"/>
      <c r="Y726" s="62"/>
      <c r="Z726" s="62"/>
      <c r="AA726" s="62"/>
      <c r="AB726" s="98"/>
      <c r="AC726" s="62"/>
      <c r="AD726" s="62"/>
      <c r="AE726" s="62"/>
      <c r="AF726" s="62"/>
      <c r="AG726" s="66"/>
      <c r="AH726" s="62"/>
      <c r="AI726" s="62"/>
      <c r="AJ726" s="62"/>
      <c r="AK726" s="62"/>
      <c r="AL726" s="66"/>
      <c r="AM726" s="62"/>
      <c r="AN726" s="62"/>
      <c r="AO726" s="62"/>
      <c r="AP726" s="62"/>
      <c r="AQ726" s="66"/>
      <c r="AR726" s="62"/>
      <c r="AS726" s="62"/>
      <c r="AT726" s="62"/>
      <c r="AU726" s="62"/>
      <c r="AV726" s="66"/>
      <c r="AW726" s="97"/>
    </row>
    <row r="727" spans="23:49" x14ac:dyDescent="0.15">
      <c r="W727" s="12"/>
      <c r="X727" s="62"/>
      <c r="Y727" s="62"/>
      <c r="Z727" s="62"/>
      <c r="AA727" s="62"/>
      <c r="AB727" s="98"/>
      <c r="AC727" s="62"/>
      <c r="AD727" s="62"/>
      <c r="AE727" s="62"/>
      <c r="AF727" s="62"/>
      <c r="AG727" s="66"/>
      <c r="AH727" s="62"/>
      <c r="AI727" s="62"/>
      <c r="AJ727" s="62"/>
      <c r="AK727" s="62"/>
      <c r="AL727" s="66"/>
      <c r="AM727" s="62"/>
      <c r="AN727" s="62"/>
      <c r="AO727" s="62"/>
      <c r="AP727" s="62"/>
      <c r="AQ727" s="66"/>
      <c r="AR727" s="62"/>
      <c r="AS727" s="62"/>
      <c r="AT727" s="62"/>
      <c r="AU727" s="62"/>
      <c r="AV727" s="66"/>
      <c r="AW727" s="97"/>
    </row>
    <row r="728" spans="23:49" x14ac:dyDescent="0.15">
      <c r="W728" s="12"/>
      <c r="X728" s="62"/>
      <c r="Y728" s="62"/>
      <c r="Z728" s="62"/>
      <c r="AA728" s="62"/>
      <c r="AB728" s="98"/>
      <c r="AC728" s="62"/>
      <c r="AD728" s="62"/>
      <c r="AE728" s="62"/>
      <c r="AF728" s="62"/>
      <c r="AG728" s="66"/>
      <c r="AH728" s="62"/>
      <c r="AI728" s="62"/>
      <c r="AJ728" s="62"/>
      <c r="AK728" s="62"/>
      <c r="AL728" s="66"/>
      <c r="AM728" s="62"/>
      <c r="AN728" s="62"/>
      <c r="AO728" s="62"/>
      <c r="AP728" s="62"/>
      <c r="AQ728" s="66"/>
      <c r="AR728" s="62"/>
      <c r="AS728" s="62"/>
      <c r="AT728" s="62"/>
      <c r="AU728" s="62"/>
      <c r="AV728" s="66"/>
      <c r="AW728" s="97"/>
    </row>
    <row r="729" spans="23:49" x14ac:dyDescent="0.15">
      <c r="W729" s="12"/>
      <c r="X729" s="62"/>
      <c r="Y729" s="62"/>
      <c r="Z729" s="62"/>
      <c r="AA729" s="62"/>
      <c r="AB729" s="98"/>
      <c r="AC729" s="62"/>
      <c r="AD729" s="62"/>
      <c r="AE729" s="62"/>
      <c r="AF729" s="62"/>
      <c r="AG729" s="66"/>
      <c r="AH729" s="62"/>
      <c r="AI729" s="62"/>
      <c r="AJ729" s="62"/>
      <c r="AK729" s="62"/>
      <c r="AL729" s="66"/>
      <c r="AM729" s="62"/>
      <c r="AN729" s="62"/>
      <c r="AO729" s="62"/>
      <c r="AP729" s="62"/>
      <c r="AQ729" s="66"/>
      <c r="AR729" s="62"/>
      <c r="AS729" s="62"/>
      <c r="AT729" s="62"/>
      <c r="AU729" s="62"/>
      <c r="AV729" s="66"/>
      <c r="AW729" s="97"/>
    </row>
    <row r="730" spans="23:49" x14ac:dyDescent="0.15">
      <c r="W730" s="12"/>
      <c r="X730" s="62"/>
      <c r="Y730" s="62"/>
      <c r="Z730" s="62"/>
      <c r="AA730" s="62"/>
      <c r="AB730" s="98"/>
      <c r="AC730" s="62"/>
      <c r="AD730" s="62"/>
      <c r="AE730" s="62"/>
      <c r="AF730" s="62"/>
      <c r="AG730" s="66"/>
      <c r="AH730" s="62"/>
      <c r="AI730" s="62"/>
      <c r="AJ730" s="62"/>
      <c r="AK730" s="62"/>
      <c r="AL730" s="66"/>
      <c r="AM730" s="62"/>
      <c r="AN730" s="62"/>
      <c r="AO730" s="62"/>
      <c r="AP730" s="62"/>
      <c r="AQ730" s="66"/>
      <c r="AR730" s="62"/>
      <c r="AS730" s="62"/>
      <c r="AT730" s="62"/>
      <c r="AU730" s="62"/>
      <c r="AV730" s="66"/>
      <c r="AW730" s="97"/>
    </row>
    <row r="731" spans="23:49" x14ac:dyDescent="0.15">
      <c r="W731" s="12"/>
      <c r="X731" s="62"/>
      <c r="Y731" s="62"/>
      <c r="Z731" s="62"/>
      <c r="AA731" s="62"/>
      <c r="AB731" s="98"/>
      <c r="AC731" s="62"/>
      <c r="AD731" s="62"/>
      <c r="AE731" s="62"/>
      <c r="AF731" s="62"/>
      <c r="AG731" s="66"/>
      <c r="AH731" s="62"/>
      <c r="AI731" s="62"/>
      <c r="AJ731" s="62"/>
      <c r="AK731" s="62"/>
      <c r="AL731" s="66"/>
      <c r="AM731" s="62"/>
      <c r="AN731" s="62"/>
      <c r="AO731" s="62"/>
      <c r="AP731" s="62"/>
      <c r="AQ731" s="66"/>
      <c r="AR731" s="62"/>
      <c r="AS731" s="62"/>
      <c r="AT731" s="62"/>
      <c r="AU731" s="62"/>
      <c r="AV731" s="66"/>
      <c r="AW731" s="97"/>
    </row>
    <row r="732" spans="23:49" x14ac:dyDescent="0.15">
      <c r="W732" s="12"/>
      <c r="X732" s="62"/>
      <c r="Y732" s="62"/>
      <c r="Z732" s="62"/>
      <c r="AA732" s="62"/>
      <c r="AB732" s="98"/>
      <c r="AC732" s="62"/>
      <c r="AD732" s="62"/>
      <c r="AE732" s="62"/>
      <c r="AF732" s="62"/>
      <c r="AG732" s="66"/>
      <c r="AH732" s="62"/>
      <c r="AI732" s="62"/>
      <c r="AJ732" s="62"/>
      <c r="AK732" s="62"/>
      <c r="AL732" s="66"/>
      <c r="AM732" s="62"/>
      <c r="AN732" s="62"/>
      <c r="AO732" s="62"/>
      <c r="AP732" s="62"/>
      <c r="AQ732" s="66"/>
      <c r="AR732" s="62"/>
      <c r="AS732" s="62"/>
      <c r="AT732" s="62"/>
      <c r="AU732" s="62"/>
      <c r="AV732" s="66"/>
      <c r="AW732" s="97"/>
    </row>
    <row r="733" spans="23:49" x14ac:dyDescent="0.15">
      <c r="W733" s="12"/>
      <c r="X733" s="62"/>
      <c r="Y733" s="62"/>
      <c r="Z733" s="62"/>
      <c r="AA733" s="62"/>
      <c r="AB733" s="98"/>
      <c r="AC733" s="62"/>
      <c r="AD733" s="62"/>
      <c r="AE733" s="62"/>
      <c r="AF733" s="62"/>
      <c r="AG733" s="66"/>
      <c r="AH733" s="62"/>
      <c r="AI733" s="62"/>
      <c r="AJ733" s="62"/>
      <c r="AK733" s="62"/>
      <c r="AL733" s="66"/>
      <c r="AM733" s="62"/>
      <c r="AN733" s="62"/>
      <c r="AO733" s="62"/>
      <c r="AP733" s="62"/>
      <c r="AQ733" s="66"/>
      <c r="AR733" s="62"/>
      <c r="AS733" s="62"/>
      <c r="AT733" s="62"/>
      <c r="AU733" s="62"/>
      <c r="AV733" s="66"/>
      <c r="AW733" s="97"/>
    </row>
    <row r="734" spans="23:49" x14ac:dyDescent="0.15">
      <c r="W734" s="12"/>
      <c r="X734" s="62"/>
      <c r="Y734" s="62"/>
      <c r="Z734" s="62"/>
      <c r="AA734" s="62"/>
      <c r="AB734" s="98"/>
      <c r="AC734" s="62"/>
      <c r="AD734" s="62"/>
      <c r="AE734" s="62"/>
      <c r="AF734" s="62"/>
      <c r="AG734" s="66"/>
      <c r="AH734" s="62"/>
      <c r="AI734" s="62"/>
      <c r="AJ734" s="62"/>
      <c r="AK734" s="62"/>
      <c r="AL734" s="66"/>
      <c r="AM734" s="62"/>
      <c r="AN734" s="62"/>
      <c r="AO734" s="62"/>
      <c r="AP734" s="62"/>
      <c r="AQ734" s="66"/>
      <c r="AR734" s="62"/>
      <c r="AS734" s="62"/>
      <c r="AT734" s="62"/>
      <c r="AU734" s="62"/>
      <c r="AV734" s="66"/>
      <c r="AW734" s="97"/>
    </row>
    <row r="735" spans="23:49" x14ac:dyDescent="0.15">
      <c r="W735" s="12"/>
      <c r="X735" s="62"/>
      <c r="Y735" s="62"/>
      <c r="Z735" s="62"/>
      <c r="AA735" s="62"/>
      <c r="AB735" s="98"/>
      <c r="AC735" s="62"/>
      <c r="AD735" s="62"/>
      <c r="AE735" s="62"/>
      <c r="AF735" s="62"/>
      <c r="AG735" s="66"/>
      <c r="AH735" s="62"/>
      <c r="AI735" s="62"/>
      <c r="AJ735" s="62"/>
      <c r="AK735" s="62"/>
      <c r="AL735" s="66"/>
      <c r="AM735" s="62"/>
      <c r="AN735" s="62"/>
      <c r="AO735" s="62"/>
      <c r="AP735" s="62"/>
      <c r="AQ735" s="66"/>
      <c r="AR735" s="62"/>
      <c r="AS735" s="62"/>
      <c r="AT735" s="62"/>
      <c r="AU735" s="62"/>
      <c r="AV735" s="66"/>
      <c r="AW735" s="97"/>
    </row>
    <row r="736" spans="23:49" x14ac:dyDescent="0.15">
      <c r="W736" s="12"/>
      <c r="X736" s="62"/>
      <c r="Y736" s="62"/>
      <c r="Z736" s="62"/>
      <c r="AA736" s="62"/>
      <c r="AB736" s="98"/>
      <c r="AC736" s="62"/>
      <c r="AD736" s="62"/>
      <c r="AE736" s="62"/>
      <c r="AF736" s="62"/>
      <c r="AG736" s="66"/>
      <c r="AH736" s="62"/>
      <c r="AI736" s="62"/>
      <c r="AJ736" s="62"/>
      <c r="AK736" s="62"/>
      <c r="AL736" s="66"/>
      <c r="AM736" s="62"/>
      <c r="AN736" s="62"/>
      <c r="AO736" s="62"/>
      <c r="AP736" s="62"/>
      <c r="AQ736" s="66"/>
      <c r="AR736" s="62"/>
      <c r="AS736" s="62"/>
      <c r="AT736" s="62"/>
      <c r="AU736" s="62"/>
      <c r="AV736" s="66"/>
      <c r="AW736" s="97"/>
    </row>
    <row r="737" spans="23:49" x14ac:dyDescent="0.15">
      <c r="W737" s="12"/>
      <c r="X737" s="62"/>
      <c r="Y737" s="62"/>
      <c r="Z737" s="62"/>
      <c r="AA737" s="62"/>
      <c r="AB737" s="98"/>
      <c r="AC737" s="62"/>
      <c r="AD737" s="62"/>
      <c r="AE737" s="62"/>
      <c r="AF737" s="62"/>
      <c r="AG737" s="66"/>
      <c r="AH737" s="62"/>
      <c r="AI737" s="62"/>
      <c r="AJ737" s="62"/>
      <c r="AK737" s="62"/>
      <c r="AL737" s="66"/>
      <c r="AM737" s="62"/>
      <c r="AN737" s="62"/>
      <c r="AO737" s="62"/>
      <c r="AP737" s="62"/>
      <c r="AQ737" s="66"/>
      <c r="AR737" s="62"/>
      <c r="AS737" s="62"/>
      <c r="AT737" s="62"/>
      <c r="AU737" s="62"/>
      <c r="AV737" s="66"/>
      <c r="AW737" s="97"/>
    </row>
    <row r="738" spans="23:49" x14ac:dyDescent="0.15">
      <c r="W738" s="12"/>
      <c r="X738" s="62"/>
      <c r="Y738" s="62"/>
      <c r="Z738" s="62"/>
      <c r="AA738" s="62"/>
      <c r="AB738" s="98"/>
      <c r="AC738" s="62"/>
      <c r="AD738" s="62"/>
      <c r="AE738" s="62"/>
      <c r="AF738" s="62"/>
      <c r="AG738" s="66"/>
      <c r="AH738" s="62"/>
      <c r="AI738" s="62"/>
      <c r="AJ738" s="62"/>
      <c r="AK738" s="62"/>
      <c r="AL738" s="66"/>
      <c r="AM738" s="62"/>
      <c r="AN738" s="62"/>
      <c r="AO738" s="62"/>
      <c r="AP738" s="62"/>
      <c r="AQ738" s="66"/>
      <c r="AR738" s="62"/>
      <c r="AS738" s="62"/>
      <c r="AT738" s="62"/>
      <c r="AU738" s="62"/>
      <c r="AV738" s="66"/>
      <c r="AW738" s="97"/>
    </row>
    <row r="739" spans="23:49" x14ac:dyDescent="0.15">
      <c r="W739" s="12"/>
      <c r="X739" s="62"/>
      <c r="Y739" s="62"/>
      <c r="Z739" s="62"/>
      <c r="AA739" s="62"/>
      <c r="AB739" s="98"/>
      <c r="AC739" s="62"/>
      <c r="AD739" s="62"/>
      <c r="AE739" s="62"/>
      <c r="AF739" s="62"/>
      <c r="AG739" s="66"/>
      <c r="AH739" s="62"/>
      <c r="AI739" s="62"/>
      <c r="AJ739" s="62"/>
      <c r="AK739" s="62"/>
      <c r="AL739" s="66"/>
      <c r="AM739" s="62"/>
      <c r="AN739" s="62"/>
      <c r="AO739" s="62"/>
      <c r="AP739" s="62"/>
      <c r="AQ739" s="66"/>
      <c r="AR739" s="62"/>
      <c r="AS739" s="62"/>
      <c r="AT739" s="62"/>
      <c r="AU739" s="62"/>
      <c r="AV739" s="66"/>
      <c r="AW739" s="97"/>
    </row>
    <row r="740" spans="23:49" x14ac:dyDescent="0.15">
      <c r="W740" s="12"/>
      <c r="X740" s="62"/>
      <c r="Y740" s="62"/>
      <c r="Z740" s="62"/>
      <c r="AA740" s="62"/>
      <c r="AB740" s="98"/>
      <c r="AC740" s="62"/>
      <c r="AD740" s="62"/>
      <c r="AE740" s="62"/>
      <c r="AF740" s="62"/>
      <c r="AG740" s="66"/>
      <c r="AH740" s="62"/>
      <c r="AI740" s="62"/>
      <c r="AJ740" s="62"/>
      <c r="AK740" s="62"/>
      <c r="AL740" s="66"/>
      <c r="AM740" s="62"/>
      <c r="AN740" s="62"/>
      <c r="AO740" s="62"/>
      <c r="AP740" s="62"/>
      <c r="AQ740" s="66"/>
      <c r="AR740" s="62"/>
      <c r="AS740" s="62"/>
      <c r="AT740" s="62"/>
      <c r="AU740" s="62"/>
      <c r="AV740" s="66"/>
      <c r="AW740" s="97"/>
    </row>
    <row r="741" spans="23:49" x14ac:dyDescent="0.15">
      <c r="W741" s="12"/>
      <c r="X741" s="62"/>
      <c r="Y741" s="62"/>
      <c r="Z741" s="62"/>
      <c r="AA741" s="62"/>
      <c r="AB741" s="98"/>
      <c r="AC741" s="62"/>
      <c r="AD741" s="62"/>
      <c r="AE741" s="62"/>
      <c r="AF741" s="62"/>
      <c r="AG741" s="66"/>
      <c r="AH741" s="62"/>
      <c r="AI741" s="62"/>
      <c r="AJ741" s="62"/>
      <c r="AK741" s="62"/>
      <c r="AL741" s="66"/>
      <c r="AM741" s="62"/>
      <c r="AN741" s="62"/>
      <c r="AO741" s="62"/>
      <c r="AP741" s="62"/>
      <c r="AQ741" s="66"/>
      <c r="AR741" s="62"/>
      <c r="AS741" s="62"/>
      <c r="AT741" s="62"/>
      <c r="AU741" s="62"/>
      <c r="AV741" s="66"/>
      <c r="AW741" s="97"/>
    </row>
    <row r="742" spans="23:49" x14ac:dyDescent="0.15">
      <c r="W742" s="12"/>
      <c r="X742" s="62"/>
      <c r="Y742" s="62"/>
      <c r="Z742" s="62"/>
      <c r="AA742" s="62"/>
      <c r="AB742" s="98"/>
      <c r="AC742" s="62"/>
      <c r="AD742" s="62"/>
      <c r="AE742" s="62"/>
      <c r="AF742" s="62"/>
      <c r="AG742" s="66"/>
      <c r="AH742" s="62"/>
      <c r="AI742" s="62"/>
      <c r="AJ742" s="62"/>
      <c r="AK742" s="62"/>
      <c r="AL742" s="66"/>
      <c r="AM742" s="62"/>
      <c r="AN742" s="62"/>
      <c r="AO742" s="62"/>
      <c r="AP742" s="62"/>
      <c r="AQ742" s="66"/>
      <c r="AR742" s="62"/>
      <c r="AS742" s="62"/>
      <c r="AT742" s="62"/>
      <c r="AU742" s="62"/>
      <c r="AV742" s="66"/>
      <c r="AW742" s="97"/>
    </row>
    <row r="743" spans="23:49" x14ac:dyDescent="0.15">
      <c r="W743" s="12"/>
      <c r="X743" s="62"/>
      <c r="Y743" s="62"/>
      <c r="Z743" s="62"/>
      <c r="AA743" s="62"/>
      <c r="AB743" s="98"/>
      <c r="AC743" s="62"/>
      <c r="AD743" s="62"/>
      <c r="AE743" s="62"/>
      <c r="AF743" s="62"/>
      <c r="AG743" s="66"/>
      <c r="AH743" s="62"/>
      <c r="AI743" s="62"/>
      <c r="AJ743" s="62"/>
      <c r="AK743" s="62"/>
      <c r="AL743" s="66"/>
      <c r="AM743" s="62"/>
      <c r="AN743" s="62"/>
      <c r="AO743" s="62"/>
      <c r="AP743" s="62"/>
      <c r="AQ743" s="66"/>
      <c r="AR743" s="62"/>
      <c r="AS743" s="62"/>
      <c r="AT743" s="62"/>
      <c r="AU743" s="62"/>
      <c r="AV743" s="66"/>
      <c r="AW743" s="97"/>
    </row>
    <row r="744" spans="23:49" x14ac:dyDescent="0.15">
      <c r="W744" s="12"/>
      <c r="X744" s="62"/>
      <c r="Y744" s="62"/>
      <c r="Z744" s="62"/>
      <c r="AA744" s="62"/>
      <c r="AB744" s="98"/>
      <c r="AC744" s="62"/>
      <c r="AD744" s="62"/>
      <c r="AE744" s="62"/>
      <c r="AF744" s="62"/>
      <c r="AG744" s="66"/>
      <c r="AH744" s="62"/>
      <c r="AI744" s="62"/>
      <c r="AJ744" s="62"/>
      <c r="AK744" s="62"/>
      <c r="AL744" s="66"/>
      <c r="AM744" s="62"/>
      <c r="AN744" s="62"/>
      <c r="AO744" s="62"/>
      <c r="AP744" s="62"/>
      <c r="AQ744" s="66"/>
      <c r="AR744" s="62"/>
      <c r="AS744" s="62"/>
      <c r="AT744" s="62"/>
      <c r="AU744" s="62"/>
      <c r="AV744" s="66"/>
      <c r="AW744" s="97"/>
    </row>
    <row r="745" spans="23:49" x14ac:dyDescent="0.15">
      <c r="W745" s="12"/>
      <c r="X745" s="62"/>
      <c r="Y745" s="62"/>
      <c r="Z745" s="62"/>
      <c r="AA745" s="62"/>
      <c r="AB745" s="98"/>
      <c r="AC745" s="62"/>
      <c r="AD745" s="62"/>
      <c r="AE745" s="62"/>
      <c r="AF745" s="62"/>
      <c r="AG745" s="66"/>
      <c r="AH745" s="62"/>
      <c r="AI745" s="62"/>
      <c r="AJ745" s="62"/>
      <c r="AK745" s="62"/>
      <c r="AL745" s="66"/>
      <c r="AM745" s="62"/>
      <c r="AN745" s="62"/>
      <c r="AO745" s="62"/>
      <c r="AP745" s="62"/>
      <c r="AQ745" s="66"/>
      <c r="AR745" s="62"/>
      <c r="AS745" s="62"/>
      <c r="AT745" s="62"/>
      <c r="AU745" s="62"/>
      <c r="AV745" s="66"/>
      <c r="AW745" s="97"/>
    </row>
    <row r="746" spans="23:49" x14ac:dyDescent="0.15">
      <c r="W746" s="12"/>
      <c r="X746" s="62"/>
      <c r="Y746" s="62"/>
      <c r="Z746" s="62"/>
      <c r="AA746" s="62"/>
      <c r="AB746" s="98"/>
      <c r="AC746" s="62"/>
      <c r="AD746" s="62"/>
      <c r="AE746" s="62"/>
      <c r="AF746" s="62"/>
      <c r="AG746" s="66"/>
      <c r="AH746" s="62"/>
      <c r="AI746" s="62"/>
      <c r="AJ746" s="62"/>
      <c r="AK746" s="62"/>
      <c r="AL746" s="66"/>
      <c r="AM746" s="62"/>
      <c r="AN746" s="62"/>
      <c r="AO746" s="62"/>
      <c r="AP746" s="62"/>
      <c r="AQ746" s="66"/>
      <c r="AR746" s="62"/>
      <c r="AS746" s="62"/>
      <c r="AT746" s="62"/>
      <c r="AU746" s="62"/>
      <c r="AV746" s="66"/>
      <c r="AW746" s="97"/>
    </row>
    <row r="747" spans="23:49" x14ac:dyDescent="0.15">
      <c r="W747" s="12"/>
      <c r="X747" s="62"/>
      <c r="Y747" s="62"/>
      <c r="Z747" s="62"/>
      <c r="AA747" s="62"/>
      <c r="AB747" s="98"/>
      <c r="AC747" s="62"/>
      <c r="AD747" s="62"/>
      <c r="AE747" s="62"/>
      <c r="AF747" s="62"/>
      <c r="AG747" s="66"/>
      <c r="AH747" s="62"/>
      <c r="AI747" s="62"/>
      <c r="AJ747" s="62"/>
      <c r="AK747" s="62"/>
      <c r="AL747" s="66"/>
      <c r="AM747" s="62"/>
      <c r="AN747" s="62"/>
      <c r="AO747" s="62"/>
      <c r="AP747" s="62"/>
      <c r="AQ747" s="66"/>
      <c r="AR747" s="62"/>
      <c r="AS747" s="62"/>
      <c r="AT747" s="62"/>
      <c r="AU747" s="62"/>
      <c r="AV747" s="66"/>
      <c r="AW747" s="97"/>
    </row>
    <row r="748" spans="23:49" x14ac:dyDescent="0.15">
      <c r="W748" s="12"/>
      <c r="X748" s="62"/>
      <c r="Y748" s="62"/>
      <c r="Z748" s="62"/>
      <c r="AA748" s="62"/>
      <c r="AB748" s="98"/>
      <c r="AC748" s="62"/>
      <c r="AD748" s="62"/>
      <c r="AE748" s="62"/>
      <c r="AF748" s="62"/>
      <c r="AG748" s="66"/>
      <c r="AH748" s="62"/>
      <c r="AI748" s="62"/>
      <c r="AJ748" s="62"/>
      <c r="AK748" s="62"/>
      <c r="AL748" s="66"/>
      <c r="AM748" s="62"/>
      <c r="AN748" s="62"/>
      <c r="AO748" s="62"/>
      <c r="AP748" s="62"/>
      <c r="AQ748" s="66"/>
      <c r="AR748" s="62"/>
      <c r="AS748" s="62"/>
      <c r="AT748" s="62"/>
      <c r="AU748" s="62"/>
      <c r="AV748" s="66"/>
      <c r="AW748" s="97"/>
    </row>
    <row r="749" spans="23:49" x14ac:dyDescent="0.15">
      <c r="W749" s="12"/>
      <c r="X749" s="62"/>
      <c r="Y749" s="62"/>
      <c r="Z749" s="62"/>
      <c r="AA749" s="62"/>
      <c r="AB749" s="98"/>
      <c r="AC749" s="62"/>
      <c r="AD749" s="62"/>
      <c r="AE749" s="62"/>
      <c r="AF749" s="62"/>
      <c r="AG749" s="66"/>
      <c r="AH749" s="62"/>
      <c r="AI749" s="62"/>
      <c r="AJ749" s="62"/>
      <c r="AK749" s="62"/>
      <c r="AL749" s="66"/>
      <c r="AM749" s="62"/>
      <c r="AN749" s="62"/>
      <c r="AO749" s="62"/>
      <c r="AP749" s="62"/>
      <c r="AQ749" s="66"/>
      <c r="AR749" s="62"/>
      <c r="AS749" s="62"/>
      <c r="AT749" s="62"/>
      <c r="AU749" s="62"/>
      <c r="AV749" s="66"/>
      <c r="AW749" s="97"/>
    </row>
    <row r="750" spans="23:49" x14ac:dyDescent="0.15">
      <c r="W750" s="12"/>
      <c r="X750" s="62"/>
      <c r="Y750" s="62"/>
      <c r="Z750" s="62"/>
      <c r="AA750" s="62"/>
      <c r="AB750" s="98"/>
      <c r="AC750" s="62"/>
      <c r="AD750" s="62"/>
      <c r="AE750" s="62"/>
      <c r="AF750" s="62"/>
      <c r="AG750" s="66"/>
      <c r="AH750" s="62"/>
      <c r="AI750" s="62"/>
      <c r="AJ750" s="62"/>
      <c r="AK750" s="62"/>
      <c r="AL750" s="66"/>
      <c r="AM750" s="62"/>
      <c r="AN750" s="62"/>
      <c r="AO750" s="62"/>
      <c r="AP750" s="62"/>
      <c r="AQ750" s="66"/>
      <c r="AR750" s="62"/>
      <c r="AS750" s="62"/>
      <c r="AT750" s="62"/>
      <c r="AU750" s="62"/>
      <c r="AV750" s="66"/>
      <c r="AW750" s="97"/>
    </row>
    <row r="751" spans="23:49" x14ac:dyDescent="0.15">
      <c r="W751" s="12"/>
      <c r="X751" s="62"/>
      <c r="Y751" s="62"/>
      <c r="Z751" s="62"/>
      <c r="AA751" s="62"/>
      <c r="AB751" s="98"/>
      <c r="AC751" s="62"/>
      <c r="AD751" s="62"/>
      <c r="AE751" s="62"/>
      <c r="AF751" s="62"/>
      <c r="AG751" s="66"/>
      <c r="AH751" s="62"/>
      <c r="AI751" s="62"/>
      <c r="AJ751" s="62"/>
      <c r="AK751" s="62"/>
      <c r="AL751" s="66"/>
      <c r="AM751" s="62"/>
      <c r="AN751" s="62"/>
      <c r="AO751" s="62"/>
      <c r="AP751" s="62"/>
      <c r="AQ751" s="66"/>
      <c r="AR751" s="62"/>
      <c r="AS751" s="62"/>
      <c r="AT751" s="62"/>
      <c r="AU751" s="62"/>
      <c r="AV751" s="66"/>
      <c r="AW751" s="97"/>
    </row>
    <row r="752" spans="23:49" x14ac:dyDescent="0.15">
      <c r="W752" s="12"/>
      <c r="X752" s="62"/>
      <c r="Y752" s="62"/>
      <c r="Z752" s="62"/>
      <c r="AA752" s="62"/>
      <c r="AB752" s="98"/>
      <c r="AC752" s="62"/>
      <c r="AD752" s="62"/>
      <c r="AE752" s="62"/>
      <c r="AF752" s="62"/>
      <c r="AG752" s="66"/>
      <c r="AH752" s="62"/>
      <c r="AI752" s="62"/>
      <c r="AJ752" s="62"/>
      <c r="AK752" s="62"/>
      <c r="AL752" s="66"/>
      <c r="AM752" s="62"/>
      <c r="AN752" s="62"/>
      <c r="AO752" s="62"/>
      <c r="AP752" s="62"/>
      <c r="AQ752" s="66"/>
      <c r="AR752" s="62"/>
      <c r="AS752" s="62"/>
      <c r="AT752" s="62"/>
      <c r="AU752" s="62"/>
      <c r="AV752" s="66"/>
      <c r="AW752" s="97"/>
    </row>
    <row r="753" spans="23:49" x14ac:dyDescent="0.15">
      <c r="W753" s="12"/>
      <c r="X753" s="62"/>
      <c r="Y753" s="62"/>
      <c r="Z753" s="62"/>
      <c r="AA753" s="62"/>
      <c r="AB753" s="98"/>
      <c r="AC753" s="62"/>
      <c r="AD753" s="62"/>
      <c r="AE753" s="62"/>
      <c r="AF753" s="62"/>
      <c r="AG753" s="66"/>
      <c r="AH753" s="62"/>
      <c r="AI753" s="62"/>
      <c r="AJ753" s="62"/>
      <c r="AK753" s="62"/>
      <c r="AL753" s="66"/>
      <c r="AM753" s="62"/>
      <c r="AN753" s="62"/>
      <c r="AO753" s="62"/>
      <c r="AP753" s="62"/>
      <c r="AQ753" s="66"/>
      <c r="AR753" s="62"/>
      <c r="AS753" s="62"/>
      <c r="AT753" s="62"/>
      <c r="AU753" s="62"/>
      <c r="AV753" s="66"/>
      <c r="AW753" s="97"/>
    </row>
    <row r="754" spans="23:49" x14ac:dyDescent="0.15">
      <c r="W754" s="12"/>
      <c r="X754" s="62"/>
      <c r="Y754" s="62"/>
      <c r="Z754" s="62"/>
      <c r="AA754" s="62"/>
      <c r="AB754" s="98"/>
      <c r="AC754" s="62"/>
      <c r="AD754" s="62"/>
      <c r="AE754" s="62"/>
      <c r="AF754" s="62"/>
      <c r="AG754" s="66"/>
      <c r="AH754" s="62"/>
      <c r="AI754" s="62"/>
      <c r="AJ754" s="62"/>
      <c r="AK754" s="62"/>
      <c r="AL754" s="66"/>
      <c r="AM754" s="62"/>
      <c r="AN754" s="62"/>
      <c r="AO754" s="62"/>
      <c r="AP754" s="62"/>
      <c r="AQ754" s="66"/>
      <c r="AR754" s="62"/>
      <c r="AS754" s="62"/>
      <c r="AT754" s="62"/>
      <c r="AU754" s="62"/>
      <c r="AV754" s="66"/>
      <c r="AW754" s="97"/>
    </row>
    <row r="755" spans="23:49" x14ac:dyDescent="0.15">
      <c r="W755" s="12"/>
      <c r="X755" s="62"/>
      <c r="Y755" s="62"/>
      <c r="Z755" s="62"/>
      <c r="AA755" s="62"/>
      <c r="AB755" s="98"/>
      <c r="AC755" s="62"/>
      <c r="AD755" s="62"/>
      <c r="AE755" s="62"/>
      <c r="AF755" s="62"/>
      <c r="AG755" s="66"/>
      <c r="AH755" s="62"/>
      <c r="AI755" s="62"/>
      <c r="AJ755" s="62"/>
      <c r="AK755" s="62"/>
      <c r="AL755" s="66"/>
      <c r="AM755" s="62"/>
      <c r="AN755" s="62"/>
      <c r="AO755" s="62"/>
      <c r="AP755" s="62"/>
      <c r="AQ755" s="66"/>
      <c r="AR755" s="62"/>
      <c r="AS755" s="62"/>
      <c r="AT755" s="62"/>
      <c r="AU755" s="62"/>
      <c r="AV755" s="66"/>
      <c r="AW755" s="97"/>
    </row>
    <row r="756" spans="23:49" x14ac:dyDescent="0.15">
      <c r="W756" s="12"/>
      <c r="X756" s="62"/>
      <c r="Y756" s="62"/>
      <c r="Z756" s="62"/>
      <c r="AA756" s="62"/>
      <c r="AB756" s="98"/>
      <c r="AC756" s="62"/>
      <c r="AD756" s="62"/>
      <c r="AE756" s="62"/>
      <c r="AF756" s="62"/>
      <c r="AG756" s="66"/>
      <c r="AH756" s="62"/>
      <c r="AI756" s="62"/>
      <c r="AJ756" s="62"/>
      <c r="AK756" s="62"/>
      <c r="AL756" s="66"/>
      <c r="AM756" s="62"/>
      <c r="AN756" s="62"/>
      <c r="AO756" s="62"/>
      <c r="AP756" s="62"/>
      <c r="AQ756" s="66"/>
      <c r="AR756" s="62"/>
      <c r="AS756" s="62"/>
      <c r="AT756" s="62"/>
      <c r="AU756" s="62"/>
      <c r="AV756" s="66"/>
      <c r="AW756" s="97"/>
    </row>
    <row r="757" spans="23:49" x14ac:dyDescent="0.15">
      <c r="W757" s="12"/>
      <c r="X757" s="62"/>
      <c r="Y757" s="62"/>
      <c r="Z757" s="62"/>
      <c r="AA757" s="62"/>
      <c r="AB757" s="98"/>
      <c r="AC757" s="62"/>
      <c r="AD757" s="62"/>
      <c r="AE757" s="62"/>
      <c r="AF757" s="62"/>
      <c r="AG757" s="66"/>
      <c r="AH757" s="62"/>
      <c r="AI757" s="62"/>
      <c r="AJ757" s="62"/>
      <c r="AK757" s="62"/>
      <c r="AL757" s="66"/>
      <c r="AM757" s="62"/>
      <c r="AN757" s="62"/>
      <c r="AO757" s="62"/>
      <c r="AP757" s="62"/>
      <c r="AQ757" s="66"/>
      <c r="AR757" s="62"/>
      <c r="AS757" s="62"/>
      <c r="AT757" s="62"/>
      <c r="AU757" s="62"/>
      <c r="AV757" s="66"/>
      <c r="AW757" s="97"/>
    </row>
    <row r="758" spans="23:49" x14ac:dyDescent="0.15">
      <c r="W758" s="12"/>
      <c r="X758" s="62"/>
      <c r="Y758" s="62"/>
      <c r="Z758" s="62"/>
      <c r="AA758" s="62"/>
      <c r="AB758" s="98"/>
      <c r="AC758" s="62"/>
      <c r="AD758" s="62"/>
      <c r="AE758" s="62"/>
      <c r="AF758" s="62"/>
      <c r="AG758" s="66"/>
      <c r="AH758" s="62"/>
      <c r="AI758" s="62"/>
      <c r="AJ758" s="62"/>
      <c r="AK758" s="62"/>
      <c r="AL758" s="66"/>
      <c r="AM758" s="62"/>
      <c r="AN758" s="62"/>
      <c r="AO758" s="62"/>
      <c r="AP758" s="62"/>
      <c r="AQ758" s="66"/>
      <c r="AR758" s="62"/>
      <c r="AS758" s="62"/>
      <c r="AT758" s="62"/>
      <c r="AU758" s="62"/>
      <c r="AV758" s="66"/>
      <c r="AW758" s="97"/>
    </row>
    <row r="759" spans="23:49" x14ac:dyDescent="0.15">
      <c r="W759" s="12"/>
      <c r="X759" s="62"/>
      <c r="Y759" s="62"/>
      <c r="Z759" s="62"/>
      <c r="AA759" s="62"/>
      <c r="AB759" s="98"/>
      <c r="AC759" s="62"/>
      <c r="AD759" s="62"/>
      <c r="AE759" s="62"/>
      <c r="AF759" s="62"/>
      <c r="AG759" s="66"/>
      <c r="AH759" s="62"/>
      <c r="AI759" s="62"/>
      <c r="AJ759" s="62"/>
      <c r="AK759" s="62"/>
      <c r="AL759" s="66"/>
      <c r="AM759" s="62"/>
      <c r="AN759" s="62"/>
      <c r="AO759" s="62"/>
      <c r="AP759" s="62"/>
      <c r="AQ759" s="66"/>
      <c r="AR759" s="62"/>
      <c r="AS759" s="62"/>
      <c r="AT759" s="62"/>
      <c r="AU759" s="62"/>
      <c r="AV759" s="66"/>
      <c r="AW759" s="97"/>
    </row>
    <row r="760" spans="23:49" x14ac:dyDescent="0.15">
      <c r="W760" s="12"/>
      <c r="X760" s="62"/>
      <c r="Y760" s="62"/>
      <c r="Z760" s="62"/>
      <c r="AA760" s="62"/>
      <c r="AB760" s="98"/>
      <c r="AC760" s="62"/>
      <c r="AD760" s="62"/>
      <c r="AE760" s="62"/>
      <c r="AF760" s="62"/>
      <c r="AG760" s="66"/>
      <c r="AH760" s="62"/>
      <c r="AI760" s="62"/>
      <c r="AJ760" s="62"/>
      <c r="AK760" s="62"/>
      <c r="AL760" s="66"/>
      <c r="AM760" s="62"/>
      <c r="AN760" s="62"/>
      <c r="AO760" s="62"/>
      <c r="AP760" s="62"/>
      <c r="AQ760" s="66"/>
      <c r="AR760" s="62"/>
      <c r="AS760" s="62"/>
      <c r="AT760" s="62"/>
      <c r="AU760" s="62"/>
      <c r="AV760" s="66"/>
      <c r="AW760" s="97"/>
    </row>
    <row r="761" spans="23:49" x14ac:dyDescent="0.15">
      <c r="W761" s="12"/>
      <c r="X761" s="62"/>
      <c r="Y761" s="62"/>
      <c r="Z761" s="62"/>
      <c r="AA761" s="62"/>
      <c r="AB761" s="98"/>
      <c r="AC761" s="62"/>
      <c r="AD761" s="62"/>
      <c r="AE761" s="62"/>
      <c r="AF761" s="62"/>
      <c r="AG761" s="66"/>
      <c r="AH761" s="62"/>
      <c r="AI761" s="62"/>
      <c r="AJ761" s="62"/>
      <c r="AK761" s="62"/>
      <c r="AL761" s="66"/>
      <c r="AM761" s="62"/>
      <c r="AN761" s="62"/>
      <c r="AO761" s="62"/>
      <c r="AP761" s="62"/>
      <c r="AQ761" s="66"/>
      <c r="AR761" s="62"/>
      <c r="AS761" s="62"/>
      <c r="AT761" s="62"/>
      <c r="AU761" s="62"/>
      <c r="AV761" s="66"/>
      <c r="AW761" s="97"/>
    </row>
    <row r="762" spans="23:49" x14ac:dyDescent="0.15">
      <c r="W762" s="12"/>
      <c r="X762" s="62"/>
      <c r="Y762" s="62"/>
      <c r="Z762" s="62"/>
      <c r="AA762" s="62"/>
      <c r="AB762" s="98"/>
      <c r="AC762" s="62"/>
      <c r="AD762" s="62"/>
      <c r="AE762" s="62"/>
      <c r="AF762" s="62"/>
      <c r="AG762" s="66"/>
      <c r="AH762" s="62"/>
      <c r="AI762" s="62"/>
      <c r="AJ762" s="62"/>
      <c r="AK762" s="62"/>
      <c r="AL762" s="66"/>
      <c r="AM762" s="62"/>
      <c r="AN762" s="62"/>
      <c r="AO762" s="62"/>
      <c r="AP762" s="62"/>
      <c r="AQ762" s="66"/>
      <c r="AR762" s="62"/>
      <c r="AS762" s="62"/>
      <c r="AT762" s="62"/>
      <c r="AU762" s="62"/>
      <c r="AV762" s="66"/>
      <c r="AW762" s="97"/>
    </row>
    <row r="763" spans="23:49" x14ac:dyDescent="0.15">
      <c r="W763" s="12"/>
      <c r="X763" s="62"/>
      <c r="Y763" s="62"/>
      <c r="Z763" s="62"/>
      <c r="AA763" s="62"/>
      <c r="AB763" s="98"/>
      <c r="AC763" s="62"/>
      <c r="AD763" s="62"/>
      <c r="AE763" s="62"/>
      <c r="AF763" s="62"/>
      <c r="AG763" s="66"/>
      <c r="AH763" s="62"/>
      <c r="AI763" s="62"/>
      <c r="AJ763" s="62"/>
      <c r="AK763" s="62"/>
      <c r="AL763" s="66"/>
      <c r="AM763" s="62"/>
      <c r="AN763" s="62"/>
      <c r="AO763" s="62"/>
      <c r="AP763" s="62"/>
      <c r="AQ763" s="66"/>
      <c r="AR763" s="62"/>
      <c r="AS763" s="62"/>
      <c r="AT763" s="62"/>
      <c r="AU763" s="62"/>
      <c r="AV763" s="66"/>
      <c r="AW763" s="97"/>
    </row>
    <row r="764" spans="23:49" x14ac:dyDescent="0.15">
      <c r="W764" s="12"/>
      <c r="X764" s="62"/>
      <c r="Y764" s="62"/>
      <c r="Z764" s="62"/>
      <c r="AA764" s="62"/>
      <c r="AB764" s="98"/>
      <c r="AC764" s="62"/>
      <c r="AD764" s="62"/>
      <c r="AE764" s="62"/>
      <c r="AF764" s="62"/>
      <c r="AG764" s="66"/>
      <c r="AH764" s="62"/>
      <c r="AI764" s="62"/>
      <c r="AJ764" s="62"/>
      <c r="AK764" s="62"/>
      <c r="AL764" s="66"/>
      <c r="AM764" s="62"/>
      <c r="AN764" s="62"/>
      <c r="AO764" s="62"/>
      <c r="AP764" s="62"/>
      <c r="AQ764" s="66"/>
      <c r="AR764" s="62"/>
      <c r="AS764" s="62"/>
      <c r="AT764" s="62"/>
      <c r="AU764" s="62"/>
      <c r="AV764" s="66"/>
      <c r="AW764" s="97"/>
    </row>
    <row r="765" spans="23:49" x14ac:dyDescent="0.15">
      <c r="W765" s="12"/>
      <c r="X765" s="62"/>
      <c r="Y765" s="62"/>
      <c r="Z765" s="62"/>
      <c r="AA765" s="62"/>
      <c r="AB765" s="98"/>
      <c r="AC765" s="62"/>
      <c r="AD765" s="62"/>
      <c r="AE765" s="62"/>
      <c r="AF765" s="62"/>
      <c r="AG765" s="66"/>
      <c r="AH765" s="62"/>
      <c r="AI765" s="62"/>
      <c r="AJ765" s="62"/>
      <c r="AK765" s="62"/>
      <c r="AL765" s="66"/>
      <c r="AM765" s="62"/>
      <c r="AN765" s="62"/>
      <c r="AO765" s="62"/>
      <c r="AP765" s="62"/>
      <c r="AQ765" s="66"/>
      <c r="AR765" s="62"/>
      <c r="AS765" s="62"/>
      <c r="AT765" s="62"/>
      <c r="AU765" s="62"/>
      <c r="AV765" s="66"/>
      <c r="AW765" s="97"/>
    </row>
    <row r="766" spans="23:49" x14ac:dyDescent="0.15">
      <c r="W766" s="12"/>
      <c r="X766" s="62"/>
      <c r="Y766" s="62"/>
      <c r="Z766" s="62"/>
      <c r="AA766" s="62"/>
      <c r="AB766" s="98"/>
      <c r="AC766" s="62"/>
      <c r="AD766" s="62"/>
      <c r="AE766" s="62"/>
      <c r="AF766" s="62"/>
      <c r="AG766" s="66"/>
      <c r="AH766" s="62"/>
      <c r="AI766" s="62"/>
      <c r="AJ766" s="62"/>
      <c r="AK766" s="62"/>
      <c r="AL766" s="66"/>
      <c r="AM766" s="62"/>
      <c r="AN766" s="62"/>
      <c r="AO766" s="62"/>
      <c r="AP766" s="62"/>
      <c r="AQ766" s="66"/>
      <c r="AR766" s="62"/>
      <c r="AS766" s="62"/>
      <c r="AT766" s="62"/>
      <c r="AU766" s="62"/>
      <c r="AV766" s="66"/>
      <c r="AW766" s="97"/>
    </row>
    <row r="767" spans="23:49" x14ac:dyDescent="0.15">
      <c r="W767" s="12"/>
      <c r="X767" s="62"/>
      <c r="Y767" s="62"/>
      <c r="Z767" s="62"/>
      <c r="AA767" s="62"/>
      <c r="AB767" s="98"/>
      <c r="AC767" s="62"/>
      <c r="AD767" s="62"/>
      <c r="AE767" s="62"/>
      <c r="AF767" s="62"/>
      <c r="AG767" s="66"/>
      <c r="AH767" s="62"/>
      <c r="AI767" s="62"/>
      <c r="AJ767" s="62"/>
      <c r="AK767" s="62"/>
      <c r="AL767" s="66"/>
      <c r="AM767" s="62"/>
      <c r="AN767" s="62"/>
      <c r="AO767" s="62"/>
      <c r="AP767" s="62"/>
      <c r="AQ767" s="66"/>
      <c r="AR767" s="62"/>
      <c r="AS767" s="62"/>
      <c r="AT767" s="62"/>
      <c r="AU767" s="62"/>
      <c r="AV767" s="66"/>
      <c r="AW767" s="97"/>
    </row>
    <row r="768" spans="23:49" x14ac:dyDescent="0.15">
      <c r="W768" s="12"/>
      <c r="X768" s="62"/>
      <c r="Y768" s="62"/>
      <c r="Z768" s="62"/>
      <c r="AA768" s="62"/>
      <c r="AB768" s="98"/>
      <c r="AC768" s="62"/>
      <c r="AD768" s="62"/>
      <c r="AE768" s="62"/>
      <c r="AF768" s="62"/>
      <c r="AG768" s="66"/>
      <c r="AH768" s="62"/>
      <c r="AI768" s="62"/>
      <c r="AJ768" s="62"/>
      <c r="AK768" s="62"/>
      <c r="AL768" s="66"/>
      <c r="AM768" s="62"/>
      <c r="AN768" s="62"/>
      <c r="AO768" s="62"/>
      <c r="AP768" s="62"/>
      <c r="AQ768" s="66"/>
      <c r="AR768" s="62"/>
      <c r="AS768" s="62"/>
      <c r="AT768" s="62"/>
      <c r="AU768" s="62"/>
      <c r="AV768" s="66"/>
      <c r="AW768" s="97"/>
    </row>
    <row r="769" spans="23:49" x14ac:dyDescent="0.15">
      <c r="W769" s="12"/>
      <c r="X769" s="62"/>
      <c r="Y769" s="62"/>
      <c r="Z769" s="62"/>
      <c r="AA769" s="62"/>
      <c r="AB769" s="98"/>
      <c r="AC769" s="62"/>
      <c r="AD769" s="62"/>
      <c r="AE769" s="62"/>
      <c r="AF769" s="62"/>
      <c r="AG769" s="66"/>
      <c r="AH769" s="62"/>
      <c r="AI769" s="62"/>
      <c r="AJ769" s="62"/>
      <c r="AK769" s="62"/>
      <c r="AL769" s="66"/>
      <c r="AM769" s="62"/>
      <c r="AN769" s="62"/>
      <c r="AO769" s="62"/>
      <c r="AP769" s="62"/>
      <c r="AQ769" s="66"/>
      <c r="AR769" s="62"/>
      <c r="AS769" s="62"/>
      <c r="AT769" s="62"/>
      <c r="AU769" s="62"/>
      <c r="AV769" s="66"/>
      <c r="AW769" s="97"/>
    </row>
    <row r="770" spans="23:49" x14ac:dyDescent="0.15">
      <c r="W770" s="12"/>
      <c r="X770" s="62"/>
      <c r="Y770" s="62"/>
      <c r="Z770" s="62"/>
      <c r="AA770" s="62"/>
      <c r="AB770" s="98"/>
      <c r="AC770" s="62"/>
      <c r="AD770" s="62"/>
      <c r="AE770" s="62"/>
      <c r="AF770" s="62"/>
      <c r="AG770" s="66"/>
      <c r="AH770" s="62"/>
      <c r="AI770" s="62"/>
      <c r="AJ770" s="62"/>
      <c r="AK770" s="62"/>
      <c r="AL770" s="66"/>
      <c r="AM770" s="62"/>
      <c r="AN770" s="62"/>
      <c r="AO770" s="62"/>
      <c r="AP770" s="62"/>
      <c r="AQ770" s="66"/>
      <c r="AR770" s="62"/>
      <c r="AS770" s="62"/>
      <c r="AT770" s="62"/>
      <c r="AU770" s="62"/>
      <c r="AV770" s="66"/>
      <c r="AW770" s="97"/>
    </row>
    <row r="771" spans="23:49" x14ac:dyDescent="0.15">
      <c r="W771" s="12"/>
      <c r="X771" s="62"/>
      <c r="Y771" s="62"/>
      <c r="Z771" s="62"/>
      <c r="AA771" s="62"/>
      <c r="AB771" s="98"/>
      <c r="AC771" s="62"/>
      <c r="AD771" s="62"/>
      <c r="AE771" s="62"/>
      <c r="AF771" s="62"/>
      <c r="AG771" s="66"/>
      <c r="AH771" s="62"/>
      <c r="AI771" s="62"/>
      <c r="AJ771" s="62"/>
      <c r="AK771" s="62"/>
      <c r="AL771" s="66"/>
      <c r="AM771" s="62"/>
      <c r="AN771" s="62"/>
      <c r="AO771" s="62"/>
      <c r="AP771" s="62"/>
      <c r="AQ771" s="66"/>
      <c r="AR771" s="62"/>
      <c r="AS771" s="62"/>
      <c r="AT771" s="62"/>
      <c r="AU771" s="62"/>
      <c r="AV771" s="66"/>
      <c r="AW771" s="97"/>
    </row>
    <row r="772" spans="23:49" x14ac:dyDescent="0.15">
      <c r="W772" s="12"/>
      <c r="X772" s="62"/>
      <c r="Y772" s="62"/>
      <c r="Z772" s="62"/>
      <c r="AA772" s="62"/>
      <c r="AB772" s="98"/>
      <c r="AC772" s="62"/>
      <c r="AD772" s="62"/>
      <c r="AE772" s="62"/>
      <c r="AF772" s="62"/>
      <c r="AG772" s="66"/>
      <c r="AH772" s="62"/>
      <c r="AI772" s="62"/>
      <c r="AJ772" s="62"/>
      <c r="AK772" s="62"/>
      <c r="AL772" s="66"/>
      <c r="AM772" s="62"/>
      <c r="AN772" s="62"/>
      <c r="AO772" s="62"/>
      <c r="AP772" s="62"/>
      <c r="AQ772" s="66"/>
      <c r="AR772" s="62"/>
      <c r="AS772" s="62"/>
      <c r="AT772" s="62"/>
      <c r="AU772" s="62"/>
      <c r="AV772" s="66"/>
      <c r="AW772" s="97"/>
    </row>
    <row r="773" spans="23:49" x14ac:dyDescent="0.15">
      <c r="W773" s="12"/>
      <c r="X773" s="62"/>
      <c r="Y773" s="62"/>
      <c r="Z773" s="62"/>
      <c r="AA773" s="62"/>
      <c r="AB773" s="98"/>
      <c r="AC773" s="62"/>
      <c r="AD773" s="62"/>
      <c r="AE773" s="62"/>
      <c r="AF773" s="62"/>
      <c r="AG773" s="66"/>
      <c r="AH773" s="62"/>
      <c r="AI773" s="62"/>
      <c r="AJ773" s="62"/>
      <c r="AK773" s="62"/>
      <c r="AL773" s="66"/>
      <c r="AM773" s="62"/>
      <c r="AN773" s="62"/>
      <c r="AO773" s="62"/>
      <c r="AP773" s="62"/>
      <c r="AQ773" s="66"/>
      <c r="AR773" s="62"/>
      <c r="AS773" s="62"/>
      <c r="AT773" s="62"/>
      <c r="AU773" s="62"/>
      <c r="AV773" s="66"/>
      <c r="AW773" s="97"/>
    </row>
    <row r="774" spans="23:49" x14ac:dyDescent="0.15">
      <c r="W774" s="12"/>
      <c r="X774" s="62"/>
      <c r="Y774" s="62"/>
      <c r="Z774" s="62"/>
      <c r="AA774" s="62"/>
      <c r="AB774" s="98"/>
      <c r="AC774" s="62"/>
      <c r="AD774" s="62"/>
      <c r="AE774" s="62"/>
      <c r="AF774" s="62"/>
      <c r="AG774" s="66"/>
      <c r="AH774" s="62"/>
      <c r="AI774" s="62"/>
      <c r="AJ774" s="62"/>
      <c r="AK774" s="62"/>
      <c r="AL774" s="66"/>
      <c r="AM774" s="62"/>
      <c r="AN774" s="62"/>
      <c r="AO774" s="62"/>
      <c r="AP774" s="62"/>
      <c r="AQ774" s="66"/>
      <c r="AR774" s="62"/>
      <c r="AS774" s="62"/>
      <c r="AT774" s="62"/>
      <c r="AU774" s="62"/>
      <c r="AV774" s="66"/>
      <c r="AW774" s="97"/>
    </row>
    <row r="775" spans="23:49" x14ac:dyDescent="0.15">
      <c r="W775" s="12"/>
      <c r="X775" s="62"/>
      <c r="Y775" s="62"/>
      <c r="Z775" s="62"/>
      <c r="AA775" s="62"/>
      <c r="AB775" s="98"/>
      <c r="AC775" s="62"/>
      <c r="AD775" s="62"/>
      <c r="AE775" s="62"/>
      <c r="AF775" s="62"/>
      <c r="AG775" s="66"/>
      <c r="AH775" s="62"/>
      <c r="AI775" s="62"/>
      <c r="AJ775" s="62"/>
      <c r="AK775" s="62"/>
      <c r="AL775" s="66"/>
      <c r="AM775" s="62"/>
      <c r="AN775" s="62"/>
      <c r="AO775" s="62"/>
      <c r="AP775" s="62"/>
      <c r="AQ775" s="66"/>
      <c r="AR775" s="62"/>
      <c r="AS775" s="62"/>
      <c r="AT775" s="62"/>
      <c r="AU775" s="62"/>
      <c r="AV775" s="66"/>
      <c r="AW775" s="97"/>
    </row>
    <row r="776" spans="23:49" x14ac:dyDescent="0.15">
      <c r="W776" s="12"/>
      <c r="X776" s="62"/>
      <c r="Y776" s="62"/>
      <c r="Z776" s="62"/>
      <c r="AA776" s="62"/>
      <c r="AB776" s="98"/>
      <c r="AC776" s="62"/>
      <c r="AD776" s="62"/>
      <c r="AE776" s="62"/>
      <c r="AF776" s="62"/>
      <c r="AG776" s="66"/>
      <c r="AH776" s="62"/>
      <c r="AI776" s="62"/>
      <c r="AJ776" s="62"/>
      <c r="AK776" s="62"/>
      <c r="AL776" s="66"/>
      <c r="AM776" s="62"/>
      <c r="AN776" s="62"/>
      <c r="AO776" s="62"/>
      <c r="AP776" s="62"/>
      <c r="AQ776" s="66"/>
      <c r="AR776" s="62"/>
      <c r="AS776" s="62"/>
      <c r="AT776" s="62"/>
      <c r="AU776" s="62"/>
      <c r="AV776" s="66"/>
      <c r="AW776" s="97"/>
    </row>
    <row r="777" spans="23:49" x14ac:dyDescent="0.15">
      <c r="W777" s="12"/>
      <c r="X777" s="62"/>
      <c r="Y777" s="62"/>
      <c r="Z777" s="62"/>
      <c r="AA777" s="62"/>
      <c r="AB777" s="98"/>
      <c r="AC777" s="62"/>
      <c r="AD777" s="62"/>
      <c r="AE777" s="62"/>
      <c r="AF777" s="62"/>
      <c r="AG777" s="66"/>
      <c r="AH777" s="62"/>
      <c r="AI777" s="62"/>
      <c r="AJ777" s="62"/>
      <c r="AK777" s="62"/>
      <c r="AL777" s="66"/>
      <c r="AM777" s="62"/>
      <c r="AN777" s="62"/>
      <c r="AO777" s="62"/>
      <c r="AP777" s="62"/>
      <c r="AQ777" s="66"/>
      <c r="AR777" s="62"/>
      <c r="AS777" s="62"/>
      <c r="AT777" s="62"/>
      <c r="AU777" s="62"/>
      <c r="AV777" s="66"/>
      <c r="AW777" s="97"/>
    </row>
    <row r="778" spans="23:49" x14ac:dyDescent="0.15">
      <c r="W778" s="12"/>
      <c r="X778" s="62"/>
      <c r="Y778" s="62"/>
      <c r="Z778" s="62"/>
      <c r="AA778" s="62"/>
      <c r="AB778" s="98"/>
      <c r="AC778" s="62"/>
      <c r="AD778" s="62"/>
      <c r="AE778" s="62"/>
      <c r="AF778" s="62"/>
      <c r="AG778" s="66"/>
      <c r="AH778" s="62"/>
      <c r="AI778" s="62"/>
      <c r="AJ778" s="62"/>
      <c r="AK778" s="62"/>
      <c r="AL778" s="66"/>
      <c r="AM778" s="62"/>
      <c r="AN778" s="62"/>
      <c r="AO778" s="62"/>
      <c r="AP778" s="62"/>
      <c r="AQ778" s="66"/>
      <c r="AR778" s="62"/>
      <c r="AS778" s="62"/>
      <c r="AT778" s="62"/>
      <c r="AU778" s="62"/>
      <c r="AV778" s="66"/>
      <c r="AW778" s="97"/>
    </row>
    <row r="779" spans="23:49" x14ac:dyDescent="0.15">
      <c r="W779" s="12"/>
      <c r="X779" s="62"/>
      <c r="Y779" s="62"/>
      <c r="Z779" s="62"/>
      <c r="AA779" s="62"/>
      <c r="AB779" s="98"/>
      <c r="AC779" s="62"/>
      <c r="AD779" s="62"/>
      <c r="AE779" s="62"/>
      <c r="AF779" s="62"/>
      <c r="AG779" s="66"/>
      <c r="AH779" s="62"/>
      <c r="AI779" s="62"/>
      <c r="AJ779" s="62"/>
      <c r="AK779" s="62"/>
      <c r="AL779" s="66"/>
      <c r="AM779" s="62"/>
      <c r="AN779" s="62"/>
      <c r="AO779" s="62"/>
      <c r="AP779" s="62"/>
      <c r="AQ779" s="66"/>
      <c r="AR779" s="62"/>
      <c r="AS779" s="62"/>
      <c r="AT779" s="62"/>
      <c r="AU779" s="62"/>
      <c r="AV779" s="66"/>
      <c r="AW779" s="97"/>
    </row>
    <row r="780" spans="23:49" x14ac:dyDescent="0.15">
      <c r="W780" s="12"/>
      <c r="X780" s="62"/>
      <c r="Y780" s="62"/>
      <c r="Z780" s="62"/>
      <c r="AA780" s="62"/>
      <c r="AB780" s="98"/>
      <c r="AC780" s="62"/>
      <c r="AD780" s="62"/>
      <c r="AE780" s="62"/>
      <c r="AF780" s="62"/>
      <c r="AG780" s="66"/>
      <c r="AH780" s="62"/>
      <c r="AI780" s="62"/>
      <c r="AJ780" s="62"/>
      <c r="AK780" s="62"/>
      <c r="AL780" s="66"/>
      <c r="AM780" s="62"/>
      <c r="AN780" s="62"/>
      <c r="AO780" s="62"/>
      <c r="AP780" s="62"/>
      <c r="AQ780" s="66"/>
      <c r="AR780" s="62"/>
      <c r="AS780" s="62"/>
      <c r="AT780" s="62"/>
      <c r="AU780" s="62"/>
      <c r="AV780" s="66"/>
      <c r="AW780" s="97"/>
    </row>
    <row r="781" spans="23:49" x14ac:dyDescent="0.15">
      <c r="W781" s="12"/>
      <c r="X781" s="62"/>
      <c r="Y781" s="62"/>
      <c r="Z781" s="62"/>
      <c r="AA781" s="62"/>
      <c r="AB781" s="98"/>
      <c r="AC781" s="62"/>
      <c r="AD781" s="62"/>
      <c r="AE781" s="62"/>
      <c r="AF781" s="62"/>
      <c r="AG781" s="66"/>
      <c r="AH781" s="62"/>
      <c r="AI781" s="62"/>
      <c r="AJ781" s="62"/>
      <c r="AK781" s="62"/>
      <c r="AL781" s="66"/>
      <c r="AM781" s="62"/>
      <c r="AN781" s="62"/>
      <c r="AO781" s="62"/>
      <c r="AP781" s="62"/>
      <c r="AQ781" s="66"/>
      <c r="AR781" s="62"/>
      <c r="AS781" s="62"/>
      <c r="AT781" s="62"/>
      <c r="AU781" s="62"/>
      <c r="AV781" s="66"/>
      <c r="AW781" s="97"/>
    </row>
    <row r="782" spans="23:49" x14ac:dyDescent="0.15">
      <c r="W782" s="12"/>
      <c r="X782" s="62"/>
      <c r="Y782" s="62"/>
      <c r="Z782" s="62"/>
      <c r="AA782" s="62"/>
      <c r="AB782" s="98"/>
      <c r="AC782" s="62"/>
      <c r="AD782" s="62"/>
      <c r="AE782" s="62"/>
      <c r="AF782" s="62"/>
      <c r="AG782" s="66"/>
      <c r="AH782" s="62"/>
      <c r="AI782" s="62"/>
      <c r="AJ782" s="62"/>
      <c r="AK782" s="62"/>
      <c r="AL782" s="66"/>
      <c r="AM782" s="62"/>
      <c r="AN782" s="62"/>
      <c r="AO782" s="62"/>
      <c r="AP782" s="62"/>
      <c r="AQ782" s="66"/>
      <c r="AR782" s="62"/>
      <c r="AS782" s="62"/>
      <c r="AT782" s="62"/>
      <c r="AU782" s="62"/>
      <c r="AV782" s="66"/>
      <c r="AW782" s="97"/>
    </row>
    <row r="783" spans="23:49" x14ac:dyDescent="0.15">
      <c r="W783" s="12"/>
      <c r="X783" s="62"/>
      <c r="Y783" s="62"/>
      <c r="Z783" s="62"/>
      <c r="AA783" s="62"/>
      <c r="AB783" s="98"/>
      <c r="AC783" s="62"/>
      <c r="AD783" s="62"/>
      <c r="AE783" s="62"/>
      <c r="AF783" s="62"/>
      <c r="AG783" s="66"/>
      <c r="AH783" s="62"/>
      <c r="AI783" s="62"/>
      <c r="AJ783" s="62"/>
      <c r="AK783" s="62"/>
      <c r="AL783" s="66"/>
      <c r="AM783" s="62"/>
      <c r="AN783" s="62"/>
      <c r="AO783" s="62"/>
      <c r="AP783" s="62"/>
      <c r="AQ783" s="66"/>
      <c r="AR783" s="62"/>
      <c r="AS783" s="62"/>
      <c r="AT783" s="62"/>
      <c r="AU783" s="62"/>
      <c r="AV783" s="66"/>
      <c r="AW783" s="97"/>
    </row>
    <row r="784" spans="23:49" x14ac:dyDescent="0.15">
      <c r="W784" s="12"/>
      <c r="X784" s="62"/>
      <c r="Y784" s="62"/>
      <c r="Z784" s="62"/>
      <c r="AA784" s="62"/>
      <c r="AB784" s="98"/>
      <c r="AC784" s="62"/>
      <c r="AD784" s="62"/>
      <c r="AE784" s="62"/>
      <c r="AF784" s="62"/>
      <c r="AG784" s="66"/>
      <c r="AH784" s="62"/>
      <c r="AI784" s="62"/>
      <c r="AJ784" s="62"/>
      <c r="AK784" s="62"/>
      <c r="AL784" s="66"/>
      <c r="AM784" s="62"/>
      <c r="AN784" s="62"/>
      <c r="AO784" s="62"/>
      <c r="AP784" s="62"/>
      <c r="AQ784" s="66"/>
      <c r="AR784" s="62"/>
      <c r="AS784" s="62"/>
      <c r="AT784" s="62"/>
      <c r="AU784" s="62"/>
      <c r="AV784" s="66"/>
      <c r="AW784" s="97"/>
    </row>
    <row r="785" spans="23:49" x14ac:dyDescent="0.15">
      <c r="W785" s="12"/>
      <c r="X785" s="62"/>
      <c r="Y785" s="62"/>
      <c r="Z785" s="62"/>
      <c r="AA785" s="62"/>
      <c r="AB785" s="98"/>
      <c r="AC785" s="62"/>
      <c r="AD785" s="62"/>
      <c r="AE785" s="62"/>
      <c r="AF785" s="62"/>
      <c r="AG785" s="66"/>
      <c r="AH785" s="62"/>
      <c r="AI785" s="62"/>
      <c r="AJ785" s="62"/>
      <c r="AK785" s="62"/>
      <c r="AL785" s="66"/>
      <c r="AM785" s="62"/>
      <c r="AN785" s="62"/>
      <c r="AO785" s="62"/>
      <c r="AP785" s="62"/>
      <c r="AQ785" s="66"/>
      <c r="AR785" s="62"/>
      <c r="AS785" s="62"/>
      <c r="AT785" s="62"/>
      <c r="AU785" s="62"/>
      <c r="AV785" s="66"/>
      <c r="AW785" s="97"/>
    </row>
    <row r="786" spans="23:49" x14ac:dyDescent="0.15">
      <c r="W786" s="12"/>
      <c r="X786" s="62"/>
      <c r="Y786" s="62"/>
      <c r="Z786" s="62"/>
      <c r="AA786" s="62"/>
      <c r="AB786" s="98"/>
      <c r="AC786" s="62"/>
      <c r="AD786" s="62"/>
      <c r="AE786" s="62"/>
      <c r="AF786" s="62"/>
      <c r="AG786" s="66"/>
      <c r="AH786" s="62"/>
      <c r="AI786" s="62"/>
      <c r="AJ786" s="62"/>
      <c r="AK786" s="62"/>
      <c r="AL786" s="66"/>
      <c r="AM786" s="62"/>
      <c r="AN786" s="62"/>
      <c r="AO786" s="62"/>
      <c r="AP786" s="62"/>
      <c r="AQ786" s="66"/>
      <c r="AR786" s="62"/>
      <c r="AS786" s="62"/>
      <c r="AT786" s="62"/>
      <c r="AU786" s="62"/>
      <c r="AV786" s="66"/>
      <c r="AW786" s="97"/>
    </row>
    <row r="787" spans="23:49" x14ac:dyDescent="0.15">
      <c r="W787" s="12"/>
      <c r="X787" s="62"/>
      <c r="Y787" s="62"/>
      <c r="Z787" s="62"/>
      <c r="AA787" s="62"/>
      <c r="AB787" s="98"/>
      <c r="AC787" s="62"/>
      <c r="AD787" s="62"/>
      <c r="AE787" s="62"/>
      <c r="AF787" s="62"/>
      <c r="AG787" s="66"/>
      <c r="AH787" s="62"/>
      <c r="AI787" s="62"/>
      <c r="AJ787" s="62"/>
      <c r="AK787" s="62"/>
      <c r="AL787" s="66"/>
      <c r="AM787" s="62"/>
      <c r="AN787" s="62"/>
      <c r="AO787" s="62"/>
      <c r="AP787" s="62"/>
      <c r="AQ787" s="66"/>
      <c r="AR787" s="62"/>
      <c r="AS787" s="62"/>
      <c r="AT787" s="62"/>
      <c r="AU787" s="62"/>
      <c r="AV787" s="66"/>
      <c r="AW787" s="97"/>
    </row>
    <row r="788" spans="23:49" x14ac:dyDescent="0.15">
      <c r="W788" s="12"/>
      <c r="X788" s="62"/>
      <c r="Y788" s="62"/>
      <c r="Z788" s="62"/>
      <c r="AA788" s="62"/>
      <c r="AB788" s="98"/>
      <c r="AC788" s="62"/>
      <c r="AD788" s="62"/>
      <c r="AE788" s="62"/>
      <c r="AF788" s="62"/>
      <c r="AG788" s="66"/>
      <c r="AH788" s="62"/>
      <c r="AI788" s="62"/>
      <c r="AJ788" s="62"/>
      <c r="AK788" s="62"/>
      <c r="AL788" s="66"/>
      <c r="AM788" s="62"/>
      <c r="AN788" s="62"/>
      <c r="AO788" s="62"/>
      <c r="AP788" s="62"/>
      <c r="AQ788" s="66"/>
      <c r="AR788" s="62"/>
      <c r="AS788" s="62"/>
      <c r="AT788" s="62"/>
      <c r="AU788" s="62"/>
      <c r="AV788" s="66"/>
      <c r="AW788" s="97"/>
    </row>
    <row r="789" spans="23:49" x14ac:dyDescent="0.15">
      <c r="W789" s="12"/>
      <c r="X789" s="62"/>
      <c r="Y789" s="62"/>
      <c r="Z789" s="62"/>
      <c r="AA789" s="62"/>
      <c r="AB789" s="98"/>
      <c r="AC789" s="62"/>
      <c r="AD789" s="62"/>
      <c r="AE789" s="62"/>
      <c r="AF789" s="62"/>
      <c r="AG789" s="66"/>
      <c r="AH789" s="62"/>
      <c r="AI789" s="62"/>
      <c r="AJ789" s="62"/>
      <c r="AK789" s="62"/>
      <c r="AL789" s="66"/>
      <c r="AM789" s="62"/>
      <c r="AN789" s="62"/>
      <c r="AO789" s="62"/>
      <c r="AP789" s="62"/>
      <c r="AQ789" s="66"/>
      <c r="AR789" s="62"/>
      <c r="AS789" s="62"/>
      <c r="AT789" s="62"/>
      <c r="AU789" s="62"/>
      <c r="AV789" s="66"/>
      <c r="AW789" s="97"/>
    </row>
    <row r="790" spans="23:49" x14ac:dyDescent="0.15">
      <c r="W790" s="12"/>
      <c r="X790" s="62"/>
      <c r="Y790" s="62"/>
      <c r="Z790" s="62"/>
      <c r="AA790" s="62"/>
      <c r="AB790" s="98"/>
      <c r="AC790" s="62"/>
      <c r="AD790" s="62"/>
      <c r="AE790" s="62"/>
      <c r="AF790" s="62"/>
      <c r="AG790" s="66"/>
      <c r="AH790" s="62"/>
      <c r="AI790" s="62"/>
      <c r="AJ790" s="62"/>
      <c r="AK790" s="62"/>
      <c r="AL790" s="66"/>
      <c r="AM790" s="62"/>
      <c r="AN790" s="62"/>
      <c r="AO790" s="62"/>
      <c r="AP790" s="62"/>
      <c r="AQ790" s="66"/>
      <c r="AR790" s="62"/>
      <c r="AS790" s="62"/>
      <c r="AT790" s="62"/>
      <c r="AU790" s="62"/>
      <c r="AV790" s="66"/>
      <c r="AW790" s="97"/>
    </row>
    <row r="791" spans="23:49" x14ac:dyDescent="0.15">
      <c r="W791" s="12"/>
      <c r="X791" s="62"/>
      <c r="Y791" s="62"/>
      <c r="Z791" s="62"/>
      <c r="AA791" s="62"/>
      <c r="AB791" s="98"/>
      <c r="AC791" s="62"/>
      <c r="AD791" s="62"/>
      <c r="AE791" s="62"/>
      <c r="AF791" s="62"/>
      <c r="AG791" s="66"/>
      <c r="AH791" s="62"/>
      <c r="AI791" s="62"/>
      <c r="AJ791" s="62"/>
      <c r="AK791" s="62"/>
      <c r="AL791" s="66"/>
      <c r="AM791" s="62"/>
      <c r="AN791" s="62"/>
      <c r="AO791" s="62"/>
      <c r="AP791" s="62"/>
      <c r="AQ791" s="66"/>
      <c r="AR791" s="62"/>
      <c r="AS791" s="62"/>
      <c r="AT791" s="62"/>
      <c r="AU791" s="62"/>
      <c r="AV791" s="66"/>
      <c r="AW791" s="97"/>
    </row>
    <row r="792" spans="23:49" x14ac:dyDescent="0.15">
      <c r="W792" s="12"/>
      <c r="X792" s="62"/>
      <c r="Y792" s="62"/>
      <c r="Z792" s="62"/>
      <c r="AA792" s="62"/>
      <c r="AB792" s="98"/>
      <c r="AC792" s="62"/>
      <c r="AD792" s="62"/>
      <c r="AE792" s="62"/>
      <c r="AF792" s="62"/>
      <c r="AG792" s="66"/>
      <c r="AH792" s="62"/>
      <c r="AI792" s="62"/>
      <c r="AJ792" s="62"/>
      <c r="AK792" s="62"/>
      <c r="AL792" s="66"/>
      <c r="AM792" s="62"/>
      <c r="AN792" s="62"/>
      <c r="AO792" s="62"/>
      <c r="AP792" s="62"/>
      <c r="AQ792" s="66"/>
      <c r="AR792" s="62"/>
      <c r="AS792" s="62"/>
      <c r="AT792" s="62"/>
      <c r="AU792" s="62"/>
      <c r="AV792" s="66"/>
      <c r="AW792" s="97"/>
    </row>
    <row r="793" spans="23:49" x14ac:dyDescent="0.15">
      <c r="W793" s="12"/>
      <c r="X793" s="62"/>
      <c r="Y793" s="62"/>
      <c r="Z793" s="62"/>
      <c r="AA793" s="62"/>
      <c r="AB793" s="98"/>
      <c r="AC793" s="62"/>
      <c r="AD793" s="62"/>
      <c r="AE793" s="62"/>
      <c r="AF793" s="62"/>
      <c r="AG793" s="66"/>
      <c r="AH793" s="62"/>
      <c r="AI793" s="62"/>
      <c r="AJ793" s="62"/>
      <c r="AK793" s="62"/>
      <c r="AL793" s="66"/>
      <c r="AM793" s="62"/>
      <c r="AN793" s="62"/>
      <c r="AO793" s="62"/>
      <c r="AP793" s="62"/>
      <c r="AQ793" s="66"/>
      <c r="AR793" s="62"/>
      <c r="AS793" s="62"/>
      <c r="AT793" s="62"/>
      <c r="AU793" s="62"/>
      <c r="AV793" s="66"/>
      <c r="AW793" s="97"/>
    </row>
    <row r="794" spans="23:49" x14ac:dyDescent="0.15">
      <c r="W794" s="12"/>
      <c r="X794" s="62"/>
      <c r="Y794" s="62"/>
      <c r="Z794" s="62"/>
      <c r="AA794" s="62"/>
      <c r="AB794" s="98"/>
      <c r="AC794" s="62"/>
      <c r="AD794" s="62"/>
      <c r="AE794" s="62"/>
      <c r="AF794" s="62"/>
      <c r="AG794" s="66"/>
      <c r="AH794" s="62"/>
      <c r="AI794" s="62"/>
      <c r="AJ794" s="62"/>
      <c r="AK794" s="62"/>
      <c r="AL794" s="66"/>
      <c r="AM794" s="62"/>
      <c r="AN794" s="62"/>
      <c r="AO794" s="62"/>
      <c r="AP794" s="62"/>
      <c r="AQ794" s="66"/>
      <c r="AR794" s="62"/>
      <c r="AS794" s="62"/>
      <c r="AT794" s="62"/>
      <c r="AU794" s="62"/>
      <c r="AV794" s="66"/>
      <c r="AW794" s="97"/>
    </row>
    <row r="795" spans="23:49" x14ac:dyDescent="0.15">
      <c r="W795" s="12"/>
      <c r="X795" s="62"/>
      <c r="Y795" s="62"/>
      <c r="Z795" s="62"/>
      <c r="AA795" s="62"/>
      <c r="AB795" s="98"/>
      <c r="AC795" s="62"/>
      <c r="AD795" s="62"/>
      <c r="AE795" s="62"/>
      <c r="AF795" s="62"/>
      <c r="AG795" s="66"/>
      <c r="AH795" s="62"/>
      <c r="AI795" s="62"/>
      <c r="AJ795" s="62"/>
      <c r="AK795" s="62"/>
      <c r="AL795" s="66"/>
      <c r="AM795" s="62"/>
      <c r="AN795" s="62"/>
      <c r="AO795" s="62"/>
      <c r="AP795" s="62"/>
      <c r="AQ795" s="66"/>
      <c r="AR795" s="62"/>
      <c r="AS795" s="62"/>
      <c r="AT795" s="62"/>
      <c r="AU795" s="62"/>
      <c r="AV795" s="66"/>
      <c r="AW795" s="97"/>
    </row>
    <row r="796" spans="23:49" x14ac:dyDescent="0.15">
      <c r="W796" s="12"/>
      <c r="X796" s="62"/>
      <c r="Y796" s="62"/>
      <c r="Z796" s="62"/>
      <c r="AA796" s="62"/>
      <c r="AB796" s="98"/>
      <c r="AC796" s="62"/>
      <c r="AD796" s="62"/>
      <c r="AE796" s="62"/>
      <c r="AF796" s="62"/>
      <c r="AG796" s="66"/>
      <c r="AH796" s="62"/>
      <c r="AI796" s="62"/>
      <c r="AJ796" s="62"/>
      <c r="AK796" s="62"/>
      <c r="AL796" s="66"/>
      <c r="AM796" s="62"/>
      <c r="AN796" s="62"/>
      <c r="AO796" s="62"/>
      <c r="AP796" s="62"/>
      <c r="AQ796" s="66"/>
      <c r="AR796" s="62"/>
      <c r="AS796" s="62"/>
      <c r="AT796" s="62"/>
      <c r="AU796" s="62"/>
      <c r="AV796" s="66"/>
      <c r="AW796" s="97"/>
    </row>
    <row r="797" spans="23:49" x14ac:dyDescent="0.15">
      <c r="W797" s="12"/>
      <c r="X797" s="62"/>
      <c r="Y797" s="62"/>
      <c r="Z797" s="62"/>
      <c r="AA797" s="62"/>
      <c r="AB797" s="98"/>
      <c r="AC797" s="62"/>
      <c r="AD797" s="62"/>
      <c r="AE797" s="62"/>
      <c r="AF797" s="62"/>
      <c r="AG797" s="66"/>
      <c r="AH797" s="62"/>
      <c r="AI797" s="62"/>
      <c r="AJ797" s="62"/>
      <c r="AK797" s="62"/>
      <c r="AL797" s="66"/>
      <c r="AM797" s="62"/>
      <c r="AN797" s="62"/>
      <c r="AO797" s="62"/>
      <c r="AP797" s="62"/>
      <c r="AQ797" s="66"/>
      <c r="AR797" s="62"/>
      <c r="AS797" s="62"/>
      <c r="AT797" s="62"/>
      <c r="AU797" s="62"/>
      <c r="AV797" s="66"/>
      <c r="AW797" s="97"/>
    </row>
    <row r="798" spans="23:49" x14ac:dyDescent="0.15">
      <c r="W798" s="12"/>
      <c r="X798" s="62"/>
      <c r="Y798" s="62"/>
      <c r="Z798" s="62"/>
      <c r="AA798" s="62"/>
      <c r="AB798" s="98"/>
      <c r="AC798" s="62"/>
      <c r="AD798" s="62"/>
      <c r="AE798" s="62"/>
      <c r="AF798" s="62"/>
      <c r="AG798" s="66"/>
      <c r="AH798" s="62"/>
      <c r="AI798" s="62"/>
      <c r="AJ798" s="62"/>
      <c r="AK798" s="62"/>
      <c r="AL798" s="66"/>
      <c r="AM798" s="62"/>
      <c r="AN798" s="62"/>
      <c r="AO798" s="62"/>
      <c r="AP798" s="62"/>
      <c r="AQ798" s="66"/>
      <c r="AR798" s="62"/>
      <c r="AS798" s="62"/>
      <c r="AT798" s="62"/>
      <c r="AU798" s="62"/>
      <c r="AV798" s="66"/>
      <c r="AW798" s="97"/>
    </row>
    <row r="799" spans="23:49" x14ac:dyDescent="0.15">
      <c r="W799" s="12"/>
      <c r="X799" s="62"/>
      <c r="Y799" s="62"/>
      <c r="Z799" s="62"/>
      <c r="AA799" s="62"/>
      <c r="AB799" s="98"/>
      <c r="AC799" s="62"/>
      <c r="AD799" s="62"/>
      <c r="AE799" s="62"/>
      <c r="AF799" s="62"/>
      <c r="AG799" s="66"/>
      <c r="AH799" s="62"/>
      <c r="AI799" s="62"/>
      <c r="AJ799" s="62"/>
      <c r="AK799" s="62"/>
      <c r="AL799" s="66"/>
      <c r="AM799" s="62"/>
      <c r="AN799" s="62"/>
      <c r="AO799" s="62"/>
      <c r="AP799" s="62"/>
      <c r="AQ799" s="66"/>
      <c r="AR799" s="62"/>
      <c r="AS799" s="62"/>
      <c r="AT799" s="62"/>
      <c r="AU799" s="62"/>
      <c r="AV799" s="66"/>
      <c r="AW799" s="97"/>
    </row>
    <row r="800" spans="23:49" x14ac:dyDescent="0.15">
      <c r="W800" s="12"/>
      <c r="X800" s="62"/>
      <c r="Y800" s="62"/>
      <c r="Z800" s="62"/>
      <c r="AA800" s="62"/>
      <c r="AB800" s="98"/>
      <c r="AC800" s="62"/>
      <c r="AD800" s="62"/>
      <c r="AE800" s="62"/>
      <c r="AF800" s="62"/>
      <c r="AG800" s="66"/>
      <c r="AH800" s="62"/>
      <c r="AI800" s="62"/>
      <c r="AJ800" s="62"/>
      <c r="AK800" s="62"/>
      <c r="AL800" s="66"/>
      <c r="AM800" s="62"/>
      <c r="AN800" s="62"/>
      <c r="AO800" s="62"/>
      <c r="AP800" s="62"/>
      <c r="AQ800" s="66"/>
      <c r="AR800" s="62"/>
      <c r="AS800" s="62"/>
      <c r="AT800" s="62"/>
      <c r="AU800" s="62"/>
      <c r="AV800" s="66"/>
      <c r="AW800" s="97"/>
    </row>
    <row r="801" spans="23:49" x14ac:dyDescent="0.15">
      <c r="W801" s="12"/>
      <c r="X801" s="62"/>
      <c r="Y801" s="62"/>
      <c r="Z801" s="62"/>
      <c r="AA801" s="62"/>
      <c r="AB801" s="98"/>
      <c r="AC801" s="62"/>
      <c r="AD801" s="62"/>
      <c r="AE801" s="62"/>
      <c r="AF801" s="62"/>
      <c r="AG801" s="66"/>
      <c r="AH801" s="62"/>
      <c r="AI801" s="62"/>
      <c r="AJ801" s="62"/>
      <c r="AK801" s="62"/>
      <c r="AL801" s="66"/>
      <c r="AM801" s="62"/>
      <c r="AN801" s="62"/>
      <c r="AO801" s="62"/>
      <c r="AP801" s="62"/>
      <c r="AQ801" s="66"/>
      <c r="AR801" s="62"/>
      <c r="AS801" s="62"/>
      <c r="AT801" s="62"/>
      <c r="AU801" s="62"/>
      <c r="AV801" s="66"/>
      <c r="AW801" s="97"/>
    </row>
    <row r="802" spans="23:49" x14ac:dyDescent="0.15">
      <c r="W802" s="12"/>
      <c r="X802" s="62"/>
      <c r="Y802" s="62"/>
      <c r="Z802" s="62"/>
      <c r="AA802" s="62"/>
      <c r="AB802" s="98"/>
      <c r="AC802" s="62"/>
      <c r="AD802" s="62"/>
      <c r="AE802" s="62"/>
      <c r="AF802" s="62"/>
      <c r="AG802" s="66"/>
      <c r="AH802" s="62"/>
      <c r="AI802" s="62"/>
      <c r="AJ802" s="62"/>
      <c r="AK802" s="62"/>
      <c r="AL802" s="66"/>
      <c r="AM802" s="62"/>
      <c r="AN802" s="62"/>
      <c r="AO802" s="62"/>
      <c r="AP802" s="62"/>
      <c r="AQ802" s="66"/>
      <c r="AR802" s="62"/>
      <c r="AS802" s="62"/>
      <c r="AT802" s="62"/>
      <c r="AU802" s="62"/>
      <c r="AV802" s="66"/>
      <c r="AW802" s="97"/>
    </row>
    <row r="803" spans="23:49" x14ac:dyDescent="0.15">
      <c r="W803" s="12"/>
      <c r="X803" s="62"/>
      <c r="Y803" s="62"/>
      <c r="Z803" s="62"/>
      <c r="AA803" s="62"/>
      <c r="AB803" s="98"/>
      <c r="AC803" s="62"/>
      <c r="AD803" s="62"/>
      <c r="AE803" s="62"/>
      <c r="AF803" s="62"/>
      <c r="AG803" s="66"/>
      <c r="AH803" s="62"/>
      <c r="AI803" s="62"/>
      <c r="AJ803" s="62"/>
      <c r="AK803" s="62"/>
      <c r="AL803" s="66"/>
      <c r="AM803" s="62"/>
      <c r="AN803" s="62"/>
      <c r="AO803" s="62"/>
      <c r="AP803" s="62"/>
      <c r="AQ803" s="66"/>
      <c r="AR803" s="62"/>
      <c r="AS803" s="62"/>
      <c r="AT803" s="62"/>
      <c r="AU803" s="62"/>
      <c r="AV803" s="66"/>
      <c r="AW803" s="97"/>
    </row>
    <row r="804" spans="23:49" x14ac:dyDescent="0.15">
      <c r="W804" s="12"/>
      <c r="X804" s="62"/>
      <c r="Y804" s="62"/>
      <c r="Z804" s="62"/>
      <c r="AA804" s="62"/>
      <c r="AB804" s="98"/>
      <c r="AC804" s="62"/>
      <c r="AD804" s="62"/>
      <c r="AE804" s="62"/>
      <c r="AF804" s="62"/>
      <c r="AG804" s="66"/>
      <c r="AH804" s="62"/>
      <c r="AI804" s="62"/>
      <c r="AJ804" s="62"/>
      <c r="AK804" s="62"/>
      <c r="AL804" s="66"/>
      <c r="AM804" s="62"/>
      <c r="AN804" s="62"/>
      <c r="AO804" s="62"/>
      <c r="AP804" s="62"/>
      <c r="AQ804" s="66"/>
      <c r="AR804" s="62"/>
      <c r="AS804" s="62"/>
      <c r="AT804" s="62"/>
      <c r="AU804" s="62"/>
      <c r="AV804" s="66"/>
      <c r="AW804" s="97"/>
    </row>
    <row r="805" spans="23:49" x14ac:dyDescent="0.15">
      <c r="W805" s="12"/>
      <c r="X805" s="62"/>
      <c r="Y805" s="62"/>
      <c r="Z805" s="62"/>
      <c r="AA805" s="62"/>
      <c r="AB805" s="98"/>
      <c r="AC805" s="62"/>
      <c r="AD805" s="62"/>
      <c r="AE805" s="62"/>
      <c r="AF805" s="62"/>
      <c r="AG805" s="66"/>
      <c r="AH805" s="62"/>
      <c r="AI805" s="62"/>
      <c r="AJ805" s="62"/>
      <c r="AK805" s="62"/>
      <c r="AL805" s="66"/>
      <c r="AM805" s="62"/>
      <c r="AN805" s="62"/>
      <c r="AO805" s="62"/>
      <c r="AP805" s="62"/>
      <c r="AQ805" s="66"/>
      <c r="AR805" s="62"/>
      <c r="AS805" s="62"/>
      <c r="AT805" s="62"/>
      <c r="AU805" s="62"/>
      <c r="AV805" s="66"/>
      <c r="AW805" s="97"/>
    </row>
    <row r="806" spans="23:49" x14ac:dyDescent="0.15">
      <c r="W806" s="12"/>
      <c r="X806" s="62"/>
      <c r="Y806" s="62"/>
      <c r="Z806" s="62"/>
      <c r="AA806" s="62"/>
      <c r="AB806" s="98"/>
      <c r="AC806" s="62"/>
      <c r="AD806" s="62"/>
      <c r="AE806" s="62"/>
      <c r="AF806" s="62"/>
      <c r="AG806" s="66"/>
      <c r="AH806" s="62"/>
      <c r="AI806" s="62"/>
      <c r="AJ806" s="62"/>
      <c r="AK806" s="62"/>
      <c r="AL806" s="66"/>
      <c r="AM806" s="62"/>
      <c r="AN806" s="62"/>
      <c r="AO806" s="62"/>
      <c r="AP806" s="62"/>
      <c r="AQ806" s="66"/>
      <c r="AR806" s="62"/>
      <c r="AS806" s="62"/>
      <c r="AT806" s="62"/>
      <c r="AU806" s="62"/>
      <c r="AV806" s="66"/>
      <c r="AW806" s="97"/>
    </row>
    <row r="807" spans="23:49" x14ac:dyDescent="0.15">
      <c r="W807" s="12"/>
      <c r="X807" s="62"/>
      <c r="Y807" s="62"/>
      <c r="Z807" s="62"/>
      <c r="AA807" s="62"/>
      <c r="AB807" s="98"/>
      <c r="AC807" s="62"/>
      <c r="AD807" s="62"/>
      <c r="AE807" s="62"/>
      <c r="AF807" s="62"/>
      <c r="AG807" s="66"/>
      <c r="AH807" s="62"/>
      <c r="AI807" s="62"/>
      <c r="AJ807" s="62"/>
      <c r="AK807" s="62"/>
      <c r="AL807" s="66"/>
      <c r="AM807" s="62"/>
      <c r="AN807" s="62"/>
      <c r="AO807" s="62"/>
      <c r="AP807" s="62"/>
      <c r="AQ807" s="66"/>
      <c r="AR807" s="62"/>
      <c r="AS807" s="62"/>
      <c r="AT807" s="62"/>
      <c r="AU807" s="62"/>
      <c r="AV807" s="66"/>
      <c r="AW807" s="97"/>
    </row>
    <row r="808" spans="23:49" x14ac:dyDescent="0.15">
      <c r="W808" s="12"/>
      <c r="X808" s="62"/>
      <c r="Y808" s="62"/>
      <c r="Z808" s="62"/>
      <c r="AA808" s="62"/>
      <c r="AB808" s="98"/>
      <c r="AC808" s="62"/>
      <c r="AD808" s="62"/>
      <c r="AE808" s="62"/>
      <c r="AF808" s="62"/>
      <c r="AG808" s="66"/>
      <c r="AH808" s="62"/>
      <c r="AI808" s="62"/>
      <c r="AJ808" s="62"/>
      <c r="AK808" s="62"/>
      <c r="AL808" s="66"/>
      <c r="AM808" s="62"/>
      <c r="AN808" s="62"/>
      <c r="AO808" s="62"/>
      <c r="AP808" s="62"/>
      <c r="AQ808" s="66"/>
      <c r="AR808" s="62"/>
      <c r="AS808" s="62"/>
      <c r="AT808" s="62"/>
      <c r="AU808" s="62"/>
      <c r="AV808" s="66"/>
      <c r="AW808" s="97"/>
    </row>
    <row r="809" spans="23:49" x14ac:dyDescent="0.15">
      <c r="W809" s="12"/>
      <c r="X809" s="62"/>
      <c r="Y809" s="62"/>
      <c r="Z809" s="62"/>
      <c r="AA809" s="62"/>
      <c r="AB809" s="98"/>
      <c r="AC809" s="62"/>
      <c r="AD809" s="62"/>
      <c r="AE809" s="62"/>
      <c r="AF809" s="62"/>
      <c r="AG809" s="66"/>
      <c r="AH809" s="62"/>
      <c r="AI809" s="62"/>
      <c r="AJ809" s="62"/>
      <c r="AK809" s="62"/>
      <c r="AL809" s="66"/>
      <c r="AM809" s="62"/>
      <c r="AN809" s="62"/>
      <c r="AO809" s="62"/>
      <c r="AP809" s="62"/>
      <c r="AQ809" s="66"/>
      <c r="AR809" s="62"/>
      <c r="AS809" s="62"/>
      <c r="AT809" s="62"/>
      <c r="AU809" s="62"/>
      <c r="AV809" s="66"/>
      <c r="AW809" s="97"/>
    </row>
    <row r="810" spans="23:49" x14ac:dyDescent="0.15">
      <c r="W810" s="12"/>
      <c r="X810" s="62"/>
      <c r="Y810" s="62"/>
      <c r="Z810" s="62"/>
      <c r="AA810" s="62"/>
      <c r="AB810" s="98"/>
      <c r="AC810" s="62"/>
      <c r="AD810" s="62"/>
      <c r="AE810" s="62"/>
      <c r="AF810" s="62"/>
      <c r="AG810" s="66"/>
      <c r="AH810" s="62"/>
      <c r="AI810" s="62"/>
      <c r="AJ810" s="62"/>
      <c r="AK810" s="62"/>
      <c r="AL810" s="66"/>
      <c r="AM810" s="62"/>
      <c r="AN810" s="62"/>
      <c r="AO810" s="62"/>
      <c r="AP810" s="62"/>
      <c r="AQ810" s="66"/>
      <c r="AR810" s="62"/>
      <c r="AS810" s="62"/>
      <c r="AT810" s="62"/>
      <c r="AU810" s="62"/>
      <c r="AV810" s="66"/>
      <c r="AW810" s="97"/>
    </row>
    <row r="811" spans="23:49" x14ac:dyDescent="0.15">
      <c r="W811" s="12"/>
      <c r="X811" s="62"/>
      <c r="Y811" s="62"/>
      <c r="Z811" s="62"/>
      <c r="AA811" s="62"/>
      <c r="AB811" s="98"/>
      <c r="AC811" s="62"/>
      <c r="AD811" s="62"/>
      <c r="AE811" s="62"/>
      <c r="AF811" s="62"/>
      <c r="AG811" s="66"/>
      <c r="AH811" s="62"/>
      <c r="AI811" s="62"/>
      <c r="AJ811" s="62"/>
      <c r="AK811" s="62"/>
      <c r="AL811" s="66"/>
      <c r="AM811" s="62"/>
      <c r="AN811" s="62"/>
      <c r="AO811" s="62"/>
      <c r="AP811" s="62"/>
      <c r="AQ811" s="66"/>
      <c r="AR811" s="62"/>
      <c r="AS811" s="62"/>
      <c r="AT811" s="62"/>
      <c r="AU811" s="62"/>
      <c r="AV811" s="66"/>
      <c r="AW811" s="97"/>
    </row>
    <row r="812" spans="23:49" x14ac:dyDescent="0.15">
      <c r="W812" s="12"/>
      <c r="X812" s="62"/>
      <c r="Y812" s="62"/>
      <c r="Z812" s="62"/>
      <c r="AA812" s="62"/>
      <c r="AB812" s="98"/>
      <c r="AC812" s="62"/>
      <c r="AD812" s="62"/>
      <c r="AE812" s="62"/>
      <c r="AF812" s="62"/>
      <c r="AG812" s="66"/>
      <c r="AH812" s="62"/>
      <c r="AI812" s="62"/>
      <c r="AJ812" s="62"/>
      <c r="AK812" s="62"/>
      <c r="AL812" s="66"/>
      <c r="AM812" s="62"/>
      <c r="AN812" s="62"/>
      <c r="AO812" s="62"/>
      <c r="AP812" s="62"/>
      <c r="AQ812" s="66"/>
      <c r="AR812" s="62"/>
      <c r="AS812" s="62"/>
      <c r="AT812" s="62"/>
      <c r="AU812" s="62"/>
      <c r="AV812" s="66"/>
      <c r="AW812" s="97"/>
    </row>
    <row r="813" spans="23:49" x14ac:dyDescent="0.15">
      <c r="W813" s="12"/>
      <c r="X813" s="62"/>
      <c r="Y813" s="62"/>
      <c r="Z813" s="62"/>
      <c r="AA813" s="62"/>
      <c r="AB813" s="98"/>
      <c r="AC813" s="62"/>
      <c r="AD813" s="62"/>
      <c r="AE813" s="62"/>
      <c r="AF813" s="62"/>
      <c r="AG813" s="66"/>
      <c r="AH813" s="62"/>
      <c r="AI813" s="62"/>
      <c r="AJ813" s="62"/>
      <c r="AK813" s="62"/>
      <c r="AL813" s="66"/>
      <c r="AM813" s="62"/>
      <c r="AN813" s="62"/>
      <c r="AO813" s="62"/>
      <c r="AP813" s="62"/>
      <c r="AQ813" s="66"/>
      <c r="AR813" s="62"/>
      <c r="AS813" s="62"/>
      <c r="AT813" s="62"/>
      <c r="AU813" s="62"/>
      <c r="AV813" s="66"/>
      <c r="AW813" s="97"/>
    </row>
    <row r="814" spans="23:49" x14ac:dyDescent="0.15">
      <c r="W814" s="12"/>
      <c r="X814" s="62"/>
      <c r="Y814" s="62"/>
      <c r="Z814" s="62"/>
      <c r="AA814" s="62"/>
      <c r="AB814" s="98"/>
      <c r="AC814" s="62"/>
      <c r="AD814" s="62"/>
      <c r="AE814" s="62"/>
      <c r="AF814" s="62"/>
      <c r="AG814" s="66"/>
      <c r="AH814" s="62"/>
      <c r="AI814" s="62"/>
      <c r="AJ814" s="62"/>
      <c r="AK814" s="62"/>
      <c r="AL814" s="66"/>
      <c r="AM814" s="62"/>
      <c r="AN814" s="62"/>
      <c r="AO814" s="62"/>
      <c r="AP814" s="62"/>
      <c r="AQ814" s="66"/>
      <c r="AR814" s="62"/>
      <c r="AS814" s="62"/>
      <c r="AT814" s="62"/>
      <c r="AU814" s="62"/>
      <c r="AV814" s="66"/>
      <c r="AW814" s="97"/>
    </row>
    <row r="815" spans="23:49" x14ac:dyDescent="0.15">
      <c r="W815" s="12"/>
      <c r="X815" s="62"/>
      <c r="Y815" s="62"/>
      <c r="Z815" s="62"/>
      <c r="AA815" s="62"/>
      <c r="AB815" s="98"/>
      <c r="AC815" s="62"/>
      <c r="AD815" s="62"/>
      <c r="AE815" s="62"/>
      <c r="AF815" s="62"/>
      <c r="AG815" s="66"/>
      <c r="AH815" s="62"/>
      <c r="AI815" s="62"/>
      <c r="AJ815" s="62"/>
      <c r="AK815" s="62"/>
      <c r="AL815" s="66"/>
      <c r="AM815" s="62"/>
      <c r="AN815" s="62"/>
      <c r="AO815" s="62"/>
      <c r="AP815" s="62"/>
      <c r="AQ815" s="66"/>
      <c r="AR815" s="62"/>
      <c r="AS815" s="62"/>
      <c r="AT815" s="62"/>
      <c r="AU815" s="62"/>
      <c r="AV815" s="66"/>
      <c r="AW815" s="97"/>
    </row>
    <row r="816" spans="23:49" x14ac:dyDescent="0.15">
      <c r="W816" s="12"/>
      <c r="X816" s="62"/>
      <c r="Y816" s="62"/>
      <c r="Z816" s="62"/>
      <c r="AA816" s="62"/>
      <c r="AB816" s="98"/>
      <c r="AC816" s="62"/>
      <c r="AD816" s="62"/>
      <c r="AE816" s="62"/>
      <c r="AF816" s="62"/>
      <c r="AG816" s="66"/>
      <c r="AH816" s="62"/>
      <c r="AI816" s="62"/>
      <c r="AJ816" s="62"/>
      <c r="AK816" s="62"/>
      <c r="AL816" s="66"/>
      <c r="AM816" s="62"/>
      <c r="AN816" s="62"/>
      <c r="AO816" s="62"/>
      <c r="AP816" s="62"/>
      <c r="AQ816" s="66"/>
      <c r="AR816" s="62"/>
      <c r="AS816" s="62"/>
      <c r="AT816" s="62"/>
      <c r="AU816" s="62"/>
      <c r="AV816" s="66"/>
      <c r="AW816" s="97"/>
    </row>
    <row r="817" spans="23:49" x14ac:dyDescent="0.15">
      <c r="W817" s="12"/>
      <c r="X817" s="62"/>
      <c r="Y817" s="62"/>
      <c r="Z817" s="62"/>
      <c r="AA817" s="62"/>
      <c r="AB817" s="98"/>
      <c r="AC817" s="62"/>
      <c r="AD817" s="62"/>
      <c r="AE817" s="62"/>
      <c r="AF817" s="62"/>
      <c r="AG817" s="66"/>
      <c r="AH817" s="62"/>
      <c r="AI817" s="62"/>
      <c r="AJ817" s="62"/>
      <c r="AK817" s="62"/>
      <c r="AL817" s="66"/>
      <c r="AM817" s="62"/>
      <c r="AN817" s="62"/>
      <c r="AO817" s="62"/>
      <c r="AP817" s="62"/>
      <c r="AQ817" s="66"/>
      <c r="AR817" s="62"/>
      <c r="AS817" s="62"/>
      <c r="AT817" s="62"/>
      <c r="AU817" s="62"/>
      <c r="AV817" s="66"/>
      <c r="AW817" s="97"/>
    </row>
    <row r="818" spans="23:49" x14ac:dyDescent="0.15">
      <c r="W818" s="12"/>
      <c r="X818" s="62"/>
      <c r="Y818" s="62"/>
      <c r="Z818" s="62"/>
      <c r="AA818" s="62"/>
      <c r="AB818" s="98"/>
      <c r="AC818" s="62"/>
      <c r="AD818" s="62"/>
      <c r="AE818" s="62"/>
      <c r="AF818" s="62"/>
      <c r="AG818" s="66"/>
      <c r="AH818" s="62"/>
      <c r="AI818" s="62"/>
      <c r="AJ818" s="62"/>
      <c r="AK818" s="62"/>
      <c r="AL818" s="66"/>
      <c r="AM818" s="62"/>
      <c r="AN818" s="62"/>
      <c r="AO818" s="62"/>
      <c r="AP818" s="62"/>
      <c r="AQ818" s="66"/>
      <c r="AR818" s="62"/>
      <c r="AS818" s="62"/>
      <c r="AT818" s="62"/>
      <c r="AU818" s="62"/>
      <c r="AV818" s="66"/>
      <c r="AW818" s="97"/>
    </row>
    <row r="819" spans="23:49" x14ac:dyDescent="0.15">
      <c r="W819" s="12"/>
      <c r="X819" s="62"/>
      <c r="Y819" s="62"/>
      <c r="Z819" s="62"/>
      <c r="AA819" s="62"/>
      <c r="AB819" s="98"/>
      <c r="AC819" s="62"/>
      <c r="AD819" s="62"/>
      <c r="AE819" s="62"/>
      <c r="AF819" s="62"/>
      <c r="AG819" s="66"/>
      <c r="AH819" s="62"/>
      <c r="AI819" s="62"/>
      <c r="AJ819" s="62"/>
      <c r="AK819" s="62"/>
      <c r="AL819" s="66"/>
      <c r="AM819" s="62"/>
      <c r="AN819" s="62"/>
      <c r="AO819" s="62"/>
      <c r="AP819" s="62"/>
      <c r="AQ819" s="66"/>
      <c r="AR819" s="62"/>
      <c r="AS819" s="62"/>
      <c r="AT819" s="62"/>
      <c r="AU819" s="62"/>
      <c r="AV819" s="66"/>
      <c r="AW819" s="97"/>
    </row>
    <row r="820" spans="23:49" x14ac:dyDescent="0.15">
      <c r="W820" s="12"/>
      <c r="X820" s="62"/>
      <c r="Y820" s="62"/>
      <c r="Z820" s="62"/>
      <c r="AA820" s="62"/>
      <c r="AB820" s="98"/>
      <c r="AC820" s="62"/>
      <c r="AD820" s="62"/>
      <c r="AE820" s="62"/>
      <c r="AF820" s="62"/>
      <c r="AG820" s="66"/>
      <c r="AH820" s="62"/>
      <c r="AI820" s="62"/>
      <c r="AJ820" s="62"/>
      <c r="AK820" s="62"/>
      <c r="AL820" s="66"/>
      <c r="AM820" s="62"/>
      <c r="AN820" s="62"/>
      <c r="AO820" s="62"/>
      <c r="AP820" s="62"/>
      <c r="AQ820" s="66"/>
      <c r="AR820" s="62"/>
      <c r="AS820" s="62"/>
      <c r="AT820" s="62"/>
      <c r="AU820" s="62"/>
      <c r="AV820" s="66"/>
      <c r="AW820" s="97"/>
    </row>
    <row r="821" spans="23:49" x14ac:dyDescent="0.15">
      <c r="W821" s="12"/>
      <c r="X821" s="62"/>
      <c r="Y821" s="62"/>
      <c r="Z821" s="62"/>
      <c r="AA821" s="62"/>
      <c r="AB821" s="98"/>
      <c r="AC821" s="62"/>
      <c r="AD821" s="62"/>
      <c r="AE821" s="62"/>
      <c r="AF821" s="62"/>
      <c r="AG821" s="66"/>
      <c r="AH821" s="62"/>
      <c r="AI821" s="62"/>
      <c r="AJ821" s="62"/>
      <c r="AK821" s="62"/>
      <c r="AL821" s="66"/>
      <c r="AM821" s="62"/>
      <c r="AN821" s="62"/>
      <c r="AO821" s="62"/>
      <c r="AP821" s="62"/>
      <c r="AQ821" s="66"/>
      <c r="AR821" s="62"/>
      <c r="AS821" s="62"/>
      <c r="AT821" s="62"/>
      <c r="AU821" s="62"/>
      <c r="AV821" s="66"/>
      <c r="AW821" s="97"/>
    </row>
    <row r="822" spans="23:49" x14ac:dyDescent="0.15">
      <c r="W822" s="12"/>
      <c r="X822" s="62"/>
      <c r="Y822" s="62"/>
      <c r="Z822" s="62"/>
      <c r="AA822" s="62"/>
      <c r="AB822" s="98"/>
      <c r="AC822" s="62"/>
      <c r="AD822" s="62"/>
      <c r="AE822" s="62"/>
      <c r="AF822" s="62"/>
      <c r="AG822" s="66"/>
      <c r="AH822" s="62"/>
      <c r="AI822" s="62"/>
      <c r="AJ822" s="62"/>
      <c r="AK822" s="62"/>
      <c r="AL822" s="66"/>
      <c r="AM822" s="62"/>
      <c r="AN822" s="62"/>
      <c r="AO822" s="62"/>
      <c r="AP822" s="62"/>
      <c r="AQ822" s="66"/>
      <c r="AR822" s="62"/>
      <c r="AS822" s="62"/>
      <c r="AT822" s="62"/>
      <c r="AU822" s="62"/>
      <c r="AV822" s="66"/>
      <c r="AW822" s="97"/>
    </row>
    <row r="823" spans="23:49" x14ac:dyDescent="0.15">
      <c r="W823" s="12"/>
      <c r="X823" s="62"/>
      <c r="Y823" s="62"/>
      <c r="Z823" s="62"/>
      <c r="AA823" s="62"/>
      <c r="AB823" s="98"/>
      <c r="AC823" s="62"/>
      <c r="AD823" s="62"/>
      <c r="AE823" s="62"/>
      <c r="AF823" s="62"/>
      <c r="AG823" s="66"/>
      <c r="AH823" s="62"/>
      <c r="AI823" s="62"/>
      <c r="AJ823" s="62"/>
      <c r="AK823" s="62"/>
      <c r="AL823" s="66"/>
      <c r="AM823" s="62"/>
      <c r="AN823" s="62"/>
      <c r="AO823" s="62"/>
      <c r="AP823" s="62"/>
      <c r="AQ823" s="66"/>
      <c r="AR823" s="62"/>
      <c r="AS823" s="62"/>
      <c r="AT823" s="62"/>
      <c r="AU823" s="62"/>
      <c r="AV823" s="66"/>
      <c r="AW823" s="97"/>
    </row>
    <row r="824" spans="23:49" x14ac:dyDescent="0.15">
      <c r="W824" s="12"/>
      <c r="X824" s="62"/>
      <c r="Y824" s="62"/>
      <c r="Z824" s="62"/>
      <c r="AA824" s="62"/>
      <c r="AB824" s="98"/>
      <c r="AC824" s="62"/>
      <c r="AD824" s="62"/>
      <c r="AE824" s="62"/>
      <c r="AF824" s="62"/>
      <c r="AG824" s="66"/>
      <c r="AH824" s="62"/>
      <c r="AI824" s="62"/>
      <c r="AJ824" s="62"/>
      <c r="AK824" s="62"/>
      <c r="AL824" s="66"/>
      <c r="AM824" s="62"/>
      <c r="AN824" s="62"/>
      <c r="AO824" s="62"/>
      <c r="AP824" s="62"/>
      <c r="AQ824" s="66"/>
      <c r="AR824" s="62"/>
      <c r="AS824" s="62"/>
      <c r="AT824" s="62"/>
      <c r="AU824" s="62"/>
      <c r="AV824" s="66"/>
      <c r="AW824" s="97"/>
    </row>
    <row r="825" spans="23:49" x14ac:dyDescent="0.15">
      <c r="W825" s="12"/>
      <c r="X825" s="62"/>
      <c r="Y825" s="62"/>
      <c r="Z825" s="62"/>
      <c r="AA825" s="62"/>
      <c r="AB825" s="98"/>
      <c r="AC825" s="62"/>
      <c r="AD825" s="62"/>
      <c r="AE825" s="62"/>
      <c r="AF825" s="62"/>
      <c r="AG825" s="66"/>
      <c r="AH825" s="62"/>
      <c r="AI825" s="62"/>
      <c r="AJ825" s="62"/>
      <c r="AK825" s="62"/>
      <c r="AL825" s="66"/>
      <c r="AM825" s="62"/>
      <c r="AN825" s="62"/>
      <c r="AO825" s="62"/>
      <c r="AP825" s="62"/>
      <c r="AQ825" s="66"/>
      <c r="AR825" s="62"/>
      <c r="AS825" s="62"/>
      <c r="AT825" s="62"/>
      <c r="AU825" s="62"/>
      <c r="AV825" s="66"/>
      <c r="AW825" s="97"/>
    </row>
    <row r="826" spans="23:49" x14ac:dyDescent="0.15">
      <c r="W826" s="12"/>
      <c r="X826" s="62"/>
      <c r="Y826" s="62"/>
      <c r="Z826" s="62"/>
      <c r="AA826" s="62"/>
      <c r="AB826" s="98"/>
      <c r="AC826" s="62"/>
      <c r="AD826" s="62"/>
      <c r="AE826" s="62"/>
      <c r="AF826" s="62"/>
      <c r="AG826" s="66"/>
      <c r="AH826" s="62"/>
      <c r="AI826" s="62"/>
      <c r="AJ826" s="62"/>
      <c r="AK826" s="62"/>
      <c r="AL826" s="66"/>
      <c r="AM826" s="62"/>
      <c r="AN826" s="62"/>
      <c r="AO826" s="62"/>
      <c r="AP826" s="62"/>
      <c r="AQ826" s="66"/>
      <c r="AR826" s="62"/>
      <c r="AS826" s="62"/>
      <c r="AT826" s="62"/>
      <c r="AU826" s="62"/>
      <c r="AV826" s="66"/>
      <c r="AW826" s="97"/>
    </row>
    <row r="827" spans="23:49" x14ac:dyDescent="0.15">
      <c r="W827" s="12"/>
      <c r="X827" s="62"/>
      <c r="Y827" s="62"/>
      <c r="Z827" s="62"/>
      <c r="AA827" s="62"/>
      <c r="AB827" s="98"/>
      <c r="AC827" s="62"/>
      <c r="AD827" s="62"/>
      <c r="AE827" s="62"/>
      <c r="AF827" s="62"/>
      <c r="AG827" s="66"/>
      <c r="AH827" s="62"/>
      <c r="AI827" s="62"/>
      <c r="AJ827" s="62"/>
      <c r="AK827" s="62"/>
      <c r="AL827" s="66"/>
      <c r="AM827" s="62"/>
      <c r="AN827" s="62"/>
      <c r="AO827" s="62"/>
      <c r="AP827" s="62"/>
      <c r="AQ827" s="66"/>
      <c r="AR827" s="62"/>
      <c r="AS827" s="62"/>
      <c r="AT827" s="62"/>
      <c r="AU827" s="62"/>
      <c r="AV827" s="66"/>
      <c r="AW827" s="97"/>
    </row>
    <row r="828" spans="23:49" x14ac:dyDescent="0.15">
      <c r="W828" s="12"/>
      <c r="X828" s="62"/>
      <c r="Y828" s="62"/>
      <c r="Z828" s="62"/>
      <c r="AA828" s="62"/>
      <c r="AB828" s="98"/>
      <c r="AC828" s="62"/>
      <c r="AD828" s="62"/>
      <c r="AE828" s="62"/>
      <c r="AF828" s="62"/>
      <c r="AG828" s="66"/>
      <c r="AH828" s="62"/>
      <c r="AI828" s="62"/>
      <c r="AJ828" s="62"/>
      <c r="AK828" s="62"/>
      <c r="AL828" s="66"/>
      <c r="AM828" s="62"/>
      <c r="AN828" s="62"/>
      <c r="AO828" s="62"/>
      <c r="AP828" s="62"/>
      <c r="AQ828" s="66"/>
      <c r="AR828" s="62"/>
      <c r="AS828" s="62"/>
      <c r="AT828" s="62"/>
      <c r="AU828" s="62"/>
      <c r="AV828" s="66"/>
      <c r="AW828" s="97"/>
    </row>
    <row r="829" spans="23:49" x14ac:dyDescent="0.15">
      <c r="W829" s="12"/>
      <c r="X829" s="62"/>
      <c r="Y829" s="62"/>
      <c r="Z829" s="62"/>
      <c r="AA829" s="62"/>
      <c r="AB829" s="98"/>
      <c r="AC829" s="62"/>
      <c r="AD829" s="62"/>
      <c r="AE829" s="62"/>
      <c r="AF829" s="62"/>
      <c r="AG829" s="66"/>
      <c r="AH829" s="62"/>
      <c r="AI829" s="62"/>
      <c r="AJ829" s="62"/>
      <c r="AK829" s="62"/>
      <c r="AL829" s="66"/>
      <c r="AM829" s="62"/>
      <c r="AN829" s="62"/>
      <c r="AO829" s="62"/>
      <c r="AP829" s="62"/>
      <c r="AQ829" s="66"/>
      <c r="AR829" s="62"/>
      <c r="AS829" s="62"/>
      <c r="AT829" s="62"/>
      <c r="AU829" s="62"/>
      <c r="AV829" s="66"/>
      <c r="AW829" s="97"/>
    </row>
    <row r="830" spans="23:49" x14ac:dyDescent="0.15">
      <c r="W830" s="12"/>
      <c r="X830" s="62"/>
      <c r="Y830" s="62"/>
      <c r="Z830" s="62"/>
      <c r="AA830" s="62"/>
      <c r="AB830" s="98"/>
      <c r="AC830" s="62"/>
      <c r="AD830" s="62"/>
      <c r="AE830" s="62"/>
      <c r="AF830" s="62"/>
      <c r="AG830" s="66"/>
      <c r="AH830" s="62"/>
      <c r="AI830" s="62"/>
      <c r="AJ830" s="62"/>
      <c r="AK830" s="62"/>
      <c r="AL830" s="66"/>
      <c r="AM830" s="62"/>
      <c r="AN830" s="62"/>
      <c r="AO830" s="62"/>
      <c r="AP830" s="62"/>
      <c r="AQ830" s="66"/>
      <c r="AR830" s="62"/>
      <c r="AS830" s="62"/>
      <c r="AT830" s="62"/>
      <c r="AU830" s="62"/>
      <c r="AV830" s="66"/>
      <c r="AW830" s="97"/>
    </row>
    <row r="831" spans="23:49" x14ac:dyDescent="0.15">
      <c r="W831" s="12"/>
      <c r="X831" s="62"/>
      <c r="Y831" s="62"/>
      <c r="Z831" s="62"/>
      <c r="AA831" s="62"/>
      <c r="AB831" s="98"/>
      <c r="AC831" s="62"/>
      <c r="AD831" s="62"/>
      <c r="AE831" s="62"/>
      <c r="AF831" s="62"/>
      <c r="AG831" s="66"/>
      <c r="AH831" s="62"/>
      <c r="AI831" s="62"/>
      <c r="AJ831" s="62"/>
      <c r="AK831" s="62"/>
      <c r="AL831" s="66"/>
      <c r="AM831" s="62"/>
      <c r="AN831" s="62"/>
      <c r="AO831" s="62"/>
      <c r="AP831" s="62"/>
      <c r="AQ831" s="66"/>
      <c r="AR831" s="62"/>
      <c r="AS831" s="62"/>
      <c r="AT831" s="62"/>
      <c r="AU831" s="62"/>
      <c r="AV831" s="66"/>
      <c r="AW831" s="97"/>
    </row>
    <row r="832" spans="23:49" x14ac:dyDescent="0.15">
      <c r="W832" s="12"/>
      <c r="X832" s="62"/>
      <c r="Y832" s="62"/>
      <c r="Z832" s="62"/>
      <c r="AA832" s="62"/>
      <c r="AB832" s="98"/>
      <c r="AC832" s="62"/>
      <c r="AD832" s="62"/>
      <c r="AE832" s="62"/>
      <c r="AF832" s="62"/>
      <c r="AG832" s="66"/>
      <c r="AH832" s="62"/>
      <c r="AI832" s="62"/>
      <c r="AJ832" s="62"/>
      <c r="AK832" s="62"/>
      <c r="AL832" s="66"/>
      <c r="AM832" s="62"/>
      <c r="AN832" s="62"/>
      <c r="AO832" s="62"/>
      <c r="AP832" s="62"/>
      <c r="AQ832" s="66"/>
      <c r="AR832" s="62"/>
      <c r="AS832" s="62"/>
      <c r="AT832" s="62"/>
      <c r="AU832" s="62"/>
      <c r="AV832" s="66"/>
      <c r="AW832" s="97"/>
    </row>
    <row r="833" spans="23:49" x14ac:dyDescent="0.15">
      <c r="W833" s="12"/>
      <c r="X833" s="62"/>
      <c r="Y833" s="62"/>
      <c r="Z833" s="62"/>
      <c r="AA833" s="62"/>
      <c r="AB833" s="98"/>
      <c r="AC833" s="62"/>
      <c r="AD833" s="62"/>
      <c r="AE833" s="62"/>
      <c r="AF833" s="62"/>
      <c r="AG833" s="66"/>
      <c r="AH833" s="62"/>
      <c r="AI833" s="62"/>
      <c r="AJ833" s="62"/>
      <c r="AK833" s="62"/>
      <c r="AL833" s="66"/>
      <c r="AM833" s="62"/>
      <c r="AN833" s="62"/>
      <c r="AO833" s="62"/>
      <c r="AP833" s="62"/>
      <c r="AQ833" s="66"/>
      <c r="AR833" s="62"/>
      <c r="AS833" s="62"/>
      <c r="AT833" s="62"/>
      <c r="AU833" s="62"/>
      <c r="AV833" s="66"/>
      <c r="AW833" s="97"/>
    </row>
    <row r="834" spans="23:49" x14ac:dyDescent="0.15">
      <c r="W834" s="12"/>
      <c r="X834" s="62"/>
      <c r="Y834" s="62"/>
      <c r="Z834" s="62"/>
      <c r="AA834" s="62"/>
      <c r="AB834" s="98"/>
      <c r="AC834" s="62"/>
      <c r="AD834" s="62"/>
      <c r="AE834" s="62"/>
      <c r="AF834" s="62"/>
      <c r="AG834" s="66"/>
      <c r="AH834" s="62"/>
      <c r="AI834" s="62"/>
      <c r="AJ834" s="62"/>
      <c r="AK834" s="62"/>
      <c r="AL834" s="66"/>
      <c r="AM834" s="62"/>
      <c r="AN834" s="62"/>
      <c r="AO834" s="62"/>
      <c r="AP834" s="62"/>
      <c r="AQ834" s="66"/>
      <c r="AR834" s="62"/>
      <c r="AS834" s="62"/>
      <c r="AT834" s="62"/>
      <c r="AU834" s="62"/>
      <c r="AV834" s="66"/>
      <c r="AW834" s="97"/>
    </row>
    <row r="835" spans="23:49" x14ac:dyDescent="0.15">
      <c r="W835" s="12"/>
      <c r="X835" s="62"/>
      <c r="Y835" s="62"/>
      <c r="Z835" s="62"/>
      <c r="AA835" s="62"/>
      <c r="AB835" s="98"/>
      <c r="AC835" s="62"/>
      <c r="AD835" s="62"/>
      <c r="AE835" s="62"/>
      <c r="AF835" s="62"/>
      <c r="AG835" s="66"/>
      <c r="AH835" s="62"/>
      <c r="AI835" s="62"/>
      <c r="AJ835" s="62"/>
      <c r="AK835" s="62"/>
      <c r="AL835" s="66"/>
      <c r="AM835" s="62"/>
      <c r="AN835" s="62"/>
      <c r="AO835" s="62"/>
      <c r="AP835" s="62"/>
      <c r="AQ835" s="66"/>
      <c r="AR835" s="62"/>
      <c r="AS835" s="62"/>
      <c r="AT835" s="62"/>
      <c r="AU835" s="62"/>
      <c r="AV835" s="66"/>
      <c r="AW835" s="97"/>
    </row>
    <row r="836" spans="23:49" x14ac:dyDescent="0.15">
      <c r="W836" s="12"/>
      <c r="X836" s="62"/>
      <c r="Y836" s="62"/>
      <c r="Z836" s="62"/>
      <c r="AA836" s="62"/>
      <c r="AB836" s="98"/>
      <c r="AC836" s="62"/>
      <c r="AD836" s="62"/>
      <c r="AE836" s="62"/>
      <c r="AF836" s="62"/>
      <c r="AG836" s="66"/>
      <c r="AH836" s="62"/>
      <c r="AI836" s="62"/>
      <c r="AJ836" s="62"/>
      <c r="AK836" s="62"/>
      <c r="AL836" s="66"/>
      <c r="AM836" s="62"/>
      <c r="AN836" s="62"/>
      <c r="AO836" s="62"/>
      <c r="AP836" s="62"/>
      <c r="AQ836" s="66"/>
      <c r="AR836" s="62"/>
      <c r="AS836" s="62"/>
      <c r="AT836" s="62"/>
      <c r="AU836" s="62"/>
      <c r="AV836" s="66"/>
      <c r="AW836" s="97"/>
    </row>
    <row r="837" spans="23:49" x14ac:dyDescent="0.15">
      <c r="W837" s="12"/>
      <c r="X837" s="62"/>
      <c r="Y837" s="62"/>
      <c r="Z837" s="62"/>
      <c r="AA837" s="62"/>
      <c r="AB837" s="98"/>
      <c r="AC837" s="62"/>
      <c r="AD837" s="62"/>
      <c r="AE837" s="62"/>
      <c r="AF837" s="62"/>
      <c r="AG837" s="66"/>
      <c r="AH837" s="62"/>
      <c r="AI837" s="62"/>
      <c r="AJ837" s="62"/>
      <c r="AK837" s="62"/>
      <c r="AL837" s="66"/>
      <c r="AM837" s="62"/>
      <c r="AN837" s="62"/>
      <c r="AO837" s="62"/>
      <c r="AP837" s="62"/>
      <c r="AQ837" s="66"/>
      <c r="AR837" s="62"/>
      <c r="AS837" s="62"/>
      <c r="AT837" s="62"/>
      <c r="AU837" s="62"/>
      <c r="AV837" s="66"/>
      <c r="AW837" s="97"/>
    </row>
    <row r="838" spans="23:49" x14ac:dyDescent="0.15">
      <c r="W838" s="12"/>
      <c r="X838" s="62"/>
      <c r="Y838" s="62"/>
      <c r="Z838" s="62"/>
      <c r="AA838" s="62"/>
      <c r="AB838" s="98"/>
      <c r="AC838" s="62"/>
      <c r="AD838" s="62"/>
      <c r="AE838" s="62"/>
      <c r="AF838" s="62"/>
      <c r="AG838" s="66"/>
      <c r="AH838" s="62"/>
      <c r="AI838" s="62"/>
      <c r="AJ838" s="62"/>
      <c r="AK838" s="62"/>
      <c r="AL838" s="66"/>
      <c r="AM838" s="62"/>
      <c r="AN838" s="62"/>
      <c r="AO838" s="62"/>
      <c r="AP838" s="62"/>
      <c r="AQ838" s="66"/>
      <c r="AR838" s="62"/>
      <c r="AS838" s="62"/>
      <c r="AT838" s="62"/>
      <c r="AU838" s="62"/>
      <c r="AV838" s="66"/>
      <c r="AW838" s="97"/>
    </row>
    <row r="839" spans="23:49" x14ac:dyDescent="0.15">
      <c r="W839" s="12"/>
      <c r="X839" s="62"/>
      <c r="Y839" s="62"/>
      <c r="Z839" s="62"/>
      <c r="AA839" s="62"/>
      <c r="AB839" s="98"/>
      <c r="AC839" s="62"/>
      <c r="AD839" s="62"/>
      <c r="AE839" s="62"/>
      <c r="AF839" s="62"/>
      <c r="AG839" s="66"/>
      <c r="AH839" s="62"/>
      <c r="AI839" s="62"/>
      <c r="AJ839" s="62"/>
      <c r="AK839" s="62"/>
      <c r="AL839" s="66"/>
      <c r="AM839" s="62"/>
      <c r="AN839" s="62"/>
      <c r="AO839" s="62"/>
      <c r="AP839" s="62"/>
      <c r="AQ839" s="66"/>
      <c r="AR839" s="62"/>
      <c r="AS839" s="62"/>
      <c r="AT839" s="62"/>
      <c r="AU839" s="62"/>
      <c r="AV839" s="66"/>
      <c r="AW839" s="97"/>
    </row>
    <row r="840" spans="23:49" x14ac:dyDescent="0.15">
      <c r="W840" s="12"/>
      <c r="X840" s="62"/>
      <c r="Y840" s="62"/>
      <c r="Z840" s="62"/>
      <c r="AA840" s="62"/>
      <c r="AB840" s="98"/>
      <c r="AC840" s="62"/>
      <c r="AD840" s="62"/>
      <c r="AE840" s="62"/>
      <c r="AF840" s="62"/>
      <c r="AG840" s="66"/>
      <c r="AH840" s="62"/>
      <c r="AI840" s="62"/>
      <c r="AJ840" s="62"/>
      <c r="AK840" s="62"/>
      <c r="AL840" s="66"/>
      <c r="AM840" s="62"/>
      <c r="AN840" s="62"/>
      <c r="AO840" s="62"/>
      <c r="AP840" s="62"/>
      <c r="AQ840" s="66"/>
      <c r="AR840" s="62"/>
      <c r="AS840" s="62"/>
      <c r="AT840" s="62"/>
      <c r="AU840" s="62"/>
      <c r="AV840" s="66"/>
      <c r="AW840" s="97"/>
    </row>
    <row r="841" spans="23:49" x14ac:dyDescent="0.15">
      <c r="W841" s="12"/>
      <c r="X841" s="62"/>
      <c r="Y841" s="62"/>
      <c r="Z841" s="62"/>
      <c r="AA841" s="62"/>
      <c r="AB841" s="98"/>
      <c r="AC841" s="62"/>
      <c r="AD841" s="62"/>
      <c r="AE841" s="62"/>
      <c r="AF841" s="62"/>
      <c r="AG841" s="66"/>
      <c r="AH841" s="62"/>
      <c r="AI841" s="62"/>
      <c r="AJ841" s="62"/>
      <c r="AK841" s="62"/>
      <c r="AL841" s="66"/>
      <c r="AM841" s="62"/>
      <c r="AN841" s="62"/>
      <c r="AO841" s="62"/>
      <c r="AP841" s="62"/>
      <c r="AQ841" s="66"/>
      <c r="AR841" s="62"/>
      <c r="AS841" s="62"/>
      <c r="AT841" s="62"/>
      <c r="AU841" s="62"/>
      <c r="AV841" s="66"/>
      <c r="AW841" s="97"/>
    </row>
    <row r="842" spans="23:49" x14ac:dyDescent="0.15">
      <c r="W842" s="12"/>
      <c r="X842" s="62"/>
      <c r="Y842" s="62"/>
      <c r="Z842" s="62"/>
      <c r="AA842" s="62"/>
      <c r="AB842" s="98"/>
      <c r="AC842" s="62"/>
      <c r="AD842" s="62"/>
      <c r="AE842" s="62"/>
      <c r="AF842" s="62"/>
      <c r="AG842" s="66"/>
      <c r="AH842" s="62"/>
      <c r="AI842" s="62"/>
      <c r="AJ842" s="62"/>
      <c r="AK842" s="62"/>
      <c r="AL842" s="66"/>
      <c r="AM842" s="62"/>
      <c r="AN842" s="62"/>
      <c r="AO842" s="62"/>
      <c r="AP842" s="62"/>
      <c r="AQ842" s="66"/>
      <c r="AR842" s="62"/>
      <c r="AS842" s="62"/>
      <c r="AT842" s="62"/>
      <c r="AU842" s="62"/>
      <c r="AV842" s="66"/>
      <c r="AW842" s="97"/>
    </row>
    <row r="843" spans="23:49" x14ac:dyDescent="0.15">
      <c r="W843" s="12"/>
      <c r="X843" s="62"/>
      <c r="Y843" s="62"/>
      <c r="Z843" s="62"/>
      <c r="AA843" s="62"/>
      <c r="AB843" s="98"/>
      <c r="AC843" s="62"/>
      <c r="AD843" s="62"/>
      <c r="AE843" s="62"/>
      <c r="AF843" s="62"/>
      <c r="AG843" s="66"/>
      <c r="AH843" s="62"/>
      <c r="AI843" s="62"/>
      <c r="AJ843" s="62"/>
      <c r="AK843" s="62"/>
      <c r="AL843" s="66"/>
      <c r="AM843" s="62"/>
      <c r="AN843" s="62"/>
      <c r="AO843" s="62"/>
      <c r="AP843" s="62"/>
      <c r="AQ843" s="66"/>
      <c r="AR843" s="62"/>
      <c r="AS843" s="62"/>
      <c r="AT843" s="62"/>
      <c r="AU843" s="62"/>
      <c r="AV843" s="66"/>
      <c r="AW843" s="97"/>
    </row>
    <row r="844" spans="23:49" x14ac:dyDescent="0.15">
      <c r="W844" s="12"/>
      <c r="X844" s="62"/>
      <c r="Y844" s="62"/>
      <c r="Z844" s="62"/>
      <c r="AA844" s="62"/>
      <c r="AB844" s="98"/>
      <c r="AC844" s="62"/>
      <c r="AD844" s="62"/>
      <c r="AE844" s="62"/>
      <c r="AF844" s="62"/>
      <c r="AG844" s="66"/>
      <c r="AH844" s="62"/>
      <c r="AI844" s="62"/>
      <c r="AJ844" s="62"/>
      <c r="AK844" s="62"/>
      <c r="AL844" s="66"/>
      <c r="AM844" s="62"/>
      <c r="AN844" s="62"/>
      <c r="AO844" s="62"/>
      <c r="AP844" s="62"/>
      <c r="AQ844" s="66"/>
      <c r="AR844" s="62"/>
      <c r="AS844" s="62"/>
      <c r="AT844" s="62"/>
      <c r="AU844" s="62"/>
      <c r="AV844" s="66"/>
      <c r="AW844" s="97"/>
    </row>
    <row r="845" spans="23:49" x14ac:dyDescent="0.15">
      <c r="W845" s="12"/>
      <c r="X845" s="62"/>
      <c r="Y845" s="62"/>
      <c r="Z845" s="62"/>
      <c r="AA845" s="62"/>
      <c r="AB845" s="98"/>
      <c r="AC845" s="62"/>
      <c r="AD845" s="62"/>
      <c r="AE845" s="62"/>
      <c r="AF845" s="62"/>
      <c r="AG845" s="66"/>
      <c r="AH845" s="62"/>
      <c r="AI845" s="62"/>
      <c r="AJ845" s="62"/>
      <c r="AK845" s="62"/>
      <c r="AL845" s="66"/>
      <c r="AM845" s="62"/>
      <c r="AN845" s="62"/>
      <c r="AO845" s="62"/>
      <c r="AP845" s="62"/>
      <c r="AQ845" s="66"/>
      <c r="AR845" s="62"/>
      <c r="AS845" s="62"/>
      <c r="AT845" s="62"/>
      <c r="AU845" s="62"/>
      <c r="AV845" s="66"/>
      <c r="AW845" s="97"/>
    </row>
    <row r="846" spans="23:49" x14ac:dyDescent="0.15">
      <c r="W846" s="12"/>
      <c r="X846" s="62"/>
      <c r="Y846" s="62"/>
      <c r="Z846" s="62"/>
      <c r="AA846" s="62"/>
      <c r="AB846" s="98"/>
      <c r="AC846" s="62"/>
      <c r="AD846" s="62"/>
      <c r="AE846" s="62"/>
      <c r="AF846" s="62"/>
      <c r="AG846" s="66"/>
      <c r="AH846" s="62"/>
      <c r="AI846" s="62"/>
      <c r="AJ846" s="62"/>
      <c r="AK846" s="62"/>
      <c r="AL846" s="66"/>
      <c r="AM846" s="62"/>
      <c r="AN846" s="62"/>
      <c r="AO846" s="62"/>
      <c r="AP846" s="62"/>
      <c r="AQ846" s="66"/>
      <c r="AR846" s="62"/>
      <c r="AS846" s="62"/>
      <c r="AT846" s="62"/>
      <c r="AU846" s="62"/>
      <c r="AV846" s="66"/>
      <c r="AW846" s="97"/>
    </row>
    <row r="847" spans="23:49" x14ac:dyDescent="0.15">
      <c r="W847" s="12"/>
      <c r="X847" s="62"/>
      <c r="Y847" s="62"/>
      <c r="Z847" s="62"/>
      <c r="AA847" s="62"/>
      <c r="AB847" s="98"/>
      <c r="AC847" s="62"/>
      <c r="AD847" s="62"/>
      <c r="AE847" s="62"/>
      <c r="AF847" s="62"/>
      <c r="AG847" s="66"/>
      <c r="AH847" s="62"/>
      <c r="AI847" s="62"/>
      <c r="AJ847" s="62"/>
      <c r="AK847" s="62"/>
      <c r="AL847" s="66"/>
      <c r="AM847" s="62"/>
      <c r="AN847" s="62"/>
      <c r="AO847" s="62"/>
      <c r="AP847" s="62"/>
      <c r="AQ847" s="66"/>
      <c r="AR847" s="62"/>
      <c r="AS847" s="62"/>
      <c r="AT847" s="62"/>
      <c r="AU847" s="62"/>
      <c r="AV847" s="66"/>
      <c r="AW847" s="97"/>
    </row>
    <row r="848" spans="23:49" x14ac:dyDescent="0.15">
      <c r="W848" s="12"/>
      <c r="X848" s="62"/>
      <c r="Y848" s="62"/>
      <c r="Z848" s="62"/>
      <c r="AA848" s="62"/>
      <c r="AB848" s="98"/>
      <c r="AC848" s="62"/>
      <c r="AD848" s="62"/>
      <c r="AE848" s="62"/>
      <c r="AF848" s="62"/>
      <c r="AG848" s="66"/>
      <c r="AH848" s="62"/>
      <c r="AI848" s="62"/>
      <c r="AJ848" s="62"/>
      <c r="AK848" s="62"/>
      <c r="AL848" s="66"/>
      <c r="AM848" s="62"/>
      <c r="AN848" s="62"/>
      <c r="AO848" s="62"/>
      <c r="AP848" s="62"/>
      <c r="AQ848" s="66"/>
      <c r="AR848" s="62"/>
      <c r="AS848" s="62"/>
      <c r="AT848" s="62"/>
      <c r="AU848" s="62"/>
      <c r="AV848" s="66"/>
      <c r="AW848" s="97"/>
    </row>
    <row r="849" spans="23:49" x14ac:dyDescent="0.15">
      <c r="W849" s="12"/>
      <c r="X849" s="62"/>
      <c r="Y849" s="62"/>
      <c r="Z849" s="62"/>
      <c r="AA849" s="62"/>
      <c r="AB849" s="98"/>
      <c r="AC849" s="62"/>
      <c r="AD849" s="62"/>
      <c r="AE849" s="62"/>
      <c r="AF849" s="62"/>
      <c r="AG849" s="66"/>
      <c r="AH849" s="62"/>
      <c r="AI849" s="62"/>
      <c r="AJ849" s="62"/>
      <c r="AK849" s="62"/>
      <c r="AL849" s="66"/>
      <c r="AM849" s="62"/>
      <c r="AN849" s="62"/>
      <c r="AO849" s="62"/>
      <c r="AP849" s="62"/>
      <c r="AQ849" s="66"/>
      <c r="AR849" s="62"/>
      <c r="AS849" s="62"/>
      <c r="AT849" s="62"/>
      <c r="AU849" s="62"/>
      <c r="AV849" s="66"/>
      <c r="AW849" s="97"/>
    </row>
    <row r="850" spans="23:49" x14ac:dyDescent="0.15">
      <c r="W850" s="12"/>
      <c r="X850" s="62"/>
      <c r="Y850" s="62"/>
      <c r="Z850" s="62"/>
      <c r="AA850" s="62"/>
      <c r="AB850" s="98"/>
      <c r="AC850" s="62"/>
      <c r="AD850" s="62"/>
      <c r="AE850" s="62"/>
      <c r="AF850" s="62"/>
      <c r="AG850" s="66"/>
      <c r="AH850" s="62"/>
      <c r="AI850" s="62"/>
      <c r="AJ850" s="62"/>
      <c r="AK850" s="62"/>
      <c r="AL850" s="66"/>
      <c r="AM850" s="62"/>
      <c r="AN850" s="62"/>
      <c r="AO850" s="62"/>
      <c r="AP850" s="62"/>
      <c r="AQ850" s="66"/>
      <c r="AR850" s="62"/>
      <c r="AS850" s="62"/>
      <c r="AT850" s="62"/>
      <c r="AU850" s="62"/>
      <c r="AV850" s="66"/>
      <c r="AW850" s="97"/>
    </row>
    <row r="851" spans="23:49" x14ac:dyDescent="0.15">
      <c r="W851" s="12"/>
      <c r="X851" s="62"/>
      <c r="Y851" s="62"/>
      <c r="Z851" s="62"/>
      <c r="AA851" s="62"/>
      <c r="AB851" s="98"/>
      <c r="AC851" s="62"/>
      <c r="AD851" s="62"/>
      <c r="AE851" s="62"/>
      <c r="AF851" s="62"/>
      <c r="AG851" s="66"/>
      <c r="AH851" s="62"/>
      <c r="AI851" s="62"/>
      <c r="AJ851" s="62"/>
      <c r="AK851" s="62"/>
      <c r="AL851" s="66"/>
      <c r="AM851" s="62"/>
      <c r="AN851" s="62"/>
      <c r="AO851" s="62"/>
      <c r="AP851" s="62"/>
      <c r="AQ851" s="66"/>
      <c r="AR851" s="62"/>
      <c r="AS851" s="62"/>
      <c r="AT851" s="62"/>
      <c r="AU851" s="62"/>
      <c r="AV851" s="66"/>
      <c r="AW851" s="97"/>
    </row>
    <row r="852" spans="23:49" x14ac:dyDescent="0.15">
      <c r="W852" s="12"/>
      <c r="X852" s="62"/>
      <c r="Y852" s="62"/>
      <c r="Z852" s="62"/>
      <c r="AA852" s="62"/>
      <c r="AB852" s="98"/>
      <c r="AC852" s="62"/>
      <c r="AD852" s="62"/>
      <c r="AE852" s="62"/>
      <c r="AF852" s="62"/>
      <c r="AG852" s="66"/>
      <c r="AH852" s="62"/>
      <c r="AI852" s="62"/>
      <c r="AJ852" s="62"/>
      <c r="AK852" s="62"/>
      <c r="AL852" s="66"/>
      <c r="AM852" s="62"/>
      <c r="AN852" s="62"/>
      <c r="AO852" s="62"/>
      <c r="AP852" s="62"/>
      <c r="AQ852" s="66"/>
      <c r="AR852" s="62"/>
      <c r="AS852" s="62"/>
      <c r="AT852" s="62"/>
      <c r="AU852" s="62"/>
      <c r="AV852" s="66"/>
      <c r="AW852" s="97"/>
    </row>
    <row r="853" spans="23:49" x14ac:dyDescent="0.15">
      <c r="W853" s="12"/>
      <c r="X853" s="62"/>
      <c r="Y853" s="62"/>
      <c r="Z853" s="62"/>
      <c r="AA853" s="62"/>
      <c r="AB853" s="98"/>
      <c r="AC853" s="62"/>
      <c r="AD853" s="62"/>
      <c r="AE853" s="62"/>
      <c r="AF853" s="62"/>
      <c r="AG853" s="66"/>
      <c r="AH853" s="62"/>
      <c r="AI853" s="62"/>
      <c r="AJ853" s="62"/>
      <c r="AK853" s="62"/>
      <c r="AL853" s="66"/>
      <c r="AM853" s="62"/>
      <c r="AN853" s="62"/>
      <c r="AO853" s="62"/>
      <c r="AP853" s="62"/>
      <c r="AQ853" s="66"/>
      <c r="AR853" s="62"/>
      <c r="AS853" s="62"/>
      <c r="AT853" s="62"/>
      <c r="AU853" s="62"/>
      <c r="AV853" s="66"/>
      <c r="AW853" s="97"/>
    </row>
    <row r="854" spans="23:49" x14ac:dyDescent="0.15">
      <c r="W854" s="12"/>
      <c r="X854" s="62"/>
      <c r="Y854" s="62"/>
      <c r="Z854" s="62"/>
      <c r="AA854" s="62"/>
      <c r="AB854" s="98"/>
      <c r="AC854" s="62"/>
      <c r="AD854" s="62"/>
      <c r="AE854" s="62"/>
      <c r="AF854" s="62"/>
      <c r="AG854" s="66"/>
      <c r="AH854" s="62"/>
      <c r="AI854" s="62"/>
      <c r="AJ854" s="62"/>
      <c r="AK854" s="62"/>
      <c r="AL854" s="66"/>
      <c r="AM854" s="62"/>
      <c r="AN854" s="62"/>
      <c r="AO854" s="62"/>
      <c r="AP854" s="62"/>
      <c r="AQ854" s="66"/>
      <c r="AR854" s="62"/>
      <c r="AS854" s="62"/>
      <c r="AT854" s="62"/>
      <c r="AU854" s="62"/>
      <c r="AV854" s="66"/>
      <c r="AW854" s="97"/>
    </row>
    <row r="855" spans="23:49" x14ac:dyDescent="0.15">
      <c r="W855" s="12"/>
      <c r="X855" s="62"/>
      <c r="Y855" s="62"/>
      <c r="Z855" s="62"/>
      <c r="AA855" s="62"/>
      <c r="AB855" s="98"/>
      <c r="AC855" s="62"/>
      <c r="AD855" s="62"/>
      <c r="AE855" s="62"/>
      <c r="AF855" s="62"/>
      <c r="AG855" s="66"/>
      <c r="AH855" s="62"/>
      <c r="AI855" s="62"/>
      <c r="AJ855" s="62"/>
      <c r="AK855" s="62"/>
      <c r="AL855" s="66"/>
      <c r="AM855" s="62"/>
      <c r="AN855" s="62"/>
      <c r="AO855" s="62"/>
      <c r="AP855" s="62"/>
      <c r="AQ855" s="66"/>
      <c r="AR855" s="62"/>
      <c r="AS855" s="62"/>
      <c r="AT855" s="62"/>
      <c r="AU855" s="62"/>
      <c r="AV855" s="66"/>
      <c r="AW855" s="97"/>
    </row>
    <row r="856" spans="23:49" x14ac:dyDescent="0.15">
      <c r="W856" s="12"/>
      <c r="X856" s="62"/>
      <c r="Y856" s="62"/>
      <c r="Z856" s="62"/>
      <c r="AA856" s="62"/>
      <c r="AB856" s="98"/>
      <c r="AC856" s="62"/>
      <c r="AD856" s="62"/>
      <c r="AE856" s="62"/>
      <c r="AF856" s="62"/>
      <c r="AG856" s="66"/>
      <c r="AH856" s="62"/>
      <c r="AI856" s="62"/>
      <c r="AJ856" s="62"/>
      <c r="AK856" s="62"/>
      <c r="AL856" s="66"/>
      <c r="AM856" s="62"/>
      <c r="AN856" s="62"/>
      <c r="AO856" s="62"/>
      <c r="AP856" s="62"/>
      <c r="AQ856" s="66"/>
      <c r="AR856" s="62"/>
      <c r="AS856" s="62"/>
      <c r="AT856" s="62"/>
      <c r="AU856" s="62"/>
      <c r="AV856" s="66"/>
      <c r="AW856" s="97"/>
    </row>
    <row r="857" spans="23:49" x14ac:dyDescent="0.15">
      <c r="W857" s="12"/>
      <c r="X857" s="62"/>
      <c r="Y857" s="62"/>
      <c r="Z857" s="62"/>
      <c r="AA857" s="62"/>
      <c r="AB857" s="98"/>
      <c r="AC857" s="62"/>
      <c r="AD857" s="62"/>
      <c r="AE857" s="62"/>
      <c r="AF857" s="62"/>
      <c r="AG857" s="66"/>
      <c r="AH857" s="62"/>
      <c r="AI857" s="62"/>
      <c r="AJ857" s="62"/>
      <c r="AK857" s="62"/>
      <c r="AL857" s="66"/>
      <c r="AM857" s="62"/>
      <c r="AN857" s="62"/>
      <c r="AO857" s="62"/>
      <c r="AP857" s="62"/>
      <c r="AQ857" s="66"/>
      <c r="AR857" s="62"/>
      <c r="AS857" s="62"/>
      <c r="AT857" s="62"/>
      <c r="AU857" s="62"/>
      <c r="AV857" s="66"/>
      <c r="AW857" s="97"/>
    </row>
    <row r="858" spans="23:49" x14ac:dyDescent="0.15">
      <c r="W858" s="12"/>
      <c r="X858" s="62"/>
      <c r="Y858" s="62"/>
      <c r="Z858" s="62"/>
      <c r="AA858" s="62"/>
      <c r="AB858" s="98"/>
      <c r="AC858" s="62"/>
      <c r="AD858" s="62"/>
      <c r="AE858" s="62"/>
      <c r="AF858" s="62"/>
      <c r="AG858" s="66"/>
      <c r="AH858" s="62"/>
      <c r="AI858" s="62"/>
      <c r="AJ858" s="62"/>
      <c r="AK858" s="62"/>
      <c r="AL858" s="66"/>
      <c r="AM858" s="62"/>
      <c r="AN858" s="62"/>
      <c r="AO858" s="62"/>
      <c r="AP858" s="62"/>
      <c r="AQ858" s="66"/>
      <c r="AR858" s="62"/>
      <c r="AS858" s="62"/>
      <c r="AT858" s="62"/>
      <c r="AU858" s="62"/>
      <c r="AV858" s="66"/>
      <c r="AW858" s="97"/>
    </row>
    <row r="859" spans="23:49" x14ac:dyDescent="0.15">
      <c r="W859" s="12"/>
      <c r="X859" s="62"/>
      <c r="Y859" s="62"/>
      <c r="Z859" s="62"/>
      <c r="AA859" s="62"/>
      <c r="AB859" s="98"/>
      <c r="AC859" s="62"/>
      <c r="AD859" s="62"/>
      <c r="AE859" s="62"/>
      <c r="AF859" s="62"/>
      <c r="AG859" s="66"/>
      <c r="AH859" s="62"/>
      <c r="AI859" s="62"/>
      <c r="AJ859" s="62"/>
      <c r="AK859" s="62"/>
      <c r="AL859" s="66"/>
      <c r="AM859" s="62"/>
      <c r="AN859" s="62"/>
      <c r="AO859" s="62"/>
      <c r="AP859" s="62"/>
      <c r="AQ859" s="66"/>
      <c r="AR859" s="62"/>
      <c r="AS859" s="62"/>
      <c r="AT859" s="62"/>
      <c r="AU859" s="62"/>
      <c r="AV859" s="66"/>
      <c r="AW859" s="97"/>
    </row>
    <row r="860" spans="23:49" x14ac:dyDescent="0.15">
      <c r="W860" s="12"/>
      <c r="X860" s="62"/>
      <c r="Y860" s="62"/>
      <c r="Z860" s="62"/>
      <c r="AA860" s="62"/>
      <c r="AB860" s="98"/>
      <c r="AC860" s="62"/>
      <c r="AD860" s="62"/>
      <c r="AE860" s="62"/>
      <c r="AF860" s="62"/>
      <c r="AG860" s="66"/>
      <c r="AH860" s="62"/>
      <c r="AI860" s="62"/>
      <c r="AJ860" s="62"/>
      <c r="AK860" s="62"/>
      <c r="AL860" s="66"/>
      <c r="AM860" s="62"/>
      <c r="AN860" s="62"/>
      <c r="AO860" s="62"/>
      <c r="AP860" s="62"/>
      <c r="AQ860" s="66"/>
      <c r="AR860" s="62"/>
      <c r="AS860" s="62"/>
      <c r="AT860" s="62"/>
      <c r="AU860" s="62"/>
      <c r="AV860" s="66"/>
      <c r="AW860" s="97"/>
    </row>
    <row r="861" spans="23:49" x14ac:dyDescent="0.15">
      <c r="W861" s="12"/>
      <c r="X861" s="62"/>
      <c r="Y861" s="62"/>
      <c r="Z861" s="62"/>
      <c r="AA861" s="62"/>
      <c r="AB861" s="98"/>
      <c r="AC861" s="62"/>
      <c r="AD861" s="62"/>
      <c r="AE861" s="62"/>
      <c r="AF861" s="62"/>
      <c r="AG861" s="66"/>
      <c r="AH861" s="62"/>
      <c r="AI861" s="62"/>
      <c r="AJ861" s="62"/>
      <c r="AK861" s="62"/>
      <c r="AL861" s="66"/>
      <c r="AM861" s="62"/>
      <c r="AN861" s="62"/>
      <c r="AO861" s="62"/>
      <c r="AP861" s="62"/>
      <c r="AQ861" s="66"/>
      <c r="AR861" s="62"/>
      <c r="AS861" s="62"/>
      <c r="AT861" s="62"/>
      <c r="AU861" s="62"/>
      <c r="AV861" s="66"/>
      <c r="AW861" s="97"/>
    </row>
    <row r="862" spans="23:49" x14ac:dyDescent="0.15">
      <c r="W862" s="12"/>
      <c r="X862" s="62"/>
      <c r="Y862" s="62"/>
      <c r="Z862" s="62"/>
      <c r="AA862" s="62"/>
      <c r="AB862" s="98"/>
      <c r="AC862" s="62"/>
      <c r="AD862" s="62"/>
      <c r="AE862" s="62"/>
      <c r="AF862" s="62"/>
      <c r="AG862" s="66"/>
      <c r="AH862" s="62"/>
      <c r="AI862" s="62"/>
      <c r="AJ862" s="62"/>
      <c r="AK862" s="62"/>
      <c r="AL862" s="66"/>
      <c r="AM862" s="62"/>
      <c r="AN862" s="62"/>
      <c r="AO862" s="62"/>
      <c r="AP862" s="62"/>
      <c r="AQ862" s="66"/>
      <c r="AR862" s="62"/>
      <c r="AS862" s="62"/>
      <c r="AT862" s="62"/>
      <c r="AU862" s="62"/>
      <c r="AV862" s="66"/>
      <c r="AW862" s="97"/>
    </row>
    <row r="863" spans="23:49" x14ac:dyDescent="0.15">
      <c r="W863" s="12"/>
      <c r="X863" s="62"/>
      <c r="Y863" s="62"/>
      <c r="Z863" s="62"/>
      <c r="AA863" s="62"/>
      <c r="AB863" s="98"/>
      <c r="AC863" s="62"/>
      <c r="AD863" s="62"/>
      <c r="AE863" s="62"/>
      <c r="AF863" s="62"/>
      <c r="AG863" s="66"/>
      <c r="AH863" s="62"/>
      <c r="AI863" s="62"/>
      <c r="AJ863" s="62"/>
      <c r="AK863" s="62"/>
      <c r="AL863" s="66"/>
      <c r="AM863" s="62"/>
      <c r="AN863" s="62"/>
      <c r="AO863" s="62"/>
      <c r="AP863" s="62"/>
      <c r="AQ863" s="66"/>
      <c r="AR863" s="62"/>
      <c r="AS863" s="62"/>
      <c r="AT863" s="62"/>
      <c r="AU863" s="62"/>
      <c r="AV863" s="66"/>
      <c r="AW863" s="97"/>
    </row>
    <row r="864" spans="23:49" x14ac:dyDescent="0.15">
      <c r="W864" s="12"/>
      <c r="X864" s="62"/>
      <c r="Y864" s="62"/>
      <c r="Z864" s="62"/>
      <c r="AA864" s="62"/>
      <c r="AB864" s="98"/>
      <c r="AC864" s="62"/>
      <c r="AD864" s="62"/>
      <c r="AE864" s="62"/>
      <c r="AF864" s="62"/>
      <c r="AG864" s="66"/>
      <c r="AH864" s="62"/>
      <c r="AI864" s="62"/>
      <c r="AJ864" s="62"/>
      <c r="AK864" s="62"/>
      <c r="AL864" s="66"/>
      <c r="AM864" s="62"/>
      <c r="AN864" s="62"/>
      <c r="AO864" s="62"/>
      <c r="AP864" s="62"/>
      <c r="AQ864" s="66"/>
      <c r="AR864" s="62"/>
      <c r="AS864" s="62"/>
      <c r="AT864" s="62"/>
      <c r="AU864" s="62"/>
      <c r="AV864" s="66"/>
      <c r="AW864" s="97"/>
    </row>
    <row r="865" spans="23:49" x14ac:dyDescent="0.15">
      <c r="W865" s="12"/>
      <c r="X865" s="62"/>
      <c r="Y865" s="62"/>
      <c r="Z865" s="62"/>
      <c r="AA865" s="62"/>
      <c r="AB865" s="98"/>
      <c r="AC865" s="62"/>
      <c r="AD865" s="62"/>
      <c r="AE865" s="62"/>
      <c r="AF865" s="62"/>
      <c r="AG865" s="66"/>
      <c r="AH865" s="62"/>
      <c r="AI865" s="62"/>
      <c r="AJ865" s="62"/>
      <c r="AK865" s="62"/>
      <c r="AL865" s="66"/>
      <c r="AM865" s="62"/>
      <c r="AN865" s="62"/>
      <c r="AO865" s="62"/>
      <c r="AP865" s="62"/>
      <c r="AQ865" s="66"/>
      <c r="AR865" s="62"/>
      <c r="AS865" s="62"/>
      <c r="AT865" s="62"/>
      <c r="AU865" s="62"/>
      <c r="AV865" s="66"/>
      <c r="AW865" s="97"/>
    </row>
    <row r="866" spans="23:49" x14ac:dyDescent="0.15">
      <c r="W866" s="12"/>
      <c r="X866" s="62"/>
      <c r="Y866" s="62"/>
      <c r="Z866" s="62"/>
      <c r="AA866" s="62"/>
      <c r="AB866" s="98"/>
      <c r="AC866" s="62"/>
      <c r="AD866" s="62"/>
      <c r="AE866" s="62"/>
      <c r="AF866" s="62"/>
      <c r="AG866" s="66"/>
      <c r="AH866" s="62"/>
      <c r="AI866" s="62"/>
      <c r="AJ866" s="62"/>
      <c r="AK866" s="62"/>
      <c r="AL866" s="66"/>
      <c r="AM866" s="62"/>
      <c r="AN866" s="62"/>
      <c r="AO866" s="62"/>
      <c r="AP866" s="62"/>
      <c r="AQ866" s="66"/>
      <c r="AR866" s="62"/>
      <c r="AS866" s="62"/>
      <c r="AT866" s="62"/>
      <c r="AU866" s="62"/>
      <c r="AV866" s="66"/>
      <c r="AW866" s="97"/>
    </row>
    <row r="867" spans="23:49" x14ac:dyDescent="0.15">
      <c r="W867" s="12"/>
      <c r="X867" s="62"/>
      <c r="Y867" s="62"/>
      <c r="Z867" s="62"/>
      <c r="AA867" s="62"/>
      <c r="AB867" s="98"/>
      <c r="AC867" s="62"/>
      <c r="AD867" s="62"/>
      <c r="AE867" s="62"/>
      <c r="AF867" s="62"/>
      <c r="AG867" s="66"/>
      <c r="AH867" s="62"/>
      <c r="AI867" s="62"/>
      <c r="AJ867" s="62"/>
      <c r="AK867" s="62"/>
      <c r="AL867" s="66"/>
      <c r="AM867" s="62"/>
      <c r="AN867" s="62"/>
      <c r="AO867" s="62"/>
      <c r="AP867" s="62"/>
      <c r="AQ867" s="66"/>
      <c r="AR867" s="62"/>
      <c r="AS867" s="62"/>
      <c r="AT867" s="62"/>
      <c r="AU867" s="62"/>
      <c r="AV867" s="66"/>
      <c r="AW867" s="97"/>
    </row>
    <row r="868" spans="23:49" x14ac:dyDescent="0.15">
      <c r="W868" s="12"/>
      <c r="X868" s="62"/>
      <c r="Y868" s="62"/>
      <c r="Z868" s="62"/>
      <c r="AA868" s="62"/>
      <c r="AB868" s="98"/>
      <c r="AC868" s="62"/>
      <c r="AD868" s="62"/>
      <c r="AE868" s="62"/>
      <c r="AF868" s="62"/>
      <c r="AG868" s="66"/>
      <c r="AH868" s="62"/>
      <c r="AI868" s="62"/>
      <c r="AJ868" s="62"/>
      <c r="AK868" s="62"/>
      <c r="AL868" s="66"/>
      <c r="AM868" s="62"/>
      <c r="AN868" s="62"/>
      <c r="AO868" s="62"/>
      <c r="AP868" s="62"/>
      <c r="AQ868" s="66"/>
      <c r="AR868" s="62"/>
      <c r="AS868" s="62"/>
      <c r="AT868" s="62"/>
      <c r="AU868" s="62"/>
      <c r="AV868" s="66"/>
      <c r="AW868" s="97"/>
    </row>
    <row r="869" spans="23:49" x14ac:dyDescent="0.15">
      <c r="W869" s="12"/>
      <c r="X869" s="62"/>
      <c r="Y869" s="62"/>
      <c r="Z869" s="62"/>
      <c r="AA869" s="62"/>
      <c r="AB869" s="98"/>
      <c r="AC869" s="62"/>
      <c r="AD869" s="62"/>
      <c r="AE869" s="62"/>
      <c r="AF869" s="62"/>
      <c r="AG869" s="66"/>
      <c r="AH869" s="62"/>
      <c r="AI869" s="62"/>
      <c r="AJ869" s="62"/>
      <c r="AK869" s="62"/>
      <c r="AL869" s="66"/>
      <c r="AM869" s="62"/>
      <c r="AN869" s="62"/>
      <c r="AO869" s="62"/>
      <c r="AP869" s="62"/>
      <c r="AQ869" s="66"/>
      <c r="AR869" s="62"/>
      <c r="AS869" s="62"/>
      <c r="AT869" s="62"/>
      <c r="AU869" s="62"/>
      <c r="AV869" s="66"/>
      <c r="AW869" s="97"/>
    </row>
    <row r="870" spans="23:49" x14ac:dyDescent="0.15">
      <c r="W870" s="12"/>
      <c r="X870" s="62"/>
      <c r="Y870" s="62"/>
      <c r="Z870" s="62"/>
      <c r="AA870" s="62"/>
      <c r="AB870" s="98"/>
      <c r="AC870" s="62"/>
      <c r="AD870" s="62"/>
      <c r="AE870" s="62"/>
      <c r="AF870" s="62"/>
      <c r="AG870" s="66"/>
      <c r="AH870" s="62"/>
      <c r="AI870" s="62"/>
      <c r="AJ870" s="62"/>
      <c r="AK870" s="62"/>
      <c r="AL870" s="66"/>
      <c r="AM870" s="62"/>
      <c r="AN870" s="62"/>
      <c r="AO870" s="62"/>
      <c r="AP870" s="62"/>
      <c r="AQ870" s="66"/>
      <c r="AR870" s="62"/>
      <c r="AS870" s="62"/>
      <c r="AT870" s="62"/>
      <c r="AU870" s="62"/>
      <c r="AV870" s="66"/>
      <c r="AW870" s="97"/>
    </row>
    <row r="871" spans="23:49" x14ac:dyDescent="0.15">
      <c r="W871" s="12"/>
      <c r="X871" s="62"/>
      <c r="Y871" s="62"/>
      <c r="Z871" s="62"/>
      <c r="AA871" s="62"/>
      <c r="AB871" s="98"/>
      <c r="AC871" s="62"/>
      <c r="AD871" s="62"/>
      <c r="AE871" s="62"/>
      <c r="AF871" s="62"/>
      <c r="AG871" s="66"/>
      <c r="AH871" s="62"/>
      <c r="AI871" s="62"/>
      <c r="AJ871" s="62"/>
      <c r="AK871" s="62"/>
      <c r="AL871" s="66"/>
      <c r="AM871" s="62"/>
      <c r="AN871" s="62"/>
      <c r="AO871" s="62"/>
      <c r="AP871" s="62"/>
      <c r="AQ871" s="66"/>
      <c r="AR871" s="62"/>
      <c r="AS871" s="62"/>
      <c r="AT871" s="62"/>
      <c r="AU871" s="62"/>
      <c r="AV871" s="66"/>
      <c r="AW871" s="97"/>
    </row>
    <row r="872" spans="23:49" x14ac:dyDescent="0.15">
      <c r="W872" s="12"/>
      <c r="X872" s="62"/>
      <c r="Y872" s="62"/>
      <c r="Z872" s="62"/>
      <c r="AA872" s="62"/>
      <c r="AB872" s="98"/>
      <c r="AC872" s="62"/>
      <c r="AD872" s="62"/>
      <c r="AE872" s="62"/>
      <c r="AF872" s="62"/>
      <c r="AG872" s="66"/>
      <c r="AH872" s="62"/>
      <c r="AI872" s="62"/>
      <c r="AJ872" s="62"/>
      <c r="AK872" s="62"/>
      <c r="AL872" s="66"/>
      <c r="AM872" s="62"/>
      <c r="AN872" s="62"/>
      <c r="AO872" s="62"/>
      <c r="AP872" s="62"/>
      <c r="AQ872" s="66"/>
      <c r="AR872" s="62"/>
      <c r="AS872" s="62"/>
      <c r="AT872" s="62"/>
      <c r="AU872" s="62"/>
      <c r="AV872" s="66"/>
      <c r="AW872" s="97"/>
    </row>
    <row r="873" spans="23:49" x14ac:dyDescent="0.15">
      <c r="W873" s="12"/>
      <c r="X873" s="62"/>
      <c r="Y873" s="62"/>
      <c r="Z873" s="62"/>
      <c r="AA873" s="62"/>
      <c r="AB873" s="98"/>
      <c r="AC873" s="62"/>
      <c r="AD873" s="62"/>
      <c r="AE873" s="62"/>
      <c r="AF873" s="62"/>
      <c r="AG873" s="66"/>
      <c r="AH873" s="62"/>
      <c r="AI873" s="62"/>
      <c r="AJ873" s="62"/>
      <c r="AK873" s="62"/>
      <c r="AL873" s="66"/>
      <c r="AM873" s="62"/>
      <c r="AN873" s="62"/>
      <c r="AO873" s="62"/>
      <c r="AP873" s="62"/>
      <c r="AQ873" s="66"/>
      <c r="AR873" s="62"/>
      <c r="AS873" s="62"/>
      <c r="AT873" s="62"/>
      <c r="AU873" s="62"/>
      <c r="AV873" s="66"/>
      <c r="AW873" s="97"/>
    </row>
    <row r="874" spans="23:49" x14ac:dyDescent="0.15">
      <c r="W874" s="12"/>
      <c r="X874" s="62"/>
      <c r="Y874" s="62"/>
      <c r="Z874" s="62"/>
      <c r="AA874" s="62"/>
      <c r="AB874" s="98"/>
      <c r="AC874" s="62"/>
      <c r="AD874" s="62"/>
      <c r="AE874" s="62"/>
      <c r="AF874" s="62"/>
      <c r="AG874" s="66"/>
      <c r="AH874" s="62"/>
      <c r="AI874" s="62"/>
      <c r="AJ874" s="62"/>
      <c r="AK874" s="62"/>
      <c r="AL874" s="66"/>
      <c r="AM874" s="62"/>
      <c r="AN874" s="62"/>
      <c r="AO874" s="62"/>
      <c r="AP874" s="62"/>
      <c r="AQ874" s="66"/>
      <c r="AR874" s="62"/>
      <c r="AS874" s="62"/>
      <c r="AT874" s="62"/>
      <c r="AU874" s="62"/>
      <c r="AV874" s="66"/>
      <c r="AW874" s="97"/>
    </row>
    <row r="875" spans="23:49" x14ac:dyDescent="0.15">
      <c r="W875" s="12"/>
      <c r="X875" s="62"/>
      <c r="Y875" s="62"/>
      <c r="Z875" s="62"/>
      <c r="AA875" s="62"/>
      <c r="AB875" s="98"/>
      <c r="AC875" s="62"/>
      <c r="AD875" s="62"/>
      <c r="AE875" s="62"/>
      <c r="AF875" s="62"/>
      <c r="AG875" s="66"/>
      <c r="AH875" s="62"/>
      <c r="AI875" s="62"/>
      <c r="AJ875" s="62"/>
      <c r="AK875" s="62"/>
      <c r="AL875" s="66"/>
      <c r="AM875" s="62"/>
      <c r="AN875" s="62"/>
      <c r="AO875" s="62"/>
      <c r="AP875" s="62"/>
      <c r="AQ875" s="66"/>
      <c r="AR875" s="62"/>
      <c r="AS875" s="62"/>
      <c r="AT875" s="62"/>
      <c r="AU875" s="62"/>
      <c r="AV875" s="66"/>
      <c r="AW875" s="97"/>
    </row>
    <row r="876" spans="23:49" x14ac:dyDescent="0.15">
      <c r="W876" s="12"/>
      <c r="X876" s="62"/>
      <c r="Y876" s="62"/>
      <c r="Z876" s="62"/>
      <c r="AA876" s="62"/>
      <c r="AB876" s="98"/>
      <c r="AC876" s="62"/>
      <c r="AD876" s="62"/>
      <c r="AE876" s="62"/>
      <c r="AF876" s="62"/>
      <c r="AG876" s="66"/>
      <c r="AH876" s="62"/>
      <c r="AI876" s="62"/>
      <c r="AJ876" s="62"/>
      <c r="AK876" s="62"/>
      <c r="AL876" s="66"/>
      <c r="AM876" s="62"/>
      <c r="AN876" s="62"/>
      <c r="AO876" s="62"/>
      <c r="AP876" s="62"/>
      <c r="AQ876" s="66"/>
      <c r="AR876" s="62"/>
      <c r="AS876" s="62"/>
      <c r="AT876" s="62"/>
      <c r="AU876" s="62"/>
      <c r="AV876" s="66"/>
      <c r="AW876" s="97"/>
    </row>
    <row r="877" spans="23:49" x14ac:dyDescent="0.15">
      <c r="W877" s="12"/>
      <c r="X877" s="62"/>
      <c r="Y877" s="62"/>
      <c r="Z877" s="62"/>
      <c r="AA877" s="62"/>
      <c r="AB877" s="98"/>
      <c r="AC877" s="62"/>
      <c r="AD877" s="62"/>
      <c r="AE877" s="62"/>
      <c r="AF877" s="62"/>
      <c r="AG877" s="66"/>
      <c r="AH877" s="62"/>
      <c r="AI877" s="62"/>
      <c r="AJ877" s="62"/>
      <c r="AK877" s="62"/>
      <c r="AL877" s="66"/>
      <c r="AM877" s="62"/>
      <c r="AN877" s="62"/>
      <c r="AO877" s="62"/>
      <c r="AP877" s="62"/>
      <c r="AQ877" s="66"/>
      <c r="AR877" s="62"/>
      <c r="AS877" s="62"/>
      <c r="AT877" s="62"/>
      <c r="AU877" s="62"/>
      <c r="AV877" s="66"/>
      <c r="AW877" s="97"/>
    </row>
    <row r="878" spans="23:49" x14ac:dyDescent="0.15">
      <c r="W878" s="12"/>
      <c r="X878" s="62"/>
      <c r="Y878" s="62"/>
      <c r="Z878" s="62"/>
      <c r="AA878" s="62"/>
      <c r="AB878" s="98"/>
      <c r="AC878" s="62"/>
      <c r="AD878" s="62"/>
      <c r="AE878" s="62"/>
      <c r="AF878" s="62"/>
      <c r="AG878" s="66"/>
      <c r="AH878" s="62"/>
      <c r="AI878" s="62"/>
      <c r="AJ878" s="62"/>
      <c r="AK878" s="62"/>
      <c r="AL878" s="66"/>
      <c r="AM878" s="62"/>
      <c r="AN878" s="62"/>
      <c r="AO878" s="62"/>
      <c r="AP878" s="62"/>
      <c r="AQ878" s="66"/>
      <c r="AR878" s="62"/>
      <c r="AS878" s="62"/>
      <c r="AT878" s="62"/>
      <c r="AU878" s="62"/>
      <c r="AV878" s="66"/>
      <c r="AW878" s="97"/>
    </row>
    <row r="879" spans="23:49" x14ac:dyDescent="0.15">
      <c r="W879" s="12"/>
      <c r="X879" s="62"/>
      <c r="Y879" s="62"/>
      <c r="Z879" s="62"/>
      <c r="AA879" s="62"/>
      <c r="AB879" s="98"/>
      <c r="AC879" s="62"/>
      <c r="AD879" s="62"/>
      <c r="AE879" s="62"/>
      <c r="AF879" s="62"/>
      <c r="AG879" s="66"/>
      <c r="AH879" s="62"/>
      <c r="AI879" s="62"/>
      <c r="AJ879" s="62"/>
      <c r="AK879" s="62"/>
      <c r="AL879" s="66"/>
      <c r="AM879" s="62"/>
      <c r="AN879" s="62"/>
      <c r="AO879" s="62"/>
      <c r="AP879" s="62"/>
      <c r="AQ879" s="66"/>
      <c r="AR879" s="62"/>
      <c r="AS879" s="62"/>
      <c r="AT879" s="62"/>
      <c r="AU879" s="62"/>
      <c r="AV879" s="66"/>
      <c r="AW879" s="97"/>
    </row>
    <row r="880" spans="23:49" x14ac:dyDescent="0.15">
      <c r="W880" s="12"/>
      <c r="X880" s="62"/>
      <c r="Y880" s="62"/>
      <c r="Z880" s="62"/>
      <c r="AA880" s="62"/>
      <c r="AB880" s="98"/>
      <c r="AC880" s="62"/>
      <c r="AD880" s="62"/>
      <c r="AE880" s="62"/>
      <c r="AF880" s="62"/>
      <c r="AG880" s="66"/>
      <c r="AH880" s="62"/>
      <c r="AI880" s="62"/>
      <c r="AJ880" s="62"/>
      <c r="AK880" s="62"/>
      <c r="AL880" s="66"/>
      <c r="AM880" s="62"/>
      <c r="AN880" s="62"/>
      <c r="AO880" s="62"/>
      <c r="AP880" s="62"/>
      <c r="AQ880" s="66"/>
      <c r="AR880" s="62"/>
      <c r="AS880" s="62"/>
      <c r="AT880" s="62"/>
      <c r="AU880" s="62"/>
      <c r="AV880" s="66"/>
      <c r="AW880" s="97"/>
    </row>
    <row r="881" spans="23:49" x14ac:dyDescent="0.15">
      <c r="W881" s="12"/>
      <c r="X881" s="62"/>
      <c r="Y881" s="62"/>
      <c r="Z881" s="62"/>
      <c r="AA881" s="62"/>
      <c r="AB881" s="98"/>
      <c r="AC881" s="62"/>
      <c r="AD881" s="62"/>
      <c r="AE881" s="62"/>
      <c r="AF881" s="62"/>
      <c r="AG881" s="66"/>
      <c r="AH881" s="62"/>
      <c r="AI881" s="62"/>
      <c r="AJ881" s="62"/>
      <c r="AK881" s="62"/>
      <c r="AL881" s="66"/>
      <c r="AM881" s="62"/>
      <c r="AN881" s="62"/>
      <c r="AO881" s="62"/>
      <c r="AP881" s="62"/>
      <c r="AQ881" s="66"/>
      <c r="AR881" s="62"/>
      <c r="AS881" s="62"/>
      <c r="AT881" s="62"/>
      <c r="AU881" s="62"/>
      <c r="AV881" s="66"/>
      <c r="AW881" s="97"/>
    </row>
    <row r="882" spans="23:49" x14ac:dyDescent="0.15">
      <c r="W882" s="12"/>
      <c r="X882" s="62"/>
      <c r="Y882" s="62"/>
      <c r="Z882" s="62"/>
      <c r="AA882" s="62"/>
      <c r="AB882" s="98"/>
      <c r="AC882" s="62"/>
      <c r="AD882" s="62"/>
      <c r="AE882" s="62"/>
      <c r="AF882" s="62"/>
      <c r="AG882" s="66"/>
      <c r="AH882" s="62"/>
      <c r="AI882" s="62"/>
      <c r="AJ882" s="62"/>
      <c r="AK882" s="62"/>
      <c r="AL882" s="66"/>
      <c r="AM882" s="62"/>
      <c r="AN882" s="62"/>
      <c r="AO882" s="62"/>
      <c r="AP882" s="62"/>
      <c r="AQ882" s="66"/>
      <c r="AR882" s="62"/>
      <c r="AS882" s="62"/>
      <c r="AT882" s="62"/>
      <c r="AU882" s="62"/>
      <c r="AV882" s="66"/>
      <c r="AW882" s="97"/>
    </row>
    <row r="883" spans="23:49" x14ac:dyDescent="0.15">
      <c r="W883" s="12"/>
      <c r="X883" s="62"/>
      <c r="Y883" s="62"/>
      <c r="Z883" s="62"/>
      <c r="AA883" s="62"/>
      <c r="AB883" s="98"/>
      <c r="AC883" s="62"/>
      <c r="AD883" s="62"/>
      <c r="AE883" s="62"/>
      <c r="AF883" s="62"/>
      <c r="AG883" s="66"/>
      <c r="AH883" s="62"/>
      <c r="AI883" s="62"/>
      <c r="AJ883" s="62"/>
      <c r="AK883" s="62"/>
      <c r="AL883" s="66"/>
      <c r="AM883" s="62"/>
      <c r="AN883" s="62"/>
      <c r="AO883" s="62"/>
      <c r="AP883" s="62"/>
      <c r="AQ883" s="66"/>
      <c r="AR883" s="62"/>
      <c r="AS883" s="62"/>
      <c r="AT883" s="62"/>
      <c r="AU883" s="62"/>
      <c r="AV883" s="66"/>
      <c r="AW883" s="97"/>
    </row>
    <row r="884" spans="23:49" x14ac:dyDescent="0.15">
      <c r="W884" s="12"/>
      <c r="X884" s="62"/>
      <c r="Y884" s="62"/>
      <c r="Z884" s="62"/>
      <c r="AA884" s="62"/>
      <c r="AB884" s="98"/>
      <c r="AC884" s="62"/>
      <c r="AD884" s="62"/>
      <c r="AE884" s="62"/>
      <c r="AF884" s="62"/>
      <c r="AG884" s="66"/>
      <c r="AH884" s="62"/>
      <c r="AI884" s="62"/>
      <c r="AJ884" s="62"/>
      <c r="AK884" s="62"/>
      <c r="AL884" s="66"/>
      <c r="AM884" s="62"/>
      <c r="AN884" s="62"/>
      <c r="AO884" s="62"/>
      <c r="AP884" s="62"/>
      <c r="AQ884" s="66"/>
      <c r="AR884" s="62"/>
      <c r="AS884" s="62"/>
      <c r="AT884" s="62"/>
      <c r="AU884" s="62"/>
      <c r="AV884" s="66"/>
      <c r="AW884" s="97"/>
    </row>
    <row r="885" spans="23:49" x14ac:dyDescent="0.15">
      <c r="W885" s="12"/>
      <c r="X885" s="62"/>
      <c r="Y885" s="62"/>
      <c r="Z885" s="62"/>
      <c r="AA885" s="62"/>
      <c r="AB885" s="98"/>
      <c r="AC885" s="62"/>
      <c r="AD885" s="62"/>
      <c r="AE885" s="62"/>
      <c r="AF885" s="62"/>
      <c r="AG885" s="66"/>
      <c r="AH885" s="62"/>
      <c r="AI885" s="62"/>
      <c r="AJ885" s="62"/>
      <c r="AK885" s="62"/>
      <c r="AL885" s="66"/>
      <c r="AM885" s="62"/>
      <c r="AN885" s="62"/>
      <c r="AO885" s="62"/>
      <c r="AP885" s="62"/>
      <c r="AQ885" s="66"/>
      <c r="AR885" s="62"/>
      <c r="AS885" s="62"/>
      <c r="AT885" s="62"/>
      <c r="AU885" s="62"/>
      <c r="AV885" s="66"/>
      <c r="AW885" s="97"/>
    </row>
    <row r="886" spans="23:49" x14ac:dyDescent="0.15">
      <c r="W886" s="12"/>
      <c r="X886" s="62"/>
      <c r="Y886" s="62"/>
      <c r="Z886" s="62"/>
      <c r="AA886" s="62"/>
      <c r="AB886" s="98"/>
      <c r="AC886" s="62"/>
      <c r="AD886" s="62"/>
      <c r="AE886" s="62"/>
      <c r="AF886" s="62"/>
      <c r="AG886" s="66"/>
      <c r="AH886" s="62"/>
      <c r="AI886" s="62"/>
      <c r="AJ886" s="62"/>
      <c r="AK886" s="62"/>
      <c r="AL886" s="66"/>
      <c r="AM886" s="62"/>
      <c r="AN886" s="62"/>
      <c r="AO886" s="62"/>
      <c r="AP886" s="62"/>
      <c r="AQ886" s="66"/>
      <c r="AR886" s="62"/>
      <c r="AS886" s="62"/>
      <c r="AT886" s="62"/>
      <c r="AU886" s="62"/>
      <c r="AV886" s="66"/>
      <c r="AW886" s="97"/>
    </row>
    <row r="887" spans="23:49" x14ac:dyDescent="0.15">
      <c r="W887" s="12"/>
      <c r="X887" s="62"/>
      <c r="Y887" s="62"/>
      <c r="Z887" s="62"/>
      <c r="AA887" s="62"/>
      <c r="AB887" s="98"/>
      <c r="AC887" s="62"/>
      <c r="AD887" s="62"/>
      <c r="AE887" s="62"/>
      <c r="AF887" s="62"/>
      <c r="AG887" s="66"/>
      <c r="AH887" s="62"/>
      <c r="AI887" s="62"/>
      <c r="AJ887" s="62"/>
      <c r="AK887" s="62"/>
      <c r="AL887" s="66"/>
      <c r="AM887" s="62"/>
      <c r="AN887" s="62"/>
      <c r="AO887" s="62"/>
      <c r="AP887" s="62"/>
      <c r="AQ887" s="66"/>
      <c r="AR887" s="62"/>
      <c r="AS887" s="62"/>
      <c r="AT887" s="62"/>
      <c r="AU887" s="62"/>
      <c r="AV887" s="66"/>
      <c r="AW887" s="97"/>
    </row>
    <row r="888" spans="23:49" x14ac:dyDescent="0.15">
      <c r="W888" s="12"/>
      <c r="X888" s="62"/>
      <c r="Y888" s="62"/>
      <c r="Z888" s="62"/>
      <c r="AA888" s="62"/>
      <c r="AB888" s="98"/>
      <c r="AC888" s="62"/>
      <c r="AD888" s="62"/>
      <c r="AE888" s="62"/>
      <c r="AF888" s="62"/>
      <c r="AG888" s="66"/>
      <c r="AH888" s="62"/>
      <c r="AI888" s="62"/>
      <c r="AJ888" s="62"/>
      <c r="AK888" s="62"/>
      <c r="AL888" s="66"/>
      <c r="AM888" s="62"/>
      <c r="AN888" s="62"/>
      <c r="AO888" s="62"/>
      <c r="AP888" s="62"/>
      <c r="AQ888" s="66"/>
      <c r="AR888" s="62"/>
      <c r="AS888" s="62"/>
      <c r="AT888" s="62"/>
      <c r="AU888" s="62"/>
      <c r="AV888" s="66"/>
      <c r="AW888" s="97"/>
    </row>
    <row r="889" spans="23:49" x14ac:dyDescent="0.15">
      <c r="W889" s="12"/>
      <c r="X889" s="62"/>
      <c r="Y889" s="62"/>
      <c r="Z889" s="62"/>
      <c r="AA889" s="62"/>
      <c r="AB889" s="98"/>
      <c r="AC889" s="62"/>
      <c r="AD889" s="62"/>
      <c r="AE889" s="62"/>
      <c r="AF889" s="62"/>
      <c r="AG889" s="66"/>
      <c r="AH889" s="62"/>
      <c r="AI889" s="62"/>
      <c r="AJ889" s="62"/>
      <c r="AK889" s="62"/>
      <c r="AL889" s="66"/>
      <c r="AM889" s="62"/>
      <c r="AN889" s="62"/>
      <c r="AO889" s="62"/>
      <c r="AP889" s="62"/>
      <c r="AQ889" s="66"/>
      <c r="AR889" s="62"/>
      <c r="AS889" s="62"/>
      <c r="AT889" s="62"/>
      <c r="AU889" s="62"/>
      <c r="AV889" s="66"/>
      <c r="AW889" s="97"/>
    </row>
    <row r="890" spans="23:49" x14ac:dyDescent="0.15">
      <c r="W890" s="12"/>
      <c r="X890" s="62"/>
      <c r="Y890" s="62"/>
      <c r="Z890" s="62"/>
      <c r="AA890" s="62"/>
      <c r="AB890" s="98"/>
      <c r="AC890" s="62"/>
      <c r="AD890" s="62"/>
      <c r="AE890" s="62"/>
      <c r="AF890" s="62"/>
      <c r="AG890" s="66"/>
      <c r="AH890" s="62"/>
      <c r="AI890" s="62"/>
      <c r="AJ890" s="62"/>
      <c r="AK890" s="62"/>
      <c r="AL890" s="66"/>
      <c r="AM890" s="62"/>
      <c r="AN890" s="62"/>
      <c r="AO890" s="62"/>
      <c r="AP890" s="62"/>
      <c r="AQ890" s="66"/>
      <c r="AR890" s="62"/>
      <c r="AS890" s="62"/>
      <c r="AT890" s="62"/>
      <c r="AU890" s="62"/>
      <c r="AV890" s="66"/>
      <c r="AW890" s="97"/>
    </row>
    <row r="891" spans="23:49" x14ac:dyDescent="0.15">
      <c r="W891" s="12"/>
      <c r="X891" s="62"/>
      <c r="Y891" s="62"/>
      <c r="Z891" s="62"/>
      <c r="AA891" s="62"/>
      <c r="AB891" s="98"/>
      <c r="AC891" s="62"/>
      <c r="AD891" s="62"/>
      <c r="AE891" s="62"/>
      <c r="AF891" s="62"/>
      <c r="AG891" s="66"/>
      <c r="AH891" s="62"/>
      <c r="AI891" s="62"/>
      <c r="AJ891" s="62"/>
      <c r="AK891" s="62"/>
      <c r="AL891" s="66"/>
      <c r="AM891" s="62"/>
      <c r="AN891" s="62"/>
      <c r="AO891" s="62"/>
      <c r="AP891" s="62"/>
      <c r="AQ891" s="66"/>
      <c r="AR891" s="62"/>
      <c r="AS891" s="62"/>
      <c r="AT891" s="62"/>
      <c r="AU891" s="62"/>
      <c r="AV891" s="66"/>
      <c r="AW891" s="97"/>
    </row>
    <row r="892" spans="23:49" x14ac:dyDescent="0.15">
      <c r="W892" s="12"/>
      <c r="X892" s="62"/>
      <c r="Y892" s="62"/>
      <c r="Z892" s="62"/>
      <c r="AA892" s="62"/>
      <c r="AB892" s="98"/>
      <c r="AC892" s="62"/>
      <c r="AD892" s="62"/>
      <c r="AE892" s="62"/>
      <c r="AF892" s="62"/>
      <c r="AG892" s="66"/>
      <c r="AH892" s="62"/>
      <c r="AI892" s="62"/>
      <c r="AJ892" s="62"/>
      <c r="AK892" s="62"/>
      <c r="AL892" s="66"/>
      <c r="AM892" s="62"/>
      <c r="AN892" s="62"/>
      <c r="AO892" s="62"/>
      <c r="AP892" s="62"/>
      <c r="AQ892" s="66"/>
      <c r="AR892" s="62"/>
      <c r="AS892" s="62"/>
      <c r="AT892" s="62"/>
      <c r="AU892" s="62"/>
      <c r="AV892" s="66"/>
      <c r="AW892" s="97"/>
    </row>
    <row r="893" spans="23:49" x14ac:dyDescent="0.15">
      <c r="W893" s="12"/>
      <c r="X893" s="62"/>
      <c r="Y893" s="62"/>
      <c r="Z893" s="62"/>
      <c r="AA893" s="62"/>
      <c r="AB893" s="98"/>
      <c r="AC893" s="62"/>
      <c r="AD893" s="62"/>
      <c r="AE893" s="62"/>
      <c r="AF893" s="62"/>
      <c r="AG893" s="66"/>
      <c r="AH893" s="62"/>
      <c r="AI893" s="62"/>
      <c r="AJ893" s="62"/>
      <c r="AK893" s="62"/>
      <c r="AL893" s="66"/>
      <c r="AM893" s="62"/>
      <c r="AN893" s="62"/>
      <c r="AO893" s="62"/>
      <c r="AP893" s="62"/>
      <c r="AQ893" s="66"/>
      <c r="AR893" s="62"/>
      <c r="AS893" s="62"/>
      <c r="AT893" s="62"/>
      <c r="AU893" s="62"/>
      <c r="AV893" s="66"/>
      <c r="AW893" s="97"/>
    </row>
    <row r="894" spans="23:49" x14ac:dyDescent="0.15">
      <c r="W894" s="12"/>
      <c r="X894" s="62"/>
      <c r="Y894" s="62"/>
      <c r="Z894" s="62"/>
      <c r="AA894" s="62"/>
      <c r="AB894" s="98"/>
      <c r="AC894" s="62"/>
      <c r="AD894" s="62"/>
      <c r="AE894" s="62"/>
      <c r="AF894" s="62"/>
      <c r="AG894" s="66"/>
      <c r="AH894" s="62"/>
      <c r="AI894" s="62"/>
      <c r="AJ894" s="62"/>
      <c r="AK894" s="62"/>
      <c r="AL894" s="66"/>
      <c r="AM894" s="62"/>
      <c r="AN894" s="62"/>
      <c r="AO894" s="62"/>
      <c r="AP894" s="62"/>
      <c r="AQ894" s="66"/>
      <c r="AR894" s="62"/>
      <c r="AS894" s="62"/>
      <c r="AT894" s="62"/>
      <c r="AU894" s="62"/>
      <c r="AV894" s="66"/>
      <c r="AW894" s="97"/>
    </row>
    <row r="895" spans="23:49" x14ac:dyDescent="0.15">
      <c r="W895" s="12"/>
      <c r="X895" s="62"/>
      <c r="Y895" s="62"/>
      <c r="Z895" s="62"/>
      <c r="AA895" s="62"/>
      <c r="AB895" s="98"/>
      <c r="AC895" s="62"/>
      <c r="AD895" s="62"/>
      <c r="AE895" s="62"/>
      <c r="AF895" s="62"/>
      <c r="AG895" s="66"/>
      <c r="AH895" s="62"/>
      <c r="AI895" s="62"/>
      <c r="AJ895" s="62"/>
      <c r="AK895" s="62"/>
      <c r="AL895" s="66"/>
      <c r="AM895" s="62"/>
      <c r="AN895" s="62"/>
      <c r="AO895" s="62"/>
      <c r="AP895" s="62"/>
      <c r="AQ895" s="66"/>
      <c r="AR895" s="62"/>
      <c r="AS895" s="62"/>
      <c r="AT895" s="62"/>
      <c r="AU895" s="62"/>
      <c r="AV895" s="66"/>
      <c r="AW895" s="97"/>
    </row>
    <row r="896" spans="23:49" x14ac:dyDescent="0.15">
      <c r="W896" s="12"/>
      <c r="X896" s="62"/>
      <c r="Y896" s="62"/>
      <c r="Z896" s="62"/>
      <c r="AA896" s="62"/>
      <c r="AB896" s="98"/>
      <c r="AC896" s="62"/>
      <c r="AD896" s="62"/>
      <c r="AE896" s="62"/>
      <c r="AF896" s="62"/>
      <c r="AG896" s="66"/>
      <c r="AH896" s="62"/>
      <c r="AI896" s="62"/>
      <c r="AJ896" s="62"/>
      <c r="AK896" s="62"/>
      <c r="AL896" s="66"/>
      <c r="AM896" s="62"/>
      <c r="AN896" s="62"/>
      <c r="AO896" s="62"/>
      <c r="AP896" s="62"/>
      <c r="AQ896" s="66"/>
      <c r="AR896" s="62"/>
      <c r="AS896" s="62"/>
      <c r="AT896" s="62"/>
      <c r="AU896" s="62"/>
      <c r="AV896" s="66"/>
      <c r="AW896" s="97"/>
    </row>
    <row r="897" spans="23:49" x14ac:dyDescent="0.15">
      <c r="W897" s="12"/>
      <c r="X897" s="62"/>
      <c r="Y897" s="62"/>
      <c r="Z897" s="62"/>
      <c r="AA897" s="62"/>
      <c r="AB897" s="98"/>
      <c r="AC897" s="62"/>
      <c r="AD897" s="62"/>
      <c r="AE897" s="62"/>
      <c r="AF897" s="62"/>
      <c r="AG897" s="66"/>
      <c r="AH897" s="62"/>
      <c r="AI897" s="62"/>
      <c r="AJ897" s="62"/>
      <c r="AK897" s="62"/>
      <c r="AL897" s="66"/>
      <c r="AM897" s="62"/>
      <c r="AN897" s="62"/>
      <c r="AO897" s="62"/>
      <c r="AP897" s="62"/>
      <c r="AQ897" s="66"/>
      <c r="AR897" s="62"/>
      <c r="AS897" s="62"/>
      <c r="AT897" s="62"/>
      <c r="AU897" s="62"/>
      <c r="AV897" s="66"/>
      <c r="AW897" s="97"/>
    </row>
    <row r="898" spans="23:49" x14ac:dyDescent="0.15">
      <c r="W898" s="12"/>
      <c r="X898" s="62"/>
      <c r="Y898" s="62"/>
      <c r="Z898" s="62"/>
      <c r="AA898" s="62"/>
      <c r="AB898" s="98"/>
      <c r="AC898" s="62"/>
      <c r="AD898" s="62"/>
      <c r="AE898" s="62"/>
      <c r="AF898" s="62"/>
      <c r="AG898" s="66"/>
      <c r="AH898" s="62"/>
      <c r="AI898" s="62"/>
      <c r="AJ898" s="62"/>
      <c r="AK898" s="62"/>
      <c r="AL898" s="66"/>
      <c r="AM898" s="62"/>
      <c r="AN898" s="62"/>
      <c r="AO898" s="62"/>
      <c r="AP898" s="62"/>
      <c r="AQ898" s="66"/>
      <c r="AR898" s="62"/>
      <c r="AS898" s="62"/>
      <c r="AT898" s="62"/>
      <c r="AU898" s="62"/>
      <c r="AV898" s="66"/>
      <c r="AW898" s="97"/>
    </row>
    <row r="899" spans="23:49" x14ac:dyDescent="0.15">
      <c r="W899" s="12"/>
      <c r="X899" s="62"/>
      <c r="Y899" s="62"/>
      <c r="Z899" s="62"/>
      <c r="AA899" s="62"/>
      <c r="AB899" s="98"/>
      <c r="AC899" s="62"/>
      <c r="AD899" s="62"/>
      <c r="AE899" s="62"/>
      <c r="AF899" s="62"/>
      <c r="AG899" s="66"/>
      <c r="AH899" s="62"/>
      <c r="AI899" s="62"/>
      <c r="AJ899" s="62"/>
      <c r="AK899" s="62"/>
      <c r="AL899" s="66"/>
      <c r="AM899" s="62"/>
      <c r="AN899" s="62"/>
      <c r="AO899" s="62"/>
      <c r="AP899" s="62"/>
      <c r="AQ899" s="66"/>
      <c r="AR899" s="62"/>
      <c r="AS899" s="62"/>
      <c r="AT899" s="62"/>
      <c r="AU899" s="62"/>
      <c r="AV899" s="66"/>
      <c r="AW899" s="97"/>
    </row>
    <row r="900" spans="23:49" x14ac:dyDescent="0.15">
      <c r="W900" s="12"/>
      <c r="X900" s="62"/>
      <c r="Y900" s="62"/>
      <c r="Z900" s="62"/>
      <c r="AA900" s="62"/>
      <c r="AB900" s="98"/>
      <c r="AC900" s="62"/>
      <c r="AD900" s="62"/>
      <c r="AE900" s="62"/>
      <c r="AF900" s="62"/>
      <c r="AG900" s="66"/>
      <c r="AH900" s="62"/>
      <c r="AI900" s="62"/>
      <c r="AJ900" s="62"/>
      <c r="AK900" s="62"/>
      <c r="AL900" s="66"/>
      <c r="AM900" s="62"/>
      <c r="AN900" s="62"/>
      <c r="AO900" s="62"/>
      <c r="AP900" s="62"/>
      <c r="AQ900" s="66"/>
      <c r="AR900" s="62"/>
      <c r="AS900" s="62"/>
      <c r="AT900" s="62"/>
      <c r="AU900" s="62"/>
      <c r="AV900" s="66"/>
      <c r="AW900" s="97"/>
    </row>
    <row r="901" spans="23:49" x14ac:dyDescent="0.15">
      <c r="W901" s="12"/>
      <c r="X901" s="62"/>
      <c r="Y901" s="62"/>
      <c r="Z901" s="62"/>
      <c r="AA901" s="62"/>
      <c r="AB901" s="98"/>
      <c r="AC901" s="62"/>
      <c r="AD901" s="62"/>
      <c r="AE901" s="62"/>
      <c r="AF901" s="62"/>
      <c r="AG901" s="66"/>
      <c r="AH901" s="62"/>
      <c r="AI901" s="62"/>
      <c r="AJ901" s="62"/>
      <c r="AK901" s="62"/>
      <c r="AL901" s="66"/>
      <c r="AM901" s="62"/>
      <c r="AN901" s="62"/>
      <c r="AO901" s="62"/>
      <c r="AP901" s="62"/>
      <c r="AQ901" s="66"/>
      <c r="AR901" s="62"/>
      <c r="AS901" s="62"/>
      <c r="AT901" s="62"/>
      <c r="AU901" s="62"/>
      <c r="AV901" s="66"/>
      <c r="AW901" s="97"/>
    </row>
    <row r="902" spans="23:49" x14ac:dyDescent="0.15">
      <c r="W902" s="12"/>
      <c r="X902" s="62"/>
      <c r="Y902" s="62"/>
      <c r="Z902" s="62"/>
      <c r="AA902" s="62"/>
      <c r="AB902" s="98"/>
      <c r="AC902" s="62"/>
      <c r="AD902" s="62"/>
      <c r="AE902" s="62"/>
      <c r="AF902" s="62"/>
      <c r="AG902" s="66"/>
      <c r="AH902" s="62"/>
      <c r="AI902" s="62"/>
      <c r="AJ902" s="62"/>
      <c r="AK902" s="62"/>
      <c r="AL902" s="66"/>
      <c r="AM902" s="62"/>
      <c r="AN902" s="62"/>
      <c r="AO902" s="62"/>
      <c r="AP902" s="62"/>
      <c r="AQ902" s="66"/>
      <c r="AR902" s="62"/>
      <c r="AS902" s="62"/>
      <c r="AT902" s="62"/>
      <c r="AU902" s="62"/>
      <c r="AV902" s="66"/>
      <c r="AW902" s="97"/>
    </row>
    <row r="903" spans="23:49" x14ac:dyDescent="0.15">
      <c r="W903" s="12"/>
      <c r="X903" s="62"/>
      <c r="Y903" s="62"/>
      <c r="Z903" s="62"/>
      <c r="AA903" s="62"/>
      <c r="AB903" s="98"/>
      <c r="AC903" s="62"/>
      <c r="AD903" s="62"/>
      <c r="AE903" s="62"/>
      <c r="AF903" s="62"/>
      <c r="AG903" s="66"/>
      <c r="AH903" s="62"/>
      <c r="AI903" s="62"/>
      <c r="AJ903" s="62"/>
      <c r="AK903" s="62"/>
      <c r="AL903" s="66"/>
      <c r="AM903" s="62"/>
      <c r="AN903" s="62"/>
      <c r="AO903" s="62"/>
      <c r="AP903" s="62"/>
      <c r="AQ903" s="66"/>
      <c r="AR903" s="62"/>
      <c r="AS903" s="62"/>
      <c r="AT903" s="62"/>
      <c r="AU903" s="62"/>
      <c r="AV903" s="66"/>
      <c r="AW903" s="97"/>
    </row>
    <row r="904" spans="23:49" x14ac:dyDescent="0.15">
      <c r="W904" s="12"/>
      <c r="X904" s="62"/>
      <c r="Y904" s="62"/>
      <c r="Z904" s="62"/>
      <c r="AA904" s="62"/>
      <c r="AB904" s="98"/>
      <c r="AC904" s="62"/>
      <c r="AD904" s="62"/>
      <c r="AE904" s="62"/>
      <c r="AF904" s="62"/>
      <c r="AG904" s="66"/>
      <c r="AH904" s="62"/>
      <c r="AI904" s="62"/>
      <c r="AJ904" s="62"/>
      <c r="AK904" s="62"/>
      <c r="AL904" s="66"/>
      <c r="AM904" s="62"/>
      <c r="AN904" s="62"/>
      <c r="AO904" s="62"/>
      <c r="AP904" s="62"/>
      <c r="AQ904" s="66"/>
      <c r="AR904" s="62"/>
      <c r="AS904" s="62"/>
      <c r="AT904" s="62"/>
      <c r="AU904" s="62"/>
      <c r="AV904" s="66"/>
      <c r="AW904" s="97"/>
    </row>
    <row r="905" spans="23:49" x14ac:dyDescent="0.15">
      <c r="W905" s="12"/>
      <c r="X905" s="62"/>
      <c r="Y905" s="62"/>
      <c r="Z905" s="62"/>
      <c r="AA905" s="62"/>
      <c r="AB905" s="98"/>
      <c r="AC905" s="62"/>
      <c r="AD905" s="62"/>
      <c r="AE905" s="62"/>
      <c r="AF905" s="62"/>
      <c r="AG905" s="66"/>
      <c r="AH905" s="62"/>
      <c r="AI905" s="62"/>
      <c r="AJ905" s="62"/>
      <c r="AK905" s="62"/>
      <c r="AL905" s="66"/>
      <c r="AM905" s="62"/>
      <c r="AN905" s="62"/>
      <c r="AO905" s="62"/>
      <c r="AP905" s="62"/>
      <c r="AQ905" s="66"/>
      <c r="AR905" s="62"/>
      <c r="AS905" s="62"/>
      <c r="AT905" s="62"/>
      <c r="AU905" s="62"/>
      <c r="AV905" s="66"/>
      <c r="AW905" s="97"/>
    </row>
    <row r="906" spans="23:49" x14ac:dyDescent="0.15">
      <c r="W906" s="12"/>
      <c r="X906" s="62"/>
      <c r="Y906" s="62"/>
      <c r="Z906" s="62"/>
      <c r="AA906" s="62"/>
      <c r="AB906" s="98"/>
      <c r="AC906" s="62"/>
      <c r="AD906" s="62"/>
      <c r="AE906" s="62"/>
      <c r="AF906" s="62"/>
      <c r="AG906" s="66"/>
      <c r="AH906" s="62"/>
      <c r="AI906" s="62"/>
      <c r="AJ906" s="62"/>
      <c r="AK906" s="62"/>
      <c r="AL906" s="66"/>
      <c r="AM906" s="62"/>
      <c r="AN906" s="62"/>
      <c r="AO906" s="62"/>
      <c r="AP906" s="62"/>
      <c r="AQ906" s="66"/>
      <c r="AR906" s="62"/>
      <c r="AS906" s="62"/>
      <c r="AT906" s="62"/>
      <c r="AU906" s="62"/>
      <c r="AV906" s="66"/>
      <c r="AW906" s="97"/>
    </row>
    <row r="907" spans="23:49" x14ac:dyDescent="0.15">
      <c r="W907" s="12"/>
      <c r="X907" s="62"/>
      <c r="Y907" s="62"/>
      <c r="Z907" s="62"/>
      <c r="AA907" s="62"/>
      <c r="AB907" s="98"/>
      <c r="AC907" s="62"/>
      <c r="AD907" s="62"/>
      <c r="AE907" s="62"/>
      <c r="AF907" s="62"/>
      <c r="AG907" s="66"/>
      <c r="AH907" s="62"/>
      <c r="AI907" s="62"/>
      <c r="AJ907" s="62"/>
      <c r="AK907" s="62"/>
      <c r="AL907" s="66"/>
      <c r="AM907" s="62"/>
      <c r="AN907" s="62"/>
      <c r="AO907" s="62"/>
      <c r="AP907" s="62"/>
      <c r="AQ907" s="66"/>
      <c r="AR907" s="62"/>
      <c r="AS907" s="62"/>
      <c r="AT907" s="62"/>
      <c r="AU907" s="62"/>
      <c r="AV907" s="66"/>
      <c r="AW907" s="97"/>
    </row>
    <row r="908" spans="23:49" x14ac:dyDescent="0.15">
      <c r="W908" s="12"/>
      <c r="X908" s="62"/>
      <c r="Y908" s="62"/>
      <c r="Z908" s="62"/>
      <c r="AA908" s="62"/>
      <c r="AB908" s="98"/>
      <c r="AC908" s="62"/>
      <c r="AD908" s="62"/>
      <c r="AE908" s="62"/>
      <c r="AF908" s="62"/>
      <c r="AG908" s="66"/>
      <c r="AH908" s="62"/>
      <c r="AI908" s="62"/>
      <c r="AJ908" s="62"/>
      <c r="AK908" s="62"/>
      <c r="AL908" s="66"/>
      <c r="AM908" s="62"/>
      <c r="AN908" s="62"/>
      <c r="AO908" s="62"/>
      <c r="AP908" s="62"/>
      <c r="AQ908" s="66"/>
      <c r="AR908" s="62"/>
      <c r="AS908" s="62"/>
      <c r="AT908" s="62"/>
      <c r="AU908" s="62"/>
      <c r="AV908" s="66"/>
      <c r="AW908" s="97"/>
    </row>
    <row r="909" spans="23:49" x14ac:dyDescent="0.15">
      <c r="W909" s="12"/>
      <c r="X909" s="62"/>
      <c r="Y909" s="62"/>
      <c r="Z909" s="62"/>
      <c r="AA909" s="62"/>
      <c r="AB909" s="98"/>
      <c r="AC909" s="62"/>
      <c r="AD909" s="62"/>
      <c r="AE909" s="62"/>
      <c r="AF909" s="62"/>
      <c r="AG909" s="66"/>
      <c r="AH909" s="62"/>
      <c r="AI909" s="62"/>
      <c r="AJ909" s="62"/>
      <c r="AK909" s="62"/>
      <c r="AL909" s="66"/>
      <c r="AM909" s="62"/>
      <c r="AN909" s="62"/>
      <c r="AO909" s="62"/>
      <c r="AP909" s="62"/>
      <c r="AQ909" s="66"/>
      <c r="AR909" s="62"/>
      <c r="AS909" s="62"/>
      <c r="AT909" s="62"/>
      <c r="AU909" s="62"/>
      <c r="AV909" s="66"/>
      <c r="AW909" s="97"/>
    </row>
    <row r="910" spans="23:49" x14ac:dyDescent="0.15">
      <c r="W910" s="12"/>
      <c r="X910" s="62"/>
      <c r="Y910" s="62"/>
      <c r="Z910" s="62"/>
      <c r="AA910" s="62"/>
      <c r="AB910" s="98"/>
      <c r="AC910" s="62"/>
      <c r="AD910" s="62"/>
      <c r="AE910" s="62"/>
      <c r="AF910" s="62"/>
      <c r="AG910" s="66"/>
      <c r="AH910" s="62"/>
      <c r="AI910" s="62"/>
      <c r="AJ910" s="62"/>
      <c r="AK910" s="62"/>
      <c r="AL910" s="66"/>
      <c r="AM910" s="62"/>
      <c r="AN910" s="62"/>
      <c r="AO910" s="62"/>
      <c r="AP910" s="62"/>
      <c r="AQ910" s="66"/>
      <c r="AR910" s="62"/>
      <c r="AS910" s="62"/>
      <c r="AT910" s="62"/>
      <c r="AU910" s="62"/>
      <c r="AV910" s="66"/>
      <c r="AW910" s="97"/>
    </row>
    <row r="911" spans="23:49" x14ac:dyDescent="0.15">
      <c r="W911" s="12"/>
      <c r="X911" s="62"/>
      <c r="Y911" s="62"/>
      <c r="Z911" s="62"/>
      <c r="AA911" s="62"/>
      <c r="AB911" s="98"/>
      <c r="AC911" s="62"/>
      <c r="AD911" s="62"/>
      <c r="AE911" s="62"/>
      <c r="AF911" s="62"/>
      <c r="AG911" s="66"/>
      <c r="AH911" s="62"/>
      <c r="AI911" s="62"/>
      <c r="AJ911" s="62"/>
      <c r="AK911" s="62"/>
      <c r="AL911" s="66"/>
      <c r="AM911" s="62"/>
      <c r="AN911" s="62"/>
      <c r="AO911" s="62"/>
      <c r="AP911" s="62"/>
      <c r="AQ911" s="66"/>
      <c r="AR911" s="62"/>
      <c r="AS911" s="62"/>
      <c r="AT911" s="62"/>
      <c r="AU911" s="62"/>
      <c r="AV911" s="66"/>
      <c r="AW911" s="97"/>
    </row>
    <row r="912" spans="23:49" x14ac:dyDescent="0.15">
      <c r="W912" s="12"/>
      <c r="X912" s="62"/>
      <c r="Y912" s="62"/>
      <c r="Z912" s="62"/>
      <c r="AA912" s="62"/>
      <c r="AB912" s="98"/>
      <c r="AC912" s="62"/>
      <c r="AD912" s="62"/>
      <c r="AE912" s="62"/>
      <c r="AF912" s="62"/>
      <c r="AG912" s="66"/>
      <c r="AH912" s="62"/>
      <c r="AI912" s="62"/>
      <c r="AJ912" s="62"/>
      <c r="AK912" s="62"/>
      <c r="AL912" s="66"/>
      <c r="AM912" s="62"/>
      <c r="AN912" s="62"/>
      <c r="AO912" s="62"/>
      <c r="AP912" s="62"/>
      <c r="AQ912" s="66"/>
      <c r="AR912" s="62"/>
      <c r="AS912" s="62"/>
      <c r="AT912" s="62"/>
      <c r="AU912" s="62"/>
      <c r="AV912" s="66"/>
      <c r="AW912" s="97"/>
    </row>
    <row r="913" spans="23:49" x14ac:dyDescent="0.15">
      <c r="W913" s="12"/>
      <c r="X913" s="62"/>
      <c r="Y913" s="62"/>
      <c r="Z913" s="62"/>
      <c r="AA913" s="62"/>
      <c r="AB913" s="98"/>
      <c r="AC913" s="62"/>
      <c r="AD913" s="62"/>
      <c r="AE913" s="62"/>
      <c r="AF913" s="62"/>
      <c r="AG913" s="66"/>
      <c r="AH913" s="62"/>
      <c r="AI913" s="62"/>
      <c r="AJ913" s="62"/>
      <c r="AK913" s="62"/>
      <c r="AL913" s="66"/>
      <c r="AM913" s="62"/>
      <c r="AN913" s="62"/>
      <c r="AO913" s="62"/>
      <c r="AP913" s="62"/>
      <c r="AQ913" s="66"/>
      <c r="AR913" s="62"/>
      <c r="AS913" s="62"/>
      <c r="AT913" s="62"/>
      <c r="AU913" s="62"/>
      <c r="AV913" s="66"/>
      <c r="AW913" s="97"/>
    </row>
    <row r="914" spans="23:49" x14ac:dyDescent="0.15">
      <c r="W914" s="12"/>
      <c r="X914" s="62"/>
      <c r="Y914" s="62"/>
      <c r="Z914" s="62"/>
      <c r="AA914" s="62"/>
      <c r="AB914" s="98"/>
      <c r="AC914" s="62"/>
      <c r="AD914" s="62"/>
      <c r="AE914" s="62"/>
      <c r="AF914" s="62"/>
      <c r="AG914" s="66"/>
      <c r="AH914" s="62"/>
      <c r="AI914" s="62"/>
      <c r="AJ914" s="62"/>
      <c r="AK914" s="62"/>
      <c r="AL914" s="66"/>
      <c r="AM914" s="62"/>
      <c r="AN914" s="62"/>
      <c r="AO914" s="62"/>
      <c r="AP914" s="62"/>
      <c r="AQ914" s="66"/>
      <c r="AR914" s="62"/>
      <c r="AS914" s="62"/>
      <c r="AT914" s="62"/>
      <c r="AU914" s="62"/>
      <c r="AV914" s="66"/>
      <c r="AW914" s="97"/>
    </row>
    <row r="915" spans="23:49" x14ac:dyDescent="0.15">
      <c r="W915" s="12"/>
      <c r="X915" s="62"/>
      <c r="Y915" s="62"/>
      <c r="Z915" s="62"/>
      <c r="AA915" s="62"/>
      <c r="AB915" s="98"/>
      <c r="AC915" s="62"/>
      <c r="AD915" s="62"/>
      <c r="AE915" s="62"/>
      <c r="AF915" s="62"/>
      <c r="AG915" s="66"/>
      <c r="AH915" s="62"/>
      <c r="AI915" s="62"/>
      <c r="AJ915" s="62"/>
      <c r="AK915" s="62"/>
      <c r="AL915" s="66"/>
      <c r="AM915" s="62"/>
      <c r="AN915" s="62"/>
      <c r="AO915" s="62"/>
      <c r="AP915" s="62"/>
      <c r="AQ915" s="66"/>
      <c r="AR915" s="62"/>
      <c r="AS915" s="62"/>
      <c r="AT915" s="62"/>
      <c r="AU915" s="62"/>
      <c r="AV915" s="66"/>
      <c r="AW915" s="97"/>
    </row>
    <row r="916" spans="23:49" x14ac:dyDescent="0.15">
      <c r="W916" s="12"/>
      <c r="X916" s="62"/>
      <c r="Y916" s="62"/>
      <c r="Z916" s="62"/>
      <c r="AA916" s="62"/>
      <c r="AB916" s="98"/>
      <c r="AC916" s="62"/>
      <c r="AD916" s="62"/>
      <c r="AE916" s="62"/>
      <c r="AF916" s="62"/>
      <c r="AG916" s="66"/>
      <c r="AH916" s="62"/>
      <c r="AI916" s="62"/>
      <c r="AJ916" s="62"/>
      <c r="AK916" s="62"/>
      <c r="AL916" s="66"/>
      <c r="AM916" s="62"/>
      <c r="AN916" s="62"/>
      <c r="AO916" s="62"/>
      <c r="AP916" s="62"/>
      <c r="AQ916" s="66"/>
      <c r="AR916" s="62"/>
      <c r="AS916" s="62"/>
      <c r="AT916" s="62"/>
      <c r="AU916" s="62"/>
      <c r="AV916" s="66"/>
      <c r="AW916" s="97"/>
    </row>
    <row r="917" spans="23:49" x14ac:dyDescent="0.15">
      <c r="W917" s="12"/>
      <c r="X917" s="62"/>
      <c r="Y917" s="62"/>
      <c r="Z917" s="62"/>
      <c r="AA917" s="62"/>
      <c r="AB917" s="98"/>
      <c r="AC917" s="62"/>
      <c r="AD917" s="62"/>
      <c r="AE917" s="62"/>
      <c r="AF917" s="62"/>
      <c r="AG917" s="66"/>
      <c r="AH917" s="62"/>
      <c r="AI917" s="62"/>
      <c r="AJ917" s="62"/>
      <c r="AK917" s="62"/>
      <c r="AL917" s="66"/>
      <c r="AM917" s="62"/>
      <c r="AN917" s="62"/>
      <c r="AO917" s="62"/>
      <c r="AP917" s="62"/>
      <c r="AQ917" s="66"/>
      <c r="AR917" s="62"/>
      <c r="AS917" s="62"/>
      <c r="AT917" s="62"/>
      <c r="AU917" s="62"/>
      <c r="AV917" s="66"/>
      <c r="AW917" s="97"/>
    </row>
    <row r="918" spans="23:49" x14ac:dyDescent="0.15">
      <c r="W918" s="12"/>
      <c r="X918" s="62"/>
      <c r="Y918" s="62"/>
      <c r="Z918" s="62"/>
      <c r="AA918" s="62"/>
      <c r="AB918" s="98"/>
      <c r="AC918" s="62"/>
      <c r="AD918" s="62"/>
      <c r="AE918" s="62"/>
      <c r="AF918" s="62"/>
      <c r="AG918" s="66"/>
      <c r="AH918" s="62"/>
      <c r="AI918" s="62"/>
      <c r="AJ918" s="62"/>
      <c r="AK918" s="62"/>
      <c r="AL918" s="66"/>
      <c r="AM918" s="62"/>
      <c r="AN918" s="62"/>
      <c r="AO918" s="62"/>
      <c r="AP918" s="62"/>
      <c r="AQ918" s="66"/>
      <c r="AR918" s="62"/>
      <c r="AS918" s="62"/>
      <c r="AT918" s="62"/>
      <c r="AU918" s="62"/>
      <c r="AV918" s="66"/>
      <c r="AW918" s="97"/>
    </row>
    <row r="919" spans="23:49" x14ac:dyDescent="0.15">
      <c r="W919" s="12"/>
      <c r="X919" s="62"/>
      <c r="Y919" s="62"/>
      <c r="Z919" s="62"/>
      <c r="AA919" s="62"/>
      <c r="AB919" s="98"/>
      <c r="AC919" s="62"/>
      <c r="AD919" s="62"/>
      <c r="AE919" s="62"/>
      <c r="AF919" s="62"/>
      <c r="AG919" s="66"/>
      <c r="AH919" s="62"/>
      <c r="AI919" s="62"/>
      <c r="AJ919" s="62"/>
      <c r="AK919" s="62"/>
      <c r="AL919" s="66"/>
      <c r="AM919" s="62"/>
      <c r="AN919" s="62"/>
      <c r="AO919" s="62"/>
      <c r="AP919" s="62"/>
      <c r="AQ919" s="66"/>
      <c r="AR919" s="62"/>
      <c r="AS919" s="62"/>
      <c r="AT919" s="62"/>
      <c r="AU919" s="62"/>
      <c r="AV919" s="66"/>
      <c r="AW919" s="97"/>
    </row>
    <row r="920" spans="23:49" x14ac:dyDescent="0.15">
      <c r="W920" s="12"/>
      <c r="X920" s="62"/>
      <c r="Y920" s="62"/>
      <c r="Z920" s="62"/>
      <c r="AA920" s="62"/>
      <c r="AB920" s="98"/>
      <c r="AC920" s="62"/>
      <c r="AD920" s="62"/>
      <c r="AE920" s="62"/>
      <c r="AF920" s="62"/>
      <c r="AG920" s="66"/>
      <c r="AH920" s="62"/>
      <c r="AI920" s="62"/>
      <c r="AJ920" s="62"/>
      <c r="AK920" s="62"/>
      <c r="AL920" s="66"/>
      <c r="AM920" s="62"/>
      <c r="AN920" s="62"/>
      <c r="AO920" s="62"/>
      <c r="AP920" s="62"/>
      <c r="AQ920" s="66"/>
      <c r="AR920" s="62"/>
      <c r="AS920" s="62"/>
      <c r="AT920" s="62"/>
      <c r="AU920" s="62"/>
      <c r="AV920" s="66"/>
      <c r="AW920" s="97"/>
    </row>
    <row r="921" spans="23:49" x14ac:dyDescent="0.15">
      <c r="W921" s="12"/>
      <c r="X921" s="62"/>
      <c r="Y921" s="62"/>
      <c r="Z921" s="62"/>
      <c r="AA921" s="62"/>
      <c r="AB921" s="98"/>
      <c r="AC921" s="62"/>
      <c r="AD921" s="62"/>
      <c r="AE921" s="62"/>
      <c r="AF921" s="62"/>
      <c r="AG921" s="66"/>
      <c r="AH921" s="62"/>
      <c r="AI921" s="62"/>
      <c r="AJ921" s="62"/>
      <c r="AK921" s="62"/>
      <c r="AL921" s="66"/>
      <c r="AM921" s="62"/>
      <c r="AN921" s="62"/>
      <c r="AO921" s="62"/>
      <c r="AP921" s="62"/>
      <c r="AQ921" s="66"/>
      <c r="AR921" s="62"/>
      <c r="AS921" s="62"/>
      <c r="AT921" s="62"/>
      <c r="AU921" s="62"/>
      <c r="AV921" s="66"/>
      <c r="AW921" s="97"/>
    </row>
    <row r="922" spans="23:49" x14ac:dyDescent="0.15">
      <c r="W922" s="12"/>
      <c r="X922" s="62"/>
      <c r="Y922" s="62"/>
      <c r="Z922" s="62"/>
      <c r="AA922" s="62"/>
      <c r="AB922" s="98"/>
      <c r="AC922" s="62"/>
      <c r="AD922" s="62"/>
      <c r="AE922" s="62"/>
      <c r="AF922" s="62"/>
      <c r="AG922" s="66"/>
      <c r="AH922" s="62"/>
      <c r="AI922" s="62"/>
      <c r="AJ922" s="62"/>
      <c r="AK922" s="62"/>
      <c r="AL922" s="66"/>
      <c r="AM922" s="62"/>
      <c r="AN922" s="62"/>
      <c r="AO922" s="62"/>
      <c r="AP922" s="62"/>
      <c r="AQ922" s="66"/>
      <c r="AR922" s="62"/>
      <c r="AS922" s="62"/>
      <c r="AT922" s="62"/>
      <c r="AU922" s="62"/>
      <c r="AV922" s="66"/>
      <c r="AW922" s="97"/>
    </row>
    <row r="923" spans="23:49" x14ac:dyDescent="0.15">
      <c r="W923" s="12"/>
      <c r="X923" s="62"/>
      <c r="Y923" s="62"/>
      <c r="Z923" s="62"/>
      <c r="AA923" s="62"/>
      <c r="AB923" s="98"/>
      <c r="AC923" s="62"/>
      <c r="AD923" s="62"/>
      <c r="AE923" s="62"/>
      <c r="AF923" s="62"/>
      <c r="AG923" s="66"/>
      <c r="AH923" s="62"/>
      <c r="AI923" s="62"/>
      <c r="AJ923" s="62"/>
      <c r="AK923" s="62"/>
      <c r="AL923" s="66"/>
      <c r="AM923" s="62"/>
      <c r="AN923" s="62"/>
      <c r="AO923" s="62"/>
      <c r="AP923" s="62"/>
      <c r="AQ923" s="66"/>
      <c r="AR923" s="62"/>
      <c r="AS923" s="62"/>
      <c r="AT923" s="62"/>
      <c r="AU923" s="62"/>
      <c r="AV923" s="66"/>
      <c r="AW923" s="97"/>
    </row>
    <row r="924" spans="23:49" x14ac:dyDescent="0.15">
      <c r="W924" s="12"/>
      <c r="X924" s="62"/>
      <c r="Y924" s="62"/>
      <c r="Z924" s="62"/>
      <c r="AA924" s="62"/>
      <c r="AB924" s="98"/>
      <c r="AC924" s="62"/>
      <c r="AD924" s="62"/>
      <c r="AE924" s="62"/>
      <c r="AF924" s="62"/>
      <c r="AG924" s="66"/>
      <c r="AH924" s="62"/>
      <c r="AI924" s="62"/>
      <c r="AJ924" s="62"/>
      <c r="AK924" s="62"/>
      <c r="AL924" s="66"/>
      <c r="AM924" s="62"/>
      <c r="AN924" s="62"/>
      <c r="AO924" s="62"/>
      <c r="AP924" s="62"/>
      <c r="AQ924" s="66"/>
      <c r="AR924" s="62"/>
      <c r="AS924" s="62"/>
      <c r="AT924" s="62"/>
      <c r="AU924" s="62"/>
      <c r="AV924" s="66"/>
      <c r="AW924" s="97"/>
    </row>
    <row r="925" spans="23:49" x14ac:dyDescent="0.15">
      <c r="W925" s="12"/>
      <c r="X925" s="62"/>
      <c r="Y925" s="62"/>
      <c r="Z925" s="62"/>
      <c r="AA925" s="62"/>
      <c r="AB925" s="98"/>
      <c r="AC925" s="62"/>
      <c r="AD925" s="62"/>
      <c r="AE925" s="62"/>
      <c r="AF925" s="62"/>
      <c r="AG925" s="66"/>
      <c r="AH925" s="62"/>
      <c r="AI925" s="62"/>
      <c r="AJ925" s="62"/>
      <c r="AK925" s="62"/>
      <c r="AL925" s="66"/>
      <c r="AM925" s="62"/>
      <c r="AN925" s="62"/>
      <c r="AO925" s="62"/>
      <c r="AP925" s="62"/>
      <c r="AQ925" s="66"/>
      <c r="AR925" s="62"/>
      <c r="AS925" s="62"/>
      <c r="AT925" s="62"/>
      <c r="AU925" s="62"/>
      <c r="AV925" s="66"/>
      <c r="AW925" s="97"/>
    </row>
    <row r="926" spans="23:49" x14ac:dyDescent="0.15">
      <c r="W926" s="12"/>
      <c r="X926" s="62"/>
      <c r="Y926" s="62"/>
      <c r="Z926" s="62"/>
      <c r="AA926" s="62"/>
      <c r="AB926" s="98"/>
      <c r="AC926" s="62"/>
      <c r="AD926" s="62"/>
      <c r="AE926" s="62"/>
      <c r="AF926" s="62"/>
      <c r="AG926" s="66"/>
      <c r="AH926" s="62"/>
      <c r="AI926" s="62"/>
      <c r="AJ926" s="62"/>
      <c r="AK926" s="62"/>
      <c r="AL926" s="66"/>
      <c r="AM926" s="62"/>
      <c r="AN926" s="62"/>
      <c r="AO926" s="62"/>
      <c r="AP926" s="62"/>
      <c r="AQ926" s="66"/>
      <c r="AR926" s="62"/>
      <c r="AS926" s="62"/>
      <c r="AT926" s="62"/>
      <c r="AU926" s="62"/>
      <c r="AV926" s="66"/>
      <c r="AW926" s="97"/>
    </row>
    <row r="927" spans="23:49" x14ac:dyDescent="0.15">
      <c r="W927" s="12"/>
      <c r="X927" s="62"/>
      <c r="Y927" s="62"/>
      <c r="Z927" s="62"/>
      <c r="AA927" s="62"/>
      <c r="AB927" s="98"/>
      <c r="AC927" s="62"/>
      <c r="AD927" s="62"/>
      <c r="AE927" s="62"/>
      <c r="AF927" s="62"/>
      <c r="AG927" s="66"/>
      <c r="AH927" s="62"/>
      <c r="AI927" s="62"/>
      <c r="AJ927" s="62"/>
      <c r="AK927" s="62"/>
      <c r="AL927" s="66"/>
      <c r="AM927" s="62"/>
      <c r="AN927" s="62"/>
      <c r="AO927" s="62"/>
      <c r="AP927" s="62"/>
      <c r="AQ927" s="66"/>
      <c r="AR927" s="62"/>
      <c r="AS927" s="62"/>
      <c r="AT927" s="62"/>
      <c r="AU927" s="62"/>
      <c r="AV927" s="66"/>
      <c r="AW927" s="97"/>
    </row>
    <row r="928" spans="23:49" x14ac:dyDescent="0.15">
      <c r="W928" s="12"/>
      <c r="X928" s="62"/>
      <c r="Y928" s="62"/>
      <c r="Z928" s="62"/>
      <c r="AA928" s="62"/>
      <c r="AB928" s="98"/>
      <c r="AC928" s="62"/>
      <c r="AD928" s="62"/>
      <c r="AE928" s="62"/>
      <c r="AF928" s="62"/>
      <c r="AG928" s="66"/>
      <c r="AH928" s="62"/>
      <c r="AI928" s="62"/>
      <c r="AJ928" s="62"/>
      <c r="AK928" s="62"/>
      <c r="AL928" s="66"/>
      <c r="AM928" s="62"/>
      <c r="AN928" s="62"/>
      <c r="AO928" s="62"/>
      <c r="AP928" s="62"/>
      <c r="AQ928" s="66"/>
      <c r="AR928" s="62"/>
      <c r="AS928" s="62"/>
      <c r="AT928" s="62"/>
      <c r="AU928" s="62"/>
      <c r="AV928" s="66"/>
      <c r="AW928" s="97"/>
    </row>
    <row r="929" spans="23:49" x14ac:dyDescent="0.15">
      <c r="W929" s="12"/>
      <c r="X929" s="62"/>
      <c r="Y929" s="62"/>
      <c r="Z929" s="62"/>
      <c r="AA929" s="62"/>
      <c r="AB929" s="98"/>
      <c r="AC929" s="62"/>
      <c r="AD929" s="62"/>
      <c r="AE929" s="62"/>
      <c r="AF929" s="62"/>
      <c r="AG929" s="66"/>
      <c r="AH929" s="62"/>
      <c r="AI929" s="62"/>
      <c r="AJ929" s="62"/>
      <c r="AK929" s="62"/>
      <c r="AL929" s="66"/>
      <c r="AM929" s="62"/>
      <c r="AN929" s="62"/>
      <c r="AO929" s="62"/>
      <c r="AP929" s="62"/>
      <c r="AQ929" s="66"/>
      <c r="AR929" s="62"/>
      <c r="AS929" s="62"/>
      <c r="AT929" s="62"/>
      <c r="AU929" s="62"/>
      <c r="AV929" s="66"/>
      <c r="AW929" s="97"/>
    </row>
    <row r="930" spans="23:49" x14ac:dyDescent="0.15">
      <c r="W930" s="12"/>
      <c r="X930" s="62"/>
      <c r="Y930" s="62"/>
      <c r="Z930" s="62"/>
      <c r="AA930" s="62"/>
      <c r="AB930" s="98"/>
      <c r="AC930" s="62"/>
      <c r="AD930" s="62"/>
      <c r="AE930" s="62"/>
      <c r="AF930" s="62"/>
      <c r="AG930" s="66"/>
      <c r="AH930" s="62"/>
      <c r="AI930" s="62"/>
      <c r="AJ930" s="62"/>
      <c r="AK930" s="62"/>
      <c r="AL930" s="66"/>
      <c r="AM930" s="62"/>
      <c r="AN930" s="62"/>
      <c r="AO930" s="62"/>
      <c r="AP930" s="62"/>
      <c r="AQ930" s="66"/>
      <c r="AR930" s="62"/>
      <c r="AS930" s="62"/>
      <c r="AT930" s="62"/>
      <c r="AU930" s="62"/>
      <c r="AV930" s="66"/>
      <c r="AW930" s="97"/>
    </row>
    <row r="931" spans="23:49" x14ac:dyDescent="0.15">
      <c r="W931" s="12"/>
      <c r="X931" s="62"/>
      <c r="Y931" s="62"/>
      <c r="Z931" s="62"/>
      <c r="AA931" s="62"/>
      <c r="AB931" s="98"/>
      <c r="AC931" s="62"/>
      <c r="AD931" s="62"/>
      <c r="AE931" s="62"/>
      <c r="AF931" s="62"/>
      <c r="AG931" s="66"/>
      <c r="AH931" s="62"/>
      <c r="AI931" s="62"/>
      <c r="AJ931" s="62"/>
      <c r="AK931" s="62"/>
      <c r="AL931" s="66"/>
      <c r="AM931" s="62"/>
      <c r="AN931" s="62"/>
      <c r="AO931" s="62"/>
      <c r="AP931" s="62"/>
      <c r="AQ931" s="66"/>
      <c r="AR931" s="62"/>
      <c r="AS931" s="62"/>
      <c r="AT931" s="62"/>
      <c r="AU931" s="62"/>
      <c r="AV931" s="66"/>
      <c r="AW931" s="97"/>
    </row>
    <row r="932" spans="23:49" x14ac:dyDescent="0.15">
      <c r="W932" s="12"/>
      <c r="X932" s="62"/>
      <c r="Y932" s="62"/>
      <c r="Z932" s="62"/>
      <c r="AA932" s="62"/>
      <c r="AB932" s="98"/>
      <c r="AC932" s="62"/>
      <c r="AD932" s="62"/>
      <c r="AE932" s="62"/>
      <c r="AF932" s="62"/>
      <c r="AG932" s="66"/>
      <c r="AH932" s="62"/>
      <c r="AI932" s="62"/>
      <c r="AJ932" s="62"/>
      <c r="AK932" s="62"/>
      <c r="AL932" s="66"/>
      <c r="AM932" s="62"/>
      <c r="AN932" s="62"/>
      <c r="AO932" s="62"/>
      <c r="AP932" s="62"/>
      <c r="AQ932" s="66"/>
      <c r="AR932" s="62"/>
      <c r="AS932" s="62"/>
      <c r="AT932" s="62"/>
      <c r="AU932" s="62"/>
      <c r="AV932" s="66"/>
      <c r="AW932" s="97"/>
    </row>
    <row r="933" spans="23:49" x14ac:dyDescent="0.15">
      <c r="W933" s="12"/>
      <c r="X933" s="62"/>
      <c r="Y933" s="62"/>
      <c r="Z933" s="62"/>
      <c r="AA933" s="62"/>
      <c r="AB933" s="98"/>
      <c r="AC933" s="62"/>
      <c r="AD933" s="62"/>
      <c r="AE933" s="62"/>
      <c r="AF933" s="62"/>
      <c r="AG933" s="66"/>
      <c r="AH933" s="62"/>
      <c r="AI933" s="62"/>
      <c r="AJ933" s="62"/>
      <c r="AK933" s="62"/>
      <c r="AL933" s="66"/>
      <c r="AM933" s="62"/>
      <c r="AN933" s="62"/>
      <c r="AO933" s="62"/>
      <c r="AP933" s="62"/>
      <c r="AQ933" s="66"/>
      <c r="AR933" s="62"/>
      <c r="AS933" s="62"/>
      <c r="AT933" s="62"/>
      <c r="AU933" s="62"/>
      <c r="AV933" s="66"/>
      <c r="AW933" s="97"/>
    </row>
    <row r="934" spans="23:49" x14ac:dyDescent="0.15">
      <c r="W934" s="12"/>
      <c r="X934" s="62"/>
      <c r="Y934" s="62"/>
      <c r="Z934" s="62"/>
      <c r="AA934" s="62"/>
      <c r="AB934" s="98"/>
      <c r="AC934" s="62"/>
      <c r="AD934" s="62"/>
      <c r="AE934" s="62"/>
      <c r="AF934" s="62"/>
      <c r="AG934" s="66"/>
      <c r="AH934" s="62"/>
      <c r="AI934" s="62"/>
      <c r="AJ934" s="62"/>
      <c r="AK934" s="62"/>
      <c r="AL934" s="66"/>
      <c r="AM934" s="62"/>
      <c r="AN934" s="62"/>
      <c r="AO934" s="62"/>
      <c r="AP934" s="62"/>
      <c r="AQ934" s="66"/>
      <c r="AR934" s="62"/>
      <c r="AS934" s="62"/>
      <c r="AT934" s="62"/>
      <c r="AU934" s="62"/>
      <c r="AV934" s="66"/>
      <c r="AW934" s="97"/>
    </row>
    <row r="935" spans="23:49" x14ac:dyDescent="0.15">
      <c r="W935" s="12"/>
      <c r="X935" s="62"/>
      <c r="Y935" s="62"/>
      <c r="Z935" s="62"/>
      <c r="AA935" s="62"/>
      <c r="AB935" s="98"/>
      <c r="AC935" s="62"/>
      <c r="AD935" s="62"/>
      <c r="AE935" s="62"/>
      <c r="AF935" s="62"/>
      <c r="AG935" s="66"/>
      <c r="AH935" s="62"/>
      <c r="AI935" s="62"/>
      <c r="AJ935" s="62"/>
      <c r="AK935" s="62"/>
      <c r="AL935" s="66"/>
      <c r="AM935" s="62"/>
      <c r="AN935" s="62"/>
      <c r="AO935" s="62"/>
      <c r="AP935" s="62"/>
      <c r="AQ935" s="66"/>
      <c r="AR935" s="62"/>
      <c r="AS935" s="62"/>
      <c r="AT935" s="62"/>
      <c r="AU935" s="62"/>
      <c r="AV935" s="66"/>
      <c r="AW935" s="97"/>
    </row>
    <row r="936" spans="23:49" x14ac:dyDescent="0.15">
      <c r="W936" s="12"/>
      <c r="X936" s="62"/>
      <c r="Y936" s="62"/>
      <c r="Z936" s="62"/>
      <c r="AA936" s="62"/>
      <c r="AB936" s="98"/>
      <c r="AC936" s="62"/>
      <c r="AD936" s="62"/>
      <c r="AE936" s="62"/>
      <c r="AF936" s="62"/>
      <c r="AG936" s="66"/>
      <c r="AH936" s="62"/>
      <c r="AI936" s="62"/>
      <c r="AJ936" s="62"/>
      <c r="AK936" s="62"/>
      <c r="AL936" s="66"/>
      <c r="AM936" s="62"/>
      <c r="AN936" s="62"/>
      <c r="AO936" s="62"/>
      <c r="AP936" s="62"/>
      <c r="AQ936" s="66"/>
      <c r="AR936" s="62"/>
      <c r="AS936" s="62"/>
      <c r="AT936" s="62"/>
      <c r="AU936" s="62"/>
      <c r="AV936" s="66"/>
      <c r="AW936" s="97"/>
    </row>
    <row r="937" spans="23:49" x14ac:dyDescent="0.15">
      <c r="W937" s="12"/>
      <c r="X937" s="62"/>
      <c r="Y937" s="62"/>
      <c r="Z937" s="62"/>
      <c r="AA937" s="62"/>
      <c r="AB937" s="98"/>
      <c r="AC937" s="62"/>
      <c r="AD937" s="62"/>
      <c r="AE937" s="62"/>
      <c r="AF937" s="62"/>
      <c r="AG937" s="66"/>
      <c r="AH937" s="62"/>
      <c r="AI937" s="62"/>
      <c r="AJ937" s="62"/>
      <c r="AK937" s="62"/>
      <c r="AL937" s="66"/>
      <c r="AM937" s="62"/>
      <c r="AN937" s="62"/>
      <c r="AO937" s="62"/>
      <c r="AP937" s="62"/>
      <c r="AQ937" s="66"/>
      <c r="AR937" s="62"/>
      <c r="AS937" s="62"/>
      <c r="AT937" s="62"/>
      <c r="AU937" s="62"/>
      <c r="AV937" s="66"/>
      <c r="AW937" s="97"/>
    </row>
    <row r="938" spans="23:49" x14ac:dyDescent="0.15">
      <c r="W938" s="12"/>
      <c r="X938" s="62"/>
      <c r="Y938" s="62"/>
      <c r="Z938" s="62"/>
      <c r="AA938" s="62"/>
      <c r="AB938" s="98"/>
      <c r="AC938" s="62"/>
      <c r="AD938" s="62"/>
      <c r="AE938" s="62"/>
      <c r="AF938" s="62"/>
      <c r="AG938" s="66"/>
      <c r="AH938" s="62"/>
      <c r="AI938" s="62"/>
      <c r="AJ938" s="62"/>
      <c r="AK938" s="62"/>
      <c r="AL938" s="66"/>
      <c r="AM938" s="62"/>
      <c r="AN938" s="62"/>
      <c r="AO938" s="62"/>
      <c r="AP938" s="62"/>
      <c r="AQ938" s="66"/>
      <c r="AR938" s="62"/>
      <c r="AS938" s="62"/>
      <c r="AT938" s="62"/>
      <c r="AU938" s="62"/>
      <c r="AV938" s="66"/>
      <c r="AW938" s="97"/>
    </row>
    <row r="939" spans="23:49" x14ac:dyDescent="0.15">
      <c r="W939" s="12"/>
      <c r="X939" s="62"/>
      <c r="Y939" s="62"/>
      <c r="Z939" s="62"/>
      <c r="AA939" s="62"/>
      <c r="AB939" s="98"/>
      <c r="AC939" s="62"/>
      <c r="AD939" s="62"/>
      <c r="AE939" s="62"/>
      <c r="AF939" s="62"/>
      <c r="AG939" s="66"/>
      <c r="AH939" s="62"/>
      <c r="AI939" s="62"/>
      <c r="AJ939" s="62"/>
      <c r="AK939" s="62"/>
      <c r="AL939" s="66"/>
      <c r="AM939" s="62"/>
      <c r="AN939" s="62"/>
      <c r="AO939" s="62"/>
      <c r="AP939" s="62"/>
      <c r="AQ939" s="66"/>
      <c r="AR939" s="62"/>
      <c r="AS939" s="62"/>
      <c r="AT939" s="62"/>
      <c r="AU939" s="62"/>
      <c r="AV939" s="66"/>
      <c r="AW939" s="97"/>
    </row>
    <row r="940" spans="23:49" x14ac:dyDescent="0.15">
      <c r="W940" s="12"/>
      <c r="X940" s="62"/>
      <c r="Y940" s="62"/>
      <c r="Z940" s="62"/>
      <c r="AA940" s="62"/>
      <c r="AB940" s="98"/>
      <c r="AC940" s="62"/>
      <c r="AD940" s="62"/>
      <c r="AE940" s="62"/>
      <c r="AF940" s="62"/>
      <c r="AG940" s="66"/>
      <c r="AH940" s="62"/>
      <c r="AI940" s="62"/>
      <c r="AJ940" s="62"/>
      <c r="AK940" s="62"/>
      <c r="AL940" s="66"/>
      <c r="AM940" s="62"/>
      <c r="AN940" s="62"/>
      <c r="AO940" s="62"/>
      <c r="AP940" s="62"/>
      <c r="AQ940" s="66"/>
      <c r="AR940" s="62"/>
      <c r="AS940" s="62"/>
      <c r="AT940" s="62"/>
      <c r="AU940" s="62"/>
      <c r="AV940" s="66"/>
      <c r="AW940" s="97"/>
    </row>
    <row r="941" spans="23:49" x14ac:dyDescent="0.15">
      <c r="W941" s="12"/>
      <c r="X941" s="62"/>
      <c r="Y941" s="62"/>
      <c r="Z941" s="62"/>
      <c r="AA941" s="62"/>
      <c r="AB941" s="98"/>
      <c r="AC941" s="62"/>
      <c r="AD941" s="62"/>
      <c r="AE941" s="62"/>
      <c r="AF941" s="62"/>
      <c r="AG941" s="66"/>
      <c r="AH941" s="62"/>
      <c r="AI941" s="62"/>
      <c r="AJ941" s="62"/>
      <c r="AK941" s="62"/>
      <c r="AL941" s="66"/>
      <c r="AM941" s="62"/>
      <c r="AN941" s="62"/>
      <c r="AO941" s="62"/>
      <c r="AP941" s="62"/>
      <c r="AQ941" s="66"/>
      <c r="AR941" s="62"/>
      <c r="AS941" s="62"/>
      <c r="AT941" s="62"/>
      <c r="AU941" s="62"/>
      <c r="AV941" s="66"/>
      <c r="AW941" s="97"/>
    </row>
    <row r="942" spans="23:49" x14ac:dyDescent="0.15">
      <c r="W942" s="12"/>
      <c r="X942" s="62"/>
      <c r="Y942" s="62"/>
      <c r="Z942" s="62"/>
      <c r="AA942" s="62"/>
      <c r="AB942" s="98"/>
      <c r="AC942" s="62"/>
      <c r="AD942" s="62"/>
      <c r="AE942" s="62"/>
      <c r="AF942" s="62"/>
      <c r="AG942" s="66"/>
      <c r="AH942" s="62"/>
      <c r="AI942" s="62"/>
      <c r="AJ942" s="62"/>
      <c r="AK942" s="62"/>
      <c r="AL942" s="66"/>
      <c r="AM942" s="62"/>
      <c r="AN942" s="62"/>
      <c r="AO942" s="62"/>
      <c r="AP942" s="62"/>
      <c r="AQ942" s="66"/>
      <c r="AR942" s="62"/>
      <c r="AS942" s="62"/>
      <c r="AT942" s="62"/>
      <c r="AU942" s="62"/>
      <c r="AV942" s="66"/>
      <c r="AW942" s="97"/>
    </row>
    <row r="943" spans="23:49" x14ac:dyDescent="0.15">
      <c r="W943" s="12"/>
      <c r="X943" s="62"/>
      <c r="Y943" s="62"/>
      <c r="Z943" s="62"/>
      <c r="AA943" s="62"/>
      <c r="AB943" s="98"/>
      <c r="AC943" s="62"/>
      <c r="AD943" s="62"/>
      <c r="AE943" s="62"/>
      <c r="AF943" s="62"/>
      <c r="AG943" s="66"/>
      <c r="AH943" s="62"/>
      <c r="AI943" s="62"/>
      <c r="AJ943" s="62"/>
      <c r="AK943" s="62"/>
      <c r="AL943" s="66"/>
      <c r="AM943" s="62"/>
      <c r="AN943" s="62"/>
      <c r="AO943" s="62"/>
      <c r="AP943" s="62"/>
      <c r="AQ943" s="66"/>
      <c r="AR943" s="62"/>
      <c r="AS943" s="62"/>
      <c r="AT943" s="62"/>
      <c r="AU943" s="62"/>
      <c r="AV943" s="66"/>
      <c r="AW943" s="97"/>
    </row>
    <row r="944" spans="23:49" x14ac:dyDescent="0.15">
      <c r="W944" s="12"/>
      <c r="X944" s="62"/>
      <c r="Y944" s="62"/>
      <c r="Z944" s="62"/>
      <c r="AA944" s="62"/>
      <c r="AB944" s="98"/>
      <c r="AC944" s="62"/>
      <c r="AD944" s="62"/>
      <c r="AE944" s="62"/>
      <c r="AF944" s="62"/>
      <c r="AG944" s="66"/>
      <c r="AH944" s="62"/>
      <c r="AI944" s="62"/>
      <c r="AJ944" s="62"/>
      <c r="AK944" s="62"/>
      <c r="AL944" s="66"/>
      <c r="AM944" s="62"/>
      <c r="AN944" s="62"/>
      <c r="AO944" s="62"/>
      <c r="AP944" s="62"/>
      <c r="AQ944" s="66"/>
      <c r="AR944" s="62"/>
      <c r="AS944" s="62"/>
      <c r="AT944" s="62"/>
      <c r="AU944" s="62"/>
      <c r="AV944" s="66"/>
      <c r="AW944" s="97"/>
    </row>
    <row r="945" spans="23:49" x14ac:dyDescent="0.15">
      <c r="W945" s="12"/>
      <c r="X945" s="62"/>
      <c r="Y945" s="62"/>
      <c r="Z945" s="62"/>
      <c r="AA945" s="62"/>
      <c r="AB945" s="98"/>
      <c r="AC945" s="62"/>
      <c r="AD945" s="62"/>
      <c r="AE945" s="62"/>
      <c r="AF945" s="62"/>
      <c r="AG945" s="66"/>
      <c r="AH945" s="62"/>
      <c r="AI945" s="62"/>
      <c r="AJ945" s="62"/>
      <c r="AK945" s="62"/>
      <c r="AL945" s="66"/>
      <c r="AM945" s="62"/>
      <c r="AN945" s="62"/>
      <c r="AO945" s="62"/>
      <c r="AP945" s="62"/>
      <c r="AQ945" s="66"/>
      <c r="AR945" s="62"/>
      <c r="AS945" s="62"/>
      <c r="AT945" s="62"/>
      <c r="AU945" s="62"/>
      <c r="AV945" s="66"/>
      <c r="AW945" s="97"/>
    </row>
    <row r="946" spans="23:49" x14ac:dyDescent="0.15">
      <c r="W946" s="12"/>
      <c r="X946" s="62"/>
      <c r="Y946" s="62"/>
      <c r="Z946" s="62"/>
      <c r="AA946" s="62"/>
      <c r="AB946" s="98"/>
      <c r="AC946" s="62"/>
      <c r="AD946" s="62"/>
      <c r="AE946" s="62"/>
      <c r="AF946" s="62"/>
      <c r="AG946" s="66"/>
      <c r="AH946" s="62"/>
      <c r="AI946" s="62"/>
      <c r="AJ946" s="62"/>
      <c r="AK946" s="62"/>
      <c r="AL946" s="66"/>
      <c r="AM946" s="62"/>
      <c r="AN946" s="62"/>
      <c r="AO946" s="62"/>
      <c r="AP946" s="62"/>
      <c r="AQ946" s="66"/>
      <c r="AR946" s="62"/>
      <c r="AS946" s="62"/>
      <c r="AT946" s="62"/>
      <c r="AU946" s="62"/>
      <c r="AV946" s="66"/>
      <c r="AW946" s="97"/>
    </row>
    <row r="947" spans="23:49" x14ac:dyDescent="0.15">
      <c r="W947" s="12"/>
      <c r="X947" s="62"/>
      <c r="Y947" s="62"/>
      <c r="Z947" s="62"/>
      <c r="AA947" s="62"/>
      <c r="AB947" s="98"/>
      <c r="AC947" s="62"/>
      <c r="AD947" s="62"/>
      <c r="AE947" s="62"/>
      <c r="AF947" s="62"/>
      <c r="AG947" s="66"/>
      <c r="AH947" s="62"/>
      <c r="AI947" s="62"/>
      <c r="AJ947" s="62"/>
      <c r="AK947" s="62"/>
      <c r="AL947" s="66"/>
      <c r="AM947" s="62"/>
      <c r="AN947" s="62"/>
      <c r="AO947" s="62"/>
      <c r="AP947" s="62"/>
      <c r="AQ947" s="66"/>
      <c r="AR947" s="62"/>
      <c r="AS947" s="62"/>
      <c r="AT947" s="62"/>
      <c r="AU947" s="62"/>
      <c r="AV947" s="66"/>
      <c r="AW947" s="97"/>
    </row>
    <row r="948" spans="23:49" x14ac:dyDescent="0.15">
      <c r="W948" s="12"/>
      <c r="X948" s="62"/>
      <c r="Y948" s="62"/>
      <c r="Z948" s="62"/>
      <c r="AA948" s="62"/>
      <c r="AB948" s="98"/>
      <c r="AC948" s="62"/>
      <c r="AD948" s="62"/>
      <c r="AE948" s="62"/>
      <c r="AF948" s="62"/>
      <c r="AG948" s="66"/>
      <c r="AH948" s="62"/>
      <c r="AI948" s="62"/>
      <c r="AJ948" s="62"/>
      <c r="AK948" s="62"/>
      <c r="AL948" s="66"/>
      <c r="AM948" s="62"/>
      <c r="AN948" s="62"/>
      <c r="AO948" s="62"/>
      <c r="AP948" s="62"/>
      <c r="AQ948" s="66"/>
      <c r="AR948" s="62"/>
      <c r="AS948" s="62"/>
      <c r="AT948" s="62"/>
      <c r="AU948" s="62"/>
      <c r="AV948" s="66"/>
      <c r="AW948" s="97"/>
    </row>
    <row r="949" spans="23:49" x14ac:dyDescent="0.15">
      <c r="W949" s="12"/>
      <c r="X949" s="62"/>
      <c r="Y949" s="62"/>
      <c r="Z949" s="62"/>
      <c r="AA949" s="62"/>
      <c r="AB949" s="98"/>
      <c r="AC949" s="62"/>
      <c r="AD949" s="62"/>
      <c r="AE949" s="62"/>
      <c r="AF949" s="62"/>
      <c r="AG949" s="66"/>
      <c r="AH949" s="62"/>
      <c r="AI949" s="62"/>
      <c r="AJ949" s="62"/>
      <c r="AK949" s="62"/>
      <c r="AL949" s="66"/>
      <c r="AM949" s="62"/>
      <c r="AN949" s="62"/>
      <c r="AO949" s="62"/>
      <c r="AP949" s="62"/>
      <c r="AQ949" s="66"/>
      <c r="AR949" s="62"/>
      <c r="AS949" s="62"/>
      <c r="AT949" s="62"/>
      <c r="AU949" s="62"/>
      <c r="AV949" s="66"/>
      <c r="AW949" s="97"/>
    </row>
    <row r="950" spans="23:49" x14ac:dyDescent="0.15">
      <c r="W950" s="12"/>
      <c r="X950" s="62"/>
      <c r="Y950" s="62"/>
      <c r="Z950" s="62"/>
      <c r="AA950" s="62"/>
      <c r="AB950" s="98"/>
      <c r="AC950" s="62"/>
      <c r="AD950" s="62"/>
      <c r="AE950" s="62"/>
      <c r="AF950" s="62"/>
      <c r="AG950" s="66"/>
      <c r="AH950" s="62"/>
      <c r="AI950" s="62"/>
      <c r="AJ950" s="62"/>
      <c r="AK950" s="62"/>
      <c r="AL950" s="66"/>
      <c r="AM950" s="62"/>
      <c r="AN950" s="62"/>
      <c r="AO950" s="62"/>
      <c r="AP950" s="62"/>
      <c r="AQ950" s="66"/>
      <c r="AR950" s="62"/>
      <c r="AS950" s="62"/>
      <c r="AT950" s="62"/>
      <c r="AU950" s="62"/>
      <c r="AV950" s="66"/>
      <c r="AW950" s="97"/>
    </row>
    <row r="951" spans="23:49" x14ac:dyDescent="0.15">
      <c r="W951" s="12"/>
      <c r="X951" s="62"/>
      <c r="Y951" s="62"/>
      <c r="Z951" s="62"/>
      <c r="AA951" s="62"/>
      <c r="AB951" s="98"/>
      <c r="AC951" s="62"/>
      <c r="AD951" s="62"/>
      <c r="AE951" s="62"/>
      <c r="AF951" s="62"/>
      <c r="AG951" s="66"/>
      <c r="AH951" s="62"/>
      <c r="AI951" s="62"/>
      <c r="AJ951" s="62"/>
      <c r="AK951" s="62"/>
      <c r="AL951" s="66"/>
      <c r="AM951" s="62"/>
      <c r="AN951" s="62"/>
      <c r="AO951" s="62"/>
      <c r="AP951" s="62"/>
      <c r="AQ951" s="66"/>
      <c r="AR951" s="62"/>
      <c r="AS951" s="62"/>
      <c r="AT951" s="62"/>
      <c r="AU951" s="62"/>
      <c r="AV951" s="66"/>
      <c r="AW951" s="97"/>
    </row>
    <row r="952" spans="23:49" x14ac:dyDescent="0.15">
      <c r="W952" s="12"/>
      <c r="X952" s="62"/>
      <c r="Y952" s="62"/>
      <c r="Z952" s="62"/>
      <c r="AA952" s="62"/>
      <c r="AB952" s="98"/>
      <c r="AC952" s="62"/>
      <c r="AD952" s="62"/>
      <c r="AE952" s="62"/>
      <c r="AF952" s="62"/>
      <c r="AG952" s="66"/>
      <c r="AH952" s="62"/>
      <c r="AI952" s="62"/>
      <c r="AJ952" s="62"/>
      <c r="AK952" s="62"/>
      <c r="AL952" s="66"/>
      <c r="AM952" s="62"/>
      <c r="AN952" s="62"/>
      <c r="AO952" s="62"/>
      <c r="AP952" s="62"/>
      <c r="AQ952" s="66"/>
      <c r="AR952" s="62"/>
      <c r="AS952" s="62"/>
      <c r="AT952" s="62"/>
      <c r="AU952" s="62"/>
      <c r="AV952" s="66"/>
      <c r="AW952" s="97"/>
    </row>
    <row r="953" spans="23:49" x14ac:dyDescent="0.15">
      <c r="W953" s="12"/>
      <c r="X953" s="62"/>
      <c r="Y953" s="62"/>
      <c r="Z953" s="62"/>
      <c r="AA953" s="62"/>
      <c r="AB953" s="98"/>
      <c r="AC953" s="62"/>
      <c r="AD953" s="62"/>
      <c r="AE953" s="62"/>
      <c r="AF953" s="62"/>
      <c r="AG953" s="66"/>
      <c r="AH953" s="62"/>
      <c r="AI953" s="62"/>
      <c r="AJ953" s="62"/>
      <c r="AK953" s="62"/>
      <c r="AL953" s="66"/>
      <c r="AM953" s="62"/>
      <c r="AN953" s="62"/>
      <c r="AO953" s="62"/>
      <c r="AP953" s="62"/>
      <c r="AQ953" s="66"/>
      <c r="AR953" s="62"/>
      <c r="AS953" s="62"/>
      <c r="AT953" s="62"/>
      <c r="AU953" s="62"/>
      <c r="AV953" s="66"/>
      <c r="AW953" s="97"/>
    </row>
    <row r="954" spans="23:49" x14ac:dyDescent="0.15">
      <c r="W954" s="12"/>
      <c r="X954" s="62"/>
      <c r="Y954" s="62"/>
      <c r="Z954" s="62"/>
      <c r="AA954" s="62"/>
      <c r="AB954" s="98"/>
      <c r="AC954" s="62"/>
      <c r="AD954" s="62"/>
      <c r="AE954" s="62"/>
      <c r="AF954" s="62"/>
      <c r="AG954" s="66"/>
      <c r="AH954" s="62"/>
      <c r="AI954" s="62"/>
      <c r="AJ954" s="62"/>
      <c r="AK954" s="62"/>
      <c r="AL954" s="66"/>
      <c r="AM954" s="62"/>
      <c r="AN954" s="62"/>
      <c r="AO954" s="62"/>
      <c r="AP954" s="62"/>
      <c r="AQ954" s="66"/>
      <c r="AR954" s="62"/>
      <c r="AS954" s="62"/>
      <c r="AT954" s="62"/>
      <c r="AU954" s="62"/>
      <c r="AV954" s="66"/>
      <c r="AW954" s="97"/>
    </row>
    <row r="955" spans="23:49" x14ac:dyDescent="0.15">
      <c r="W955" s="12"/>
      <c r="X955" s="62"/>
      <c r="Y955" s="62"/>
      <c r="Z955" s="62"/>
      <c r="AA955" s="62"/>
      <c r="AB955" s="98"/>
      <c r="AC955" s="62"/>
      <c r="AD955" s="62"/>
      <c r="AE955" s="62"/>
      <c r="AF955" s="62"/>
      <c r="AG955" s="66"/>
      <c r="AH955" s="62"/>
      <c r="AI955" s="62"/>
      <c r="AJ955" s="62"/>
      <c r="AK955" s="62"/>
      <c r="AL955" s="66"/>
      <c r="AM955" s="62"/>
      <c r="AN955" s="62"/>
      <c r="AO955" s="62"/>
      <c r="AP955" s="62"/>
      <c r="AQ955" s="66"/>
      <c r="AR955" s="62"/>
      <c r="AS955" s="62"/>
      <c r="AT955" s="62"/>
      <c r="AU955" s="62"/>
      <c r="AV955" s="66"/>
      <c r="AW955" s="97"/>
    </row>
    <row r="956" spans="23:49" x14ac:dyDescent="0.15">
      <c r="W956" s="12"/>
      <c r="X956" s="62"/>
      <c r="Y956" s="62"/>
      <c r="Z956" s="62"/>
      <c r="AA956" s="62"/>
      <c r="AB956" s="98"/>
      <c r="AC956" s="62"/>
      <c r="AD956" s="62"/>
      <c r="AE956" s="62"/>
      <c r="AF956" s="62"/>
      <c r="AG956" s="66"/>
      <c r="AH956" s="62"/>
      <c r="AI956" s="62"/>
      <c r="AJ956" s="62"/>
      <c r="AK956" s="62"/>
      <c r="AL956" s="66"/>
      <c r="AM956" s="62"/>
      <c r="AN956" s="62"/>
      <c r="AO956" s="62"/>
      <c r="AP956" s="62"/>
      <c r="AQ956" s="66"/>
      <c r="AR956" s="62"/>
      <c r="AS956" s="62"/>
      <c r="AT956" s="62"/>
      <c r="AU956" s="62"/>
      <c r="AV956" s="66"/>
      <c r="AW956" s="97"/>
    </row>
    <row r="957" spans="23:49" x14ac:dyDescent="0.15">
      <c r="W957" s="12"/>
      <c r="X957" s="62"/>
      <c r="Y957" s="62"/>
      <c r="Z957" s="62"/>
      <c r="AA957" s="62"/>
      <c r="AB957" s="98"/>
      <c r="AC957" s="62"/>
      <c r="AD957" s="62"/>
      <c r="AE957" s="62"/>
      <c r="AF957" s="62"/>
      <c r="AG957" s="66"/>
      <c r="AH957" s="62"/>
      <c r="AI957" s="62"/>
      <c r="AJ957" s="62"/>
      <c r="AK957" s="62"/>
      <c r="AL957" s="66"/>
      <c r="AM957" s="62"/>
      <c r="AN957" s="62"/>
      <c r="AO957" s="62"/>
      <c r="AP957" s="62"/>
      <c r="AQ957" s="66"/>
      <c r="AR957" s="62"/>
      <c r="AS957" s="62"/>
      <c r="AT957" s="62"/>
      <c r="AU957" s="62"/>
      <c r="AV957" s="66"/>
      <c r="AW957" s="97"/>
    </row>
    <row r="958" spans="23:49" x14ac:dyDescent="0.15">
      <c r="W958" s="12"/>
      <c r="X958" s="62"/>
      <c r="Y958" s="62"/>
      <c r="Z958" s="62"/>
      <c r="AA958" s="62"/>
      <c r="AB958" s="98"/>
      <c r="AC958" s="62"/>
      <c r="AD958" s="62"/>
      <c r="AE958" s="62"/>
      <c r="AF958" s="62"/>
      <c r="AG958" s="66"/>
      <c r="AH958" s="62"/>
      <c r="AI958" s="62"/>
      <c r="AJ958" s="62"/>
      <c r="AK958" s="62"/>
      <c r="AL958" s="66"/>
      <c r="AM958" s="62"/>
      <c r="AN958" s="62"/>
      <c r="AO958" s="62"/>
      <c r="AP958" s="62"/>
      <c r="AQ958" s="66"/>
      <c r="AR958" s="62"/>
      <c r="AS958" s="62"/>
      <c r="AT958" s="62"/>
      <c r="AU958" s="62"/>
      <c r="AV958" s="66"/>
      <c r="AW958" s="97"/>
    </row>
    <row r="959" spans="23:49" x14ac:dyDescent="0.15">
      <c r="W959" s="12"/>
      <c r="X959" s="62"/>
      <c r="Y959" s="62"/>
      <c r="Z959" s="62"/>
      <c r="AA959" s="62"/>
      <c r="AB959" s="98"/>
      <c r="AC959" s="62"/>
      <c r="AD959" s="62"/>
      <c r="AE959" s="62"/>
      <c r="AF959" s="62"/>
      <c r="AG959" s="66"/>
      <c r="AH959" s="62"/>
      <c r="AI959" s="62"/>
      <c r="AJ959" s="62"/>
      <c r="AK959" s="62"/>
      <c r="AL959" s="66"/>
      <c r="AM959" s="62"/>
      <c r="AN959" s="62"/>
      <c r="AO959" s="62"/>
      <c r="AP959" s="62"/>
      <c r="AQ959" s="66"/>
      <c r="AR959" s="62"/>
      <c r="AS959" s="62"/>
      <c r="AT959" s="62"/>
      <c r="AU959" s="62"/>
      <c r="AV959" s="66"/>
      <c r="AW959" s="97"/>
    </row>
    <row r="960" spans="23:49" x14ac:dyDescent="0.15">
      <c r="W960" s="12"/>
      <c r="X960" s="62"/>
      <c r="Y960" s="62"/>
      <c r="Z960" s="62"/>
      <c r="AA960" s="62"/>
      <c r="AB960" s="98"/>
      <c r="AC960" s="62"/>
      <c r="AD960" s="62"/>
      <c r="AE960" s="62"/>
      <c r="AF960" s="62"/>
      <c r="AG960" s="66"/>
      <c r="AH960" s="62"/>
      <c r="AI960" s="62"/>
      <c r="AJ960" s="62"/>
      <c r="AK960" s="62"/>
      <c r="AL960" s="66"/>
      <c r="AM960" s="62"/>
      <c r="AN960" s="62"/>
      <c r="AO960" s="62"/>
      <c r="AP960" s="62"/>
      <c r="AQ960" s="66"/>
      <c r="AR960" s="62"/>
      <c r="AS960" s="62"/>
      <c r="AT960" s="62"/>
      <c r="AU960" s="62"/>
      <c r="AV960" s="66"/>
      <c r="AW960" s="97"/>
    </row>
    <row r="961" spans="23:49" x14ac:dyDescent="0.15">
      <c r="W961" s="12"/>
      <c r="X961" s="62"/>
      <c r="Y961" s="62"/>
      <c r="Z961" s="62"/>
      <c r="AA961" s="62"/>
      <c r="AB961" s="98"/>
      <c r="AC961" s="62"/>
      <c r="AD961" s="62"/>
      <c r="AE961" s="62"/>
      <c r="AF961" s="62"/>
      <c r="AG961" s="66"/>
      <c r="AH961" s="62"/>
      <c r="AI961" s="62"/>
      <c r="AJ961" s="62"/>
      <c r="AK961" s="62"/>
      <c r="AL961" s="66"/>
      <c r="AM961" s="62"/>
      <c r="AN961" s="62"/>
      <c r="AO961" s="62"/>
      <c r="AP961" s="62"/>
      <c r="AQ961" s="66"/>
      <c r="AR961" s="62"/>
      <c r="AS961" s="62"/>
      <c r="AT961" s="62"/>
      <c r="AU961" s="62"/>
      <c r="AV961" s="66"/>
      <c r="AW961" s="97"/>
    </row>
    <row r="962" spans="23:49" x14ac:dyDescent="0.15">
      <c r="W962" s="12"/>
      <c r="X962" s="62"/>
      <c r="Y962" s="62"/>
      <c r="Z962" s="62"/>
      <c r="AA962" s="62"/>
      <c r="AB962" s="98"/>
      <c r="AC962" s="62"/>
      <c r="AD962" s="62"/>
      <c r="AE962" s="62"/>
      <c r="AF962" s="62"/>
      <c r="AG962" s="66"/>
      <c r="AH962" s="62"/>
      <c r="AI962" s="62"/>
      <c r="AJ962" s="62"/>
      <c r="AK962" s="62"/>
      <c r="AL962" s="66"/>
      <c r="AM962" s="62"/>
      <c r="AN962" s="62"/>
      <c r="AO962" s="62"/>
      <c r="AP962" s="62"/>
      <c r="AQ962" s="66"/>
      <c r="AR962" s="62"/>
      <c r="AS962" s="62"/>
      <c r="AT962" s="62"/>
      <c r="AU962" s="62"/>
      <c r="AV962" s="66"/>
      <c r="AW962" s="97"/>
    </row>
    <row r="963" spans="23:49" x14ac:dyDescent="0.15">
      <c r="W963" s="12"/>
      <c r="X963" s="62"/>
      <c r="Y963" s="62"/>
      <c r="Z963" s="62"/>
      <c r="AA963" s="62"/>
      <c r="AB963" s="98"/>
      <c r="AC963" s="62"/>
      <c r="AD963" s="62"/>
      <c r="AE963" s="62"/>
      <c r="AF963" s="62"/>
      <c r="AG963" s="66"/>
      <c r="AH963" s="62"/>
      <c r="AI963" s="62"/>
      <c r="AJ963" s="62"/>
      <c r="AK963" s="62"/>
      <c r="AL963" s="66"/>
      <c r="AM963" s="62"/>
      <c r="AN963" s="62"/>
      <c r="AO963" s="62"/>
      <c r="AP963" s="62"/>
      <c r="AQ963" s="66"/>
      <c r="AR963" s="62"/>
      <c r="AS963" s="62"/>
      <c r="AT963" s="62"/>
      <c r="AU963" s="62"/>
      <c r="AV963" s="66"/>
      <c r="AW963" s="97"/>
    </row>
    <row r="964" spans="23:49" x14ac:dyDescent="0.15">
      <c r="W964" s="12"/>
      <c r="X964" s="62"/>
      <c r="Y964" s="62"/>
      <c r="Z964" s="62"/>
      <c r="AA964" s="62"/>
      <c r="AB964" s="98"/>
      <c r="AC964" s="62"/>
      <c r="AD964" s="62"/>
      <c r="AE964" s="62"/>
      <c r="AF964" s="62"/>
      <c r="AG964" s="66"/>
      <c r="AH964" s="62"/>
      <c r="AI964" s="62"/>
      <c r="AJ964" s="62"/>
      <c r="AK964" s="62"/>
      <c r="AL964" s="66"/>
      <c r="AM964" s="62"/>
      <c r="AN964" s="62"/>
      <c r="AO964" s="62"/>
      <c r="AP964" s="62"/>
      <c r="AQ964" s="66"/>
      <c r="AR964" s="62"/>
      <c r="AS964" s="62"/>
      <c r="AT964" s="62"/>
      <c r="AU964" s="62"/>
      <c r="AV964" s="66"/>
      <c r="AW964" s="97"/>
    </row>
    <row r="965" spans="23:49" x14ac:dyDescent="0.15">
      <c r="W965" s="12"/>
      <c r="X965" s="62"/>
      <c r="Y965" s="62"/>
      <c r="Z965" s="62"/>
      <c r="AA965" s="62"/>
      <c r="AB965" s="98"/>
      <c r="AC965" s="62"/>
      <c r="AD965" s="62"/>
      <c r="AE965" s="62"/>
      <c r="AF965" s="62"/>
      <c r="AG965" s="66"/>
      <c r="AH965" s="62"/>
      <c r="AI965" s="62"/>
      <c r="AJ965" s="62"/>
      <c r="AK965" s="62"/>
      <c r="AL965" s="66"/>
      <c r="AM965" s="62"/>
      <c r="AN965" s="62"/>
      <c r="AO965" s="62"/>
      <c r="AP965" s="62"/>
      <c r="AQ965" s="66"/>
      <c r="AR965" s="62"/>
      <c r="AS965" s="62"/>
      <c r="AT965" s="62"/>
      <c r="AU965" s="62"/>
      <c r="AV965" s="66"/>
      <c r="AW965" s="97"/>
    </row>
    <row r="966" spans="23:49" x14ac:dyDescent="0.15">
      <c r="W966" s="12"/>
      <c r="X966" s="62"/>
      <c r="Y966" s="62"/>
      <c r="Z966" s="62"/>
      <c r="AA966" s="62"/>
      <c r="AB966" s="98"/>
      <c r="AC966" s="62"/>
      <c r="AD966" s="62"/>
      <c r="AE966" s="62"/>
      <c r="AF966" s="62"/>
      <c r="AG966" s="66"/>
      <c r="AH966" s="62"/>
      <c r="AI966" s="62"/>
      <c r="AJ966" s="62"/>
      <c r="AK966" s="62"/>
      <c r="AL966" s="66"/>
      <c r="AM966" s="62"/>
      <c r="AN966" s="62"/>
      <c r="AO966" s="62"/>
      <c r="AP966" s="62"/>
      <c r="AQ966" s="66"/>
      <c r="AR966" s="62"/>
      <c r="AS966" s="62"/>
      <c r="AT966" s="62"/>
      <c r="AU966" s="62"/>
      <c r="AV966" s="66"/>
      <c r="AW966" s="97"/>
    </row>
    <row r="967" spans="23:49" x14ac:dyDescent="0.15">
      <c r="W967" s="12"/>
      <c r="X967" s="62"/>
      <c r="Y967" s="62"/>
      <c r="Z967" s="62"/>
      <c r="AA967" s="62"/>
      <c r="AB967" s="98"/>
      <c r="AC967" s="62"/>
      <c r="AD967" s="62"/>
      <c r="AE967" s="62"/>
      <c r="AF967" s="62"/>
      <c r="AG967" s="66"/>
      <c r="AH967" s="62"/>
      <c r="AI967" s="62"/>
      <c r="AJ967" s="62"/>
      <c r="AK967" s="62"/>
      <c r="AL967" s="66"/>
      <c r="AM967" s="62"/>
      <c r="AN967" s="62"/>
      <c r="AO967" s="62"/>
      <c r="AP967" s="62"/>
      <c r="AQ967" s="66"/>
      <c r="AR967" s="62"/>
      <c r="AS967" s="62"/>
      <c r="AT967" s="62"/>
      <c r="AU967" s="62"/>
      <c r="AV967" s="66"/>
      <c r="AW967" s="97"/>
    </row>
    <row r="968" spans="23:49" x14ac:dyDescent="0.15">
      <c r="W968" s="12"/>
      <c r="X968" s="62"/>
      <c r="Y968" s="62"/>
      <c r="Z968" s="62"/>
      <c r="AA968" s="62"/>
      <c r="AB968" s="98"/>
      <c r="AC968" s="62"/>
      <c r="AD968" s="62"/>
      <c r="AE968" s="62"/>
      <c r="AF968" s="62"/>
      <c r="AG968" s="66"/>
      <c r="AH968" s="62"/>
      <c r="AI968" s="62"/>
      <c r="AJ968" s="62"/>
      <c r="AK968" s="62"/>
      <c r="AL968" s="66"/>
      <c r="AM968" s="62"/>
      <c r="AN968" s="62"/>
      <c r="AO968" s="62"/>
      <c r="AP968" s="62"/>
      <c r="AQ968" s="66"/>
      <c r="AR968" s="62"/>
      <c r="AS968" s="62"/>
      <c r="AT968" s="62"/>
      <c r="AU968" s="62"/>
      <c r="AV968" s="66"/>
      <c r="AW968" s="97"/>
    </row>
    <row r="969" spans="23:49" x14ac:dyDescent="0.15">
      <c r="W969" s="12"/>
      <c r="X969" s="62"/>
      <c r="Y969" s="62"/>
      <c r="Z969" s="62"/>
      <c r="AA969" s="62"/>
      <c r="AB969" s="98"/>
      <c r="AC969" s="62"/>
      <c r="AD969" s="62"/>
      <c r="AE969" s="62"/>
      <c r="AF969" s="62"/>
      <c r="AG969" s="66"/>
      <c r="AH969" s="62"/>
      <c r="AI969" s="62"/>
      <c r="AJ969" s="62"/>
      <c r="AK969" s="62"/>
      <c r="AL969" s="66"/>
      <c r="AM969" s="62"/>
      <c r="AN969" s="62"/>
      <c r="AO969" s="62"/>
      <c r="AP969" s="62"/>
      <c r="AQ969" s="66"/>
      <c r="AR969" s="62"/>
      <c r="AS969" s="62"/>
      <c r="AT969" s="62"/>
      <c r="AU969" s="62"/>
      <c r="AV969" s="66"/>
      <c r="AW969" s="97"/>
    </row>
    <row r="970" spans="23:49" x14ac:dyDescent="0.15">
      <c r="W970" s="12"/>
      <c r="X970" s="62"/>
      <c r="Y970" s="62"/>
      <c r="Z970" s="62"/>
      <c r="AA970" s="62"/>
      <c r="AB970" s="98"/>
      <c r="AC970" s="62"/>
      <c r="AD970" s="62"/>
      <c r="AE970" s="62"/>
      <c r="AF970" s="62"/>
      <c r="AG970" s="66"/>
      <c r="AH970" s="62"/>
      <c r="AI970" s="62"/>
      <c r="AJ970" s="62"/>
      <c r="AK970" s="62"/>
      <c r="AL970" s="66"/>
      <c r="AM970" s="62"/>
      <c r="AN970" s="62"/>
      <c r="AO970" s="62"/>
      <c r="AP970" s="62"/>
      <c r="AQ970" s="66"/>
      <c r="AR970" s="62"/>
      <c r="AS970" s="62"/>
      <c r="AT970" s="62"/>
      <c r="AU970" s="62"/>
      <c r="AV970" s="66"/>
      <c r="AW970" s="97"/>
    </row>
    <row r="971" spans="23:49" x14ac:dyDescent="0.15">
      <c r="W971" s="12"/>
      <c r="X971" s="62"/>
      <c r="Y971" s="62"/>
      <c r="Z971" s="62"/>
      <c r="AA971" s="62"/>
      <c r="AB971" s="98"/>
      <c r="AC971" s="62"/>
      <c r="AD971" s="62"/>
      <c r="AE971" s="62"/>
      <c r="AF971" s="62"/>
      <c r="AG971" s="66"/>
      <c r="AH971" s="62"/>
      <c r="AI971" s="62"/>
      <c r="AJ971" s="62"/>
      <c r="AK971" s="62"/>
      <c r="AL971" s="66"/>
      <c r="AM971" s="62"/>
      <c r="AN971" s="62"/>
      <c r="AO971" s="62"/>
      <c r="AP971" s="62"/>
      <c r="AQ971" s="66"/>
      <c r="AR971" s="62"/>
      <c r="AS971" s="62"/>
      <c r="AT971" s="62"/>
      <c r="AU971" s="62"/>
      <c r="AV971" s="66"/>
      <c r="AW971" s="97"/>
    </row>
    <row r="972" spans="23:49" x14ac:dyDescent="0.15">
      <c r="W972" s="12"/>
      <c r="X972" s="62"/>
      <c r="Y972" s="62"/>
      <c r="Z972" s="62"/>
      <c r="AA972" s="62"/>
      <c r="AB972" s="98"/>
      <c r="AC972" s="62"/>
      <c r="AD972" s="62"/>
      <c r="AE972" s="62"/>
      <c r="AF972" s="62"/>
      <c r="AG972" s="66"/>
      <c r="AH972" s="62"/>
      <c r="AI972" s="62"/>
      <c r="AJ972" s="62"/>
      <c r="AK972" s="62"/>
      <c r="AL972" s="66"/>
      <c r="AM972" s="62"/>
      <c r="AN972" s="62"/>
      <c r="AO972" s="62"/>
      <c r="AP972" s="62"/>
      <c r="AQ972" s="66"/>
      <c r="AR972" s="62"/>
      <c r="AS972" s="62"/>
      <c r="AT972" s="62"/>
      <c r="AU972" s="62"/>
      <c r="AV972" s="66"/>
      <c r="AW972" s="97"/>
    </row>
    <row r="973" spans="23:49" x14ac:dyDescent="0.15">
      <c r="W973" s="12"/>
      <c r="X973" s="62"/>
      <c r="Y973" s="62"/>
      <c r="Z973" s="62"/>
      <c r="AA973" s="62"/>
      <c r="AB973" s="98"/>
      <c r="AC973" s="62"/>
      <c r="AD973" s="62"/>
      <c r="AE973" s="62"/>
      <c r="AF973" s="62"/>
      <c r="AG973" s="66"/>
      <c r="AH973" s="62"/>
      <c r="AI973" s="62"/>
      <c r="AJ973" s="62"/>
      <c r="AK973" s="62"/>
      <c r="AL973" s="66"/>
      <c r="AM973" s="62"/>
      <c r="AN973" s="62"/>
      <c r="AO973" s="62"/>
      <c r="AP973" s="62"/>
      <c r="AQ973" s="66"/>
      <c r="AR973" s="62"/>
      <c r="AS973" s="62"/>
      <c r="AT973" s="62"/>
      <c r="AU973" s="62"/>
      <c r="AV973" s="66"/>
      <c r="AW973" s="97"/>
    </row>
    <row r="974" spans="23:49" x14ac:dyDescent="0.15">
      <c r="W974" s="12"/>
      <c r="X974" s="62"/>
      <c r="Y974" s="62"/>
      <c r="Z974" s="62"/>
      <c r="AA974" s="62"/>
      <c r="AB974" s="98"/>
      <c r="AC974" s="62"/>
      <c r="AD974" s="62"/>
      <c r="AE974" s="62"/>
      <c r="AF974" s="62"/>
      <c r="AG974" s="66"/>
      <c r="AH974" s="62"/>
      <c r="AI974" s="62"/>
      <c r="AJ974" s="62"/>
      <c r="AK974" s="62"/>
      <c r="AL974" s="66"/>
      <c r="AM974" s="62"/>
      <c r="AN974" s="62"/>
      <c r="AO974" s="62"/>
      <c r="AP974" s="62"/>
      <c r="AQ974" s="66"/>
      <c r="AR974" s="62"/>
      <c r="AS974" s="62"/>
      <c r="AT974" s="62"/>
      <c r="AU974" s="62"/>
      <c r="AV974" s="66"/>
      <c r="AW974" s="97"/>
    </row>
    <row r="975" spans="23:49" x14ac:dyDescent="0.15">
      <c r="W975" s="12"/>
      <c r="X975" s="62"/>
      <c r="Y975" s="62"/>
      <c r="Z975" s="62"/>
      <c r="AA975" s="62"/>
      <c r="AB975" s="98"/>
      <c r="AC975" s="62"/>
      <c r="AD975" s="62"/>
      <c r="AE975" s="62"/>
      <c r="AF975" s="62"/>
      <c r="AG975" s="66"/>
      <c r="AH975" s="62"/>
      <c r="AI975" s="62"/>
      <c r="AJ975" s="62"/>
      <c r="AK975" s="62"/>
      <c r="AL975" s="66"/>
      <c r="AM975" s="62"/>
      <c r="AN975" s="62"/>
      <c r="AO975" s="62"/>
      <c r="AP975" s="62"/>
      <c r="AQ975" s="66"/>
      <c r="AR975" s="62"/>
      <c r="AS975" s="62"/>
      <c r="AT975" s="62"/>
      <c r="AU975" s="62"/>
      <c r="AV975" s="66"/>
      <c r="AW975" s="97"/>
    </row>
    <row r="976" spans="23:49" x14ac:dyDescent="0.15">
      <c r="W976" s="12"/>
      <c r="X976" s="62"/>
      <c r="Y976" s="62"/>
      <c r="Z976" s="62"/>
      <c r="AA976" s="62"/>
      <c r="AB976" s="98"/>
      <c r="AC976" s="62"/>
      <c r="AD976" s="62"/>
      <c r="AE976" s="62"/>
      <c r="AF976" s="62"/>
      <c r="AG976" s="66"/>
      <c r="AH976" s="62"/>
      <c r="AI976" s="62"/>
      <c r="AJ976" s="62"/>
      <c r="AK976" s="62"/>
      <c r="AL976" s="66"/>
      <c r="AM976" s="62"/>
      <c r="AN976" s="62"/>
      <c r="AO976" s="62"/>
      <c r="AP976" s="62"/>
      <c r="AQ976" s="66"/>
      <c r="AR976" s="62"/>
      <c r="AS976" s="62"/>
      <c r="AT976" s="62"/>
      <c r="AU976" s="62"/>
      <c r="AV976" s="66"/>
      <c r="AW976" s="97"/>
    </row>
    <row r="977" spans="23:49" x14ac:dyDescent="0.15">
      <c r="W977" s="12"/>
      <c r="X977" s="62"/>
      <c r="Y977" s="62"/>
      <c r="Z977" s="62"/>
      <c r="AA977" s="62"/>
      <c r="AB977" s="98"/>
      <c r="AC977" s="62"/>
      <c r="AD977" s="62"/>
      <c r="AE977" s="62"/>
      <c r="AF977" s="62"/>
      <c r="AG977" s="66"/>
      <c r="AH977" s="62"/>
      <c r="AI977" s="62"/>
      <c r="AJ977" s="62"/>
      <c r="AK977" s="62"/>
      <c r="AL977" s="66"/>
      <c r="AM977" s="62"/>
      <c r="AN977" s="62"/>
      <c r="AO977" s="62"/>
      <c r="AP977" s="62"/>
      <c r="AQ977" s="66"/>
      <c r="AR977" s="62"/>
      <c r="AS977" s="62"/>
      <c r="AT977" s="62"/>
      <c r="AU977" s="62"/>
      <c r="AV977" s="66"/>
      <c r="AW977" s="97"/>
    </row>
    <row r="978" spans="23:49" x14ac:dyDescent="0.15">
      <c r="W978" s="12"/>
      <c r="X978" s="62"/>
      <c r="Y978" s="62"/>
      <c r="Z978" s="62"/>
      <c r="AA978" s="62"/>
      <c r="AB978" s="98"/>
      <c r="AC978" s="62"/>
      <c r="AD978" s="62"/>
      <c r="AE978" s="62"/>
      <c r="AF978" s="62"/>
      <c r="AG978" s="66"/>
      <c r="AH978" s="62"/>
      <c r="AI978" s="62"/>
      <c r="AJ978" s="62"/>
      <c r="AK978" s="62"/>
      <c r="AL978" s="66"/>
      <c r="AM978" s="62"/>
      <c r="AN978" s="62"/>
      <c r="AO978" s="62"/>
      <c r="AP978" s="62"/>
      <c r="AQ978" s="66"/>
      <c r="AR978" s="62"/>
      <c r="AS978" s="62"/>
      <c r="AT978" s="62"/>
      <c r="AU978" s="62"/>
      <c r="AV978" s="66"/>
      <c r="AW978" s="97"/>
    </row>
    <row r="979" spans="23:49" x14ac:dyDescent="0.15">
      <c r="W979" s="12"/>
      <c r="X979" s="62"/>
      <c r="Y979" s="62"/>
      <c r="Z979" s="62"/>
      <c r="AA979" s="62"/>
      <c r="AB979" s="98"/>
      <c r="AC979" s="62"/>
      <c r="AD979" s="62"/>
      <c r="AE979" s="62"/>
      <c r="AF979" s="62"/>
      <c r="AG979" s="66"/>
      <c r="AH979" s="62"/>
      <c r="AI979" s="62"/>
      <c r="AJ979" s="62"/>
      <c r="AK979" s="62"/>
      <c r="AL979" s="66"/>
      <c r="AM979" s="62"/>
      <c r="AN979" s="62"/>
      <c r="AO979" s="62"/>
      <c r="AP979" s="62"/>
      <c r="AQ979" s="66"/>
      <c r="AR979" s="62"/>
      <c r="AS979" s="62"/>
      <c r="AT979" s="62"/>
      <c r="AU979" s="62"/>
      <c r="AV979" s="66"/>
      <c r="AW979" s="97"/>
    </row>
    <row r="980" spans="23:49" x14ac:dyDescent="0.15">
      <c r="W980" s="12"/>
      <c r="X980" s="62"/>
      <c r="Y980" s="62"/>
      <c r="Z980" s="62"/>
      <c r="AA980" s="62"/>
      <c r="AB980" s="98"/>
      <c r="AC980" s="62"/>
      <c r="AD980" s="62"/>
      <c r="AE980" s="62"/>
      <c r="AF980" s="62"/>
      <c r="AG980" s="66"/>
      <c r="AH980" s="62"/>
      <c r="AI980" s="62"/>
      <c r="AJ980" s="62"/>
      <c r="AK980" s="62"/>
      <c r="AL980" s="66"/>
      <c r="AM980" s="62"/>
      <c r="AN980" s="62"/>
      <c r="AO980" s="62"/>
      <c r="AP980" s="62"/>
      <c r="AQ980" s="66"/>
      <c r="AR980" s="62"/>
      <c r="AS980" s="62"/>
      <c r="AT980" s="62"/>
      <c r="AU980" s="62"/>
      <c r="AV980" s="66"/>
      <c r="AW980" s="97"/>
    </row>
    <row r="981" spans="23:49" x14ac:dyDescent="0.15">
      <c r="W981" s="12"/>
      <c r="X981" s="62"/>
      <c r="Y981" s="62"/>
      <c r="Z981" s="62"/>
      <c r="AA981" s="62"/>
      <c r="AB981" s="98"/>
      <c r="AC981" s="62"/>
      <c r="AD981" s="62"/>
      <c r="AE981" s="62"/>
      <c r="AF981" s="62"/>
      <c r="AG981" s="66"/>
      <c r="AH981" s="62"/>
      <c r="AI981" s="62"/>
      <c r="AJ981" s="62"/>
      <c r="AK981" s="62"/>
      <c r="AL981" s="66"/>
      <c r="AM981" s="62"/>
      <c r="AN981" s="62"/>
      <c r="AO981" s="62"/>
      <c r="AP981" s="62"/>
      <c r="AQ981" s="66"/>
      <c r="AR981" s="62"/>
      <c r="AS981" s="62"/>
      <c r="AT981" s="62"/>
      <c r="AU981" s="62"/>
      <c r="AV981" s="66"/>
      <c r="AW981" s="97"/>
    </row>
    <row r="982" spans="23:49" x14ac:dyDescent="0.15">
      <c r="W982" s="12"/>
      <c r="X982" s="62"/>
      <c r="Y982" s="62"/>
      <c r="Z982" s="62"/>
      <c r="AA982" s="62"/>
      <c r="AB982" s="98"/>
      <c r="AC982" s="62"/>
      <c r="AD982" s="62"/>
      <c r="AE982" s="62"/>
      <c r="AF982" s="62"/>
      <c r="AG982" s="66"/>
      <c r="AH982" s="62"/>
      <c r="AI982" s="62"/>
      <c r="AJ982" s="62"/>
      <c r="AK982" s="62"/>
      <c r="AL982" s="66"/>
      <c r="AM982" s="62"/>
      <c r="AN982" s="62"/>
      <c r="AO982" s="62"/>
      <c r="AP982" s="62"/>
      <c r="AQ982" s="66"/>
      <c r="AR982" s="62"/>
      <c r="AS982" s="62"/>
      <c r="AT982" s="62"/>
      <c r="AU982" s="62"/>
      <c r="AV982" s="66"/>
      <c r="AW982" s="97"/>
    </row>
    <row r="983" spans="23:49" x14ac:dyDescent="0.15">
      <c r="W983" s="12"/>
      <c r="X983" s="62"/>
      <c r="Y983" s="62"/>
      <c r="Z983" s="62"/>
      <c r="AA983" s="62"/>
      <c r="AB983" s="98"/>
      <c r="AC983" s="62"/>
      <c r="AD983" s="62"/>
      <c r="AE983" s="62"/>
      <c r="AF983" s="62"/>
      <c r="AG983" s="66"/>
      <c r="AH983" s="62"/>
      <c r="AI983" s="62"/>
      <c r="AJ983" s="62"/>
      <c r="AK983" s="62"/>
      <c r="AL983" s="66"/>
      <c r="AM983" s="62"/>
      <c r="AN983" s="62"/>
      <c r="AO983" s="62"/>
      <c r="AP983" s="62"/>
      <c r="AQ983" s="66"/>
      <c r="AR983" s="62"/>
      <c r="AS983" s="62"/>
      <c r="AT983" s="62"/>
      <c r="AU983" s="62"/>
      <c r="AV983" s="66"/>
      <c r="AW983" s="97"/>
    </row>
    <row r="984" spans="23:49" x14ac:dyDescent="0.15">
      <c r="W984" s="12"/>
      <c r="X984" s="62"/>
      <c r="Y984" s="62"/>
      <c r="Z984" s="62"/>
      <c r="AA984" s="62"/>
      <c r="AB984" s="98"/>
      <c r="AC984" s="62"/>
      <c r="AD984" s="62"/>
      <c r="AE984" s="62"/>
      <c r="AF984" s="62"/>
      <c r="AG984" s="66"/>
      <c r="AH984" s="62"/>
      <c r="AI984" s="62"/>
      <c r="AJ984" s="62"/>
      <c r="AK984" s="62"/>
      <c r="AL984" s="66"/>
      <c r="AM984" s="62"/>
      <c r="AN984" s="62"/>
      <c r="AO984" s="62"/>
      <c r="AP984" s="62"/>
      <c r="AQ984" s="66"/>
      <c r="AR984" s="62"/>
      <c r="AS984" s="62"/>
      <c r="AT984" s="62"/>
      <c r="AU984" s="62"/>
      <c r="AV984" s="66"/>
      <c r="AW984" s="97"/>
    </row>
    <row r="985" spans="23:49" x14ac:dyDescent="0.15">
      <c r="W985" s="12"/>
      <c r="X985" s="62"/>
      <c r="Y985" s="62"/>
      <c r="Z985" s="62"/>
      <c r="AA985" s="62"/>
      <c r="AB985" s="98"/>
      <c r="AC985" s="62"/>
      <c r="AD985" s="62"/>
      <c r="AE985" s="62"/>
      <c r="AF985" s="62"/>
      <c r="AG985" s="66"/>
      <c r="AH985" s="62"/>
      <c r="AI985" s="62"/>
      <c r="AJ985" s="62"/>
      <c r="AK985" s="62"/>
      <c r="AL985" s="66"/>
      <c r="AM985" s="62"/>
      <c r="AN985" s="62"/>
      <c r="AO985" s="62"/>
      <c r="AP985" s="62"/>
      <c r="AQ985" s="66"/>
      <c r="AR985" s="62"/>
      <c r="AS985" s="62"/>
      <c r="AT985" s="62"/>
      <c r="AU985" s="62"/>
      <c r="AV985" s="66"/>
      <c r="AW985" s="97"/>
    </row>
    <row r="986" spans="23:49" x14ac:dyDescent="0.15">
      <c r="W986" s="12"/>
      <c r="X986" s="62"/>
      <c r="Y986" s="62"/>
      <c r="Z986" s="62"/>
      <c r="AA986" s="62"/>
      <c r="AB986" s="98"/>
      <c r="AC986" s="62"/>
      <c r="AD986" s="62"/>
      <c r="AE986" s="62"/>
      <c r="AF986" s="62"/>
      <c r="AG986" s="66"/>
      <c r="AH986" s="62"/>
      <c r="AI986" s="62"/>
      <c r="AJ986" s="62"/>
      <c r="AK986" s="62"/>
      <c r="AL986" s="66"/>
      <c r="AM986" s="62"/>
      <c r="AN986" s="62"/>
      <c r="AO986" s="62"/>
      <c r="AP986" s="62"/>
      <c r="AQ986" s="66"/>
      <c r="AR986" s="62"/>
      <c r="AS986" s="62"/>
      <c r="AT986" s="62"/>
      <c r="AU986" s="62"/>
      <c r="AV986" s="66"/>
      <c r="AW986" s="97"/>
    </row>
    <row r="987" spans="23:49" x14ac:dyDescent="0.15">
      <c r="W987" s="12"/>
      <c r="X987" s="62"/>
      <c r="Y987" s="62"/>
      <c r="Z987" s="62"/>
      <c r="AA987" s="62"/>
      <c r="AB987" s="98"/>
      <c r="AC987" s="62"/>
      <c r="AD987" s="62"/>
      <c r="AE987" s="62"/>
      <c r="AF987" s="62"/>
      <c r="AG987" s="66"/>
      <c r="AH987" s="62"/>
      <c r="AI987" s="62"/>
      <c r="AJ987" s="62"/>
      <c r="AK987" s="62"/>
      <c r="AL987" s="66"/>
      <c r="AM987" s="62"/>
      <c r="AN987" s="62"/>
      <c r="AO987" s="62"/>
      <c r="AP987" s="62"/>
      <c r="AQ987" s="66"/>
      <c r="AR987" s="62"/>
      <c r="AS987" s="62"/>
      <c r="AT987" s="62"/>
      <c r="AU987" s="62"/>
      <c r="AV987" s="66"/>
      <c r="AW987" s="97"/>
    </row>
    <row r="988" spans="23:49" x14ac:dyDescent="0.15">
      <c r="W988" s="12"/>
      <c r="X988" s="62"/>
      <c r="Y988" s="62"/>
      <c r="Z988" s="62"/>
      <c r="AA988" s="62"/>
      <c r="AB988" s="98"/>
      <c r="AC988" s="62"/>
      <c r="AD988" s="62"/>
      <c r="AE988" s="62"/>
      <c r="AF988" s="62"/>
      <c r="AG988" s="66"/>
      <c r="AH988" s="62"/>
      <c r="AI988" s="62"/>
      <c r="AJ988" s="62"/>
      <c r="AK988" s="62"/>
      <c r="AL988" s="66"/>
      <c r="AM988" s="62"/>
      <c r="AN988" s="62"/>
      <c r="AO988" s="62"/>
      <c r="AP988" s="62"/>
      <c r="AQ988" s="66"/>
      <c r="AR988" s="62"/>
      <c r="AS988" s="62"/>
      <c r="AT988" s="62"/>
      <c r="AU988" s="62"/>
      <c r="AV988" s="66"/>
      <c r="AW988" s="97"/>
    </row>
    <row r="989" spans="23:49" x14ac:dyDescent="0.15">
      <c r="W989" s="12"/>
      <c r="X989" s="62"/>
      <c r="Y989" s="62"/>
      <c r="Z989" s="62"/>
      <c r="AA989" s="62"/>
      <c r="AB989" s="98"/>
      <c r="AC989" s="62"/>
      <c r="AD989" s="62"/>
      <c r="AE989" s="62"/>
      <c r="AF989" s="62"/>
      <c r="AG989" s="66"/>
      <c r="AH989" s="62"/>
      <c r="AI989" s="62"/>
      <c r="AJ989" s="62"/>
      <c r="AK989" s="62"/>
      <c r="AL989" s="66"/>
      <c r="AM989" s="62"/>
      <c r="AN989" s="62"/>
      <c r="AO989" s="62"/>
      <c r="AP989" s="62"/>
      <c r="AQ989" s="66"/>
      <c r="AR989" s="62"/>
      <c r="AS989" s="62"/>
      <c r="AT989" s="62"/>
      <c r="AU989" s="62"/>
      <c r="AV989" s="66"/>
      <c r="AW989" s="97"/>
    </row>
    <row r="990" spans="23:49" x14ac:dyDescent="0.15">
      <c r="W990" s="12"/>
      <c r="X990" s="62"/>
      <c r="Y990" s="62"/>
      <c r="Z990" s="62"/>
      <c r="AA990" s="62"/>
      <c r="AB990" s="98"/>
      <c r="AC990" s="62"/>
      <c r="AD990" s="62"/>
      <c r="AE990" s="62"/>
      <c r="AF990" s="62"/>
      <c r="AG990" s="66"/>
      <c r="AH990" s="62"/>
      <c r="AI990" s="62"/>
      <c r="AJ990" s="62"/>
      <c r="AK990" s="62"/>
      <c r="AL990" s="66"/>
      <c r="AM990" s="62"/>
      <c r="AN990" s="62"/>
      <c r="AO990" s="62"/>
      <c r="AP990" s="62"/>
      <c r="AQ990" s="66"/>
      <c r="AR990" s="62"/>
      <c r="AS990" s="62"/>
      <c r="AT990" s="62"/>
      <c r="AU990" s="62"/>
      <c r="AV990" s="66"/>
      <c r="AW990" s="97"/>
    </row>
    <row r="991" spans="23:49" x14ac:dyDescent="0.15">
      <c r="W991" s="12"/>
      <c r="X991" s="62"/>
      <c r="Y991" s="62"/>
      <c r="Z991" s="62"/>
      <c r="AA991" s="62"/>
      <c r="AB991" s="98"/>
      <c r="AC991" s="62"/>
      <c r="AD991" s="62"/>
      <c r="AE991" s="62"/>
      <c r="AF991" s="62"/>
      <c r="AG991" s="66"/>
      <c r="AH991" s="62"/>
      <c r="AI991" s="62"/>
      <c r="AJ991" s="62"/>
      <c r="AK991" s="62"/>
      <c r="AL991" s="66"/>
      <c r="AM991" s="62"/>
      <c r="AN991" s="62"/>
      <c r="AO991" s="62"/>
      <c r="AP991" s="62"/>
      <c r="AQ991" s="66"/>
      <c r="AR991" s="62"/>
      <c r="AS991" s="62"/>
      <c r="AT991" s="62"/>
      <c r="AU991" s="62"/>
      <c r="AV991" s="66"/>
      <c r="AW991" s="97"/>
    </row>
    <row r="992" spans="23:49" x14ac:dyDescent="0.15">
      <c r="W992" s="12"/>
      <c r="X992" s="62"/>
      <c r="Y992" s="62"/>
      <c r="Z992" s="62"/>
      <c r="AA992" s="62"/>
      <c r="AB992" s="98"/>
      <c r="AC992" s="62"/>
      <c r="AD992" s="62"/>
      <c r="AE992" s="62"/>
      <c r="AF992" s="62"/>
      <c r="AG992" s="66"/>
      <c r="AH992" s="62"/>
      <c r="AI992" s="62"/>
      <c r="AJ992" s="62"/>
      <c r="AK992" s="62"/>
      <c r="AL992" s="66"/>
      <c r="AM992" s="62"/>
      <c r="AN992" s="62"/>
      <c r="AO992" s="62"/>
      <c r="AP992" s="62"/>
      <c r="AQ992" s="66"/>
      <c r="AR992" s="62"/>
      <c r="AS992" s="62"/>
      <c r="AT992" s="62"/>
      <c r="AU992" s="62"/>
      <c r="AV992" s="66"/>
      <c r="AW992" s="97"/>
    </row>
    <row r="993" spans="23:49" x14ac:dyDescent="0.15">
      <c r="W993" s="12"/>
      <c r="X993" s="62"/>
      <c r="Y993" s="62"/>
      <c r="Z993" s="62"/>
      <c r="AA993" s="62"/>
      <c r="AB993" s="98"/>
      <c r="AC993" s="62"/>
      <c r="AD993" s="62"/>
      <c r="AE993" s="62"/>
      <c r="AF993" s="62"/>
      <c r="AG993" s="66"/>
      <c r="AH993" s="62"/>
      <c r="AI993" s="62"/>
      <c r="AJ993" s="62"/>
      <c r="AK993" s="62"/>
      <c r="AL993" s="66"/>
      <c r="AM993" s="62"/>
      <c r="AN993" s="62"/>
      <c r="AO993" s="62"/>
      <c r="AP993" s="62"/>
      <c r="AQ993" s="66"/>
      <c r="AR993" s="62"/>
      <c r="AS993" s="62"/>
      <c r="AT993" s="62"/>
      <c r="AU993" s="62"/>
      <c r="AV993" s="66"/>
      <c r="AW993" s="97"/>
    </row>
    <row r="994" spans="23:49" x14ac:dyDescent="0.15">
      <c r="W994" s="12"/>
      <c r="X994" s="62"/>
      <c r="Y994" s="62"/>
      <c r="Z994" s="62"/>
      <c r="AA994" s="62"/>
      <c r="AB994" s="98"/>
      <c r="AC994" s="62"/>
      <c r="AD994" s="62"/>
      <c r="AE994" s="62"/>
      <c r="AF994" s="62"/>
      <c r="AG994" s="66"/>
      <c r="AH994" s="62"/>
      <c r="AI994" s="62"/>
      <c r="AJ994" s="62"/>
      <c r="AK994" s="62"/>
      <c r="AL994" s="66"/>
      <c r="AM994" s="62"/>
      <c r="AN994" s="62"/>
      <c r="AO994" s="62"/>
      <c r="AP994" s="62"/>
      <c r="AQ994" s="66"/>
      <c r="AR994" s="62"/>
      <c r="AS994" s="62"/>
      <c r="AT994" s="62"/>
      <c r="AU994" s="62"/>
      <c r="AV994" s="66"/>
      <c r="AW994" s="97"/>
    </row>
    <row r="995" spans="23:49" x14ac:dyDescent="0.15">
      <c r="W995" s="12"/>
      <c r="X995" s="62"/>
      <c r="Y995" s="62"/>
      <c r="Z995" s="62"/>
      <c r="AA995" s="62"/>
      <c r="AB995" s="98"/>
      <c r="AC995" s="62"/>
      <c r="AD995" s="62"/>
      <c r="AE995" s="62"/>
      <c r="AF995" s="62"/>
      <c r="AG995" s="66"/>
      <c r="AH995" s="62"/>
      <c r="AI995" s="62"/>
      <c r="AJ995" s="62"/>
      <c r="AK995" s="62"/>
      <c r="AL995" s="66"/>
      <c r="AM995" s="62"/>
      <c r="AN995" s="62"/>
      <c r="AO995" s="62"/>
      <c r="AP995" s="62"/>
      <c r="AQ995" s="66"/>
      <c r="AR995" s="62"/>
      <c r="AS995" s="62"/>
      <c r="AT995" s="62"/>
      <c r="AU995" s="62"/>
      <c r="AV995" s="66"/>
      <c r="AW995" s="97"/>
    </row>
    <row r="996" spans="23:49" x14ac:dyDescent="0.15">
      <c r="W996" s="12"/>
      <c r="X996" s="62"/>
      <c r="Y996" s="62"/>
      <c r="Z996" s="62"/>
      <c r="AA996" s="62"/>
      <c r="AB996" s="98"/>
      <c r="AC996" s="62"/>
      <c r="AD996" s="62"/>
      <c r="AE996" s="62"/>
      <c r="AF996" s="62"/>
      <c r="AG996" s="66"/>
      <c r="AH996" s="62"/>
      <c r="AI996" s="62"/>
      <c r="AJ996" s="62"/>
      <c r="AK996" s="62"/>
      <c r="AL996" s="66"/>
      <c r="AM996" s="62"/>
      <c r="AN996" s="62"/>
      <c r="AO996" s="62"/>
      <c r="AP996" s="62"/>
      <c r="AQ996" s="66"/>
      <c r="AR996" s="62"/>
      <c r="AS996" s="62"/>
      <c r="AT996" s="62"/>
      <c r="AU996" s="62"/>
      <c r="AV996" s="66"/>
      <c r="AW996" s="97"/>
    </row>
    <row r="997" spans="23:49" x14ac:dyDescent="0.15">
      <c r="W997" s="12"/>
      <c r="X997" s="62"/>
      <c r="Y997" s="62"/>
      <c r="Z997" s="62"/>
      <c r="AA997" s="62"/>
      <c r="AB997" s="98"/>
      <c r="AC997" s="62"/>
      <c r="AD997" s="62"/>
      <c r="AE997" s="62"/>
      <c r="AF997" s="62"/>
      <c r="AG997" s="66"/>
      <c r="AH997" s="62"/>
      <c r="AI997" s="62"/>
      <c r="AJ997" s="62"/>
      <c r="AK997" s="62"/>
      <c r="AL997" s="66"/>
      <c r="AM997" s="62"/>
      <c r="AN997" s="62"/>
      <c r="AO997" s="62"/>
      <c r="AP997" s="62"/>
      <c r="AQ997" s="66"/>
      <c r="AR997" s="62"/>
      <c r="AS997" s="62"/>
      <c r="AT997" s="62"/>
      <c r="AU997" s="62"/>
      <c r="AV997" s="66"/>
      <c r="AW997" s="97"/>
    </row>
    <row r="998" spans="23:49" x14ac:dyDescent="0.15">
      <c r="W998" s="12"/>
      <c r="X998" s="62"/>
      <c r="Y998" s="62"/>
      <c r="Z998" s="62"/>
      <c r="AA998" s="62"/>
      <c r="AB998" s="98"/>
      <c r="AC998" s="62"/>
      <c r="AD998" s="62"/>
      <c r="AE998" s="62"/>
      <c r="AF998" s="62"/>
      <c r="AG998" s="66"/>
      <c r="AH998" s="62"/>
      <c r="AI998" s="62"/>
      <c r="AJ998" s="62"/>
      <c r="AK998" s="62"/>
      <c r="AL998" s="66"/>
      <c r="AM998" s="62"/>
      <c r="AN998" s="62"/>
      <c r="AO998" s="62"/>
      <c r="AP998" s="62"/>
      <c r="AQ998" s="66"/>
      <c r="AR998" s="62"/>
      <c r="AS998" s="62"/>
      <c r="AT998" s="62"/>
      <c r="AU998" s="62"/>
      <c r="AV998" s="66"/>
      <c r="AW998" s="97"/>
    </row>
    <row r="999" spans="23:49" x14ac:dyDescent="0.15">
      <c r="W999" s="12"/>
      <c r="X999" s="62"/>
      <c r="Y999" s="62"/>
      <c r="Z999" s="62"/>
      <c r="AA999" s="62"/>
      <c r="AB999" s="98"/>
      <c r="AC999" s="62"/>
      <c r="AD999" s="62"/>
      <c r="AE999" s="62"/>
      <c r="AF999" s="62"/>
      <c r="AG999" s="66"/>
      <c r="AH999" s="62"/>
      <c r="AI999" s="62"/>
      <c r="AJ999" s="62"/>
      <c r="AK999" s="62"/>
      <c r="AL999" s="66"/>
      <c r="AM999" s="62"/>
      <c r="AN999" s="62"/>
      <c r="AO999" s="62"/>
      <c r="AP999" s="62"/>
      <c r="AQ999" s="66"/>
      <c r="AR999" s="62"/>
      <c r="AS999" s="62"/>
      <c r="AT999" s="62"/>
      <c r="AU999" s="62"/>
      <c r="AV999" s="66"/>
      <c r="AW999" s="97"/>
    </row>
    <row r="1000" spans="23:49" x14ac:dyDescent="0.15">
      <c r="W1000" s="12"/>
      <c r="X1000" s="62"/>
      <c r="Y1000" s="62"/>
      <c r="Z1000" s="62"/>
      <c r="AA1000" s="62"/>
      <c r="AB1000" s="98"/>
      <c r="AC1000" s="62"/>
      <c r="AD1000" s="62"/>
      <c r="AE1000" s="62"/>
      <c r="AF1000" s="62"/>
      <c r="AG1000" s="66"/>
      <c r="AH1000" s="62"/>
      <c r="AI1000" s="62"/>
      <c r="AJ1000" s="62"/>
      <c r="AK1000" s="62"/>
      <c r="AL1000" s="66"/>
      <c r="AM1000" s="62"/>
      <c r="AN1000" s="62"/>
      <c r="AO1000" s="62"/>
      <c r="AP1000" s="62"/>
      <c r="AQ1000" s="66"/>
      <c r="AR1000" s="62"/>
      <c r="AS1000" s="62"/>
      <c r="AT1000" s="62"/>
      <c r="AU1000" s="62"/>
      <c r="AV1000" s="66"/>
      <c r="AW1000" s="97"/>
    </row>
    <row r="1001" spans="23:49" x14ac:dyDescent="0.15">
      <c r="W1001" s="12"/>
      <c r="X1001" s="62"/>
      <c r="Y1001" s="62"/>
      <c r="Z1001" s="62"/>
      <c r="AA1001" s="62"/>
      <c r="AB1001" s="98"/>
      <c r="AC1001" s="62"/>
      <c r="AD1001" s="62"/>
      <c r="AE1001" s="62"/>
      <c r="AF1001" s="62"/>
      <c r="AG1001" s="66"/>
      <c r="AH1001" s="62"/>
      <c r="AI1001" s="62"/>
      <c r="AJ1001" s="62"/>
      <c r="AK1001" s="62"/>
      <c r="AL1001" s="66"/>
      <c r="AM1001" s="62"/>
      <c r="AN1001" s="62"/>
      <c r="AO1001" s="62"/>
      <c r="AP1001" s="62"/>
      <c r="AQ1001" s="66"/>
      <c r="AR1001" s="62"/>
      <c r="AS1001" s="62"/>
      <c r="AT1001" s="62"/>
      <c r="AU1001" s="62"/>
      <c r="AV1001" s="66"/>
      <c r="AW1001" s="97"/>
    </row>
    <row r="1002" spans="23:49" x14ac:dyDescent="0.15">
      <c r="W1002" s="12"/>
      <c r="X1002" s="62"/>
      <c r="Y1002" s="62"/>
      <c r="Z1002" s="62"/>
      <c r="AA1002" s="62"/>
      <c r="AB1002" s="98"/>
      <c r="AC1002" s="62"/>
      <c r="AD1002" s="62"/>
      <c r="AE1002" s="62"/>
      <c r="AF1002" s="62"/>
      <c r="AG1002" s="66"/>
      <c r="AH1002" s="62"/>
      <c r="AI1002" s="62"/>
      <c r="AJ1002" s="62"/>
      <c r="AK1002" s="62"/>
      <c r="AL1002" s="66"/>
      <c r="AM1002" s="62"/>
      <c r="AN1002" s="62"/>
      <c r="AO1002" s="62"/>
      <c r="AP1002" s="62"/>
      <c r="AQ1002" s="66"/>
      <c r="AR1002" s="62"/>
      <c r="AS1002" s="62"/>
      <c r="AT1002" s="62"/>
      <c r="AU1002" s="62"/>
      <c r="AV1002" s="66"/>
      <c r="AW1002" s="97"/>
    </row>
    <row r="1003" spans="23:49" x14ac:dyDescent="0.15">
      <c r="W1003" s="12"/>
      <c r="X1003" s="62"/>
      <c r="Y1003" s="62"/>
      <c r="Z1003" s="62"/>
      <c r="AA1003" s="62"/>
      <c r="AB1003" s="98"/>
      <c r="AC1003" s="62"/>
      <c r="AD1003" s="62"/>
      <c r="AE1003" s="62"/>
      <c r="AF1003" s="62"/>
      <c r="AG1003" s="66"/>
      <c r="AH1003" s="62"/>
      <c r="AI1003" s="62"/>
      <c r="AJ1003" s="62"/>
      <c r="AK1003" s="62"/>
      <c r="AL1003" s="66"/>
      <c r="AM1003" s="62"/>
      <c r="AN1003" s="62"/>
      <c r="AO1003" s="62"/>
      <c r="AP1003" s="62"/>
      <c r="AQ1003" s="66"/>
      <c r="AR1003" s="62"/>
      <c r="AS1003" s="62"/>
      <c r="AT1003" s="62"/>
      <c r="AU1003" s="62"/>
      <c r="AV1003" s="66"/>
      <c r="AW1003" s="97"/>
    </row>
    <row r="1004" spans="23:49" x14ac:dyDescent="0.15">
      <c r="W1004" s="12"/>
      <c r="X1004" s="62"/>
      <c r="Y1004" s="62"/>
      <c r="Z1004" s="62"/>
      <c r="AA1004" s="62"/>
      <c r="AB1004" s="98"/>
      <c r="AC1004" s="62"/>
      <c r="AD1004" s="62"/>
      <c r="AE1004" s="62"/>
      <c r="AF1004" s="62"/>
      <c r="AG1004" s="66"/>
      <c r="AH1004" s="62"/>
      <c r="AI1004" s="62"/>
      <c r="AJ1004" s="62"/>
      <c r="AK1004" s="62"/>
      <c r="AL1004" s="66"/>
      <c r="AM1004" s="62"/>
      <c r="AN1004" s="62"/>
      <c r="AO1004" s="62"/>
      <c r="AP1004" s="62"/>
      <c r="AQ1004" s="66"/>
      <c r="AR1004" s="62"/>
      <c r="AS1004" s="62"/>
      <c r="AT1004" s="62"/>
      <c r="AU1004" s="62"/>
      <c r="AV1004" s="66"/>
      <c r="AW1004" s="97"/>
    </row>
    <row r="1005" spans="23:49" x14ac:dyDescent="0.15">
      <c r="W1005" s="12"/>
      <c r="X1005" s="62"/>
      <c r="Y1005" s="62"/>
      <c r="Z1005" s="62"/>
      <c r="AA1005" s="62"/>
      <c r="AB1005" s="98"/>
      <c r="AC1005" s="62"/>
      <c r="AD1005" s="62"/>
      <c r="AE1005" s="62"/>
      <c r="AF1005" s="62"/>
      <c r="AG1005" s="66"/>
      <c r="AH1005" s="62"/>
      <c r="AI1005" s="62"/>
      <c r="AJ1005" s="62"/>
      <c r="AK1005" s="62"/>
      <c r="AL1005" s="66"/>
      <c r="AM1005" s="62"/>
      <c r="AN1005" s="62"/>
      <c r="AO1005" s="62"/>
      <c r="AP1005" s="62"/>
      <c r="AQ1005" s="66"/>
      <c r="AR1005" s="62"/>
      <c r="AS1005" s="62"/>
      <c r="AT1005" s="62"/>
      <c r="AU1005" s="62"/>
      <c r="AV1005" s="66"/>
      <c r="AW1005" s="97"/>
    </row>
    <row r="1006" spans="23:49" x14ac:dyDescent="0.15">
      <c r="W1006" s="12"/>
      <c r="X1006" s="62"/>
      <c r="Y1006" s="62"/>
      <c r="Z1006" s="62"/>
      <c r="AA1006" s="62"/>
      <c r="AB1006" s="98"/>
      <c r="AC1006" s="62"/>
      <c r="AD1006" s="62"/>
      <c r="AE1006" s="62"/>
      <c r="AF1006" s="62"/>
      <c r="AG1006" s="66"/>
      <c r="AH1006" s="62"/>
      <c r="AI1006" s="62"/>
      <c r="AJ1006" s="62"/>
      <c r="AK1006" s="62"/>
      <c r="AL1006" s="66"/>
      <c r="AM1006" s="62"/>
      <c r="AN1006" s="62"/>
      <c r="AO1006" s="62"/>
      <c r="AP1006" s="62"/>
      <c r="AQ1006" s="66"/>
      <c r="AR1006" s="62"/>
      <c r="AS1006" s="62"/>
      <c r="AT1006" s="62"/>
      <c r="AU1006" s="62"/>
      <c r="AV1006" s="66"/>
      <c r="AW1006" s="97"/>
    </row>
    <row r="1007" spans="23:49" x14ac:dyDescent="0.15">
      <c r="W1007" s="12"/>
      <c r="X1007" s="62"/>
      <c r="Y1007" s="62"/>
      <c r="Z1007" s="62"/>
      <c r="AA1007" s="62"/>
      <c r="AB1007" s="98"/>
      <c r="AC1007" s="62"/>
      <c r="AD1007" s="62"/>
      <c r="AE1007" s="62"/>
      <c r="AF1007" s="62"/>
      <c r="AG1007" s="66"/>
      <c r="AH1007" s="62"/>
      <c r="AI1007" s="62"/>
      <c r="AJ1007" s="62"/>
      <c r="AK1007" s="62"/>
      <c r="AL1007" s="66"/>
      <c r="AM1007" s="62"/>
      <c r="AN1007" s="62"/>
      <c r="AO1007" s="62"/>
      <c r="AP1007" s="62"/>
      <c r="AQ1007" s="66"/>
      <c r="AR1007" s="62"/>
      <c r="AS1007" s="62"/>
      <c r="AT1007" s="62"/>
      <c r="AU1007" s="62"/>
      <c r="AV1007" s="66"/>
      <c r="AW1007" s="97"/>
    </row>
    <row r="1008" spans="23:49" x14ac:dyDescent="0.15">
      <c r="W1008" s="12"/>
      <c r="X1008" s="62"/>
      <c r="Y1008" s="62"/>
      <c r="Z1008" s="62"/>
      <c r="AA1008" s="62"/>
      <c r="AB1008" s="98"/>
      <c r="AC1008" s="62"/>
      <c r="AD1008" s="62"/>
      <c r="AE1008" s="62"/>
      <c r="AF1008" s="62"/>
      <c r="AG1008" s="66"/>
      <c r="AH1008" s="62"/>
      <c r="AI1008" s="62"/>
      <c r="AJ1008" s="62"/>
      <c r="AK1008" s="62"/>
      <c r="AL1008" s="66"/>
      <c r="AM1008" s="62"/>
      <c r="AN1008" s="62"/>
      <c r="AO1008" s="62"/>
      <c r="AP1008" s="62"/>
      <c r="AQ1008" s="66"/>
      <c r="AR1008" s="62"/>
      <c r="AS1008" s="62"/>
      <c r="AT1008" s="62"/>
      <c r="AU1008" s="62"/>
      <c r="AV1008" s="66"/>
      <c r="AW1008" s="97"/>
    </row>
    <row r="1009" spans="23:49" x14ac:dyDescent="0.15">
      <c r="W1009" s="12"/>
      <c r="X1009" s="62"/>
      <c r="Y1009" s="62"/>
      <c r="Z1009" s="62"/>
      <c r="AA1009" s="62"/>
      <c r="AB1009" s="98"/>
      <c r="AC1009" s="62"/>
      <c r="AD1009" s="62"/>
      <c r="AE1009" s="62"/>
      <c r="AF1009" s="62"/>
      <c r="AG1009" s="66"/>
      <c r="AH1009" s="62"/>
      <c r="AI1009" s="62"/>
      <c r="AJ1009" s="62"/>
      <c r="AK1009" s="62"/>
      <c r="AL1009" s="66"/>
      <c r="AM1009" s="62"/>
      <c r="AN1009" s="62"/>
      <c r="AO1009" s="62"/>
      <c r="AP1009" s="62"/>
      <c r="AQ1009" s="66"/>
      <c r="AR1009" s="62"/>
      <c r="AS1009" s="62"/>
      <c r="AT1009" s="62"/>
      <c r="AU1009" s="62"/>
      <c r="AV1009" s="66"/>
      <c r="AW1009" s="97"/>
    </row>
    <row r="1010" spans="23:49" x14ac:dyDescent="0.15">
      <c r="W1010" s="12"/>
      <c r="X1010" s="62"/>
      <c r="Y1010" s="62"/>
      <c r="Z1010" s="62"/>
      <c r="AA1010" s="62"/>
      <c r="AB1010" s="98"/>
      <c r="AC1010" s="62"/>
      <c r="AD1010" s="62"/>
      <c r="AE1010" s="62"/>
      <c r="AF1010" s="62"/>
      <c r="AG1010" s="66"/>
      <c r="AH1010" s="62"/>
      <c r="AI1010" s="62"/>
      <c r="AJ1010" s="62"/>
      <c r="AK1010" s="62"/>
      <c r="AL1010" s="66"/>
      <c r="AM1010" s="62"/>
      <c r="AN1010" s="62"/>
      <c r="AO1010" s="62"/>
      <c r="AP1010" s="62"/>
      <c r="AQ1010" s="66"/>
      <c r="AR1010" s="62"/>
      <c r="AS1010" s="62"/>
      <c r="AT1010" s="62"/>
      <c r="AU1010" s="62"/>
      <c r="AV1010" s="66"/>
      <c r="AW1010" s="97"/>
    </row>
    <row r="1011" spans="23:49" x14ac:dyDescent="0.15">
      <c r="W1011" s="12"/>
      <c r="X1011" s="62"/>
      <c r="Y1011" s="62"/>
      <c r="Z1011" s="62"/>
      <c r="AA1011" s="62"/>
      <c r="AB1011" s="98"/>
      <c r="AC1011" s="62"/>
      <c r="AD1011" s="62"/>
      <c r="AE1011" s="62"/>
      <c r="AF1011" s="62"/>
      <c r="AG1011" s="66"/>
      <c r="AH1011" s="62"/>
      <c r="AI1011" s="62"/>
      <c r="AJ1011" s="62"/>
      <c r="AK1011" s="62"/>
      <c r="AL1011" s="66"/>
      <c r="AM1011" s="62"/>
      <c r="AN1011" s="62"/>
      <c r="AO1011" s="62"/>
      <c r="AP1011" s="62"/>
      <c r="AQ1011" s="66"/>
      <c r="AR1011" s="62"/>
      <c r="AS1011" s="62"/>
      <c r="AT1011" s="62"/>
      <c r="AU1011" s="62"/>
      <c r="AV1011" s="66"/>
      <c r="AW1011" s="97"/>
    </row>
    <row r="1012" spans="23:49" x14ac:dyDescent="0.15">
      <c r="W1012" s="12"/>
      <c r="X1012" s="62"/>
      <c r="Y1012" s="62"/>
      <c r="Z1012" s="62"/>
      <c r="AA1012" s="62"/>
      <c r="AB1012" s="98"/>
      <c r="AC1012" s="62"/>
      <c r="AD1012" s="62"/>
      <c r="AE1012" s="62"/>
      <c r="AF1012" s="62"/>
      <c r="AG1012" s="66"/>
      <c r="AH1012" s="62"/>
      <c r="AI1012" s="62"/>
      <c r="AJ1012" s="62"/>
      <c r="AK1012" s="62"/>
      <c r="AL1012" s="66"/>
      <c r="AM1012" s="62"/>
      <c r="AN1012" s="62"/>
      <c r="AO1012" s="62"/>
      <c r="AP1012" s="62"/>
      <c r="AQ1012" s="66"/>
      <c r="AR1012" s="62"/>
      <c r="AS1012" s="62"/>
      <c r="AT1012" s="62"/>
      <c r="AU1012" s="62"/>
      <c r="AV1012" s="66"/>
      <c r="AW1012" s="97"/>
    </row>
    <row r="1013" spans="23:49" x14ac:dyDescent="0.15">
      <c r="W1013" s="12"/>
      <c r="X1013" s="62"/>
      <c r="Y1013" s="62"/>
      <c r="Z1013" s="62"/>
      <c r="AA1013" s="62"/>
      <c r="AB1013" s="98"/>
      <c r="AC1013" s="62"/>
      <c r="AD1013" s="62"/>
      <c r="AE1013" s="62"/>
      <c r="AF1013" s="62"/>
      <c r="AG1013" s="66"/>
      <c r="AH1013" s="62"/>
      <c r="AI1013" s="62"/>
      <c r="AJ1013" s="62"/>
      <c r="AK1013" s="62"/>
      <c r="AL1013" s="66"/>
      <c r="AM1013" s="62"/>
      <c r="AN1013" s="62"/>
      <c r="AO1013" s="62"/>
      <c r="AP1013" s="62"/>
      <c r="AQ1013" s="66"/>
      <c r="AR1013" s="62"/>
      <c r="AS1013" s="62"/>
      <c r="AT1013" s="62"/>
      <c r="AU1013" s="62"/>
      <c r="AV1013" s="66"/>
      <c r="AW1013" s="97"/>
    </row>
    <row r="1014" spans="23:49" x14ac:dyDescent="0.15">
      <c r="W1014" s="12"/>
      <c r="X1014" s="62"/>
      <c r="Y1014" s="62"/>
      <c r="Z1014" s="62"/>
      <c r="AA1014" s="62"/>
      <c r="AB1014" s="98"/>
      <c r="AC1014" s="62"/>
      <c r="AD1014" s="62"/>
      <c r="AE1014" s="62"/>
      <c r="AF1014" s="62"/>
      <c r="AG1014" s="66"/>
      <c r="AH1014" s="62"/>
      <c r="AI1014" s="62"/>
      <c r="AJ1014" s="62"/>
      <c r="AK1014" s="62"/>
      <c r="AL1014" s="66"/>
      <c r="AM1014" s="62"/>
      <c r="AN1014" s="62"/>
      <c r="AO1014" s="62"/>
      <c r="AP1014" s="62"/>
      <c r="AQ1014" s="66"/>
      <c r="AR1014" s="62"/>
      <c r="AS1014" s="62"/>
      <c r="AT1014" s="62"/>
      <c r="AU1014" s="62"/>
      <c r="AV1014" s="66"/>
      <c r="AW1014" s="97"/>
    </row>
    <row r="1015" spans="23:49" x14ac:dyDescent="0.15">
      <c r="W1015" s="12"/>
      <c r="X1015" s="62"/>
      <c r="Y1015" s="62"/>
      <c r="Z1015" s="62"/>
      <c r="AA1015" s="62"/>
      <c r="AB1015" s="98"/>
      <c r="AC1015" s="62"/>
      <c r="AD1015" s="62"/>
      <c r="AE1015" s="62"/>
      <c r="AF1015" s="62"/>
      <c r="AG1015" s="66"/>
      <c r="AH1015" s="62"/>
      <c r="AI1015" s="62"/>
      <c r="AJ1015" s="62"/>
      <c r="AK1015" s="62"/>
      <c r="AL1015" s="66"/>
      <c r="AM1015" s="62"/>
      <c r="AN1015" s="62"/>
      <c r="AO1015" s="62"/>
      <c r="AP1015" s="62"/>
      <c r="AQ1015" s="66"/>
      <c r="AR1015" s="62"/>
      <c r="AS1015" s="62"/>
      <c r="AT1015" s="62"/>
      <c r="AU1015" s="62"/>
      <c r="AV1015" s="66"/>
      <c r="AW1015" s="97"/>
    </row>
    <row r="1016" spans="23:49" x14ac:dyDescent="0.15">
      <c r="W1016" s="12"/>
      <c r="X1016" s="62"/>
      <c r="Y1016" s="62"/>
      <c r="Z1016" s="62"/>
      <c r="AA1016" s="62"/>
      <c r="AB1016" s="98"/>
      <c r="AC1016" s="62"/>
      <c r="AD1016" s="62"/>
      <c r="AE1016" s="62"/>
      <c r="AF1016" s="62"/>
      <c r="AG1016" s="66"/>
      <c r="AH1016" s="62"/>
      <c r="AI1016" s="62"/>
      <c r="AJ1016" s="62"/>
      <c r="AK1016" s="62"/>
      <c r="AL1016" s="66"/>
      <c r="AM1016" s="62"/>
      <c r="AN1016" s="62"/>
      <c r="AO1016" s="62"/>
      <c r="AP1016" s="62"/>
      <c r="AQ1016" s="66"/>
      <c r="AR1016" s="62"/>
      <c r="AS1016" s="62"/>
      <c r="AT1016" s="62"/>
      <c r="AU1016" s="62"/>
      <c r="AV1016" s="66"/>
      <c r="AW1016" s="97"/>
    </row>
    <row r="1017" spans="23:49" x14ac:dyDescent="0.15">
      <c r="W1017" s="12"/>
      <c r="X1017" s="62"/>
      <c r="Y1017" s="62"/>
      <c r="Z1017" s="62"/>
      <c r="AA1017" s="62"/>
      <c r="AB1017" s="98"/>
      <c r="AC1017" s="62"/>
      <c r="AD1017" s="62"/>
      <c r="AE1017" s="62"/>
      <c r="AF1017" s="62"/>
      <c r="AG1017" s="66"/>
      <c r="AH1017" s="62"/>
      <c r="AI1017" s="62"/>
      <c r="AJ1017" s="62"/>
      <c r="AK1017" s="62"/>
      <c r="AL1017" s="66"/>
      <c r="AM1017" s="62"/>
      <c r="AN1017" s="62"/>
      <c r="AO1017" s="62"/>
      <c r="AP1017" s="62"/>
      <c r="AQ1017" s="66"/>
      <c r="AR1017" s="62"/>
      <c r="AS1017" s="62"/>
      <c r="AT1017" s="62"/>
      <c r="AU1017" s="62"/>
      <c r="AV1017" s="66"/>
      <c r="AW1017" s="97"/>
    </row>
    <row r="1018" spans="23:49" x14ac:dyDescent="0.15">
      <c r="W1018" s="12"/>
      <c r="X1018" s="62"/>
      <c r="Y1018" s="62"/>
      <c r="Z1018" s="62"/>
      <c r="AA1018" s="62"/>
      <c r="AB1018" s="98"/>
      <c r="AC1018" s="62"/>
      <c r="AD1018" s="62"/>
      <c r="AE1018" s="62"/>
      <c r="AF1018" s="62"/>
      <c r="AG1018" s="66"/>
      <c r="AH1018" s="62"/>
      <c r="AI1018" s="62"/>
      <c r="AJ1018" s="62"/>
      <c r="AK1018" s="62"/>
      <c r="AL1018" s="66"/>
      <c r="AM1018" s="62"/>
      <c r="AN1018" s="62"/>
      <c r="AO1018" s="62"/>
      <c r="AP1018" s="62"/>
      <c r="AQ1018" s="66"/>
      <c r="AR1018" s="62"/>
      <c r="AS1018" s="62"/>
      <c r="AT1018" s="62"/>
      <c r="AU1018" s="62"/>
      <c r="AV1018" s="66"/>
      <c r="AW1018" s="97"/>
    </row>
    <row r="1019" spans="23:49" x14ac:dyDescent="0.15">
      <c r="W1019" s="12"/>
      <c r="X1019" s="62"/>
      <c r="Y1019" s="62"/>
      <c r="Z1019" s="62"/>
      <c r="AA1019" s="62"/>
      <c r="AB1019" s="98"/>
      <c r="AC1019" s="62"/>
      <c r="AD1019" s="62"/>
      <c r="AE1019" s="62"/>
      <c r="AF1019" s="62"/>
      <c r="AG1019" s="66"/>
      <c r="AH1019" s="62"/>
      <c r="AI1019" s="62"/>
      <c r="AJ1019" s="62"/>
      <c r="AK1019" s="62"/>
      <c r="AL1019" s="66"/>
      <c r="AM1019" s="62"/>
      <c r="AN1019" s="62"/>
      <c r="AO1019" s="62"/>
      <c r="AP1019" s="62"/>
      <c r="AQ1019" s="66"/>
      <c r="AR1019" s="62"/>
      <c r="AS1019" s="62"/>
      <c r="AT1019" s="62"/>
      <c r="AU1019" s="62"/>
      <c r="AV1019" s="66"/>
      <c r="AW1019" s="97"/>
    </row>
    <row r="1020" spans="23:49" x14ac:dyDescent="0.15">
      <c r="W1020" s="12"/>
      <c r="X1020" s="62"/>
      <c r="Y1020" s="62"/>
      <c r="Z1020" s="62"/>
      <c r="AA1020" s="62"/>
      <c r="AB1020" s="98"/>
      <c r="AC1020" s="62"/>
      <c r="AD1020" s="62"/>
      <c r="AE1020" s="62"/>
      <c r="AF1020" s="62"/>
      <c r="AG1020" s="66"/>
      <c r="AH1020" s="62"/>
      <c r="AI1020" s="62"/>
      <c r="AJ1020" s="62"/>
      <c r="AK1020" s="62"/>
      <c r="AL1020" s="66"/>
      <c r="AM1020" s="62"/>
      <c r="AN1020" s="62"/>
      <c r="AO1020" s="62"/>
      <c r="AP1020" s="62"/>
      <c r="AQ1020" s="66"/>
      <c r="AR1020" s="62"/>
      <c r="AS1020" s="62"/>
      <c r="AT1020" s="62"/>
      <c r="AU1020" s="62"/>
      <c r="AV1020" s="66"/>
      <c r="AW1020" s="97"/>
    </row>
    <row r="1021" spans="23:49" x14ac:dyDescent="0.15">
      <c r="W1021" s="12"/>
      <c r="X1021" s="62"/>
      <c r="Y1021" s="62"/>
      <c r="Z1021" s="62"/>
      <c r="AA1021" s="62"/>
      <c r="AB1021" s="98"/>
      <c r="AC1021" s="62"/>
      <c r="AD1021" s="62"/>
      <c r="AE1021" s="62"/>
      <c r="AF1021" s="62"/>
      <c r="AG1021" s="66"/>
      <c r="AH1021" s="62"/>
      <c r="AI1021" s="62"/>
      <c r="AJ1021" s="62"/>
      <c r="AK1021" s="62"/>
      <c r="AL1021" s="66"/>
      <c r="AM1021" s="62"/>
      <c r="AN1021" s="62"/>
      <c r="AO1021" s="62"/>
      <c r="AP1021" s="62"/>
      <c r="AQ1021" s="66"/>
      <c r="AR1021" s="62"/>
      <c r="AS1021" s="62"/>
      <c r="AT1021" s="62"/>
      <c r="AU1021" s="62"/>
      <c r="AV1021" s="66"/>
      <c r="AW1021" s="97"/>
    </row>
    <row r="1022" spans="23:49" x14ac:dyDescent="0.15">
      <c r="W1022" s="12"/>
      <c r="X1022" s="62"/>
      <c r="Y1022" s="62"/>
      <c r="Z1022" s="62"/>
      <c r="AA1022" s="62"/>
      <c r="AB1022" s="98"/>
      <c r="AC1022" s="62"/>
      <c r="AD1022" s="62"/>
      <c r="AE1022" s="62"/>
      <c r="AF1022" s="62"/>
      <c r="AG1022" s="66"/>
      <c r="AH1022" s="62"/>
      <c r="AI1022" s="62"/>
      <c r="AJ1022" s="62"/>
      <c r="AK1022" s="62"/>
      <c r="AL1022" s="66"/>
      <c r="AM1022" s="62"/>
      <c r="AN1022" s="62"/>
      <c r="AO1022" s="62"/>
      <c r="AP1022" s="62"/>
      <c r="AQ1022" s="66"/>
      <c r="AR1022" s="62"/>
      <c r="AS1022" s="62"/>
      <c r="AT1022" s="62"/>
      <c r="AU1022" s="62"/>
      <c r="AV1022" s="66"/>
      <c r="AW1022" s="97"/>
    </row>
    <row r="1023" spans="23:49" x14ac:dyDescent="0.15">
      <c r="W1023" s="12"/>
      <c r="X1023" s="62"/>
      <c r="Y1023" s="62"/>
      <c r="Z1023" s="62"/>
      <c r="AA1023" s="62"/>
      <c r="AB1023" s="98"/>
      <c r="AC1023" s="62"/>
      <c r="AD1023" s="62"/>
      <c r="AE1023" s="62"/>
      <c r="AF1023" s="62"/>
      <c r="AG1023" s="66"/>
      <c r="AH1023" s="62"/>
      <c r="AI1023" s="62"/>
      <c r="AJ1023" s="62"/>
      <c r="AK1023" s="62"/>
      <c r="AL1023" s="66"/>
      <c r="AM1023" s="62"/>
      <c r="AN1023" s="62"/>
      <c r="AO1023" s="62"/>
      <c r="AP1023" s="62"/>
      <c r="AQ1023" s="66"/>
      <c r="AR1023" s="62"/>
      <c r="AS1023" s="62"/>
      <c r="AT1023" s="62"/>
      <c r="AU1023" s="62"/>
      <c r="AV1023" s="66"/>
      <c r="AW1023" s="97"/>
    </row>
    <row r="1024" spans="23:49" x14ac:dyDescent="0.15">
      <c r="W1024" s="12"/>
      <c r="X1024" s="62"/>
      <c r="Y1024" s="62"/>
      <c r="Z1024" s="62"/>
      <c r="AA1024" s="62"/>
      <c r="AB1024" s="98"/>
      <c r="AC1024" s="62"/>
      <c r="AD1024" s="62"/>
      <c r="AE1024" s="62"/>
      <c r="AF1024" s="62"/>
      <c r="AG1024" s="66"/>
      <c r="AH1024" s="62"/>
      <c r="AI1024" s="62"/>
      <c r="AJ1024" s="62"/>
      <c r="AK1024" s="62"/>
      <c r="AL1024" s="66"/>
      <c r="AM1024" s="62"/>
      <c r="AN1024" s="62"/>
      <c r="AO1024" s="62"/>
      <c r="AP1024" s="62"/>
      <c r="AQ1024" s="66"/>
      <c r="AR1024" s="62"/>
      <c r="AS1024" s="62"/>
      <c r="AT1024" s="62"/>
      <c r="AU1024" s="62"/>
      <c r="AV1024" s="66"/>
      <c r="AW1024" s="97"/>
    </row>
    <row r="1025" spans="23:49" x14ac:dyDescent="0.15">
      <c r="W1025" s="12"/>
      <c r="X1025" s="62"/>
      <c r="Y1025" s="62"/>
      <c r="Z1025" s="62"/>
      <c r="AA1025" s="62"/>
      <c r="AB1025" s="98"/>
      <c r="AC1025" s="62"/>
      <c r="AD1025" s="62"/>
      <c r="AE1025" s="62"/>
      <c r="AF1025" s="62"/>
      <c r="AG1025" s="66"/>
      <c r="AH1025" s="62"/>
      <c r="AI1025" s="62"/>
      <c r="AJ1025" s="62"/>
      <c r="AK1025" s="62"/>
      <c r="AL1025" s="66"/>
      <c r="AM1025" s="62"/>
      <c r="AN1025" s="62"/>
      <c r="AO1025" s="62"/>
      <c r="AP1025" s="62"/>
      <c r="AQ1025" s="66"/>
      <c r="AR1025" s="62"/>
      <c r="AS1025" s="62"/>
      <c r="AT1025" s="62"/>
      <c r="AU1025" s="62"/>
      <c r="AV1025" s="66"/>
      <c r="AW1025" s="97"/>
    </row>
    <row r="1026" spans="23:49" x14ac:dyDescent="0.15">
      <c r="W1026" s="12"/>
      <c r="X1026" s="62"/>
      <c r="Y1026" s="62"/>
      <c r="Z1026" s="62"/>
      <c r="AA1026" s="62"/>
      <c r="AB1026" s="98"/>
      <c r="AC1026" s="62"/>
      <c r="AD1026" s="62"/>
      <c r="AE1026" s="62"/>
      <c r="AF1026" s="62"/>
      <c r="AG1026" s="66"/>
      <c r="AH1026" s="62"/>
      <c r="AI1026" s="62"/>
      <c r="AJ1026" s="62"/>
      <c r="AK1026" s="62"/>
      <c r="AL1026" s="66"/>
      <c r="AM1026" s="62"/>
      <c r="AN1026" s="62"/>
      <c r="AO1026" s="62"/>
      <c r="AP1026" s="62"/>
      <c r="AQ1026" s="66"/>
      <c r="AR1026" s="62"/>
      <c r="AS1026" s="62"/>
      <c r="AT1026" s="62"/>
      <c r="AU1026" s="62"/>
      <c r="AV1026" s="66"/>
      <c r="AW1026" s="97"/>
    </row>
    <row r="1027" spans="23:49" x14ac:dyDescent="0.15">
      <c r="W1027" s="12"/>
      <c r="X1027" s="62"/>
      <c r="Y1027" s="62"/>
      <c r="Z1027" s="62"/>
      <c r="AA1027" s="62"/>
      <c r="AB1027" s="98"/>
      <c r="AC1027" s="62"/>
      <c r="AD1027" s="62"/>
      <c r="AE1027" s="62"/>
      <c r="AF1027" s="62"/>
      <c r="AG1027" s="66"/>
      <c r="AH1027" s="62"/>
      <c r="AI1027" s="62"/>
      <c r="AJ1027" s="62"/>
      <c r="AK1027" s="62"/>
      <c r="AL1027" s="66"/>
      <c r="AM1027" s="62"/>
      <c r="AN1027" s="62"/>
      <c r="AO1027" s="62"/>
      <c r="AP1027" s="62"/>
      <c r="AQ1027" s="66"/>
      <c r="AR1027" s="62"/>
      <c r="AS1027" s="62"/>
      <c r="AT1027" s="62"/>
      <c r="AU1027" s="62"/>
      <c r="AV1027" s="66"/>
      <c r="AW1027" s="97"/>
    </row>
    <row r="1028" spans="23:49" x14ac:dyDescent="0.15">
      <c r="W1028" s="12"/>
      <c r="X1028" s="62"/>
      <c r="Y1028" s="62"/>
      <c r="Z1028" s="62"/>
      <c r="AA1028" s="62"/>
      <c r="AB1028" s="98"/>
      <c r="AC1028" s="62"/>
      <c r="AD1028" s="62"/>
      <c r="AE1028" s="62"/>
      <c r="AF1028" s="62"/>
      <c r="AG1028" s="66"/>
      <c r="AH1028" s="62"/>
      <c r="AI1028" s="62"/>
      <c r="AJ1028" s="62"/>
      <c r="AK1028" s="62"/>
      <c r="AL1028" s="66"/>
      <c r="AM1028" s="62"/>
      <c r="AN1028" s="62"/>
      <c r="AO1028" s="62"/>
      <c r="AP1028" s="62"/>
      <c r="AQ1028" s="66"/>
      <c r="AR1028" s="62"/>
      <c r="AS1028" s="62"/>
      <c r="AT1028" s="62"/>
      <c r="AU1028" s="62"/>
      <c r="AV1028" s="66"/>
      <c r="AW1028" s="97"/>
    </row>
    <row r="1029" spans="23:49" x14ac:dyDescent="0.15">
      <c r="W1029" s="12"/>
      <c r="X1029" s="62"/>
      <c r="Y1029" s="62"/>
      <c r="Z1029" s="62"/>
      <c r="AA1029" s="62"/>
      <c r="AB1029" s="98"/>
      <c r="AC1029" s="62"/>
      <c r="AD1029" s="62"/>
      <c r="AE1029" s="62"/>
      <c r="AF1029" s="62"/>
      <c r="AG1029" s="66"/>
      <c r="AH1029" s="62"/>
      <c r="AI1029" s="62"/>
      <c r="AJ1029" s="62"/>
      <c r="AK1029" s="62"/>
      <c r="AL1029" s="66"/>
      <c r="AM1029" s="62"/>
      <c r="AN1029" s="62"/>
      <c r="AO1029" s="62"/>
      <c r="AP1029" s="62"/>
      <c r="AQ1029" s="66"/>
      <c r="AR1029" s="62"/>
      <c r="AS1029" s="62"/>
      <c r="AT1029" s="62"/>
      <c r="AU1029" s="62"/>
      <c r="AV1029" s="66"/>
      <c r="AW1029" s="97"/>
    </row>
    <row r="1030" spans="23:49" x14ac:dyDescent="0.15">
      <c r="W1030" s="12"/>
      <c r="X1030" s="62"/>
      <c r="Y1030" s="62"/>
      <c r="Z1030" s="62"/>
      <c r="AA1030" s="62"/>
      <c r="AB1030" s="98"/>
      <c r="AC1030" s="62"/>
      <c r="AD1030" s="62"/>
      <c r="AE1030" s="62"/>
      <c r="AF1030" s="62"/>
      <c r="AG1030" s="66"/>
      <c r="AH1030" s="62"/>
      <c r="AI1030" s="62"/>
      <c r="AJ1030" s="62"/>
      <c r="AK1030" s="62"/>
      <c r="AL1030" s="66"/>
      <c r="AM1030" s="62"/>
      <c r="AN1030" s="62"/>
      <c r="AO1030" s="62"/>
      <c r="AP1030" s="62"/>
      <c r="AQ1030" s="66"/>
      <c r="AR1030" s="62"/>
      <c r="AS1030" s="62"/>
      <c r="AT1030" s="62"/>
      <c r="AU1030" s="62"/>
      <c r="AV1030" s="66"/>
      <c r="AW1030" s="97"/>
    </row>
    <row r="1031" spans="23:49" x14ac:dyDescent="0.15">
      <c r="W1031" s="12"/>
      <c r="X1031" s="62"/>
      <c r="Y1031" s="62"/>
      <c r="Z1031" s="62"/>
      <c r="AA1031" s="62"/>
      <c r="AB1031" s="98"/>
      <c r="AC1031" s="62"/>
      <c r="AD1031" s="62"/>
      <c r="AE1031" s="62"/>
      <c r="AF1031" s="62"/>
      <c r="AG1031" s="66"/>
      <c r="AH1031" s="62"/>
      <c r="AI1031" s="62"/>
      <c r="AJ1031" s="62"/>
      <c r="AK1031" s="62"/>
      <c r="AL1031" s="66"/>
      <c r="AM1031" s="62"/>
      <c r="AN1031" s="62"/>
      <c r="AO1031" s="62"/>
      <c r="AP1031" s="62"/>
      <c r="AQ1031" s="66"/>
      <c r="AR1031" s="62"/>
      <c r="AS1031" s="62"/>
      <c r="AT1031" s="62"/>
      <c r="AU1031" s="62"/>
      <c r="AV1031" s="66"/>
      <c r="AW1031" s="97"/>
    </row>
    <row r="1032" spans="23:49" x14ac:dyDescent="0.15">
      <c r="W1032" s="12"/>
      <c r="X1032" s="62"/>
      <c r="Y1032" s="62"/>
      <c r="Z1032" s="62"/>
      <c r="AA1032" s="62"/>
      <c r="AB1032" s="98"/>
      <c r="AC1032" s="62"/>
      <c r="AD1032" s="62"/>
      <c r="AE1032" s="62"/>
      <c r="AF1032" s="62"/>
      <c r="AG1032" s="66"/>
      <c r="AH1032" s="62"/>
      <c r="AI1032" s="62"/>
      <c r="AJ1032" s="62"/>
      <c r="AK1032" s="62"/>
      <c r="AL1032" s="66"/>
      <c r="AM1032" s="62"/>
      <c r="AN1032" s="62"/>
      <c r="AO1032" s="62"/>
      <c r="AP1032" s="62"/>
      <c r="AQ1032" s="66"/>
      <c r="AR1032" s="62"/>
      <c r="AS1032" s="62"/>
      <c r="AT1032" s="62"/>
      <c r="AU1032" s="62"/>
      <c r="AV1032" s="66"/>
      <c r="AW1032" s="97"/>
    </row>
    <row r="1033" spans="23:49" x14ac:dyDescent="0.15">
      <c r="W1033" s="12"/>
      <c r="X1033" s="62"/>
      <c r="Y1033" s="62"/>
      <c r="Z1033" s="62"/>
      <c r="AA1033" s="62"/>
      <c r="AB1033" s="98"/>
      <c r="AC1033" s="62"/>
      <c r="AD1033" s="62"/>
      <c r="AE1033" s="62"/>
      <c r="AF1033" s="62"/>
      <c r="AG1033" s="66"/>
      <c r="AH1033" s="62"/>
      <c r="AI1033" s="62"/>
      <c r="AJ1033" s="62"/>
      <c r="AK1033" s="62"/>
      <c r="AL1033" s="66"/>
      <c r="AM1033" s="62"/>
      <c r="AN1033" s="62"/>
      <c r="AO1033" s="62"/>
      <c r="AP1033" s="62"/>
      <c r="AQ1033" s="66"/>
      <c r="AR1033" s="62"/>
      <c r="AS1033" s="62"/>
      <c r="AT1033" s="62"/>
      <c r="AU1033" s="62"/>
      <c r="AV1033" s="66"/>
      <c r="AW1033" s="97"/>
    </row>
    <row r="1034" spans="23:49" x14ac:dyDescent="0.15">
      <c r="W1034" s="12"/>
      <c r="X1034" s="62"/>
      <c r="Y1034" s="62"/>
      <c r="Z1034" s="62"/>
      <c r="AA1034" s="62"/>
      <c r="AB1034" s="98"/>
      <c r="AC1034" s="62"/>
      <c r="AD1034" s="62"/>
      <c r="AE1034" s="62"/>
      <c r="AF1034" s="62"/>
      <c r="AG1034" s="66"/>
      <c r="AH1034" s="62"/>
      <c r="AI1034" s="62"/>
      <c r="AJ1034" s="62"/>
      <c r="AK1034" s="62"/>
      <c r="AL1034" s="66"/>
      <c r="AM1034" s="62"/>
      <c r="AN1034" s="62"/>
      <c r="AO1034" s="62"/>
      <c r="AP1034" s="62"/>
      <c r="AQ1034" s="66"/>
      <c r="AR1034" s="62"/>
      <c r="AS1034" s="62"/>
      <c r="AT1034" s="62"/>
      <c r="AU1034" s="62"/>
      <c r="AV1034" s="66"/>
      <c r="AW1034" s="97"/>
    </row>
    <row r="1035" spans="23:49" x14ac:dyDescent="0.15">
      <c r="W1035" s="12"/>
      <c r="X1035" s="62"/>
      <c r="Y1035" s="62"/>
      <c r="Z1035" s="62"/>
      <c r="AA1035" s="62"/>
      <c r="AB1035" s="98"/>
      <c r="AC1035" s="62"/>
      <c r="AD1035" s="62"/>
      <c r="AE1035" s="62"/>
      <c r="AF1035" s="62"/>
      <c r="AG1035" s="66"/>
      <c r="AH1035" s="62"/>
      <c r="AI1035" s="62"/>
      <c r="AJ1035" s="62"/>
      <c r="AK1035" s="62"/>
      <c r="AL1035" s="66"/>
      <c r="AM1035" s="62"/>
      <c r="AN1035" s="62"/>
      <c r="AO1035" s="62"/>
      <c r="AP1035" s="62"/>
      <c r="AQ1035" s="66"/>
      <c r="AR1035" s="62"/>
      <c r="AS1035" s="62"/>
      <c r="AT1035" s="62"/>
      <c r="AU1035" s="62"/>
      <c r="AV1035" s="66"/>
      <c r="AW1035" s="97"/>
    </row>
    <row r="1036" spans="23:49" x14ac:dyDescent="0.15">
      <c r="W1036" s="12"/>
      <c r="X1036" s="62"/>
      <c r="Y1036" s="62"/>
      <c r="Z1036" s="62"/>
      <c r="AA1036" s="62"/>
      <c r="AB1036" s="98"/>
      <c r="AC1036" s="62"/>
      <c r="AD1036" s="62"/>
      <c r="AE1036" s="62"/>
      <c r="AF1036" s="62"/>
      <c r="AG1036" s="66"/>
      <c r="AH1036" s="62"/>
      <c r="AI1036" s="62"/>
      <c r="AJ1036" s="62"/>
      <c r="AK1036" s="62"/>
      <c r="AL1036" s="66"/>
      <c r="AM1036" s="62"/>
      <c r="AN1036" s="62"/>
      <c r="AO1036" s="62"/>
      <c r="AP1036" s="62"/>
      <c r="AQ1036" s="66"/>
      <c r="AR1036" s="62"/>
      <c r="AS1036" s="62"/>
      <c r="AT1036" s="62"/>
      <c r="AU1036" s="62"/>
      <c r="AV1036" s="66"/>
      <c r="AW1036" s="97"/>
    </row>
    <row r="1037" spans="23:49" x14ac:dyDescent="0.15">
      <c r="W1037" s="12"/>
      <c r="X1037" s="62"/>
      <c r="Y1037" s="62"/>
      <c r="Z1037" s="62"/>
      <c r="AA1037" s="62"/>
      <c r="AB1037" s="98"/>
      <c r="AC1037" s="62"/>
      <c r="AD1037" s="62"/>
      <c r="AE1037" s="62"/>
      <c r="AF1037" s="62"/>
      <c r="AG1037" s="66"/>
      <c r="AH1037" s="62"/>
      <c r="AI1037" s="62"/>
      <c r="AJ1037" s="62"/>
      <c r="AK1037" s="62"/>
      <c r="AL1037" s="66"/>
      <c r="AM1037" s="62"/>
      <c r="AN1037" s="62"/>
      <c r="AO1037" s="62"/>
      <c r="AP1037" s="62"/>
      <c r="AQ1037" s="66"/>
      <c r="AR1037" s="62"/>
      <c r="AS1037" s="62"/>
      <c r="AT1037" s="62"/>
      <c r="AU1037" s="62"/>
      <c r="AV1037" s="66"/>
      <c r="AW1037" s="97"/>
    </row>
    <row r="1038" spans="23:49" x14ac:dyDescent="0.15">
      <c r="W1038" s="12"/>
      <c r="X1038" s="62"/>
      <c r="Y1038" s="62"/>
      <c r="Z1038" s="62"/>
      <c r="AA1038" s="62"/>
      <c r="AB1038" s="98"/>
      <c r="AC1038" s="62"/>
      <c r="AD1038" s="62"/>
      <c r="AE1038" s="62"/>
      <c r="AF1038" s="62"/>
      <c r="AG1038" s="66"/>
      <c r="AH1038" s="62"/>
      <c r="AI1038" s="62"/>
      <c r="AJ1038" s="62"/>
      <c r="AK1038" s="62"/>
      <c r="AL1038" s="66"/>
      <c r="AM1038" s="62"/>
      <c r="AN1038" s="62"/>
      <c r="AO1038" s="62"/>
      <c r="AP1038" s="62"/>
      <c r="AQ1038" s="66"/>
      <c r="AR1038" s="62"/>
      <c r="AS1038" s="62"/>
      <c r="AT1038" s="62"/>
      <c r="AU1038" s="62"/>
      <c r="AV1038" s="66"/>
      <c r="AW1038" s="97"/>
    </row>
    <row r="1039" spans="23:49" x14ac:dyDescent="0.15">
      <c r="W1039" s="12"/>
      <c r="X1039" s="62"/>
      <c r="Y1039" s="62"/>
      <c r="Z1039" s="62"/>
      <c r="AA1039" s="62"/>
      <c r="AB1039" s="98"/>
      <c r="AC1039" s="62"/>
      <c r="AD1039" s="62"/>
      <c r="AE1039" s="62"/>
      <c r="AF1039" s="62"/>
      <c r="AG1039" s="66"/>
      <c r="AH1039" s="62"/>
      <c r="AI1039" s="62"/>
      <c r="AJ1039" s="62"/>
      <c r="AK1039" s="62"/>
      <c r="AL1039" s="66"/>
      <c r="AM1039" s="62"/>
      <c r="AN1039" s="62"/>
      <c r="AO1039" s="62"/>
      <c r="AP1039" s="62"/>
      <c r="AQ1039" s="66"/>
      <c r="AR1039" s="62"/>
      <c r="AS1039" s="62"/>
      <c r="AT1039" s="62"/>
      <c r="AU1039" s="62"/>
      <c r="AV1039" s="66"/>
      <c r="AW1039" s="97"/>
    </row>
    <row r="1040" spans="23:49" x14ac:dyDescent="0.15">
      <c r="W1040" s="12"/>
      <c r="X1040" s="62"/>
      <c r="Y1040" s="62"/>
      <c r="Z1040" s="62"/>
      <c r="AA1040" s="62"/>
      <c r="AB1040" s="98"/>
      <c r="AC1040" s="62"/>
      <c r="AD1040" s="62"/>
      <c r="AE1040" s="62"/>
      <c r="AF1040" s="62"/>
      <c r="AG1040" s="66"/>
      <c r="AH1040" s="62"/>
      <c r="AI1040" s="62"/>
      <c r="AJ1040" s="62"/>
      <c r="AK1040" s="62"/>
      <c r="AL1040" s="66"/>
      <c r="AM1040" s="62"/>
      <c r="AN1040" s="62"/>
      <c r="AO1040" s="62"/>
      <c r="AP1040" s="62"/>
      <c r="AQ1040" s="66"/>
      <c r="AR1040" s="62"/>
      <c r="AS1040" s="62"/>
      <c r="AT1040" s="62"/>
      <c r="AU1040" s="62"/>
      <c r="AV1040" s="66"/>
      <c r="AW1040" s="97"/>
    </row>
    <row r="1041" spans="23:49" x14ac:dyDescent="0.15">
      <c r="W1041" s="12"/>
      <c r="X1041" s="62"/>
      <c r="Y1041" s="62"/>
      <c r="Z1041" s="62"/>
      <c r="AA1041" s="62"/>
      <c r="AB1041" s="98"/>
      <c r="AC1041" s="62"/>
      <c r="AD1041" s="62"/>
      <c r="AE1041" s="62"/>
      <c r="AF1041" s="62"/>
      <c r="AG1041" s="66"/>
      <c r="AH1041" s="62"/>
      <c r="AI1041" s="62"/>
      <c r="AJ1041" s="62"/>
      <c r="AK1041" s="62"/>
      <c r="AL1041" s="66"/>
      <c r="AM1041" s="62"/>
      <c r="AN1041" s="62"/>
      <c r="AO1041" s="62"/>
      <c r="AP1041" s="62"/>
      <c r="AQ1041" s="66"/>
      <c r="AR1041" s="62"/>
      <c r="AS1041" s="62"/>
      <c r="AT1041" s="62"/>
      <c r="AU1041" s="62"/>
      <c r="AV1041" s="66"/>
      <c r="AW1041" s="97"/>
    </row>
    <row r="1042" spans="23:49" x14ac:dyDescent="0.15">
      <c r="W1042" s="12"/>
      <c r="X1042" s="62"/>
      <c r="Y1042" s="62"/>
      <c r="Z1042" s="62"/>
      <c r="AA1042" s="62"/>
      <c r="AB1042" s="98"/>
      <c r="AC1042" s="62"/>
      <c r="AD1042" s="62"/>
      <c r="AE1042" s="62"/>
      <c r="AF1042" s="62"/>
      <c r="AG1042" s="66"/>
      <c r="AH1042" s="62"/>
      <c r="AI1042" s="62"/>
      <c r="AJ1042" s="62"/>
      <c r="AK1042" s="62"/>
      <c r="AL1042" s="66"/>
      <c r="AM1042" s="62"/>
      <c r="AN1042" s="62"/>
      <c r="AO1042" s="62"/>
      <c r="AP1042" s="62"/>
      <c r="AQ1042" s="66"/>
      <c r="AR1042" s="62"/>
      <c r="AS1042" s="62"/>
      <c r="AT1042" s="62"/>
      <c r="AU1042" s="62"/>
      <c r="AV1042" s="66"/>
      <c r="AW1042" s="97"/>
    </row>
    <row r="1043" spans="23:49" x14ac:dyDescent="0.15">
      <c r="W1043" s="12"/>
      <c r="X1043" s="62"/>
      <c r="Y1043" s="62"/>
      <c r="Z1043" s="62"/>
      <c r="AA1043" s="62"/>
      <c r="AB1043" s="98"/>
      <c r="AC1043" s="62"/>
      <c r="AD1043" s="62"/>
      <c r="AE1043" s="62"/>
      <c r="AF1043" s="62"/>
      <c r="AG1043" s="66"/>
      <c r="AH1043" s="62"/>
      <c r="AI1043" s="62"/>
      <c r="AJ1043" s="62"/>
      <c r="AK1043" s="62"/>
      <c r="AL1043" s="66"/>
      <c r="AM1043" s="62"/>
      <c r="AN1043" s="62"/>
      <c r="AO1043" s="62"/>
      <c r="AP1043" s="62"/>
      <c r="AQ1043" s="66"/>
      <c r="AR1043" s="62"/>
      <c r="AS1043" s="62"/>
      <c r="AT1043" s="62"/>
      <c r="AU1043" s="62"/>
      <c r="AV1043" s="66"/>
      <c r="AW1043" s="97"/>
    </row>
    <row r="1044" spans="23:49" x14ac:dyDescent="0.15">
      <c r="W1044" s="12"/>
      <c r="X1044" s="62"/>
      <c r="Y1044" s="62"/>
      <c r="Z1044" s="62"/>
      <c r="AA1044" s="62"/>
      <c r="AB1044" s="98"/>
      <c r="AC1044" s="62"/>
      <c r="AD1044" s="62"/>
      <c r="AE1044" s="62"/>
      <c r="AF1044" s="62"/>
      <c r="AG1044" s="66"/>
      <c r="AH1044" s="62"/>
      <c r="AI1044" s="62"/>
      <c r="AJ1044" s="62"/>
      <c r="AK1044" s="62"/>
      <c r="AL1044" s="66"/>
      <c r="AM1044" s="62"/>
      <c r="AN1044" s="62"/>
      <c r="AO1044" s="62"/>
      <c r="AP1044" s="62"/>
      <c r="AQ1044" s="66"/>
      <c r="AR1044" s="62"/>
      <c r="AS1044" s="62"/>
      <c r="AT1044" s="62"/>
      <c r="AU1044" s="62"/>
      <c r="AV1044" s="66"/>
      <c r="AW1044" s="97"/>
    </row>
    <row r="1045" spans="23:49" x14ac:dyDescent="0.15">
      <c r="W1045" s="12"/>
      <c r="X1045" s="62"/>
      <c r="Y1045" s="62"/>
      <c r="Z1045" s="62"/>
      <c r="AA1045" s="62"/>
      <c r="AB1045" s="98"/>
      <c r="AC1045" s="62"/>
      <c r="AD1045" s="62"/>
      <c r="AE1045" s="62"/>
      <c r="AF1045" s="62"/>
      <c r="AG1045" s="66"/>
      <c r="AH1045" s="62"/>
      <c r="AI1045" s="62"/>
      <c r="AJ1045" s="62"/>
      <c r="AK1045" s="62"/>
      <c r="AL1045" s="66"/>
      <c r="AM1045" s="62"/>
      <c r="AN1045" s="62"/>
      <c r="AO1045" s="62"/>
      <c r="AP1045" s="62"/>
      <c r="AQ1045" s="66"/>
      <c r="AR1045" s="62"/>
      <c r="AS1045" s="62"/>
      <c r="AT1045" s="62"/>
      <c r="AU1045" s="62"/>
      <c r="AV1045" s="66"/>
      <c r="AW1045" s="97"/>
    </row>
    <row r="1046" spans="23:49" x14ac:dyDescent="0.15">
      <c r="W1046" s="12"/>
      <c r="X1046" s="62"/>
      <c r="Y1046" s="62"/>
      <c r="Z1046" s="62"/>
      <c r="AA1046" s="62"/>
      <c r="AB1046" s="98"/>
      <c r="AC1046" s="62"/>
      <c r="AD1046" s="62"/>
      <c r="AE1046" s="62"/>
      <c r="AF1046" s="62"/>
      <c r="AG1046" s="66"/>
      <c r="AH1046" s="62"/>
      <c r="AI1046" s="62"/>
      <c r="AJ1046" s="62"/>
      <c r="AK1046" s="62"/>
      <c r="AL1046" s="66"/>
      <c r="AM1046" s="62"/>
      <c r="AN1046" s="62"/>
      <c r="AO1046" s="62"/>
      <c r="AP1046" s="62"/>
      <c r="AQ1046" s="66"/>
      <c r="AR1046" s="62"/>
      <c r="AS1046" s="62"/>
      <c r="AT1046" s="62"/>
      <c r="AU1046" s="62"/>
      <c r="AV1046" s="66"/>
      <c r="AW1046" s="97"/>
    </row>
    <row r="1047" spans="23:49" x14ac:dyDescent="0.15">
      <c r="W1047" s="12"/>
      <c r="X1047" s="62"/>
      <c r="Y1047" s="62"/>
      <c r="Z1047" s="62"/>
      <c r="AA1047" s="62"/>
      <c r="AB1047" s="98"/>
      <c r="AC1047" s="62"/>
      <c r="AD1047" s="62"/>
      <c r="AE1047" s="62"/>
      <c r="AF1047" s="62"/>
      <c r="AG1047" s="66"/>
      <c r="AH1047" s="62"/>
      <c r="AI1047" s="62"/>
      <c r="AJ1047" s="62"/>
      <c r="AK1047" s="62"/>
      <c r="AL1047" s="66"/>
      <c r="AM1047" s="62"/>
      <c r="AN1047" s="62"/>
      <c r="AO1047" s="62"/>
      <c r="AP1047" s="62"/>
      <c r="AQ1047" s="66"/>
      <c r="AR1047" s="62"/>
      <c r="AS1047" s="62"/>
      <c r="AT1047" s="62"/>
      <c r="AU1047" s="62"/>
      <c r="AV1047" s="66"/>
      <c r="AW1047" s="97"/>
    </row>
    <row r="1048" spans="23:49" x14ac:dyDescent="0.15">
      <c r="W1048" s="12"/>
      <c r="X1048" s="62"/>
      <c r="Y1048" s="62"/>
      <c r="Z1048" s="62"/>
      <c r="AA1048" s="62"/>
      <c r="AB1048" s="98"/>
      <c r="AC1048" s="62"/>
      <c r="AD1048" s="62"/>
      <c r="AE1048" s="62"/>
      <c r="AF1048" s="62"/>
      <c r="AG1048" s="66"/>
      <c r="AH1048" s="62"/>
      <c r="AI1048" s="62"/>
      <c r="AJ1048" s="62"/>
      <c r="AK1048" s="62"/>
      <c r="AL1048" s="66"/>
      <c r="AM1048" s="62"/>
      <c r="AN1048" s="62"/>
      <c r="AO1048" s="62"/>
      <c r="AP1048" s="62"/>
      <c r="AQ1048" s="66"/>
      <c r="AR1048" s="62"/>
      <c r="AS1048" s="62"/>
      <c r="AT1048" s="62"/>
      <c r="AU1048" s="62"/>
      <c r="AV1048" s="66"/>
      <c r="AW1048" s="97"/>
    </row>
    <row r="1049" spans="23:49" x14ac:dyDescent="0.15">
      <c r="W1049" s="12"/>
      <c r="X1049" s="62"/>
      <c r="Y1049" s="62"/>
      <c r="Z1049" s="62"/>
      <c r="AA1049" s="62"/>
      <c r="AB1049" s="98"/>
      <c r="AC1049" s="62"/>
      <c r="AD1049" s="62"/>
      <c r="AE1049" s="62"/>
      <c r="AF1049" s="62"/>
      <c r="AG1049" s="66"/>
      <c r="AH1049" s="62"/>
      <c r="AI1049" s="62"/>
      <c r="AJ1049" s="62"/>
      <c r="AK1049" s="62"/>
      <c r="AL1049" s="66"/>
      <c r="AM1049" s="62"/>
      <c r="AN1049" s="62"/>
      <c r="AO1049" s="62"/>
      <c r="AP1049" s="62"/>
      <c r="AQ1049" s="66"/>
      <c r="AR1049" s="62"/>
      <c r="AS1049" s="62"/>
      <c r="AT1049" s="62"/>
      <c r="AU1049" s="62"/>
      <c r="AV1049" s="66"/>
      <c r="AW1049" s="97"/>
    </row>
    <row r="1050" spans="23:49" x14ac:dyDescent="0.15">
      <c r="W1050" s="12"/>
      <c r="X1050" s="62"/>
      <c r="Y1050" s="62"/>
      <c r="Z1050" s="62"/>
      <c r="AA1050" s="62"/>
      <c r="AB1050" s="98"/>
      <c r="AC1050" s="62"/>
      <c r="AD1050" s="62"/>
      <c r="AE1050" s="62"/>
      <c r="AF1050" s="62"/>
      <c r="AG1050" s="66"/>
      <c r="AH1050" s="62"/>
      <c r="AI1050" s="62"/>
      <c r="AJ1050" s="62"/>
      <c r="AK1050" s="62"/>
      <c r="AL1050" s="66"/>
      <c r="AM1050" s="62"/>
      <c r="AN1050" s="62"/>
      <c r="AO1050" s="62"/>
      <c r="AP1050" s="62"/>
      <c r="AQ1050" s="66"/>
      <c r="AR1050" s="62"/>
      <c r="AS1050" s="62"/>
      <c r="AT1050" s="62"/>
      <c r="AU1050" s="62"/>
      <c r="AV1050" s="66"/>
      <c r="AW1050" s="97"/>
    </row>
    <row r="1051" spans="23:49" x14ac:dyDescent="0.15">
      <c r="W1051" s="12"/>
      <c r="X1051" s="62"/>
      <c r="Y1051" s="62"/>
      <c r="Z1051" s="62"/>
      <c r="AA1051" s="62"/>
      <c r="AB1051" s="98"/>
      <c r="AC1051" s="62"/>
      <c r="AD1051" s="62"/>
      <c r="AE1051" s="62"/>
      <c r="AF1051" s="62"/>
      <c r="AG1051" s="66"/>
      <c r="AH1051" s="62"/>
      <c r="AI1051" s="62"/>
      <c r="AJ1051" s="62"/>
      <c r="AK1051" s="62"/>
      <c r="AL1051" s="66"/>
      <c r="AM1051" s="62"/>
      <c r="AN1051" s="62"/>
      <c r="AO1051" s="62"/>
      <c r="AP1051" s="62"/>
      <c r="AQ1051" s="66"/>
      <c r="AR1051" s="62"/>
      <c r="AS1051" s="62"/>
      <c r="AT1051" s="62"/>
      <c r="AU1051" s="62"/>
      <c r="AV1051" s="66"/>
      <c r="AW1051" s="97"/>
    </row>
    <row r="1052" spans="23:49" x14ac:dyDescent="0.15">
      <c r="W1052" s="12"/>
      <c r="X1052" s="62"/>
      <c r="Y1052" s="62"/>
      <c r="Z1052" s="62"/>
      <c r="AA1052" s="62"/>
      <c r="AB1052" s="98"/>
      <c r="AC1052" s="62"/>
      <c r="AD1052" s="62"/>
      <c r="AE1052" s="62"/>
      <c r="AF1052" s="62"/>
      <c r="AG1052" s="66"/>
      <c r="AH1052" s="62"/>
      <c r="AI1052" s="62"/>
      <c r="AJ1052" s="62"/>
      <c r="AK1052" s="62"/>
      <c r="AL1052" s="66"/>
      <c r="AM1052" s="62"/>
      <c r="AN1052" s="62"/>
      <c r="AO1052" s="62"/>
      <c r="AP1052" s="62"/>
      <c r="AQ1052" s="66"/>
      <c r="AR1052" s="62"/>
      <c r="AS1052" s="62"/>
      <c r="AT1052" s="62"/>
      <c r="AU1052" s="62"/>
      <c r="AV1052" s="66"/>
      <c r="AW1052" s="97"/>
    </row>
    <row r="1053" spans="23:49" x14ac:dyDescent="0.15">
      <c r="W1053" s="12"/>
      <c r="X1053" s="62"/>
      <c r="Y1053" s="62"/>
      <c r="Z1053" s="62"/>
      <c r="AA1053" s="62"/>
      <c r="AB1053" s="98"/>
      <c r="AC1053" s="62"/>
      <c r="AD1053" s="62"/>
      <c r="AE1053" s="62"/>
      <c r="AF1053" s="62"/>
      <c r="AG1053" s="66"/>
      <c r="AH1053" s="62"/>
      <c r="AI1053" s="62"/>
      <c r="AJ1053" s="62"/>
      <c r="AK1053" s="62"/>
      <c r="AL1053" s="66"/>
      <c r="AM1053" s="62"/>
      <c r="AN1053" s="62"/>
      <c r="AO1053" s="62"/>
      <c r="AP1053" s="62"/>
      <c r="AQ1053" s="66"/>
      <c r="AR1053" s="62"/>
      <c r="AS1053" s="62"/>
      <c r="AT1053" s="62"/>
      <c r="AU1053" s="62"/>
      <c r="AV1053" s="66"/>
      <c r="AW1053" s="97"/>
    </row>
    <row r="1054" spans="23:49" x14ac:dyDescent="0.15">
      <c r="W1054" s="12"/>
      <c r="X1054" s="62"/>
      <c r="Y1054" s="62"/>
      <c r="Z1054" s="62"/>
      <c r="AA1054" s="62"/>
      <c r="AB1054" s="98"/>
      <c r="AC1054" s="62"/>
      <c r="AD1054" s="62"/>
      <c r="AE1054" s="62"/>
      <c r="AF1054" s="62"/>
      <c r="AG1054" s="66"/>
      <c r="AH1054" s="62"/>
      <c r="AI1054" s="62"/>
      <c r="AJ1054" s="62"/>
      <c r="AK1054" s="62"/>
      <c r="AL1054" s="66"/>
      <c r="AM1054" s="62"/>
      <c r="AN1054" s="62"/>
      <c r="AO1054" s="62"/>
      <c r="AP1054" s="62"/>
      <c r="AQ1054" s="66"/>
      <c r="AR1054" s="62"/>
      <c r="AS1054" s="62"/>
      <c r="AT1054" s="62"/>
      <c r="AU1054" s="62"/>
      <c r="AV1054" s="66"/>
      <c r="AW1054" s="97"/>
    </row>
    <row r="1055" spans="23:49" x14ac:dyDescent="0.15">
      <c r="W1055" s="12"/>
      <c r="X1055" s="62"/>
      <c r="Y1055" s="62"/>
      <c r="Z1055" s="62"/>
      <c r="AA1055" s="62"/>
      <c r="AB1055" s="98"/>
      <c r="AC1055" s="62"/>
      <c r="AD1055" s="62"/>
      <c r="AE1055" s="62"/>
      <c r="AF1055" s="62"/>
      <c r="AG1055" s="66"/>
      <c r="AH1055" s="62"/>
      <c r="AI1055" s="62"/>
      <c r="AJ1055" s="62"/>
      <c r="AK1055" s="62"/>
      <c r="AL1055" s="66"/>
      <c r="AM1055" s="62"/>
      <c r="AN1055" s="62"/>
      <c r="AO1055" s="62"/>
      <c r="AP1055" s="62"/>
      <c r="AQ1055" s="66"/>
      <c r="AR1055" s="62"/>
      <c r="AS1055" s="62"/>
      <c r="AT1055" s="62"/>
      <c r="AU1055" s="62"/>
      <c r="AV1055" s="66"/>
      <c r="AW1055" s="97"/>
    </row>
    <row r="1056" spans="23:49" x14ac:dyDescent="0.15">
      <c r="W1056" s="12"/>
      <c r="X1056" s="62"/>
      <c r="Y1056" s="62"/>
      <c r="Z1056" s="62"/>
      <c r="AA1056" s="62"/>
      <c r="AB1056" s="98"/>
      <c r="AC1056" s="62"/>
      <c r="AD1056" s="62"/>
      <c r="AE1056" s="62"/>
      <c r="AF1056" s="62"/>
      <c r="AG1056" s="66"/>
      <c r="AH1056" s="62"/>
      <c r="AI1056" s="62"/>
      <c r="AJ1056" s="62"/>
      <c r="AK1056" s="62"/>
      <c r="AL1056" s="66"/>
      <c r="AM1056" s="62"/>
      <c r="AN1056" s="62"/>
      <c r="AO1056" s="62"/>
      <c r="AP1056" s="62"/>
      <c r="AQ1056" s="66"/>
      <c r="AR1056" s="62"/>
      <c r="AS1056" s="62"/>
      <c r="AT1056" s="62"/>
      <c r="AU1056" s="62"/>
      <c r="AV1056" s="66"/>
      <c r="AW1056" s="97"/>
    </row>
    <row r="1057" spans="23:49" x14ac:dyDescent="0.15">
      <c r="W1057" s="12"/>
      <c r="X1057" s="62"/>
      <c r="Y1057" s="62"/>
      <c r="Z1057" s="62"/>
      <c r="AA1057" s="62"/>
      <c r="AB1057" s="98"/>
      <c r="AC1057" s="62"/>
      <c r="AD1057" s="62"/>
      <c r="AE1057" s="62"/>
      <c r="AF1057" s="62"/>
      <c r="AG1057" s="66"/>
      <c r="AH1057" s="62"/>
      <c r="AI1057" s="62"/>
      <c r="AJ1057" s="62"/>
      <c r="AK1057" s="62"/>
      <c r="AL1057" s="66"/>
      <c r="AM1057" s="62"/>
      <c r="AN1057" s="62"/>
      <c r="AO1057" s="62"/>
      <c r="AP1057" s="62"/>
      <c r="AQ1057" s="66"/>
      <c r="AR1057" s="62"/>
      <c r="AS1057" s="62"/>
      <c r="AT1057" s="62"/>
      <c r="AU1057" s="62"/>
      <c r="AV1057" s="66"/>
      <c r="AW1057" s="97"/>
    </row>
    <row r="1058" spans="23:49" x14ac:dyDescent="0.15">
      <c r="W1058" s="12"/>
      <c r="X1058" s="62"/>
      <c r="Y1058" s="62"/>
      <c r="Z1058" s="62"/>
      <c r="AA1058" s="62"/>
      <c r="AB1058" s="98"/>
      <c r="AC1058" s="62"/>
      <c r="AD1058" s="62"/>
      <c r="AE1058" s="62"/>
      <c r="AF1058" s="62"/>
      <c r="AG1058" s="66"/>
      <c r="AH1058" s="62"/>
      <c r="AI1058" s="62"/>
      <c r="AJ1058" s="62"/>
      <c r="AK1058" s="62"/>
      <c r="AL1058" s="66"/>
      <c r="AM1058" s="62"/>
      <c r="AN1058" s="62"/>
      <c r="AO1058" s="62"/>
      <c r="AP1058" s="62"/>
      <c r="AQ1058" s="66"/>
      <c r="AR1058" s="62"/>
      <c r="AS1058" s="62"/>
      <c r="AT1058" s="62"/>
      <c r="AU1058" s="62"/>
      <c r="AV1058" s="66"/>
      <c r="AW1058" s="97"/>
    </row>
    <row r="1059" spans="23:49" x14ac:dyDescent="0.15">
      <c r="W1059" s="12"/>
      <c r="X1059" s="62"/>
      <c r="Y1059" s="62"/>
      <c r="Z1059" s="62"/>
      <c r="AA1059" s="62"/>
      <c r="AB1059" s="98"/>
      <c r="AC1059" s="62"/>
      <c r="AD1059" s="62"/>
      <c r="AE1059" s="62"/>
      <c r="AF1059" s="62"/>
      <c r="AG1059" s="66"/>
      <c r="AH1059" s="62"/>
      <c r="AI1059" s="62"/>
      <c r="AJ1059" s="62"/>
      <c r="AK1059" s="62"/>
      <c r="AL1059" s="66"/>
      <c r="AM1059" s="62"/>
      <c r="AN1059" s="62"/>
      <c r="AO1059" s="62"/>
      <c r="AP1059" s="62"/>
      <c r="AQ1059" s="66"/>
      <c r="AR1059" s="62"/>
      <c r="AS1059" s="62"/>
      <c r="AT1059" s="62"/>
      <c r="AU1059" s="62"/>
      <c r="AV1059" s="66"/>
      <c r="AW1059" s="97"/>
    </row>
    <row r="1060" spans="23:49" x14ac:dyDescent="0.15">
      <c r="W1060" s="12"/>
      <c r="X1060" s="62"/>
      <c r="Y1060" s="62"/>
      <c r="Z1060" s="62"/>
      <c r="AA1060" s="62"/>
      <c r="AB1060" s="98"/>
      <c r="AC1060" s="62"/>
      <c r="AD1060" s="62"/>
      <c r="AE1060" s="62"/>
      <c r="AF1060" s="62"/>
      <c r="AG1060" s="66"/>
      <c r="AH1060" s="62"/>
      <c r="AI1060" s="62"/>
      <c r="AJ1060" s="62"/>
      <c r="AK1060" s="62"/>
      <c r="AL1060" s="66"/>
      <c r="AM1060" s="62"/>
      <c r="AN1060" s="62"/>
      <c r="AO1060" s="62"/>
      <c r="AP1060" s="62"/>
      <c r="AQ1060" s="66"/>
      <c r="AR1060" s="62"/>
      <c r="AS1060" s="62"/>
      <c r="AT1060" s="62"/>
      <c r="AU1060" s="62"/>
      <c r="AV1060" s="66"/>
      <c r="AW1060" s="97"/>
    </row>
    <row r="1061" spans="23:49" x14ac:dyDescent="0.15">
      <c r="W1061" s="12"/>
      <c r="X1061" s="62"/>
      <c r="Y1061" s="62"/>
      <c r="Z1061" s="62"/>
      <c r="AA1061" s="62"/>
      <c r="AB1061" s="98"/>
      <c r="AC1061" s="62"/>
      <c r="AD1061" s="62"/>
      <c r="AE1061" s="62"/>
      <c r="AF1061" s="62"/>
      <c r="AG1061" s="66"/>
      <c r="AH1061" s="62"/>
      <c r="AI1061" s="62"/>
      <c r="AJ1061" s="62"/>
      <c r="AK1061" s="62"/>
      <c r="AL1061" s="66"/>
      <c r="AM1061" s="62"/>
      <c r="AN1061" s="62"/>
      <c r="AO1061" s="62"/>
      <c r="AP1061" s="62"/>
      <c r="AQ1061" s="66"/>
      <c r="AR1061" s="62"/>
      <c r="AS1061" s="62"/>
      <c r="AT1061" s="62"/>
      <c r="AU1061" s="62"/>
      <c r="AV1061" s="66"/>
      <c r="AW1061" s="97"/>
    </row>
    <row r="1062" spans="23:49" x14ac:dyDescent="0.15">
      <c r="W1062" s="12"/>
      <c r="X1062" s="62"/>
      <c r="Y1062" s="62"/>
      <c r="Z1062" s="62"/>
      <c r="AA1062" s="62"/>
      <c r="AB1062" s="98"/>
      <c r="AC1062" s="62"/>
      <c r="AD1062" s="62"/>
      <c r="AE1062" s="62"/>
      <c r="AF1062" s="62"/>
      <c r="AG1062" s="66"/>
      <c r="AH1062" s="62"/>
      <c r="AI1062" s="62"/>
      <c r="AJ1062" s="62"/>
      <c r="AK1062" s="62"/>
      <c r="AL1062" s="66"/>
      <c r="AM1062" s="62"/>
      <c r="AN1062" s="62"/>
      <c r="AO1062" s="62"/>
      <c r="AP1062" s="62"/>
      <c r="AQ1062" s="66"/>
      <c r="AR1062" s="62"/>
      <c r="AS1062" s="62"/>
      <c r="AT1062" s="62"/>
      <c r="AU1062" s="62"/>
      <c r="AV1062" s="66"/>
      <c r="AW1062" s="97"/>
    </row>
    <row r="1063" spans="23:49" x14ac:dyDescent="0.15">
      <c r="W1063" s="12"/>
      <c r="X1063" s="62"/>
      <c r="Y1063" s="62"/>
      <c r="Z1063" s="62"/>
      <c r="AA1063" s="62"/>
      <c r="AB1063" s="98"/>
      <c r="AC1063" s="62"/>
      <c r="AD1063" s="62"/>
      <c r="AE1063" s="62"/>
      <c r="AF1063" s="62"/>
      <c r="AG1063" s="66"/>
      <c r="AH1063" s="62"/>
      <c r="AI1063" s="62"/>
      <c r="AJ1063" s="62"/>
      <c r="AK1063" s="62"/>
      <c r="AL1063" s="66"/>
      <c r="AM1063" s="62"/>
      <c r="AN1063" s="62"/>
      <c r="AO1063" s="62"/>
      <c r="AP1063" s="62"/>
      <c r="AQ1063" s="66"/>
      <c r="AR1063" s="62"/>
      <c r="AS1063" s="62"/>
      <c r="AT1063" s="62"/>
      <c r="AU1063" s="62"/>
      <c r="AV1063" s="66"/>
      <c r="AW1063" s="97"/>
    </row>
    <row r="1064" spans="23:49" x14ac:dyDescent="0.15">
      <c r="W1064" s="12"/>
      <c r="X1064" s="62"/>
      <c r="Y1064" s="62"/>
      <c r="Z1064" s="62"/>
      <c r="AA1064" s="62"/>
      <c r="AB1064" s="98"/>
      <c r="AC1064" s="62"/>
      <c r="AD1064" s="62"/>
      <c r="AE1064" s="62"/>
      <c r="AF1064" s="62"/>
      <c r="AG1064" s="66"/>
      <c r="AH1064" s="62"/>
      <c r="AI1064" s="62"/>
      <c r="AJ1064" s="62"/>
      <c r="AK1064" s="62"/>
      <c r="AL1064" s="66"/>
      <c r="AM1064" s="62"/>
      <c r="AN1064" s="62"/>
      <c r="AO1064" s="62"/>
      <c r="AP1064" s="62"/>
      <c r="AQ1064" s="66"/>
      <c r="AR1064" s="62"/>
      <c r="AS1064" s="62"/>
      <c r="AT1064" s="62"/>
      <c r="AU1064" s="62"/>
      <c r="AV1064" s="66"/>
      <c r="AW1064" s="97"/>
    </row>
    <row r="1065" spans="23:49" x14ac:dyDescent="0.15">
      <c r="W1065" s="12"/>
      <c r="X1065" s="62"/>
      <c r="Y1065" s="62"/>
      <c r="Z1065" s="62"/>
      <c r="AA1065" s="62"/>
      <c r="AB1065" s="98"/>
      <c r="AC1065" s="62"/>
      <c r="AD1065" s="62"/>
      <c r="AE1065" s="62"/>
      <c r="AF1065" s="62"/>
      <c r="AG1065" s="66"/>
      <c r="AH1065" s="62"/>
      <c r="AI1065" s="62"/>
      <c r="AJ1065" s="62"/>
      <c r="AK1065" s="62"/>
      <c r="AL1065" s="66"/>
      <c r="AM1065" s="62"/>
      <c r="AN1065" s="62"/>
      <c r="AO1065" s="62"/>
      <c r="AP1065" s="62"/>
      <c r="AQ1065" s="66"/>
      <c r="AR1065" s="62"/>
      <c r="AS1065" s="62"/>
      <c r="AT1065" s="62"/>
      <c r="AU1065" s="62"/>
      <c r="AV1065" s="66"/>
      <c r="AW1065" s="97"/>
    </row>
    <row r="1066" spans="23:49" x14ac:dyDescent="0.15">
      <c r="W1066" s="12"/>
      <c r="X1066" s="62"/>
      <c r="Y1066" s="62"/>
      <c r="Z1066" s="62"/>
      <c r="AA1066" s="62"/>
      <c r="AB1066" s="98"/>
      <c r="AC1066" s="62"/>
      <c r="AD1066" s="62"/>
      <c r="AE1066" s="62"/>
      <c r="AF1066" s="62"/>
      <c r="AG1066" s="66"/>
      <c r="AH1066" s="62"/>
      <c r="AI1066" s="62"/>
      <c r="AJ1066" s="62"/>
      <c r="AK1066" s="62"/>
      <c r="AL1066" s="66"/>
      <c r="AM1066" s="62"/>
      <c r="AN1066" s="62"/>
      <c r="AO1066" s="62"/>
      <c r="AP1066" s="62"/>
      <c r="AQ1066" s="66"/>
      <c r="AR1066" s="62"/>
      <c r="AS1066" s="62"/>
      <c r="AT1066" s="62"/>
      <c r="AU1066" s="62"/>
      <c r="AV1066" s="66"/>
      <c r="AW1066" s="97"/>
    </row>
    <row r="1067" spans="23:49" x14ac:dyDescent="0.15">
      <c r="W1067" s="12"/>
      <c r="X1067" s="62"/>
      <c r="Y1067" s="62"/>
      <c r="Z1067" s="62"/>
      <c r="AA1067" s="62"/>
      <c r="AB1067" s="98"/>
      <c r="AC1067" s="62"/>
      <c r="AD1067" s="62"/>
      <c r="AE1067" s="62"/>
      <c r="AF1067" s="62"/>
      <c r="AG1067" s="66"/>
      <c r="AH1067" s="62"/>
      <c r="AI1067" s="62"/>
      <c r="AJ1067" s="62"/>
      <c r="AK1067" s="62"/>
      <c r="AL1067" s="66"/>
      <c r="AM1067" s="62"/>
      <c r="AN1067" s="62"/>
      <c r="AO1067" s="62"/>
      <c r="AP1067" s="62"/>
      <c r="AQ1067" s="66"/>
      <c r="AR1067" s="62"/>
      <c r="AS1067" s="62"/>
      <c r="AT1067" s="62"/>
      <c r="AU1067" s="62"/>
      <c r="AV1067" s="66"/>
      <c r="AW1067" s="97"/>
    </row>
    <row r="1068" spans="23:49" x14ac:dyDescent="0.15">
      <c r="W1068" s="12"/>
      <c r="X1068" s="62"/>
      <c r="Y1068" s="62"/>
      <c r="Z1068" s="62"/>
      <c r="AA1068" s="62"/>
      <c r="AB1068" s="98"/>
      <c r="AC1068" s="62"/>
      <c r="AD1068" s="62"/>
      <c r="AE1068" s="62"/>
      <c r="AF1068" s="62"/>
      <c r="AG1068" s="66"/>
      <c r="AH1068" s="62"/>
      <c r="AI1068" s="62"/>
      <c r="AJ1068" s="62"/>
      <c r="AK1068" s="62"/>
      <c r="AL1068" s="66"/>
      <c r="AM1068" s="62"/>
      <c r="AN1068" s="62"/>
      <c r="AO1068" s="62"/>
      <c r="AP1068" s="62"/>
      <c r="AQ1068" s="66"/>
      <c r="AR1068" s="62"/>
      <c r="AS1068" s="62"/>
      <c r="AT1068" s="62"/>
      <c r="AU1068" s="62"/>
      <c r="AV1068" s="66"/>
      <c r="AW1068" s="97"/>
    </row>
    <row r="1069" spans="23:49" x14ac:dyDescent="0.15">
      <c r="W1069" s="12"/>
      <c r="X1069" s="62"/>
      <c r="Y1069" s="62"/>
      <c r="Z1069" s="62"/>
      <c r="AA1069" s="62"/>
      <c r="AB1069" s="98"/>
      <c r="AC1069" s="62"/>
      <c r="AD1069" s="62"/>
      <c r="AE1069" s="62"/>
      <c r="AF1069" s="62"/>
      <c r="AG1069" s="66"/>
      <c r="AH1069" s="62"/>
      <c r="AI1069" s="62"/>
      <c r="AJ1069" s="62"/>
      <c r="AK1069" s="62"/>
      <c r="AL1069" s="66"/>
      <c r="AM1069" s="62"/>
      <c r="AN1069" s="62"/>
      <c r="AO1069" s="62"/>
      <c r="AP1069" s="62"/>
      <c r="AQ1069" s="66"/>
      <c r="AR1069" s="62"/>
      <c r="AS1069" s="62"/>
      <c r="AT1069" s="62"/>
      <c r="AU1069" s="62"/>
      <c r="AV1069" s="66"/>
      <c r="AW1069" s="97"/>
    </row>
    <row r="1070" spans="23:49" x14ac:dyDescent="0.15">
      <c r="W1070" s="12"/>
      <c r="X1070" s="62"/>
      <c r="Y1070" s="62"/>
      <c r="Z1070" s="62"/>
      <c r="AA1070" s="62"/>
      <c r="AB1070" s="98"/>
      <c r="AC1070" s="62"/>
      <c r="AD1070" s="62"/>
      <c r="AE1070" s="62"/>
      <c r="AF1070" s="62"/>
      <c r="AG1070" s="66"/>
      <c r="AH1070" s="62"/>
      <c r="AI1070" s="62"/>
      <c r="AJ1070" s="62"/>
      <c r="AK1070" s="62"/>
      <c r="AL1070" s="66"/>
      <c r="AM1070" s="62"/>
      <c r="AN1070" s="62"/>
      <c r="AO1070" s="62"/>
      <c r="AP1070" s="62"/>
      <c r="AQ1070" s="66"/>
      <c r="AR1070" s="62"/>
      <c r="AS1070" s="62"/>
      <c r="AT1070" s="62"/>
      <c r="AU1070" s="62"/>
      <c r="AV1070" s="66"/>
      <c r="AW1070" s="97"/>
    </row>
    <row r="1071" spans="23:49" x14ac:dyDescent="0.15">
      <c r="W1071" s="12"/>
      <c r="X1071" s="62"/>
      <c r="Y1071" s="62"/>
      <c r="Z1071" s="62"/>
      <c r="AA1071" s="62"/>
      <c r="AB1071" s="98"/>
      <c r="AC1071" s="62"/>
      <c r="AD1071" s="62"/>
      <c r="AE1071" s="62"/>
      <c r="AF1071" s="62"/>
      <c r="AG1071" s="66"/>
      <c r="AH1071" s="62"/>
      <c r="AI1071" s="62"/>
      <c r="AJ1071" s="62"/>
      <c r="AK1071" s="62"/>
      <c r="AL1071" s="66"/>
      <c r="AM1071" s="62"/>
      <c r="AN1071" s="62"/>
      <c r="AO1071" s="62"/>
      <c r="AP1071" s="62"/>
      <c r="AQ1071" s="66"/>
      <c r="AR1071" s="62"/>
      <c r="AS1071" s="62"/>
      <c r="AT1071" s="62"/>
      <c r="AU1071" s="62"/>
      <c r="AV1071" s="66"/>
      <c r="AW1071" s="97"/>
    </row>
    <row r="1072" spans="23:49" x14ac:dyDescent="0.15">
      <c r="W1072" s="12"/>
      <c r="X1072" s="62"/>
      <c r="Y1072" s="62"/>
      <c r="Z1072" s="62"/>
      <c r="AA1072" s="62"/>
      <c r="AB1072" s="98"/>
      <c r="AC1072" s="62"/>
      <c r="AD1072" s="62"/>
      <c r="AE1072" s="62"/>
      <c r="AF1072" s="62"/>
      <c r="AG1072" s="66"/>
      <c r="AH1072" s="62"/>
      <c r="AI1072" s="62"/>
      <c r="AJ1072" s="62"/>
      <c r="AK1072" s="62"/>
      <c r="AL1072" s="66"/>
      <c r="AM1072" s="62"/>
      <c r="AN1072" s="62"/>
      <c r="AO1072" s="62"/>
      <c r="AP1072" s="62"/>
      <c r="AQ1072" s="66"/>
      <c r="AR1072" s="62"/>
      <c r="AS1072" s="62"/>
      <c r="AT1072" s="62"/>
      <c r="AU1072" s="62"/>
      <c r="AV1072" s="66"/>
      <c r="AW1072" s="97"/>
    </row>
    <row r="1073" spans="23:49" x14ac:dyDescent="0.15">
      <c r="W1073" s="12"/>
      <c r="X1073" s="62"/>
      <c r="Y1073" s="62"/>
      <c r="Z1073" s="62"/>
      <c r="AA1073" s="62"/>
      <c r="AB1073" s="98"/>
      <c r="AC1073" s="62"/>
      <c r="AD1073" s="62"/>
      <c r="AE1073" s="62"/>
      <c r="AF1073" s="62"/>
      <c r="AG1073" s="66"/>
      <c r="AH1073" s="62"/>
      <c r="AI1073" s="62"/>
      <c r="AJ1073" s="62"/>
      <c r="AK1073" s="62"/>
      <c r="AL1073" s="66"/>
      <c r="AM1073" s="62"/>
      <c r="AN1073" s="62"/>
      <c r="AO1073" s="62"/>
      <c r="AP1073" s="62"/>
      <c r="AQ1073" s="66"/>
      <c r="AR1073" s="62"/>
      <c r="AS1073" s="62"/>
      <c r="AT1073" s="62"/>
      <c r="AU1073" s="62"/>
      <c r="AV1073" s="66"/>
      <c r="AW1073" s="97"/>
    </row>
    <row r="1074" spans="23:49" x14ac:dyDescent="0.15">
      <c r="W1074" s="12"/>
      <c r="X1074" s="62"/>
      <c r="Y1074" s="62"/>
      <c r="Z1074" s="62"/>
      <c r="AA1074" s="62"/>
      <c r="AB1074" s="98"/>
      <c r="AC1074" s="62"/>
      <c r="AD1074" s="62"/>
      <c r="AE1074" s="62"/>
      <c r="AF1074" s="62"/>
      <c r="AG1074" s="66"/>
      <c r="AH1074" s="62"/>
      <c r="AI1074" s="62"/>
      <c r="AJ1074" s="62"/>
      <c r="AK1074" s="62"/>
      <c r="AL1074" s="66"/>
      <c r="AM1074" s="62"/>
      <c r="AN1074" s="62"/>
      <c r="AO1074" s="62"/>
      <c r="AP1074" s="62"/>
      <c r="AQ1074" s="66"/>
      <c r="AR1074" s="62"/>
      <c r="AS1074" s="62"/>
      <c r="AT1074" s="62"/>
      <c r="AU1074" s="62"/>
      <c r="AV1074" s="66"/>
      <c r="AW1074" s="97"/>
    </row>
    <row r="1075" spans="23:49" x14ac:dyDescent="0.15">
      <c r="W1075" s="12"/>
      <c r="X1075" s="62"/>
      <c r="Y1075" s="62"/>
      <c r="Z1075" s="62"/>
      <c r="AA1075" s="62"/>
      <c r="AB1075" s="98"/>
      <c r="AC1075" s="62"/>
      <c r="AD1075" s="62"/>
      <c r="AE1075" s="62"/>
      <c r="AF1075" s="62"/>
      <c r="AG1075" s="66"/>
      <c r="AH1075" s="62"/>
      <c r="AI1075" s="62"/>
      <c r="AJ1075" s="62"/>
      <c r="AK1075" s="62"/>
      <c r="AL1075" s="66"/>
      <c r="AM1075" s="62"/>
      <c r="AN1075" s="62"/>
      <c r="AO1075" s="62"/>
      <c r="AP1075" s="62"/>
      <c r="AQ1075" s="66"/>
      <c r="AR1075" s="62"/>
      <c r="AS1075" s="62"/>
      <c r="AT1075" s="62"/>
      <c r="AU1075" s="62"/>
      <c r="AV1075" s="66"/>
      <c r="AW1075" s="97"/>
    </row>
    <row r="1076" spans="23:49" x14ac:dyDescent="0.15">
      <c r="W1076" s="12"/>
      <c r="X1076" s="62"/>
      <c r="Y1076" s="62"/>
      <c r="Z1076" s="62"/>
      <c r="AA1076" s="62"/>
      <c r="AB1076" s="98"/>
      <c r="AC1076" s="62"/>
      <c r="AD1076" s="62"/>
      <c r="AE1076" s="62"/>
      <c r="AF1076" s="62"/>
      <c r="AG1076" s="66"/>
      <c r="AH1076" s="62"/>
      <c r="AI1076" s="62"/>
      <c r="AJ1076" s="62"/>
      <c r="AK1076" s="62"/>
      <c r="AL1076" s="66"/>
      <c r="AM1076" s="62"/>
      <c r="AN1076" s="62"/>
      <c r="AO1076" s="62"/>
      <c r="AP1076" s="62"/>
      <c r="AQ1076" s="66"/>
      <c r="AR1076" s="62"/>
      <c r="AS1076" s="62"/>
      <c r="AT1076" s="62"/>
      <c r="AU1076" s="62"/>
      <c r="AV1076" s="66"/>
      <c r="AW1076" s="97"/>
    </row>
    <row r="1077" spans="23:49" x14ac:dyDescent="0.15">
      <c r="W1077" s="12"/>
      <c r="X1077" s="62"/>
      <c r="Y1077" s="62"/>
      <c r="Z1077" s="62"/>
      <c r="AA1077" s="62"/>
      <c r="AB1077" s="98"/>
      <c r="AC1077" s="62"/>
      <c r="AD1077" s="62"/>
      <c r="AE1077" s="62"/>
      <c r="AF1077" s="62"/>
      <c r="AG1077" s="66"/>
      <c r="AH1077" s="62"/>
      <c r="AI1077" s="62"/>
      <c r="AJ1077" s="62"/>
      <c r="AK1077" s="62"/>
      <c r="AL1077" s="66"/>
      <c r="AM1077" s="62"/>
      <c r="AN1077" s="62"/>
      <c r="AO1077" s="62"/>
      <c r="AP1077" s="62"/>
      <c r="AQ1077" s="66"/>
      <c r="AR1077" s="62"/>
      <c r="AS1077" s="62"/>
      <c r="AT1077" s="62"/>
      <c r="AU1077" s="62"/>
      <c r="AV1077" s="66"/>
      <c r="AW1077" s="97"/>
    </row>
    <row r="1078" spans="23:49" x14ac:dyDescent="0.15">
      <c r="W1078" s="12"/>
      <c r="X1078" s="62"/>
      <c r="Y1078" s="62"/>
      <c r="Z1078" s="62"/>
      <c r="AA1078" s="62"/>
      <c r="AB1078" s="98"/>
      <c r="AC1078" s="62"/>
      <c r="AD1078" s="62"/>
      <c r="AE1078" s="62"/>
      <c r="AF1078" s="62"/>
      <c r="AG1078" s="66"/>
      <c r="AH1078" s="62"/>
      <c r="AI1078" s="62"/>
      <c r="AJ1078" s="62"/>
      <c r="AK1078" s="62"/>
      <c r="AL1078" s="66"/>
      <c r="AM1078" s="62"/>
      <c r="AN1078" s="62"/>
      <c r="AO1078" s="62"/>
      <c r="AP1078" s="62"/>
      <c r="AQ1078" s="66"/>
      <c r="AR1078" s="62"/>
      <c r="AS1078" s="62"/>
      <c r="AT1078" s="62"/>
      <c r="AU1078" s="62"/>
      <c r="AV1078" s="66"/>
      <c r="AW1078" s="97"/>
    </row>
    <row r="1079" spans="23:49" x14ac:dyDescent="0.15">
      <c r="W1079" s="12"/>
      <c r="X1079" s="62"/>
      <c r="Y1079" s="62"/>
      <c r="Z1079" s="62"/>
      <c r="AA1079" s="62"/>
      <c r="AB1079" s="98"/>
      <c r="AC1079" s="62"/>
      <c r="AD1079" s="62"/>
      <c r="AE1079" s="62"/>
      <c r="AF1079" s="62"/>
      <c r="AG1079" s="66"/>
      <c r="AH1079" s="62"/>
      <c r="AI1079" s="62"/>
      <c r="AJ1079" s="62"/>
      <c r="AK1079" s="62"/>
      <c r="AL1079" s="66"/>
      <c r="AM1079" s="62"/>
      <c r="AN1079" s="62"/>
      <c r="AO1079" s="62"/>
      <c r="AP1079" s="62"/>
      <c r="AQ1079" s="66"/>
      <c r="AR1079" s="62"/>
      <c r="AS1079" s="62"/>
      <c r="AT1079" s="62"/>
      <c r="AU1079" s="62"/>
      <c r="AV1079" s="66"/>
      <c r="AW1079" s="97"/>
    </row>
    <row r="1080" spans="23:49" x14ac:dyDescent="0.15">
      <c r="W1080" s="12"/>
      <c r="X1080" s="62"/>
      <c r="Y1080" s="62"/>
      <c r="Z1080" s="62"/>
      <c r="AA1080" s="62"/>
      <c r="AB1080" s="98"/>
      <c r="AC1080" s="62"/>
      <c r="AD1080" s="62"/>
      <c r="AE1080" s="62"/>
      <c r="AF1080" s="62"/>
      <c r="AG1080" s="66"/>
      <c r="AH1080" s="62"/>
      <c r="AI1080" s="62"/>
      <c r="AJ1080" s="62"/>
      <c r="AK1080" s="62"/>
      <c r="AL1080" s="66"/>
      <c r="AM1080" s="62"/>
      <c r="AN1080" s="62"/>
      <c r="AO1080" s="62"/>
      <c r="AP1080" s="62"/>
      <c r="AQ1080" s="66"/>
      <c r="AR1080" s="62"/>
      <c r="AS1080" s="62"/>
      <c r="AT1080" s="62"/>
      <c r="AU1080" s="62"/>
      <c r="AV1080" s="66"/>
      <c r="AW1080" s="97"/>
    </row>
    <row r="1081" spans="23:49" x14ac:dyDescent="0.15">
      <c r="W1081" s="12"/>
      <c r="X1081" s="62"/>
      <c r="Y1081" s="62"/>
      <c r="Z1081" s="62"/>
      <c r="AA1081" s="62"/>
      <c r="AB1081" s="98"/>
      <c r="AC1081" s="62"/>
      <c r="AD1081" s="62"/>
      <c r="AE1081" s="62"/>
      <c r="AF1081" s="62"/>
      <c r="AG1081" s="66"/>
      <c r="AH1081" s="62"/>
      <c r="AI1081" s="62"/>
      <c r="AJ1081" s="62"/>
      <c r="AK1081" s="62"/>
      <c r="AL1081" s="66"/>
      <c r="AM1081" s="62"/>
      <c r="AN1081" s="62"/>
      <c r="AO1081" s="62"/>
      <c r="AP1081" s="62"/>
      <c r="AQ1081" s="66"/>
      <c r="AR1081" s="62"/>
      <c r="AS1081" s="62"/>
      <c r="AT1081" s="62"/>
      <c r="AU1081" s="62"/>
      <c r="AV1081" s="66"/>
      <c r="AW1081" s="97"/>
    </row>
    <row r="1082" spans="23:49" x14ac:dyDescent="0.15">
      <c r="W1082" s="12"/>
      <c r="X1082" s="62"/>
      <c r="Y1082" s="62"/>
      <c r="Z1082" s="62"/>
      <c r="AA1082" s="62"/>
      <c r="AB1082" s="98"/>
      <c r="AC1082" s="62"/>
      <c r="AD1082" s="62"/>
      <c r="AE1082" s="62"/>
      <c r="AF1082" s="62"/>
      <c r="AG1082" s="66"/>
      <c r="AH1082" s="62"/>
      <c r="AI1082" s="62"/>
      <c r="AJ1082" s="62"/>
      <c r="AK1082" s="62"/>
      <c r="AL1082" s="66"/>
      <c r="AM1082" s="62"/>
      <c r="AN1082" s="62"/>
      <c r="AO1082" s="62"/>
      <c r="AP1082" s="62"/>
      <c r="AQ1082" s="66"/>
      <c r="AR1082" s="62"/>
      <c r="AS1082" s="62"/>
      <c r="AT1082" s="62"/>
      <c r="AU1082" s="62"/>
      <c r="AV1082" s="66"/>
      <c r="AW1082" s="97"/>
    </row>
    <row r="1083" spans="23:49" x14ac:dyDescent="0.15">
      <c r="W1083" s="12"/>
      <c r="X1083" s="62"/>
      <c r="Y1083" s="62"/>
      <c r="Z1083" s="62"/>
      <c r="AA1083" s="62"/>
      <c r="AB1083" s="98"/>
      <c r="AC1083" s="62"/>
      <c r="AD1083" s="62"/>
      <c r="AE1083" s="62"/>
      <c r="AF1083" s="62"/>
      <c r="AG1083" s="66"/>
      <c r="AH1083" s="62"/>
      <c r="AI1083" s="62"/>
      <c r="AJ1083" s="62"/>
      <c r="AK1083" s="62"/>
      <c r="AL1083" s="66"/>
      <c r="AM1083" s="62"/>
      <c r="AN1083" s="62"/>
      <c r="AO1083" s="62"/>
      <c r="AP1083" s="62"/>
      <c r="AQ1083" s="66"/>
      <c r="AR1083" s="62"/>
      <c r="AS1083" s="62"/>
      <c r="AT1083" s="62"/>
      <c r="AU1083" s="62"/>
      <c r="AV1083" s="66"/>
      <c r="AW1083" s="97"/>
    </row>
    <row r="1084" spans="23:49" x14ac:dyDescent="0.15">
      <c r="W1084" s="12"/>
      <c r="X1084" s="62"/>
      <c r="Y1084" s="62"/>
      <c r="Z1084" s="62"/>
      <c r="AA1084" s="62"/>
      <c r="AB1084" s="98"/>
      <c r="AC1084" s="62"/>
      <c r="AD1084" s="62"/>
      <c r="AE1084" s="62"/>
      <c r="AF1084" s="62"/>
      <c r="AG1084" s="66"/>
      <c r="AH1084" s="62"/>
      <c r="AI1084" s="62"/>
      <c r="AJ1084" s="62"/>
      <c r="AK1084" s="62"/>
      <c r="AL1084" s="66"/>
      <c r="AM1084" s="62"/>
      <c r="AN1084" s="62"/>
      <c r="AO1084" s="62"/>
      <c r="AP1084" s="62"/>
      <c r="AQ1084" s="66"/>
      <c r="AR1084" s="62"/>
      <c r="AS1084" s="62"/>
      <c r="AT1084" s="62"/>
      <c r="AU1084" s="62"/>
      <c r="AV1084" s="66"/>
      <c r="AW1084" s="97"/>
    </row>
    <row r="1085" spans="23:49" x14ac:dyDescent="0.15">
      <c r="W1085" s="12"/>
      <c r="X1085" s="62"/>
      <c r="Y1085" s="62"/>
      <c r="Z1085" s="62"/>
      <c r="AA1085" s="62"/>
      <c r="AB1085" s="98"/>
      <c r="AC1085" s="62"/>
      <c r="AD1085" s="62"/>
      <c r="AE1085" s="62"/>
      <c r="AF1085" s="62"/>
      <c r="AG1085" s="66"/>
      <c r="AH1085" s="62"/>
      <c r="AI1085" s="62"/>
      <c r="AJ1085" s="62"/>
      <c r="AK1085" s="62"/>
      <c r="AL1085" s="66"/>
      <c r="AM1085" s="62"/>
      <c r="AN1085" s="62"/>
      <c r="AO1085" s="62"/>
      <c r="AP1085" s="62"/>
      <c r="AQ1085" s="66"/>
      <c r="AR1085" s="62"/>
      <c r="AS1085" s="62"/>
      <c r="AT1085" s="62"/>
      <c r="AU1085" s="62"/>
      <c r="AV1085" s="66"/>
      <c r="AW1085" s="97"/>
    </row>
    <row r="1086" spans="23:49" x14ac:dyDescent="0.15">
      <c r="W1086" s="12"/>
      <c r="X1086" s="62"/>
      <c r="Y1086" s="62"/>
      <c r="Z1086" s="62"/>
      <c r="AA1086" s="62"/>
      <c r="AB1086" s="98"/>
      <c r="AC1086" s="62"/>
      <c r="AD1086" s="62"/>
      <c r="AE1086" s="62"/>
      <c r="AF1086" s="62"/>
      <c r="AG1086" s="66"/>
      <c r="AH1086" s="62"/>
      <c r="AI1086" s="62"/>
      <c r="AJ1086" s="62"/>
      <c r="AK1086" s="62"/>
      <c r="AL1086" s="66"/>
      <c r="AM1086" s="62"/>
      <c r="AN1086" s="62"/>
      <c r="AO1086" s="62"/>
      <c r="AP1086" s="62"/>
      <c r="AQ1086" s="66"/>
      <c r="AR1086" s="62"/>
      <c r="AS1086" s="62"/>
      <c r="AT1086" s="62"/>
      <c r="AU1086" s="62"/>
      <c r="AV1086" s="66"/>
      <c r="AW1086" s="97"/>
    </row>
    <row r="1087" spans="23:49" x14ac:dyDescent="0.15">
      <c r="W1087" s="12"/>
      <c r="X1087" s="62"/>
      <c r="Y1087" s="62"/>
      <c r="Z1087" s="62"/>
      <c r="AA1087" s="62"/>
      <c r="AB1087" s="98"/>
      <c r="AC1087" s="62"/>
      <c r="AD1087" s="62"/>
      <c r="AE1087" s="62"/>
      <c r="AF1087" s="62"/>
      <c r="AG1087" s="66"/>
      <c r="AH1087" s="62"/>
      <c r="AI1087" s="62"/>
      <c r="AJ1087" s="62"/>
      <c r="AK1087" s="62"/>
      <c r="AL1087" s="66"/>
      <c r="AM1087" s="62"/>
      <c r="AN1087" s="62"/>
      <c r="AO1087" s="62"/>
      <c r="AP1087" s="62"/>
      <c r="AQ1087" s="66"/>
      <c r="AR1087" s="62"/>
      <c r="AS1087" s="62"/>
      <c r="AT1087" s="62"/>
      <c r="AU1087" s="62"/>
      <c r="AV1087" s="66"/>
      <c r="AW1087" s="97"/>
    </row>
    <row r="1088" spans="23:49" x14ac:dyDescent="0.15">
      <c r="W1088" s="12"/>
      <c r="X1088" s="62"/>
      <c r="Y1088" s="62"/>
      <c r="Z1088" s="62"/>
      <c r="AA1088" s="62"/>
      <c r="AB1088" s="98"/>
      <c r="AC1088" s="62"/>
      <c r="AD1088" s="62"/>
      <c r="AE1088" s="62"/>
      <c r="AF1088" s="62"/>
      <c r="AG1088" s="66"/>
      <c r="AH1088" s="62"/>
      <c r="AI1088" s="62"/>
      <c r="AJ1088" s="62"/>
      <c r="AK1088" s="62"/>
      <c r="AL1088" s="66"/>
      <c r="AM1088" s="62"/>
      <c r="AN1088" s="62"/>
      <c r="AO1088" s="62"/>
      <c r="AP1088" s="62"/>
      <c r="AQ1088" s="66"/>
      <c r="AR1088" s="62"/>
      <c r="AS1088" s="62"/>
      <c r="AT1088" s="62"/>
      <c r="AU1088" s="62"/>
      <c r="AV1088" s="66"/>
      <c r="AW1088" s="97"/>
    </row>
    <row r="1089" spans="23:49" x14ac:dyDescent="0.15">
      <c r="W1089" s="12"/>
      <c r="X1089" s="62"/>
      <c r="Y1089" s="62"/>
      <c r="Z1089" s="62"/>
      <c r="AA1089" s="62"/>
      <c r="AB1089" s="98"/>
      <c r="AC1089" s="62"/>
      <c r="AD1089" s="62"/>
      <c r="AE1089" s="62"/>
      <c r="AF1089" s="62"/>
      <c r="AG1089" s="66"/>
      <c r="AH1089" s="62"/>
      <c r="AI1089" s="62"/>
      <c r="AJ1089" s="62"/>
      <c r="AK1089" s="62"/>
      <c r="AL1089" s="66"/>
      <c r="AM1089" s="62"/>
      <c r="AN1089" s="62"/>
      <c r="AO1089" s="62"/>
      <c r="AP1089" s="62"/>
      <c r="AQ1089" s="66"/>
      <c r="AR1089" s="62"/>
      <c r="AS1089" s="62"/>
      <c r="AT1089" s="62"/>
      <c r="AU1089" s="62"/>
      <c r="AV1089" s="66"/>
      <c r="AW1089" s="97"/>
    </row>
    <row r="1090" spans="23:49" x14ac:dyDescent="0.15">
      <c r="W1090" s="12"/>
      <c r="X1090" s="62"/>
      <c r="Y1090" s="62"/>
      <c r="Z1090" s="62"/>
      <c r="AA1090" s="62"/>
      <c r="AB1090" s="98"/>
      <c r="AC1090" s="62"/>
      <c r="AD1090" s="62"/>
      <c r="AE1090" s="62"/>
      <c r="AF1090" s="62"/>
      <c r="AG1090" s="66"/>
      <c r="AH1090" s="62"/>
      <c r="AI1090" s="62"/>
      <c r="AJ1090" s="62"/>
      <c r="AK1090" s="62"/>
      <c r="AL1090" s="66"/>
      <c r="AM1090" s="62"/>
      <c r="AN1090" s="62"/>
      <c r="AO1090" s="62"/>
      <c r="AP1090" s="62"/>
      <c r="AQ1090" s="66"/>
      <c r="AR1090" s="62"/>
      <c r="AS1090" s="62"/>
      <c r="AT1090" s="62"/>
      <c r="AU1090" s="62"/>
      <c r="AV1090" s="66"/>
      <c r="AW1090" s="97"/>
    </row>
    <row r="1091" spans="23:49" x14ac:dyDescent="0.15">
      <c r="W1091" s="12"/>
      <c r="X1091" s="62"/>
      <c r="Y1091" s="62"/>
      <c r="Z1091" s="62"/>
      <c r="AA1091" s="62"/>
      <c r="AB1091" s="98"/>
      <c r="AC1091" s="62"/>
      <c r="AD1091" s="62"/>
      <c r="AE1091" s="62"/>
      <c r="AF1091" s="62"/>
      <c r="AG1091" s="66"/>
      <c r="AH1091" s="62"/>
      <c r="AI1091" s="62"/>
      <c r="AJ1091" s="62"/>
      <c r="AK1091" s="62"/>
      <c r="AL1091" s="66"/>
      <c r="AM1091" s="62"/>
      <c r="AN1091" s="62"/>
      <c r="AO1091" s="62"/>
      <c r="AP1091" s="62"/>
      <c r="AQ1091" s="66"/>
      <c r="AR1091" s="62"/>
      <c r="AS1091" s="62"/>
      <c r="AT1091" s="62"/>
      <c r="AU1091" s="62"/>
      <c r="AV1091" s="66"/>
      <c r="AW1091" s="97"/>
    </row>
    <row r="1092" spans="23:49" x14ac:dyDescent="0.15">
      <c r="W1092" s="12"/>
      <c r="X1092" s="62"/>
      <c r="Y1092" s="62"/>
      <c r="Z1092" s="62"/>
      <c r="AA1092" s="62"/>
      <c r="AB1092" s="98"/>
      <c r="AC1092" s="62"/>
      <c r="AD1092" s="62"/>
      <c r="AE1092" s="62"/>
      <c r="AF1092" s="62"/>
      <c r="AG1092" s="66"/>
      <c r="AH1092" s="62"/>
      <c r="AI1092" s="62"/>
      <c r="AJ1092" s="62"/>
      <c r="AK1092" s="62"/>
      <c r="AL1092" s="66"/>
      <c r="AM1092" s="62"/>
      <c r="AN1092" s="62"/>
      <c r="AO1092" s="62"/>
      <c r="AP1092" s="62"/>
      <c r="AQ1092" s="66"/>
      <c r="AR1092" s="62"/>
      <c r="AS1092" s="62"/>
      <c r="AT1092" s="62"/>
      <c r="AU1092" s="62"/>
      <c r="AV1092" s="66"/>
      <c r="AW1092" s="97"/>
    </row>
    <row r="1093" spans="23:49" x14ac:dyDescent="0.15">
      <c r="W1093" s="12"/>
      <c r="X1093" s="62"/>
      <c r="Y1093" s="62"/>
      <c r="Z1093" s="62"/>
      <c r="AA1093" s="62"/>
      <c r="AB1093" s="98"/>
      <c r="AC1093" s="62"/>
      <c r="AD1093" s="62"/>
      <c r="AE1093" s="62"/>
      <c r="AF1093" s="62"/>
      <c r="AG1093" s="66"/>
      <c r="AH1093" s="62"/>
      <c r="AI1093" s="62"/>
      <c r="AJ1093" s="62"/>
      <c r="AK1093" s="62"/>
      <c r="AL1093" s="66"/>
      <c r="AM1093" s="62"/>
      <c r="AN1093" s="62"/>
      <c r="AO1093" s="62"/>
      <c r="AP1093" s="62"/>
      <c r="AQ1093" s="66"/>
      <c r="AR1093" s="62"/>
      <c r="AS1093" s="62"/>
      <c r="AT1093" s="62"/>
      <c r="AU1093" s="62"/>
      <c r="AV1093" s="66"/>
      <c r="AW1093" s="97"/>
    </row>
    <row r="1094" spans="23:49" x14ac:dyDescent="0.15">
      <c r="W1094" s="12"/>
      <c r="X1094" s="62"/>
      <c r="Y1094" s="62"/>
      <c r="Z1094" s="62"/>
      <c r="AA1094" s="62"/>
      <c r="AB1094" s="98"/>
      <c r="AC1094" s="62"/>
      <c r="AD1094" s="62"/>
      <c r="AE1094" s="62"/>
      <c r="AF1094" s="62"/>
      <c r="AG1094" s="66"/>
      <c r="AH1094" s="62"/>
      <c r="AI1094" s="62"/>
      <c r="AJ1094" s="62"/>
      <c r="AK1094" s="62"/>
      <c r="AL1094" s="66"/>
      <c r="AM1094" s="62"/>
      <c r="AN1094" s="62"/>
      <c r="AO1094" s="62"/>
      <c r="AP1094" s="62"/>
      <c r="AQ1094" s="66"/>
      <c r="AR1094" s="62"/>
      <c r="AS1094" s="62"/>
      <c r="AT1094" s="62"/>
      <c r="AU1094" s="62"/>
      <c r="AV1094" s="66"/>
      <c r="AW1094" s="97"/>
    </row>
    <row r="1095" spans="23:49" x14ac:dyDescent="0.15">
      <c r="W1095" s="12"/>
      <c r="X1095" s="62"/>
      <c r="Y1095" s="62"/>
      <c r="Z1095" s="62"/>
      <c r="AA1095" s="62"/>
      <c r="AB1095" s="98"/>
      <c r="AC1095" s="62"/>
      <c r="AD1095" s="62"/>
      <c r="AE1095" s="62"/>
      <c r="AF1095" s="62"/>
      <c r="AG1095" s="66"/>
      <c r="AH1095" s="62"/>
      <c r="AI1095" s="62"/>
      <c r="AJ1095" s="62"/>
      <c r="AK1095" s="62"/>
      <c r="AL1095" s="66"/>
      <c r="AM1095" s="62"/>
      <c r="AN1095" s="62"/>
      <c r="AO1095" s="62"/>
      <c r="AP1095" s="62"/>
      <c r="AQ1095" s="66"/>
      <c r="AR1095" s="62"/>
      <c r="AS1095" s="62"/>
      <c r="AT1095" s="62"/>
      <c r="AU1095" s="62"/>
      <c r="AV1095" s="66"/>
      <c r="AW1095" s="97"/>
    </row>
    <row r="1096" spans="23:49" x14ac:dyDescent="0.15">
      <c r="W1096" s="12"/>
      <c r="X1096" s="62"/>
      <c r="Y1096" s="62"/>
      <c r="Z1096" s="62"/>
      <c r="AA1096" s="62"/>
      <c r="AB1096" s="98"/>
      <c r="AC1096" s="62"/>
      <c r="AD1096" s="62"/>
      <c r="AE1096" s="62"/>
      <c r="AF1096" s="62"/>
      <c r="AG1096" s="66"/>
      <c r="AH1096" s="62"/>
      <c r="AI1096" s="62"/>
      <c r="AJ1096" s="62"/>
      <c r="AK1096" s="62"/>
      <c r="AL1096" s="66"/>
      <c r="AM1096" s="62"/>
      <c r="AN1096" s="62"/>
      <c r="AO1096" s="62"/>
      <c r="AP1096" s="62"/>
      <c r="AQ1096" s="66"/>
      <c r="AR1096" s="62"/>
      <c r="AS1096" s="62"/>
      <c r="AT1096" s="62"/>
      <c r="AU1096" s="62"/>
      <c r="AV1096" s="66"/>
      <c r="AW1096" s="97"/>
    </row>
    <row r="1097" spans="23:49" x14ac:dyDescent="0.15">
      <c r="W1097" s="12"/>
      <c r="X1097" s="62"/>
      <c r="Y1097" s="62"/>
      <c r="Z1097" s="62"/>
      <c r="AA1097" s="62"/>
      <c r="AB1097" s="98"/>
      <c r="AC1097" s="62"/>
      <c r="AD1097" s="62"/>
      <c r="AE1097" s="62"/>
      <c r="AF1097" s="62"/>
      <c r="AG1097" s="66"/>
      <c r="AH1097" s="62"/>
      <c r="AI1097" s="62"/>
      <c r="AJ1097" s="62"/>
      <c r="AK1097" s="62"/>
      <c r="AL1097" s="66"/>
      <c r="AM1097" s="62"/>
      <c r="AN1097" s="62"/>
      <c r="AO1097" s="62"/>
      <c r="AP1097" s="62"/>
      <c r="AQ1097" s="66"/>
      <c r="AR1097" s="62"/>
      <c r="AS1097" s="62"/>
      <c r="AT1097" s="62"/>
      <c r="AU1097" s="62"/>
      <c r="AV1097" s="66"/>
      <c r="AW1097" s="97"/>
    </row>
    <row r="1098" spans="23:49" x14ac:dyDescent="0.15">
      <c r="W1098" s="12"/>
      <c r="X1098" s="62"/>
      <c r="Y1098" s="62"/>
      <c r="Z1098" s="62"/>
      <c r="AA1098" s="62"/>
      <c r="AB1098" s="98"/>
      <c r="AC1098" s="62"/>
      <c r="AD1098" s="62"/>
      <c r="AE1098" s="62"/>
      <c r="AF1098" s="62"/>
      <c r="AG1098" s="66"/>
      <c r="AH1098" s="62"/>
      <c r="AI1098" s="62"/>
      <c r="AJ1098" s="62"/>
      <c r="AK1098" s="62"/>
      <c r="AL1098" s="66"/>
      <c r="AM1098" s="62"/>
      <c r="AN1098" s="62"/>
      <c r="AO1098" s="62"/>
      <c r="AP1098" s="62"/>
      <c r="AQ1098" s="66"/>
      <c r="AR1098" s="62"/>
      <c r="AS1098" s="62"/>
      <c r="AT1098" s="62"/>
      <c r="AU1098" s="62"/>
      <c r="AV1098" s="66"/>
      <c r="AW1098" s="97"/>
    </row>
    <row r="1099" spans="23:49" x14ac:dyDescent="0.15">
      <c r="W1099" s="12"/>
      <c r="X1099" s="62"/>
      <c r="Y1099" s="62"/>
      <c r="Z1099" s="62"/>
      <c r="AA1099" s="62"/>
      <c r="AB1099" s="98"/>
      <c r="AC1099" s="62"/>
      <c r="AD1099" s="62"/>
      <c r="AE1099" s="62"/>
      <c r="AF1099" s="62"/>
      <c r="AG1099" s="66"/>
      <c r="AH1099" s="62"/>
      <c r="AI1099" s="62"/>
      <c r="AJ1099" s="62"/>
      <c r="AK1099" s="62"/>
      <c r="AL1099" s="66"/>
      <c r="AM1099" s="62"/>
      <c r="AN1099" s="62"/>
      <c r="AO1099" s="62"/>
      <c r="AP1099" s="62"/>
      <c r="AQ1099" s="66"/>
      <c r="AR1099" s="62"/>
      <c r="AS1099" s="62"/>
      <c r="AT1099" s="62"/>
      <c r="AU1099" s="62"/>
      <c r="AV1099" s="66"/>
      <c r="AW1099" s="97"/>
    </row>
    <row r="1100" spans="23:49" x14ac:dyDescent="0.15">
      <c r="W1100" s="12"/>
      <c r="X1100" s="62"/>
      <c r="Y1100" s="62"/>
      <c r="Z1100" s="62"/>
      <c r="AA1100" s="62"/>
      <c r="AB1100" s="98"/>
      <c r="AC1100" s="62"/>
      <c r="AD1100" s="62"/>
      <c r="AE1100" s="62"/>
      <c r="AF1100" s="62"/>
      <c r="AG1100" s="66"/>
      <c r="AH1100" s="62"/>
      <c r="AI1100" s="62"/>
      <c r="AJ1100" s="62"/>
      <c r="AK1100" s="62"/>
      <c r="AL1100" s="66"/>
      <c r="AM1100" s="62"/>
      <c r="AN1100" s="62"/>
      <c r="AO1100" s="62"/>
      <c r="AP1100" s="62"/>
      <c r="AQ1100" s="66"/>
      <c r="AR1100" s="62"/>
      <c r="AS1100" s="62"/>
      <c r="AT1100" s="62"/>
      <c r="AU1100" s="62"/>
      <c r="AV1100" s="66"/>
      <c r="AW1100" s="97"/>
    </row>
    <row r="1101" spans="23:49" x14ac:dyDescent="0.15">
      <c r="W1101" s="12"/>
      <c r="X1101" s="62"/>
      <c r="Y1101" s="62"/>
      <c r="Z1101" s="62"/>
      <c r="AA1101" s="62"/>
      <c r="AB1101" s="98"/>
      <c r="AC1101" s="62"/>
      <c r="AD1101" s="62"/>
      <c r="AE1101" s="62"/>
      <c r="AF1101" s="62"/>
      <c r="AG1101" s="66"/>
      <c r="AH1101" s="62"/>
      <c r="AI1101" s="62"/>
      <c r="AJ1101" s="62"/>
      <c r="AK1101" s="62"/>
      <c r="AL1101" s="66"/>
      <c r="AM1101" s="62"/>
      <c r="AN1101" s="62"/>
      <c r="AO1101" s="62"/>
      <c r="AP1101" s="62"/>
      <c r="AQ1101" s="66"/>
      <c r="AR1101" s="62"/>
      <c r="AS1101" s="62"/>
      <c r="AT1101" s="62"/>
      <c r="AU1101" s="62"/>
      <c r="AV1101" s="66"/>
      <c r="AW1101" s="97"/>
    </row>
    <row r="1102" spans="23:49" x14ac:dyDescent="0.15">
      <c r="W1102" s="12"/>
      <c r="X1102" s="62"/>
      <c r="Y1102" s="62"/>
      <c r="Z1102" s="62"/>
      <c r="AA1102" s="62"/>
      <c r="AB1102" s="98"/>
      <c r="AC1102" s="62"/>
      <c r="AD1102" s="62"/>
      <c r="AE1102" s="62"/>
      <c r="AF1102" s="62"/>
      <c r="AG1102" s="66"/>
      <c r="AH1102" s="62"/>
      <c r="AI1102" s="62"/>
      <c r="AJ1102" s="62"/>
      <c r="AK1102" s="62"/>
      <c r="AL1102" s="66"/>
      <c r="AM1102" s="62"/>
      <c r="AN1102" s="62"/>
      <c r="AO1102" s="62"/>
      <c r="AP1102" s="62"/>
      <c r="AQ1102" s="66"/>
      <c r="AR1102" s="62"/>
      <c r="AS1102" s="62"/>
      <c r="AT1102" s="62"/>
      <c r="AU1102" s="62"/>
      <c r="AV1102" s="66"/>
      <c r="AW1102" s="97"/>
    </row>
    <row r="1103" spans="23:49" x14ac:dyDescent="0.15">
      <c r="W1103" s="12"/>
      <c r="X1103" s="62"/>
      <c r="Y1103" s="62"/>
      <c r="Z1103" s="62"/>
      <c r="AA1103" s="62"/>
      <c r="AB1103" s="98"/>
      <c r="AC1103" s="62"/>
      <c r="AD1103" s="62"/>
      <c r="AE1103" s="62"/>
      <c r="AF1103" s="62"/>
      <c r="AG1103" s="66"/>
      <c r="AH1103" s="62"/>
      <c r="AI1103" s="62"/>
      <c r="AJ1103" s="62"/>
      <c r="AK1103" s="62"/>
      <c r="AL1103" s="66"/>
      <c r="AM1103" s="62"/>
      <c r="AN1103" s="62"/>
      <c r="AO1103" s="62"/>
      <c r="AP1103" s="62"/>
      <c r="AQ1103" s="66"/>
      <c r="AR1103" s="62"/>
      <c r="AS1103" s="62"/>
      <c r="AT1103" s="62"/>
      <c r="AU1103" s="62"/>
      <c r="AV1103" s="66"/>
      <c r="AW1103" s="97"/>
    </row>
    <row r="1104" spans="23:49" x14ac:dyDescent="0.15">
      <c r="W1104" s="12"/>
      <c r="X1104" s="62"/>
      <c r="Y1104" s="62"/>
      <c r="Z1104" s="62"/>
      <c r="AA1104" s="62"/>
      <c r="AB1104" s="98"/>
      <c r="AC1104" s="62"/>
      <c r="AD1104" s="62"/>
      <c r="AE1104" s="62"/>
      <c r="AF1104" s="62"/>
      <c r="AG1104" s="66"/>
      <c r="AH1104" s="62"/>
      <c r="AI1104" s="62"/>
      <c r="AJ1104" s="62"/>
      <c r="AK1104" s="62"/>
      <c r="AL1104" s="66"/>
      <c r="AM1104" s="62"/>
      <c r="AN1104" s="62"/>
      <c r="AO1104" s="62"/>
      <c r="AP1104" s="62"/>
      <c r="AQ1104" s="66"/>
      <c r="AR1104" s="62"/>
      <c r="AS1104" s="62"/>
      <c r="AT1104" s="62"/>
      <c r="AU1104" s="62"/>
      <c r="AV1104" s="66"/>
      <c r="AW1104" s="97"/>
    </row>
    <row r="1105" spans="23:49" x14ac:dyDescent="0.15">
      <c r="W1105" s="12"/>
      <c r="X1105" s="62"/>
      <c r="Y1105" s="62"/>
      <c r="Z1105" s="62"/>
      <c r="AA1105" s="62"/>
      <c r="AB1105" s="98"/>
      <c r="AC1105" s="62"/>
      <c r="AD1105" s="62"/>
      <c r="AE1105" s="62"/>
      <c r="AF1105" s="62"/>
      <c r="AG1105" s="66"/>
      <c r="AH1105" s="62"/>
      <c r="AI1105" s="62"/>
      <c r="AJ1105" s="62"/>
      <c r="AK1105" s="62"/>
      <c r="AL1105" s="66"/>
      <c r="AM1105" s="62"/>
      <c r="AN1105" s="62"/>
      <c r="AO1105" s="62"/>
      <c r="AP1105" s="62"/>
      <c r="AQ1105" s="66"/>
      <c r="AR1105" s="62"/>
      <c r="AS1105" s="62"/>
      <c r="AT1105" s="62"/>
      <c r="AU1105" s="62"/>
      <c r="AV1105" s="66"/>
      <c r="AW1105" s="97"/>
    </row>
    <row r="1106" spans="23:49" x14ac:dyDescent="0.15">
      <c r="W1106" s="12"/>
      <c r="X1106" s="62"/>
      <c r="Y1106" s="62"/>
      <c r="Z1106" s="62"/>
      <c r="AA1106" s="62"/>
      <c r="AB1106" s="98"/>
      <c r="AC1106" s="62"/>
      <c r="AD1106" s="62"/>
      <c r="AE1106" s="62"/>
      <c r="AF1106" s="62"/>
      <c r="AG1106" s="66"/>
      <c r="AH1106" s="62"/>
      <c r="AI1106" s="62"/>
      <c r="AJ1106" s="62"/>
      <c r="AK1106" s="62"/>
      <c r="AL1106" s="66"/>
      <c r="AM1106" s="62"/>
      <c r="AN1106" s="62"/>
      <c r="AO1106" s="62"/>
      <c r="AP1106" s="62"/>
      <c r="AQ1106" s="66"/>
      <c r="AR1106" s="62"/>
      <c r="AS1106" s="62"/>
      <c r="AT1106" s="62"/>
      <c r="AU1106" s="62"/>
      <c r="AV1106" s="66"/>
      <c r="AW1106" s="97"/>
    </row>
    <row r="1107" spans="23:49" x14ac:dyDescent="0.15">
      <c r="W1107" s="12"/>
      <c r="X1107" s="62"/>
      <c r="Y1107" s="62"/>
      <c r="Z1107" s="62"/>
      <c r="AA1107" s="62"/>
      <c r="AB1107" s="98"/>
      <c r="AC1107" s="62"/>
      <c r="AD1107" s="62"/>
      <c r="AE1107" s="62"/>
      <c r="AF1107" s="62"/>
      <c r="AG1107" s="66"/>
      <c r="AH1107" s="62"/>
      <c r="AI1107" s="62"/>
      <c r="AJ1107" s="62"/>
      <c r="AK1107" s="62"/>
      <c r="AL1107" s="66"/>
      <c r="AM1107" s="62"/>
      <c r="AN1107" s="62"/>
      <c r="AO1107" s="62"/>
      <c r="AP1107" s="62"/>
      <c r="AQ1107" s="66"/>
      <c r="AR1107" s="62"/>
      <c r="AS1107" s="62"/>
      <c r="AT1107" s="62"/>
      <c r="AU1107" s="62"/>
      <c r="AV1107" s="66"/>
      <c r="AW1107" s="97"/>
    </row>
    <row r="1108" spans="23:49" x14ac:dyDescent="0.15">
      <c r="W1108" s="12"/>
      <c r="X1108" s="62"/>
      <c r="Y1108" s="62"/>
      <c r="Z1108" s="62"/>
      <c r="AA1108" s="62"/>
      <c r="AB1108" s="98"/>
      <c r="AC1108" s="62"/>
      <c r="AD1108" s="62"/>
      <c r="AE1108" s="62"/>
      <c r="AF1108" s="62"/>
      <c r="AG1108" s="66"/>
      <c r="AH1108" s="62"/>
      <c r="AI1108" s="62"/>
      <c r="AJ1108" s="62"/>
      <c r="AK1108" s="62"/>
      <c r="AL1108" s="66"/>
      <c r="AM1108" s="62"/>
      <c r="AN1108" s="62"/>
      <c r="AO1108" s="62"/>
      <c r="AP1108" s="62"/>
      <c r="AQ1108" s="66"/>
      <c r="AR1108" s="62"/>
      <c r="AS1108" s="62"/>
      <c r="AT1108" s="62"/>
      <c r="AU1108" s="62"/>
      <c r="AV1108" s="66"/>
      <c r="AW1108" s="97"/>
    </row>
    <row r="1109" spans="23:49" x14ac:dyDescent="0.15">
      <c r="W1109" s="12"/>
      <c r="X1109" s="62"/>
      <c r="Y1109" s="62"/>
      <c r="Z1109" s="62"/>
      <c r="AA1109" s="62"/>
      <c r="AB1109" s="98"/>
      <c r="AC1109" s="62"/>
      <c r="AD1109" s="62"/>
      <c r="AE1109" s="62"/>
      <c r="AF1109" s="62"/>
      <c r="AG1109" s="66"/>
      <c r="AH1109" s="62"/>
      <c r="AI1109" s="62"/>
      <c r="AJ1109" s="62"/>
      <c r="AK1109" s="62"/>
      <c r="AL1109" s="66"/>
      <c r="AM1109" s="62"/>
      <c r="AN1109" s="62"/>
      <c r="AO1109" s="62"/>
      <c r="AP1109" s="62"/>
      <c r="AQ1109" s="66"/>
      <c r="AR1109" s="62"/>
      <c r="AS1109" s="62"/>
      <c r="AT1109" s="62"/>
      <c r="AU1109" s="62"/>
      <c r="AV1109" s="66"/>
      <c r="AW1109" s="97"/>
    </row>
    <row r="1110" spans="23:49" x14ac:dyDescent="0.15">
      <c r="W1110" s="12"/>
      <c r="X1110" s="62"/>
      <c r="Y1110" s="62"/>
      <c r="Z1110" s="62"/>
      <c r="AA1110" s="62"/>
      <c r="AB1110" s="98"/>
      <c r="AC1110" s="62"/>
      <c r="AD1110" s="62"/>
      <c r="AE1110" s="62"/>
      <c r="AF1110" s="62"/>
      <c r="AG1110" s="66"/>
      <c r="AH1110" s="62"/>
      <c r="AI1110" s="62"/>
      <c r="AJ1110" s="62"/>
      <c r="AK1110" s="62"/>
      <c r="AL1110" s="66"/>
      <c r="AM1110" s="62"/>
      <c r="AN1110" s="62"/>
      <c r="AO1110" s="62"/>
      <c r="AP1110" s="62"/>
      <c r="AQ1110" s="66"/>
      <c r="AR1110" s="62"/>
      <c r="AS1110" s="62"/>
      <c r="AT1110" s="62"/>
      <c r="AU1110" s="62"/>
      <c r="AV1110" s="66"/>
      <c r="AW1110" s="97"/>
    </row>
    <row r="1111" spans="23:49" x14ac:dyDescent="0.15">
      <c r="W1111" s="12"/>
      <c r="X1111" s="62"/>
      <c r="Y1111" s="62"/>
      <c r="Z1111" s="62"/>
      <c r="AA1111" s="62"/>
      <c r="AB1111" s="98"/>
      <c r="AC1111" s="62"/>
      <c r="AD1111" s="62"/>
      <c r="AE1111" s="62"/>
      <c r="AF1111" s="62"/>
      <c r="AG1111" s="66"/>
      <c r="AH1111" s="62"/>
      <c r="AI1111" s="62"/>
      <c r="AJ1111" s="62"/>
      <c r="AK1111" s="62"/>
      <c r="AL1111" s="66"/>
      <c r="AM1111" s="62"/>
      <c r="AN1111" s="62"/>
      <c r="AO1111" s="62"/>
      <c r="AP1111" s="62"/>
      <c r="AQ1111" s="66"/>
      <c r="AR1111" s="62"/>
      <c r="AS1111" s="62"/>
      <c r="AT1111" s="62"/>
      <c r="AU1111" s="62"/>
      <c r="AV1111" s="66"/>
      <c r="AW1111" s="97"/>
    </row>
    <row r="1112" spans="23:49" x14ac:dyDescent="0.15">
      <c r="W1112" s="12"/>
      <c r="X1112" s="62"/>
      <c r="Y1112" s="62"/>
      <c r="Z1112" s="62"/>
      <c r="AA1112" s="62"/>
      <c r="AB1112" s="98"/>
      <c r="AC1112" s="62"/>
      <c r="AD1112" s="62"/>
      <c r="AE1112" s="62"/>
      <c r="AF1112" s="62"/>
      <c r="AG1112" s="66"/>
      <c r="AH1112" s="62"/>
      <c r="AI1112" s="62"/>
      <c r="AJ1112" s="62"/>
      <c r="AK1112" s="62"/>
      <c r="AL1112" s="66"/>
      <c r="AM1112" s="62"/>
      <c r="AN1112" s="62"/>
      <c r="AO1112" s="62"/>
      <c r="AP1112" s="62"/>
      <c r="AQ1112" s="66"/>
      <c r="AR1112" s="62"/>
      <c r="AS1112" s="62"/>
      <c r="AT1112" s="62"/>
      <c r="AU1112" s="62"/>
      <c r="AV1112" s="66"/>
      <c r="AW1112" s="97"/>
    </row>
    <row r="1113" spans="23:49" x14ac:dyDescent="0.15">
      <c r="W1113" s="12"/>
      <c r="X1113" s="62"/>
      <c r="Y1113" s="62"/>
      <c r="Z1113" s="62"/>
      <c r="AA1113" s="62"/>
      <c r="AB1113" s="98"/>
      <c r="AC1113" s="62"/>
      <c r="AD1113" s="62"/>
      <c r="AE1113" s="62"/>
      <c r="AF1113" s="62"/>
      <c r="AG1113" s="66"/>
      <c r="AH1113" s="62"/>
      <c r="AI1113" s="62"/>
      <c r="AJ1113" s="62"/>
      <c r="AK1113" s="62"/>
      <c r="AL1113" s="66"/>
      <c r="AM1113" s="62"/>
      <c r="AN1113" s="62"/>
      <c r="AO1113" s="62"/>
      <c r="AP1113" s="62"/>
      <c r="AQ1113" s="66"/>
      <c r="AR1113" s="62"/>
      <c r="AS1113" s="62"/>
      <c r="AT1113" s="62"/>
      <c r="AU1113" s="62"/>
      <c r="AV1113" s="66"/>
      <c r="AW1113" s="97"/>
    </row>
    <row r="1114" spans="23:49" x14ac:dyDescent="0.15">
      <c r="W1114" s="12"/>
      <c r="X1114" s="62"/>
      <c r="Y1114" s="62"/>
      <c r="Z1114" s="62"/>
      <c r="AA1114" s="62"/>
      <c r="AB1114" s="98"/>
      <c r="AC1114" s="62"/>
      <c r="AD1114" s="62"/>
      <c r="AE1114" s="62"/>
      <c r="AF1114" s="62"/>
      <c r="AG1114" s="66"/>
      <c r="AH1114" s="62"/>
      <c r="AI1114" s="62"/>
      <c r="AJ1114" s="62"/>
      <c r="AK1114" s="62"/>
      <c r="AL1114" s="66"/>
      <c r="AM1114" s="62"/>
      <c r="AN1114" s="62"/>
      <c r="AO1114" s="62"/>
      <c r="AP1114" s="62"/>
      <c r="AQ1114" s="66"/>
      <c r="AR1114" s="62"/>
      <c r="AS1114" s="62"/>
      <c r="AT1114" s="62"/>
      <c r="AU1114" s="62"/>
      <c r="AV1114" s="66"/>
      <c r="AW1114" s="97"/>
    </row>
    <row r="1115" spans="23:49" x14ac:dyDescent="0.15">
      <c r="W1115" s="12"/>
      <c r="X1115" s="62"/>
      <c r="Y1115" s="62"/>
      <c r="Z1115" s="62"/>
      <c r="AA1115" s="62"/>
      <c r="AB1115" s="98"/>
      <c r="AC1115" s="62"/>
      <c r="AD1115" s="62"/>
      <c r="AE1115" s="62"/>
      <c r="AF1115" s="62"/>
      <c r="AG1115" s="66"/>
      <c r="AH1115" s="62"/>
      <c r="AI1115" s="62"/>
      <c r="AJ1115" s="62"/>
      <c r="AK1115" s="62"/>
      <c r="AL1115" s="66"/>
      <c r="AM1115" s="62"/>
      <c r="AN1115" s="62"/>
      <c r="AO1115" s="62"/>
      <c r="AP1115" s="62"/>
      <c r="AQ1115" s="66"/>
      <c r="AR1115" s="62"/>
      <c r="AS1115" s="62"/>
      <c r="AT1115" s="62"/>
      <c r="AU1115" s="62"/>
      <c r="AV1115" s="66"/>
      <c r="AW1115" s="97"/>
    </row>
    <row r="1116" spans="23:49" x14ac:dyDescent="0.15">
      <c r="W1116" s="12"/>
      <c r="X1116" s="62"/>
      <c r="Y1116" s="62"/>
      <c r="Z1116" s="62"/>
      <c r="AA1116" s="62"/>
      <c r="AB1116" s="98"/>
      <c r="AC1116" s="62"/>
      <c r="AD1116" s="62"/>
      <c r="AE1116" s="62"/>
      <c r="AF1116" s="62"/>
      <c r="AG1116" s="66"/>
      <c r="AH1116" s="62"/>
      <c r="AI1116" s="62"/>
      <c r="AJ1116" s="62"/>
      <c r="AK1116" s="62"/>
      <c r="AL1116" s="66"/>
      <c r="AM1116" s="62"/>
      <c r="AN1116" s="62"/>
      <c r="AO1116" s="62"/>
      <c r="AP1116" s="62"/>
      <c r="AQ1116" s="66"/>
      <c r="AR1116" s="62"/>
      <c r="AS1116" s="62"/>
      <c r="AT1116" s="62"/>
      <c r="AU1116" s="62"/>
      <c r="AV1116" s="66"/>
      <c r="AW1116" s="97"/>
    </row>
    <row r="1117" spans="23:49" x14ac:dyDescent="0.15">
      <c r="W1117" s="12"/>
      <c r="X1117" s="62"/>
      <c r="Y1117" s="62"/>
      <c r="Z1117" s="62"/>
      <c r="AA1117" s="62"/>
      <c r="AB1117" s="98"/>
      <c r="AC1117" s="62"/>
      <c r="AD1117" s="62"/>
      <c r="AE1117" s="62"/>
      <c r="AF1117" s="62"/>
      <c r="AG1117" s="66"/>
      <c r="AH1117" s="62"/>
      <c r="AI1117" s="62"/>
      <c r="AJ1117" s="62"/>
      <c r="AK1117" s="62"/>
      <c r="AL1117" s="66"/>
      <c r="AM1117" s="62"/>
      <c r="AN1117" s="62"/>
      <c r="AO1117" s="62"/>
      <c r="AP1117" s="62"/>
      <c r="AQ1117" s="66"/>
      <c r="AR1117" s="62"/>
      <c r="AS1117" s="62"/>
      <c r="AT1117" s="62"/>
      <c r="AU1117" s="62"/>
      <c r="AV1117" s="66"/>
      <c r="AW1117" s="97"/>
    </row>
    <row r="1118" spans="23:49" x14ac:dyDescent="0.15">
      <c r="W1118" s="12"/>
      <c r="X1118" s="62"/>
      <c r="Y1118" s="62"/>
      <c r="Z1118" s="62"/>
      <c r="AA1118" s="62"/>
      <c r="AB1118" s="98"/>
      <c r="AC1118" s="62"/>
      <c r="AD1118" s="62"/>
      <c r="AE1118" s="62"/>
      <c r="AF1118" s="62"/>
      <c r="AG1118" s="66"/>
      <c r="AH1118" s="62"/>
      <c r="AI1118" s="62"/>
      <c r="AJ1118" s="62"/>
      <c r="AK1118" s="62"/>
      <c r="AL1118" s="66"/>
      <c r="AM1118" s="62"/>
      <c r="AN1118" s="62"/>
      <c r="AO1118" s="62"/>
      <c r="AP1118" s="62"/>
      <c r="AQ1118" s="66"/>
      <c r="AR1118" s="62"/>
      <c r="AS1118" s="62"/>
      <c r="AT1118" s="62"/>
      <c r="AU1118" s="62"/>
      <c r="AV1118" s="66"/>
      <c r="AW1118" s="97"/>
    </row>
    <row r="1119" spans="23:49" x14ac:dyDescent="0.15">
      <c r="W1119" s="12"/>
      <c r="X1119" s="62"/>
      <c r="Y1119" s="62"/>
      <c r="Z1119" s="62"/>
      <c r="AA1119" s="62"/>
      <c r="AB1119" s="98"/>
      <c r="AC1119" s="62"/>
      <c r="AD1119" s="62"/>
      <c r="AE1119" s="62"/>
      <c r="AF1119" s="62"/>
      <c r="AG1119" s="66"/>
      <c r="AH1119" s="62"/>
      <c r="AI1119" s="62"/>
      <c r="AJ1119" s="62"/>
      <c r="AK1119" s="62"/>
      <c r="AL1119" s="66"/>
      <c r="AM1119" s="62"/>
      <c r="AN1119" s="62"/>
      <c r="AO1119" s="62"/>
      <c r="AP1119" s="62"/>
      <c r="AQ1119" s="66"/>
      <c r="AR1119" s="62"/>
      <c r="AS1119" s="62"/>
      <c r="AT1119" s="62"/>
      <c r="AU1119" s="62"/>
      <c r="AV1119" s="66"/>
      <c r="AW1119" s="97"/>
    </row>
    <row r="1120" spans="23:49" x14ac:dyDescent="0.15">
      <c r="W1120" s="12"/>
      <c r="X1120" s="62"/>
      <c r="Y1120" s="62"/>
      <c r="Z1120" s="62"/>
      <c r="AA1120" s="62"/>
      <c r="AB1120" s="98"/>
      <c r="AC1120" s="62"/>
      <c r="AD1120" s="62"/>
      <c r="AE1120" s="62"/>
      <c r="AF1120" s="62"/>
      <c r="AG1120" s="66"/>
      <c r="AH1120" s="62"/>
      <c r="AI1120" s="62"/>
      <c r="AJ1120" s="62"/>
      <c r="AK1120" s="62"/>
      <c r="AL1120" s="66"/>
      <c r="AM1120" s="62"/>
      <c r="AN1120" s="62"/>
      <c r="AO1120" s="62"/>
      <c r="AP1120" s="62"/>
      <c r="AQ1120" s="66"/>
      <c r="AR1120" s="62"/>
      <c r="AS1120" s="62"/>
      <c r="AT1120" s="62"/>
      <c r="AU1120" s="62"/>
      <c r="AV1120" s="66"/>
      <c r="AW1120" s="97"/>
    </row>
    <row r="1121" spans="23:49" x14ac:dyDescent="0.15">
      <c r="W1121" s="12"/>
      <c r="X1121" s="62"/>
      <c r="Y1121" s="62"/>
      <c r="Z1121" s="62"/>
      <c r="AA1121" s="62"/>
      <c r="AB1121" s="98"/>
      <c r="AC1121" s="62"/>
      <c r="AD1121" s="62"/>
      <c r="AE1121" s="62"/>
      <c r="AF1121" s="62"/>
      <c r="AG1121" s="66"/>
      <c r="AH1121" s="62"/>
      <c r="AI1121" s="62"/>
      <c r="AJ1121" s="62"/>
      <c r="AK1121" s="62"/>
      <c r="AL1121" s="66"/>
      <c r="AM1121" s="62"/>
      <c r="AN1121" s="62"/>
      <c r="AO1121" s="62"/>
      <c r="AP1121" s="62"/>
      <c r="AQ1121" s="66"/>
      <c r="AR1121" s="62"/>
      <c r="AS1121" s="62"/>
      <c r="AT1121" s="62"/>
      <c r="AU1121" s="62"/>
      <c r="AV1121" s="66"/>
      <c r="AW1121" s="97"/>
    </row>
    <row r="1122" spans="23:49" x14ac:dyDescent="0.15">
      <c r="W1122" s="12"/>
      <c r="X1122" s="62"/>
      <c r="Y1122" s="62"/>
      <c r="Z1122" s="62"/>
      <c r="AA1122" s="62"/>
      <c r="AB1122" s="98"/>
      <c r="AC1122" s="62"/>
      <c r="AD1122" s="62"/>
      <c r="AE1122" s="62"/>
      <c r="AF1122" s="62"/>
      <c r="AG1122" s="66"/>
      <c r="AH1122" s="62"/>
      <c r="AI1122" s="62"/>
      <c r="AJ1122" s="62"/>
      <c r="AK1122" s="62"/>
      <c r="AL1122" s="66"/>
      <c r="AM1122" s="62"/>
      <c r="AN1122" s="62"/>
      <c r="AO1122" s="62"/>
      <c r="AP1122" s="62"/>
      <c r="AQ1122" s="66"/>
      <c r="AR1122" s="62"/>
      <c r="AS1122" s="62"/>
      <c r="AT1122" s="62"/>
      <c r="AU1122" s="62"/>
      <c r="AV1122" s="66"/>
      <c r="AW1122" s="97"/>
    </row>
    <row r="1123" spans="23:49" x14ac:dyDescent="0.15">
      <c r="W1123" s="12"/>
      <c r="X1123" s="62"/>
      <c r="Y1123" s="62"/>
      <c r="Z1123" s="62"/>
      <c r="AA1123" s="62"/>
      <c r="AB1123" s="98"/>
      <c r="AC1123" s="62"/>
      <c r="AD1123" s="62"/>
      <c r="AE1123" s="62"/>
      <c r="AF1123" s="62"/>
      <c r="AG1123" s="66"/>
      <c r="AH1123" s="62"/>
      <c r="AI1123" s="62"/>
      <c r="AJ1123" s="62"/>
      <c r="AK1123" s="62"/>
      <c r="AL1123" s="66"/>
      <c r="AM1123" s="62"/>
      <c r="AN1123" s="62"/>
      <c r="AO1123" s="62"/>
      <c r="AP1123" s="62"/>
      <c r="AQ1123" s="66"/>
      <c r="AR1123" s="62"/>
      <c r="AS1123" s="62"/>
      <c r="AT1123" s="62"/>
      <c r="AU1123" s="62"/>
      <c r="AV1123" s="66"/>
      <c r="AW1123" s="97"/>
    </row>
    <row r="1124" spans="23:49" x14ac:dyDescent="0.15">
      <c r="W1124" s="12"/>
      <c r="X1124" s="62"/>
      <c r="Y1124" s="62"/>
      <c r="Z1124" s="62"/>
      <c r="AA1124" s="62"/>
      <c r="AB1124" s="98"/>
      <c r="AC1124" s="62"/>
      <c r="AD1124" s="62"/>
      <c r="AE1124" s="62"/>
      <c r="AF1124" s="62"/>
      <c r="AG1124" s="66"/>
      <c r="AH1124" s="62"/>
      <c r="AI1124" s="62"/>
      <c r="AJ1124" s="62"/>
      <c r="AK1124" s="62"/>
      <c r="AL1124" s="66"/>
      <c r="AM1124" s="62"/>
      <c r="AN1124" s="62"/>
      <c r="AO1124" s="62"/>
      <c r="AP1124" s="62"/>
      <c r="AQ1124" s="66"/>
      <c r="AR1124" s="62"/>
      <c r="AS1124" s="62"/>
      <c r="AT1124" s="62"/>
      <c r="AU1124" s="62"/>
      <c r="AV1124" s="66"/>
      <c r="AW1124" s="97"/>
    </row>
    <row r="1125" spans="23:49" x14ac:dyDescent="0.15">
      <c r="W1125" s="12"/>
      <c r="X1125" s="62"/>
      <c r="Y1125" s="62"/>
      <c r="Z1125" s="62"/>
      <c r="AA1125" s="62"/>
      <c r="AB1125" s="98"/>
      <c r="AC1125" s="62"/>
      <c r="AD1125" s="62"/>
      <c r="AE1125" s="62"/>
      <c r="AF1125" s="62"/>
      <c r="AG1125" s="66"/>
      <c r="AH1125" s="62"/>
      <c r="AI1125" s="62"/>
      <c r="AJ1125" s="62"/>
      <c r="AK1125" s="62"/>
      <c r="AL1125" s="66"/>
      <c r="AM1125" s="62"/>
      <c r="AN1125" s="62"/>
      <c r="AO1125" s="62"/>
      <c r="AP1125" s="62"/>
      <c r="AQ1125" s="66"/>
      <c r="AR1125" s="62"/>
      <c r="AS1125" s="62"/>
      <c r="AT1125" s="62"/>
      <c r="AU1125" s="62"/>
      <c r="AV1125" s="66"/>
      <c r="AW1125" s="97"/>
    </row>
    <row r="1126" spans="23:49" x14ac:dyDescent="0.15">
      <c r="W1126" s="12"/>
      <c r="X1126" s="62"/>
      <c r="Y1126" s="62"/>
      <c r="Z1126" s="62"/>
      <c r="AA1126" s="62"/>
      <c r="AB1126" s="98"/>
      <c r="AC1126" s="62"/>
      <c r="AD1126" s="62"/>
      <c r="AE1126" s="62"/>
      <c r="AF1126" s="62"/>
      <c r="AG1126" s="66"/>
      <c r="AH1126" s="62"/>
      <c r="AI1126" s="62"/>
      <c r="AJ1126" s="62"/>
      <c r="AK1126" s="62"/>
      <c r="AL1126" s="66"/>
      <c r="AM1126" s="62"/>
      <c r="AN1126" s="62"/>
      <c r="AO1126" s="62"/>
      <c r="AP1126" s="62"/>
      <c r="AQ1126" s="66"/>
      <c r="AR1126" s="62"/>
      <c r="AS1126" s="62"/>
      <c r="AT1126" s="62"/>
      <c r="AU1126" s="62"/>
      <c r="AV1126" s="66"/>
      <c r="AW1126" s="97"/>
    </row>
    <row r="1127" spans="23:49" x14ac:dyDescent="0.15">
      <c r="W1127" s="12"/>
      <c r="X1127" s="62"/>
      <c r="Y1127" s="62"/>
      <c r="Z1127" s="62"/>
      <c r="AA1127" s="62"/>
      <c r="AB1127" s="98"/>
      <c r="AC1127" s="62"/>
      <c r="AD1127" s="62"/>
      <c r="AE1127" s="62"/>
      <c r="AF1127" s="62"/>
      <c r="AG1127" s="66"/>
      <c r="AH1127" s="62"/>
      <c r="AI1127" s="62"/>
      <c r="AJ1127" s="62"/>
      <c r="AK1127" s="62"/>
      <c r="AL1127" s="66"/>
      <c r="AM1127" s="62"/>
      <c r="AN1127" s="62"/>
      <c r="AO1127" s="62"/>
      <c r="AP1127" s="62"/>
      <c r="AQ1127" s="66"/>
      <c r="AR1127" s="62"/>
      <c r="AS1127" s="62"/>
      <c r="AT1127" s="62"/>
      <c r="AU1127" s="62"/>
      <c r="AV1127" s="66"/>
      <c r="AW1127" s="97"/>
    </row>
    <row r="1128" spans="23:49" x14ac:dyDescent="0.15">
      <c r="W1128" s="12"/>
      <c r="X1128" s="62"/>
      <c r="Y1128" s="62"/>
      <c r="Z1128" s="62"/>
      <c r="AA1128" s="62"/>
      <c r="AB1128" s="98"/>
      <c r="AC1128" s="62"/>
      <c r="AD1128" s="62"/>
      <c r="AE1128" s="62"/>
      <c r="AF1128" s="62"/>
      <c r="AG1128" s="66"/>
      <c r="AH1128" s="62"/>
      <c r="AI1128" s="62"/>
      <c r="AJ1128" s="62"/>
      <c r="AK1128" s="62"/>
      <c r="AL1128" s="66"/>
      <c r="AM1128" s="62"/>
      <c r="AN1128" s="62"/>
      <c r="AO1128" s="62"/>
      <c r="AP1128" s="62"/>
      <c r="AQ1128" s="66"/>
      <c r="AR1128" s="62"/>
      <c r="AS1128" s="62"/>
      <c r="AT1128" s="62"/>
      <c r="AU1128" s="62"/>
      <c r="AV1128" s="66"/>
      <c r="AW1128" s="97"/>
    </row>
    <row r="1129" spans="23:49" x14ac:dyDescent="0.15">
      <c r="W1129" s="12"/>
      <c r="X1129" s="62"/>
      <c r="Y1129" s="62"/>
      <c r="Z1129" s="62"/>
      <c r="AA1129" s="62"/>
      <c r="AB1129" s="98"/>
      <c r="AC1129" s="62"/>
      <c r="AD1129" s="62"/>
      <c r="AE1129" s="62"/>
      <c r="AF1129" s="62"/>
      <c r="AG1129" s="66"/>
      <c r="AH1129" s="62"/>
      <c r="AI1129" s="62"/>
      <c r="AJ1129" s="62"/>
      <c r="AK1129" s="62"/>
      <c r="AL1129" s="66"/>
      <c r="AM1129" s="62"/>
      <c r="AN1129" s="62"/>
      <c r="AO1129" s="62"/>
      <c r="AP1129" s="62"/>
      <c r="AQ1129" s="66"/>
      <c r="AR1129" s="62"/>
      <c r="AS1129" s="62"/>
      <c r="AT1129" s="62"/>
      <c r="AU1129" s="62"/>
      <c r="AV1129" s="66"/>
      <c r="AW1129" s="97"/>
    </row>
    <row r="1130" spans="23:49" x14ac:dyDescent="0.15">
      <c r="W1130" s="12"/>
      <c r="X1130" s="62"/>
      <c r="Y1130" s="62"/>
      <c r="Z1130" s="62"/>
      <c r="AA1130" s="62"/>
      <c r="AB1130" s="98"/>
      <c r="AC1130" s="62"/>
      <c r="AD1130" s="62"/>
      <c r="AE1130" s="62"/>
      <c r="AF1130" s="62"/>
      <c r="AG1130" s="66"/>
      <c r="AH1130" s="62"/>
      <c r="AI1130" s="62"/>
      <c r="AJ1130" s="62"/>
      <c r="AK1130" s="62"/>
      <c r="AL1130" s="66"/>
      <c r="AM1130" s="62"/>
      <c r="AN1130" s="62"/>
      <c r="AO1130" s="62"/>
      <c r="AP1130" s="62"/>
      <c r="AQ1130" s="66"/>
      <c r="AR1130" s="62"/>
      <c r="AS1130" s="62"/>
      <c r="AT1130" s="62"/>
      <c r="AU1130" s="62"/>
      <c r="AV1130" s="66"/>
      <c r="AW1130" s="97"/>
    </row>
    <row r="1131" spans="23:49" x14ac:dyDescent="0.15">
      <c r="W1131" s="12"/>
      <c r="X1131" s="62"/>
      <c r="Y1131" s="62"/>
      <c r="Z1131" s="62"/>
      <c r="AA1131" s="62"/>
      <c r="AB1131" s="98"/>
      <c r="AC1131" s="62"/>
      <c r="AD1131" s="62"/>
      <c r="AE1131" s="62"/>
      <c r="AF1131" s="62"/>
      <c r="AG1131" s="66"/>
      <c r="AH1131" s="62"/>
      <c r="AI1131" s="62"/>
      <c r="AJ1131" s="62"/>
      <c r="AK1131" s="62"/>
      <c r="AL1131" s="66"/>
      <c r="AM1131" s="62"/>
      <c r="AN1131" s="62"/>
      <c r="AO1131" s="62"/>
      <c r="AP1131" s="62"/>
      <c r="AQ1131" s="66"/>
      <c r="AR1131" s="62"/>
      <c r="AS1131" s="62"/>
      <c r="AT1131" s="62"/>
      <c r="AU1131" s="62"/>
      <c r="AV1131" s="66"/>
      <c r="AW1131" s="97"/>
    </row>
    <row r="1132" spans="23:49" x14ac:dyDescent="0.15">
      <c r="W1132" s="12"/>
      <c r="X1132" s="62"/>
      <c r="Y1132" s="62"/>
      <c r="Z1132" s="62"/>
      <c r="AA1132" s="62"/>
      <c r="AB1132" s="98"/>
      <c r="AC1132" s="62"/>
      <c r="AD1132" s="62"/>
      <c r="AE1132" s="62"/>
      <c r="AF1132" s="62"/>
      <c r="AG1132" s="66"/>
      <c r="AH1132" s="62"/>
      <c r="AI1132" s="62"/>
      <c r="AJ1132" s="62"/>
      <c r="AK1132" s="62"/>
      <c r="AL1132" s="66"/>
      <c r="AM1132" s="62"/>
      <c r="AN1132" s="62"/>
      <c r="AO1132" s="62"/>
      <c r="AP1132" s="62"/>
      <c r="AQ1132" s="66"/>
      <c r="AR1132" s="62"/>
      <c r="AS1132" s="62"/>
      <c r="AT1132" s="62"/>
      <c r="AU1132" s="62"/>
      <c r="AV1132" s="66"/>
      <c r="AW1132" s="97"/>
    </row>
    <row r="1133" spans="23:49" x14ac:dyDescent="0.15">
      <c r="W1133" s="12"/>
      <c r="X1133" s="62"/>
      <c r="Y1133" s="62"/>
      <c r="Z1133" s="62"/>
      <c r="AA1133" s="62"/>
      <c r="AB1133" s="98"/>
      <c r="AC1133" s="62"/>
      <c r="AD1133" s="62"/>
      <c r="AE1133" s="62"/>
      <c r="AF1133" s="62"/>
      <c r="AG1133" s="66"/>
      <c r="AH1133" s="62"/>
      <c r="AI1133" s="62"/>
      <c r="AJ1133" s="62"/>
      <c r="AK1133" s="62"/>
      <c r="AL1133" s="66"/>
      <c r="AM1133" s="62"/>
      <c r="AN1133" s="62"/>
      <c r="AO1133" s="62"/>
      <c r="AP1133" s="62"/>
      <c r="AQ1133" s="66"/>
      <c r="AR1133" s="62"/>
      <c r="AS1133" s="62"/>
      <c r="AT1133" s="62"/>
      <c r="AU1133" s="62"/>
      <c r="AV1133" s="66"/>
      <c r="AW1133" s="97"/>
    </row>
    <row r="1134" spans="23:49" x14ac:dyDescent="0.15">
      <c r="W1134" s="12"/>
      <c r="X1134" s="62"/>
      <c r="Y1134" s="62"/>
      <c r="Z1134" s="62"/>
      <c r="AA1134" s="62"/>
      <c r="AB1134" s="98"/>
      <c r="AC1134" s="62"/>
      <c r="AD1134" s="62"/>
      <c r="AE1134" s="62"/>
      <c r="AF1134" s="62"/>
      <c r="AG1134" s="66"/>
      <c r="AH1134" s="62"/>
      <c r="AI1134" s="62"/>
      <c r="AJ1134" s="62"/>
      <c r="AK1134" s="62"/>
      <c r="AL1134" s="66"/>
      <c r="AM1134" s="62"/>
      <c r="AN1134" s="62"/>
      <c r="AO1134" s="62"/>
      <c r="AP1134" s="62"/>
      <c r="AQ1134" s="66"/>
      <c r="AR1134" s="62"/>
      <c r="AS1134" s="62"/>
      <c r="AT1134" s="62"/>
      <c r="AU1134" s="62"/>
      <c r="AV1134" s="66"/>
      <c r="AW1134" s="97"/>
    </row>
    <row r="1135" spans="23:49" x14ac:dyDescent="0.15">
      <c r="W1135" s="12"/>
      <c r="X1135" s="62"/>
      <c r="Y1135" s="62"/>
      <c r="Z1135" s="62"/>
      <c r="AA1135" s="62"/>
      <c r="AB1135" s="98"/>
      <c r="AC1135" s="62"/>
      <c r="AD1135" s="62"/>
      <c r="AE1135" s="62"/>
      <c r="AF1135" s="62"/>
      <c r="AG1135" s="66"/>
      <c r="AH1135" s="62"/>
      <c r="AI1135" s="62"/>
      <c r="AJ1135" s="62"/>
      <c r="AK1135" s="62"/>
      <c r="AL1135" s="66"/>
      <c r="AM1135" s="62"/>
      <c r="AN1135" s="62"/>
      <c r="AO1135" s="62"/>
      <c r="AP1135" s="62"/>
      <c r="AQ1135" s="66"/>
      <c r="AR1135" s="62"/>
      <c r="AS1135" s="62"/>
      <c r="AT1135" s="62"/>
      <c r="AU1135" s="62"/>
      <c r="AV1135" s="66"/>
      <c r="AW1135" s="97"/>
    </row>
    <row r="1136" spans="23:49" x14ac:dyDescent="0.15">
      <c r="W1136" s="12"/>
      <c r="X1136" s="62"/>
      <c r="Y1136" s="62"/>
      <c r="Z1136" s="62"/>
      <c r="AA1136" s="62"/>
      <c r="AB1136" s="98"/>
      <c r="AC1136" s="62"/>
      <c r="AD1136" s="62"/>
      <c r="AE1136" s="62"/>
      <c r="AF1136" s="62"/>
      <c r="AG1136" s="66"/>
      <c r="AH1136" s="62"/>
      <c r="AI1136" s="62"/>
      <c r="AJ1136" s="62"/>
      <c r="AK1136" s="62"/>
      <c r="AL1136" s="66"/>
      <c r="AM1136" s="62"/>
      <c r="AN1136" s="62"/>
      <c r="AO1136" s="62"/>
      <c r="AP1136" s="62"/>
      <c r="AQ1136" s="66"/>
      <c r="AR1136" s="62"/>
      <c r="AS1136" s="62"/>
      <c r="AT1136" s="62"/>
      <c r="AU1136" s="62"/>
      <c r="AV1136" s="66"/>
      <c r="AW1136" s="97"/>
    </row>
    <row r="1137" spans="23:49" x14ac:dyDescent="0.15">
      <c r="W1137" s="12"/>
      <c r="X1137" s="62"/>
      <c r="Y1137" s="62"/>
      <c r="Z1137" s="62"/>
      <c r="AA1137" s="62"/>
      <c r="AB1137" s="98"/>
      <c r="AC1137" s="62"/>
      <c r="AD1137" s="62"/>
      <c r="AE1137" s="62"/>
      <c r="AF1137" s="62"/>
      <c r="AG1137" s="66"/>
      <c r="AH1137" s="62"/>
      <c r="AI1137" s="62"/>
      <c r="AJ1137" s="62"/>
      <c r="AK1137" s="62"/>
      <c r="AL1137" s="66"/>
      <c r="AM1137" s="62"/>
      <c r="AN1137" s="62"/>
      <c r="AO1137" s="62"/>
      <c r="AP1137" s="62"/>
      <c r="AQ1137" s="66"/>
      <c r="AR1137" s="62"/>
      <c r="AS1137" s="62"/>
      <c r="AT1137" s="62"/>
      <c r="AU1137" s="62"/>
      <c r="AV1137" s="66"/>
      <c r="AW1137" s="97"/>
    </row>
    <row r="1138" spans="23:49" x14ac:dyDescent="0.15">
      <c r="W1138" s="12"/>
      <c r="X1138" s="62"/>
      <c r="Y1138" s="62"/>
      <c r="Z1138" s="62"/>
      <c r="AA1138" s="62"/>
      <c r="AB1138" s="98"/>
      <c r="AC1138" s="62"/>
      <c r="AD1138" s="62"/>
      <c r="AE1138" s="62"/>
      <c r="AF1138" s="62"/>
      <c r="AG1138" s="66"/>
      <c r="AH1138" s="62"/>
      <c r="AI1138" s="62"/>
      <c r="AJ1138" s="62"/>
      <c r="AK1138" s="62"/>
      <c r="AL1138" s="66"/>
      <c r="AM1138" s="62"/>
      <c r="AN1138" s="62"/>
      <c r="AO1138" s="62"/>
      <c r="AP1138" s="62"/>
      <c r="AQ1138" s="66"/>
      <c r="AR1138" s="62"/>
      <c r="AS1138" s="62"/>
      <c r="AT1138" s="62"/>
      <c r="AU1138" s="62"/>
      <c r="AV1138" s="66"/>
      <c r="AW1138" s="97"/>
    </row>
    <row r="1139" spans="23:49" x14ac:dyDescent="0.15">
      <c r="W1139" s="12"/>
      <c r="X1139" s="62"/>
      <c r="Y1139" s="62"/>
      <c r="Z1139" s="62"/>
      <c r="AA1139" s="62"/>
      <c r="AB1139" s="98"/>
      <c r="AC1139" s="62"/>
      <c r="AD1139" s="62"/>
      <c r="AE1139" s="62"/>
      <c r="AF1139" s="62"/>
      <c r="AG1139" s="66"/>
      <c r="AH1139" s="62"/>
      <c r="AI1139" s="62"/>
      <c r="AJ1139" s="62"/>
      <c r="AK1139" s="62"/>
      <c r="AL1139" s="66"/>
      <c r="AM1139" s="62"/>
      <c r="AN1139" s="62"/>
      <c r="AO1139" s="62"/>
      <c r="AP1139" s="62"/>
      <c r="AQ1139" s="66"/>
      <c r="AR1139" s="62"/>
      <c r="AS1139" s="62"/>
      <c r="AT1139" s="62"/>
      <c r="AU1139" s="62"/>
      <c r="AV1139" s="66"/>
      <c r="AW1139" s="97"/>
    </row>
    <row r="1140" spans="23:49" x14ac:dyDescent="0.15">
      <c r="W1140" s="12"/>
      <c r="X1140" s="62"/>
      <c r="Y1140" s="62"/>
      <c r="Z1140" s="62"/>
      <c r="AA1140" s="62"/>
      <c r="AB1140" s="98"/>
      <c r="AC1140" s="62"/>
      <c r="AD1140" s="62"/>
      <c r="AE1140" s="62"/>
      <c r="AF1140" s="62"/>
      <c r="AG1140" s="66"/>
      <c r="AH1140" s="62"/>
      <c r="AI1140" s="62"/>
      <c r="AJ1140" s="62"/>
      <c r="AK1140" s="62"/>
      <c r="AL1140" s="66"/>
      <c r="AM1140" s="62"/>
      <c r="AN1140" s="62"/>
      <c r="AO1140" s="62"/>
      <c r="AP1140" s="62"/>
      <c r="AQ1140" s="66"/>
      <c r="AR1140" s="62"/>
      <c r="AS1140" s="62"/>
      <c r="AT1140" s="62"/>
      <c r="AU1140" s="62"/>
      <c r="AV1140" s="66"/>
      <c r="AW1140" s="97"/>
    </row>
    <row r="1141" spans="23:49" x14ac:dyDescent="0.15">
      <c r="W1141" s="12"/>
      <c r="X1141" s="62"/>
      <c r="Y1141" s="62"/>
      <c r="Z1141" s="62"/>
      <c r="AA1141" s="62"/>
      <c r="AB1141" s="98"/>
      <c r="AC1141" s="62"/>
      <c r="AD1141" s="62"/>
      <c r="AE1141" s="62"/>
      <c r="AF1141" s="62"/>
      <c r="AG1141" s="66"/>
      <c r="AH1141" s="62"/>
      <c r="AI1141" s="62"/>
      <c r="AJ1141" s="62"/>
      <c r="AK1141" s="62"/>
      <c r="AL1141" s="66"/>
      <c r="AM1141" s="62"/>
      <c r="AN1141" s="62"/>
      <c r="AO1141" s="62"/>
      <c r="AP1141" s="62"/>
      <c r="AQ1141" s="66"/>
      <c r="AR1141" s="62"/>
      <c r="AS1141" s="62"/>
      <c r="AT1141" s="62"/>
      <c r="AU1141" s="62"/>
      <c r="AV1141" s="66"/>
      <c r="AW1141" s="97"/>
    </row>
    <row r="1142" spans="23:49" x14ac:dyDescent="0.15">
      <c r="W1142" s="12"/>
      <c r="X1142" s="62"/>
      <c r="Y1142" s="62"/>
      <c r="Z1142" s="62"/>
      <c r="AA1142" s="62"/>
      <c r="AB1142" s="98"/>
      <c r="AC1142" s="62"/>
      <c r="AD1142" s="62"/>
      <c r="AE1142" s="62"/>
      <c r="AF1142" s="62"/>
      <c r="AG1142" s="66"/>
      <c r="AH1142" s="62"/>
      <c r="AI1142" s="62"/>
      <c r="AJ1142" s="62"/>
      <c r="AK1142" s="62"/>
      <c r="AL1142" s="66"/>
      <c r="AM1142" s="62"/>
      <c r="AN1142" s="62"/>
      <c r="AO1142" s="62"/>
      <c r="AP1142" s="62"/>
      <c r="AQ1142" s="66"/>
      <c r="AR1142" s="62"/>
      <c r="AS1142" s="62"/>
      <c r="AT1142" s="62"/>
      <c r="AU1142" s="62"/>
      <c r="AV1142" s="66"/>
      <c r="AW1142" s="97"/>
    </row>
    <row r="1143" spans="23:49" x14ac:dyDescent="0.15">
      <c r="W1143" s="12"/>
      <c r="X1143" s="62"/>
      <c r="Y1143" s="62"/>
      <c r="Z1143" s="62"/>
      <c r="AA1143" s="62"/>
      <c r="AB1143" s="98"/>
      <c r="AC1143" s="62"/>
      <c r="AD1143" s="62"/>
      <c r="AE1143" s="62"/>
      <c r="AF1143" s="62"/>
      <c r="AG1143" s="66"/>
      <c r="AH1143" s="62"/>
      <c r="AI1143" s="62"/>
      <c r="AJ1143" s="62"/>
      <c r="AK1143" s="62"/>
      <c r="AL1143" s="66"/>
      <c r="AM1143" s="62"/>
      <c r="AN1143" s="62"/>
      <c r="AO1143" s="62"/>
      <c r="AP1143" s="62"/>
      <c r="AQ1143" s="66"/>
      <c r="AR1143" s="62"/>
      <c r="AS1143" s="62"/>
      <c r="AT1143" s="62"/>
      <c r="AU1143" s="62"/>
      <c r="AV1143" s="66"/>
      <c r="AW1143" s="97"/>
    </row>
    <row r="1144" spans="23:49" x14ac:dyDescent="0.15">
      <c r="W1144" s="12"/>
      <c r="X1144" s="62"/>
      <c r="Y1144" s="62"/>
      <c r="Z1144" s="62"/>
      <c r="AA1144" s="62"/>
      <c r="AB1144" s="98"/>
      <c r="AC1144" s="62"/>
      <c r="AD1144" s="62"/>
      <c r="AE1144" s="62"/>
      <c r="AF1144" s="62"/>
      <c r="AG1144" s="66"/>
      <c r="AH1144" s="62"/>
      <c r="AI1144" s="62"/>
      <c r="AJ1144" s="62"/>
      <c r="AK1144" s="62"/>
      <c r="AL1144" s="66"/>
      <c r="AM1144" s="62"/>
      <c r="AN1144" s="62"/>
      <c r="AO1144" s="62"/>
      <c r="AP1144" s="62"/>
      <c r="AQ1144" s="66"/>
      <c r="AR1144" s="62"/>
      <c r="AS1144" s="62"/>
      <c r="AT1144" s="62"/>
      <c r="AU1144" s="62"/>
      <c r="AV1144" s="66"/>
      <c r="AW1144" s="97"/>
    </row>
    <row r="1145" spans="23:49" x14ac:dyDescent="0.15">
      <c r="W1145" s="12"/>
      <c r="X1145" s="62"/>
      <c r="Y1145" s="62"/>
      <c r="Z1145" s="62"/>
      <c r="AA1145" s="62"/>
      <c r="AB1145" s="98"/>
      <c r="AC1145" s="62"/>
      <c r="AD1145" s="62"/>
      <c r="AE1145" s="62"/>
      <c r="AF1145" s="62"/>
      <c r="AG1145" s="66"/>
      <c r="AH1145" s="62"/>
      <c r="AI1145" s="62"/>
      <c r="AJ1145" s="62"/>
      <c r="AK1145" s="62"/>
      <c r="AL1145" s="66"/>
      <c r="AM1145" s="62"/>
      <c r="AN1145" s="62"/>
      <c r="AO1145" s="62"/>
      <c r="AP1145" s="62"/>
      <c r="AQ1145" s="66"/>
      <c r="AR1145" s="62"/>
      <c r="AS1145" s="62"/>
      <c r="AT1145" s="62"/>
      <c r="AU1145" s="62"/>
      <c r="AV1145" s="66"/>
      <c r="AW1145" s="97"/>
    </row>
    <row r="1146" spans="23:49" x14ac:dyDescent="0.15">
      <c r="W1146" s="12"/>
      <c r="X1146" s="62"/>
      <c r="Y1146" s="62"/>
      <c r="Z1146" s="62"/>
      <c r="AA1146" s="62"/>
      <c r="AB1146" s="98"/>
      <c r="AC1146" s="62"/>
      <c r="AD1146" s="62"/>
      <c r="AE1146" s="62"/>
      <c r="AF1146" s="62"/>
      <c r="AG1146" s="66"/>
      <c r="AH1146" s="62"/>
      <c r="AI1146" s="62"/>
      <c r="AJ1146" s="62"/>
      <c r="AK1146" s="62"/>
      <c r="AL1146" s="66"/>
      <c r="AM1146" s="62"/>
      <c r="AN1146" s="62"/>
      <c r="AO1146" s="62"/>
      <c r="AP1146" s="62"/>
      <c r="AQ1146" s="66"/>
      <c r="AR1146" s="62"/>
      <c r="AS1146" s="62"/>
      <c r="AT1146" s="62"/>
      <c r="AU1146" s="62"/>
      <c r="AV1146" s="66"/>
      <c r="AW1146" s="97"/>
    </row>
    <row r="1147" spans="23:49" x14ac:dyDescent="0.15">
      <c r="W1147" s="12"/>
      <c r="X1147" s="62"/>
      <c r="Y1147" s="62"/>
      <c r="Z1147" s="62"/>
      <c r="AA1147" s="62"/>
      <c r="AB1147" s="98"/>
      <c r="AC1147" s="62"/>
      <c r="AD1147" s="62"/>
      <c r="AE1147" s="62"/>
      <c r="AF1147" s="62"/>
      <c r="AG1147" s="66"/>
      <c r="AH1147" s="62"/>
      <c r="AI1147" s="62"/>
      <c r="AJ1147" s="62"/>
      <c r="AK1147" s="62"/>
      <c r="AL1147" s="66"/>
      <c r="AM1147" s="62"/>
      <c r="AN1147" s="62"/>
      <c r="AO1147" s="62"/>
      <c r="AP1147" s="62"/>
      <c r="AQ1147" s="66"/>
      <c r="AR1147" s="62"/>
      <c r="AS1147" s="62"/>
      <c r="AT1147" s="62"/>
      <c r="AU1147" s="62"/>
      <c r="AV1147" s="66"/>
      <c r="AW1147" s="97"/>
    </row>
    <row r="1148" spans="23:49" x14ac:dyDescent="0.15">
      <c r="W1148" s="12"/>
      <c r="X1148" s="62"/>
      <c r="Y1148" s="62"/>
      <c r="Z1148" s="62"/>
      <c r="AA1148" s="62"/>
      <c r="AB1148" s="98"/>
      <c r="AC1148" s="62"/>
      <c r="AD1148" s="62"/>
      <c r="AE1148" s="62"/>
      <c r="AF1148" s="62"/>
      <c r="AG1148" s="66"/>
      <c r="AH1148" s="62"/>
      <c r="AI1148" s="62"/>
      <c r="AJ1148" s="62"/>
      <c r="AK1148" s="62"/>
      <c r="AL1148" s="66"/>
      <c r="AM1148" s="62"/>
      <c r="AN1148" s="62"/>
      <c r="AO1148" s="62"/>
      <c r="AP1148" s="62"/>
      <c r="AQ1148" s="66"/>
      <c r="AR1148" s="62"/>
      <c r="AS1148" s="62"/>
      <c r="AT1148" s="62"/>
      <c r="AU1148" s="62"/>
      <c r="AV1148" s="66"/>
      <c r="AW1148" s="97"/>
    </row>
    <row r="1149" spans="23:49" x14ac:dyDescent="0.15">
      <c r="W1149" s="12"/>
      <c r="X1149" s="62"/>
      <c r="Y1149" s="62"/>
      <c r="Z1149" s="62"/>
      <c r="AA1149" s="62"/>
      <c r="AB1149" s="98"/>
      <c r="AC1149" s="62"/>
      <c r="AD1149" s="62"/>
      <c r="AE1149" s="62"/>
      <c r="AF1149" s="62"/>
      <c r="AG1149" s="66"/>
      <c r="AH1149" s="62"/>
      <c r="AI1149" s="62"/>
      <c r="AJ1149" s="62"/>
      <c r="AK1149" s="62"/>
      <c r="AL1149" s="66"/>
      <c r="AM1149" s="62"/>
      <c r="AN1149" s="62"/>
      <c r="AO1149" s="62"/>
      <c r="AP1149" s="62"/>
      <c r="AQ1149" s="66"/>
      <c r="AR1149" s="62"/>
      <c r="AS1149" s="62"/>
      <c r="AT1149" s="62"/>
      <c r="AU1149" s="62"/>
      <c r="AV1149" s="66"/>
      <c r="AW1149" s="97"/>
    </row>
    <row r="1150" spans="23:49" x14ac:dyDescent="0.15">
      <c r="W1150" s="12"/>
      <c r="X1150" s="62"/>
      <c r="Y1150" s="62"/>
      <c r="Z1150" s="62"/>
      <c r="AA1150" s="62"/>
      <c r="AB1150" s="98"/>
      <c r="AC1150" s="62"/>
      <c r="AD1150" s="62"/>
      <c r="AE1150" s="62"/>
      <c r="AF1150" s="62"/>
      <c r="AG1150" s="66"/>
      <c r="AH1150" s="62"/>
      <c r="AI1150" s="62"/>
      <c r="AJ1150" s="62"/>
      <c r="AK1150" s="62"/>
      <c r="AL1150" s="66"/>
      <c r="AM1150" s="62"/>
      <c r="AN1150" s="62"/>
      <c r="AO1150" s="62"/>
      <c r="AP1150" s="62"/>
      <c r="AQ1150" s="66"/>
      <c r="AR1150" s="62"/>
      <c r="AS1150" s="62"/>
      <c r="AT1150" s="62"/>
      <c r="AU1150" s="62"/>
      <c r="AV1150" s="66"/>
      <c r="AW1150" s="97"/>
    </row>
    <row r="1151" spans="23:49" x14ac:dyDescent="0.15">
      <c r="W1151" s="12"/>
      <c r="X1151" s="62"/>
      <c r="Y1151" s="62"/>
      <c r="Z1151" s="62"/>
      <c r="AA1151" s="62"/>
      <c r="AB1151" s="98"/>
      <c r="AC1151" s="62"/>
      <c r="AD1151" s="62"/>
      <c r="AE1151" s="62"/>
      <c r="AF1151" s="62"/>
      <c r="AG1151" s="66"/>
      <c r="AH1151" s="62"/>
      <c r="AI1151" s="62"/>
      <c r="AJ1151" s="62"/>
      <c r="AK1151" s="62"/>
      <c r="AL1151" s="66"/>
      <c r="AM1151" s="62"/>
      <c r="AN1151" s="62"/>
      <c r="AO1151" s="62"/>
      <c r="AP1151" s="62"/>
      <c r="AQ1151" s="66"/>
      <c r="AR1151" s="62"/>
      <c r="AS1151" s="62"/>
      <c r="AT1151" s="62"/>
      <c r="AU1151" s="62"/>
      <c r="AV1151" s="66"/>
      <c r="AW1151" s="97"/>
    </row>
    <row r="1152" spans="23:49" x14ac:dyDescent="0.15">
      <c r="W1152" s="12"/>
      <c r="X1152" s="62"/>
      <c r="Y1152" s="62"/>
      <c r="Z1152" s="62"/>
      <c r="AA1152" s="62"/>
      <c r="AB1152" s="98"/>
      <c r="AC1152" s="62"/>
      <c r="AD1152" s="62"/>
      <c r="AE1152" s="62"/>
      <c r="AF1152" s="62"/>
      <c r="AG1152" s="66"/>
      <c r="AH1152" s="62"/>
      <c r="AI1152" s="62"/>
      <c r="AJ1152" s="62"/>
      <c r="AK1152" s="62"/>
      <c r="AL1152" s="66"/>
      <c r="AM1152" s="62"/>
      <c r="AN1152" s="62"/>
      <c r="AO1152" s="62"/>
      <c r="AP1152" s="62"/>
      <c r="AQ1152" s="66"/>
      <c r="AR1152" s="62"/>
      <c r="AS1152" s="62"/>
      <c r="AT1152" s="62"/>
      <c r="AU1152" s="62"/>
      <c r="AV1152" s="66"/>
      <c r="AW1152" s="97"/>
    </row>
    <row r="1153" spans="23:49" x14ac:dyDescent="0.15">
      <c r="W1153" s="12"/>
      <c r="X1153" s="62"/>
      <c r="Y1153" s="62"/>
      <c r="Z1153" s="62"/>
      <c r="AA1153" s="62"/>
      <c r="AB1153" s="98"/>
      <c r="AC1153" s="62"/>
      <c r="AD1153" s="62"/>
      <c r="AE1153" s="62"/>
      <c r="AF1153" s="62"/>
      <c r="AG1153" s="66"/>
      <c r="AH1153" s="62"/>
      <c r="AI1153" s="62"/>
      <c r="AJ1153" s="62"/>
      <c r="AK1153" s="62"/>
      <c r="AL1153" s="66"/>
      <c r="AM1153" s="62"/>
      <c r="AN1153" s="62"/>
      <c r="AO1153" s="62"/>
      <c r="AP1153" s="62"/>
      <c r="AQ1153" s="66"/>
      <c r="AR1153" s="62"/>
      <c r="AS1153" s="62"/>
      <c r="AT1153" s="62"/>
      <c r="AU1153" s="62"/>
      <c r="AV1153" s="66"/>
      <c r="AW1153" s="97"/>
    </row>
    <row r="1154" spans="23:49" x14ac:dyDescent="0.15">
      <c r="W1154" s="12"/>
      <c r="X1154" s="62"/>
      <c r="Y1154" s="62"/>
      <c r="Z1154" s="62"/>
      <c r="AA1154" s="62"/>
      <c r="AB1154" s="98"/>
      <c r="AC1154" s="62"/>
      <c r="AD1154" s="62"/>
      <c r="AE1154" s="62"/>
      <c r="AF1154" s="62"/>
      <c r="AG1154" s="66"/>
      <c r="AH1154" s="62"/>
      <c r="AI1154" s="62"/>
      <c r="AJ1154" s="62"/>
      <c r="AK1154" s="62"/>
      <c r="AL1154" s="66"/>
      <c r="AM1154" s="62"/>
      <c r="AN1154" s="62"/>
      <c r="AO1154" s="62"/>
      <c r="AP1154" s="62"/>
      <c r="AQ1154" s="66"/>
      <c r="AR1154" s="62"/>
      <c r="AS1154" s="62"/>
      <c r="AT1154" s="62"/>
      <c r="AU1154" s="62"/>
      <c r="AV1154" s="66"/>
      <c r="AW1154" s="97"/>
    </row>
    <row r="1155" spans="23:49" x14ac:dyDescent="0.15">
      <c r="W1155" s="12"/>
      <c r="X1155" s="62"/>
      <c r="Y1155" s="62"/>
      <c r="Z1155" s="62"/>
      <c r="AA1155" s="62"/>
      <c r="AB1155" s="98"/>
      <c r="AC1155" s="62"/>
      <c r="AD1155" s="62"/>
      <c r="AE1155" s="62"/>
      <c r="AF1155" s="62"/>
      <c r="AG1155" s="66"/>
      <c r="AH1155" s="62"/>
      <c r="AI1155" s="62"/>
      <c r="AJ1155" s="62"/>
      <c r="AK1155" s="62"/>
      <c r="AL1155" s="66"/>
      <c r="AM1155" s="62"/>
      <c r="AN1155" s="62"/>
      <c r="AO1155" s="62"/>
      <c r="AP1155" s="62"/>
      <c r="AQ1155" s="66"/>
      <c r="AR1155" s="62"/>
      <c r="AS1155" s="62"/>
      <c r="AT1155" s="62"/>
      <c r="AU1155" s="62"/>
      <c r="AV1155" s="66"/>
      <c r="AW1155" s="97"/>
    </row>
    <row r="1156" spans="23:49" x14ac:dyDescent="0.15">
      <c r="W1156" s="12"/>
      <c r="X1156" s="62"/>
      <c r="Y1156" s="62"/>
      <c r="Z1156" s="62"/>
      <c r="AA1156" s="62"/>
      <c r="AB1156" s="98"/>
      <c r="AC1156" s="62"/>
      <c r="AD1156" s="62"/>
      <c r="AE1156" s="62"/>
      <c r="AF1156" s="62"/>
      <c r="AG1156" s="66"/>
      <c r="AH1156" s="62"/>
      <c r="AI1156" s="62"/>
      <c r="AJ1156" s="62"/>
      <c r="AK1156" s="62"/>
      <c r="AL1156" s="66"/>
      <c r="AM1156" s="62"/>
      <c r="AN1156" s="62"/>
      <c r="AO1156" s="62"/>
      <c r="AP1156" s="62"/>
      <c r="AQ1156" s="66"/>
      <c r="AR1156" s="62"/>
      <c r="AS1156" s="62"/>
      <c r="AT1156" s="62"/>
      <c r="AU1156" s="62"/>
      <c r="AV1156" s="66"/>
      <c r="AW1156" s="97"/>
    </row>
    <row r="1157" spans="23:49" x14ac:dyDescent="0.15">
      <c r="W1157" s="12"/>
      <c r="X1157" s="62"/>
      <c r="Y1157" s="62"/>
      <c r="Z1157" s="62"/>
      <c r="AA1157" s="62"/>
      <c r="AB1157" s="98"/>
      <c r="AC1157" s="62"/>
      <c r="AD1157" s="62"/>
      <c r="AE1157" s="62"/>
      <c r="AF1157" s="62"/>
      <c r="AG1157" s="66"/>
      <c r="AH1157" s="62"/>
      <c r="AI1157" s="62"/>
      <c r="AJ1157" s="62"/>
      <c r="AK1157" s="62"/>
      <c r="AL1157" s="66"/>
      <c r="AM1157" s="62"/>
      <c r="AN1157" s="62"/>
      <c r="AO1157" s="62"/>
      <c r="AP1157" s="62"/>
      <c r="AQ1157" s="66"/>
      <c r="AR1157" s="62"/>
      <c r="AS1157" s="62"/>
      <c r="AT1157" s="62"/>
      <c r="AU1157" s="62"/>
      <c r="AV1157" s="66"/>
      <c r="AW1157" s="97"/>
    </row>
    <row r="1158" spans="23:49" x14ac:dyDescent="0.15">
      <c r="W1158" s="12"/>
      <c r="X1158" s="62"/>
      <c r="Y1158" s="62"/>
      <c r="Z1158" s="62"/>
      <c r="AA1158" s="62"/>
      <c r="AB1158" s="98"/>
      <c r="AC1158" s="62"/>
      <c r="AD1158" s="62"/>
      <c r="AE1158" s="62"/>
      <c r="AF1158" s="62"/>
      <c r="AG1158" s="66"/>
      <c r="AH1158" s="62"/>
      <c r="AI1158" s="62"/>
      <c r="AJ1158" s="62"/>
      <c r="AK1158" s="62"/>
      <c r="AL1158" s="66"/>
      <c r="AM1158" s="62"/>
      <c r="AN1158" s="62"/>
      <c r="AO1158" s="62"/>
      <c r="AP1158" s="62"/>
      <c r="AQ1158" s="66"/>
      <c r="AR1158" s="62"/>
      <c r="AS1158" s="62"/>
      <c r="AT1158" s="62"/>
      <c r="AU1158" s="62"/>
      <c r="AV1158" s="66"/>
      <c r="AW1158" s="97"/>
    </row>
    <row r="1159" spans="23:49" x14ac:dyDescent="0.15">
      <c r="W1159" s="12"/>
      <c r="X1159" s="62"/>
      <c r="Y1159" s="62"/>
      <c r="Z1159" s="62"/>
      <c r="AA1159" s="62"/>
      <c r="AB1159" s="98"/>
      <c r="AC1159" s="62"/>
      <c r="AD1159" s="62"/>
      <c r="AE1159" s="62"/>
      <c r="AF1159" s="62"/>
      <c r="AG1159" s="66"/>
      <c r="AH1159" s="62"/>
      <c r="AI1159" s="62"/>
      <c r="AJ1159" s="62"/>
      <c r="AK1159" s="62"/>
      <c r="AL1159" s="66"/>
      <c r="AM1159" s="62"/>
      <c r="AN1159" s="62"/>
      <c r="AO1159" s="62"/>
      <c r="AP1159" s="62"/>
      <c r="AQ1159" s="66"/>
      <c r="AR1159" s="62"/>
      <c r="AS1159" s="62"/>
      <c r="AT1159" s="62"/>
      <c r="AU1159" s="62"/>
      <c r="AV1159" s="66"/>
      <c r="AW1159" s="97"/>
    </row>
    <row r="1160" spans="23:49" x14ac:dyDescent="0.15">
      <c r="W1160" s="12"/>
      <c r="X1160" s="62"/>
      <c r="Y1160" s="62"/>
      <c r="Z1160" s="62"/>
      <c r="AA1160" s="62"/>
      <c r="AB1160" s="98"/>
      <c r="AC1160" s="62"/>
      <c r="AD1160" s="62"/>
      <c r="AE1160" s="62"/>
      <c r="AF1160" s="62"/>
      <c r="AG1160" s="66"/>
      <c r="AH1160" s="62"/>
      <c r="AI1160" s="62"/>
      <c r="AJ1160" s="62"/>
      <c r="AK1160" s="62"/>
      <c r="AL1160" s="66"/>
      <c r="AM1160" s="62"/>
      <c r="AN1160" s="62"/>
      <c r="AO1160" s="62"/>
      <c r="AP1160" s="62"/>
      <c r="AQ1160" s="66"/>
      <c r="AR1160" s="62"/>
      <c r="AS1160" s="62"/>
      <c r="AT1160" s="62"/>
      <c r="AU1160" s="62"/>
      <c r="AV1160" s="66"/>
      <c r="AW1160" s="97"/>
    </row>
    <row r="1161" spans="23:49" x14ac:dyDescent="0.15">
      <c r="W1161" s="12"/>
      <c r="X1161" s="62"/>
      <c r="Y1161" s="62"/>
      <c r="Z1161" s="62"/>
      <c r="AA1161" s="62"/>
      <c r="AB1161" s="98"/>
      <c r="AC1161" s="62"/>
      <c r="AD1161" s="62"/>
      <c r="AE1161" s="62"/>
      <c r="AF1161" s="62"/>
      <c r="AG1161" s="66"/>
      <c r="AH1161" s="62"/>
      <c r="AI1161" s="62"/>
      <c r="AJ1161" s="62"/>
      <c r="AK1161" s="62"/>
      <c r="AL1161" s="66"/>
      <c r="AM1161" s="62"/>
      <c r="AN1161" s="62"/>
      <c r="AO1161" s="62"/>
      <c r="AP1161" s="62"/>
      <c r="AQ1161" s="66"/>
      <c r="AR1161" s="62"/>
      <c r="AS1161" s="62"/>
      <c r="AT1161" s="62"/>
      <c r="AU1161" s="62"/>
      <c r="AV1161" s="66"/>
      <c r="AW1161" s="97"/>
    </row>
    <row r="1162" spans="23:49" x14ac:dyDescent="0.15">
      <c r="W1162" s="12"/>
      <c r="X1162" s="62"/>
      <c r="Y1162" s="62"/>
      <c r="Z1162" s="62"/>
      <c r="AA1162" s="62"/>
      <c r="AB1162" s="98"/>
      <c r="AC1162" s="62"/>
      <c r="AD1162" s="62"/>
      <c r="AE1162" s="62"/>
      <c r="AF1162" s="62"/>
      <c r="AG1162" s="66"/>
      <c r="AH1162" s="62"/>
      <c r="AI1162" s="62"/>
      <c r="AJ1162" s="62"/>
      <c r="AK1162" s="62"/>
      <c r="AL1162" s="66"/>
      <c r="AM1162" s="62"/>
      <c r="AN1162" s="62"/>
      <c r="AO1162" s="62"/>
      <c r="AP1162" s="62"/>
      <c r="AQ1162" s="66"/>
      <c r="AR1162" s="62"/>
      <c r="AS1162" s="62"/>
      <c r="AT1162" s="62"/>
      <c r="AU1162" s="62"/>
      <c r="AV1162" s="66"/>
      <c r="AW1162" s="97"/>
    </row>
    <row r="1163" spans="23:49" x14ac:dyDescent="0.15">
      <c r="W1163" s="12"/>
      <c r="X1163" s="62"/>
      <c r="Y1163" s="62"/>
      <c r="Z1163" s="62"/>
      <c r="AA1163" s="62"/>
      <c r="AB1163" s="98"/>
      <c r="AC1163" s="62"/>
      <c r="AD1163" s="62"/>
      <c r="AE1163" s="62"/>
      <c r="AF1163" s="62"/>
      <c r="AG1163" s="66"/>
      <c r="AH1163" s="62"/>
      <c r="AI1163" s="62"/>
      <c r="AJ1163" s="62"/>
      <c r="AK1163" s="62"/>
      <c r="AL1163" s="66"/>
      <c r="AM1163" s="62"/>
      <c r="AN1163" s="62"/>
      <c r="AO1163" s="62"/>
      <c r="AP1163" s="62"/>
      <c r="AQ1163" s="66"/>
      <c r="AR1163" s="62"/>
      <c r="AS1163" s="62"/>
      <c r="AT1163" s="62"/>
      <c r="AU1163" s="62"/>
      <c r="AV1163" s="66"/>
      <c r="AW1163" s="97"/>
    </row>
    <row r="1164" spans="23:49" x14ac:dyDescent="0.15">
      <c r="W1164" s="12"/>
      <c r="X1164" s="62"/>
      <c r="Y1164" s="62"/>
      <c r="Z1164" s="62"/>
      <c r="AA1164" s="62"/>
      <c r="AB1164" s="98"/>
      <c r="AC1164" s="62"/>
      <c r="AD1164" s="62"/>
      <c r="AE1164" s="62"/>
      <c r="AF1164" s="62"/>
      <c r="AG1164" s="66"/>
      <c r="AH1164" s="62"/>
      <c r="AI1164" s="62"/>
      <c r="AJ1164" s="62"/>
      <c r="AK1164" s="62"/>
      <c r="AL1164" s="66"/>
      <c r="AM1164" s="62"/>
      <c r="AN1164" s="62"/>
      <c r="AO1164" s="62"/>
      <c r="AP1164" s="62"/>
      <c r="AQ1164" s="66"/>
      <c r="AR1164" s="62"/>
      <c r="AS1164" s="62"/>
      <c r="AT1164" s="62"/>
      <c r="AU1164" s="62"/>
      <c r="AV1164" s="66"/>
      <c r="AW1164" s="97"/>
    </row>
    <row r="1165" spans="23:49" x14ac:dyDescent="0.15">
      <c r="W1165" s="12"/>
      <c r="X1165" s="62"/>
      <c r="Y1165" s="62"/>
      <c r="Z1165" s="62"/>
      <c r="AA1165" s="62"/>
      <c r="AB1165" s="98"/>
      <c r="AC1165" s="62"/>
      <c r="AD1165" s="62"/>
      <c r="AE1165" s="62"/>
      <c r="AF1165" s="62"/>
      <c r="AG1165" s="66"/>
      <c r="AH1165" s="62"/>
      <c r="AI1165" s="62"/>
      <c r="AJ1165" s="62"/>
      <c r="AK1165" s="62"/>
      <c r="AL1165" s="66"/>
      <c r="AM1165" s="62"/>
      <c r="AN1165" s="62"/>
      <c r="AO1165" s="62"/>
      <c r="AP1165" s="62"/>
      <c r="AQ1165" s="66"/>
      <c r="AR1165" s="62"/>
      <c r="AS1165" s="62"/>
      <c r="AT1165" s="62"/>
      <c r="AU1165" s="62"/>
      <c r="AV1165" s="66"/>
      <c r="AW1165" s="97"/>
    </row>
    <row r="1166" spans="23:49" x14ac:dyDescent="0.15">
      <c r="W1166" s="12"/>
      <c r="X1166" s="62"/>
      <c r="Y1166" s="62"/>
      <c r="Z1166" s="62"/>
      <c r="AA1166" s="62"/>
      <c r="AB1166" s="98"/>
      <c r="AC1166" s="62"/>
      <c r="AD1166" s="62"/>
      <c r="AE1166" s="62"/>
      <c r="AF1166" s="62"/>
      <c r="AG1166" s="66"/>
      <c r="AH1166" s="62"/>
      <c r="AI1166" s="62"/>
      <c r="AJ1166" s="62"/>
      <c r="AK1166" s="62"/>
      <c r="AL1166" s="66"/>
      <c r="AM1166" s="62"/>
      <c r="AN1166" s="62"/>
      <c r="AO1166" s="62"/>
      <c r="AP1166" s="62"/>
      <c r="AQ1166" s="66"/>
      <c r="AR1166" s="62"/>
      <c r="AS1166" s="62"/>
      <c r="AT1166" s="62"/>
      <c r="AU1166" s="62"/>
      <c r="AV1166" s="66"/>
      <c r="AW1166" s="97"/>
    </row>
    <row r="1167" spans="23:49" x14ac:dyDescent="0.15">
      <c r="W1167" s="12"/>
      <c r="X1167" s="62"/>
      <c r="Y1167" s="62"/>
      <c r="Z1167" s="62"/>
      <c r="AA1167" s="62"/>
      <c r="AB1167" s="98"/>
      <c r="AC1167" s="62"/>
      <c r="AD1167" s="62"/>
      <c r="AE1167" s="62"/>
      <c r="AF1167" s="62"/>
      <c r="AG1167" s="66"/>
      <c r="AH1167" s="62"/>
      <c r="AI1167" s="62"/>
      <c r="AJ1167" s="62"/>
      <c r="AK1167" s="62"/>
      <c r="AL1167" s="66"/>
      <c r="AM1167" s="62"/>
      <c r="AN1167" s="62"/>
      <c r="AO1167" s="62"/>
      <c r="AP1167" s="62"/>
      <c r="AQ1167" s="66"/>
      <c r="AR1167" s="62"/>
      <c r="AS1167" s="62"/>
      <c r="AT1167" s="62"/>
      <c r="AU1167" s="62"/>
      <c r="AV1167" s="66"/>
      <c r="AW1167" s="97"/>
    </row>
    <row r="1168" spans="23:49" x14ac:dyDescent="0.15">
      <c r="W1168" s="12"/>
      <c r="X1168" s="62"/>
      <c r="Y1168" s="62"/>
      <c r="Z1168" s="62"/>
      <c r="AA1168" s="62"/>
      <c r="AB1168" s="98"/>
      <c r="AC1168" s="62"/>
      <c r="AD1168" s="62"/>
      <c r="AE1168" s="62"/>
      <c r="AF1168" s="62"/>
      <c r="AG1168" s="66"/>
      <c r="AH1168" s="62"/>
      <c r="AI1168" s="62"/>
      <c r="AJ1168" s="62"/>
      <c r="AK1168" s="62"/>
      <c r="AL1168" s="66"/>
      <c r="AM1168" s="62"/>
      <c r="AN1168" s="62"/>
      <c r="AO1168" s="62"/>
      <c r="AP1168" s="62"/>
      <c r="AQ1168" s="66"/>
      <c r="AR1168" s="62"/>
      <c r="AS1168" s="62"/>
      <c r="AT1168" s="62"/>
      <c r="AU1168" s="62"/>
      <c r="AV1168" s="66"/>
      <c r="AW1168" s="97"/>
    </row>
    <row r="1169" spans="23:49" x14ac:dyDescent="0.15">
      <c r="W1169" s="12"/>
      <c r="X1169" s="62"/>
      <c r="Y1169" s="62"/>
      <c r="Z1169" s="62"/>
      <c r="AA1169" s="62"/>
      <c r="AB1169" s="98"/>
      <c r="AC1169" s="62"/>
      <c r="AD1169" s="62"/>
      <c r="AE1169" s="62"/>
      <c r="AF1169" s="62"/>
      <c r="AG1169" s="66"/>
      <c r="AH1169" s="62"/>
      <c r="AI1169" s="62"/>
      <c r="AJ1169" s="62"/>
      <c r="AK1169" s="62"/>
      <c r="AL1169" s="66"/>
      <c r="AM1169" s="62"/>
      <c r="AN1169" s="62"/>
      <c r="AO1169" s="62"/>
      <c r="AP1169" s="62"/>
      <c r="AQ1169" s="66"/>
      <c r="AR1169" s="62"/>
      <c r="AS1169" s="62"/>
      <c r="AT1169" s="62"/>
      <c r="AU1169" s="62"/>
      <c r="AV1169" s="66"/>
      <c r="AW1169" s="97"/>
    </row>
    <row r="1170" spans="23:49" x14ac:dyDescent="0.15">
      <c r="W1170" s="12"/>
      <c r="X1170" s="62"/>
      <c r="Y1170" s="62"/>
      <c r="Z1170" s="62"/>
      <c r="AA1170" s="62"/>
      <c r="AB1170" s="98"/>
      <c r="AC1170" s="62"/>
      <c r="AD1170" s="62"/>
      <c r="AE1170" s="62"/>
      <c r="AF1170" s="62"/>
      <c r="AG1170" s="66"/>
      <c r="AH1170" s="62"/>
      <c r="AI1170" s="62"/>
      <c r="AJ1170" s="62"/>
      <c r="AK1170" s="62"/>
      <c r="AL1170" s="66"/>
      <c r="AM1170" s="62"/>
      <c r="AN1170" s="62"/>
      <c r="AO1170" s="62"/>
      <c r="AP1170" s="62"/>
      <c r="AQ1170" s="66"/>
      <c r="AR1170" s="62"/>
      <c r="AS1170" s="62"/>
      <c r="AT1170" s="62"/>
      <c r="AU1170" s="62"/>
      <c r="AV1170" s="66"/>
      <c r="AW1170" s="97"/>
    </row>
    <row r="1171" spans="23:49" x14ac:dyDescent="0.15">
      <c r="W1171" s="12"/>
      <c r="X1171" s="62"/>
      <c r="Y1171" s="62"/>
      <c r="Z1171" s="62"/>
      <c r="AA1171" s="62"/>
      <c r="AB1171" s="98"/>
      <c r="AC1171" s="62"/>
      <c r="AD1171" s="62"/>
      <c r="AE1171" s="62"/>
      <c r="AF1171" s="62"/>
      <c r="AG1171" s="66"/>
      <c r="AH1171" s="62"/>
      <c r="AI1171" s="62"/>
      <c r="AJ1171" s="62"/>
      <c r="AK1171" s="62"/>
      <c r="AL1171" s="66"/>
      <c r="AM1171" s="62"/>
      <c r="AN1171" s="62"/>
      <c r="AO1171" s="62"/>
      <c r="AP1171" s="62"/>
      <c r="AQ1171" s="66"/>
      <c r="AR1171" s="62"/>
      <c r="AS1171" s="62"/>
      <c r="AT1171" s="62"/>
      <c r="AU1171" s="62"/>
      <c r="AV1171" s="66"/>
      <c r="AW1171" s="97"/>
    </row>
    <row r="1172" spans="23:49" x14ac:dyDescent="0.15">
      <c r="W1172" s="12"/>
      <c r="X1172" s="62"/>
      <c r="Y1172" s="62"/>
      <c r="Z1172" s="62"/>
      <c r="AA1172" s="62"/>
      <c r="AB1172" s="98"/>
      <c r="AC1172" s="62"/>
      <c r="AD1172" s="62"/>
      <c r="AE1172" s="62"/>
      <c r="AF1172" s="62"/>
      <c r="AG1172" s="66"/>
      <c r="AH1172" s="62"/>
      <c r="AI1172" s="62"/>
      <c r="AJ1172" s="62"/>
      <c r="AK1172" s="62"/>
      <c r="AL1172" s="66"/>
      <c r="AM1172" s="62"/>
      <c r="AN1172" s="62"/>
      <c r="AO1172" s="62"/>
      <c r="AP1172" s="62"/>
      <c r="AQ1172" s="66"/>
      <c r="AR1172" s="62"/>
      <c r="AS1172" s="62"/>
      <c r="AT1172" s="62"/>
      <c r="AU1172" s="62"/>
      <c r="AV1172" s="66"/>
      <c r="AW1172" s="97"/>
    </row>
    <row r="1173" spans="23:49" x14ac:dyDescent="0.15">
      <c r="W1173" s="12"/>
      <c r="X1173" s="62"/>
      <c r="Y1173" s="62"/>
      <c r="Z1173" s="62"/>
      <c r="AA1173" s="62"/>
      <c r="AB1173" s="98"/>
      <c r="AC1173" s="62"/>
      <c r="AD1173" s="62"/>
      <c r="AE1173" s="62"/>
      <c r="AF1173" s="62"/>
      <c r="AG1173" s="66"/>
      <c r="AH1173" s="62"/>
      <c r="AI1173" s="62"/>
      <c r="AJ1173" s="62"/>
      <c r="AK1173" s="62"/>
      <c r="AL1173" s="66"/>
      <c r="AM1173" s="62"/>
      <c r="AN1173" s="62"/>
      <c r="AO1173" s="62"/>
      <c r="AP1173" s="62"/>
      <c r="AQ1173" s="66"/>
      <c r="AR1173" s="62"/>
      <c r="AS1173" s="62"/>
      <c r="AT1173" s="62"/>
      <c r="AU1173" s="62"/>
      <c r="AV1173" s="66"/>
      <c r="AW1173" s="97"/>
    </row>
    <row r="1174" spans="23:49" x14ac:dyDescent="0.15">
      <c r="W1174" s="12"/>
      <c r="X1174" s="62"/>
      <c r="Y1174" s="62"/>
      <c r="Z1174" s="62"/>
      <c r="AA1174" s="62"/>
      <c r="AB1174" s="98"/>
      <c r="AC1174" s="62"/>
      <c r="AD1174" s="62"/>
      <c r="AE1174" s="62"/>
      <c r="AF1174" s="62"/>
      <c r="AG1174" s="66"/>
      <c r="AH1174" s="62"/>
      <c r="AI1174" s="62"/>
      <c r="AJ1174" s="62"/>
      <c r="AK1174" s="62"/>
      <c r="AL1174" s="66"/>
      <c r="AM1174" s="62"/>
      <c r="AN1174" s="62"/>
      <c r="AO1174" s="62"/>
      <c r="AP1174" s="62"/>
      <c r="AQ1174" s="66"/>
      <c r="AR1174" s="62"/>
      <c r="AS1174" s="62"/>
      <c r="AT1174" s="62"/>
      <c r="AU1174" s="62"/>
      <c r="AV1174" s="66"/>
      <c r="AW1174" s="97"/>
    </row>
    <row r="1175" spans="23:49" x14ac:dyDescent="0.15">
      <c r="W1175" s="12"/>
      <c r="X1175" s="62"/>
      <c r="Y1175" s="62"/>
      <c r="Z1175" s="62"/>
      <c r="AA1175" s="62"/>
      <c r="AB1175" s="98"/>
      <c r="AC1175" s="62"/>
      <c r="AD1175" s="62"/>
      <c r="AE1175" s="62"/>
      <c r="AF1175" s="62"/>
      <c r="AG1175" s="66"/>
      <c r="AH1175" s="62"/>
      <c r="AI1175" s="62"/>
      <c r="AJ1175" s="62"/>
      <c r="AK1175" s="62"/>
      <c r="AL1175" s="66"/>
      <c r="AM1175" s="62"/>
      <c r="AN1175" s="62"/>
      <c r="AO1175" s="62"/>
      <c r="AP1175" s="62"/>
      <c r="AQ1175" s="66"/>
      <c r="AR1175" s="62"/>
      <c r="AS1175" s="62"/>
      <c r="AT1175" s="62"/>
      <c r="AU1175" s="62"/>
      <c r="AV1175" s="66"/>
      <c r="AW1175" s="97"/>
    </row>
    <row r="1176" spans="23:49" x14ac:dyDescent="0.15">
      <c r="W1176" s="12"/>
      <c r="X1176" s="62"/>
      <c r="Y1176" s="62"/>
      <c r="Z1176" s="62"/>
      <c r="AA1176" s="62"/>
      <c r="AB1176" s="98"/>
      <c r="AC1176" s="62"/>
      <c r="AD1176" s="62"/>
      <c r="AE1176" s="62"/>
      <c r="AF1176" s="62"/>
      <c r="AG1176" s="66"/>
      <c r="AH1176" s="62"/>
      <c r="AI1176" s="62"/>
      <c r="AJ1176" s="62"/>
      <c r="AK1176" s="62"/>
      <c r="AL1176" s="66"/>
      <c r="AM1176" s="62"/>
      <c r="AN1176" s="62"/>
      <c r="AO1176" s="62"/>
      <c r="AP1176" s="62"/>
      <c r="AQ1176" s="66"/>
      <c r="AR1176" s="62"/>
      <c r="AS1176" s="62"/>
      <c r="AT1176" s="62"/>
      <c r="AU1176" s="62"/>
      <c r="AV1176" s="66"/>
      <c r="AW1176" s="97"/>
    </row>
    <row r="1177" spans="23:49" x14ac:dyDescent="0.15">
      <c r="W1177" s="12"/>
      <c r="X1177" s="62"/>
      <c r="Y1177" s="62"/>
      <c r="Z1177" s="62"/>
      <c r="AA1177" s="62"/>
      <c r="AB1177" s="98"/>
      <c r="AC1177" s="62"/>
      <c r="AD1177" s="62"/>
      <c r="AE1177" s="62"/>
      <c r="AF1177" s="62"/>
      <c r="AG1177" s="66"/>
      <c r="AH1177" s="62"/>
      <c r="AI1177" s="62"/>
      <c r="AJ1177" s="62"/>
      <c r="AK1177" s="62"/>
      <c r="AL1177" s="66"/>
      <c r="AM1177" s="62"/>
      <c r="AN1177" s="62"/>
      <c r="AO1177" s="62"/>
      <c r="AP1177" s="62"/>
      <c r="AQ1177" s="66"/>
      <c r="AR1177" s="62"/>
      <c r="AS1177" s="62"/>
      <c r="AT1177" s="62"/>
      <c r="AU1177" s="62"/>
      <c r="AV1177" s="66"/>
      <c r="AW1177" s="97"/>
    </row>
    <row r="1178" spans="23:49" x14ac:dyDescent="0.15">
      <c r="W1178" s="12"/>
      <c r="X1178" s="62"/>
      <c r="Y1178" s="62"/>
      <c r="Z1178" s="62"/>
      <c r="AA1178" s="62"/>
      <c r="AB1178" s="98"/>
      <c r="AC1178" s="62"/>
      <c r="AD1178" s="62"/>
      <c r="AE1178" s="62"/>
      <c r="AF1178" s="62"/>
      <c r="AG1178" s="66"/>
      <c r="AH1178" s="62"/>
      <c r="AI1178" s="62"/>
      <c r="AJ1178" s="62"/>
      <c r="AK1178" s="62"/>
      <c r="AL1178" s="66"/>
      <c r="AM1178" s="62"/>
      <c r="AN1178" s="62"/>
      <c r="AO1178" s="62"/>
      <c r="AP1178" s="62"/>
      <c r="AQ1178" s="66"/>
      <c r="AR1178" s="62"/>
      <c r="AS1178" s="62"/>
      <c r="AT1178" s="62"/>
      <c r="AU1178" s="62"/>
      <c r="AV1178" s="66"/>
      <c r="AW1178" s="97"/>
    </row>
    <row r="1179" spans="23:49" x14ac:dyDescent="0.15">
      <c r="W1179" s="12"/>
      <c r="X1179" s="62"/>
      <c r="Y1179" s="62"/>
      <c r="Z1179" s="62"/>
      <c r="AA1179" s="62"/>
      <c r="AB1179" s="98"/>
      <c r="AC1179" s="62"/>
      <c r="AD1179" s="62"/>
      <c r="AE1179" s="62"/>
      <c r="AF1179" s="62"/>
      <c r="AG1179" s="66"/>
      <c r="AH1179" s="62"/>
      <c r="AI1179" s="62"/>
      <c r="AJ1179" s="62"/>
      <c r="AK1179" s="62"/>
      <c r="AL1179" s="66"/>
      <c r="AM1179" s="62"/>
      <c r="AN1179" s="62"/>
      <c r="AO1179" s="62"/>
      <c r="AP1179" s="62"/>
      <c r="AQ1179" s="66"/>
      <c r="AR1179" s="62"/>
      <c r="AS1179" s="62"/>
      <c r="AT1179" s="62"/>
      <c r="AU1179" s="62"/>
      <c r="AV1179" s="66"/>
      <c r="AW1179" s="97"/>
    </row>
    <row r="1180" spans="23:49" x14ac:dyDescent="0.15">
      <c r="W1180" s="12"/>
      <c r="X1180" s="62"/>
      <c r="Y1180" s="62"/>
      <c r="Z1180" s="62"/>
      <c r="AA1180" s="62"/>
      <c r="AB1180" s="98"/>
      <c r="AC1180" s="62"/>
      <c r="AD1180" s="62"/>
      <c r="AE1180" s="62"/>
      <c r="AF1180" s="62"/>
      <c r="AG1180" s="66"/>
      <c r="AH1180" s="62"/>
      <c r="AI1180" s="62"/>
      <c r="AJ1180" s="62"/>
      <c r="AK1180" s="62"/>
      <c r="AL1180" s="66"/>
      <c r="AM1180" s="62"/>
      <c r="AN1180" s="62"/>
      <c r="AO1180" s="62"/>
      <c r="AP1180" s="62"/>
      <c r="AQ1180" s="66"/>
      <c r="AR1180" s="62"/>
      <c r="AS1180" s="62"/>
      <c r="AT1180" s="62"/>
      <c r="AU1180" s="62"/>
      <c r="AV1180" s="66"/>
      <c r="AW1180" s="97"/>
    </row>
    <row r="1181" spans="23:49" x14ac:dyDescent="0.15">
      <c r="W1181" s="12"/>
      <c r="X1181" s="62"/>
      <c r="Y1181" s="62"/>
      <c r="Z1181" s="62"/>
      <c r="AA1181" s="62"/>
      <c r="AB1181" s="98"/>
      <c r="AC1181" s="62"/>
      <c r="AD1181" s="62"/>
      <c r="AE1181" s="62"/>
      <c r="AF1181" s="62"/>
      <c r="AG1181" s="66"/>
      <c r="AH1181" s="62"/>
      <c r="AI1181" s="62"/>
      <c r="AJ1181" s="62"/>
      <c r="AK1181" s="62"/>
      <c r="AL1181" s="66"/>
      <c r="AM1181" s="62"/>
      <c r="AN1181" s="62"/>
      <c r="AO1181" s="62"/>
      <c r="AP1181" s="62"/>
      <c r="AQ1181" s="66"/>
      <c r="AR1181" s="62"/>
      <c r="AS1181" s="62"/>
      <c r="AT1181" s="62"/>
      <c r="AU1181" s="62"/>
      <c r="AV1181" s="66"/>
      <c r="AW1181" s="97"/>
    </row>
    <row r="1182" spans="23:49" x14ac:dyDescent="0.15">
      <c r="W1182" s="12"/>
      <c r="X1182" s="62"/>
      <c r="Y1182" s="62"/>
      <c r="Z1182" s="62"/>
      <c r="AA1182" s="62"/>
      <c r="AB1182" s="98"/>
      <c r="AC1182" s="62"/>
      <c r="AD1182" s="62"/>
      <c r="AE1182" s="62"/>
      <c r="AF1182" s="62"/>
      <c r="AG1182" s="66"/>
      <c r="AH1182" s="62"/>
      <c r="AI1182" s="62"/>
      <c r="AJ1182" s="62"/>
      <c r="AK1182" s="62"/>
      <c r="AL1182" s="66"/>
      <c r="AM1182" s="62"/>
      <c r="AN1182" s="62"/>
      <c r="AO1182" s="62"/>
      <c r="AP1182" s="62"/>
      <c r="AQ1182" s="66"/>
      <c r="AR1182" s="62"/>
      <c r="AS1182" s="62"/>
      <c r="AT1182" s="62"/>
      <c r="AU1182" s="62"/>
      <c r="AV1182" s="66"/>
      <c r="AW1182" s="97"/>
    </row>
    <row r="1183" spans="23:49" x14ac:dyDescent="0.15">
      <c r="W1183" s="12"/>
      <c r="X1183" s="62"/>
      <c r="Y1183" s="62"/>
      <c r="Z1183" s="62"/>
      <c r="AA1183" s="62"/>
      <c r="AB1183" s="98"/>
      <c r="AC1183" s="62"/>
      <c r="AD1183" s="62"/>
      <c r="AE1183" s="62"/>
      <c r="AF1183" s="62"/>
      <c r="AG1183" s="66"/>
      <c r="AH1183" s="62"/>
      <c r="AI1183" s="62"/>
      <c r="AJ1183" s="62"/>
      <c r="AK1183" s="62"/>
      <c r="AL1183" s="66"/>
      <c r="AM1183" s="62"/>
      <c r="AN1183" s="62"/>
      <c r="AO1183" s="62"/>
      <c r="AP1183" s="62"/>
      <c r="AQ1183" s="66"/>
      <c r="AR1183" s="62"/>
      <c r="AS1183" s="62"/>
      <c r="AT1183" s="62"/>
      <c r="AU1183" s="62"/>
      <c r="AV1183" s="66"/>
      <c r="AW1183" s="97"/>
    </row>
    <row r="1184" spans="23:49" x14ac:dyDescent="0.15">
      <c r="W1184" s="12"/>
      <c r="X1184" s="62"/>
      <c r="Y1184" s="62"/>
      <c r="Z1184" s="62"/>
      <c r="AA1184" s="62"/>
      <c r="AB1184" s="98"/>
      <c r="AC1184" s="62"/>
      <c r="AD1184" s="62"/>
      <c r="AE1184" s="62"/>
      <c r="AF1184" s="62"/>
      <c r="AG1184" s="66"/>
      <c r="AH1184" s="62"/>
      <c r="AI1184" s="62"/>
      <c r="AJ1184" s="62"/>
      <c r="AK1184" s="62"/>
      <c r="AL1184" s="66"/>
      <c r="AM1184" s="62"/>
      <c r="AN1184" s="62"/>
      <c r="AO1184" s="62"/>
      <c r="AP1184" s="62"/>
      <c r="AQ1184" s="66"/>
      <c r="AR1184" s="62"/>
      <c r="AS1184" s="62"/>
      <c r="AT1184" s="62"/>
      <c r="AU1184" s="62"/>
      <c r="AV1184" s="66"/>
      <c r="AW1184" s="97"/>
    </row>
    <row r="1185" spans="23:49" x14ac:dyDescent="0.15">
      <c r="W1185" s="12"/>
      <c r="X1185" s="62"/>
      <c r="Y1185" s="62"/>
      <c r="Z1185" s="62"/>
      <c r="AA1185" s="62"/>
      <c r="AB1185" s="98"/>
      <c r="AC1185" s="62"/>
      <c r="AD1185" s="62"/>
      <c r="AE1185" s="62"/>
      <c r="AF1185" s="62"/>
      <c r="AG1185" s="66"/>
      <c r="AH1185" s="62"/>
      <c r="AI1185" s="62"/>
      <c r="AJ1185" s="62"/>
      <c r="AK1185" s="62"/>
      <c r="AL1185" s="66"/>
      <c r="AM1185" s="62"/>
      <c r="AN1185" s="62"/>
      <c r="AO1185" s="62"/>
      <c r="AP1185" s="62"/>
      <c r="AQ1185" s="66"/>
      <c r="AR1185" s="62"/>
      <c r="AS1185" s="62"/>
      <c r="AT1185" s="62"/>
      <c r="AU1185" s="62"/>
      <c r="AV1185" s="66"/>
      <c r="AW1185" s="97"/>
    </row>
    <row r="1186" spans="23:49" x14ac:dyDescent="0.15">
      <c r="W1186" s="12"/>
      <c r="X1186" s="62"/>
      <c r="Y1186" s="62"/>
      <c r="Z1186" s="62"/>
      <c r="AA1186" s="62"/>
      <c r="AB1186" s="98"/>
      <c r="AC1186" s="62"/>
      <c r="AD1186" s="62"/>
      <c r="AE1186" s="62"/>
      <c r="AF1186" s="62"/>
      <c r="AG1186" s="66"/>
      <c r="AH1186" s="62"/>
      <c r="AI1186" s="62"/>
      <c r="AJ1186" s="62"/>
      <c r="AK1186" s="62"/>
      <c r="AL1186" s="66"/>
      <c r="AM1186" s="62"/>
      <c r="AN1186" s="62"/>
      <c r="AO1186" s="62"/>
      <c r="AP1186" s="62"/>
      <c r="AQ1186" s="66"/>
      <c r="AR1186" s="62"/>
      <c r="AS1186" s="62"/>
      <c r="AT1186" s="62"/>
      <c r="AU1186" s="62"/>
      <c r="AV1186" s="66"/>
      <c r="AW1186" s="97"/>
    </row>
    <row r="1187" spans="23:49" x14ac:dyDescent="0.15">
      <c r="W1187" s="12"/>
      <c r="X1187" s="62"/>
      <c r="Y1187" s="62"/>
      <c r="Z1187" s="62"/>
      <c r="AA1187" s="62"/>
      <c r="AB1187" s="98"/>
      <c r="AC1187" s="62"/>
      <c r="AD1187" s="62"/>
      <c r="AE1187" s="62"/>
      <c r="AF1187" s="62"/>
      <c r="AG1187" s="66"/>
      <c r="AH1187" s="62"/>
      <c r="AI1187" s="62"/>
      <c r="AJ1187" s="62"/>
      <c r="AK1187" s="62"/>
      <c r="AL1187" s="66"/>
      <c r="AM1187" s="62"/>
      <c r="AN1187" s="62"/>
      <c r="AO1187" s="62"/>
      <c r="AP1187" s="62"/>
      <c r="AQ1187" s="66"/>
      <c r="AR1187" s="62"/>
      <c r="AS1187" s="62"/>
      <c r="AT1187" s="62"/>
      <c r="AU1187" s="62"/>
      <c r="AV1187" s="66"/>
      <c r="AW1187" s="97"/>
    </row>
    <row r="1188" spans="23:49" x14ac:dyDescent="0.15">
      <c r="W1188" s="12"/>
      <c r="X1188" s="62"/>
      <c r="Y1188" s="62"/>
      <c r="Z1188" s="62"/>
      <c r="AA1188" s="62"/>
      <c r="AB1188" s="98"/>
      <c r="AC1188" s="62"/>
      <c r="AD1188" s="62"/>
      <c r="AE1188" s="62"/>
      <c r="AF1188" s="62"/>
      <c r="AG1188" s="66"/>
      <c r="AH1188" s="62"/>
      <c r="AI1188" s="62"/>
      <c r="AJ1188" s="62"/>
      <c r="AK1188" s="62"/>
      <c r="AL1188" s="66"/>
      <c r="AM1188" s="62"/>
      <c r="AN1188" s="62"/>
      <c r="AO1188" s="62"/>
      <c r="AP1188" s="62"/>
      <c r="AQ1188" s="66"/>
      <c r="AR1188" s="62"/>
      <c r="AS1188" s="62"/>
      <c r="AT1188" s="62"/>
      <c r="AU1188" s="62"/>
      <c r="AV1188" s="66"/>
      <c r="AW1188" s="97"/>
    </row>
    <row r="1189" spans="23:49" x14ac:dyDescent="0.15">
      <c r="W1189" s="12"/>
      <c r="X1189" s="62"/>
      <c r="Y1189" s="62"/>
      <c r="Z1189" s="62"/>
      <c r="AA1189" s="62"/>
      <c r="AB1189" s="98"/>
      <c r="AC1189" s="62"/>
      <c r="AD1189" s="62"/>
      <c r="AE1189" s="62"/>
      <c r="AF1189" s="62"/>
      <c r="AG1189" s="66"/>
      <c r="AH1189" s="62"/>
      <c r="AI1189" s="62"/>
      <c r="AJ1189" s="62"/>
      <c r="AK1189" s="62"/>
      <c r="AL1189" s="66"/>
      <c r="AM1189" s="62"/>
      <c r="AN1189" s="62"/>
      <c r="AO1189" s="62"/>
      <c r="AP1189" s="62"/>
      <c r="AQ1189" s="66"/>
      <c r="AR1189" s="62"/>
      <c r="AS1189" s="62"/>
      <c r="AT1189" s="62"/>
      <c r="AU1189" s="62"/>
      <c r="AV1189" s="66"/>
      <c r="AW1189" s="97"/>
    </row>
    <row r="1190" spans="23:49" x14ac:dyDescent="0.15">
      <c r="W1190" s="12"/>
      <c r="X1190" s="62"/>
      <c r="Y1190" s="62"/>
      <c r="Z1190" s="62"/>
      <c r="AA1190" s="62"/>
      <c r="AB1190" s="98"/>
      <c r="AC1190" s="62"/>
      <c r="AD1190" s="62"/>
      <c r="AE1190" s="62"/>
      <c r="AF1190" s="62"/>
      <c r="AG1190" s="66"/>
      <c r="AH1190" s="62"/>
      <c r="AI1190" s="62"/>
      <c r="AJ1190" s="62"/>
      <c r="AK1190" s="62"/>
      <c r="AL1190" s="66"/>
      <c r="AM1190" s="62"/>
      <c r="AN1190" s="62"/>
      <c r="AO1190" s="62"/>
      <c r="AP1190" s="62"/>
      <c r="AQ1190" s="66"/>
      <c r="AR1190" s="62"/>
      <c r="AS1190" s="62"/>
      <c r="AT1190" s="62"/>
      <c r="AU1190" s="62"/>
      <c r="AV1190" s="66"/>
      <c r="AW1190" s="97"/>
    </row>
    <row r="1191" spans="23:49" x14ac:dyDescent="0.15">
      <c r="W1191" s="12"/>
      <c r="X1191" s="62"/>
      <c r="Y1191" s="62"/>
      <c r="Z1191" s="62"/>
      <c r="AA1191" s="62"/>
      <c r="AB1191" s="98"/>
      <c r="AC1191" s="62"/>
      <c r="AD1191" s="62"/>
      <c r="AE1191" s="62"/>
      <c r="AF1191" s="62"/>
      <c r="AG1191" s="66"/>
      <c r="AH1191" s="62"/>
      <c r="AI1191" s="62"/>
      <c r="AJ1191" s="62"/>
      <c r="AK1191" s="62"/>
      <c r="AL1191" s="66"/>
      <c r="AM1191" s="62"/>
      <c r="AN1191" s="62"/>
      <c r="AO1191" s="62"/>
      <c r="AP1191" s="62"/>
      <c r="AQ1191" s="66"/>
      <c r="AR1191" s="62"/>
      <c r="AS1191" s="62"/>
      <c r="AT1191" s="62"/>
      <c r="AU1191" s="62"/>
      <c r="AV1191" s="66"/>
      <c r="AW1191" s="97"/>
    </row>
    <row r="1192" spans="23:49" x14ac:dyDescent="0.15">
      <c r="W1192" s="12"/>
      <c r="X1192" s="62"/>
      <c r="Y1192" s="62"/>
      <c r="Z1192" s="62"/>
      <c r="AA1192" s="62"/>
      <c r="AB1192" s="98"/>
      <c r="AC1192" s="62"/>
      <c r="AD1192" s="62"/>
      <c r="AE1192" s="62"/>
      <c r="AF1192" s="62"/>
      <c r="AG1192" s="66"/>
      <c r="AH1192" s="62"/>
      <c r="AI1192" s="62"/>
      <c r="AJ1192" s="62"/>
      <c r="AK1192" s="62"/>
      <c r="AL1192" s="66"/>
      <c r="AM1192" s="62"/>
      <c r="AN1192" s="62"/>
      <c r="AO1192" s="62"/>
      <c r="AP1192" s="62"/>
      <c r="AQ1192" s="66"/>
      <c r="AR1192" s="62"/>
      <c r="AS1192" s="62"/>
      <c r="AT1192" s="62"/>
      <c r="AU1192" s="62"/>
      <c r="AV1192" s="66"/>
      <c r="AW1192" s="97"/>
    </row>
    <row r="1193" spans="23:49" x14ac:dyDescent="0.15">
      <c r="W1193" s="12"/>
      <c r="X1193" s="62"/>
      <c r="Y1193" s="62"/>
      <c r="Z1193" s="62"/>
      <c r="AA1193" s="62"/>
      <c r="AB1193" s="98"/>
      <c r="AC1193" s="62"/>
      <c r="AD1193" s="62"/>
      <c r="AE1193" s="62"/>
      <c r="AF1193" s="62"/>
      <c r="AG1193" s="66"/>
      <c r="AH1193" s="62"/>
      <c r="AI1193" s="62"/>
      <c r="AJ1193" s="62"/>
      <c r="AK1193" s="62"/>
      <c r="AL1193" s="66"/>
      <c r="AM1193" s="62"/>
      <c r="AN1193" s="62"/>
      <c r="AO1193" s="62"/>
      <c r="AP1193" s="62"/>
      <c r="AQ1193" s="66"/>
      <c r="AR1193" s="62"/>
      <c r="AS1193" s="62"/>
      <c r="AT1193" s="62"/>
      <c r="AU1193" s="62"/>
      <c r="AV1193" s="66"/>
      <c r="AW1193" s="97"/>
    </row>
    <row r="1194" spans="23:49" x14ac:dyDescent="0.15">
      <c r="W1194" s="12"/>
      <c r="X1194" s="62"/>
      <c r="Y1194" s="62"/>
      <c r="Z1194" s="62"/>
      <c r="AA1194" s="62"/>
      <c r="AB1194" s="98"/>
      <c r="AC1194" s="62"/>
      <c r="AD1194" s="62"/>
      <c r="AE1194" s="62"/>
      <c r="AF1194" s="62"/>
      <c r="AG1194" s="66"/>
      <c r="AH1194" s="62"/>
      <c r="AI1194" s="62"/>
      <c r="AJ1194" s="62"/>
      <c r="AK1194" s="62"/>
      <c r="AL1194" s="66"/>
      <c r="AM1194" s="62"/>
      <c r="AN1194" s="62"/>
      <c r="AO1194" s="62"/>
      <c r="AP1194" s="62"/>
      <c r="AQ1194" s="66"/>
      <c r="AR1194" s="62"/>
      <c r="AS1194" s="62"/>
      <c r="AT1194" s="62"/>
      <c r="AU1194" s="62"/>
      <c r="AV1194" s="66"/>
      <c r="AW1194" s="97"/>
    </row>
    <row r="1195" spans="23:49" x14ac:dyDescent="0.15">
      <c r="W1195" s="12"/>
      <c r="X1195" s="62"/>
      <c r="Y1195" s="62"/>
      <c r="Z1195" s="62"/>
      <c r="AA1195" s="62"/>
      <c r="AB1195" s="98"/>
      <c r="AC1195" s="62"/>
      <c r="AD1195" s="62"/>
      <c r="AE1195" s="62"/>
      <c r="AF1195" s="62"/>
      <c r="AG1195" s="66"/>
      <c r="AH1195" s="62"/>
      <c r="AI1195" s="62"/>
      <c r="AJ1195" s="62"/>
      <c r="AK1195" s="62"/>
      <c r="AL1195" s="66"/>
      <c r="AM1195" s="62"/>
      <c r="AN1195" s="62"/>
      <c r="AO1195" s="62"/>
      <c r="AP1195" s="62"/>
      <c r="AQ1195" s="66"/>
      <c r="AR1195" s="62"/>
      <c r="AS1195" s="62"/>
      <c r="AT1195" s="62"/>
      <c r="AU1195" s="62"/>
      <c r="AV1195" s="66"/>
      <c r="AW1195" s="97"/>
    </row>
    <row r="1196" spans="23:49" x14ac:dyDescent="0.15">
      <c r="W1196" s="12"/>
      <c r="X1196" s="62"/>
      <c r="Y1196" s="62"/>
      <c r="Z1196" s="62"/>
      <c r="AA1196" s="62"/>
      <c r="AB1196" s="98"/>
      <c r="AC1196" s="62"/>
      <c r="AD1196" s="62"/>
      <c r="AE1196" s="62"/>
      <c r="AF1196" s="62"/>
      <c r="AG1196" s="66"/>
      <c r="AH1196" s="62"/>
      <c r="AI1196" s="62"/>
      <c r="AJ1196" s="62"/>
      <c r="AK1196" s="62"/>
      <c r="AL1196" s="66"/>
      <c r="AM1196" s="62"/>
      <c r="AN1196" s="62"/>
      <c r="AO1196" s="62"/>
      <c r="AP1196" s="62"/>
      <c r="AQ1196" s="66"/>
      <c r="AR1196" s="62"/>
      <c r="AS1196" s="62"/>
      <c r="AT1196" s="62"/>
      <c r="AU1196" s="62"/>
      <c r="AV1196" s="66"/>
      <c r="AW1196" s="97"/>
    </row>
    <row r="1197" spans="23:49" x14ac:dyDescent="0.15">
      <c r="W1197" s="12"/>
      <c r="X1197" s="62"/>
      <c r="Y1197" s="62"/>
      <c r="Z1197" s="62"/>
      <c r="AA1197" s="62"/>
      <c r="AB1197" s="98"/>
      <c r="AC1197" s="62"/>
      <c r="AD1197" s="62"/>
      <c r="AE1197" s="62"/>
      <c r="AF1197" s="62"/>
      <c r="AG1197" s="66"/>
      <c r="AH1197" s="62"/>
      <c r="AI1197" s="62"/>
      <c r="AJ1197" s="62"/>
      <c r="AK1197" s="62"/>
      <c r="AL1197" s="66"/>
      <c r="AM1197" s="62"/>
      <c r="AN1197" s="62"/>
      <c r="AO1197" s="62"/>
      <c r="AP1197" s="62"/>
      <c r="AQ1197" s="66"/>
      <c r="AR1197" s="62"/>
      <c r="AS1197" s="62"/>
      <c r="AT1197" s="62"/>
      <c r="AU1197" s="62"/>
      <c r="AV1197" s="66"/>
      <c r="AW1197" s="97"/>
    </row>
    <row r="1198" spans="23:49" x14ac:dyDescent="0.15">
      <c r="W1198" s="12"/>
      <c r="X1198" s="62"/>
      <c r="Y1198" s="62"/>
      <c r="Z1198" s="62"/>
      <c r="AA1198" s="62"/>
      <c r="AB1198" s="98"/>
      <c r="AC1198" s="62"/>
      <c r="AD1198" s="62"/>
      <c r="AE1198" s="62"/>
      <c r="AF1198" s="62"/>
      <c r="AG1198" s="66"/>
      <c r="AH1198" s="62"/>
      <c r="AI1198" s="62"/>
      <c r="AJ1198" s="62"/>
      <c r="AK1198" s="62"/>
      <c r="AL1198" s="66"/>
      <c r="AM1198" s="62"/>
      <c r="AN1198" s="62"/>
      <c r="AO1198" s="62"/>
      <c r="AP1198" s="62"/>
      <c r="AQ1198" s="66"/>
      <c r="AR1198" s="62"/>
      <c r="AS1198" s="62"/>
      <c r="AT1198" s="62"/>
      <c r="AU1198" s="62"/>
      <c r="AV1198" s="66"/>
      <c r="AW1198" s="97"/>
    </row>
    <row r="1199" spans="23:49" x14ac:dyDescent="0.15">
      <c r="W1199" s="12"/>
      <c r="X1199" s="62"/>
      <c r="Y1199" s="62"/>
      <c r="Z1199" s="62"/>
      <c r="AA1199" s="62"/>
      <c r="AB1199" s="98"/>
      <c r="AC1199" s="62"/>
      <c r="AD1199" s="62"/>
      <c r="AE1199" s="62"/>
      <c r="AF1199" s="62"/>
      <c r="AG1199" s="66"/>
      <c r="AH1199" s="62"/>
      <c r="AI1199" s="62"/>
      <c r="AJ1199" s="62"/>
      <c r="AK1199" s="62"/>
      <c r="AL1199" s="66"/>
      <c r="AM1199" s="62"/>
      <c r="AN1199" s="62"/>
      <c r="AO1199" s="62"/>
      <c r="AP1199" s="62"/>
      <c r="AQ1199" s="66"/>
      <c r="AR1199" s="62"/>
      <c r="AS1199" s="62"/>
      <c r="AT1199" s="62"/>
      <c r="AU1199" s="62"/>
      <c r="AV1199" s="66"/>
      <c r="AW1199" s="97"/>
    </row>
    <row r="1200" spans="23:49" x14ac:dyDescent="0.15">
      <c r="W1200" s="12"/>
      <c r="X1200" s="62"/>
      <c r="Y1200" s="62"/>
      <c r="Z1200" s="62"/>
      <c r="AA1200" s="62"/>
      <c r="AB1200" s="98"/>
      <c r="AC1200" s="62"/>
      <c r="AD1200" s="62"/>
      <c r="AE1200" s="62"/>
      <c r="AF1200" s="62"/>
      <c r="AG1200" s="66"/>
      <c r="AH1200" s="62"/>
      <c r="AI1200" s="62"/>
      <c r="AJ1200" s="62"/>
      <c r="AK1200" s="62"/>
      <c r="AL1200" s="66"/>
      <c r="AM1200" s="62"/>
      <c r="AN1200" s="62"/>
      <c r="AO1200" s="62"/>
      <c r="AP1200" s="62"/>
      <c r="AQ1200" s="66"/>
      <c r="AR1200" s="62"/>
      <c r="AS1200" s="62"/>
      <c r="AT1200" s="62"/>
      <c r="AU1200" s="62"/>
      <c r="AV1200" s="66"/>
      <c r="AW1200" s="97"/>
    </row>
    <row r="1201" spans="23:49" x14ac:dyDescent="0.15">
      <c r="W1201" s="12"/>
      <c r="X1201" s="62"/>
      <c r="Y1201" s="62"/>
      <c r="Z1201" s="62"/>
      <c r="AA1201" s="62"/>
      <c r="AB1201" s="98"/>
      <c r="AC1201" s="62"/>
      <c r="AD1201" s="62"/>
      <c r="AE1201" s="62"/>
      <c r="AF1201" s="62"/>
      <c r="AG1201" s="66"/>
      <c r="AH1201" s="62"/>
      <c r="AI1201" s="62"/>
      <c r="AJ1201" s="62"/>
      <c r="AK1201" s="62"/>
      <c r="AL1201" s="66"/>
      <c r="AM1201" s="62"/>
      <c r="AN1201" s="62"/>
      <c r="AO1201" s="62"/>
      <c r="AP1201" s="62"/>
      <c r="AQ1201" s="66"/>
      <c r="AR1201" s="62"/>
      <c r="AS1201" s="62"/>
      <c r="AT1201" s="62"/>
      <c r="AU1201" s="62"/>
      <c r="AV1201" s="66"/>
      <c r="AW1201" s="97"/>
    </row>
    <row r="1202" spans="23:49" x14ac:dyDescent="0.15">
      <c r="W1202" s="12"/>
      <c r="X1202" s="62"/>
      <c r="Y1202" s="62"/>
      <c r="Z1202" s="62"/>
      <c r="AA1202" s="62"/>
      <c r="AB1202" s="98"/>
      <c r="AC1202" s="62"/>
      <c r="AD1202" s="62"/>
      <c r="AE1202" s="62"/>
      <c r="AF1202" s="62"/>
      <c r="AG1202" s="66"/>
      <c r="AH1202" s="62"/>
      <c r="AI1202" s="62"/>
      <c r="AJ1202" s="62"/>
      <c r="AK1202" s="62"/>
      <c r="AL1202" s="66"/>
      <c r="AM1202" s="62"/>
      <c r="AN1202" s="62"/>
      <c r="AO1202" s="62"/>
      <c r="AP1202" s="62"/>
      <c r="AQ1202" s="66"/>
      <c r="AR1202" s="62"/>
      <c r="AS1202" s="62"/>
      <c r="AT1202" s="62"/>
      <c r="AU1202" s="62"/>
      <c r="AV1202" s="66"/>
      <c r="AW1202" s="97"/>
    </row>
    <row r="1203" spans="23:49" x14ac:dyDescent="0.15">
      <c r="W1203" s="12"/>
      <c r="X1203" s="62"/>
      <c r="Y1203" s="62"/>
      <c r="Z1203" s="62"/>
      <c r="AA1203" s="62"/>
      <c r="AB1203" s="98"/>
      <c r="AC1203" s="62"/>
      <c r="AD1203" s="62"/>
      <c r="AE1203" s="62"/>
      <c r="AF1203" s="62"/>
      <c r="AG1203" s="66"/>
      <c r="AH1203" s="62"/>
      <c r="AI1203" s="62"/>
      <c r="AJ1203" s="62"/>
      <c r="AK1203" s="62"/>
      <c r="AL1203" s="66"/>
      <c r="AM1203" s="62"/>
      <c r="AN1203" s="62"/>
      <c r="AO1203" s="62"/>
      <c r="AP1203" s="62"/>
      <c r="AQ1203" s="66"/>
      <c r="AR1203" s="62"/>
      <c r="AS1203" s="62"/>
      <c r="AT1203" s="62"/>
      <c r="AU1203" s="62"/>
      <c r="AV1203" s="66"/>
      <c r="AW1203" s="97"/>
    </row>
    <row r="1204" spans="23:49" x14ac:dyDescent="0.15">
      <c r="W1204" s="12"/>
      <c r="X1204" s="62"/>
      <c r="Y1204" s="62"/>
      <c r="Z1204" s="62"/>
      <c r="AA1204" s="62"/>
      <c r="AB1204" s="98"/>
      <c r="AC1204" s="62"/>
      <c r="AD1204" s="62"/>
      <c r="AE1204" s="62"/>
      <c r="AF1204" s="62"/>
      <c r="AG1204" s="66"/>
      <c r="AH1204" s="62"/>
      <c r="AI1204" s="62"/>
      <c r="AJ1204" s="62"/>
      <c r="AK1204" s="62"/>
      <c r="AL1204" s="66"/>
      <c r="AM1204" s="62"/>
      <c r="AN1204" s="62"/>
      <c r="AO1204" s="62"/>
      <c r="AP1204" s="62"/>
      <c r="AQ1204" s="66"/>
      <c r="AR1204" s="62"/>
      <c r="AS1204" s="62"/>
      <c r="AT1204" s="62"/>
      <c r="AU1204" s="62"/>
      <c r="AV1204" s="66"/>
      <c r="AW1204" s="97"/>
    </row>
    <row r="1205" spans="23:49" x14ac:dyDescent="0.15">
      <c r="W1205" s="12"/>
      <c r="X1205" s="62"/>
      <c r="Y1205" s="62"/>
      <c r="Z1205" s="62"/>
      <c r="AA1205" s="62"/>
      <c r="AB1205" s="98"/>
      <c r="AC1205" s="62"/>
      <c r="AD1205" s="62"/>
      <c r="AE1205" s="62"/>
      <c r="AF1205" s="62"/>
      <c r="AG1205" s="66"/>
      <c r="AH1205" s="62"/>
      <c r="AI1205" s="62"/>
      <c r="AJ1205" s="62"/>
      <c r="AK1205" s="62"/>
      <c r="AL1205" s="66"/>
      <c r="AM1205" s="62"/>
      <c r="AN1205" s="62"/>
      <c r="AO1205" s="62"/>
      <c r="AP1205" s="62"/>
      <c r="AQ1205" s="66"/>
      <c r="AR1205" s="62"/>
      <c r="AS1205" s="62"/>
      <c r="AT1205" s="62"/>
      <c r="AU1205" s="62"/>
      <c r="AV1205" s="66"/>
      <c r="AW1205" s="97"/>
    </row>
    <row r="1206" spans="23:49" x14ac:dyDescent="0.15">
      <c r="W1206" s="12"/>
      <c r="X1206" s="62"/>
      <c r="Y1206" s="62"/>
      <c r="Z1206" s="62"/>
      <c r="AA1206" s="62"/>
      <c r="AB1206" s="98"/>
      <c r="AC1206" s="62"/>
      <c r="AD1206" s="62"/>
      <c r="AE1206" s="62"/>
      <c r="AF1206" s="62"/>
      <c r="AG1206" s="66"/>
      <c r="AH1206" s="62"/>
      <c r="AI1206" s="62"/>
      <c r="AJ1206" s="62"/>
      <c r="AK1206" s="62"/>
      <c r="AL1206" s="66"/>
      <c r="AM1206" s="62"/>
      <c r="AN1206" s="62"/>
      <c r="AO1206" s="62"/>
      <c r="AP1206" s="62"/>
      <c r="AQ1206" s="66"/>
      <c r="AR1206" s="62"/>
      <c r="AS1206" s="62"/>
      <c r="AT1206" s="62"/>
      <c r="AU1206" s="62"/>
      <c r="AV1206" s="66"/>
      <c r="AW1206" s="97"/>
    </row>
    <row r="1207" spans="23:49" x14ac:dyDescent="0.15">
      <c r="W1207" s="12"/>
      <c r="X1207" s="62"/>
      <c r="Y1207" s="62"/>
      <c r="Z1207" s="62"/>
      <c r="AA1207" s="62"/>
      <c r="AB1207" s="98"/>
      <c r="AC1207" s="62"/>
      <c r="AD1207" s="62"/>
      <c r="AE1207" s="62"/>
      <c r="AF1207" s="62"/>
      <c r="AG1207" s="66"/>
      <c r="AH1207" s="62"/>
      <c r="AI1207" s="62"/>
      <c r="AJ1207" s="62"/>
      <c r="AK1207" s="62"/>
      <c r="AL1207" s="66"/>
      <c r="AM1207" s="62"/>
      <c r="AN1207" s="62"/>
      <c r="AO1207" s="62"/>
      <c r="AP1207" s="62"/>
      <c r="AQ1207" s="66"/>
      <c r="AR1207" s="62"/>
      <c r="AS1207" s="62"/>
      <c r="AT1207" s="62"/>
      <c r="AU1207" s="62"/>
      <c r="AV1207" s="66"/>
      <c r="AW1207" s="97"/>
    </row>
    <row r="1208" spans="23:49" x14ac:dyDescent="0.15">
      <c r="W1208" s="12"/>
      <c r="X1208" s="62"/>
      <c r="Y1208" s="62"/>
      <c r="Z1208" s="62"/>
      <c r="AA1208" s="62"/>
      <c r="AB1208" s="98"/>
      <c r="AC1208" s="62"/>
      <c r="AD1208" s="62"/>
      <c r="AE1208" s="62"/>
      <c r="AF1208" s="62"/>
      <c r="AG1208" s="66"/>
      <c r="AH1208" s="62"/>
      <c r="AI1208" s="62"/>
      <c r="AJ1208" s="62"/>
      <c r="AK1208" s="62"/>
      <c r="AL1208" s="66"/>
      <c r="AM1208" s="62"/>
      <c r="AN1208" s="62"/>
      <c r="AO1208" s="62"/>
      <c r="AP1208" s="62"/>
      <c r="AQ1208" s="66"/>
      <c r="AR1208" s="62"/>
      <c r="AS1208" s="62"/>
      <c r="AT1208" s="62"/>
      <c r="AU1208" s="62"/>
      <c r="AV1208" s="66"/>
      <c r="AW1208" s="97"/>
    </row>
    <row r="1209" spans="23:49" x14ac:dyDescent="0.15">
      <c r="W1209" s="12"/>
      <c r="X1209" s="62"/>
      <c r="Y1209" s="62"/>
      <c r="Z1209" s="62"/>
      <c r="AA1209" s="62"/>
      <c r="AB1209" s="98"/>
      <c r="AC1209" s="62"/>
      <c r="AD1209" s="62"/>
      <c r="AE1209" s="62"/>
      <c r="AF1209" s="62"/>
      <c r="AG1209" s="66"/>
      <c r="AH1209" s="62"/>
      <c r="AI1209" s="62"/>
      <c r="AJ1209" s="62"/>
      <c r="AK1209" s="62"/>
      <c r="AL1209" s="66"/>
      <c r="AM1209" s="62"/>
      <c r="AN1209" s="62"/>
      <c r="AO1209" s="62"/>
      <c r="AP1209" s="62"/>
      <c r="AQ1209" s="66"/>
      <c r="AR1209" s="62"/>
      <c r="AS1209" s="62"/>
      <c r="AT1209" s="62"/>
      <c r="AU1209" s="62"/>
      <c r="AV1209" s="66"/>
      <c r="AW1209" s="97"/>
    </row>
    <row r="1210" spans="23:49" x14ac:dyDescent="0.15">
      <c r="W1210" s="12"/>
      <c r="X1210" s="62"/>
      <c r="Y1210" s="62"/>
      <c r="Z1210" s="62"/>
      <c r="AA1210" s="62"/>
      <c r="AB1210" s="98"/>
      <c r="AC1210" s="62"/>
      <c r="AD1210" s="62"/>
      <c r="AE1210" s="62"/>
      <c r="AF1210" s="62"/>
      <c r="AG1210" s="66"/>
      <c r="AH1210" s="62"/>
      <c r="AI1210" s="62"/>
      <c r="AJ1210" s="62"/>
      <c r="AK1210" s="62"/>
      <c r="AL1210" s="66"/>
      <c r="AM1210" s="62"/>
      <c r="AN1210" s="62"/>
      <c r="AO1210" s="62"/>
      <c r="AP1210" s="62"/>
      <c r="AQ1210" s="66"/>
      <c r="AR1210" s="62"/>
      <c r="AS1210" s="62"/>
      <c r="AT1210" s="62"/>
      <c r="AU1210" s="62"/>
      <c r="AV1210" s="66"/>
      <c r="AW1210" s="97"/>
    </row>
    <row r="1211" spans="23:49" x14ac:dyDescent="0.15">
      <c r="W1211" s="12"/>
      <c r="X1211" s="62"/>
      <c r="Y1211" s="62"/>
      <c r="Z1211" s="62"/>
      <c r="AA1211" s="62"/>
      <c r="AB1211" s="98"/>
      <c r="AC1211" s="62"/>
      <c r="AD1211" s="62"/>
      <c r="AE1211" s="62"/>
      <c r="AF1211" s="62"/>
      <c r="AG1211" s="66"/>
      <c r="AH1211" s="62"/>
      <c r="AI1211" s="62"/>
      <c r="AJ1211" s="62"/>
      <c r="AK1211" s="62"/>
      <c r="AL1211" s="66"/>
      <c r="AM1211" s="62"/>
      <c r="AN1211" s="62"/>
      <c r="AO1211" s="62"/>
      <c r="AP1211" s="62"/>
      <c r="AQ1211" s="66"/>
      <c r="AR1211" s="62"/>
      <c r="AS1211" s="62"/>
      <c r="AT1211" s="62"/>
      <c r="AU1211" s="62"/>
      <c r="AV1211" s="66"/>
      <c r="AW1211" s="97"/>
    </row>
    <row r="1212" spans="23:49" x14ac:dyDescent="0.15">
      <c r="W1212" s="12"/>
      <c r="X1212" s="62"/>
      <c r="Y1212" s="62"/>
      <c r="Z1212" s="62"/>
      <c r="AA1212" s="62"/>
      <c r="AB1212" s="98"/>
      <c r="AC1212" s="62"/>
      <c r="AD1212" s="62"/>
      <c r="AE1212" s="62"/>
      <c r="AF1212" s="62"/>
      <c r="AG1212" s="66"/>
      <c r="AH1212" s="62"/>
      <c r="AI1212" s="62"/>
      <c r="AJ1212" s="62"/>
      <c r="AK1212" s="62"/>
      <c r="AL1212" s="66"/>
      <c r="AM1212" s="62"/>
      <c r="AN1212" s="62"/>
      <c r="AO1212" s="62"/>
      <c r="AP1212" s="62"/>
      <c r="AQ1212" s="66"/>
      <c r="AR1212" s="62"/>
      <c r="AS1212" s="62"/>
      <c r="AT1212" s="62"/>
      <c r="AU1212" s="62"/>
      <c r="AV1212" s="66"/>
      <c r="AW1212" s="97"/>
    </row>
    <row r="1213" spans="23:49" x14ac:dyDescent="0.15">
      <c r="W1213" s="12"/>
      <c r="X1213" s="62"/>
      <c r="Y1213" s="62"/>
      <c r="Z1213" s="62"/>
      <c r="AA1213" s="62"/>
      <c r="AB1213" s="98"/>
      <c r="AC1213" s="62"/>
      <c r="AD1213" s="62"/>
      <c r="AE1213" s="62"/>
      <c r="AF1213" s="62"/>
      <c r="AG1213" s="66"/>
      <c r="AH1213" s="62"/>
      <c r="AI1213" s="62"/>
      <c r="AJ1213" s="62"/>
      <c r="AK1213" s="62"/>
      <c r="AL1213" s="66"/>
      <c r="AM1213" s="62"/>
      <c r="AN1213" s="62"/>
      <c r="AO1213" s="62"/>
      <c r="AP1213" s="62"/>
      <c r="AQ1213" s="66"/>
      <c r="AR1213" s="62"/>
      <c r="AS1213" s="62"/>
      <c r="AT1213" s="62"/>
      <c r="AU1213" s="62"/>
      <c r="AV1213" s="66"/>
      <c r="AW1213" s="97"/>
    </row>
    <row r="1214" spans="23:49" x14ac:dyDescent="0.15">
      <c r="W1214" s="12"/>
      <c r="X1214" s="62"/>
      <c r="Y1214" s="62"/>
      <c r="Z1214" s="62"/>
      <c r="AA1214" s="62"/>
      <c r="AB1214" s="98"/>
      <c r="AC1214" s="62"/>
      <c r="AD1214" s="62"/>
      <c r="AE1214" s="62"/>
      <c r="AF1214" s="62"/>
      <c r="AG1214" s="66"/>
      <c r="AH1214" s="62"/>
      <c r="AI1214" s="62"/>
      <c r="AJ1214" s="62"/>
      <c r="AK1214" s="62"/>
      <c r="AL1214" s="66"/>
      <c r="AM1214" s="62"/>
      <c r="AN1214" s="62"/>
      <c r="AO1214" s="62"/>
      <c r="AP1214" s="62"/>
      <c r="AQ1214" s="66"/>
      <c r="AR1214" s="62"/>
      <c r="AS1214" s="62"/>
      <c r="AT1214" s="62"/>
      <c r="AU1214" s="62"/>
      <c r="AV1214" s="66"/>
      <c r="AW1214" s="97"/>
    </row>
    <row r="1215" spans="23:49" x14ac:dyDescent="0.15">
      <c r="W1215" s="12"/>
      <c r="X1215" s="62"/>
      <c r="Y1215" s="62"/>
      <c r="Z1215" s="62"/>
      <c r="AA1215" s="62"/>
      <c r="AB1215" s="98"/>
      <c r="AC1215" s="62"/>
      <c r="AD1215" s="62"/>
      <c r="AE1215" s="62"/>
      <c r="AF1215" s="62"/>
      <c r="AG1215" s="66"/>
      <c r="AH1215" s="62"/>
      <c r="AI1215" s="62"/>
      <c r="AJ1215" s="62"/>
      <c r="AK1215" s="62"/>
      <c r="AL1215" s="66"/>
      <c r="AM1215" s="62"/>
      <c r="AN1215" s="62"/>
      <c r="AO1215" s="62"/>
      <c r="AP1215" s="62"/>
      <c r="AQ1215" s="66"/>
      <c r="AR1215" s="62"/>
      <c r="AS1215" s="62"/>
      <c r="AT1215" s="62"/>
      <c r="AU1215" s="62"/>
      <c r="AV1215" s="66"/>
      <c r="AW1215" s="97"/>
    </row>
    <row r="1216" spans="23:49" x14ac:dyDescent="0.15">
      <c r="W1216" s="12"/>
      <c r="X1216" s="62"/>
      <c r="Y1216" s="62"/>
      <c r="Z1216" s="62"/>
      <c r="AA1216" s="62"/>
      <c r="AB1216" s="98"/>
      <c r="AC1216" s="62"/>
      <c r="AD1216" s="62"/>
      <c r="AE1216" s="62"/>
      <c r="AF1216" s="62"/>
      <c r="AG1216" s="66"/>
      <c r="AH1216" s="62"/>
      <c r="AI1216" s="62"/>
      <c r="AJ1216" s="62"/>
      <c r="AK1216" s="62"/>
      <c r="AL1216" s="66"/>
      <c r="AM1216" s="62"/>
      <c r="AN1216" s="62"/>
      <c r="AO1216" s="62"/>
      <c r="AP1216" s="62"/>
      <c r="AQ1216" s="66"/>
      <c r="AR1216" s="62"/>
      <c r="AS1216" s="62"/>
      <c r="AT1216" s="62"/>
      <c r="AU1216" s="62"/>
      <c r="AV1216" s="66"/>
      <c r="AW1216" s="97"/>
    </row>
    <row r="1217" spans="23:49" x14ac:dyDescent="0.15">
      <c r="W1217" s="12"/>
      <c r="X1217" s="62"/>
      <c r="Y1217" s="62"/>
      <c r="Z1217" s="62"/>
      <c r="AA1217" s="62"/>
      <c r="AB1217" s="98"/>
      <c r="AC1217" s="62"/>
      <c r="AD1217" s="62"/>
      <c r="AE1217" s="62"/>
      <c r="AF1217" s="62"/>
      <c r="AG1217" s="66"/>
      <c r="AH1217" s="62"/>
      <c r="AI1217" s="62"/>
      <c r="AJ1217" s="62"/>
      <c r="AK1217" s="62"/>
      <c r="AL1217" s="66"/>
      <c r="AM1217" s="62"/>
      <c r="AN1217" s="62"/>
      <c r="AO1217" s="62"/>
      <c r="AP1217" s="62"/>
      <c r="AQ1217" s="66"/>
      <c r="AR1217" s="62"/>
      <c r="AS1217" s="62"/>
      <c r="AT1217" s="62"/>
      <c r="AU1217" s="62"/>
      <c r="AV1217" s="66"/>
      <c r="AW1217" s="97"/>
    </row>
    <row r="1218" spans="23:49" x14ac:dyDescent="0.15">
      <c r="W1218" s="12"/>
      <c r="X1218" s="62"/>
      <c r="Y1218" s="62"/>
      <c r="Z1218" s="62"/>
      <c r="AA1218" s="62"/>
      <c r="AB1218" s="98"/>
      <c r="AC1218" s="62"/>
      <c r="AD1218" s="62"/>
      <c r="AE1218" s="62"/>
      <c r="AF1218" s="62"/>
      <c r="AG1218" s="66"/>
      <c r="AH1218" s="62"/>
      <c r="AI1218" s="62"/>
      <c r="AJ1218" s="62"/>
      <c r="AK1218" s="62"/>
      <c r="AL1218" s="66"/>
      <c r="AM1218" s="62"/>
      <c r="AN1218" s="62"/>
      <c r="AO1218" s="62"/>
      <c r="AP1218" s="62"/>
      <c r="AQ1218" s="66"/>
      <c r="AR1218" s="62"/>
      <c r="AS1218" s="62"/>
      <c r="AT1218" s="62"/>
      <c r="AU1218" s="62"/>
      <c r="AV1218" s="66"/>
      <c r="AW1218" s="97"/>
    </row>
    <row r="1219" spans="23:49" x14ac:dyDescent="0.15">
      <c r="W1219" s="12"/>
      <c r="X1219" s="62"/>
      <c r="Y1219" s="62"/>
      <c r="Z1219" s="62"/>
      <c r="AA1219" s="62"/>
      <c r="AB1219" s="98"/>
      <c r="AC1219" s="62"/>
      <c r="AD1219" s="62"/>
      <c r="AE1219" s="62"/>
      <c r="AF1219" s="62"/>
      <c r="AG1219" s="66"/>
      <c r="AH1219" s="62"/>
      <c r="AI1219" s="62"/>
      <c r="AJ1219" s="62"/>
      <c r="AK1219" s="62"/>
      <c r="AL1219" s="66"/>
      <c r="AM1219" s="62"/>
      <c r="AN1219" s="62"/>
      <c r="AO1219" s="62"/>
      <c r="AP1219" s="62"/>
      <c r="AQ1219" s="66"/>
      <c r="AR1219" s="62"/>
      <c r="AS1219" s="62"/>
      <c r="AT1219" s="62"/>
      <c r="AU1219" s="62"/>
      <c r="AV1219" s="66"/>
      <c r="AW1219" s="97"/>
    </row>
    <row r="1220" spans="23:49" x14ac:dyDescent="0.15">
      <c r="W1220" s="12"/>
      <c r="X1220" s="62"/>
      <c r="Y1220" s="62"/>
      <c r="Z1220" s="62"/>
      <c r="AA1220" s="62"/>
      <c r="AB1220" s="98"/>
      <c r="AC1220" s="62"/>
      <c r="AD1220" s="62"/>
      <c r="AE1220" s="62"/>
      <c r="AF1220" s="62"/>
      <c r="AG1220" s="66"/>
      <c r="AH1220" s="62"/>
      <c r="AI1220" s="62"/>
      <c r="AJ1220" s="62"/>
      <c r="AK1220" s="62"/>
      <c r="AL1220" s="66"/>
      <c r="AM1220" s="62"/>
      <c r="AN1220" s="62"/>
      <c r="AO1220" s="62"/>
      <c r="AP1220" s="62"/>
      <c r="AQ1220" s="66"/>
      <c r="AR1220" s="62"/>
      <c r="AS1220" s="62"/>
      <c r="AT1220" s="62"/>
      <c r="AU1220" s="62"/>
      <c r="AV1220" s="66"/>
      <c r="AW1220" s="97"/>
    </row>
    <row r="1221" spans="23:49" x14ac:dyDescent="0.15">
      <c r="W1221" s="12"/>
      <c r="X1221" s="62"/>
      <c r="Y1221" s="62"/>
      <c r="Z1221" s="62"/>
      <c r="AA1221" s="62"/>
      <c r="AB1221" s="98"/>
      <c r="AC1221" s="62"/>
      <c r="AD1221" s="62"/>
      <c r="AE1221" s="62"/>
      <c r="AF1221" s="62"/>
      <c r="AG1221" s="66"/>
      <c r="AH1221" s="62"/>
      <c r="AI1221" s="62"/>
      <c r="AJ1221" s="62"/>
      <c r="AK1221" s="62"/>
      <c r="AL1221" s="66"/>
      <c r="AM1221" s="62"/>
      <c r="AN1221" s="62"/>
      <c r="AO1221" s="62"/>
      <c r="AP1221" s="62"/>
      <c r="AQ1221" s="66"/>
      <c r="AR1221" s="62"/>
      <c r="AS1221" s="62"/>
      <c r="AT1221" s="62"/>
      <c r="AU1221" s="62"/>
      <c r="AV1221" s="66"/>
      <c r="AW1221" s="97"/>
    </row>
    <row r="1222" spans="23:49" x14ac:dyDescent="0.15">
      <c r="W1222" s="12"/>
      <c r="X1222" s="62"/>
      <c r="Y1222" s="62"/>
      <c r="Z1222" s="62"/>
      <c r="AA1222" s="62"/>
      <c r="AB1222" s="98"/>
      <c r="AC1222" s="62"/>
      <c r="AD1222" s="62"/>
      <c r="AE1222" s="62"/>
      <c r="AF1222" s="62"/>
      <c r="AG1222" s="66"/>
      <c r="AH1222" s="62"/>
      <c r="AI1222" s="62"/>
      <c r="AJ1222" s="62"/>
      <c r="AK1222" s="62"/>
      <c r="AL1222" s="66"/>
      <c r="AM1222" s="62"/>
      <c r="AN1222" s="62"/>
      <c r="AO1222" s="62"/>
      <c r="AP1222" s="62"/>
      <c r="AQ1222" s="66"/>
      <c r="AR1222" s="62"/>
      <c r="AS1222" s="62"/>
      <c r="AT1222" s="62"/>
      <c r="AU1222" s="62"/>
      <c r="AV1222" s="66"/>
      <c r="AW1222" s="97"/>
    </row>
    <row r="1223" spans="23:49" x14ac:dyDescent="0.15">
      <c r="W1223" s="12"/>
      <c r="X1223" s="62"/>
      <c r="Y1223" s="62"/>
      <c r="Z1223" s="62"/>
      <c r="AA1223" s="62"/>
      <c r="AB1223" s="98"/>
      <c r="AC1223" s="62"/>
      <c r="AD1223" s="62"/>
      <c r="AE1223" s="62"/>
      <c r="AF1223" s="62"/>
      <c r="AG1223" s="66"/>
      <c r="AH1223" s="62"/>
      <c r="AI1223" s="62"/>
      <c r="AJ1223" s="62"/>
      <c r="AK1223" s="62"/>
      <c r="AL1223" s="66"/>
      <c r="AM1223" s="62"/>
      <c r="AN1223" s="62"/>
      <c r="AO1223" s="62"/>
      <c r="AP1223" s="62"/>
      <c r="AQ1223" s="66"/>
      <c r="AR1223" s="62"/>
      <c r="AS1223" s="62"/>
      <c r="AT1223" s="62"/>
      <c r="AU1223" s="62"/>
      <c r="AV1223" s="66"/>
      <c r="AW1223" s="97"/>
    </row>
    <row r="1224" spans="23:49" x14ac:dyDescent="0.15">
      <c r="W1224" s="12"/>
      <c r="X1224" s="62"/>
      <c r="Y1224" s="62"/>
      <c r="Z1224" s="62"/>
      <c r="AA1224" s="62"/>
      <c r="AB1224" s="98"/>
      <c r="AC1224" s="62"/>
      <c r="AD1224" s="62"/>
      <c r="AE1224" s="62"/>
      <c r="AF1224" s="62"/>
      <c r="AG1224" s="66"/>
      <c r="AH1224" s="62"/>
      <c r="AI1224" s="62"/>
      <c r="AJ1224" s="62"/>
      <c r="AK1224" s="62"/>
      <c r="AL1224" s="66"/>
      <c r="AM1224" s="62"/>
      <c r="AN1224" s="62"/>
      <c r="AO1224" s="62"/>
      <c r="AP1224" s="62"/>
      <c r="AQ1224" s="66"/>
      <c r="AR1224" s="62"/>
      <c r="AS1224" s="62"/>
      <c r="AT1224" s="62"/>
      <c r="AU1224" s="62"/>
      <c r="AV1224" s="66"/>
      <c r="AW1224" s="97"/>
    </row>
    <row r="1225" spans="23:49" x14ac:dyDescent="0.15">
      <c r="W1225" s="12"/>
      <c r="X1225" s="62"/>
      <c r="Y1225" s="62"/>
      <c r="Z1225" s="62"/>
      <c r="AA1225" s="62"/>
      <c r="AB1225" s="98"/>
      <c r="AC1225" s="62"/>
      <c r="AD1225" s="62"/>
      <c r="AE1225" s="62"/>
      <c r="AF1225" s="62"/>
      <c r="AG1225" s="66"/>
      <c r="AH1225" s="62"/>
      <c r="AI1225" s="62"/>
      <c r="AJ1225" s="62"/>
      <c r="AK1225" s="62"/>
      <c r="AL1225" s="66"/>
      <c r="AM1225" s="62"/>
      <c r="AN1225" s="62"/>
      <c r="AO1225" s="62"/>
      <c r="AP1225" s="62"/>
      <c r="AQ1225" s="66"/>
      <c r="AR1225" s="62"/>
      <c r="AS1225" s="62"/>
      <c r="AT1225" s="62"/>
      <c r="AU1225" s="62"/>
      <c r="AV1225" s="66"/>
      <c r="AW1225" s="97"/>
    </row>
    <row r="1226" spans="23:49" x14ac:dyDescent="0.15">
      <c r="W1226" s="12"/>
      <c r="X1226" s="62"/>
      <c r="Y1226" s="62"/>
      <c r="Z1226" s="62"/>
      <c r="AA1226" s="62"/>
      <c r="AB1226" s="98"/>
      <c r="AC1226" s="62"/>
      <c r="AD1226" s="62"/>
      <c r="AE1226" s="62"/>
      <c r="AF1226" s="62"/>
      <c r="AG1226" s="66"/>
      <c r="AH1226" s="62"/>
      <c r="AI1226" s="62"/>
      <c r="AJ1226" s="62"/>
      <c r="AK1226" s="62"/>
      <c r="AL1226" s="66"/>
      <c r="AM1226" s="62"/>
      <c r="AN1226" s="62"/>
      <c r="AO1226" s="62"/>
      <c r="AP1226" s="62"/>
      <c r="AQ1226" s="66"/>
      <c r="AR1226" s="62"/>
      <c r="AS1226" s="62"/>
      <c r="AT1226" s="62"/>
      <c r="AU1226" s="62"/>
      <c r="AV1226" s="66"/>
      <c r="AW1226" s="97"/>
    </row>
    <row r="1227" spans="23:49" x14ac:dyDescent="0.15">
      <c r="W1227" s="12"/>
      <c r="X1227" s="62"/>
      <c r="Y1227" s="62"/>
      <c r="Z1227" s="62"/>
      <c r="AA1227" s="62"/>
      <c r="AB1227" s="98"/>
      <c r="AC1227" s="62"/>
      <c r="AD1227" s="62"/>
      <c r="AE1227" s="62"/>
      <c r="AF1227" s="62"/>
      <c r="AG1227" s="66"/>
      <c r="AH1227" s="62"/>
      <c r="AI1227" s="62"/>
      <c r="AJ1227" s="62"/>
      <c r="AK1227" s="62"/>
      <c r="AL1227" s="66"/>
      <c r="AM1227" s="62"/>
      <c r="AN1227" s="62"/>
      <c r="AO1227" s="62"/>
      <c r="AP1227" s="62"/>
      <c r="AQ1227" s="66"/>
      <c r="AR1227" s="62"/>
      <c r="AS1227" s="62"/>
      <c r="AT1227" s="62"/>
      <c r="AU1227" s="62"/>
      <c r="AV1227" s="66"/>
      <c r="AW1227" s="97"/>
    </row>
    <row r="1228" spans="23:49" x14ac:dyDescent="0.15">
      <c r="W1228" s="12"/>
      <c r="X1228" s="62"/>
      <c r="Y1228" s="62"/>
      <c r="Z1228" s="62"/>
      <c r="AA1228" s="62"/>
      <c r="AB1228" s="98"/>
      <c r="AC1228" s="62"/>
      <c r="AD1228" s="62"/>
      <c r="AE1228" s="62"/>
      <c r="AF1228" s="62"/>
      <c r="AG1228" s="66"/>
      <c r="AH1228" s="62"/>
      <c r="AI1228" s="62"/>
      <c r="AJ1228" s="62"/>
      <c r="AK1228" s="62"/>
      <c r="AL1228" s="66"/>
      <c r="AM1228" s="62"/>
      <c r="AN1228" s="62"/>
      <c r="AO1228" s="62"/>
      <c r="AP1228" s="62"/>
      <c r="AQ1228" s="66"/>
      <c r="AR1228" s="62"/>
      <c r="AS1228" s="62"/>
      <c r="AT1228" s="62"/>
      <c r="AU1228" s="62"/>
      <c r="AV1228" s="66"/>
      <c r="AW1228" s="97"/>
    </row>
    <row r="1229" spans="23:49" x14ac:dyDescent="0.15">
      <c r="W1229" s="12"/>
      <c r="X1229" s="62"/>
      <c r="Y1229" s="62"/>
      <c r="Z1229" s="62"/>
      <c r="AA1229" s="62"/>
      <c r="AB1229" s="98"/>
      <c r="AC1229" s="62"/>
      <c r="AD1229" s="62"/>
      <c r="AE1229" s="62"/>
      <c r="AF1229" s="62"/>
      <c r="AG1229" s="66"/>
      <c r="AH1229" s="62"/>
      <c r="AI1229" s="62"/>
      <c r="AJ1229" s="62"/>
      <c r="AK1229" s="62"/>
      <c r="AL1229" s="66"/>
      <c r="AM1229" s="62"/>
      <c r="AN1229" s="62"/>
      <c r="AO1229" s="62"/>
      <c r="AP1229" s="62"/>
      <c r="AQ1229" s="66"/>
      <c r="AR1229" s="62"/>
      <c r="AS1229" s="62"/>
      <c r="AT1229" s="62"/>
      <c r="AU1229" s="62"/>
      <c r="AV1229" s="66"/>
      <c r="AW1229" s="97"/>
    </row>
    <row r="1230" spans="23:49" x14ac:dyDescent="0.15">
      <c r="W1230" s="12"/>
      <c r="X1230" s="62"/>
      <c r="Y1230" s="62"/>
      <c r="Z1230" s="62"/>
      <c r="AA1230" s="62"/>
      <c r="AB1230" s="98"/>
      <c r="AC1230" s="62"/>
      <c r="AD1230" s="62"/>
      <c r="AE1230" s="62"/>
      <c r="AF1230" s="62"/>
      <c r="AG1230" s="66"/>
      <c r="AH1230" s="62"/>
      <c r="AI1230" s="62"/>
      <c r="AJ1230" s="62"/>
      <c r="AK1230" s="62"/>
      <c r="AL1230" s="66"/>
      <c r="AM1230" s="62"/>
      <c r="AN1230" s="62"/>
      <c r="AO1230" s="62"/>
      <c r="AP1230" s="62"/>
      <c r="AQ1230" s="66"/>
      <c r="AR1230" s="62"/>
      <c r="AS1230" s="62"/>
      <c r="AT1230" s="62"/>
      <c r="AU1230" s="62"/>
      <c r="AV1230" s="66"/>
      <c r="AW1230" s="97"/>
    </row>
    <row r="1231" spans="23:49" x14ac:dyDescent="0.15">
      <c r="W1231" s="12"/>
      <c r="X1231" s="62"/>
      <c r="Y1231" s="62"/>
      <c r="Z1231" s="62"/>
      <c r="AA1231" s="62"/>
      <c r="AB1231" s="98"/>
      <c r="AC1231" s="62"/>
      <c r="AD1231" s="62"/>
      <c r="AE1231" s="62"/>
      <c r="AF1231" s="62"/>
      <c r="AG1231" s="66"/>
      <c r="AH1231" s="62"/>
      <c r="AI1231" s="62"/>
      <c r="AJ1231" s="62"/>
      <c r="AK1231" s="62"/>
      <c r="AL1231" s="66"/>
      <c r="AM1231" s="62"/>
      <c r="AN1231" s="62"/>
      <c r="AO1231" s="62"/>
      <c r="AP1231" s="62"/>
      <c r="AQ1231" s="66"/>
      <c r="AR1231" s="62"/>
      <c r="AS1231" s="62"/>
      <c r="AT1231" s="62"/>
      <c r="AU1231" s="62"/>
      <c r="AV1231" s="66"/>
      <c r="AW1231" s="97"/>
    </row>
    <row r="1232" spans="23:49" x14ac:dyDescent="0.15">
      <c r="W1232" s="12"/>
      <c r="X1232" s="62"/>
      <c r="Y1232" s="62"/>
      <c r="Z1232" s="62"/>
      <c r="AA1232" s="62"/>
      <c r="AB1232" s="98"/>
      <c r="AC1232" s="62"/>
      <c r="AD1232" s="62"/>
      <c r="AE1232" s="62"/>
      <c r="AF1232" s="62"/>
      <c r="AG1232" s="66"/>
      <c r="AH1232" s="62"/>
      <c r="AI1232" s="62"/>
      <c r="AJ1232" s="62"/>
      <c r="AK1232" s="62"/>
      <c r="AL1232" s="66"/>
      <c r="AM1232" s="62"/>
      <c r="AN1232" s="62"/>
      <c r="AO1232" s="62"/>
      <c r="AP1232" s="62"/>
      <c r="AQ1232" s="66"/>
      <c r="AR1232" s="62"/>
      <c r="AS1232" s="62"/>
      <c r="AT1232" s="62"/>
      <c r="AU1232" s="62"/>
      <c r="AV1232" s="66"/>
      <c r="AW1232" s="97"/>
    </row>
    <row r="1233" spans="23:49" x14ac:dyDescent="0.15">
      <c r="W1233" s="12"/>
      <c r="X1233" s="62"/>
      <c r="Y1233" s="62"/>
      <c r="Z1233" s="62"/>
      <c r="AA1233" s="62"/>
      <c r="AB1233" s="98"/>
      <c r="AC1233" s="62"/>
      <c r="AD1233" s="62"/>
      <c r="AE1233" s="62"/>
      <c r="AF1233" s="62"/>
      <c r="AG1233" s="66"/>
      <c r="AH1233" s="62"/>
      <c r="AI1233" s="62"/>
      <c r="AJ1233" s="62"/>
      <c r="AK1233" s="62"/>
      <c r="AL1233" s="66"/>
      <c r="AM1233" s="62"/>
      <c r="AN1233" s="62"/>
      <c r="AO1233" s="62"/>
      <c r="AP1233" s="62"/>
      <c r="AQ1233" s="66"/>
      <c r="AR1233" s="62"/>
      <c r="AS1233" s="62"/>
      <c r="AT1233" s="62"/>
      <c r="AU1233" s="62"/>
      <c r="AV1233" s="66"/>
      <c r="AW1233" s="97"/>
    </row>
    <row r="1234" spans="23:49" x14ac:dyDescent="0.15">
      <c r="W1234" s="12"/>
      <c r="X1234" s="62"/>
      <c r="Y1234" s="62"/>
      <c r="Z1234" s="62"/>
      <c r="AA1234" s="62"/>
      <c r="AB1234" s="98"/>
      <c r="AC1234" s="62"/>
      <c r="AD1234" s="62"/>
      <c r="AE1234" s="62"/>
      <c r="AF1234" s="62"/>
      <c r="AG1234" s="66"/>
      <c r="AH1234" s="62"/>
      <c r="AI1234" s="62"/>
      <c r="AJ1234" s="62"/>
      <c r="AK1234" s="62"/>
      <c r="AL1234" s="66"/>
      <c r="AM1234" s="62"/>
      <c r="AN1234" s="62"/>
      <c r="AO1234" s="62"/>
      <c r="AP1234" s="62"/>
      <c r="AQ1234" s="66"/>
      <c r="AR1234" s="62"/>
      <c r="AS1234" s="62"/>
      <c r="AT1234" s="62"/>
      <c r="AU1234" s="62"/>
      <c r="AV1234" s="66"/>
      <c r="AW1234" s="97"/>
    </row>
    <row r="1235" spans="23:49" x14ac:dyDescent="0.15">
      <c r="W1235" s="12"/>
      <c r="X1235" s="62"/>
      <c r="Y1235" s="62"/>
      <c r="Z1235" s="62"/>
      <c r="AA1235" s="62"/>
      <c r="AB1235" s="98"/>
      <c r="AC1235" s="62"/>
      <c r="AD1235" s="62"/>
      <c r="AE1235" s="62"/>
      <c r="AF1235" s="62"/>
      <c r="AG1235" s="66"/>
      <c r="AH1235" s="62"/>
      <c r="AI1235" s="62"/>
      <c r="AJ1235" s="62"/>
      <c r="AK1235" s="62"/>
      <c r="AL1235" s="66"/>
      <c r="AM1235" s="62"/>
      <c r="AN1235" s="62"/>
      <c r="AO1235" s="62"/>
      <c r="AP1235" s="62"/>
      <c r="AQ1235" s="66"/>
      <c r="AR1235" s="62"/>
      <c r="AS1235" s="62"/>
      <c r="AT1235" s="62"/>
      <c r="AU1235" s="62"/>
      <c r="AV1235" s="66"/>
      <c r="AW1235" s="97"/>
    </row>
    <row r="1236" spans="23:49" x14ac:dyDescent="0.15">
      <c r="W1236" s="12"/>
      <c r="X1236" s="62"/>
      <c r="Y1236" s="62"/>
      <c r="Z1236" s="62"/>
      <c r="AA1236" s="62"/>
      <c r="AB1236" s="98"/>
      <c r="AC1236" s="62"/>
      <c r="AD1236" s="62"/>
      <c r="AE1236" s="62"/>
      <c r="AF1236" s="62"/>
      <c r="AG1236" s="66"/>
      <c r="AH1236" s="62"/>
      <c r="AI1236" s="62"/>
      <c r="AJ1236" s="62"/>
      <c r="AK1236" s="62"/>
      <c r="AL1236" s="66"/>
      <c r="AM1236" s="62"/>
      <c r="AN1236" s="62"/>
      <c r="AO1236" s="62"/>
      <c r="AP1236" s="62"/>
      <c r="AQ1236" s="66"/>
      <c r="AR1236" s="62"/>
      <c r="AS1236" s="62"/>
      <c r="AT1236" s="62"/>
      <c r="AU1236" s="62"/>
      <c r="AV1236" s="66"/>
      <c r="AW1236" s="97"/>
    </row>
    <row r="1237" spans="23:49" x14ac:dyDescent="0.15">
      <c r="W1237" s="12"/>
      <c r="X1237" s="62"/>
      <c r="Y1237" s="62"/>
      <c r="Z1237" s="62"/>
      <c r="AA1237" s="62"/>
      <c r="AB1237" s="98"/>
      <c r="AC1237" s="62"/>
      <c r="AD1237" s="62"/>
      <c r="AE1237" s="62"/>
      <c r="AF1237" s="62"/>
      <c r="AG1237" s="66"/>
      <c r="AH1237" s="62"/>
      <c r="AI1237" s="62"/>
      <c r="AJ1237" s="62"/>
      <c r="AK1237" s="62"/>
      <c r="AL1237" s="66"/>
      <c r="AM1237" s="62"/>
      <c r="AN1237" s="62"/>
      <c r="AO1237" s="62"/>
      <c r="AP1237" s="62"/>
      <c r="AQ1237" s="66"/>
      <c r="AR1237" s="62"/>
      <c r="AS1237" s="62"/>
      <c r="AT1237" s="62"/>
      <c r="AU1237" s="62"/>
      <c r="AV1237" s="66"/>
      <c r="AW1237" s="97"/>
    </row>
    <row r="1238" spans="23:49" x14ac:dyDescent="0.15">
      <c r="W1238" s="12"/>
      <c r="X1238" s="62"/>
      <c r="Y1238" s="62"/>
      <c r="Z1238" s="62"/>
      <c r="AA1238" s="62"/>
      <c r="AB1238" s="98"/>
      <c r="AC1238" s="62"/>
      <c r="AD1238" s="62"/>
      <c r="AE1238" s="62"/>
      <c r="AF1238" s="62"/>
      <c r="AG1238" s="66"/>
      <c r="AH1238" s="62"/>
      <c r="AI1238" s="62"/>
      <c r="AJ1238" s="62"/>
      <c r="AK1238" s="62"/>
      <c r="AL1238" s="66"/>
      <c r="AM1238" s="62"/>
      <c r="AN1238" s="62"/>
      <c r="AO1238" s="62"/>
      <c r="AP1238" s="62"/>
      <c r="AQ1238" s="66"/>
      <c r="AR1238" s="62"/>
      <c r="AS1238" s="62"/>
      <c r="AT1238" s="62"/>
      <c r="AU1238" s="62"/>
      <c r="AV1238" s="66"/>
      <c r="AW1238" s="97"/>
    </row>
    <row r="1239" spans="23:49" x14ac:dyDescent="0.15">
      <c r="W1239" s="12"/>
      <c r="X1239" s="62"/>
      <c r="Y1239" s="62"/>
      <c r="Z1239" s="62"/>
      <c r="AA1239" s="62"/>
      <c r="AB1239" s="98"/>
      <c r="AC1239" s="62"/>
      <c r="AD1239" s="62"/>
      <c r="AE1239" s="62"/>
      <c r="AF1239" s="62"/>
      <c r="AG1239" s="66"/>
      <c r="AH1239" s="62"/>
      <c r="AI1239" s="62"/>
      <c r="AJ1239" s="62"/>
      <c r="AK1239" s="62"/>
      <c r="AL1239" s="66"/>
      <c r="AM1239" s="62"/>
      <c r="AN1239" s="62"/>
      <c r="AO1239" s="62"/>
      <c r="AP1239" s="62"/>
      <c r="AQ1239" s="66"/>
      <c r="AR1239" s="62"/>
      <c r="AS1239" s="62"/>
      <c r="AT1239" s="62"/>
      <c r="AU1239" s="62"/>
      <c r="AV1239" s="66"/>
      <c r="AW1239" s="97"/>
    </row>
    <row r="1240" spans="23:49" x14ac:dyDescent="0.15">
      <c r="W1240" s="12"/>
      <c r="X1240" s="62"/>
      <c r="Y1240" s="62"/>
      <c r="Z1240" s="62"/>
      <c r="AA1240" s="62"/>
      <c r="AB1240" s="98"/>
      <c r="AC1240" s="62"/>
      <c r="AD1240" s="62"/>
      <c r="AE1240" s="62"/>
      <c r="AF1240" s="62"/>
      <c r="AG1240" s="66"/>
      <c r="AH1240" s="62"/>
      <c r="AI1240" s="62"/>
      <c r="AJ1240" s="62"/>
      <c r="AK1240" s="62"/>
      <c r="AL1240" s="66"/>
      <c r="AM1240" s="62"/>
      <c r="AN1240" s="62"/>
      <c r="AO1240" s="62"/>
      <c r="AP1240" s="62"/>
      <c r="AQ1240" s="66"/>
      <c r="AR1240" s="62"/>
      <c r="AS1240" s="62"/>
      <c r="AT1240" s="62"/>
      <c r="AU1240" s="62"/>
      <c r="AV1240" s="66"/>
      <c r="AW1240" s="97"/>
    </row>
    <row r="1241" spans="23:49" x14ac:dyDescent="0.15">
      <c r="W1241" s="12"/>
      <c r="X1241" s="62"/>
      <c r="Y1241" s="62"/>
      <c r="Z1241" s="62"/>
      <c r="AA1241" s="62"/>
      <c r="AB1241" s="98"/>
      <c r="AC1241" s="62"/>
      <c r="AD1241" s="62"/>
      <c r="AE1241" s="62"/>
      <c r="AF1241" s="62"/>
      <c r="AG1241" s="66"/>
      <c r="AH1241" s="62"/>
      <c r="AI1241" s="62"/>
      <c r="AJ1241" s="62"/>
      <c r="AK1241" s="62"/>
      <c r="AL1241" s="66"/>
      <c r="AM1241" s="62"/>
      <c r="AN1241" s="62"/>
      <c r="AO1241" s="62"/>
      <c r="AP1241" s="62"/>
      <c r="AQ1241" s="66"/>
      <c r="AR1241" s="62"/>
      <c r="AS1241" s="62"/>
      <c r="AT1241" s="62"/>
      <c r="AU1241" s="62"/>
      <c r="AV1241" s="66"/>
      <c r="AW1241" s="97"/>
    </row>
    <row r="1242" spans="23:49" x14ac:dyDescent="0.15">
      <c r="W1242" s="12"/>
      <c r="X1242" s="62"/>
      <c r="Y1242" s="62"/>
      <c r="Z1242" s="62"/>
      <c r="AA1242" s="62"/>
      <c r="AB1242" s="98"/>
      <c r="AC1242" s="62"/>
      <c r="AD1242" s="62"/>
      <c r="AE1242" s="62"/>
      <c r="AF1242" s="62"/>
      <c r="AG1242" s="66"/>
      <c r="AH1242" s="62"/>
      <c r="AI1242" s="62"/>
      <c r="AJ1242" s="62"/>
      <c r="AK1242" s="62"/>
      <c r="AL1242" s="66"/>
      <c r="AM1242" s="62"/>
      <c r="AN1242" s="62"/>
      <c r="AO1242" s="62"/>
      <c r="AP1242" s="62"/>
      <c r="AQ1242" s="66"/>
      <c r="AR1242" s="62"/>
      <c r="AS1242" s="62"/>
      <c r="AT1242" s="62"/>
      <c r="AU1242" s="62"/>
      <c r="AV1242" s="66"/>
      <c r="AW1242" s="97"/>
    </row>
    <row r="1243" spans="23:49" x14ac:dyDescent="0.15">
      <c r="W1243" s="12"/>
      <c r="X1243" s="62"/>
      <c r="Y1243" s="62"/>
      <c r="Z1243" s="62"/>
      <c r="AA1243" s="62"/>
      <c r="AB1243" s="98"/>
      <c r="AC1243" s="62"/>
      <c r="AD1243" s="62"/>
      <c r="AE1243" s="62"/>
      <c r="AF1243" s="62"/>
      <c r="AG1243" s="66"/>
      <c r="AH1243" s="62"/>
      <c r="AI1243" s="62"/>
      <c r="AJ1243" s="62"/>
      <c r="AK1243" s="62"/>
      <c r="AL1243" s="66"/>
      <c r="AM1243" s="62"/>
      <c r="AN1243" s="62"/>
      <c r="AO1243" s="62"/>
      <c r="AP1243" s="62"/>
      <c r="AQ1243" s="66"/>
      <c r="AR1243" s="62"/>
      <c r="AS1243" s="62"/>
      <c r="AT1243" s="62"/>
      <c r="AU1243" s="62"/>
      <c r="AV1243" s="66"/>
      <c r="AW1243" s="97"/>
    </row>
    <row r="1244" spans="23:49" x14ac:dyDescent="0.15">
      <c r="W1244" s="12"/>
      <c r="X1244" s="62"/>
      <c r="Y1244" s="62"/>
      <c r="Z1244" s="62"/>
      <c r="AA1244" s="62"/>
      <c r="AB1244" s="98"/>
      <c r="AC1244" s="62"/>
      <c r="AD1244" s="62"/>
      <c r="AE1244" s="62"/>
      <c r="AF1244" s="62"/>
      <c r="AG1244" s="66"/>
      <c r="AH1244" s="62"/>
      <c r="AI1244" s="62"/>
      <c r="AJ1244" s="62"/>
      <c r="AK1244" s="62"/>
      <c r="AL1244" s="66"/>
      <c r="AM1244" s="62"/>
      <c r="AN1244" s="62"/>
      <c r="AO1244" s="62"/>
      <c r="AP1244" s="62"/>
      <c r="AQ1244" s="66"/>
      <c r="AR1244" s="62"/>
      <c r="AS1244" s="62"/>
      <c r="AT1244" s="62"/>
      <c r="AU1244" s="62"/>
      <c r="AV1244" s="66"/>
      <c r="AW1244" s="97"/>
    </row>
    <row r="1245" spans="23:49" x14ac:dyDescent="0.15">
      <c r="W1245" s="12"/>
      <c r="X1245" s="62"/>
      <c r="Y1245" s="62"/>
      <c r="Z1245" s="62"/>
      <c r="AA1245" s="62"/>
      <c r="AB1245" s="98"/>
      <c r="AC1245" s="62"/>
      <c r="AD1245" s="62"/>
      <c r="AE1245" s="62"/>
      <c r="AF1245" s="62"/>
      <c r="AG1245" s="66"/>
      <c r="AH1245" s="62"/>
      <c r="AI1245" s="62"/>
      <c r="AJ1245" s="62"/>
      <c r="AK1245" s="62"/>
      <c r="AL1245" s="66"/>
      <c r="AM1245" s="62"/>
      <c r="AN1245" s="62"/>
      <c r="AO1245" s="62"/>
      <c r="AP1245" s="62"/>
      <c r="AQ1245" s="66"/>
      <c r="AR1245" s="62"/>
      <c r="AS1245" s="62"/>
      <c r="AT1245" s="62"/>
      <c r="AU1245" s="62"/>
      <c r="AV1245" s="66"/>
      <c r="AW1245" s="97"/>
    </row>
    <row r="1246" spans="23:49" x14ac:dyDescent="0.15">
      <c r="W1246" s="12"/>
      <c r="X1246" s="62"/>
      <c r="Y1246" s="62"/>
      <c r="Z1246" s="62"/>
      <c r="AA1246" s="62"/>
      <c r="AB1246" s="98"/>
      <c r="AC1246" s="62"/>
      <c r="AD1246" s="62"/>
      <c r="AE1246" s="62"/>
      <c r="AF1246" s="62"/>
      <c r="AG1246" s="66"/>
      <c r="AH1246" s="62"/>
      <c r="AI1246" s="62"/>
      <c r="AJ1246" s="62"/>
      <c r="AK1246" s="62"/>
      <c r="AL1246" s="66"/>
      <c r="AM1246" s="62"/>
      <c r="AN1246" s="62"/>
      <c r="AO1246" s="62"/>
      <c r="AP1246" s="62"/>
      <c r="AQ1246" s="66"/>
      <c r="AR1246" s="62"/>
      <c r="AS1246" s="62"/>
      <c r="AT1246" s="62"/>
      <c r="AU1246" s="62"/>
      <c r="AV1246" s="66"/>
      <c r="AW1246" s="97"/>
    </row>
    <row r="1247" spans="23:49" x14ac:dyDescent="0.15">
      <c r="W1247" s="12"/>
      <c r="X1247" s="62"/>
      <c r="Y1247" s="62"/>
      <c r="Z1247" s="62"/>
      <c r="AA1247" s="62"/>
      <c r="AB1247" s="98"/>
      <c r="AC1247" s="62"/>
      <c r="AD1247" s="62"/>
      <c r="AE1247" s="62"/>
      <c r="AF1247" s="62"/>
      <c r="AG1247" s="66"/>
      <c r="AH1247" s="62"/>
      <c r="AI1247" s="62"/>
      <c r="AJ1247" s="62"/>
      <c r="AK1247" s="62"/>
      <c r="AL1247" s="66"/>
      <c r="AM1247" s="62"/>
      <c r="AN1247" s="62"/>
      <c r="AO1247" s="62"/>
      <c r="AP1247" s="62"/>
      <c r="AQ1247" s="66"/>
      <c r="AR1247" s="62"/>
      <c r="AS1247" s="62"/>
      <c r="AT1247" s="62"/>
      <c r="AU1247" s="62"/>
      <c r="AV1247" s="66"/>
      <c r="AW1247" s="97"/>
    </row>
    <row r="1248" spans="23:49" x14ac:dyDescent="0.15">
      <c r="W1248" s="12"/>
      <c r="X1248" s="62"/>
      <c r="Y1248" s="62"/>
      <c r="Z1248" s="62"/>
      <c r="AA1248" s="62"/>
      <c r="AB1248" s="98"/>
      <c r="AC1248" s="62"/>
      <c r="AD1248" s="62"/>
      <c r="AE1248" s="62"/>
      <c r="AF1248" s="62"/>
      <c r="AG1248" s="66"/>
      <c r="AH1248" s="62"/>
      <c r="AI1248" s="62"/>
      <c r="AJ1248" s="62"/>
      <c r="AK1248" s="62"/>
      <c r="AL1248" s="66"/>
      <c r="AM1248" s="62"/>
      <c r="AN1248" s="62"/>
      <c r="AO1248" s="62"/>
      <c r="AP1248" s="62"/>
      <c r="AQ1248" s="66"/>
      <c r="AR1248" s="62"/>
      <c r="AS1248" s="62"/>
      <c r="AT1248" s="62"/>
      <c r="AU1248" s="62"/>
      <c r="AV1248" s="66"/>
      <c r="AW1248" s="97"/>
    </row>
    <row r="1249" spans="23:49" x14ac:dyDescent="0.15">
      <c r="W1249" s="12"/>
      <c r="X1249" s="62"/>
      <c r="Y1249" s="62"/>
      <c r="Z1249" s="62"/>
      <c r="AA1249" s="62"/>
      <c r="AB1249" s="98"/>
      <c r="AC1249" s="62"/>
      <c r="AD1249" s="62"/>
      <c r="AE1249" s="62"/>
      <c r="AF1249" s="62"/>
      <c r="AG1249" s="66"/>
      <c r="AH1249" s="62"/>
      <c r="AI1249" s="62"/>
      <c r="AJ1249" s="62"/>
      <c r="AK1249" s="62"/>
      <c r="AL1249" s="66"/>
      <c r="AM1249" s="62"/>
      <c r="AN1249" s="62"/>
      <c r="AO1249" s="62"/>
      <c r="AP1249" s="62"/>
      <c r="AQ1249" s="66"/>
      <c r="AR1249" s="62"/>
      <c r="AS1249" s="62"/>
      <c r="AT1249" s="62"/>
      <c r="AU1249" s="62"/>
      <c r="AV1249" s="66"/>
      <c r="AW1249" s="97"/>
    </row>
    <row r="1250" spans="23:49" x14ac:dyDescent="0.15">
      <c r="W1250" s="12"/>
      <c r="X1250" s="62"/>
      <c r="Y1250" s="62"/>
      <c r="Z1250" s="62"/>
      <c r="AA1250" s="62"/>
      <c r="AB1250" s="98"/>
      <c r="AC1250" s="62"/>
      <c r="AD1250" s="62"/>
      <c r="AE1250" s="62"/>
      <c r="AF1250" s="62"/>
      <c r="AG1250" s="66"/>
      <c r="AH1250" s="62"/>
      <c r="AI1250" s="62"/>
      <c r="AJ1250" s="62"/>
      <c r="AK1250" s="62"/>
      <c r="AL1250" s="66"/>
      <c r="AM1250" s="62"/>
      <c r="AN1250" s="62"/>
      <c r="AO1250" s="62"/>
      <c r="AP1250" s="62"/>
      <c r="AQ1250" s="66"/>
      <c r="AR1250" s="62"/>
      <c r="AS1250" s="62"/>
      <c r="AT1250" s="62"/>
      <c r="AU1250" s="62"/>
      <c r="AV1250" s="66"/>
      <c r="AW1250" s="97"/>
    </row>
    <row r="1251" spans="23:49" x14ac:dyDescent="0.15">
      <c r="W1251" s="12"/>
      <c r="X1251" s="62"/>
      <c r="Y1251" s="62"/>
      <c r="Z1251" s="62"/>
      <c r="AA1251" s="62"/>
      <c r="AB1251" s="98"/>
      <c r="AC1251" s="62"/>
      <c r="AD1251" s="62"/>
      <c r="AE1251" s="62"/>
      <c r="AF1251" s="62"/>
      <c r="AG1251" s="66"/>
      <c r="AH1251" s="62"/>
      <c r="AI1251" s="62"/>
      <c r="AJ1251" s="62"/>
      <c r="AK1251" s="62"/>
      <c r="AL1251" s="66"/>
      <c r="AM1251" s="62"/>
      <c r="AN1251" s="62"/>
      <c r="AO1251" s="62"/>
      <c r="AP1251" s="62"/>
      <c r="AQ1251" s="66"/>
      <c r="AR1251" s="62"/>
      <c r="AS1251" s="62"/>
      <c r="AT1251" s="62"/>
      <c r="AU1251" s="62"/>
      <c r="AV1251" s="66"/>
      <c r="AW1251" s="97"/>
    </row>
    <row r="1252" spans="23:49" x14ac:dyDescent="0.15">
      <c r="W1252" s="12"/>
      <c r="X1252" s="62"/>
      <c r="Y1252" s="62"/>
      <c r="Z1252" s="62"/>
      <c r="AA1252" s="62"/>
      <c r="AB1252" s="98"/>
      <c r="AC1252" s="62"/>
      <c r="AD1252" s="62"/>
      <c r="AE1252" s="62"/>
      <c r="AF1252" s="62"/>
      <c r="AG1252" s="66"/>
      <c r="AH1252" s="62"/>
      <c r="AI1252" s="62"/>
      <c r="AJ1252" s="62"/>
      <c r="AK1252" s="62"/>
      <c r="AL1252" s="66"/>
      <c r="AM1252" s="62"/>
      <c r="AN1252" s="62"/>
      <c r="AO1252" s="62"/>
      <c r="AP1252" s="62"/>
      <c r="AQ1252" s="66"/>
      <c r="AR1252" s="62"/>
      <c r="AS1252" s="62"/>
      <c r="AT1252" s="62"/>
      <c r="AU1252" s="62"/>
      <c r="AV1252" s="66"/>
      <c r="AW1252" s="97"/>
    </row>
    <row r="1253" spans="23:49" x14ac:dyDescent="0.15">
      <c r="W1253" s="12"/>
      <c r="X1253" s="62"/>
      <c r="Y1253" s="62"/>
      <c r="Z1253" s="62"/>
      <c r="AA1253" s="62"/>
      <c r="AB1253" s="98"/>
      <c r="AC1253" s="62"/>
      <c r="AD1253" s="62"/>
      <c r="AE1253" s="62"/>
      <c r="AF1253" s="62"/>
      <c r="AG1253" s="66"/>
      <c r="AH1253" s="62"/>
      <c r="AI1253" s="62"/>
      <c r="AJ1253" s="62"/>
      <c r="AK1253" s="62"/>
      <c r="AL1253" s="66"/>
      <c r="AM1253" s="62"/>
      <c r="AN1253" s="62"/>
      <c r="AO1253" s="62"/>
      <c r="AP1253" s="62"/>
      <c r="AQ1253" s="66"/>
      <c r="AR1253" s="62"/>
      <c r="AS1253" s="62"/>
      <c r="AT1253" s="62"/>
      <c r="AU1253" s="62"/>
      <c r="AV1253" s="66"/>
      <c r="AW1253" s="97"/>
    </row>
    <row r="1254" spans="23:49" x14ac:dyDescent="0.15">
      <c r="W1254" s="12"/>
      <c r="X1254" s="62"/>
      <c r="Y1254" s="62"/>
      <c r="Z1254" s="62"/>
      <c r="AA1254" s="62"/>
      <c r="AB1254" s="98"/>
      <c r="AC1254" s="62"/>
      <c r="AD1254" s="62"/>
      <c r="AE1254" s="62"/>
      <c r="AF1254" s="62"/>
      <c r="AG1254" s="66"/>
      <c r="AH1254" s="62"/>
      <c r="AI1254" s="62"/>
      <c r="AJ1254" s="62"/>
      <c r="AK1254" s="62"/>
      <c r="AL1254" s="66"/>
      <c r="AM1254" s="62"/>
      <c r="AN1254" s="62"/>
      <c r="AO1254" s="62"/>
      <c r="AP1254" s="62"/>
      <c r="AQ1254" s="66"/>
      <c r="AR1254" s="62"/>
      <c r="AS1254" s="62"/>
      <c r="AT1254" s="62"/>
      <c r="AU1254" s="62"/>
      <c r="AV1254" s="66"/>
      <c r="AW1254" s="97"/>
    </row>
    <row r="1255" spans="23:49" x14ac:dyDescent="0.15">
      <c r="W1255" s="12"/>
      <c r="X1255" s="62"/>
      <c r="Y1255" s="62"/>
      <c r="Z1255" s="62"/>
      <c r="AA1255" s="62"/>
      <c r="AB1255" s="98"/>
      <c r="AC1255" s="62"/>
      <c r="AD1255" s="62"/>
      <c r="AE1255" s="62"/>
      <c r="AF1255" s="62"/>
      <c r="AG1255" s="66"/>
      <c r="AH1255" s="62"/>
      <c r="AI1255" s="62"/>
      <c r="AJ1255" s="62"/>
      <c r="AK1255" s="62"/>
      <c r="AL1255" s="66"/>
      <c r="AM1255" s="62"/>
      <c r="AN1255" s="62"/>
      <c r="AO1255" s="62"/>
      <c r="AP1255" s="62"/>
      <c r="AQ1255" s="66"/>
      <c r="AR1255" s="62"/>
      <c r="AS1255" s="62"/>
      <c r="AT1255" s="62"/>
      <c r="AU1255" s="62"/>
      <c r="AV1255" s="66"/>
      <c r="AW1255" s="97"/>
    </row>
    <row r="1256" spans="23:49" x14ac:dyDescent="0.15">
      <c r="W1256" s="12"/>
      <c r="X1256" s="62"/>
      <c r="Y1256" s="62"/>
      <c r="Z1256" s="62"/>
      <c r="AA1256" s="62"/>
      <c r="AB1256" s="98"/>
      <c r="AC1256" s="62"/>
      <c r="AD1256" s="62"/>
      <c r="AE1256" s="62"/>
      <c r="AF1256" s="62"/>
      <c r="AG1256" s="66"/>
      <c r="AH1256" s="62"/>
      <c r="AI1256" s="62"/>
      <c r="AJ1256" s="62"/>
      <c r="AK1256" s="62"/>
      <c r="AL1256" s="66"/>
      <c r="AM1256" s="62"/>
      <c r="AN1256" s="62"/>
      <c r="AO1256" s="62"/>
      <c r="AP1256" s="62"/>
      <c r="AQ1256" s="66"/>
      <c r="AR1256" s="62"/>
      <c r="AS1256" s="62"/>
      <c r="AT1256" s="62"/>
      <c r="AU1256" s="62"/>
      <c r="AV1256" s="66"/>
      <c r="AW1256" s="97"/>
    </row>
    <row r="1257" spans="23:49" x14ac:dyDescent="0.15">
      <c r="W1257" s="12"/>
      <c r="X1257" s="62"/>
      <c r="Y1257" s="62"/>
      <c r="Z1257" s="62"/>
      <c r="AA1257" s="62"/>
      <c r="AB1257" s="98"/>
      <c r="AC1257" s="62"/>
      <c r="AD1257" s="62"/>
      <c r="AE1257" s="62"/>
      <c r="AF1257" s="62"/>
      <c r="AG1257" s="66"/>
      <c r="AH1257" s="62"/>
      <c r="AI1257" s="62"/>
      <c r="AJ1257" s="62"/>
      <c r="AK1257" s="62"/>
      <c r="AL1257" s="66"/>
      <c r="AM1257" s="62"/>
      <c r="AN1257" s="62"/>
      <c r="AO1257" s="62"/>
      <c r="AP1257" s="62"/>
      <c r="AQ1257" s="66"/>
      <c r="AR1257" s="62"/>
      <c r="AS1257" s="62"/>
      <c r="AT1257" s="62"/>
      <c r="AU1257" s="62"/>
      <c r="AV1257" s="66"/>
      <c r="AW1257" s="97"/>
    </row>
    <row r="1258" spans="23:49" x14ac:dyDescent="0.15">
      <c r="W1258" s="12"/>
      <c r="X1258" s="62"/>
      <c r="Y1258" s="62"/>
      <c r="Z1258" s="62"/>
      <c r="AA1258" s="62"/>
      <c r="AB1258" s="98"/>
      <c r="AC1258" s="62"/>
      <c r="AD1258" s="62"/>
      <c r="AE1258" s="62"/>
      <c r="AF1258" s="62"/>
      <c r="AG1258" s="66"/>
      <c r="AH1258" s="62"/>
      <c r="AI1258" s="62"/>
      <c r="AJ1258" s="62"/>
      <c r="AK1258" s="62"/>
      <c r="AL1258" s="66"/>
      <c r="AM1258" s="62"/>
      <c r="AN1258" s="62"/>
      <c r="AO1258" s="62"/>
      <c r="AP1258" s="62"/>
      <c r="AQ1258" s="66"/>
      <c r="AR1258" s="62"/>
      <c r="AS1258" s="62"/>
      <c r="AT1258" s="62"/>
      <c r="AU1258" s="62"/>
      <c r="AV1258" s="66"/>
      <c r="AW1258" s="97"/>
    </row>
    <row r="1259" spans="23:49" x14ac:dyDescent="0.15">
      <c r="W1259" s="12"/>
      <c r="X1259" s="62"/>
      <c r="Y1259" s="62"/>
      <c r="Z1259" s="62"/>
      <c r="AA1259" s="62"/>
      <c r="AB1259" s="98"/>
      <c r="AC1259" s="62"/>
      <c r="AD1259" s="62"/>
      <c r="AE1259" s="62"/>
      <c r="AF1259" s="62"/>
      <c r="AG1259" s="66"/>
      <c r="AH1259" s="62"/>
      <c r="AI1259" s="62"/>
      <c r="AJ1259" s="62"/>
      <c r="AK1259" s="62"/>
      <c r="AL1259" s="66"/>
      <c r="AM1259" s="62"/>
      <c r="AN1259" s="62"/>
      <c r="AO1259" s="62"/>
      <c r="AP1259" s="62"/>
      <c r="AQ1259" s="66"/>
      <c r="AR1259" s="62"/>
      <c r="AS1259" s="62"/>
      <c r="AT1259" s="62"/>
      <c r="AU1259" s="62"/>
      <c r="AV1259" s="66"/>
      <c r="AW1259" s="97"/>
    </row>
    <row r="1260" spans="23:49" x14ac:dyDescent="0.15">
      <c r="W1260" s="12"/>
      <c r="X1260" s="62"/>
      <c r="Y1260" s="62"/>
      <c r="Z1260" s="62"/>
      <c r="AA1260" s="62"/>
      <c r="AB1260" s="98"/>
      <c r="AC1260" s="62"/>
      <c r="AD1260" s="62"/>
      <c r="AE1260" s="62"/>
      <c r="AF1260" s="62"/>
      <c r="AG1260" s="66"/>
      <c r="AH1260" s="62"/>
      <c r="AI1260" s="62"/>
      <c r="AJ1260" s="62"/>
      <c r="AK1260" s="62"/>
      <c r="AL1260" s="66"/>
      <c r="AM1260" s="62"/>
      <c r="AN1260" s="62"/>
      <c r="AO1260" s="62"/>
      <c r="AP1260" s="62"/>
      <c r="AQ1260" s="66"/>
      <c r="AR1260" s="62"/>
      <c r="AS1260" s="62"/>
      <c r="AT1260" s="62"/>
      <c r="AU1260" s="62"/>
      <c r="AV1260" s="66"/>
      <c r="AW1260" s="97"/>
    </row>
    <row r="1261" spans="23:49" x14ac:dyDescent="0.15">
      <c r="W1261" s="12"/>
      <c r="X1261" s="62"/>
      <c r="Y1261" s="62"/>
      <c r="Z1261" s="62"/>
      <c r="AA1261" s="62"/>
      <c r="AB1261" s="98"/>
      <c r="AC1261" s="62"/>
      <c r="AD1261" s="62"/>
      <c r="AE1261" s="62"/>
      <c r="AF1261" s="62"/>
      <c r="AG1261" s="66"/>
      <c r="AH1261" s="62"/>
      <c r="AI1261" s="62"/>
      <c r="AJ1261" s="62"/>
      <c r="AK1261" s="62"/>
      <c r="AL1261" s="66"/>
      <c r="AM1261" s="62"/>
      <c r="AN1261" s="62"/>
      <c r="AO1261" s="62"/>
      <c r="AP1261" s="62"/>
      <c r="AQ1261" s="66"/>
      <c r="AR1261" s="62"/>
      <c r="AS1261" s="62"/>
      <c r="AT1261" s="62"/>
      <c r="AU1261" s="62"/>
      <c r="AV1261" s="66"/>
      <c r="AW1261" s="97"/>
    </row>
    <row r="1262" spans="23:49" x14ac:dyDescent="0.15">
      <c r="W1262" s="12"/>
      <c r="X1262" s="62"/>
      <c r="Y1262" s="62"/>
      <c r="Z1262" s="62"/>
      <c r="AA1262" s="62"/>
      <c r="AB1262" s="98"/>
      <c r="AC1262" s="62"/>
      <c r="AD1262" s="62"/>
      <c r="AE1262" s="62"/>
      <c r="AF1262" s="62"/>
      <c r="AG1262" s="66"/>
      <c r="AH1262" s="62"/>
      <c r="AI1262" s="62"/>
      <c r="AJ1262" s="62"/>
      <c r="AK1262" s="62"/>
      <c r="AL1262" s="66"/>
      <c r="AM1262" s="62"/>
      <c r="AN1262" s="62"/>
      <c r="AO1262" s="62"/>
      <c r="AP1262" s="62"/>
      <c r="AQ1262" s="66"/>
      <c r="AR1262" s="62"/>
      <c r="AS1262" s="62"/>
      <c r="AT1262" s="62"/>
      <c r="AU1262" s="62"/>
      <c r="AV1262" s="66"/>
      <c r="AW1262" s="97"/>
    </row>
    <row r="1263" spans="23:49" x14ac:dyDescent="0.15">
      <c r="W1263" s="12"/>
      <c r="X1263" s="62"/>
      <c r="Y1263" s="62"/>
      <c r="Z1263" s="62"/>
      <c r="AA1263" s="62"/>
      <c r="AB1263" s="98"/>
      <c r="AC1263" s="62"/>
      <c r="AD1263" s="62"/>
      <c r="AE1263" s="62"/>
      <c r="AF1263" s="62"/>
      <c r="AG1263" s="66"/>
      <c r="AH1263" s="62"/>
      <c r="AI1263" s="62"/>
      <c r="AJ1263" s="62"/>
      <c r="AK1263" s="62"/>
      <c r="AL1263" s="66"/>
      <c r="AM1263" s="62"/>
      <c r="AN1263" s="62"/>
      <c r="AO1263" s="62"/>
      <c r="AP1263" s="62"/>
      <c r="AQ1263" s="66"/>
      <c r="AR1263" s="62"/>
      <c r="AS1263" s="62"/>
      <c r="AT1263" s="62"/>
      <c r="AU1263" s="62"/>
      <c r="AV1263" s="66"/>
      <c r="AW1263" s="97"/>
    </row>
    <row r="1264" spans="23:49" x14ac:dyDescent="0.15">
      <c r="W1264" s="12"/>
      <c r="X1264" s="62"/>
      <c r="Y1264" s="62"/>
      <c r="Z1264" s="62"/>
      <c r="AA1264" s="62"/>
      <c r="AB1264" s="98"/>
      <c r="AC1264" s="62"/>
      <c r="AD1264" s="62"/>
      <c r="AE1264" s="62"/>
      <c r="AF1264" s="62"/>
      <c r="AG1264" s="66"/>
      <c r="AH1264" s="62"/>
      <c r="AI1264" s="62"/>
      <c r="AJ1264" s="62"/>
      <c r="AK1264" s="62"/>
      <c r="AL1264" s="66"/>
      <c r="AM1264" s="62"/>
      <c r="AN1264" s="62"/>
      <c r="AO1264" s="62"/>
      <c r="AP1264" s="62"/>
      <c r="AQ1264" s="66"/>
      <c r="AR1264" s="62"/>
      <c r="AS1264" s="62"/>
      <c r="AT1264" s="62"/>
      <c r="AU1264" s="62"/>
      <c r="AV1264" s="66"/>
      <c r="AW1264" s="97"/>
    </row>
    <row r="1265" spans="23:49" x14ac:dyDescent="0.15">
      <c r="W1265" s="12"/>
      <c r="X1265" s="62"/>
      <c r="Y1265" s="62"/>
      <c r="Z1265" s="62"/>
      <c r="AA1265" s="62"/>
      <c r="AB1265" s="98"/>
      <c r="AC1265" s="62"/>
      <c r="AD1265" s="62"/>
      <c r="AE1265" s="62"/>
      <c r="AF1265" s="62"/>
      <c r="AG1265" s="66"/>
      <c r="AH1265" s="62"/>
      <c r="AI1265" s="62"/>
      <c r="AJ1265" s="62"/>
      <c r="AK1265" s="62"/>
      <c r="AL1265" s="66"/>
      <c r="AM1265" s="62"/>
      <c r="AN1265" s="62"/>
      <c r="AO1265" s="62"/>
      <c r="AP1265" s="62"/>
      <c r="AQ1265" s="66"/>
      <c r="AR1265" s="62"/>
      <c r="AS1265" s="62"/>
      <c r="AT1265" s="62"/>
      <c r="AU1265" s="62"/>
      <c r="AV1265" s="66"/>
      <c r="AW1265" s="97"/>
    </row>
    <row r="1266" spans="23:49" x14ac:dyDescent="0.15">
      <c r="W1266" s="12"/>
      <c r="X1266" s="62"/>
      <c r="Y1266" s="62"/>
      <c r="Z1266" s="62"/>
      <c r="AA1266" s="62"/>
      <c r="AB1266" s="98"/>
      <c r="AC1266" s="62"/>
      <c r="AD1266" s="62"/>
      <c r="AE1266" s="62"/>
      <c r="AF1266" s="62"/>
      <c r="AG1266" s="66"/>
      <c r="AH1266" s="62"/>
      <c r="AI1266" s="62"/>
      <c r="AJ1266" s="62"/>
      <c r="AK1266" s="62"/>
      <c r="AL1266" s="66"/>
      <c r="AM1266" s="62"/>
      <c r="AN1266" s="62"/>
      <c r="AO1266" s="62"/>
      <c r="AP1266" s="62"/>
      <c r="AQ1266" s="66"/>
      <c r="AR1266" s="62"/>
      <c r="AS1266" s="62"/>
      <c r="AT1266" s="62"/>
      <c r="AU1266" s="62"/>
      <c r="AV1266" s="66"/>
      <c r="AW1266" s="97"/>
    </row>
    <row r="1267" spans="23:49" x14ac:dyDescent="0.15">
      <c r="W1267" s="12"/>
      <c r="X1267" s="62"/>
      <c r="Y1267" s="62"/>
      <c r="Z1267" s="62"/>
      <c r="AA1267" s="62"/>
      <c r="AB1267" s="98"/>
      <c r="AC1267" s="62"/>
      <c r="AD1267" s="62"/>
      <c r="AE1267" s="62"/>
      <c r="AF1267" s="62"/>
      <c r="AG1267" s="66"/>
      <c r="AH1267" s="62"/>
      <c r="AI1267" s="62"/>
      <c r="AJ1267" s="62"/>
      <c r="AK1267" s="62"/>
      <c r="AL1267" s="66"/>
      <c r="AM1267" s="62"/>
      <c r="AN1267" s="62"/>
      <c r="AO1267" s="62"/>
      <c r="AP1267" s="62"/>
      <c r="AQ1267" s="66"/>
      <c r="AR1267" s="62"/>
      <c r="AS1267" s="62"/>
      <c r="AT1267" s="62"/>
      <c r="AU1267" s="62"/>
      <c r="AV1267" s="66"/>
      <c r="AW1267" s="97"/>
    </row>
    <row r="1268" spans="23:49" x14ac:dyDescent="0.15">
      <c r="W1268" s="12"/>
      <c r="X1268" s="62"/>
      <c r="Y1268" s="62"/>
      <c r="Z1268" s="62"/>
      <c r="AA1268" s="62"/>
      <c r="AB1268" s="98"/>
      <c r="AC1268" s="62"/>
      <c r="AD1268" s="62"/>
      <c r="AE1268" s="62"/>
      <c r="AF1268" s="62"/>
      <c r="AG1268" s="66"/>
      <c r="AH1268" s="62"/>
      <c r="AI1268" s="62"/>
      <c r="AJ1268" s="62"/>
      <c r="AK1268" s="62"/>
      <c r="AL1268" s="66"/>
      <c r="AM1268" s="62"/>
      <c r="AN1268" s="62"/>
      <c r="AO1268" s="62"/>
      <c r="AP1268" s="62"/>
      <c r="AQ1268" s="66"/>
      <c r="AR1268" s="62"/>
      <c r="AS1268" s="62"/>
      <c r="AT1268" s="62"/>
      <c r="AU1268" s="62"/>
      <c r="AV1268" s="66"/>
      <c r="AW1268" s="97"/>
    </row>
    <row r="1269" spans="23:49" x14ac:dyDescent="0.15">
      <c r="W1269" s="12"/>
      <c r="X1269" s="62"/>
      <c r="Y1269" s="62"/>
      <c r="Z1269" s="62"/>
      <c r="AA1269" s="62"/>
      <c r="AB1269" s="98"/>
      <c r="AC1269" s="62"/>
      <c r="AD1269" s="62"/>
      <c r="AE1269" s="62"/>
      <c r="AF1269" s="62"/>
      <c r="AG1269" s="66"/>
      <c r="AH1269" s="62"/>
      <c r="AI1269" s="62"/>
      <c r="AJ1269" s="62"/>
      <c r="AK1269" s="62"/>
      <c r="AL1269" s="66"/>
      <c r="AM1269" s="62"/>
      <c r="AN1269" s="62"/>
      <c r="AO1269" s="62"/>
      <c r="AP1269" s="62"/>
      <c r="AQ1269" s="66"/>
      <c r="AR1269" s="62"/>
      <c r="AS1269" s="62"/>
      <c r="AT1269" s="62"/>
      <c r="AU1269" s="62"/>
      <c r="AV1269" s="66"/>
      <c r="AW1269" s="97"/>
    </row>
    <row r="1270" spans="23:49" x14ac:dyDescent="0.15">
      <c r="W1270" s="12"/>
      <c r="X1270" s="62"/>
      <c r="Y1270" s="62"/>
      <c r="Z1270" s="62"/>
      <c r="AA1270" s="62"/>
      <c r="AB1270" s="98"/>
      <c r="AC1270" s="62"/>
      <c r="AD1270" s="62"/>
      <c r="AE1270" s="62"/>
      <c r="AF1270" s="62"/>
      <c r="AG1270" s="66"/>
      <c r="AH1270" s="62"/>
      <c r="AI1270" s="62"/>
      <c r="AJ1270" s="62"/>
      <c r="AK1270" s="62"/>
      <c r="AL1270" s="66"/>
      <c r="AM1270" s="62"/>
      <c r="AN1270" s="62"/>
      <c r="AO1270" s="62"/>
      <c r="AP1270" s="62"/>
      <c r="AQ1270" s="66"/>
      <c r="AR1270" s="62"/>
      <c r="AS1270" s="62"/>
      <c r="AT1270" s="62"/>
      <c r="AU1270" s="62"/>
      <c r="AV1270" s="66"/>
      <c r="AW1270" s="97"/>
    </row>
    <row r="1271" spans="23:49" x14ac:dyDescent="0.15">
      <c r="W1271" s="12"/>
      <c r="X1271" s="62"/>
      <c r="Y1271" s="62"/>
      <c r="Z1271" s="62"/>
      <c r="AA1271" s="62"/>
      <c r="AB1271" s="98"/>
      <c r="AC1271" s="62"/>
      <c r="AD1271" s="62"/>
      <c r="AE1271" s="62"/>
      <c r="AF1271" s="62"/>
      <c r="AG1271" s="66"/>
      <c r="AH1271" s="62"/>
      <c r="AI1271" s="62"/>
      <c r="AJ1271" s="62"/>
      <c r="AK1271" s="62"/>
      <c r="AL1271" s="66"/>
      <c r="AM1271" s="62"/>
      <c r="AN1271" s="62"/>
      <c r="AO1271" s="62"/>
      <c r="AP1271" s="62"/>
      <c r="AQ1271" s="66"/>
      <c r="AR1271" s="62"/>
      <c r="AS1271" s="62"/>
      <c r="AT1271" s="62"/>
      <c r="AU1271" s="62"/>
      <c r="AV1271" s="66"/>
      <c r="AW1271" s="97"/>
    </row>
    <row r="1272" spans="23:49" x14ac:dyDescent="0.15">
      <c r="W1272" s="12"/>
      <c r="X1272" s="62"/>
      <c r="Y1272" s="62"/>
      <c r="Z1272" s="62"/>
      <c r="AA1272" s="62"/>
      <c r="AB1272" s="98"/>
      <c r="AC1272" s="62"/>
      <c r="AD1272" s="62"/>
      <c r="AE1272" s="62"/>
      <c r="AF1272" s="62"/>
      <c r="AG1272" s="66"/>
      <c r="AH1272" s="62"/>
      <c r="AI1272" s="62"/>
      <c r="AJ1272" s="62"/>
      <c r="AK1272" s="62"/>
      <c r="AL1272" s="66"/>
      <c r="AM1272" s="62"/>
      <c r="AN1272" s="62"/>
      <c r="AO1272" s="62"/>
      <c r="AP1272" s="62"/>
      <c r="AQ1272" s="66"/>
      <c r="AR1272" s="62"/>
      <c r="AS1272" s="62"/>
      <c r="AT1272" s="62"/>
      <c r="AU1272" s="62"/>
      <c r="AV1272" s="66"/>
      <c r="AW1272" s="97"/>
    </row>
    <row r="1273" spans="23:49" x14ac:dyDescent="0.15">
      <c r="W1273" s="12"/>
      <c r="X1273" s="62"/>
      <c r="Y1273" s="62"/>
      <c r="Z1273" s="62"/>
      <c r="AA1273" s="62"/>
      <c r="AB1273" s="98"/>
      <c r="AC1273" s="62"/>
      <c r="AD1273" s="62"/>
      <c r="AE1273" s="62"/>
      <c r="AF1273" s="62"/>
      <c r="AG1273" s="66"/>
      <c r="AH1273" s="62"/>
      <c r="AI1273" s="62"/>
      <c r="AJ1273" s="62"/>
      <c r="AK1273" s="62"/>
      <c r="AL1273" s="66"/>
      <c r="AM1273" s="62"/>
      <c r="AN1273" s="62"/>
      <c r="AO1273" s="62"/>
      <c r="AP1273" s="62"/>
      <c r="AQ1273" s="66"/>
      <c r="AR1273" s="62"/>
      <c r="AS1273" s="62"/>
      <c r="AT1273" s="62"/>
      <c r="AU1273" s="62"/>
      <c r="AV1273" s="66"/>
      <c r="AW1273" s="97"/>
    </row>
    <row r="1274" spans="23:49" x14ac:dyDescent="0.15">
      <c r="W1274" s="12"/>
      <c r="X1274" s="62"/>
      <c r="Y1274" s="62"/>
      <c r="Z1274" s="62"/>
      <c r="AA1274" s="62"/>
      <c r="AB1274" s="98"/>
      <c r="AC1274" s="62"/>
      <c r="AD1274" s="62"/>
      <c r="AE1274" s="62"/>
      <c r="AF1274" s="62"/>
      <c r="AG1274" s="66"/>
      <c r="AH1274" s="62"/>
      <c r="AI1274" s="62"/>
      <c r="AJ1274" s="62"/>
      <c r="AK1274" s="62"/>
      <c r="AL1274" s="66"/>
      <c r="AM1274" s="62"/>
      <c r="AN1274" s="62"/>
      <c r="AO1274" s="62"/>
      <c r="AP1274" s="62"/>
      <c r="AQ1274" s="66"/>
      <c r="AR1274" s="62"/>
      <c r="AS1274" s="62"/>
      <c r="AT1274" s="62"/>
      <c r="AU1274" s="62"/>
      <c r="AV1274" s="66"/>
      <c r="AW1274" s="97"/>
    </row>
    <row r="1275" spans="23:49" x14ac:dyDescent="0.15">
      <c r="W1275" s="12"/>
      <c r="X1275" s="62"/>
      <c r="Y1275" s="62"/>
      <c r="Z1275" s="62"/>
      <c r="AA1275" s="62"/>
      <c r="AB1275" s="98"/>
      <c r="AC1275" s="62"/>
      <c r="AD1275" s="62"/>
      <c r="AE1275" s="62"/>
      <c r="AF1275" s="62"/>
      <c r="AG1275" s="66"/>
      <c r="AH1275" s="62"/>
      <c r="AI1275" s="62"/>
      <c r="AJ1275" s="62"/>
      <c r="AK1275" s="62"/>
      <c r="AL1275" s="66"/>
      <c r="AM1275" s="62"/>
      <c r="AN1275" s="62"/>
      <c r="AO1275" s="62"/>
      <c r="AP1275" s="62"/>
      <c r="AQ1275" s="66"/>
      <c r="AR1275" s="62"/>
      <c r="AS1275" s="62"/>
      <c r="AT1275" s="62"/>
      <c r="AU1275" s="62"/>
      <c r="AV1275" s="66"/>
      <c r="AW1275" s="97"/>
    </row>
    <row r="1276" spans="23:49" x14ac:dyDescent="0.15">
      <c r="W1276" s="12"/>
      <c r="X1276" s="62"/>
      <c r="Y1276" s="62"/>
      <c r="Z1276" s="62"/>
      <c r="AA1276" s="62"/>
      <c r="AB1276" s="98"/>
      <c r="AC1276" s="62"/>
      <c r="AD1276" s="62"/>
      <c r="AE1276" s="62"/>
      <c r="AF1276" s="62"/>
      <c r="AG1276" s="66"/>
      <c r="AH1276" s="62"/>
      <c r="AI1276" s="62"/>
      <c r="AJ1276" s="62"/>
      <c r="AK1276" s="62"/>
      <c r="AL1276" s="66"/>
      <c r="AM1276" s="62"/>
      <c r="AN1276" s="62"/>
      <c r="AO1276" s="62"/>
      <c r="AP1276" s="62"/>
      <c r="AQ1276" s="66"/>
      <c r="AR1276" s="62"/>
      <c r="AS1276" s="62"/>
      <c r="AT1276" s="62"/>
      <c r="AU1276" s="62"/>
      <c r="AV1276" s="66"/>
      <c r="AW1276" s="97"/>
    </row>
    <row r="1277" spans="23:49" x14ac:dyDescent="0.15">
      <c r="W1277" s="12"/>
      <c r="X1277" s="62"/>
      <c r="Y1277" s="62"/>
      <c r="Z1277" s="62"/>
      <c r="AA1277" s="62"/>
      <c r="AB1277" s="98"/>
      <c r="AC1277" s="62"/>
      <c r="AD1277" s="62"/>
      <c r="AE1277" s="62"/>
      <c r="AF1277" s="62"/>
      <c r="AG1277" s="66"/>
      <c r="AH1277" s="62"/>
      <c r="AI1277" s="62"/>
      <c r="AJ1277" s="62"/>
      <c r="AK1277" s="62"/>
      <c r="AL1277" s="66"/>
      <c r="AM1277" s="62"/>
      <c r="AN1277" s="62"/>
      <c r="AO1277" s="62"/>
      <c r="AP1277" s="62"/>
      <c r="AQ1277" s="66"/>
      <c r="AR1277" s="62"/>
      <c r="AS1277" s="62"/>
      <c r="AT1277" s="62"/>
      <c r="AU1277" s="62"/>
      <c r="AV1277" s="66"/>
      <c r="AW1277" s="97"/>
    </row>
    <row r="1278" spans="23:49" x14ac:dyDescent="0.15">
      <c r="W1278" s="12"/>
      <c r="X1278" s="62"/>
      <c r="Y1278" s="62"/>
      <c r="Z1278" s="62"/>
      <c r="AA1278" s="62"/>
      <c r="AB1278" s="98"/>
      <c r="AC1278" s="62"/>
      <c r="AD1278" s="62"/>
      <c r="AE1278" s="62"/>
      <c r="AF1278" s="62"/>
      <c r="AG1278" s="66"/>
      <c r="AH1278" s="62"/>
      <c r="AI1278" s="62"/>
      <c r="AJ1278" s="62"/>
      <c r="AK1278" s="62"/>
      <c r="AL1278" s="66"/>
      <c r="AM1278" s="62"/>
      <c r="AN1278" s="62"/>
      <c r="AO1278" s="62"/>
      <c r="AP1278" s="62"/>
      <c r="AQ1278" s="66"/>
      <c r="AR1278" s="62"/>
      <c r="AS1278" s="62"/>
      <c r="AT1278" s="62"/>
      <c r="AU1278" s="62"/>
      <c r="AV1278" s="66"/>
      <c r="AW1278" s="97"/>
    </row>
    <row r="1279" spans="23:49" x14ac:dyDescent="0.15">
      <c r="W1279" s="12"/>
      <c r="X1279" s="62"/>
      <c r="Y1279" s="62"/>
      <c r="Z1279" s="62"/>
      <c r="AA1279" s="62"/>
      <c r="AB1279" s="98"/>
      <c r="AC1279" s="62"/>
      <c r="AD1279" s="62"/>
      <c r="AE1279" s="62"/>
      <c r="AF1279" s="62"/>
      <c r="AG1279" s="66"/>
      <c r="AH1279" s="62"/>
      <c r="AI1279" s="62"/>
      <c r="AJ1279" s="62"/>
      <c r="AK1279" s="62"/>
      <c r="AL1279" s="66"/>
      <c r="AM1279" s="62"/>
      <c r="AN1279" s="62"/>
      <c r="AO1279" s="62"/>
      <c r="AP1279" s="62"/>
      <c r="AQ1279" s="66"/>
      <c r="AR1279" s="62"/>
      <c r="AS1279" s="62"/>
      <c r="AT1279" s="62"/>
      <c r="AU1279" s="62"/>
      <c r="AV1279" s="66"/>
      <c r="AW1279" s="97"/>
    </row>
    <row r="1280" spans="23:49" x14ac:dyDescent="0.15">
      <c r="W1280" s="12"/>
      <c r="X1280" s="62"/>
      <c r="Y1280" s="62"/>
      <c r="Z1280" s="62"/>
      <c r="AA1280" s="62"/>
      <c r="AB1280" s="98"/>
      <c r="AC1280" s="62"/>
      <c r="AD1280" s="62"/>
      <c r="AE1280" s="62"/>
      <c r="AF1280" s="62"/>
      <c r="AG1280" s="66"/>
      <c r="AH1280" s="62"/>
      <c r="AI1280" s="62"/>
      <c r="AJ1280" s="62"/>
      <c r="AK1280" s="62"/>
      <c r="AL1280" s="66"/>
      <c r="AM1280" s="62"/>
      <c r="AN1280" s="62"/>
      <c r="AO1280" s="62"/>
      <c r="AP1280" s="62"/>
      <c r="AQ1280" s="66"/>
      <c r="AR1280" s="62"/>
      <c r="AS1280" s="62"/>
      <c r="AT1280" s="62"/>
      <c r="AU1280" s="62"/>
      <c r="AV1280" s="66"/>
      <c r="AW1280" s="97"/>
    </row>
    <row r="1281" spans="23:49" x14ac:dyDescent="0.15">
      <c r="W1281" s="12"/>
      <c r="X1281" s="62"/>
      <c r="Y1281" s="62"/>
      <c r="Z1281" s="62"/>
      <c r="AA1281" s="62"/>
      <c r="AB1281" s="98"/>
      <c r="AC1281" s="62"/>
      <c r="AD1281" s="62"/>
      <c r="AE1281" s="62"/>
      <c r="AF1281" s="62"/>
      <c r="AG1281" s="66"/>
      <c r="AH1281" s="62"/>
      <c r="AI1281" s="62"/>
      <c r="AJ1281" s="62"/>
      <c r="AK1281" s="62"/>
      <c r="AL1281" s="66"/>
      <c r="AM1281" s="62"/>
      <c r="AN1281" s="62"/>
      <c r="AO1281" s="62"/>
      <c r="AP1281" s="62"/>
      <c r="AQ1281" s="66"/>
      <c r="AR1281" s="62"/>
      <c r="AS1281" s="62"/>
      <c r="AT1281" s="62"/>
      <c r="AU1281" s="62"/>
      <c r="AV1281" s="66"/>
      <c r="AW1281" s="97"/>
    </row>
    <row r="1282" spans="23:49" x14ac:dyDescent="0.15">
      <c r="W1282" s="12"/>
      <c r="X1282" s="62"/>
      <c r="Y1282" s="62"/>
      <c r="Z1282" s="62"/>
      <c r="AA1282" s="62"/>
      <c r="AB1282" s="98"/>
      <c r="AC1282" s="62"/>
      <c r="AD1282" s="62"/>
      <c r="AE1282" s="62"/>
      <c r="AF1282" s="62"/>
      <c r="AG1282" s="66"/>
      <c r="AH1282" s="62"/>
      <c r="AI1282" s="62"/>
      <c r="AJ1282" s="62"/>
      <c r="AK1282" s="62"/>
      <c r="AL1282" s="66"/>
      <c r="AM1282" s="62"/>
      <c r="AN1282" s="62"/>
      <c r="AO1282" s="62"/>
      <c r="AP1282" s="62"/>
      <c r="AQ1282" s="66"/>
      <c r="AR1282" s="62"/>
      <c r="AS1282" s="62"/>
      <c r="AT1282" s="62"/>
      <c r="AU1282" s="62"/>
      <c r="AV1282" s="66"/>
      <c r="AW1282" s="97"/>
    </row>
    <row r="1283" spans="23:49" x14ac:dyDescent="0.15">
      <c r="W1283" s="12"/>
      <c r="X1283" s="62"/>
      <c r="Y1283" s="62"/>
      <c r="Z1283" s="62"/>
      <c r="AA1283" s="62"/>
      <c r="AB1283" s="98"/>
      <c r="AC1283" s="62"/>
      <c r="AD1283" s="62"/>
      <c r="AE1283" s="62"/>
      <c r="AF1283" s="62"/>
      <c r="AG1283" s="66"/>
      <c r="AH1283" s="62"/>
      <c r="AI1283" s="62"/>
      <c r="AJ1283" s="62"/>
      <c r="AK1283" s="62"/>
      <c r="AL1283" s="66"/>
      <c r="AM1283" s="62"/>
      <c r="AN1283" s="62"/>
      <c r="AO1283" s="62"/>
      <c r="AP1283" s="62"/>
      <c r="AQ1283" s="66"/>
      <c r="AR1283" s="62"/>
      <c r="AS1283" s="62"/>
      <c r="AT1283" s="62"/>
      <c r="AU1283" s="62"/>
      <c r="AV1283" s="66"/>
      <c r="AW1283" s="97"/>
    </row>
    <row r="1284" spans="23:49" x14ac:dyDescent="0.15">
      <c r="W1284" s="12"/>
      <c r="X1284" s="62"/>
      <c r="Y1284" s="62"/>
      <c r="Z1284" s="62"/>
      <c r="AA1284" s="62"/>
      <c r="AB1284" s="98"/>
      <c r="AC1284" s="62"/>
      <c r="AD1284" s="62"/>
      <c r="AE1284" s="62"/>
      <c r="AF1284" s="62"/>
      <c r="AG1284" s="66"/>
      <c r="AH1284" s="62"/>
      <c r="AI1284" s="62"/>
      <c r="AJ1284" s="62"/>
      <c r="AK1284" s="62"/>
      <c r="AL1284" s="66"/>
      <c r="AM1284" s="62"/>
      <c r="AN1284" s="62"/>
      <c r="AO1284" s="62"/>
      <c r="AP1284" s="62"/>
      <c r="AQ1284" s="66"/>
      <c r="AR1284" s="62"/>
      <c r="AS1284" s="62"/>
      <c r="AT1284" s="62"/>
      <c r="AU1284" s="62"/>
      <c r="AV1284" s="66"/>
      <c r="AW1284" s="97"/>
    </row>
    <row r="1285" spans="23:49" x14ac:dyDescent="0.15">
      <c r="W1285" s="12"/>
      <c r="X1285" s="62"/>
      <c r="Y1285" s="62"/>
      <c r="Z1285" s="62"/>
      <c r="AA1285" s="62"/>
      <c r="AB1285" s="98"/>
      <c r="AC1285" s="62"/>
      <c r="AD1285" s="62"/>
      <c r="AE1285" s="62"/>
      <c r="AF1285" s="62"/>
      <c r="AG1285" s="66"/>
      <c r="AH1285" s="62"/>
      <c r="AI1285" s="62"/>
      <c r="AJ1285" s="62"/>
      <c r="AK1285" s="62"/>
      <c r="AL1285" s="66"/>
      <c r="AM1285" s="62"/>
      <c r="AN1285" s="62"/>
      <c r="AO1285" s="62"/>
      <c r="AP1285" s="62"/>
      <c r="AQ1285" s="66"/>
      <c r="AR1285" s="62"/>
      <c r="AS1285" s="62"/>
      <c r="AT1285" s="62"/>
      <c r="AU1285" s="62"/>
      <c r="AV1285" s="66"/>
      <c r="AW1285" s="97"/>
    </row>
    <row r="1286" spans="23:49" x14ac:dyDescent="0.15">
      <c r="W1286" s="12"/>
      <c r="X1286" s="62"/>
      <c r="Y1286" s="62"/>
      <c r="Z1286" s="62"/>
      <c r="AA1286" s="62"/>
      <c r="AB1286" s="98"/>
      <c r="AC1286" s="62"/>
      <c r="AD1286" s="62"/>
      <c r="AE1286" s="62"/>
      <c r="AF1286" s="62"/>
      <c r="AG1286" s="66"/>
      <c r="AH1286" s="62"/>
      <c r="AI1286" s="62"/>
      <c r="AJ1286" s="62"/>
      <c r="AK1286" s="62"/>
      <c r="AL1286" s="66"/>
      <c r="AM1286" s="62"/>
      <c r="AN1286" s="62"/>
      <c r="AO1286" s="62"/>
      <c r="AP1286" s="62"/>
      <c r="AQ1286" s="66"/>
      <c r="AR1286" s="62"/>
      <c r="AS1286" s="62"/>
      <c r="AT1286" s="62"/>
      <c r="AU1286" s="62"/>
      <c r="AV1286" s="66"/>
      <c r="AW1286" s="97"/>
    </row>
    <row r="1287" spans="23:49" x14ac:dyDescent="0.15">
      <c r="W1287" s="12"/>
      <c r="X1287" s="62"/>
      <c r="Y1287" s="62"/>
      <c r="Z1287" s="62"/>
      <c r="AA1287" s="62"/>
      <c r="AB1287" s="98"/>
      <c r="AC1287" s="62"/>
      <c r="AD1287" s="62"/>
      <c r="AE1287" s="62"/>
      <c r="AF1287" s="62"/>
      <c r="AG1287" s="66"/>
      <c r="AH1287" s="62"/>
      <c r="AI1287" s="62"/>
      <c r="AJ1287" s="62"/>
      <c r="AK1287" s="62"/>
      <c r="AL1287" s="66"/>
      <c r="AM1287" s="62"/>
      <c r="AN1287" s="62"/>
      <c r="AO1287" s="62"/>
      <c r="AP1287" s="62"/>
      <c r="AQ1287" s="66"/>
      <c r="AR1287" s="62"/>
      <c r="AS1287" s="62"/>
      <c r="AT1287" s="62"/>
      <c r="AU1287" s="62"/>
      <c r="AV1287" s="66"/>
      <c r="AW1287" s="97"/>
    </row>
    <row r="1288" spans="23:49" x14ac:dyDescent="0.15">
      <c r="W1288" s="12"/>
      <c r="X1288" s="62"/>
      <c r="Y1288" s="62"/>
      <c r="Z1288" s="62"/>
      <c r="AA1288" s="62"/>
      <c r="AB1288" s="98"/>
      <c r="AC1288" s="62"/>
      <c r="AD1288" s="62"/>
      <c r="AE1288" s="62"/>
      <c r="AF1288" s="62"/>
      <c r="AG1288" s="66"/>
      <c r="AH1288" s="62"/>
      <c r="AI1288" s="62"/>
      <c r="AJ1288" s="62"/>
      <c r="AK1288" s="62"/>
      <c r="AL1288" s="66"/>
      <c r="AM1288" s="62"/>
      <c r="AN1288" s="62"/>
      <c r="AO1288" s="62"/>
      <c r="AP1288" s="62"/>
      <c r="AQ1288" s="66"/>
      <c r="AR1288" s="62"/>
      <c r="AS1288" s="62"/>
      <c r="AT1288" s="62"/>
      <c r="AU1288" s="62"/>
      <c r="AV1288" s="66"/>
      <c r="AW1288" s="97"/>
    </row>
    <row r="1289" spans="23:49" x14ac:dyDescent="0.15">
      <c r="W1289" s="12"/>
      <c r="X1289" s="62"/>
      <c r="Y1289" s="62"/>
      <c r="Z1289" s="62"/>
      <c r="AA1289" s="62"/>
      <c r="AB1289" s="98"/>
      <c r="AC1289" s="62"/>
      <c r="AD1289" s="62"/>
      <c r="AE1289" s="62"/>
      <c r="AF1289" s="62"/>
      <c r="AG1289" s="66"/>
      <c r="AH1289" s="62"/>
      <c r="AI1289" s="62"/>
      <c r="AJ1289" s="62"/>
      <c r="AK1289" s="62"/>
      <c r="AL1289" s="66"/>
      <c r="AM1289" s="62"/>
      <c r="AN1289" s="62"/>
      <c r="AO1289" s="62"/>
      <c r="AP1289" s="62"/>
      <c r="AQ1289" s="66"/>
      <c r="AR1289" s="62"/>
      <c r="AS1289" s="62"/>
      <c r="AT1289" s="62"/>
      <c r="AU1289" s="62"/>
      <c r="AV1289" s="66"/>
      <c r="AW1289" s="97"/>
    </row>
    <row r="1290" spans="23:49" x14ac:dyDescent="0.15">
      <c r="W1290" s="12"/>
      <c r="X1290" s="62"/>
      <c r="Y1290" s="62"/>
      <c r="Z1290" s="62"/>
      <c r="AA1290" s="62"/>
      <c r="AB1290" s="98"/>
      <c r="AC1290" s="62"/>
      <c r="AD1290" s="62"/>
      <c r="AE1290" s="62"/>
      <c r="AF1290" s="62"/>
      <c r="AG1290" s="66"/>
      <c r="AH1290" s="62"/>
      <c r="AI1290" s="62"/>
      <c r="AJ1290" s="62"/>
      <c r="AK1290" s="62"/>
      <c r="AL1290" s="66"/>
      <c r="AM1290" s="62"/>
      <c r="AN1290" s="62"/>
      <c r="AO1290" s="62"/>
      <c r="AP1290" s="62"/>
      <c r="AQ1290" s="66"/>
      <c r="AR1290" s="62"/>
      <c r="AS1290" s="62"/>
      <c r="AT1290" s="62"/>
      <c r="AU1290" s="62"/>
      <c r="AV1290" s="66"/>
      <c r="AW1290" s="97"/>
    </row>
    <row r="1291" spans="23:49" x14ac:dyDescent="0.15">
      <c r="W1291" s="12"/>
      <c r="X1291" s="62"/>
      <c r="Y1291" s="62"/>
      <c r="Z1291" s="62"/>
      <c r="AA1291" s="62"/>
      <c r="AB1291" s="98"/>
      <c r="AC1291" s="62"/>
      <c r="AD1291" s="62"/>
      <c r="AE1291" s="62"/>
      <c r="AF1291" s="62"/>
      <c r="AG1291" s="66"/>
      <c r="AH1291" s="62"/>
      <c r="AI1291" s="62"/>
      <c r="AJ1291" s="62"/>
      <c r="AK1291" s="62"/>
      <c r="AL1291" s="66"/>
      <c r="AM1291" s="62"/>
      <c r="AN1291" s="62"/>
      <c r="AO1291" s="62"/>
      <c r="AP1291" s="62"/>
      <c r="AQ1291" s="66"/>
      <c r="AR1291" s="62"/>
      <c r="AS1291" s="62"/>
      <c r="AT1291" s="62"/>
      <c r="AU1291" s="62"/>
      <c r="AV1291" s="66"/>
      <c r="AW1291" s="97"/>
    </row>
    <row r="1292" spans="23:49" x14ac:dyDescent="0.15">
      <c r="W1292" s="12"/>
      <c r="X1292" s="62"/>
      <c r="Y1292" s="62"/>
      <c r="Z1292" s="62"/>
      <c r="AA1292" s="62"/>
      <c r="AB1292" s="98"/>
      <c r="AC1292" s="62"/>
      <c r="AD1292" s="62"/>
      <c r="AE1292" s="62"/>
      <c r="AF1292" s="62"/>
      <c r="AG1292" s="66"/>
      <c r="AH1292" s="62"/>
      <c r="AI1292" s="62"/>
      <c r="AJ1292" s="62"/>
      <c r="AK1292" s="62"/>
      <c r="AL1292" s="66"/>
      <c r="AM1292" s="62"/>
      <c r="AN1292" s="62"/>
      <c r="AO1292" s="62"/>
      <c r="AP1292" s="62"/>
      <c r="AQ1292" s="66"/>
      <c r="AR1292" s="62"/>
      <c r="AS1292" s="62"/>
      <c r="AT1292" s="62"/>
      <c r="AU1292" s="62"/>
      <c r="AV1292" s="66"/>
      <c r="AW1292" s="97"/>
    </row>
    <row r="1293" spans="23:49" x14ac:dyDescent="0.15">
      <c r="W1293" s="12"/>
      <c r="X1293" s="62"/>
      <c r="Y1293" s="62"/>
      <c r="Z1293" s="62"/>
      <c r="AA1293" s="62"/>
      <c r="AB1293" s="98"/>
      <c r="AC1293" s="62"/>
      <c r="AD1293" s="62"/>
      <c r="AE1293" s="62"/>
      <c r="AF1293" s="62"/>
      <c r="AG1293" s="66"/>
      <c r="AH1293" s="62"/>
      <c r="AI1293" s="62"/>
      <c r="AJ1293" s="62"/>
      <c r="AK1293" s="62"/>
      <c r="AL1293" s="66"/>
      <c r="AM1293" s="62"/>
      <c r="AN1293" s="62"/>
      <c r="AO1293" s="62"/>
      <c r="AP1293" s="62"/>
      <c r="AQ1293" s="66"/>
      <c r="AR1293" s="62"/>
      <c r="AS1293" s="62"/>
      <c r="AT1293" s="62"/>
      <c r="AU1293" s="62"/>
      <c r="AV1293" s="66"/>
      <c r="AW1293" s="97"/>
    </row>
    <row r="1294" spans="23:49" x14ac:dyDescent="0.15">
      <c r="W1294" s="12"/>
      <c r="X1294" s="62"/>
      <c r="Y1294" s="62"/>
      <c r="Z1294" s="62"/>
      <c r="AA1294" s="62"/>
      <c r="AB1294" s="98"/>
      <c r="AC1294" s="62"/>
      <c r="AD1294" s="62"/>
      <c r="AE1294" s="62"/>
      <c r="AF1294" s="62"/>
      <c r="AG1294" s="66"/>
      <c r="AH1294" s="62"/>
      <c r="AI1294" s="62"/>
      <c r="AJ1294" s="62"/>
      <c r="AK1294" s="62"/>
      <c r="AL1294" s="66"/>
      <c r="AM1294" s="62"/>
      <c r="AN1294" s="62"/>
      <c r="AO1294" s="62"/>
      <c r="AP1294" s="62"/>
      <c r="AQ1294" s="66"/>
      <c r="AR1294" s="62"/>
      <c r="AS1294" s="62"/>
      <c r="AT1294" s="62"/>
      <c r="AU1294" s="62"/>
      <c r="AV1294" s="66"/>
      <c r="AW1294" s="97"/>
    </row>
    <row r="1295" spans="23:49" x14ac:dyDescent="0.15">
      <c r="W1295" s="12"/>
      <c r="X1295" s="62"/>
      <c r="Y1295" s="62"/>
      <c r="Z1295" s="62"/>
      <c r="AA1295" s="62"/>
      <c r="AB1295" s="98"/>
      <c r="AC1295" s="62"/>
      <c r="AD1295" s="62"/>
      <c r="AE1295" s="62"/>
      <c r="AF1295" s="62"/>
      <c r="AG1295" s="66"/>
      <c r="AH1295" s="62"/>
      <c r="AI1295" s="62"/>
      <c r="AJ1295" s="62"/>
      <c r="AK1295" s="62"/>
      <c r="AL1295" s="66"/>
      <c r="AM1295" s="62"/>
      <c r="AN1295" s="62"/>
      <c r="AO1295" s="62"/>
      <c r="AP1295" s="62"/>
      <c r="AQ1295" s="66"/>
      <c r="AR1295" s="62"/>
      <c r="AS1295" s="62"/>
      <c r="AT1295" s="62"/>
      <c r="AU1295" s="62"/>
      <c r="AV1295" s="66"/>
      <c r="AW1295" s="97"/>
    </row>
    <row r="1296" spans="23:49" x14ac:dyDescent="0.15">
      <c r="W1296" s="12"/>
      <c r="X1296" s="62"/>
      <c r="Y1296" s="62"/>
      <c r="Z1296" s="62"/>
      <c r="AA1296" s="62"/>
      <c r="AB1296" s="98"/>
      <c r="AC1296" s="62"/>
      <c r="AD1296" s="62"/>
      <c r="AE1296" s="62"/>
      <c r="AF1296" s="62"/>
      <c r="AG1296" s="66"/>
      <c r="AH1296" s="62"/>
      <c r="AI1296" s="62"/>
      <c r="AJ1296" s="62"/>
      <c r="AK1296" s="62"/>
      <c r="AL1296" s="66"/>
      <c r="AM1296" s="62"/>
      <c r="AN1296" s="62"/>
      <c r="AO1296" s="62"/>
      <c r="AP1296" s="62"/>
      <c r="AQ1296" s="66"/>
      <c r="AR1296" s="62"/>
      <c r="AS1296" s="62"/>
      <c r="AT1296" s="62"/>
      <c r="AU1296" s="62"/>
      <c r="AV1296" s="66"/>
      <c r="AW1296" s="97"/>
    </row>
    <row r="1297" spans="23:49" x14ac:dyDescent="0.15">
      <c r="W1297" s="12"/>
      <c r="X1297" s="62"/>
      <c r="Y1297" s="62"/>
      <c r="Z1297" s="62"/>
      <c r="AA1297" s="62"/>
      <c r="AB1297" s="98"/>
      <c r="AC1297" s="62"/>
      <c r="AD1297" s="62"/>
      <c r="AE1297" s="62"/>
      <c r="AF1297" s="62"/>
      <c r="AG1297" s="66"/>
      <c r="AH1297" s="62"/>
      <c r="AI1297" s="62"/>
      <c r="AJ1297" s="62"/>
      <c r="AK1297" s="62"/>
      <c r="AL1297" s="66"/>
      <c r="AM1297" s="62"/>
      <c r="AN1297" s="62"/>
      <c r="AO1297" s="62"/>
      <c r="AP1297" s="62"/>
      <c r="AQ1297" s="66"/>
      <c r="AR1297" s="62"/>
      <c r="AS1297" s="62"/>
      <c r="AT1297" s="62"/>
      <c r="AU1297" s="62"/>
      <c r="AV1297" s="66"/>
      <c r="AW1297" s="97"/>
    </row>
    <row r="1298" spans="23:49" x14ac:dyDescent="0.15">
      <c r="W1298" s="12"/>
      <c r="X1298" s="62"/>
      <c r="Y1298" s="62"/>
      <c r="Z1298" s="62"/>
      <c r="AA1298" s="62"/>
      <c r="AB1298" s="98"/>
      <c r="AC1298" s="62"/>
      <c r="AD1298" s="62"/>
      <c r="AE1298" s="62"/>
      <c r="AF1298" s="62"/>
      <c r="AG1298" s="66"/>
      <c r="AH1298" s="62"/>
      <c r="AI1298" s="62"/>
      <c r="AJ1298" s="62"/>
      <c r="AK1298" s="62"/>
      <c r="AL1298" s="66"/>
      <c r="AM1298" s="62"/>
      <c r="AN1298" s="62"/>
      <c r="AO1298" s="62"/>
      <c r="AP1298" s="62"/>
      <c r="AQ1298" s="66"/>
      <c r="AR1298" s="62"/>
      <c r="AS1298" s="62"/>
      <c r="AT1298" s="62"/>
      <c r="AU1298" s="62"/>
      <c r="AV1298" s="66"/>
      <c r="AW1298" s="97"/>
    </row>
    <row r="1299" spans="23:49" x14ac:dyDescent="0.15">
      <c r="W1299" s="12"/>
      <c r="X1299" s="62"/>
      <c r="Y1299" s="62"/>
      <c r="Z1299" s="62"/>
      <c r="AA1299" s="62"/>
      <c r="AB1299" s="98"/>
      <c r="AC1299" s="62"/>
      <c r="AD1299" s="62"/>
      <c r="AE1299" s="62"/>
      <c r="AF1299" s="62"/>
      <c r="AG1299" s="66"/>
      <c r="AH1299" s="62"/>
      <c r="AI1299" s="62"/>
      <c r="AJ1299" s="62"/>
      <c r="AK1299" s="62"/>
      <c r="AL1299" s="66"/>
      <c r="AM1299" s="62"/>
      <c r="AN1299" s="62"/>
      <c r="AO1299" s="62"/>
      <c r="AP1299" s="62"/>
      <c r="AQ1299" s="66"/>
      <c r="AR1299" s="62"/>
      <c r="AS1299" s="62"/>
      <c r="AT1299" s="62"/>
      <c r="AU1299" s="62"/>
      <c r="AV1299" s="66"/>
      <c r="AW1299" s="97"/>
    </row>
    <row r="1300" spans="23:49" x14ac:dyDescent="0.15">
      <c r="W1300" s="12"/>
      <c r="X1300" s="62"/>
      <c r="Y1300" s="62"/>
      <c r="Z1300" s="62"/>
      <c r="AA1300" s="62"/>
      <c r="AB1300" s="98"/>
      <c r="AC1300" s="62"/>
      <c r="AD1300" s="62"/>
      <c r="AE1300" s="62"/>
      <c r="AF1300" s="62"/>
      <c r="AG1300" s="66"/>
      <c r="AH1300" s="62"/>
      <c r="AI1300" s="62"/>
      <c r="AJ1300" s="62"/>
      <c r="AK1300" s="62"/>
      <c r="AL1300" s="66"/>
      <c r="AM1300" s="62"/>
      <c r="AN1300" s="62"/>
      <c r="AO1300" s="62"/>
      <c r="AP1300" s="62"/>
      <c r="AQ1300" s="66"/>
      <c r="AR1300" s="62"/>
      <c r="AS1300" s="62"/>
      <c r="AT1300" s="62"/>
      <c r="AU1300" s="62"/>
      <c r="AV1300" s="66"/>
      <c r="AW1300" s="97"/>
    </row>
    <row r="1301" spans="23:49" x14ac:dyDescent="0.15">
      <c r="W1301" s="12"/>
      <c r="X1301" s="62"/>
      <c r="Y1301" s="62"/>
      <c r="Z1301" s="62"/>
      <c r="AA1301" s="62"/>
      <c r="AB1301" s="98"/>
      <c r="AC1301" s="62"/>
      <c r="AD1301" s="62"/>
      <c r="AE1301" s="62"/>
      <c r="AF1301" s="62"/>
      <c r="AG1301" s="66"/>
      <c r="AH1301" s="62"/>
      <c r="AI1301" s="62"/>
      <c r="AJ1301" s="62"/>
      <c r="AK1301" s="62"/>
      <c r="AL1301" s="66"/>
      <c r="AM1301" s="62"/>
      <c r="AN1301" s="62"/>
      <c r="AO1301" s="62"/>
      <c r="AP1301" s="62"/>
      <c r="AQ1301" s="66"/>
      <c r="AR1301" s="62"/>
      <c r="AS1301" s="62"/>
      <c r="AT1301" s="62"/>
      <c r="AU1301" s="62"/>
      <c r="AV1301" s="66"/>
      <c r="AW1301" s="97"/>
    </row>
    <row r="1302" spans="23:49" x14ac:dyDescent="0.15">
      <c r="W1302" s="12"/>
      <c r="X1302" s="62"/>
      <c r="Y1302" s="62"/>
      <c r="Z1302" s="62"/>
      <c r="AA1302" s="62"/>
      <c r="AB1302" s="98"/>
      <c r="AC1302" s="62"/>
      <c r="AD1302" s="62"/>
      <c r="AE1302" s="62"/>
      <c r="AF1302" s="62"/>
      <c r="AG1302" s="66"/>
      <c r="AH1302" s="62"/>
      <c r="AI1302" s="62"/>
      <c r="AJ1302" s="62"/>
      <c r="AK1302" s="62"/>
      <c r="AL1302" s="66"/>
      <c r="AM1302" s="62"/>
      <c r="AN1302" s="62"/>
      <c r="AO1302" s="62"/>
      <c r="AP1302" s="62"/>
      <c r="AQ1302" s="66"/>
      <c r="AR1302" s="62"/>
      <c r="AS1302" s="62"/>
      <c r="AT1302" s="62"/>
      <c r="AU1302" s="62"/>
      <c r="AV1302" s="66"/>
      <c r="AW1302" s="97"/>
    </row>
    <row r="1303" spans="23:49" x14ac:dyDescent="0.15">
      <c r="W1303" s="12"/>
      <c r="X1303" s="62"/>
      <c r="Y1303" s="62"/>
      <c r="Z1303" s="62"/>
      <c r="AA1303" s="62"/>
      <c r="AB1303" s="98"/>
      <c r="AC1303" s="62"/>
      <c r="AD1303" s="62"/>
      <c r="AE1303" s="62"/>
      <c r="AF1303" s="62"/>
      <c r="AG1303" s="66"/>
      <c r="AH1303" s="62"/>
      <c r="AI1303" s="62"/>
      <c r="AJ1303" s="62"/>
      <c r="AK1303" s="62"/>
      <c r="AL1303" s="66"/>
      <c r="AM1303" s="62"/>
      <c r="AN1303" s="62"/>
      <c r="AO1303" s="62"/>
      <c r="AP1303" s="62"/>
      <c r="AQ1303" s="66"/>
      <c r="AR1303" s="62"/>
      <c r="AS1303" s="62"/>
      <c r="AT1303" s="62"/>
      <c r="AU1303" s="62"/>
      <c r="AV1303" s="66"/>
      <c r="AW1303" s="97"/>
    </row>
    <row r="1304" spans="23:49" x14ac:dyDescent="0.15">
      <c r="W1304" s="12"/>
      <c r="X1304" s="62"/>
      <c r="Y1304" s="62"/>
      <c r="Z1304" s="62"/>
      <c r="AA1304" s="62"/>
      <c r="AB1304" s="98"/>
      <c r="AC1304" s="62"/>
      <c r="AD1304" s="62"/>
      <c r="AE1304" s="62"/>
      <c r="AF1304" s="62"/>
      <c r="AG1304" s="66"/>
      <c r="AH1304" s="62"/>
      <c r="AI1304" s="62"/>
      <c r="AJ1304" s="62"/>
      <c r="AK1304" s="62"/>
      <c r="AL1304" s="66"/>
      <c r="AM1304" s="62"/>
      <c r="AN1304" s="62"/>
      <c r="AO1304" s="62"/>
      <c r="AP1304" s="62"/>
      <c r="AQ1304" s="66"/>
      <c r="AR1304" s="62"/>
      <c r="AS1304" s="62"/>
      <c r="AT1304" s="62"/>
      <c r="AU1304" s="62"/>
      <c r="AV1304" s="66"/>
      <c r="AW1304" s="97"/>
    </row>
    <row r="1305" spans="23:49" x14ac:dyDescent="0.15">
      <c r="W1305" s="12"/>
      <c r="X1305" s="62"/>
      <c r="Y1305" s="62"/>
      <c r="Z1305" s="62"/>
      <c r="AA1305" s="62"/>
      <c r="AB1305" s="98"/>
      <c r="AC1305" s="62"/>
      <c r="AD1305" s="62"/>
      <c r="AE1305" s="62"/>
      <c r="AF1305" s="62"/>
      <c r="AG1305" s="66"/>
      <c r="AH1305" s="62"/>
      <c r="AI1305" s="62"/>
      <c r="AJ1305" s="62"/>
      <c r="AK1305" s="62"/>
      <c r="AL1305" s="66"/>
      <c r="AM1305" s="62"/>
      <c r="AN1305" s="62"/>
      <c r="AO1305" s="62"/>
      <c r="AP1305" s="62"/>
      <c r="AQ1305" s="66"/>
      <c r="AR1305" s="62"/>
      <c r="AS1305" s="62"/>
      <c r="AT1305" s="62"/>
      <c r="AU1305" s="62"/>
      <c r="AV1305" s="66"/>
      <c r="AW1305" s="97"/>
    </row>
    <row r="1306" spans="23:49" x14ac:dyDescent="0.15">
      <c r="W1306" s="12"/>
      <c r="X1306" s="62"/>
      <c r="Y1306" s="62"/>
      <c r="Z1306" s="62"/>
      <c r="AA1306" s="62"/>
      <c r="AB1306" s="98"/>
      <c r="AC1306" s="62"/>
      <c r="AD1306" s="62"/>
      <c r="AE1306" s="62"/>
      <c r="AF1306" s="62"/>
      <c r="AG1306" s="66"/>
      <c r="AH1306" s="62"/>
      <c r="AI1306" s="62"/>
      <c r="AJ1306" s="62"/>
      <c r="AK1306" s="62"/>
      <c r="AL1306" s="66"/>
      <c r="AM1306" s="62"/>
      <c r="AN1306" s="62"/>
      <c r="AO1306" s="62"/>
      <c r="AP1306" s="62"/>
      <c r="AQ1306" s="66"/>
      <c r="AR1306" s="62"/>
      <c r="AS1306" s="62"/>
      <c r="AT1306" s="62"/>
      <c r="AU1306" s="62"/>
      <c r="AV1306" s="66"/>
      <c r="AW1306" s="97"/>
    </row>
    <row r="1307" spans="23:49" x14ac:dyDescent="0.15">
      <c r="W1307" s="12"/>
      <c r="X1307" s="62"/>
      <c r="Y1307" s="62"/>
      <c r="Z1307" s="62"/>
      <c r="AA1307" s="62"/>
      <c r="AB1307" s="98"/>
      <c r="AC1307" s="62"/>
      <c r="AD1307" s="62"/>
      <c r="AE1307" s="62"/>
      <c r="AF1307" s="62"/>
      <c r="AG1307" s="66"/>
      <c r="AH1307" s="62"/>
      <c r="AI1307" s="62"/>
      <c r="AJ1307" s="62"/>
      <c r="AK1307" s="62"/>
      <c r="AL1307" s="66"/>
      <c r="AM1307" s="62"/>
      <c r="AN1307" s="62"/>
      <c r="AO1307" s="62"/>
      <c r="AP1307" s="62"/>
      <c r="AQ1307" s="66"/>
      <c r="AR1307" s="62"/>
      <c r="AS1307" s="62"/>
      <c r="AT1307" s="62"/>
      <c r="AU1307" s="62"/>
      <c r="AV1307" s="66"/>
      <c r="AW1307" s="97"/>
    </row>
    <row r="1308" spans="23:49" x14ac:dyDescent="0.15">
      <c r="W1308" s="12"/>
      <c r="X1308" s="62"/>
      <c r="Y1308" s="62"/>
      <c r="Z1308" s="62"/>
      <c r="AA1308" s="62"/>
      <c r="AB1308" s="98"/>
      <c r="AC1308" s="62"/>
      <c r="AD1308" s="62"/>
      <c r="AE1308" s="62"/>
      <c r="AF1308" s="62"/>
      <c r="AG1308" s="66"/>
      <c r="AH1308" s="62"/>
      <c r="AI1308" s="62"/>
      <c r="AJ1308" s="62"/>
      <c r="AK1308" s="62"/>
      <c r="AL1308" s="66"/>
      <c r="AM1308" s="62"/>
      <c r="AN1308" s="62"/>
      <c r="AO1308" s="62"/>
      <c r="AP1308" s="62"/>
      <c r="AQ1308" s="66"/>
      <c r="AR1308" s="62"/>
      <c r="AS1308" s="62"/>
      <c r="AT1308" s="62"/>
      <c r="AU1308" s="62"/>
      <c r="AV1308" s="66"/>
      <c r="AW1308" s="97"/>
    </row>
    <row r="1309" spans="23:49" x14ac:dyDescent="0.15">
      <c r="W1309" s="12"/>
      <c r="X1309" s="62"/>
      <c r="Y1309" s="62"/>
      <c r="Z1309" s="62"/>
      <c r="AA1309" s="62"/>
      <c r="AB1309" s="98"/>
      <c r="AC1309" s="62"/>
      <c r="AD1309" s="62"/>
      <c r="AE1309" s="62"/>
      <c r="AF1309" s="62"/>
      <c r="AG1309" s="66"/>
      <c r="AH1309" s="62"/>
      <c r="AI1309" s="62"/>
      <c r="AJ1309" s="62"/>
      <c r="AK1309" s="62"/>
      <c r="AL1309" s="66"/>
      <c r="AM1309" s="62"/>
      <c r="AN1309" s="62"/>
      <c r="AO1309" s="62"/>
      <c r="AP1309" s="62"/>
      <c r="AQ1309" s="66"/>
      <c r="AR1309" s="62"/>
      <c r="AS1309" s="62"/>
      <c r="AT1309" s="62"/>
      <c r="AU1309" s="62"/>
      <c r="AV1309" s="66"/>
      <c r="AW1309" s="97"/>
    </row>
    <row r="1310" spans="23:49" x14ac:dyDescent="0.15">
      <c r="W1310" s="12"/>
      <c r="X1310" s="62"/>
      <c r="Y1310" s="62"/>
      <c r="Z1310" s="62"/>
      <c r="AA1310" s="62"/>
      <c r="AB1310" s="98"/>
      <c r="AC1310" s="62"/>
      <c r="AD1310" s="62"/>
      <c r="AE1310" s="62"/>
      <c r="AF1310" s="62"/>
      <c r="AG1310" s="66"/>
      <c r="AH1310" s="62"/>
      <c r="AI1310" s="62"/>
      <c r="AJ1310" s="62"/>
      <c r="AK1310" s="62"/>
      <c r="AL1310" s="66"/>
      <c r="AM1310" s="62"/>
      <c r="AN1310" s="62"/>
      <c r="AO1310" s="62"/>
      <c r="AP1310" s="62"/>
      <c r="AQ1310" s="66"/>
      <c r="AR1310" s="62"/>
      <c r="AS1310" s="62"/>
      <c r="AT1310" s="62"/>
      <c r="AU1310" s="62"/>
      <c r="AV1310" s="66"/>
      <c r="AW1310" s="97"/>
    </row>
    <row r="1311" spans="23:49" x14ac:dyDescent="0.15">
      <c r="W1311" s="12"/>
      <c r="X1311" s="62"/>
      <c r="Y1311" s="62"/>
      <c r="Z1311" s="62"/>
      <c r="AA1311" s="62"/>
      <c r="AB1311" s="98"/>
      <c r="AC1311" s="62"/>
      <c r="AD1311" s="62"/>
      <c r="AE1311" s="62"/>
      <c r="AF1311" s="62"/>
      <c r="AG1311" s="66"/>
      <c r="AH1311" s="62"/>
      <c r="AI1311" s="62"/>
      <c r="AJ1311" s="62"/>
      <c r="AK1311" s="62"/>
      <c r="AL1311" s="66"/>
      <c r="AM1311" s="62"/>
      <c r="AN1311" s="62"/>
      <c r="AO1311" s="62"/>
      <c r="AP1311" s="62"/>
      <c r="AQ1311" s="66"/>
      <c r="AR1311" s="62"/>
      <c r="AS1311" s="62"/>
      <c r="AT1311" s="62"/>
      <c r="AU1311" s="62"/>
      <c r="AV1311" s="66"/>
      <c r="AW1311" s="97"/>
    </row>
    <row r="1312" spans="23:49" x14ac:dyDescent="0.15">
      <c r="W1312" s="12"/>
      <c r="X1312" s="62"/>
      <c r="Y1312" s="62"/>
      <c r="Z1312" s="62"/>
      <c r="AA1312" s="62"/>
      <c r="AB1312" s="98"/>
      <c r="AC1312" s="62"/>
      <c r="AD1312" s="62"/>
      <c r="AE1312" s="62"/>
      <c r="AF1312" s="62"/>
      <c r="AG1312" s="66"/>
      <c r="AH1312" s="62"/>
      <c r="AI1312" s="62"/>
      <c r="AJ1312" s="62"/>
      <c r="AK1312" s="62"/>
      <c r="AL1312" s="66"/>
      <c r="AM1312" s="62"/>
      <c r="AN1312" s="62"/>
      <c r="AO1312" s="62"/>
      <c r="AP1312" s="62"/>
      <c r="AQ1312" s="66"/>
      <c r="AR1312" s="62"/>
      <c r="AS1312" s="62"/>
      <c r="AT1312" s="62"/>
      <c r="AU1312" s="62"/>
      <c r="AV1312" s="66"/>
      <c r="AW1312" s="97"/>
    </row>
    <row r="1313" spans="23:49" x14ac:dyDescent="0.15">
      <c r="W1313" s="12"/>
      <c r="X1313" s="62"/>
      <c r="Y1313" s="62"/>
      <c r="Z1313" s="62"/>
      <c r="AA1313" s="62"/>
      <c r="AB1313" s="98"/>
      <c r="AC1313" s="62"/>
      <c r="AD1313" s="62"/>
      <c r="AE1313" s="62"/>
      <c r="AF1313" s="62"/>
      <c r="AG1313" s="66"/>
      <c r="AH1313" s="62"/>
      <c r="AI1313" s="62"/>
      <c r="AJ1313" s="62"/>
      <c r="AK1313" s="62"/>
      <c r="AL1313" s="66"/>
      <c r="AM1313" s="62"/>
      <c r="AN1313" s="62"/>
      <c r="AO1313" s="62"/>
      <c r="AP1313" s="62"/>
      <c r="AQ1313" s="66"/>
      <c r="AR1313" s="62"/>
      <c r="AS1313" s="62"/>
      <c r="AT1313" s="62"/>
      <c r="AU1313" s="62"/>
      <c r="AV1313" s="66"/>
      <c r="AW1313" s="97"/>
    </row>
    <row r="1314" spans="23:49" x14ac:dyDescent="0.15">
      <c r="W1314" s="12"/>
      <c r="X1314" s="62"/>
      <c r="Y1314" s="62"/>
      <c r="Z1314" s="62"/>
      <c r="AA1314" s="62"/>
      <c r="AB1314" s="98"/>
      <c r="AC1314" s="62"/>
      <c r="AD1314" s="62"/>
      <c r="AE1314" s="62"/>
      <c r="AF1314" s="62"/>
      <c r="AG1314" s="66"/>
      <c r="AH1314" s="62"/>
      <c r="AI1314" s="62"/>
      <c r="AJ1314" s="62"/>
      <c r="AK1314" s="62"/>
      <c r="AL1314" s="66"/>
      <c r="AM1314" s="62"/>
      <c r="AN1314" s="62"/>
      <c r="AO1314" s="62"/>
      <c r="AP1314" s="62"/>
      <c r="AQ1314" s="66"/>
      <c r="AR1314" s="62"/>
      <c r="AS1314" s="62"/>
      <c r="AT1314" s="62"/>
      <c r="AU1314" s="62"/>
      <c r="AV1314" s="66"/>
      <c r="AW1314" s="97"/>
    </row>
    <row r="1315" spans="23:49" x14ac:dyDescent="0.15">
      <c r="W1315" s="12"/>
      <c r="X1315" s="62"/>
      <c r="Y1315" s="62"/>
      <c r="Z1315" s="62"/>
      <c r="AA1315" s="62"/>
      <c r="AB1315" s="98"/>
      <c r="AC1315" s="62"/>
      <c r="AD1315" s="62"/>
      <c r="AE1315" s="62"/>
      <c r="AF1315" s="62"/>
      <c r="AG1315" s="66"/>
      <c r="AH1315" s="62"/>
      <c r="AI1315" s="62"/>
      <c r="AJ1315" s="62"/>
      <c r="AK1315" s="62"/>
      <c r="AL1315" s="66"/>
      <c r="AM1315" s="62"/>
      <c r="AN1315" s="62"/>
      <c r="AO1315" s="62"/>
      <c r="AP1315" s="62"/>
      <c r="AQ1315" s="66"/>
      <c r="AR1315" s="62"/>
      <c r="AS1315" s="62"/>
      <c r="AT1315" s="62"/>
      <c r="AU1315" s="62"/>
      <c r="AV1315" s="66"/>
      <c r="AW1315" s="97"/>
    </row>
    <row r="1316" spans="23:49" x14ac:dyDescent="0.15">
      <c r="W1316" s="12"/>
      <c r="X1316" s="62"/>
      <c r="Y1316" s="62"/>
      <c r="Z1316" s="62"/>
      <c r="AA1316" s="62"/>
      <c r="AB1316" s="98"/>
      <c r="AC1316" s="62"/>
      <c r="AD1316" s="62"/>
      <c r="AE1316" s="62"/>
      <c r="AF1316" s="62"/>
      <c r="AG1316" s="66"/>
      <c r="AH1316" s="62"/>
      <c r="AI1316" s="62"/>
      <c r="AJ1316" s="62"/>
      <c r="AK1316" s="62"/>
      <c r="AL1316" s="66"/>
      <c r="AM1316" s="62"/>
      <c r="AN1316" s="62"/>
      <c r="AO1316" s="62"/>
      <c r="AP1316" s="62"/>
      <c r="AQ1316" s="66"/>
      <c r="AR1316" s="62"/>
      <c r="AS1316" s="62"/>
      <c r="AT1316" s="62"/>
      <c r="AU1316" s="62"/>
      <c r="AV1316" s="66"/>
      <c r="AW1316" s="97"/>
    </row>
    <row r="1317" spans="23:49" x14ac:dyDescent="0.15">
      <c r="W1317" s="12"/>
      <c r="X1317" s="62"/>
      <c r="Y1317" s="62"/>
      <c r="Z1317" s="62"/>
      <c r="AA1317" s="62"/>
      <c r="AB1317" s="98"/>
      <c r="AC1317" s="62"/>
      <c r="AD1317" s="62"/>
      <c r="AE1317" s="62"/>
      <c r="AF1317" s="62"/>
      <c r="AG1317" s="66"/>
      <c r="AH1317" s="62"/>
      <c r="AI1317" s="62"/>
      <c r="AJ1317" s="62"/>
      <c r="AK1317" s="62"/>
      <c r="AL1317" s="66"/>
      <c r="AM1317" s="62"/>
      <c r="AN1317" s="62"/>
      <c r="AO1317" s="62"/>
      <c r="AP1317" s="62"/>
      <c r="AQ1317" s="66"/>
      <c r="AR1317" s="62"/>
      <c r="AS1317" s="62"/>
      <c r="AT1317" s="62"/>
      <c r="AU1317" s="62"/>
      <c r="AV1317" s="66"/>
      <c r="AW1317" s="97"/>
    </row>
    <row r="1318" spans="23:49" x14ac:dyDescent="0.15">
      <c r="W1318" s="12"/>
      <c r="X1318" s="62"/>
      <c r="Y1318" s="62"/>
      <c r="Z1318" s="62"/>
      <c r="AA1318" s="62"/>
      <c r="AB1318" s="98"/>
      <c r="AC1318" s="62"/>
      <c r="AD1318" s="62"/>
      <c r="AE1318" s="62"/>
      <c r="AF1318" s="62"/>
      <c r="AG1318" s="66"/>
      <c r="AH1318" s="62"/>
      <c r="AI1318" s="62"/>
      <c r="AJ1318" s="62"/>
      <c r="AK1318" s="62"/>
      <c r="AL1318" s="66"/>
      <c r="AM1318" s="62"/>
      <c r="AN1318" s="62"/>
      <c r="AO1318" s="62"/>
      <c r="AP1318" s="62"/>
      <c r="AQ1318" s="66"/>
      <c r="AR1318" s="62"/>
      <c r="AS1318" s="62"/>
      <c r="AT1318" s="62"/>
      <c r="AU1318" s="62"/>
      <c r="AV1318" s="66"/>
      <c r="AW1318" s="97"/>
    </row>
    <row r="1319" spans="23:49" x14ac:dyDescent="0.15">
      <c r="W1319" s="12"/>
      <c r="X1319" s="62"/>
      <c r="Y1319" s="62"/>
      <c r="Z1319" s="62"/>
      <c r="AA1319" s="62"/>
      <c r="AB1319" s="98"/>
      <c r="AC1319" s="62"/>
      <c r="AD1319" s="62"/>
      <c r="AE1319" s="62"/>
      <c r="AF1319" s="62"/>
      <c r="AG1319" s="66"/>
      <c r="AH1319" s="62"/>
      <c r="AI1319" s="62"/>
      <c r="AJ1319" s="62"/>
      <c r="AK1319" s="62"/>
      <c r="AL1319" s="66"/>
      <c r="AM1319" s="62"/>
      <c r="AN1319" s="62"/>
      <c r="AO1319" s="62"/>
      <c r="AP1319" s="62"/>
      <c r="AQ1319" s="66"/>
      <c r="AR1319" s="62"/>
      <c r="AS1319" s="62"/>
      <c r="AT1319" s="62"/>
      <c r="AU1319" s="62"/>
      <c r="AV1319" s="66"/>
      <c r="AW1319" s="97"/>
    </row>
    <row r="1320" spans="23:49" x14ac:dyDescent="0.15">
      <c r="W1320" s="12"/>
      <c r="X1320" s="62"/>
      <c r="Y1320" s="62"/>
      <c r="Z1320" s="62"/>
      <c r="AA1320" s="62"/>
      <c r="AB1320" s="98"/>
      <c r="AC1320" s="62"/>
      <c r="AD1320" s="62"/>
      <c r="AE1320" s="62"/>
      <c r="AF1320" s="62"/>
      <c r="AG1320" s="66"/>
      <c r="AH1320" s="62"/>
      <c r="AI1320" s="62"/>
      <c r="AJ1320" s="62"/>
      <c r="AK1320" s="62"/>
      <c r="AL1320" s="66"/>
      <c r="AM1320" s="62"/>
      <c r="AN1320" s="62"/>
      <c r="AO1320" s="62"/>
      <c r="AP1320" s="62"/>
      <c r="AQ1320" s="66"/>
      <c r="AR1320" s="62"/>
      <c r="AS1320" s="62"/>
      <c r="AT1320" s="62"/>
      <c r="AU1320" s="62"/>
      <c r="AV1320" s="66"/>
      <c r="AW1320" s="97"/>
    </row>
    <row r="1321" spans="23:49" x14ac:dyDescent="0.15">
      <c r="W1321" s="12"/>
      <c r="X1321" s="62"/>
      <c r="Y1321" s="62"/>
      <c r="Z1321" s="62"/>
      <c r="AA1321" s="62"/>
      <c r="AB1321" s="98"/>
      <c r="AC1321" s="62"/>
      <c r="AD1321" s="62"/>
      <c r="AE1321" s="62"/>
      <c r="AF1321" s="62"/>
      <c r="AG1321" s="66"/>
      <c r="AH1321" s="62"/>
      <c r="AI1321" s="62"/>
      <c r="AJ1321" s="62"/>
      <c r="AK1321" s="62"/>
      <c r="AL1321" s="66"/>
      <c r="AM1321" s="62"/>
      <c r="AN1321" s="62"/>
      <c r="AO1321" s="62"/>
      <c r="AP1321" s="62"/>
      <c r="AQ1321" s="66"/>
      <c r="AR1321" s="62"/>
      <c r="AS1321" s="62"/>
      <c r="AT1321" s="62"/>
      <c r="AU1321" s="62"/>
      <c r="AV1321" s="66"/>
      <c r="AW1321" s="97"/>
    </row>
    <row r="1322" spans="23:49" x14ac:dyDescent="0.15">
      <c r="W1322" s="12"/>
      <c r="X1322" s="62"/>
      <c r="Y1322" s="62"/>
      <c r="Z1322" s="62"/>
      <c r="AA1322" s="62"/>
      <c r="AB1322" s="98"/>
      <c r="AC1322" s="62"/>
      <c r="AD1322" s="62"/>
      <c r="AE1322" s="62"/>
      <c r="AF1322" s="62"/>
      <c r="AG1322" s="66"/>
      <c r="AH1322" s="62"/>
      <c r="AI1322" s="62"/>
      <c r="AJ1322" s="62"/>
      <c r="AK1322" s="62"/>
      <c r="AL1322" s="66"/>
      <c r="AM1322" s="62"/>
      <c r="AN1322" s="62"/>
      <c r="AO1322" s="62"/>
      <c r="AP1322" s="62"/>
      <c r="AQ1322" s="66"/>
      <c r="AR1322" s="62"/>
      <c r="AS1322" s="62"/>
      <c r="AT1322" s="62"/>
      <c r="AU1322" s="62"/>
      <c r="AV1322" s="66"/>
      <c r="AW1322" s="97"/>
    </row>
    <row r="1323" spans="23:49" x14ac:dyDescent="0.15">
      <c r="W1323" s="12"/>
      <c r="X1323" s="62"/>
      <c r="Y1323" s="62"/>
      <c r="Z1323" s="62"/>
      <c r="AA1323" s="62"/>
      <c r="AB1323" s="98"/>
      <c r="AC1323" s="62"/>
      <c r="AD1323" s="62"/>
      <c r="AE1323" s="62"/>
      <c r="AF1323" s="62"/>
      <c r="AG1323" s="66"/>
      <c r="AH1323" s="62"/>
      <c r="AI1323" s="62"/>
      <c r="AJ1323" s="62"/>
      <c r="AK1323" s="62"/>
      <c r="AL1323" s="66"/>
      <c r="AM1323" s="62"/>
      <c r="AN1323" s="62"/>
      <c r="AO1323" s="62"/>
      <c r="AP1323" s="62"/>
      <c r="AQ1323" s="66"/>
      <c r="AR1323" s="62"/>
      <c r="AS1323" s="62"/>
      <c r="AT1323" s="62"/>
      <c r="AU1323" s="62"/>
      <c r="AV1323" s="66"/>
      <c r="AW1323" s="97"/>
    </row>
    <row r="1324" spans="23:49" x14ac:dyDescent="0.15">
      <c r="W1324" s="12"/>
      <c r="X1324" s="62"/>
      <c r="Y1324" s="62"/>
      <c r="Z1324" s="62"/>
      <c r="AA1324" s="62"/>
      <c r="AB1324" s="98"/>
      <c r="AC1324" s="62"/>
      <c r="AD1324" s="62"/>
      <c r="AE1324" s="62"/>
      <c r="AF1324" s="62"/>
      <c r="AG1324" s="66"/>
      <c r="AH1324" s="62"/>
      <c r="AI1324" s="62"/>
      <c r="AJ1324" s="62"/>
      <c r="AK1324" s="62"/>
      <c r="AL1324" s="66"/>
      <c r="AM1324" s="62"/>
      <c r="AN1324" s="62"/>
      <c r="AO1324" s="62"/>
      <c r="AP1324" s="62"/>
      <c r="AQ1324" s="66"/>
      <c r="AR1324" s="62"/>
      <c r="AS1324" s="62"/>
      <c r="AT1324" s="62"/>
      <c r="AU1324" s="62"/>
      <c r="AV1324" s="66"/>
      <c r="AW1324" s="97"/>
    </row>
    <row r="1325" spans="23:49" x14ac:dyDescent="0.15">
      <c r="W1325" s="12"/>
      <c r="X1325" s="62"/>
      <c r="Y1325" s="62"/>
      <c r="Z1325" s="62"/>
      <c r="AA1325" s="62"/>
      <c r="AB1325" s="98"/>
      <c r="AC1325" s="62"/>
      <c r="AD1325" s="62"/>
      <c r="AE1325" s="62"/>
      <c r="AF1325" s="62"/>
      <c r="AG1325" s="66"/>
      <c r="AH1325" s="62"/>
      <c r="AI1325" s="62"/>
      <c r="AJ1325" s="62"/>
      <c r="AK1325" s="62"/>
      <c r="AL1325" s="66"/>
      <c r="AM1325" s="62"/>
      <c r="AN1325" s="62"/>
      <c r="AO1325" s="62"/>
      <c r="AP1325" s="62"/>
      <c r="AQ1325" s="66"/>
      <c r="AR1325" s="62"/>
      <c r="AS1325" s="62"/>
      <c r="AT1325" s="62"/>
      <c r="AU1325" s="62"/>
      <c r="AV1325" s="66"/>
      <c r="AW1325" s="97"/>
    </row>
    <row r="1326" spans="23:49" x14ac:dyDescent="0.15">
      <c r="W1326" s="12"/>
      <c r="X1326" s="62"/>
      <c r="Y1326" s="62"/>
      <c r="Z1326" s="62"/>
      <c r="AA1326" s="62"/>
      <c r="AB1326" s="98"/>
      <c r="AC1326" s="62"/>
      <c r="AD1326" s="62"/>
      <c r="AE1326" s="62"/>
      <c r="AF1326" s="62"/>
      <c r="AG1326" s="66"/>
      <c r="AH1326" s="62"/>
      <c r="AI1326" s="62"/>
      <c r="AJ1326" s="62"/>
      <c r="AK1326" s="62"/>
      <c r="AL1326" s="66"/>
      <c r="AM1326" s="62"/>
      <c r="AN1326" s="62"/>
      <c r="AO1326" s="62"/>
      <c r="AP1326" s="62"/>
      <c r="AQ1326" s="66"/>
      <c r="AR1326" s="62"/>
      <c r="AS1326" s="62"/>
      <c r="AT1326" s="62"/>
      <c r="AU1326" s="62"/>
      <c r="AV1326" s="66"/>
      <c r="AW1326" s="97"/>
    </row>
    <row r="1327" spans="23:49" x14ac:dyDescent="0.15">
      <c r="W1327" s="12"/>
      <c r="X1327" s="62"/>
      <c r="Y1327" s="62"/>
      <c r="Z1327" s="62"/>
      <c r="AA1327" s="62"/>
      <c r="AB1327" s="98"/>
      <c r="AC1327" s="62"/>
      <c r="AD1327" s="62"/>
      <c r="AE1327" s="62"/>
      <c r="AF1327" s="62"/>
      <c r="AG1327" s="66"/>
      <c r="AH1327" s="62"/>
      <c r="AI1327" s="62"/>
      <c r="AJ1327" s="62"/>
      <c r="AK1327" s="62"/>
      <c r="AL1327" s="66"/>
      <c r="AM1327" s="62"/>
      <c r="AN1327" s="62"/>
      <c r="AO1327" s="62"/>
      <c r="AP1327" s="62"/>
      <c r="AQ1327" s="66"/>
      <c r="AR1327" s="62"/>
      <c r="AS1327" s="62"/>
      <c r="AT1327" s="62"/>
      <c r="AU1327" s="62"/>
      <c r="AV1327" s="66"/>
      <c r="AW1327" s="97"/>
    </row>
    <row r="1328" spans="23:49" x14ac:dyDescent="0.15">
      <c r="W1328" s="12"/>
      <c r="X1328" s="62"/>
      <c r="Y1328" s="62"/>
      <c r="Z1328" s="62"/>
      <c r="AA1328" s="62"/>
      <c r="AB1328" s="98"/>
      <c r="AC1328" s="62"/>
      <c r="AD1328" s="62"/>
      <c r="AE1328" s="62"/>
      <c r="AF1328" s="62"/>
      <c r="AG1328" s="66"/>
      <c r="AH1328" s="62"/>
      <c r="AI1328" s="62"/>
      <c r="AJ1328" s="62"/>
      <c r="AK1328" s="62"/>
      <c r="AL1328" s="66"/>
      <c r="AM1328" s="62"/>
      <c r="AN1328" s="62"/>
      <c r="AO1328" s="62"/>
      <c r="AP1328" s="62"/>
      <c r="AQ1328" s="66"/>
      <c r="AR1328" s="62"/>
      <c r="AS1328" s="62"/>
      <c r="AT1328" s="62"/>
      <c r="AU1328" s="62"/>
      <c r="AV1328" s="66"/>
      <c r="AW1328" s="97"/>
    </row>
    <row r="1329" spans="23:49" x14ac:dyDescent="0.15">
      <c r="W1329" s="12"/>
      <c r="X1329" s="62"/>
      <c r="Y1329" s="62"/>
      <c r="Z1329" s="62"/>
      <c r="AA1329" s="62"/>
      <c r="AB1329" s="98"/>
      <c r="AC1329" s="62"/>
      <c r="AD1329" s="62"/>
      <c r="AE1329" s="62"/>
      <c r="AF1329" s="62"/>
      <c r="AG1329" s="66"/>
      <c r="AH1329" s="62"/>
      <c r="AI1329" s="62"/>
      <c r="AJ1329" s="62"/>
      <c r="AK1329" s="62"/>
      <c r="AL1329" s="66"/>
      <c r="AM1329" s="62"/>
      <c r="AN1329" s="62"/>
      <c r="AO1329" s="62"/>
      <c r="AP1329" s="62"/>
      <c r="AQ1329" s="66"/>
      <c r="AR1329" s="62"/>
      <c r="AS1329" s="62"/>
      <c r="AT1329" s="62"/>
      <c r="AU1329" s="62"/>
      <c r="AV1329" s="66"/>
      <c r="AW1329" s="97"/>
    </row>
    <row r="1330" spans="23:49" x14ac:dyDescent="0.15">
      <c r="W1330" s="12"/>
      <c r="X1330" s="62"/>
      <c r="Y1330" s="62"/>
      <c r="Z1330" s="62"/>
      <c r="AA1330" s="62"/>
      <c r="AB1330" s="98"/>
      <c r="AC1330" s="62"/>
      <c r="AD1330" s="62"/>
      <c r="AE1330" s="62"/>
      <c r="AF1330" s="62"/>
      <c r="AG1330" s="66"/>
      <c r="AH1330" s="62"/>
      <c r="AI1330" s="62"/>
      <c r="AJ1330" s="62"/>
      <c r="AK1330" s="62"/>
      <c r="AL1330" s="66"/>
      <c r="AM1330" s="62"/>
      <c r="AN1330" s="62"/>
      <c r="AO1330" s="62"/>
      <c r="AP1330" s="62"/>
      <c r="AQ1330" s="66"/>
      <c r="AR1330" s="62"/>
      <c r="AS1330" s="62"/>
      <c r="AT1330" s="62"/>
      <c r="AU1330" s="62"/>
      <c r="AV1330" s="66"/>
      <c r="AW1330" s="97"/>
    </row>
    <row r="1331" spans="23:49" x14ac:dyDescent="0.15">
      <c r="W1331" s="12"/>
      <c r="X1331" s="62"/>
      <c r="Y1331" s="62"/>
      <c r="Z1331" s="62"/>
      <c r="AA1331" s="62"/>
      <c r="AB1331" s="98"/>
      <c r="AC1331" s="62"/>
      <c r="AD1331" s="62"/>
      <c r="AE1331" s="62"/>
      <c r="AF1331" s="62"/>
      <c r="AG1331" s="66"/>
      <c r="AH1331" s="62"/>
      <c r="AI1331" s="62"/>
      <c r="AJ1331" s="62"/>
      <c r="AK1331" s="62"/>
      <c r="AL1331" s="66"/>
      <c r="AM1331" s="62"/>
      <c r="AN1331" s="62"/>
      <c r="AO1331" s="62"/>
      <c r="AP1331" s="62"/>
      <c r="AQ1331" s="66"/>
      <c r="AR1331" s="62"/>
      <c r="AS1331" s="62"/>
      <c r="AT1331" s="62"/>
      <c r="AU1331" s="62"/>
      <c r="AV1331" s="66"/>
      <c r="AW1331" s="97"/>
    </row>
    <row r="1332" spans="23:49" x14ac:dyDescent="0.15">
      <c r="W1332" s="12"/>
      <c r="X1332" s="62"/>
      <c r="Y1332" s="62"/>
      <c r="Z1332" s="62"/>
      <c r="AA1332" s="62"/>
      <c r="AB1332" s="98"/>
      <c r="AC1332" s="62"/>
      <c r="AD1332" s="62"/>
      <c r="AE1332" s="62"/>
      <c r="AF1332" s="62"/>
      <c r="AG1332" s="66"/>
      <c r="AH1332" s="62"/>
      <c r="AI1332" s="62"/>
      <c r="AJ1332" s="62"/>
      <c r="AK1332" s="62"/>
      <c r="AL1332" s="66"/>
      <c r="AM1332" s="62"/>
      <c r="AN1332" s="62"/>
      <c r="AO1332" s="62"/>
      <c r="AP1332" s="62"/>
      <c r="AQ1332" s="66"/>
      <c r="AR1332" s="62"/>
      <c r="AS1332" s="62"/>
      <c r="AT1332" s="62"/>
      <c r="AU1332" s="62"/>
      <c r="AV1332" s="66"/>
      <c r="AW1332" s="97"/>
    </row>
    <row r="1333" spans="23:49" x14ac:dyDescent="0.15">
      <c r="W1333" s="12"/>
      <c r="X1333" s="62"/>
      <c r="Y1333" s="62"/>
      <c r="Z1333" s="62"/>
      <c r="AA1333" s="62"/>
      <c r="AB1333" s="98"/>
      <c r="AC1333" s="62"/>
      <c r="AD1333" s="62"/>
      <c r="AE1333" s="62"/>
      <c r="AF1333" s="62"/>
      <c r="AG1333" s="66"/>
      <c r="AH1333" s="62"/>
      <c r="AI1333" s="62"/>
      <c r="AJ1333" s="62"/>
      <c r="AK1333" s="62"/>
      <c r="AL1333" s="66"/>
      <c r="AM1333" s="62"/>
      <c r="AN1333" s="62"/>
      <c r="AO1333" s="62"/>
      <c r="AP1333" s="62"/>
      <c r="AQ1333" s="66"/>
      <c r="AR1333" s="62"/>
      <c r="AS1333" s="62"/>
      <c r="AT1333" s="62"/>
      <c r="AU1333" s="62"/>
      <c r="AV1333" s="66"/>
      <c r="AW1333" s="97"/>
    </row>
    <row r="1334" spans="23:49" x14ac:dyDescent="0.15">
      <c r="W1334" s="12"/>
      <c r="X1334" s="62"/>
      <c r="Y1334" s="62"/>
      <c r="Z1334" s="62"/>
      <c r="AA1334" s="62"/>
      <c r="AB1334" s="98"/>
      <c r="AC1334" s="62"/>
      <c r="AD1334" s="62"/>
      <c r="AE1334" s="62"/>
      <c r="AF1334" s="62"/>
      <c r="AG1334" s="66"/>
      <c r="AH1334" s="62"/>
      <c r="AI1334" s="62"/>
      <c r="AJ1334" s="62"/>
      <c r="AK1334" s="62"/>
      <c r="AL1334" s="66"/>
      <c r="AM1334" s="62"/>
      <c r="AN1334" s="62"/>
      <c r="AO1334" s="62"/>
      <c r="AP1334" s="62"/>
      <c r="AQ1334" s="66"/>
      <c r="AR1334" s="62"/>
      <c r="AS1334" s="62"/>
      <c r="AT1334" s="62"/>
      <c r="AU1334" s="62"/>
      <c r="AV1334" s="66"/>
      <c r="AW1334" s="97"/>
    </row>
    <row r="1335" spans="23:49" x14ac:dyDescent="0.15">
      <c r="W1335" s="12"/>
      <c r="X1335" s="62"/>
      <c r="Y1335" s="62"/>
      <c r="Z1335" s="62"/>
      <c r="AA1335" s="62"/>
      <c r="AB1335" s="98"/>
      <c r="AC1335" s="62"/>
      <c r="AD1335" s="62"/>
      <c r="AE1335" s="62"/>
      <c r="AF1335" s="62"/>
      <c r="AG1335" s="66"/>
      <c r="AH1335" s="62"/>
      <c r="AI1335" s="62"/>
      <c r="AJ1335" s="62"/>
      <c r="AK1335" s="62"/>
      <c r="AL1335" s="66"/>
      <c r="AM1335" s="62"/>
      <c r="AN1335" s="62"/>
      <c r="AO1335" s="62"/>
      <c r="AP1335" s="62"/>
      <c r="AQ1335" s="66"/>
      <c r="AR1335" s="62"/>
      <c r="AS1335" s="62"/>
      <c r="AT1335" s="62"/>
      <c r="AU1335" s="62"/>
      <c r="AV1335" s="66"/>
      <c r="AW1335" s="97"/>
    </row>
    <row r="1336" spans="23:49" x14ac:dyDescent="0.15">
      <c r="W1336" s="12"/>
      <c r="X1336" s="62"/>
      <c r="Y1336" s="62"/>
      <c r="Z1336" s="62"/>
      <c r="AA1336" s="62"/>
      <c r="AB1336" s="98"/>
      <c r="AC1336" s="62"/>
      <c r="AD1336" s="62"/>
      <c r="AE1336" s="62"/>
      <c r="AF1336" s="62"/>
      <c r="AG1336" s="66"/>
      <c r="AH1336" s="62"/>
      <c r="AI1336" s="62"/>
      <c r="AJ1336" s="62"/>
      <c r="AK1336" s="62"/>
      <c r="AL1336" s="66"/>
      <c r="AM1336" s="62"/>
      <c r="AN1336" s="62"/>
      <c r="AO1336" s="62"/>
      <c r="AP1336" s="62"/>
      <c r="AQ1336" s="66"/>
      <c r="AR1336" s="62"/>
      <c r="AS1336" s="62"/>
      <c r="AT1336" s="62"/>
      <c r="AU1336" s="62"/>
      <c r="AV1336" s="66"/>
      <c r="AW1336" s="97"/>
    </row>
    <row r="1337" spans="23:49" x14ac:dyDescent="0.15">
      <c r="W1337" s="12"/>
      <c r="X1337" s="62"/>
      <c r="Y1337" s="62"/>
      <c r="Z1337" s="62"/>
      <c r="AA1337" s="62"/>
      <c r="AB1337" s="98"/>
      <c r="AC1337" s="62"/>
      <c r="AD1337" s="62"/>
      <c r="AE1337" s="62"/>
      <c r="AF1337" s="62"/>
      <c r="AG1337" s="66"/>
      <c r="AH1337" s="62"/>
      <c r="AI1337" s="62"/>
      <c r="AJ1337" s="62"/>
      <c r="AK1337" s="62"/>
      <c r="AL1337" s="66"/>
      <c r="AM1337" s="62"/>
      <c r="AN1337" s="62"/>
      <c r="AO1337" s="62"/>
      <c r="AP1337" s="62"/>
      <c r="AQ1337" s="66"/>
      <c r="AR1337" s="62"/>
      <c r="AS1337" s="62"/>
      <c r="AT1337" s="62"/>
      <c r="AU1337" s="62"/>
      <c r="AV1337" s="66"/>
      <c r="AW1337" s="97"/>
    </row>
    <row r="1338" spans="23:49" x14ac:dyDescent="0.15">
      <c r="W1338" s="12"/>
      <c r="X1338" s="62"/>
      <c r="Y1338" s="62"/>
      <c r="Z1338" s="62"/>
      <c r="AA1338" s="62"/>
      <c r="AB1338" s="98"/>
      <c r="AC1338" s="62"/>
      <c r="AD1338" s="62"/>
      <c r="AE1338" s="62"/>
      <c r="AF1338" s="62"/>
      <c r="AG1338" s="66"/>
      <c r="AH1338" s="62"/>
      <c r="AI1338" s="62"/>
      <c r="AJ1338" s="62"/>
      <c r="AK1338" s="62"/>
      <c r="AL1338" s="66"/>
      <c r="AM1338" s="62"/>
      <c r="AN1338" s="62"/>
      <c r="AO1338" s="62"/>
      <c r="AP1338" s="62"/>
      <c r="AQ1338" s="66"/>
      <c r="AR1338" s="62"/>
      <c r="AS1338" s="62"/>
      <c r="AT1338" s="62"/>
      <c r="AU1338" s="62"/>
      <c r="AV1338" s="66"/>
      <c r="AW1338" s="97"/>
    </row>
    <row r="1339" spans="23:49" x14ac:dyDescent="0.15">
      <c r="W1339" s="12"/>
      <c r="X1339" s="62"/>
      <c r="Y1339" s="62"/>
      <c r="Z1339" s="62"/>
      <c r="AA1339" s="62"/>
      <c r="AB1339" s="98"/>
      <c r="AC1339" s="62"/>
      <c r="AD1339" s="62"/>
      <c r="AE1339" s="62"/>
      <c r="AF1339" s="62"/>
      <c r="AG1339" s="66"/>
      <c r="AH1339" s="62"/>
      <c r="AI1339" s="62"/>
      <c r="AJ1339" s="62"/>
      <c r="AK1339" s="62"/>
      <c r="AL1339" s="66"/>
      <c r="AM1339" s="62"/>
      <c r="AN1339" s="62"/>
      <c r="AO1339" s="62"/>
      <c r="AP1339" s="62"/>
      <c r="AQ1339" s="66"/>
      <c r="AR1339" s="62"/>
      <c r="AS1339" s="62"/>
      <c r="AT1339" s="62"/>
      <c r="AU1339" s="62"/>
      <c r="AV1339" s="66"/>
      <c r="AW1339" s="97"/>
    </row>
    <row r="1340" spans="23:49" x14ac:dyDescent="0.15">
      <c r="W1340" s="12"/>
      <c r="X1340" s="62"/>
      <c r="Y1340" s="62"/>
      <c r="Z1340" s="62"/>
      <c r="AA1340" s="62"/>
      <c r="AB1340" s="98"/>
      <c r="AC1340" s="62"/>
      <c r="AD1340" s="62"/>
      <c r="AE1340" s="62"/>
      <c r="AF1340" s="62"/>
      <c r="AG1340" s="66"/>
      <c r="AH1340" s="62"/>
      <c r="AI1340" s="62"/>
      <c r="AJ1340" s="62"/>
      <c r="AK1340" s="62"/>
      <c r="AL1340" s="66"/>
      <c r="AM1340" s="62"/>
      <c r="AN1340" s="62"/>
      <c r="AO1340" s="62"/>
      <c r="AP1340" s="62"/>
      <c r="AQ1340" s="66"/>
      <c r="AR1340" s="62"/>
      <c r="AS1340" s="62"/>
      <c r="AT1340" s="62"/>
      <c r="AU1340" s="62"/>
      <c r="AV1340" s="66"/>
      <c r="AW1340" s="97"/>
    </row>
    <row r="1341" spans="23:49" x14ac:dyDescent="0.15">
      <c r="W1341" s="12"/>
      <c r="X1341" s="62"/>
      <c r="Y1341" s="62"/>
      <c r="Z1341" s="62"/>
      <c r="AA1341" s="62"/>
      <c r="AB1341" s="98"/>
      <c r="AC1341" s="62"/>
      <c r="AD1341" s="62"/>
      <c r="AE1341" s="62"/>
      <c r="AF1341" s="62"/>
      <c r="AG1341" s="66"/>
      <c r="AH1341" s="62"/>
      <c r="AI1341" s="62"/>
      <c r="AJ1341" s="62"/>
      <c r="AK1341" s="62"/>
      <c r="AL1341" s="66"/>
      <c r="AM1341" s="62"/>
      <c r="AN1341" s="62"/>
      <c r="AO1341" s="62"/>
      <c r="AP1341" s="62"/>
      <c r="AQ1341" s="66"/>
      <c r="AR1341" s="62"/>
      <c r="AS1341" s="62"/>
      <c r="AT1341" s="62"/>
      <c r="AU1341" s="62"/>
      <c r="AV1341" s="66"/>
      <c r="AW1341" s="97"/>
    </row>
    <row r="1342" spans="23:49" x14ac:dyDescent="0.15">
      <c r="W1342" s="12"/>
      <c r="X1342" s="62"/>
      <c r="Y1342" s="62"/>
      <c r="Z1342" s="62"/>
      <c r="AA1342" s="62"/>
      <c r="AB1342" s="98"/>
      <c r="AC1342" s="62"/>
      <c r="AD1342" s="62"/>
      <c r="AE1342" s="62"/>
      <c r="AF1342" s="62"/>
      <c r="AG1342" s="66"/>
      <c r="AH1342" s="62"/>
      <c r="AI1342" s="62"/>
      <c r="AJ1342" s="62"/>
      <c r="AK1342" s="62"/>
      <c r="AL1342" s="66"/>
      <c r="AM1342" s="62"/>
      <c r="AN1342" s="62"/>
      <c r="AO1342" s="62"/>
      <c r="AP1342" s="62"/>
      <c r="AQ1342" s="66"/>
      <c r="AR1342" s="62"/>
      <c r="AS1342" s="62"/>
      <c r="AT1342" s="62"/>
      <c r="AU1342" s="62"/>
      <c r="AV1342" s="66"/>
      <c r="AW1342" s="97"/>
    </row>
    <row r="1343" spans="23:49" x14ac:dyDescent="0.15">
      <c r="W1343" s="12"/>
      <c r="X1343" s="62"/>
      <c r="Y1343" s="62"/>
      <c r="Z1343" s="62"/>
      <c r="AA1343" s="62"/>
      <c r="AB1343" s="98"/>
      <c r="AC1343" s="62"/>
      <c r="AD1343" s="62"/>
      <c r="AE1343" s="62"/>
      <c r="AF1343" s="62"/>
      <c r="AG1343" s="66"/>
      <c r="AH1343" s="62"/>
      <c r="AI1343" s="62"/>
      <c r="AJ1343" s="62"/>
      <c r="AK1343" s="62"/>
      <c r="AL1343" s="66"/>
      <c r="AM1343" s="62"/>
      <c r="AN1343" s="62"/>
      <c r="AO1343" s="62"/>
      <c r="AP1343" s="62"/>
      <c r="AQ1343" s="66"/>
      <c r="AR1343" s="62"/>
      <c r="AS1343" s="62"/>
      <c r="AT1343" s="62"/>
      <c r="AU1343" s="62"/>
      <c r="AV1343" s="66"/>
      <c r="AW1343" s="97"/>
    </row>
    <row r="1344" spans="23:49" x14ac:dyDescent="0.15">
      <c r="W1344" s="12"/>
      <c r="X1344" s="62"/>
      <c r="Y1344" s="62"/>
      <c r="Z1344" s="62"/>
      <c r="AA1344" s="62"/>
      <c r="AB1344" s="98"/>
      <c r="AC1344" s="62"/>
      <c r="AD1344" s="62"/>
      <c r="AE1344" s="62"/>
      <c r="AF1344" s="62"/>
      <c r="AG1344" s="66"/>
      <c r="AH1344" s="62"/>
      <c r="AI1344" s="62"/>
      <c r="AJ1344" s="62"/>
      <c r="AK1344" s="62"/>
      <c r="AL1344" s="66"/>
      <c r="AM1344" s="62"/>
      <c r="AN1344" s="62"/>
      <c r="AO1344" s="62"/>
      <c r="AP1344" s="62"/>
      <c r="AQ1344" s="66"/>
      <c r="AR1344" s="62"/>
      <c r="AS1344" s="62"/>
      <c r="AT1344" s="62"/>
      <c r="AU1344" s="62"/>
      <c r="AV1344" s="66"/>
      <c r="AW1344" s="97"/>
    </row>
    <row r="1345" spans="23:49" x14ac:dyDescent="0.15">
      <c r="W1345" s="12"/>
      <c r="X1345" s="62"/>
      <c r="Y1345" s="62"/>
      <c r="Z1345" s="62"/>
      <c r="AA1345" s="62"/>
      <c r="AB1345" s="98"/>
      <c r="AC1345" s="62"/>
      <c r="AD1345" s="62"/>
      <c r="AE1345" s="62"/>
      <c r="AF1345" s="62"/>
      <c r="AG1345" s="66"/>
      <c r="AH1345" s="62"/>
      <c r="AI1345" s="62"/>
      <c r="AJ1345" s="62"/>
      <c r="AK1345" s="62"/>
      <c r="AL1345" s="66"/>
      <c r="AM1345" s="62"/>
      <c r="AN1345" s="62"/>
      <c r="AO1345" s="62"/>
      <c r="AP1345" s="62"/>
      <c r="AQ1345" s="66"/>
      <c r="AR1345" s="62"/>
      <c r="AS1345" s="62"/>
      <c r="AT1345" s="62"/>
      <c r="AU1345" s="62"/>
      <c r="AV1345" s="66"/>
      <c r="AW1345" s="97"/>
    </row>
    <row r="1346" spans="23:49" x14ac:dyDescent="0.15">
      <c r="W1346" s="12"/>
      <c r="X1346" s="62"/>
      <c r="Y1346" s="62"/>
      <c r="Z1346" s="62"/>
      <c r="AA1346" s="62"/>
      <c r="AB1346" s="98"/>
      <c r="AC1346" s="62"/>
      <c r="AD1346" s="62"/>
      <c r="AE1346" s="62"/>
      <c r="AF1346" s="62"/>
      <c r="AG1346" s="66"/>
      <c r="AH1346" s="62"/>
      <c r="AI1346" s="62"/>
      <c r="AJ1346" s="62"/>
      <c r="AK1346" s="62"/>
      <c r="AL1346" s="66"/>
      <c r="AM1346" s="62"/>
      <c r="AN1346" s="62"/>
      <c r="AO1346" s="62"/>
      <c r="AP1346" s="62"/>
      <c r="AQ1346" s="66"/>
      <c r="AR1346" s="62"/>
      <c r="AS1346" s="62"/>
      <c r="AT1346" s="62"/>
      <c r="AU1346" s="62"/>
      <c r="AV1346" s="66"/>
      <c r="AW1346" s="97"/>
    </row>
    <row r="1347" spans="23:49" x14ac:dyDescent="0.15">
      <c r="W1347" s="12"/>
      <c r="X1347" s="62"/>
      <c r="Y1347" s="62"/>
      <c r="Z1347" s="62"/>
      <c r="AA1347" s="62"/>
      <c r="AB1347" s="98"/>
      <c r="AC1347" s="62"/>
      <c r="AD1347" s="62"/>
      <c r="AE1347" s="62"/>
      <c r="AF1347" s="62"/>
      <c r="AG1347" s="66"/>
      <c r="AH1347" s="62"/>
      <c r="AI1347" s="62"/>
      <c r="AJ1347" s="62"/>
      <c r="AK1347" s="62"/>
      <c r="AL1347" s="66"/>
      <c r="AM1347" s="62"/>
      <c r="AN1347" s="62"/>
      <c r="AO1347" s="62"/>
      <c r="AP1347" s="62"/>
      <c r="AQ1347" s="66"/>
      <c r="AR1347" s="62"/>
      <c r="AS1347" s="62"/>
      <c r="AT1347" s="62"/>
      <c r="AU1347" s="62"/>
      <c r="AV1347" s="66"/>
      <c r="AW1347" s="97"/>
    </row>
    <row r="1348" spans="23:49" x14ac:dyDescent="0.15">
      <c r="W1348" s="12"/>
      <c r="X1348" s="62"/>
      <c r="Y1348" s="62"/>
      <c r="Z1348" s="62"/>
      <c r="AA1348" s="62"/>
      <c r="AB1348" s="98"/>
      <c r="AC1348" s="62"/>
      <c r="AD1348" s="62"/>
      <c r="AE1348" s="62"/>
      <c r="AF1348" s="62"/>
      <c r="AG1348" s="66"/>
      <c r="AH1348" s="62"/>
      <c r="AI1348" s="62"/>
      <c r="AJ1348" s="62"/>
      <c r="AK1348" s="62"/>
      <c r="AL1348" s="66"/>
      <c r="AM1348" s="62"/>
      <c r="AN1348" s="62"/>
      <c r="AO1348" s="62"/>
      <c r="AP1348" s="62"/>
      <c r="AQ1348" s="66"/>
      <c r="AR1348" s="62"/>
      <c r="AS1348" s="62"/>
      <c r="AT1348" s="62"/>
      <c r="AU1348" s="62"/>
      <c r="AV1348" s="66"/>
      <c r="AW1348" s="97"/>
    </row>
    <row r="1349" spans="23:49" x14ac:dyDescent="0.15">
      <c r="W1349" s="12"/>
      <c r="X1349" s="62"/>
      <c r="Y1349" s="62"/>
      <c r="Z1349" s="62"/>
      <c r="AA1349" s="62"/>
      <c r="AB1349" s="98"/>
      <c r="AC1349" s="62"/>
      <c r="AD1349" s="62"/>
      <c r="AE1349" s="62"/>
      <c r="AF1349" s="62"/>
      <c r="AG1349" s="66"/>
      <c r="AH1349" s="62"/>
      <c r="AI1349" s="62"/>
      <c r="AJ1349" s="62"/>
      <c r="AK1349" s="62"/>
      <c r="AL1349" s="66"/>
      <c r="AM1349" s="62"/>
      <c r="AN1349" s="62"/>
      <c r="AO1349" s="62"/>
      <c r="AP1349" s="62"/>
      <c r="AQ1349" s="66"/>
      <c r="AR1349" s="62"/>
      <c r="AS1349" s="62"/>
      <c r="AT1349" s="62"/>
      <c r="AU1349" s="62"/>
      <c r="AV1349" s="66"/>
      <c r="AW1349" s="97"/>
    </row>
    <row r="1350" spans="23:49" x14ac:dyDescent="0.15">
      <c r="W1350" s="12"/>
      <c r="X1350" s="62"/>
      <c r="Y1350" s="62"/>
      <c r="Z1350" s="62"/>
      <c r="AA1350" s="62"/>
      <c r="AB1350" s="98"/>
      <c r="AC1350" s="62"/>
      <c r="AD1350" s="62"/>
      <c r="AE1350" s="62"/>
      <c r="AF1350" s="62"/>
      <c r="AG1350" s="66"/>
      <c r="AH1350" s="62"/>
      <c r="AI1350" s="62"/>
      <c r="AJ1350" s="62"/>
      <c r="AK1350" s="62"/>
      <c r="AL1350" s="66"/>
      <c r="AM1350" s="62"/>
      <c r="AN1350" s="62"/>
      <c r="AO1350" s="62"/>
      <c r="AP1350" s="62"/>
      <c r="AQ1350" s="66"/>
      <c r="AR1350" s="62"/>
      <c r="AS1350" s="62"/>
      <c r="AT1350" s="62"/>
      <c r="AU1350" s="62"/>
      <c r="AV1350" s="66"/>
      <c r="AW1350" s="97"/>
    </row>
    <row r="1351" spans="23:49" x14ac:dyDescent="0.15">
      <c r="W1351" s="12"/>
      <c r="X1351" s="62"/>
      <c r="Y1351" s="62"/>
      <c r="Z1351" s="62"/>
      <c r="AA1351" s="62"/>
      <c r="AB1351" s="98"/>
      <c r="AC1351" s="62"/>
      <c r="AD1351" s="62"/>
      <c r="AE1351" s="62"/>
      <c r="AF1351" s="62"/>
      <c r="AG1351" s="66"/>
      <c r="AH1351" s="62"/>
      <c r="AI1351" s="62"/>
      <c r="AJ1351" s="62"/>
      <c r="AK1351" s="62"/>
      <c r="AL1351" s="66"/>
      <c r="AM1351" s="62"/>
      <c r="AN1351" s="62"/>
      <c r="AO1351" s="62"/>
      <c r="AP1351" s="62"/>
      <c r="AQ1351" s="66"/>
      <c r="AR1351" s="62"/>
      <c r="AS1351" s="62"/>
      <c r="AT1351" s="62"/>
      <c r="AU1351" s="62"/>
      <c r="AV1351" s="66"/>
      <c r="AW1351" s="97"/>
    </row>
    <row r="1352" spans="23:49" x14ac:dyDescent="0.15">
      <c r="W1352" s="12"/>
      <c r="X1352" s="62"/>
      <c r="Y1352" s="62"/>
      <c r="Z1352" s="62"/>
      <c r="AA1352" s="62"/>
      <c r="AB1352" s="98"/>
      <c r="AC1352" s="62"/>
      <c r="AD1352" s="62"/>
      <c r="AE1352" s="62"/>
      <c r="AF1352" s="62"/>
      <c r="AG1352" s="66"/>
      <c r="AH1352" s="62"/>
      <c r="AI1352" s="62"/>
      <c r="AJ1352" s="62"/>
      <c r="AK1352" s="62"/>
      <c r="AL1352" s="66"/>
      <c r="AM1352" s="62"/>
      <c r="AN1352" s="62"/>
      <c r="AO1352" s="62"/>
      <c r="AP1352" s="62"/>
      <c r="AQ1352" s="66"/>
      <c r="AR1352" s="62"/>
      <c r="AS1352" s="62"/>
      <c r="AT1352" s="62"/>
      <c r="AU1352" s="62"/>
      <c r="AV1352" s="66"/>
      <c r="AW1352" s="97"/>
    </row>
    <row r="1353" spans="23:49" x14ac:dyDescent="0.15">
      <c r="W1353" s="12"/>
      <c r="X1353" s="62"/>
      <c r="Y1353" s="62"/>
      <c r="Z1353" s="62"/>
      <c r="AA1353" s="62"/>
      <c r="AB1353" s="98"/>
      <c r="AC1353" s="62"/>
      <c r="AD1353" s="62"/>
      <c r="AE1353" s="62"/>
      <c r="AF1353" s="62"/>
      <c r="AG1353" s="66"/>
      <c r="AH1353" s="62"/>
      <c r="AI1353" s="62"/>
      <c r="AJ1353" s="62"/>
      <c r="AK1353" s="62"/>
      <c r="AL1353" s="66"/>
      <c r="AM1353" s="62"/>
      <c r="AN1353" s="62"/>
      <c r="AO1353" s="62"/>
      <c r="AP1353" s="62"/>
      <c r="AQ1353" s="66"/>
      <c r="AR1353" s="62"/>
      <c r="AS1353" s="62"/>
      <c r="AT1353" s="62"/>
      <c r="AU1353" s="62"/>
      <c r="AV1353" s="66"/>
      <c r="AW1353" s="97"/>
    </row>
    <row r="1354" spans="23:49" x14ac:dyDescent="0.15">
      <c r="W1354" s="12"/>
      <c r="X1354" s="62"/>
      <c r="Y1354" s="62"/>
      <c r="Z1354" s="62"/>
      <c r="AA1354" s="62"/>
      <c r="AB1354" s="98"/>
      <c r="AC1354" s="62"/>
      <c r="AD1354" s="62"/>
      <c r="AE1354" s="62"/>
      <c r="AF1354" s="62"/>
      <c r="AG1354" s="66"/>
      <c r="AH1354" s="62"/>
      <c r="AI1354" s="62"/>
      <c r="AJ1354" s="62"/>
      <c r="AK1354" s="62"/>
      <c r="AL1354" s="66"/>
      <c r="AM1354" s="62"/>
      <c r="AN1354" s="62"/>
      <c r="AO1354" s="62"/>
      <c r="AP1354" s="62"/>
      <c r="AQ1354" s="66"/>
      <c r="AR1354" s="62"/>
      <c r="AS1354" s="62"/>
      <c r="AT1354" s="62"/>
      <c r="AU1354" s="62"/>
      <c r="AV1354" s="66"/>
      <c r="AW1354" s="97"/>
    </row>
    <row r="1355" spans="23:49" x14ac:dyDescent="0.15">
      <c r="W1355" s="12"/>
      <c r="X1355" s="62"/>
      <c r="Y1355" s="62"/>
      <c r="Z1355" s="62"/>
      <c r="AA1355" s="62"/>
      <c r="AB1355" s="98"/>
      <c r="AC1355" s="62"/>
      <c r="AD1355" s="62"/>
      <c r="AE1355" s="62"/>
      <c r="AF1355" s="62"/>
      <c r="AG1355" s="66"/>
      <c r="AH1355" s="62"/>
      <c r="AI1355" s="62"/>
      <c r="AJ1355" s="62"/>
      <c r="AK1355" s="62"/>
      <c r="AL1355" s="66"/>
      <c r="AM1355" s="62"/>
      <c r="AN1355" s="62"/>
      <c r="AO1355" s="62"/>
      <c r="AP1355" s="62"/>
      <c r="AQ1355" s="66"/>
      <c r="AR1355" s="62"/>
      <c r="AS1355" s="62"/>
      <c r="AT1355" s="62"/>
      <c r="AU1355" s="62"/>
      <c r="AV1355" s="66"/>
      <c r="AW1355" s="97"/>
    </row>
    <row r="1356" spans="23:49" x14ac:dyDescent="0.15">
      <c r="W1356" s="12"/>
      <c r="X1356" s="62"/>
      <c r="Y1356" s="62"/>
      <c r="Z1356" s="62"/>
      <c r="AA1356" s="62"/>
      <c r="AB1356" s="98"/>
      <c r="AC1356" s="62"/>
      <c r="AD1356" s="62"/>
      <c r="AE1356" s="62"/>
      <c r="AF1356" s="62"/>
      <c r="AG1356" s="66"/>
      <c r="AH1356" s="62"/>
      <c r="AI1356" s="62"/>
      <c r="AJ1356" s="62"/>
      <c r="AK1356" s="62"/>
      <c r="AL1356" s="66"/>
      <c r="AM1356" s="62"/>
      <c r="AN1356" s="62"/>
      <c r="AO1356" s="62"/>
      <c r="AP1356" s="62"/>
      <c r="AQ1356" s="66"/>
      <c r="AR1356" s="62"/>
      <c r="AS1356" s="62"/>
      <c r="AT1356" s="62"/>
      <c r="AU1356" s="62"/>
      <c r="AV1356" s="66"/>
      <c r="AW1356" s="97"/>
    </row>
    <row r="1357" spans="23:49" x14ac:dyDescent="0.15">
      <c r="W1357" s="12"/>
      <c r="X1357" s="62"/>
      <c r="Y1357" s="62"/>
      <c r="Z1357" s="62"/>
      <c r="AA1357" s="62"/>
      <c r="AB1357" s="98"/>
      <c r="AC1357" s="62"/>
      <c r="AD1357" s="62"/>
      <c r="AE1357" s="62"/>
      <c r="AF1357" s="62"/>
      <c r="AG1357" s="66"/>
      <c r="AH1357" s="62"/>
      <c r="AI1357" s="62"/>
      <c r="AJ1357" s="62"/>
      <c r="AK1357" s="62"/>
      <c r="AL1357" s="66"/>
      <c r="AM1357" s="62"/>
      <c r="AN1357" s="62"/>
      <c r="AO1357" s="62"/>
      <c r="AP1357" s="62"/>
      <c r="AQ1357" s="66"/>
      <c r="AR1357" s="62"/>
      <c r="AS1357" s="62"/>
      <c r="AT1357" s="62"/>
      <c r="AU1357" s="62"/>
      <c r="AV1357" s="66"/>
      <c r="AW1357" s="97"/>
    </row>
    <row r="1358" spans="23:49" x14ac:dyDescent="0.15">
      <c r="W1358" s="12"/>
      <c r="X1358" s="62"/>
      <c r="Y1358" s="62"/>
      <c r="Z1358" s="62"/>
      <c r="AA1358" s="62"/>
      <c r="AB1358" s="98"/>
      <c r="AC1358" s="62"/>
      <c r="AD1358" s="62"/>
      <c r="AE1358" s="62"/>
      <c r="AF1358" s="62"/>
      <c r="AG1358" s="66"/>
      <c r="AH1358" s="62"/>
      <c r="AI1358" s="62"/>
      <c r="AJ1358" s="62"/>
      <c r="AK1358" s="62"/>
      <c r="AL1358" s="66"/>
      <c r="AM1358" s="62"/>
      <c r="AN1358" s="62"/>
      <c r="AO1358" s="62"/>
      <c r="AP1358" s="62"/>
      <c r="AQ1358" s="66"/>
      <c r="AR1358" s="62"/>
      <c r="AS1358" s="62"/>
      <c r="AT1358" s="62"/>
      <c r="AU1358" s="62"/>
      <c r="AV1358" s="66"/>
      <c r="AW1358" s="97"/>
    </row>
    <row r="1359" spans="23:49" x14ac:dyDescent="0.15">
      <c r="W1359" s="12"/>
      <c r="X1359" s="62"/>
      <c r="Y1359" s="62"/>
      <c r="Z1359" s="62"/>
      <c r="AA1359" s="62"/>
      <c r="AB1359" s="98"/>
      <c r="AC1359" s="62"/>
      <c r="AD1359" s="62"/>
      <c r="AE1359" s="62"/>
      <c r="AF1359" s="62"/>
      <c r="AG1359" s="66"/>
      <c r="AH1359" s="62"/>
      <c r="AI1359" s="62"/>
      <c r="AJ1359" s="62"/>
      <c r="AK1359" s="62"/>
      <c r="AL1359" s="66"/>
      <c r="AM1359" s="62"/>
      <c r="AN1359" s="62"/>
      <c r="AO1359" s="62"/>
      <c r="AP1359" s="62"/>
      <c r="AQ1359" s="66"/>
      <c r="AR1359" s="62"/>
      <c r="AS1359" s="62"/>
      <c r="AT1359" s="62"/>
      <c r="AU1359" s="62"/>
      <c r="AV1359" s="66"/>
      <c r="AW1359" s="97"/>
    </row>
    <row r="1360" spans="23:49" x14ac:dyDescent="0.15">
      <c r="W1360" s="12"/>
      <c r="X1360" s="62"/>
      <c r="Y1360" s="62"/>
      <c r="Z1360" s="62"/>
      <c r="AA1360" s="62"/>
      <c r="AB1360" s="98"/>
      <c r="AC1360" s="62"/>
      <c r="AD1360" s="62"/>
      <c r="AE1360" s="62"/>
      <c r="AF1360" s="62"/>
      <c r="AG1360" s="66"/>
      <c r="AH1360" s="62"/>
      <c r="AI1360" s="62"/>
      <c r="AJ1360" s="62"/>
      <c r="AK1360" s="62"/>
      <c r="AL1360" s="66"/>
      <c r="AM1360" s="62"/>
      <c r="AN1360" s="62"/>
      <c r="AO1360" s="62"/>
      <c r="AP1360" s="62"/>
      <c r="AQ1360" s="66"/>
      <c r="AR1360" s="62"/>
      <c r="AS1360" s="62"/>
      <c r="AT1360" s="62"/>
      <c r="AU1360" s="62"/>
      <c r="AV1360" s="66"/>
      <c r="AW1360" s="97"/>
    </row>
    <row r="1361" spans="23:49" x14ac:dyDescent="0.15">
      <c r="W1361" s="12"/>
      <c r="X1361" s="62"/>
      <c r="Y1361" s="62"/>
      <c r="Z1361" s="62"/>
      <c r="AA1361" s="62"/>
      <c r="AB1361" s="98"/>
      <c r="AC1361" s="62"/>
      <c r="AD1361" s="62"/>
      <c r="AE1361" s="62"/>
      <c r="AF1361" s="62"/>
      <c r="AG1361" s="66"/>
      <c r="AH1361" s="62"/>
      <c r="AI1361" s="62"/>
      <c r="AJ1361" s="62"/>
      <c r="AK1361" s="62"/>
      <c r="AL1361" s="66"/>
      <c r="AM1361" s="62"/>
      <c r="AN1361" s="62"/>
      <c r="AO1361" s="62"/>
      <c r="AP1361" s="62"/>
      <c r="AQ1361" s="66"/>
      <c r="AR1361" s="62"/>
      <c r="AS1361" s="62"/>
      <c r="AT1361" s="62"/>
      <c r="AU1361" s="62"/>
      <c r="AV1361" s="66"/>
      <c r="AW1361" s="97"/>
    </row>
    <row r="1362" spans="23:49" x14ac:dyDescent="0.15">
      <c r="W1362" s="12"/>
      <c r="X1362" s="62"/>
      <c r="Y1362" s="62"/>
      <c r="Z1362" s="62"/>
      <c r="AA1362" s="62"/>
      <c r="AB1362" s="98"/>
      <c r="AC1362" s="62"/>
      <c r="AD1362" s="62"/>
      <c r="AE1362" s="62"/>
      <c r="AF1362" s="62"/>
      <c r="AG1362" s="66"/>
      <c r="AH1362" s="62"/>
      <c r="AI1362" s="62"/>
      <c r="AJ1362" s="62"/>
      <c r="AK1362" s="62"/>
      <c r="AL1362" s="66"/>
      <c r="AM1362" s="62"/>
      <c r="AN1362" s="62"/>
      <c r="AO1362" s="62"/>
      <c r="AP1362" s="62"/>
      <c r="AQ1362" s="66"/>
      <c r="AR1362" s="62"/>
      <c r="AS1362" s="62"/>
      <c r="AT1362" s="62"/>
      <c r="AU1362" s="62"/>
      <c r="AV1362" s="66"/>
      <c r="AW1362" s="97"/>
    </row>
    <row r="1363" spans="23:49" x14ac:dyDescent="0.15">
      <c r="W1363" s="12"/>
      <c r="X1363" s="62"/>
      <c r="Y1363" s="62"/>
      <c r="Z1363" s="62"/>
      <c r="AA1363" s="62"/>
      <c r="AB1363" s="98"/>
      <c r="AC1363" s="62"/>
      <c r="AD1363" s="62"/>
      <c r="AE1363" s="62"/>
      <c r="AF1363" s="62"/>
      <c r="AG1363" s="66"/>
      <c r="AH1363" s="62"/>
      <c r="AI1363" s="62"/>
      <c r="AJ1363" s="62"/>
      <c r="AK1363" s="62"/>
      <c r="AL1363" s="66"/>
      <c r="AM1363" s="62"/>
      <c r="AN1363" s="62"/>
      <c r="AO1363" s="62"/>
      <c r="AP1363" s="62"/>
      <c r="AQ1363" s="66"/>
      <c r="AR1363" s="62"/>
      <c r="AS1363" s="62"/>
      <c r="AT1363" s="62"/>
      <c r="AU1363" s="62"/>
      <c r="AV1363" s="66"/>
      <c r="AW1363" s="97"/>
    </row>
    <row r="1364" spans="23:49" x14ac:dyDescent="0.15">
      <c r="W1364" s="12"/>
      <c r="X1364" s="62"/>
      <c r="Y1364" s="62"/>
      <c r="Z1364" s="62"/>
      <c r="AA1364" s="62"/>
      <c r="AB1364" s="98"/>
      <c r="AC1364" s="62"/>
      <c r="AD1364" s="62"/>
      <c r="AE1364" s="62"/>
      <c r="AF1364" s="62"/>
      <c r="AG1364" s="66"/>
      <c r="AH1364" s="62"/>
      <c r="AI1364" s="62"/>
      <c r="AJ1364" s="62"/>
      <c r="AK1364" s="62"/>
      <c r="AL1364" s="66"/>
      <c r="AM1364" s="62"/>
      <c r="AN1364" s="62"/>
      <c r="AO1364" s="62"/>
      <c r="AP1364" s="62"/>
      <c r="AQ1364" s="66"/>
      <c r="AR1364" s="62"/>
      <c r="AS1364" s="62"/>
      <c r="AT1364" s="62"/>
      <c r="AU1364" s="62"/>
      <c r="AV1364" s="66"/>
      <c r="AW1364" s="97"/>
    </row>
    <row r="1365" spans="23:49" x14ac:dyDescent="0.15">
      <c r="W1365" s="12"/>
      <c r="X1365" s="62"/>
      <c r="Y1365" s="62"/>
      <c r="Z1365" s="62"/>
      <c r="AA1365" s="62"/>
      <c r="AB1365" s="98"/>
      <c r="AC1365" s="62"/>
      <c r="AD1365" s="62"/>
      <c r="AE1365" s="62"/>
      <c r="AF1365" s="62"/>
      <c r="AG1365" s="66"/>
      <c r="AH1365" s="62"/>
      <c r="AI1365" s="62"/>
      <c r="AJ1365" s="62"/>
      <c r="AK1365" s="62"/>
      <c r="AL1365" s="66"/>
      <c r="AM1365" s="62"/>
      <c r="AN1365" s="62"/>
      <c r="AO1365" s="62"/>
      <c r="AP1365" s="62"/>
      <c r="AQ1365" s="66"/>
      <c r="AR1365" s="62"/>
      <c r="AS1365" s="62"/>
      <c r="AT1365" s="62"/>
      <c r="AU1365" s="62"/>
      <c r="AV1365" s="66"/>
      <c r="AW1365" s="97"/>
    </row>
    <row r="1366" spans="23:49" x14ac:dyDescent="0.15">
      <c r="W1366" s="12"/>
      <c r="X1366" s="62"/>
      <c r="Y1366" s="62"/>
      <c r="Z1366" s="62"/>
      <c r="AA1366" s="62"/>
      <c r="AB1366" s="98"/>
      <c r="AC1366" s="62"/>
      <c r="AD1366" s="62"/>
      <c r="AE1366" s="62"/>
      <c r="AF1366" s="62"/>
      <c r="AG1366" s="66"/>
      <c r="AH1366" s="62"/>
      <c r="AI1366" s="62"/>
      <c r="AJ1366" s="62"/>
      <c r="AK1366" s="62"/>
      <c r="AL1366" s="66"/>
      <c r="AM1366" s="62"/>
      <c r="AN1366" s="62"/>
      <c r="AO1366" s="62"/>
      <c r="AP1366" s="62"/>
      <c r="AQ1366" s="66"/>
      <c r="AR1366" s="62"/>
      <c r="AS1366" s="62"/>
      <c r="AT1366" s="62"/>
      <c r="AU1366" s="62"/>
      <c r="AV1366" s="66"/>
      <c r="AW1366" s="97"/>
    </row>
    <row r="1367" spans="23:49" x14ac:dyDescent="0.15">
      <c r="W1367" s="12"/>
      <c r="X1367" s="62"/>
      <c r="Y1367" s="62"/>
      <c r="Z1367" s="62"/>
      <c r="AA1367" s="62"/>
      <c r="AB1367" s="98"/>
      <c r="AC1367" s="62"/>
      <c r="AD1367" s="62"/>
      <c r="AE1367" s="62"/>
      <c r="AF1367" s="62"/>
      <c r="AG1367" s="66"/>
      <c r="AH1367" s="62"/>
      <c r="AI1367" s="62"/>
      <c r="AJ1367" s="62"/>
      <c r="AK1367" s="62"/>
      <c r="AL1367" s="66"/>
      <c r="AM1367" s="62"/>
      <c r="AN1367" s="62"/>
      <c r="AO1367" s="62"/>
      <c r="AP1367" s="62"/>
      <c r="AQ1367" s="66"/>
      <c r="AR1367" s="62"/>
      <c r="AS1367" s="62"/>
      <c r="AT1367" s="62"/>
      <c r="AU1367" s="62"/>
      <c r="AV1367" s="66"/>
      <c r="AW1367" s="97"/>
    </row>
    <row r="1368" spans="23:49" x14ac:dyDescent="0.15">
      <c r="W1368" s="12"/>
      <c r="X1368" s="62"/>
      <c r="Y1368" s="62"/>
      <c r="Z1368" s="62"/>
      <c r="AA1368" s="62"/>
      <c r="AB1368" s="98"/>
      <c r="AC1368" s="62"/>
      <c r="AD1368" s="62"/>
      <c r="AE1368" s="62"/>
      <c r="AF1368" s="62"/>
      <c r="AG1368" s="66"/>
      <c r="AH1368" s="62"/>
      <c r="AI1368" s="62"/>
      <c r="AJ1368" s="62"/>
      <c r="AK1368" s="62"/>
      <c r="AL1368" s="66"/>
      <c r="AM1368" s="62"/>
      <c r="AN1368" s="62"/>
      <c r="AO1368" s="62"/>
      <c r="AP1368" s="62"/>
      <c r="AQ1368" s="66"/>
      <c r="AR1368" s="62"/>
      <c r="AS1368" s="62"/>
      <c r="AT1368" s="62"/>
      <c r="AU1368" s="62"/>
      <c r="AV1368" s="66"/>
      <c r="AW1368" s="97"/>
    </row>
    <row r="1369" spans="23:49" x14ac:dyDescent="0.15">
      <c r="W1369" s="12"/>
      <c r="X1369" s="62"/>
      <c r="Y1369" s="62"/>
      <c r="Z1369" s="62"/>
      <c r="AA1369" s="62"/>
      <c r="AB1369" s="98"/>
      <c r="AC1369" s="62"/>
      <c r="AD1369" s="62"/>
      <c r="AE1369" s="62"/>
      <c r="AF1369" s="62"/>
      <c r="AG1369" s="66"/>
      <c r="AH1369" s="62"/>
      <c r="AI1369" s="62"/>
      <c r="AJ1369" s="62"/>
      <c r="AK1369" s="62"/>
      <c r="AL1369" s="66"/>
      <c r="AM1369" s="62"/>
      <c r="AN1369" s="62"/>
      <c r="AO1369" s="62"/>
      <c r="AP1369" s="62"/>
      <c r="AQ1369" s="66"/>
      <c r="AR1369" s="62"/>
      <c r="AS1369" s="62"/>
      <c r="AT1369" s="62"/>
      <c r="AU1369" s="62"/>
      <c r="AV1369" s="66"/>
      <c r="AW1369" s="97"/>
    </row>
    <row r="1370" spans="23:49" x14ac:dyDescent="0.15">
      <c r="W1370" s="12"/>
      <c r="X1370" s="62"/>
      <c r="Y1370" s="62"/>
      <c r="Z1370" s="62"/>
      <c r="AA1370" s="62"/>
      <c r="AB1370" s="98"/>
      <c r="AC1370" s="62"/>
      <c r="AD1370" s="62"/>
      <c r="AE1370" s="62"/>
      <c r="AF1370" s="62"/>
      <c r="AG1370" s="66"/>
      <c r="AH1370" s="62"/>
      <c r="AI1370" s="62"/>
      <c r="AJ1370" s="62"/>
      <c r="AK1370" s="62"/>
      <c r="AL1370" s="66"/>
      <c r="AM1370" s="62"/>
      <c r="AN1370" s="62"/>
      <c r="AO1370" s="62"/>
      <c r="AP1370" s="62"/>
      <c r="AQ1370" s="66"/>
      <c r="AR1370" s="62"/>
      <c r="AS1370" s="62"/>
      <c r="AT1370" s="62"/>
      <c r="AU1370" s="62"/>
      <c r="AV1370" s="66"/>
      <c r="AW1370" s="97"/>
    </row>
    <row r="1371" spans="23:49" x14ac:dyDescent="0.15">
      <c r="W1371" s="12"/>
      <c r="X1371" s="62"/>
      <c r="Y1371" s="62"/>
      <c r="Z1371" s="62"/>
      <c r="AA1371" s="62"/>
      <c r="AB1371" s="98"/>
      <c r="AC1371" s="62"/>
      <c r="AD1371" s="62"/>
      <c r="AE1371" s="62"/>
      <c r="AF1371" s="62"/>
      <c r="AG1371" s="66"/>
      <c r="AH1371" s="62"/>
      <c r="AI1371" s="62"/>
      <c r="AJ1371" s="62"/>
      <c r="AK1371" s="62"/>
      <c r="AL1371" s="66"/>
      <c r="AM1371" s="62"/>
      <c r="AN1371" s="62"/>
      <c r="AO1371" s="62"/>
      <c r="AP1371" s="62"/>
      <c r="AQ1371" s="66"/>
      <c r="AR1371" s="62"/>
      <c r="AS1371" s="62"/>
      <c r="AT1371" s="62"/>
      <c r="AU1371" s="62"/>
      <c r="AV1371" s="66"/>
      <c r="AW1371" s="97"/>
    </row>
    <row r="1372" spans="23:49" x14ac:dyDescent="0.15">
      <c r="W1372" s="12"/>
      <c r="X1372" s="62"/>
      <c r="Y1372" s="62"/>
      <c r="Z1372" s="62"/>
      <c r="AA1372" s="62"/>
      <c r="AB1372" s="98"/>
      <c r="AC1372" s="62"/>
      <c r="AD1372" s="62"/>
      <c r="AE1372" s="62"/>
      <c r="AF1372" s="62"/>
      <c r="AG1372" s="66"/>
      <c r="AH1372" s="62"/>
      <c r="AI1372" s="62"/>
      <c r="AJ1372" s="62"/>
      <c r="AK1372" s="62"/>
      <c r="AL1372" s="66"/>
      <c r="AM1372" s="62"/>
      <c r="AN1372" s="62"/>
      <c r="AO1372" s="62"/>
      <c r="AP1372" s="62"/>
      <c r="AQ1372" s="66"/>
      <c r="AR1372" s="62"/>
      <c r="AS1372" s="62"/>
      <c r="AT1372" s="62"/>
      <c r="AU1372" s="62"/>
      <c r="AV1372" s="66"/>
      <c r="AW1372" s="97"/>
    </row>
    <row r="1373" spans="23:49" x14ac:dyDescent="0.15">
      <c r="W1373" s="12"/>
      <c r="X1373" s="62"/>
      <c r="Y1373" s="62"/>
      <c r="Z1373" s="62"/>
      <c r="AA1373" s="62"/>
      <c r="AB1373" s="98"/>
      <c r="AC1373" s="62"/>
      <c r="AD1373" s="62"/>
      <c r="AE1373" s="62"/>
      <c r="AF1373" s="62"/>
      <c r="AG1373" s="66"/>
      <c r="AH1373" s="62"/>
      <c r="AI1373" s="62"/>
      <c r="AJ1373" s="62"/>
      <c r="AK1373" s="62"/>
      <c r="AL1373" s="66"/>
      <c r="AM1373" s="62"/>
      <c r="AN1373" s="62"/>
      <c r="AO1373" s="62"/>
      <c r="AP1373" s="62"/>
      <c r="AQ1373" s="66"/>
      <c r="AR1373" s="62"/>
      <c r="AS1373" s="62"/>
      <c r="AT1373" s="62"/>
      <c r="AU1373" s="62"/>
      <c r="AV1373" s="66"/>
      <c r="AW1373" s="97"/>
    </row>
    <row r="1374" spans="23:49" x14ac:dyDescent="0.15">
      <c r="W1374" s="12"/>
      <c r="X1374" s="62"/>
      <c r="Y1374" s="62"/>
      <c r="Z1374" s="62"/>
      <c r="AA1374" s="62"/>
      <c r="AB1374" s="98"/>
      <c r="AC1374" s="62"/>
      <c r="AD1374" s="62"/>
      <c r="AE1374" s="62"/>
      <c r="AF1374" s="62"/>
      <c r="AG1374" s="66"/>
      <c r="AH1374" s="62"/>
      <c r="AI1374" s="62"/>
      <c r="AJ1374" s="62"/>
      <c r="AK1374" s="62"/>
      <c r="AL1374" s="66"/>
      <c r="AM1374" s="62"/>
      <c r="AN1374" s="62"/>
      <c r="AO1374" s="62"/>
      <c r="AP1374" s="62"/>
      <c r="AQ1374" s="66"/>
      <c r="AR1374" s="62"/>
      <c r="AS1374" s="62"/>
      <c r="AT1374" s="62"/>
      <c r="AU1374" s="62"/>
      <c r="AV1374" s="66"/>
      <c r="AW1374" s="97"/>
    </row>
    <row r="1375" spans="23:49" x14ac:dyDescent="0.15">
      <c r="W1375" s="12"/>
      <c r="X1375" s="62"/>
      <c r="Y1375" s="62"/>
      <c r="Z1375" s="62"/>
      <c r="AA1375" s="62"/>
      <c r="AB1375" s="98"/>
      <c r="AC1375" s="62"/>
      <c r="AD1375" s="62"/>
      <c r="AE1375" s="62"/>
      <c r="AF1375" s="62"/>
      <c r="AG1375" s="66"/>
      <c r="AH1375" s="62"/>
      <c r="AI1375" s="62"/>
      <c r="AJ1375" s="62"/>
      <c r="AK1375" s="62"/>
      <c r="AL1375" s="66"/>
      <c r="AM1375" s="62"/>
      <c r="AN1375" s="62"/>
      <c r="AO1375" s="62"/>
      <c r="AP1375" s="62"/>
      <c r="AQ1375" s="66"/>
      <c r="AR1375" s="62"/>
      <c r="AS1375" s="62"/>
      <c r="AT1375" s="62"/>
      <c r="AU1375" s="62"/>
      <c r="AV1375" s="66"/>
      <c r="AW1375" s="97"/>
    </row>
    <row r="1376" spans="23:49" x14ac:dyDescent="0.15">
      <c r="W1376" s="12"/>
      <c r="X1376" s="62"/>
      <c r="Y1376" s="62"/>
      <c r="Z1376" s="62"/>
      <c r="AA1376" s="62"/>
      <c r="AB1376" s="98"/>
      <c r="AC1376" s="62"/>
      <c r="AD1376" s="62"/>
      <c r="AE1376" s="62"/>
      <c r="AF1376" s="62"/>
      <c r="AG1376" s="66"/>
      <c r="AH1376" s="62"/>
      <c r="AI1376" s="62"/>
      <c r="AJ1376" s="62"/>
      <c r="AK1376" s="62"/>
      <c r="AL1376" s="66"/>
      <c r="AM1376" s="62"/>
      <c r="AN1376" s="62"/>
      <c r="AO1376" s="62"/>
      <c r="AP1376" s="62"/>
      <c r="AQ1376" s="66"/>
      <c r="AR1376" s="62"/>
      <c r="AS1376" s="62"/>
      <c r="AT1376" s="62"/>
      <c r="AU1376" s="62"/>
      <c r="AV1376" s="66"/>
      <c r="AW1376" s="97"/>
    </row>
    <row r="1377" spans="23:49" x14ac:dyDescent="0.15">
      <c r="W1377" s="12"/>
      <c r="X1377" s="62"/>
      <c r="Y1377" s="62"/>
      <c r="Z1377" s="62"/>
      <c r="AA1377" s="62"/>
      <c r="AB1377" s="98"/>
      <c r="AC1377" s="62"/>
      <c r="AD1377" s="62"/>
      <c r="AE1377" s="62"/>
      <c r="AF1377" s="62"/>
      <c r="AG1377" s="66"/>
      <c r="AH1377" s="62"/>
      <c r="AI1377" s="62"/>
      <c r="AJ1377" s="62"/>
      <c r="AK1377" s="62"/>
      <c r="AL1377" s="66"/>
      <c r="AM1377" s="62"/>
      <c r="AN1377" s="62"/>
      <c r="AO1377" s="62"/>
      <c r="AP1377" s="62"/>
      <c r="AQ1377" s="66"/>
      <c r="AR1377" s="62"/>
      <c r="AS1377" s="62"/>
      <c r="AT1377" s="62"/>
      <c r="AU1377" s="62"/>
      <c r="AV1377" s="66"/>
      <c r="AW1377" s="97"/>
    </row>
    <row r="1378" spans="23:49" x14ac:dyDescent="0.15">
      <c r="W1378" s="12"/>
      <c r="X1378" s="62"/>
      <c r="Y1378" s="62"/>
      <c r="Z1378" s="62"/>
      <c r="AA1378" s="62"/>
      <c r="AB1378" s="98"/>
      <c r="AC1378" s="62"/>
      <c r="AD1378" s="62"/>
      <c r="AE1378" s="62"/>
      <c r="AF1378" s="62"/>
      <c r="AG1378" s="66"/>
      <c r="AH1378" s="62"/>
      <c r="AI1378" s="62"/>
      <c r="AJ1378" s="62"/>
      <c r="AK1378" s="62"/>
      <c r="AL1378" s="66"/>
      <c r="AM1378" s="62"/>
      <c r="AN1378" s="62"/>
      <c r="AO1378" s="62"/>
      <c r="AP1378" s="62"/>
      <c r="AQ1378" s="66"/>
      <c r="AR1378" s="62"/>
      <c r="AS1378" s="62"/>
      <c r="AT1378" s="62"/>
      <c r="AU1378" s="62"/>
      <c r="AV1378" s="66"/>
      <c r="AW1378" s="97"/>
    </row>
    <row r="1379" spans="23:49" x14ac:dyDescent="0.15">
      <c r="W1379" s="12"/>
      <c r="X1379" s="62"/>
      <c r="Y1379" s="62"/>
      <c r="Z1379" s="62"/>
      <c r="AA1379" s="62"/>
      <c r="AB1379" s="98"/>
      <c r="AC1379" s="62"/>
      <c r="AD1379" s="62"/>
      <c r="AE1379" s="62"/>
      <c r="AF1379" s="62"/>
      <c r="AG1379" s="66"/>
      <c r="AH1379" s="62"/>
      <c r="AI1379" s="62"/>
      <c r="AJ1379" s="62"/>
      <c r="AK1379" s="62"/>
      <c r="AL1379" s="66"/>
      <c r="AM1379" s="62"/>
      <c r="AN1379" s="62"/>
      <c r="AO1379" s="62"/>
      <c r="AP1379" s="62"/>
      <c r="AQ1379" s="66"/>
      <c r="AR1379" s="62"/>
      <c r="AS1379" s="62"/>
      <c r="AT1379" s="62"/>
      <c r="AU1379" s="62"/>
      <c r="AV1379" s="66"/>
      <c r="AW1379" s="97"/>
    </row>
    <row r="1380" spans="23:49" x14ac:dyDescent="0.15">
      <c r="W1380" s="12"/>
      <c r="X1380" s="62"/>
      <c r="Y1380" s="62"/>
      <c r="Z1380" s="62"/>
      <c r="AA1380" s="62"/>
      <c r="AB1380" s="98"/>
      <c r="AC1380" s="62"/>
      <c r="AD1380" s="62"/>
      <c r="AE1380" s="62"/>
      <c r="AF1380" s="62"/>
      <c r="AG1380" s="66"/>
      <c r="AH1380" s="62"/>
      <c r="AI1380" s="62"/>
      <c r="AJ1380" s="62"/>
      <c r="AK1380" s="62"/>
      <c r="AL1380" s="66"/>
      <c r="AM1380" s="62"/>
      <c r="AN1380" s="62"/>
      <c r="AO1380" s="62"/>
      <c r="AP1380" s="62"/>
      <c r="AQ1380" s="66"/>
      <c r="AR1380" s="62"/>
      <c r="AS1380" s="62"/>
      <c r="AT1380" s="62"/>
      <c r="AU1380" s="62"/>
      <c r="AV1380" s="66"/>
      <c r="AW1380" s="97"/>
    </row>
    <row r="1381" spans="23:49" x14ac:dyDescent="0.15">
      <c r="W1381" s="12"/>
      <c r="X1381" s="62"/>
      <c r="Y1381" s="62"/>
      <c r="Z1381" s="62"/>
      <c r="AA1381" s="62"/>
      <c r="AB1381" s="98"/>
      <c r="AC1381" s="62"/>
      <c r="AD1381" s="62"/>
      <c r="AE1381" s="62"/>
      <c r="AF1381" s="62"/>
      <c r="AG1381" s="66"/>
      <c r="AH1381" s="62"/>
      <c r="AI1381" s="62"/>
      <c r="AJ1381" s="62"/>
      <c r="AK1381" s="62"/>
      <c r="AL1381" s="66"/>
      <c r="AM1381" s="62"/>
      <c r="AN1381" s="62"/>
      <c r="AO1381" s="62"/>
      <c r="AP1381" s="62"/>
      <c r="AQ1381" s="66"/>
      <c r="AR1381" s="62"/>
      <c r="AS1381" s="62"/>
      <c r="AT1381" s="62"/>
      <c r="AU1381" s="62"/>
      <c r="AV1381" s="66"/>
      <c r="AW1381" s="97"/>
    </row>
    <row r="1382" spans="23:49" x14ac:dyDescent="0.15">
      <c r="W1382" s="12"/>
      <c r="X1382" s="62"/>
      <c r="Y1382" s="62"/>
      <c r="Z1382" s="62"/>
      <c r="AA1382" s="62"/>
      <c r="AB1382" s="98"/>
      <c r="AC1382" s="62"/>
      <c r="AD1382" s="62"/>
      <c r="AE1382" s="62"/>
      <c r="AF1382" s="62"/>
      <c r="AG1382" s="66"/>
      <c r="AH1382" s="62"/>
      <c r="AI1382" s="62"/>
      <c r="AJ1382" s="62"/>
      <c r="AK1382" s="62"/>
      <c r="AL1382" s="66"/>
      <c r="AM1382" s="62"/>
      <c r="AN1382" s="62"/>
      <c r="AO1382" s="62"/>
      <c r="AP1382" s="62"/>
      <c r="AQ1382" s="66"/>
      <c r="AR1382" s="62"/>
      <c r="AS1382" s="62"/>
      <c r="AT1382" s="62"/>
      <c r="AU1382" s="62"/>
      <c r="AV1382" s="66"/>
      <c r="AW1382" s="97"/>
    </row>
    <row r="1383" spans="23:49" x14ac:dyDescent="0.15">
      <c r="W1383" s="12"/>
      <c r="X1383" s="62"/>
      <c r="Y1383" s="62"/>
      <c r="Z1383" s="62"/>
      <c r="AA1383" s="62"/>
      <c r="AB1383" s="98"/>
      <c r="AC1383" s="62"/>
      <c r="AD1383" s="62"/>
      <c r="AE1383" s="62"/>
      <c r="AF1383" s="62"/>
      <c r="AG1383" s="66"/>
      <c r="AH1383" s="62"/>
      <c r="AI1383" s="62"/>
      <c r="AJ1383" s="62"/>
      <c r="AK1383" s="62"/>
      <c r="AL1383" s="66"/>
      <c r="AM1383" s="62"/>
      <c r="AN1383" s="62"/>
      <c r="AO1383" s="62"/>
      <c r="AP1383" s="62"/>
      <c r="AQ1383" s="66"/>
      <c r="AR1383" s="62"/>
      <c r="AS1383" s="62"/>
      <c r="AT1383" s="62"/>
      <c r="AU1383" s="62"/>
      <c r="AV1383" s="66"/>
      <c r="AW1383" s="97"/>
    </row>
    <row r="1384" spans="23:49" x14ac:dyDescent="0.15">
      <c r="W1384" s="12"/>
      <c r="X1384" s="62"/>
      <c r="Y1384" s="62"/>
      <c r="Z1384" s="62"/>
      <c r="AA1384" s="62"/>
      <c r="AB1384" s="98"/>
      <c r="AC1384" s="62"/>
      <c r="AD1384" s="62"/>
      <c r="AE1384" s="62"/>
      <c r="AF1384" s="62"/>
      <c r="AG1384" s="66"/>
      <c r="AH1384" s="62"/>
      <c r="AI1384" s="62"/>
      <c r="AJ1384" s="62"/>
      <c r="AK1384" s="62"/>
      <c r="AL1384" s="66"/>
      <c r="AM1384" s="62"/>
      <c r="AN1384" s="62"/>
      <c r="AO1384" s="62"/>
      <c r="AP1384" s="62"/>
      <c r="AQ1384" s="66"/>
      <c r="AR1384" s="62"/>
      <c r="AS1384" s="62"/>
      <c r="AT1384" s="62"/>
      <c r="AU1384" s="62"/>
      <c r="AV1384" s="66"/>
      <c r="AW1384" s="97"/>
    </row>
    <row r="1385" spans="23:49" x14ac:dyDescent="0.15">
      <c r="W1385" s="12"/>
      <c r="X1385" s="62"/>
      <c r="Y1385" s="62"/>
      <c r="Z1385" s="62"/>
      <c r="AA1385" s="62"/>
      <c r="AB1385" s="98"/>
      <c r="AC1385" s="62"/>
      <c r="AD1385" s="62"/>
      <c r="AE1385" s="62"/>
      <c r="AF1385" s="62"/>
      <c r="AG1385" s="66"/>
      <c r="AH1385" s="62"/>
      <c r="AI1385" s="62"/>
      <c r="AJ1385" s="62"/>
      <c r="AK1385" s="62"/>
      <c r="AL1385" s="66"/>
      <c r="AM1385" s="62"/>
      <c r="AN1385" s="62"/>
      <c r="AO1385" s="62"/>
      <c r="AP1385" s="62"/>
      <c r="AQ1385" s="66"/>
      <c r="AR1385" s="62"/>
      <c r="AS1385" s="62"/>
      <c r="AT1385" s="62"/>
      <c r="AU1385" s="62"/>
      <c r="AV1385" s="66"/>
      <c r="AW1385" s="97"/>
    </row>
    <row r="1386" spans="23:49" x14ac:dyDescent="0.15">
      <c r="W1386" s="12"/>
      <c r="X1386" s="62"/>
      <c r="Y1386" s="62"/>
      <c r="Z1386" s="62"/>
      <c r="AA1386" s="62"/>
      <c r="AB1386" s="98"/>
      <c r="AC1386" s="62"/>
      <c r="AD1386" s="62"/>
      <c r="AE1386" s="62"/>
      <c r="AF1386" s="62"/>
      <c r="AG1386" s="66"/>
      <c r="AH1386" s="62"/>
      <c r="AI1386" s="62"/>
      <c r="AJ1386" s="62"/>
      <c r="AK1386" s="62"/>
      <c r="AL1386" s="66"/>
      <c r="AM1386" s="62"/>
      <c r="AN1386" s="62"/>
      <c r="AO1386" s="62"/>
      <c r="AP1386" s="62"/>
      <c r="AQ1386" s="66"/>
      <c r="AR1386" s="62"/>
      <c r="AS1386" s="62"/>
      <c r="AT1386" s="62"/>
      <c r="AU1386" s="62"/>
      <c r="AV1386" s="66"/>
      <c r="AW1386" s="97"/>
    </row>
    <row r="1387" spans="23:49" x14ac:dyDescent="0.15">
      <c r="W1387" s="12"/>
      <c r="X1387" s="62"/>
      <c r="Y1387" s="62"/>
      <c r="Z1387" s="62"/>
      <c r="AA1387" s="62"/>
      <c r="AB1387" s="98"/>
      <c r="AC1387" s="62"/>
      <c r="AD1387" s="62"/>
      <c r="AE1387" s="62"/>
      <c r="AF1387" s="62"/>
      <c r="AG1387" s="66"/>
      <c r="AH1387" s="62"/>
      <c r="AI1387" s="62"/>
      <c r="AJ1387" s="62"/>
      <c r="AK1387" s="62"/>
      <c r="AL1387" s="66"/>
      <c r="AM1387" s="62"/>
      <c r="AN1387" s="62"/>
      <c r="AO1387" s="62"/>
      <c r="AP1387" s="62"/>
      <c r="AQ1387" s="66"/>
      <c r="AR1387" s="62"/>
      <c r="AS1387" s="62"/>
      <c r="AT1387" s="62"/>
      <c r="AU1387" s="62"/>
      <c r="AV1387" s="66"/>
      <c r="AW1387" s="97"/>
    </row>
    <row r="1388" spans="23:49" x14ac:dyDescent="0.15">
      <c r="W1388" s="12"/>
      <c r="X1388" s="62"/>
      <c r="Y1388" s="62"/>
      <c r="Z1388" s="62"/>
      <c r="AA1388" s="62"/>
      <c r="AB1388" s="98"/>
      <c r="AC1388" s="62"/>
      <c r="AD1388" s="62"/>
      <c r="AE1388" s="62"/>
      <c r="AF1388" s="62"/>
      <c r="AG1388" s="66"/>
      <c r="AH1388" s="62"/>
      <c r="AI1388" s="62"/>
      <c r="AJ1388" s="62"/>
      <c r="AK1388" s="62"/>
      <c r="AL1388" s="66"/>
      <c r="AM1388" s="62"/>
      <c r="AN1388" s="62"/>
      <c r="AO1388" s="62"/>
      <c r="AP1388" s="62"/>
      <c r="AQ1388" s="66"/>
      <c r="AR1388" s="62"/>
      <c r="AS1388" s="62"/>
      <c r="AT1388" s="62"/>
      <c r="AU1388" s="62"/>
      <c r="AV1388" s="66"/>
      <c r="AW1388" s="97"/>
    </row>
    <row r="1389" spans="23:49" x14ac:dyDescent="0.15">
      <c r="W1389" s="12"/>
      <c r="X1389" s="62"/>
      <c r="Y1389" s="62"/>
      <c r="Z1389" s="62"/>
      <c r="AA1389" s="62"/>
      <c r="AB1389" s="98"/>
      <c r="AC1389" s="62"/>
      <c r="AD1389" s="62"/>
      <c r="AE1389" s="62"/>
      <c r="AF1389" s="62"/>
      <c r="AG1389" s="66"/>
      <c r="AH1389" s="62"/>
      <c r="AI1389" s="62"/>
      <c r="AJ1389" s="62"/>
      <c r="AK1389" s="62"/>
      <c r="AL1389" s="66"/>
      <c r="AM1389" s="62"/>
      <c r="AN1389" s="62"/>
      <c r="AO1389" s="62"/>
      <c r="AP1389" s="62"/>
      <c r="AQ1389" s="66"/>
      <c r="AR1389" s="62"/>
      <c r="AS1389" s="62"/>
      <c r="AT1389" s="62"/>
      <c r="AU1389" s="62"/>
      <c r="AV1389" s="66"/>
      <c r="AW1389" s="97"/>
    </row>
    <row r="1390" spans="23:49" x14ac:dyDescent="0.15">
      <c r="W1390" s="12"/>
      <c r="X1390" s="62"/>
      <c r="Y1390" s="62"/>
      <c r="Z1390" s="62"/>
      <c r="AA1390" s="62"/>
      <c r="AB1390" s="98"/>
      <c r="AC1390" s="62"/>
      <c r="AD1390" s="62"/>
      <c r="AE1390" s="62"/>
      <c r="AF1390" s="62"/>
      <c r="AG1390" s="66"/>
      <c r="AH1390" s="62"/>
      <c r="AI1390" s="62"/>
      <c r="AJ1390" s="62"/>
      <c r="AK1390" s="62"/>
      <c r="AL1390" s="66"/>
      <c r="AM1390" s="62"/>
      <c r="AN1390" s="62"/>
      <c r="AO1390" s="62"/>
      <c r="AP1390" s="62"/>
      <c r="AQ1390" s="66"/>
      <c r="AR1390" s="62"/>
      <c r="AS1390" s="62"/>
      <c r="AT1390" s="62"/>
      <c r="AU1390" s="62"/>
      <c r="AV1390" s="66"/>
      <c r="AW1390" s="97"/>
    </row>
    <row r="1391" spans="23:49" x14ac:dyDescent="0.15">
      <c r="W1391" s="12"/>
      <c r="X1391" s="62"/>
      <c r="Y1391" s="62"/>
      <c r="Z1391" s="62"/>
      <c r="AA1391" s="62"/>
      <c r="AB1391" s="98"/>
      <c r="AC1391" s="62"/>
      <c r="AD1391" s="62"/>
      <c r="AE1391" s="62"/>
      <c r="AF1391" s="62"/>
      <c r="AG1391" s="66"/>
      <c r="AH1391" s="62"/>
      <c r="AI1391" s="62"/>
      <c r="AJ1391" s="62"/>
      <c r="AK1391" s="62"/>
      <c r="AL1391" s="66"/>
      <c r="AM1391" s="62"/>
      <c r="AN1391" s="62"/>
      <c r="AO1391" s="62"/>
      <c r="AP1391" s="62"/>
      <c r="AQ1391" s="66"/>
      <c r="AR1391" s="62"/>
      <c r="AS1391" s="62"/>
      <c r="AT1391" s="62"/>
      <c r="AU1391" s="62"/>
      <c r="AV1391" s="66"/>
      <c r="AW1391" s="97"/>
    </row>
    <row r="1392" spans="23:49" x14ac:dyDescent="0.15">
      <c r="W1392" s="12"/>
      <c r="X1392" s="62"/>
      <c r="Y1392" s="62"/>
      <c r="Z1392" s="62"/>
      <c r="AA1392" s="62"/>
      <c r="AB1392" s="98"/>
      <c r="AC1392" s="62"/>
      <c r="AD1392" s="62"/>
      <c r="AE1392" s="62"/>
      <c r="AF1392" s="62"/>
      <c r="AG1392" s="66"/>
      <c r="AH1392" s="62"/>
      <c r="AI1392" s="62"/>
      <c r="AJ1392" s="62"/>
      <c r="AK1392" s="62"/>
      <c r="AL1392" s="66"/>
      <c r="AM1392" s="62"/>
      <c r="AN1392" s="62"/>
      <c r="AO1392" s="62"/>
      <c r="AP1392" s="62"/>
      <c r="AQ1392" s="66"/>
      <c r="AR1392" s="62"/>
      <c r="AS1392" s="62"/>
      <c r="AT1392" s="62"/>
      <c r="AU1392" s="62"/>
      <c r="AV1392" s="66"/>
      <c r="AW1392" s="97"/>
    </row>
    <row r="1393" spans="23:49" x14ac:dyDescent="0.15">
      <c r="W1393" s="12"/>
      <c r="X1393" s="62"/>
      <c r="Y1393" s="62"/>
      <c r="Z1393" s="62"/>
      <c r="AA1393" s="62"/>
      <c r="AB1393" s="98"/>
      <c r="AC1393" s="62"/>
      <c r="AD1393" s="62"/>
      <c r="AE1393" s="62"/>
      <c r="AF1393" s="62"/>
      <c r="AG1393" s="66"/>
      <c r="AH1393" s="62"/>
      <c r="AI1393" s="62"/>
      <c r="AJ1393" s="62"/>
      <c r="AK1393" s="62"/>
      <c r="AL1393" s="66"/>
      <c r="AM1393" s="62"/>
      <c r="AN1393" s="62"/>
      <c r="AO1393" s="62"/>
      <c r="AP1393" s="62"/>
      <c r="AQ1393" s="66"/>
      <c r="AR1393" s="62"/>
      <c r="AS1393" s="62"/>
      <c r="AT1393" s="62"/>
      <c r="AU1393" s="62"/>
      <c r="AV1393" s="66"/>
      <c r="AW1393" s="97"/>
    </row>
    <row r="1394" spans="23:49" x14ac:dyDescent="0.15">
      <c r="W1394" s="12"/>
      <c r="X1394" s="62"/>
      <c r="Y1394" s="62"/>
      <c r="Z1394" s="62"/>
      <c r="AA1394" s="62"/>
      <c r="AB1394" s="98"/>
      <c r="AC1394" s="62"/>
      <c r="AD1394" s="62"/>
      <c r="AE1394" s="62"/>
      <c r="AF1394" s="62"/>
      <c r="AG1394" s="66"/>
      <c r="AH1394" s="62"/>
      <c r="AI1394" s="62"/>
      <c r="AJ1394" s="62"/>
      <c r="AK1394" s="62"/>
      <c r="AL1394" s="66"/>
      <c r="AM1394" s="62"/>
      <c r="AN1394" s="62"/>
      <c r="AO1394" s="62"/>
      <c r="AP1394" s="62"/>
      <c r="AQ1394" s="66"/>
      <c r="AR1394" s="62"/>
      <c r="AS1394" s="62"/>
      <c r="AT1394" s="62"/>
      <c r="AU1394" s="62"/>
      <c r="AV1394" s="66"/>
      <c r="AW1394" s="97"/>
    </row>
    <row r="1395" spans="23:49" x14ac:dyDescent="0.15">
      <c r="W1395" s="12"/>
      <c r="X1395" s="62"/>
      <c r="Y1395" s="62"/>
      <c r="Z1395" s="62"/>
      <c r="AA1395" s="62"/>
      <c r="AB1395" s="98"/>
      <c r="AC1395" s="62"/>
      <c r="AD1395" s="62"/>
      <c r="AE1395" s="62"/>
      <c r="AF1395" s="62"/>
      <c r="AG1395" s="66"/>
      <c r="AH1395" s="62"/>
      <c r="AI1395" s="62"/>
      <c r="AJ1395" s="62"/>
      <c r="AK1395" s="62"/>
      <c r="AL1395" s="66"/>
      <c r="AM1395" s="62"/>
      <c r="AN1395" s="62"/>
      <c r="AO1395" s="62"/>
      <c r="AP1395" s="62"/>
      <c r="AQ1395" s="66"/>
      <c r="AR1395" s="62"/>
      <c r="AS1395" s="62"/>
      <c r="AT1395" s="62"/>
      <c r="AU1395" s="62"/>
      <c r="AV1395" s="66"/>
      <c r="AW1395" s="97"/>
    </row>
    <row r="1396" spans="23:49" x14ac:dyDescent="0.15">
      <c r="W1396" s="12"/>
      <c r="X1396" s="62"/>
      <c r="Y1396" s="62"/>
      <c r="Z1396" s="62"/>
      <c r="AA1396" s="62"/>
      <c r="AB1396" s="98"/>
      <c r="AC1396" s="62"/>
      <c r="AD1396" s="62"/>
      <c r="AE1396" s="62"/>
      <c r="AF1396" s="62"/>
      <c r="AG1396" s="66"/>
      <c r="AH1396" s="62"/>
      <c r="AI1396" s="62"/>
      <c r="AJ1396" s="62"/>
      <c r="AK1396" s="62"/>
      <c r="AL1396" s="66"/>
      <c r="AM1396" s="62"/>
      <c r="AN1396" s="62"/>
      <c r="AO1396" s="62"/>
      <c r="AP1396" s="62"/>
      <c r="AQ1396" s="66"/>
      <c r="AR1396" s="62"/>
      <c r="AS1396" s="62"/>
      <c r="AT1396" s="62"/>
      <c r="AU1396" s="62"/>
      <c r="AV1396" s="66"/>
      <c r="AW1396" s="97"/>
    </row>
    <row r="1397" spans="23:49" x14ac:dyDescent="0.15">
      <c r="W1397" s="12"/>
      <c r="X1397" s="62"/>
      <c r="Y1397" s="62"/>
      <c r="Z1397" s="62"/>
      <c r="AA1397" s="62"/>
      <c r="AB1397" s="98"/>
      <c r="AC1397" s="62"/>
      <c r="AD1397" s="62"/>
      <c r="AE1397" s="62"/>
      <c r="AF1397" s="62"/>
      <c r="AG1397" s="66"/>
      <c r="AH1397" s="62"/>
      <c r="AI1397" s="62"/>
      <c r="AJ1397" s="62"/>
      <c r="AK1397" s="62"/>
      <c r="AL1397" s="66"/>
      <c r="AM1397" s="62"/>
      <c r="AN1397" s="62"/>
      <c r="AO1397" s="62"/>
      <c r="AP1397" s="62"/>
      <c r="AQ1397" s="66"/>
      <c r="AR1397" s="62"/>
      <c r="AS1397" s="62"/>
      <c r="AT1397" s="62"/>
      <c r="AU1397" s="62"/>
      <c r="AV1397" s="66"/>
      <c r="AW1397" s="97"/>
    </row>
    <row r="1398" spans="23:49" x14ac:dyDescent="0.15">
      <c r="W1398" s="12"/>
      <c r="X1398" s="62"/>
      <c r="Y1398" s="62"/>
      <c r="Z1398" s="62"/>
      <c r="AA1398" s="62"/>
      <c r="AB1398" s="98"/>
      <c r="AC1398" s="62"/>
      <c r="AD1398" s="62"/>
      <c r="AE1398" s="62"/>
      <c r="AF1398" s="62"/>
      <c r="AG1398" s="66"/>
      <c r="AH1398" s="62"/>
      <c r="AI1398" s="62"/>
      <c r="AJ1398" s="62"/>
      <c r="AK1398" s="62"/>
      <c r="AL1398" s="66"/>
      <c r="AM1398" s="62"/>
      <c r="AN1398" s="62"/>
      <c r="AO1398" s="62"/>
      <c r="AP1398" s="62"/>
      <c r="AQ1398" s="66"/>
      <c r="AR1398" s="62"/>
      <c r="AS1398" s="62"/>
      <c r="AT1398" s="62"/>
      <c r="AU1398" s="62"/>
      <c r="AV1398" s="66"/>
      <c r="AW1398" s="97"/>
    </row>
    <row r="1399" spans="23:49" x14ac:dyDescent="0.15">
      <c r="W1399" s="12"/>
      <c r="X1399" s="62"/>
      <c r="Y1399" s="62"/>
      <c r="Z1399" s="62"/>
      <c r="AA1399" s="62"/>
      <c r="AB1399" s="98"/>
      <c r="AC1399" s="62"/>
      <c r="AD1399" s="62"/>
      <c r="AE1399" s="62"/>
      <c r="AF1399" s="62"/>
      <c r="AG1399" s="66"/>
      <c r="AH1399" s="62"/>
      <c r="AI1399" s="62"/>
      <c r="AJ1399" s="62"/>
      <c r="AK1399" s="62"/>
      <c r="AL1399" s="66"/>
      <c r="AM1399" s="62"/>
      <c r="AN1399" s="62"/>
      <c r="AO1399" s="62"/>
      <c r="AP1399" s="62"/>
      <c r="AQ1399" s="66"/>
      <c r="AR1399" s="62"/>
      <c r="AS1399" s="62"/>
      <c r="AT1399" s="62"/>
      <c r="AU1399" s="62"/>
      <c r="AV1399" s="66"/>
      <c r="AW1399" s="97"/>
    </row>
    <row r="1400" spans="23:49" x14ac:dyDescent="0.15">
      <c r="W1400" s="12"/>
      <c r="X1400" s="62"/>
      <c r="Y1400" s="62"/>
      <c r="Z1400" s="62"/>
      <c r="AA1400" s="62"/>
      <c r="AB1400" s="98"/>
      <c r="AC1400" s="62"/>
      <c r="AD1400" s="62"/>
      <c r="AE1400" s="62"/>
      <c r="AF1400" s="62"/>
      <c r="AG1400" s="66"/>
      <c r="AH1400" s="62"/>
      <c r="AI1400" s="62"/>
      <c r="AJ1400" s="62"/>
      <c r="AK1400" s="62"/>
      <c r="AL1400" s="66"/>
      <c r="AM1400" s="62"/>
      <c r="AN1400" s="62"/>
      <c r="AO1400" s="62"/>
      <c r="AP1400" s="62"/>
      <c r="AQ1400" s="66"/>
      <c r="AR1400" s="62"/>
      <c r="AS1400" s="62"/>
      <c r="AT1400" s="62"/>
      <c r="AU1400" s="62"/>
      <c r="AV1400" s="66"/>
      <c r="AW1400" s="97"/>
    </row>
    <row r="1401" spans="23:49" x14ac:dyDescent="0.15">
      <c r="W1401" s="12"/>
      <c r="X1401" s="62"/>
      <c r="Y1401" s="62"/>
      <c r="Z1401" s="62"/>
      <c r="AA1401" s="62"/>
      <c r="AB1401" s="98"/>
      <c r="AC1401" s="62"/>
      <c r="AD1401" s="62"/>
      <c r="AE1401" s="62"/>
      <c r="AF1401" s="62"/>
      <c r="AG1401" s="66"/>
      <c r="AH1401" s="62"/>
      <c r="AI1401" s="62"/>
      <c r="AJ1401" s="62"/>
      <c r="AK1401" s="62"/>
      <c r="AL1401" s="66"/>
      <c r="AM1401" s="62"/>
      <c r="AN1401" s="62"/>
      <c r="AO1401" s="62"/>
      <c r="AP1401" s="62"/>
      <c r="AQ1401" s="66"/>
      <c r="AR1401" s="62"/>
      <c r="AS1401" s="62"/>
      <c r="AT1401" s="62"/>
      <c r="AU1401" s="62"/>
      <c r="AV1401" s="66"/>
      <c r="AW1401" s="97"/>
    </row>
    <row r="1402" spans="23:49" x14ac:dyDescent="0.15">
      <c r="W1402" s="12"/>
      <c r="X1402" s="62"/>
      <c r="Y1402" s="62"/>
      <c r="Z1402" s="62"/>
      <c r="AA1402" s="62"/>
      <c r="AB1402" s="98"/>
      <c r="AC1402" s="62"/>
      <c r="AD1402" s="62"/>
      <c r="AE1402" s="62"/>
      <c r="AF1402" s="62"/>
      <c r="AG1402" s="66"/>
      <c r="AH1402" s="62"/>
      <c r="AI1402" s="62"/>
      <c r="AJ1402" s="62"/>
      <c r="AK1402" s="62"/>
      <c r="AL1402" s="66"/>
      <c r="AM1402" s="62"/>
      <c r="AN1402" s="62"/>
      <c r="AO1402" s="62"/>
      <c r="AP1402" s="62"/>
      <c r="AQ1402" s="66"/>
      <c r="AR1402" s="62"/>
      <c r="AS1402" s="62"/>
      <c r="AT1402" s="62"/>
      <c r="AU1402" s="62"/>
      <c r="AV1402" s="66"/>
      <c r="AW1402" s="97"/>
    </row>
    <row r="1403" spans="23:49" x14ac:dyDescent="0.15">
      <c r="W1403" s="12"/>
      <c r="X1403" s="62"/>
      <c r="Y1403" s="62"/>
      <c r="Z1403" s="62"/>
      <c r="AA1403" s="62"/>
      <c r="AB1403" s="98"/>
      <c r="AC1403" s="62"/>
      <c r="AD1403" s="62"/>
      <c r="AE1403" s="62"/>
      <c r="AF1403" s="62"/>
      <c r="AG1403" s="66"/>
      <c r="AH1403" s="62"/>
      <c r="AI1403" s="62"/>
      <c r="AJ1403" s="62"/>
      <c r="AK1403" s="62"/>
      <c r="AL1403" s="66"/>
      <c r="AM1403" s="62"/>
      <c r="AN1403" s="62"/>
      <c r="AO1403" s="62"/>
      <c r="AP1403" s="62"/>
      <c r="AQ1403" s="66"/>
      <c r="AR1403" s="62"/>
      <c r="AS1403" s="62"/>
      <c r="AT1403" s="62"/>
      <c r="AU1403" s="62"/>
      <c r="AV1403" s="66"/>
      <c r="AW1403" s="97"/>
    </row>
    <row r="1404" spans="23:49" x14ac:dyDescent="0.15">
      <c r="W1404" s="12"/>
      <c r="X1404" s="62"/>
      <c r="Y1404" s="62"/>
      <c r="Z1404" s="62"/>
      <c r="AA1404" s="62"/>
      <c r="AB1404" s="98"/>
      <c r="AC1404" s="62"/>
      <c r="AD1404" s="62"/>
      <c r="AE1404" s="62"/>
      <c r="AF1404" s="62"/>
      <c r="AG1404" s="66"/>
      <c r="AH1404" s="62"/>
      <c r="AI1404" s="62"/>
      <c r="AJ1404" s="62"/>
      <c r="AK1404" s="62"/>
      <c r="AL1404" s="66"/>
      <c r="AM1404" s="62"/>
      <c r="AN1404" s="62"/>
      <c r="AO1404" s="62"/>
      <c r="AP1404" s="62"/>
      <c r="AQ1404" s="66"/>
      <c r="AR1404" s="62"/>
      <c r="AS1404" s="62"/>
      <c r="AT1404" s="62"/>
      <c r="AU1404" s="62"/>
      <c r="AV1404" s="66"/>
      <c r="AW1404" s="97"/>
    </row>
    <row r="1405" spans="23:49" x14ac:dyDescent="0.15">
      <c r="W1405" s="12"/>
      <c r="X1405" s="62"/>
      <c r="Y1405" s="62"/>
      <c r="Z1405" s="62"/>
      <c r="AA1405" s="62"/>
      <c r="AB1405" s="98"/>
      <c r="AC1405" s="62"/>
      <c r="AD1405" s="62"/>
      <c r="AE1405" s="62"/>
      <c r="AF1405" s="62"/>
      <c r="AG1405" s="66"/>
      <c r="AH1405" s="62"/>
      <c r="AI1405" s="62"/>
      <c r="AJ1405" s="62"/>
      <c r="AK1405" s="62"/>
      <c r="AL1405" s="66"/>
      <c r="AM1405" s="62"/>
      <c r="AN1405" s="62"/>
      <c r="AO1405" s="62"/>
      <c r="AP1405" s="62"/>
      <c r="AQ1405" s="66"/>
      <c r="AR1405" s="62"/>
      <c r="AS1405" s="62"/>
      <c r="AT1405" s="62"/>
      <c r="AU1405" s="62"/>
      <c r="AV1405" s="66"/>
      <c r="AW1405" s="97"/>
    </row>
    <row r="1406" spans="23:49" x14ac:dyDescent="0.15">
      <c r="W1406" s="12"/>
      <c r="X1406" s="62"/>
      <c r="Y1406" s="62"/>
      <c r="Z1406" s="62"/>
      <c r="AA1406" s="62"/>
      <c r="AB1406" s="98"/>
      <c r="AC1406" s="62"/>
      <c r="AD1406" s="62"/>
      <c r="AE1406" s="62"/>
      <c r="AF1406" s="62"/>
      <c r="AG1406" s="66"/>
      <c r="AH1406" s="62"/>
      <c r="AI1406" s="62"/>
      <c r="AJ1406" s="62"/>
      <c r="AK1406" s="62"/>
      <c r="AL1406" s="66"/>
      <c r="AM1406" s="62"/>
      <c r="AN1406" s="62"/>
      <c r="AO1406" s="62"/>
      <c r="AP1406" s="62"/>
      <c r="AQ1406" s="66"/>
      <c r="AR1406" s="62"/>
      <c r="AS1406" s="62"/>
      <c r="AT1406" s="62"/>
      <c r="AU1406" s="62"/>
      <c r="AV1406" s="66"/>
      <c r="AW1406" s="97"/>
    </row>
    <row r="1407" spans="23:49" x14ac:dyDescent="0.15">
      <c r="W1407" s="12"/>
      <c r="X1407" s="62"/>
      <c r="Y1407" s="62"/>
      <c r="Z1407" s="62"/>
      <c r="AA1407" s="62"/>
      <c r="AB1407" s="98"/>
      <c r="AC1407" s="62"/>
      <c r="AD1407" s="62"/>
      <c r="AE1407" s="62"/>
      <c r="AF1407" s="62"/>
      <c r="AG1407" s="66"/>
      <c r="AH1407" s="62"/>
      <c r="AI1407" s="62"/>
      <c r="AJ1407" s="62"/>
      <c r="AK1407" s="62"/>
      <c r="AL1407" s="66"/>
      <c r="AM1407" s="62"/>
      <c r="AN1407" s="62"/>
      <c r="AO1407" s="62"/>
      <c r="AP1407" s="62"/>
      <c r="AQ1407" s="66"/>
      <c r="AR1407" s="62"/>
      <c r="AS1407" s="62"/>
      <c r="AT1407" s="62"/>
      <c r="AU1407" s="62"/>
      <c r="AV1407" s="66"/>
      <c r="AW1407" s="97"/>
    </row>
    <row r="1408" spans="23:49" x14ac:dyDescent="0.15">
      <c r="W1408" s="12"/>
      <c r="X1408" s="62"/>
      <c r="Y1408" s="62"/>
      <c r="Z1408" s="62"/>
      <c r="AA1408" s="62"/>
      <c r="AB1408" s="98"/>
      <c r="AC1408" s="62"/>
      <c r="AD1408" s="62"/>
      <c r="AE1408" s="62"/>
      <c r="AF1408" s="62"/>
      <c r="AG1408" s="66"/>
      <c r="AH1408" s="62"/>
      <c r="AI1408" s="62"/>
      <c r="AJ1408" s="62"/>
      <c r="AK1408" s="62"/>
      <c r="AL1408" s="66"/>
      <c r="AM1408" s="62"/>
      <c r="AN1408" s="62"/>
      <c r="AO1408" s="62"/>
      <c r="AP1408" s="62"/>
      <c r="AQ1408" s="66"/>
      <c r="AR1408" s="62"/>
      <c r="AS1408" s="62"/>
      <c r="AT1408" s="62"/>
      <c r="AU1408" s="62"/>
      <c r="AV1408" s="66"/>
      <c r="AW1408" s="97"/>
    </row>
    <row r="1409" spans="23:49" x14ac:dyDescent="0.15">
      <c r="W1409" s="12"/>
      <c r="X1409" s="62"/>
      <c r="Y1409" s="62"/>
      <c r="Z1409" s="62"/>
      <c r="AA1409" s="62"/>
      <c r="AB1409" s="98"/>
      <c r="AC1409" s="62"/>
      <c r="AD1409" s="62"/>
      <c r="AE1409" s="62"/>
      <c r="AF1409" s="62"/>
      <c r="AG1409" s="66"/>
      <c r="AH1409" s="62"/>
      <c r="AI1409" s="62"/>
      <c r="AJ1409" s="62"/>
      <c r="AK1409" s="62"/>
      <c r="AL1409" s="66"/>
      <c r="AM1409" s="62"/>
      <c r="AN1409" s="62"/>
      <c r="AO1409" s="62"/>
      <c r="AP1409" s="62"/>
      <c r="AQ1409" s="66"/>
      <c r="AR1409" s="62"/>
      <c r="AS1409" s="62"/>
      <c r="AT1409" s="62"/>
      <c r="AU1409" s="62"/>
      <c r="AV1409" s="66"/>
      <c r="AW1409" s="97"/>
    </row>
    <row r="1410" spans="23:49" x14ac:dyDescent="0.15">
      <c r="W1410" s="12"/>
      <c r="X1410" s="62"/>
      <c r="Y1410" s="62"/>
      <c r="Z1410" s="62"/>
      <c r="AA1410" s="62"/>
      <c r="AB1410" s="98"/>
      <c r="AC1410" s="62"/>
      <c r="AD1410" s="62"/>
      <c r="AE1410" s="62"/>
      <c r="AF1410" s="62"/>
      <c r="AG1410" s="66"/>
      <c r="AH1410" s="62"/>
      <c r="AI1410" s="62"/>
      <c r="AJ1410" s="62"/>
      <c r="AK1410" s="62"/>
      <c r="AL1410" s="66"/>
      <c r="AM1410" s="62"/>
      <c r="AN1410" s="62"/>
      <c r="AO1410" s="62"/>
      <c r="AP1410" s="62"/>
      <c r="AQ1410" s="66"/>
      <c r="AR1410" s="62"/>
      <c r="AS1410" s="62"/>
      <c r="AT1410" s="62"/>
      <c r="AU1410" s="62"/>
      <c r="AV1410" s="66"/>
      <c r="AW1410" s="97"/>
    </row>
    <row r="1411" spans="23:49" x14ac:dyDescent="0.15">
      <c r="W1411" s="12"/>
      <c r="X1411" s="62"/>
      <c r="Y1411" s="62"/>
      <c r="Z1411" s="62"/>
      <c r="AA1411" s="62"/>
      <c r="AB1411" s="98"/>
      <c r="AC1411" s="62"/>
      <c r="AD1411" s="62"/>
      <c r="AE1411" s="62"/>
      <c r="AF1411" s="62"/>
      <c r="AG1411" s="66"/>
      <c r="AH1411" s="62"/>
      <c r="AI1411" s="62"/>
      <c r="AJ1411" s="62"/>
      <c r="AK1411" s="62"/>
      <c r="AL1411" s="66"/>
      <c r="AM1411" s="62"/>
      <c r="AN1411" s="62"/>
      <c r="AO1411" s="62"/>
      <c r="AP1411" s="62"/>
      <c r="AQ1411" s="66"/>
      <c r="AR1411" s="62"/>
      <c r="AS1411" s="62"/>
      <c r="AT1411" s="62"/>
      <c r="AU1411" s="62"/>
      <c r="AV1411" s="66"/>
      <c r="AW1411" s="97"/>
    </row>
    <row r="1412" spans="23:49" x14ac:dyDescent="0.15">
      <c r="W1412" s="12"/>
      <c r="X1412" s="62"/>
      <c r="Y1412" s="62"/>
      <c r="Z1412" s="62"/>
      <c r="AA1412" s="62"/>
      <c r="AB1412" s="98"/>
      <c r="AC1412" s="62"/>
      <c r="AD1412" s="62"/>
      <c r="AE1412" s="62"/>
      <c r="AF1412" s="62"/>
      <c r="AG1412" s="66"/>
      <c r="AH1412" s="62"/>
      <c r="AI1412" s="62"/>
      <c r="AJ1412" s="62"/>
      <c r="AK1412" s="62"/>
      <c r="AL1412" s="66"/>
      <c r="AM1412" s="62"/>
      <c r="AN1412" s="62"/>
      <c r="AO1412" s="62"/>
      <c r="AP1412" s="62"/>
      <c r="AQ1412" s="66"/>
      <c r="AR1412" s="62"/>
      <c r="AS1412" s="62"/>
      <c r="AT1412" s="62"/>
      <c r="AU1412" s="62"/>
      <c r="AV1412" s="66"/>
      <c r="AW1412" s="97"/>
    </row>
    <row r="1413" spans="23:49" x14ac:dyDescent="0.15">
      <c r="W1413" s="12"/>
      <c r="X1413" s="62"/>
      <c r="Y1413" s="62"/>
      <c r="Z1413" s="62"/>
      <c r="AA1413" s="62"/>
      <c r="AB1413" s="98"/>
      <c r="AC1413" s="62"/>
      <c r="AD1413" s="62"/>
      <c r="AE1413" s="62"/>
      <c r="AF1413" s="62"/>
      <c r="AG1413" s="66"/>
      <c r="AH1413" s="62"/>
      <c r="AI1413" s="62"/>
      <c r="AJ1413" s="62"/>
      <c r="AK1413" s="62"/>
      <c r="AL1413" s="66"/>
      <c r="AM1413" s="62"/>
      <c r="AN1413" s="62"/>
      <c r="AO1413" s="62"/>
      <c r="AP1413" s="62"/>
      <c r="AQ1413" s="66"/>
      <c r="AR1413" s="62"/>
      <c r="AS1413" s="62"/>
      <c r="AT1413" s="62"/>
      <c r="AU1413" s="62"/>
      <c r="AV1413" s="66"/>
      <c r="AW1413" s="97"/>
    </row>
    <row r="1414" spans="23:49" x14ac:dyDescent="0.15">
      <c r="W1414" s="12"/>
      <c r="X1414" s="62"/>
      <c r="Y1414" s="62"/>
      <c r="Z1414" s="62"/>
      <c r="AA1414" s="62"/>
      <c r="AB1414" s="98"/>
      <c r="AC1414" s="62"/>
      <c r="AD1414" s="62"/>
      <c r="AE1414" s="62"/>
      <c r="AF1414" s="62"/>
      <c r="AG1414" s="66"/>
      <c r="AH1414" s="62"/>
      <c r="AI1414" s="62"/>
      <c r="AJ1414" s="62"/>
      <c r="AK1414" s="62"/>
      <c r="AL1414" s="66"/>
      <c r="AM1414" s="62"/>
      <c r="AN1414" s="62"/>
      <c r="AO1414" s="62"/>
      <c r="AP1414" s="62"/>
      <c r="AQ1414" s="66"/>
      <c r="AR1414" s="62"/>
      <c r="AS1414" s="62"/>
      <c r="AT1414" s="62"/>
      <c r="AU1414" s="62"/>
      <c r="AV1414" s="66"/>
      <c r="AW1414" s="97"/>
    </row>
    <row r="1415" spans="23:49" x14ac:dyDescent="0.15">
      <c r="W1415" s="12"/>
      <c r="X1415" s="62"/>
      <c r="Y1415" s="62"/>
      <c r="Z1415" s="62"/>
      <c r="AA1415" s="62"/>
      <c r="AB1415" s="98"/>
      <c r="AC1415" s="62"/>
      <c r="AD1415" s="62"/>
      <c r="AE1415" s="62"/>
      <c r="AF1415" s="62"/>
      <c r="AG1415" s="66"/>
      <c r="AH1415" s="62"/>
      <c r="AI1415" s="62"/>
      <c r="AJ1415" s="62"/>
      <c r="AK1415" s="62"/>
      <c r="AL1415" s="66"/>
      <c r="AM1415" s="62"/>
      <c r="AN1415" s="62"/>
      <c r="AO1415" s="62"/>
      <c r="AP1415" s="62"/>
      <c r="AQ1415" s="66"/>
      <c r="AR1415" s="62"/>
      <c r="AS1415" s="62"/>
      <c r="AT1415" s="62"/>
      <c r="AU1415" s="62"/>
      <c r="AV1415" s="66"/>
      <c r="AW1415" s="97"/>
    </row>
    <row r="1416" spans="23:49" x14ac:dyDescent="0.15">
      <c r="W1416" s="12"/>
      <c r="X1416" s="62"/>
      <c r="Y1416" s="62"/>
      <c r="Z1416" s="62"/>
      <c r="AA1416" s="62"/>
      <c r="AB1416" s="98"/>
      <c r="AC1416" s="62"/>
      <c r="AD1416" s="62"/>
      <c r="AE1416" s="62"/>
      <c r="AF1416" s="62"/>
      <c r="AG1416" s="66"/>
      <c r="AH1416" s="62"/>
      <c r="AI1416" s="62"/>
      <c r="AJ1416" s="62"/>
      <c r="AK1416" s="62"/>
      <c r="AL1416" s="66"/>
      <c r="AM1416" s="62"/>
      <c r="AN1416" s="62"/>
      <c r="AO1416" s="62"/>
      <c r="AP1416" s="62"/>
      <c r="AQ1416" s="66"/>
      <c r="AR1416" s="62"/>
      <c r="AS1416" s="62"/>
      <c r="AT1416" s="62"/>
      <c r="AU1416" s="62"/>
      <c r="AV1416" s="66"/>
      <c r="AW1416" s="97"/>
    </row>
    <row r="1417" spans="23:49" x14ac:dyDescent="0.15">
      <c r="W1417" s="12"/>
      <c r="X1417" s="62"/>
      <c r="Y1417" s="62"/>
      <c r="Z1417" s="62"/>
      <c r="AA1417" s="62"/>
      <c r="AB1417" s="98"/>
      <c r="AC1417" s="62"/>
      <c r="AD1417" s="62"/>
      <c r="AE1417" s="62"/>
      <c r="AF1417" s="62"/>
      <c r="AG1417" s="66"/>
      <c r="AH1417" s="62"/>
      <c r="AI1417" s="62"/>
      <c r="AJ1417" s="62"/>
      <c r="AK1417" s="62"/>
      <c r="AL1417" s="66"/>
      <c r="AM1417" s="62"/>
      <c r="AN1417" s="62"/>
      <c r="AO1417" s="62"/>
      <c r="AP1417" s="62"/>
      <c r="AQ1417" s="66"/>
      <c r="AR1417" s="62"/>
      <c r="AS1417" s="62"/>
      <c r="AT1417" s="62"/>
      <c r="AU1417" s="62"/>
      <c r="AV1417" s="66"/>
      <c r="AW1417" s="97"/>
    </row>
    <row r="1418" spans="23:49" x14ac:dyDescent="0.15">
      <c r="W1418" s="12"/>
      <c r="X1418" s="62"/>
      <c r="Y1418" s="62"/>
      <c r="Z1418" s="62"/>
      <c r="AA1418" s="62"/>
      <c r="AB1418" s="98"/>
      <c r="AC1418" s="62"/>
      <c r="AD1418" s="62"/>
      <c r="AE1418" s="62"/>
      <c r="AF1418" s="62"/>
      <c r="AG1418" s="66"/>
      <c r="AH1418" s="62"/>
      <c r="AI1418" s="62"/>
      <c r="AJ1418" s="62"/>
      <c r="AK1418" s="62"/>
      <c r="AL1418" s="66"/>
      <c r="AM1418" s="62"/>
      <c r="AN1418" s="62"/>
      <c r="AO1418" s="62"/>
      <c r="AP1418" s="62"/>
      <c r="AQ1418" s="66"/>
      <c r="AR1418" s="62"/>
      <c r="AS1418" s="62"/>
      <c r="AT1418" s="62"/>
      <c r="AU1418" s="62"/>
      <c r="AV1418" s="66"/>
      <c r="AW1418" s="97"/>
    </row>
    <row r="1419" spans="23:49" x14ac:dyDescent="0.15">
      <c r="W1419" s="12"/>
      <c r="X1419" s="62"/>
      <c r="Y1419" s="62"/>
      <c r="Z1419" s="62"/>
      <c r="AA1419" s="62"/>
      <c r="AB1419" s="98"/>
      <c r="AC1419" s="62"/>
      <c r="AD1419" s="62"/>
      <c r="AE1419" s="62"/>
      <c r="AF1419" s="62"/>
      <c r="AG1419" s="66"/>
      <c r="AH1419" s="62"/>
      <c r="AI1419" s="62"/>
      <c r="AJ1419" s="62"/>
      <c r="AK1419" s="62"/>
      <c r="AL1419" s="66"/>
      <c r="AM1419" s="62"/>
      <c r="AN1419" s="62"/>
      <c r="AO1419" s="62"/>
      <c r="AP1419" s="62"/>
      <c r="AQ1419" s="66"/>
      <c r="AR1419" s="62"/>
      <c r="AS1419" s="62"/>
      <c r="AT1419" s="62"/>
      <c r="AU1419" s="62"/>
      <c r="AV1419" s="66"/>
      <c r="AW1419" s="97"/>
    </row>
    <row r="1420" spans="23:49" x14ac:dyDescent="0.15">
      <c r="W1420" s="12"/>
      <c r="X1420" s="62"/>
      <c r="Y1420" s="62"/>
      <c r="Z1420" s="62"/>
      <c r="AA1420" s="62"/>
      <c r="AB1420" s="98"/>
      <c r="AC1420" s="62"/>
      <c r="AD1420" s="62"/>
      <c r="AE1420" s="62"/>
      <c r="AF1420" s="62"/>
      <c r="AG1420" s="66"/>
      <c r="AH1420" s="62"/>
      <c r="AI1420" s="62"/>
      <c r="AJ1420" s="62"/>
      <c r="AK1420" s="62"/>
      <c r="AL1420" s="66"/>
      <c r="AM1420" s="62"/>
      <c r="AN1420" s="62"/>
      <c r="AO1420" s="62"/>
      <c r="AP1420" s="62"/>
      <c r="AQ1420" s="66"/>
      <c r="AR1420" s="62"/>
      <c r="AS1420" s="62"/>
      <c r="AT1420" s="62"/>
      <c r="AU1420" s="62"/>
      <c r="AV1420" s="66"/>
      <c r="AW1420" s="97"/>
    </row>
    <row r="1421" spans="23:49" x14ac:dyDescent="0.15">
      <c r="W1421" s="12"/>
      <c r="X1421" s="62"/>
      <c r="Y1421" s="62"/>
      <c r="Z1421" s="62"/>
      <c r="AA1421" s="62"/>
      <c r="AB1421" s="98"/>
      <c r="AC1421" s="62"/>
      <c r="AD1421" s="62"/>
      <c r="AE1421" s="62"/>
      <c r="AF1421" s="62"/>
      <c r="AG1421" s="66"/>
      <c r="AH1421" s="62"/>
      <c r="AI1421" s="62"/>
      <c r="AJ1421" s="62"/>
      <c r="AK1421" s="62"/>
      <c r="AL1421" s="66"/>
      <c r="AM1421" s="62"/>
      <c r="AN1421" s="62"/>
      <c r="AO1421" s="62"/>
      <c r="AP1421" s="62"/>
      <c r="AQ1421" s="66"/>
      <c r="AR1421" s="62"/>
      <c r="AS1421" s="62"/>
      <c r="AT1421" s="62"/>
      <c r="AU1421" s="62"/>
      <c r="AV1421" s="66"/>
      <c r="AW1421" s="97"/>
    </row>
    <row r="1422" spans="23:49" x14ac:dyDescent="0.15">
      <c r="W1422" s="12"/>
      <c r="X1422" s="62"/>
      <c r="Y1422" s="62"/>
      <c r="Z1422" s="62"/>
      <c r="AA1422" s="62"/>
      <c r="AB1422" s="98"/>
      <c r="AC1422" s="62"/>
      <c r="AD1422" s="62"/>
      <c r="AE1422" s="62"/>
      <c r="AF1422" s="62"/>
      <c r="AG1422" s="66"/>
      <c r="AH1422" s="62"/>
      <c r="AI1422" s="62"/>
      <c r="AJ1422" s="62"/>
      <c r="AK1422" s="62"/>
      <c r="AL1422" s="66"/>
      <c r="AM1422" s="62"/>
      <c r="AN1422" s="62"/>
      <c r="AO1422" s="62"/>
      <c r="AP1422" s="62"/>
      <c r="AQ1422" s="66"/>
      <c r="AR1422" s="62"/>
      <c r="AS1422" s="62"/>
      <c r="AT1422" s="62"/>
      <c r="AU1422" s="62"/>
      <c r="AV1422" s="66"/>
      <c r="AW1422" s="97"/>
    </row>
    <row r="1423" spans="23:49" x14ac:dyDescent="0.15">
      <c r="W1423" s="12"/>
      <c r="X1423" s="62"/>
      <c r="Y1423" s="62"/>
      <c r="Z1423" s="62"/>
      <c r="AA1423" s="62"/>
      <c r="AB1423" s="98"/>
      <c r="AC1423" s="62"/>
      <c r="AD1423" s="62"/>
      <c r="AE1423" s="62"/>
      <c r="AF1423" s="62"/>
      <c r="AG1423" s="66"/>
      <c r="AH1423" s="62"/>
      <c r="AI1423" s="62"/>
      <c r="AJ1423" s="62"/>
      <c r="AK1423" s="62"/>
      <c r="AL1423" s="66"/>
      <c r="AM1423" s="62"/>
      <c r="AN1423" s="62"/>
      <c r="AO1423" s="62"/>
      <c r="AP1423" s="62"/>
      <c r="AQ1423" s="66"/>
      <c r="AR1423" s="62"/>
      <c r="AS1423" s="62"/>
      <c r="AT1423" s="62"/>
      <c r="AU1423" s="62"/>
      <c r="AV1423" s="66"/>
      <c r="AW1423" s="97"/>
    </row>
    <row r="1424" spans="23:49" x14ac:dyDescent="0.15">
      <c r="W1424" s="12"/>
      <c r="X1424" s="62"/>
      <c r="Y1424" s="62"/>
      <c r="Z1424" s="62"/>
      <c r="AA1424" s="62"/>
      <c r="AB1424" s="98"/>
      <c r="AC1424" s="62"/>
      <c r="AD1424" s="62"/>
      <c r="AE1424" s="62"/>
      <c r="AF1424" s="62"/>
      <c r="AG1424" s="66"/>
      <c r="AH1424" s="62"/>
      <c r="AI1424" s="62"/>
      <c r="AJ1424" s="62"/>
      <c r="AK1424" s="62"/>
      <c r="AL1424" s="66"/>
      <c r="AM1424" s="62"/>
      <c r="AN1424" s="62"/>
      <c r="AO1424" s="62"/>
      <c r="AP1424" s="62"/>
      <c r="AQ1424" s="66"/>
      <c r="AR1424" s="62"/>
      <c r="AS1424" s="62"/>
      <c r="AT1424" s="62"/>
      <c r="AU1424" s="62"/>
      <c r="AV1424" s="66"/>
      <c r="AW1424" s="97"/>
    </row>
    <row r="1425" spans="23:49" x14ac:dyDescent="0.15">
      <c r="W1425" s="12"/>
      <c r="X1425" s="62"/>
      <c r="Y1425" s="62"/>
      <c r="Z1425" s="62"/>
      <c r="AA1425" s="62"/>
      <c r="AB1425" s="98"/>
      <c r="AC1425" s="62"/>
      <c r="AD1425" s="62"/>
      <c r="AE1425" s="62"/>
      <c r="AF1425" s="62"/>
      <c r="AG1425" s="66"/>
      <c r="AH1425" s="62"/>
      <c r="AI1425" s="62"/>
      <c r="AJ1425" s="62"/>
      <c r="AK1425" s="62"/>
      <c r="AL1425" s="66"/>
      <c r="AM1425" s="62"/>
      <c r="AN1425" s="62"/>
      <c r="AO1425" s="62"/>
      <c r="AP1425" s="62"/>
      <c r="AQ1425" s="66"/>
      <c r="AR1425" s="62"/>
      <c r="AS1425" s="62"/>
      <c r="AT1425" s="62"/>
      <c r="AU1425" s="62"/>
      <c r="AV1425" s="66"/>
      <c r="AW1425" s="97"/>
    </row>
    <row r="1426" spans="23:49" x14ac:dyDescent="0.15">
      <c r="W1426" s="12"/>
      <c r="X1426" s="62"/>
      <c r="Y1426" s="62"/>
      <c r="Z1426" s="62"/>
      <c r="AA1426" s="62"/>
      <c r="AB1426" s="98"/>
      <c r="AC1426" s="62"/>
      <c r="AD1426" s="62"/>
      <c r="AE1426" s="62"/>
      <c r="AF1426" s="62"/>
      <c r="AG1426" s="66"/>
      <c r="AH1426" s="62"/>
      <c r="AI1426" s="62"/>
      <c r="AJ1426" s="62"/>
      <c r="AK1426" s="62"/>
      <c r="AL1426" s="66"/>
      <c r="AM1426" s="62"/>
      <c r="AN1426" s="62"/>
      <c r="AO1426" s="62"/>
      <c r="AP1426" s="62"/>
      <c r="AQ1426" s="66"/>
      <c r="AR1426" s="62"/>
      <c r="AS1426" s="62"/>
      <c r="AT1426" s="62"/>
      <c r="AU1426" s="62"/>
      <c r="AV1426" s="66"/>
      <c r="AW1426" s="97"/>
    </row>
    <row r="1427" spans="23:49" x14ac:dyDescent="0.15">
      <c r="W1427" s="12"/>
      <c r="X1427" s="62"/>
      <c r="Y1427" s="62"/>
      <c r="Z1427" s="62"/>
      <c r="AA1427" s="62"/>
      <c r="AB1427" s="98"/>
      <c r="AC1427" s="62"/>
      <c r="AD1427" s="62"/>
      <c r="AE1427" s="62"/>
      <c r="AF1427" s="62"/>
      <c r="AG1427" s="66"/>
      <c r="AH1427" s="62"/>
      <c r="AI1427" s="62"/>
      <c r="AJ1427" s="62"/>
      <c r="AK1427" s="62"/>
      <c r="AL1427" s="66"/>
      <c r="AM1427" s="62"/>
      <c r="AN1427" s="62"/>
      <c r="AO1427" s="62"/>
      <c r="AP1427" s="62"/>
      <c r="AQ1427" s="66"/>
      <c r="AR1427" s="62"/>
      <c r="AS1427" s="62"/>
      <c r="AT1427" s="62"/>
      <c r="AU1427" s="62"/>
      <c r="AV1427" s="66"/>
      <c r="AW1427" s="97"/>
    </row>
    <row r="1428" spans="23:49" x14ac:dyDescent="0.15">
      <c r="W1428" s="12"/>
      <c r="X1428" s="62"/>
      <c r="Y1428" s="62"/>
      <c r="Z1428" s="62"/>
      <c r="AA1428" s="62"/>
      <c r="AB1428" s="98"/>
      <c r="AC1428" s="62"/>
      <c r="AD1428" s="62"/>
      <c r="AE1428" s="62"/>
      <c r="AF1428" s="62"/>
      <c r="AG1428" s="66"/>
      <c r="AH1428" s="62"/>
      <c r="AI1428" s="62"/>
      <c r="AJ1428" s="62"/>
      <c r="AK1428" s="62"/>
      <c r="AL1428" s="66"/>
      <c r="AM1428" s="62"/>
      <c r="AN1428" s="62"/>
      <c r="AO1428" s="62"/>
      <c r="AP1428" s="62"/>
      <c r="AQ1428" s="66"/>
      <c r="AR1428" s="62"/>
      <c r="AS1428" s="62"/>
      <c r="AT1428" s="62"/>
      <c r="AU1428" s="62"/>
      <c r="AV1428" s="66"/>
      <c r="AW1428" s="97"/>
    </row>
    <row r="1429" spans="23:49" x14ac:dyDescent="0.15">
      <c r="W1429" s="12"/>
      <c r="X1429" s="62"/>
      <c r="Y1429" s="62"/>
      <c r="Z1429" s="62"/>
      <c r="AA1429" s="62"/>
      <c r="AB1429" s="98"/>
      <c r="AC1429" s="62"/>
      <c r="AD1429" s="62"/>
      <c r="AE1429" s="62"/>
      <c r="AF1429" s="62"/>
      <c r="AG1429" s="66"/>
      <c r="AH1429" s="62"/>
      <c r="AI1429" s="62"/>
      <c r="AJ1429" s="62"/>
      <c r="AK1429" s="62"/>
      <c r="AL1429" s="66"/>
      <c r="AM1429" s="62"/>
      <c r="AN1429" s="62"/>
      <c r="AO1429" s="62"/>
      <c r="AP1429" s="62"/>
      <c r="AQ1429" s="66"/>
      <c r="AR1429" s="62"/>
      <c r="AS1429" s="62"/>
      <c r="AT1429" s="62"/>
      <c r="AU1429" s="62"/>
      <c r="AV1429" s="66"/>
      <c r="AW1429" s="97"/>
    </row>
    <row r="1430" spans="23:49" x14ac:dyDescent="0.15">
      <c r="W1430" s="12"/>
      <c r="X1430" s="62"/>
      <c r="Y1430" s="62"/>
      <c r="Z1430" s="62"/>
      <c r="AA1430" s="62"/>
      <c r="AB1430" s="98"/>
      <c r="AC1430" s="62"/>
      <c r="AD1430" s="62"/>
      <c r="AE1430" s="62"/>
      <c r="AF1430" s="62"/>
      <c r="AG1430" s="66"/>
      <c r="AH1430" s="62"/>
      <c r="AI1430" s="62"/>
      <c r="AJ1430" s="62"/>
      <c r="AK1430" s="62"/>
      <c r="AL1430" s="66"/>
      <c r="AM1430" s="62"/>
      <c r="AN1430" s="62"/>
      <c r="AO1430" s="62"/>
      <c r="AP1430" s="62"/>
      <c r="AQ1430" s="66"/>
      <c r="AR1430" s="62"/>
      <c r="AS1430" s="62"/>
      <c r="AT1430" s="62"/>
      <c r="AU1430" s="62"/>
      <c r="AV1430" s="66"/>
      <c r="AW1430" s="97"/>
    </row>
    <row r="1431" spans="23:49" x14ac:dyDescent="0.15">
      <c r="W1431" s="12"/>
      <c r="X1431" s="62"/>
      <c r="Y1431" s="62"/>
      <c r="Z1431" s="62"/>
      <c r="AA1431" s="62"/>
      <c r="AB1431" s="98"/>
      <c r="AC1431" s="62"/>
      <c r="AD1431" s="62"/>
      <c r="AE1431" s="62"/>
      <c r="AF1431" s="62"/>
      <c r="AG1431" s="66"/>
      <c r="AH1431" s="62"/>
      <c r="AI1431" s="62"/>
      <c r="AJ1431" s="62"/>
      <c r="AK1431" s="62"/>
      <c r="AL1431" s="66"/>
      <c r="AM1431" s="62"/>
      <c r="AN1431" s="62"/>
      <c r="AO1431" s="62"/>
      <c r="AP1431" s="62"/>
      <c r="AQ1431" s="66"/>
      <c r="AR1431" s="62"/>
      <c r="AS1431" s="62"/>
      <c r="AT1431" s="62"/>
      <c r="AU1431" s="62"/>
      <c r="AV1431" s="66"/>
      <c r="AW1431" s="97"/>
    </row>
    <row r="1432" spans="23:49" x14ac:dyDescent="0.15">
      <c r="W1432" s="12"/>
      <c r="X1432" s="62"/>
      <c r="Y1432" s="62"/>
      <c r="Z1432" s="62"/>
      <c r="AA1432" s="62"/>
      <c r="AB1432" s="98"/>
      <c r="AC1432" s="62"/>
      <c r="AD1432" s="62"/>
      <c r="AE1432" s="62"/>
      <c r="AF1432" s="62"/>
      <c r="AG1432" s="66"/>
      <c r="AH1432" s="62"/>
      <c r="AI1432" s="62"/>
      <c r="AJ1432" s="62"/>
      <c r="AK1432" s="62"/>
      <c r="AL1432" s="66"/>
      <c r="AM1432" s="62"/>
      <c r="AN1432" s="62"/>
      <c r="AO1432" s="62"/>
      <c r="AP1432" s="62"/>
      <c r="AQ1432" s="66"/>
      <c r="AR1432" s="62"/>
      <c r="AS1432" s="62"/>
      <c r="AT1432" s="62"/>
      <c r="AU1432" s="62"/>
      <c r="AV1432" s="66"/>
      <c r="AW1432" s="97"/>
    </row>
    <row r="1433" spans="23:49" x14ac:dyDescent="0.15">
      <c r="W1433" s="12"/>
      <c r="X1433" s="62"/>
      <c r="Y1433" s="62"/>
      <c r="Z1433" s="62"/>
      <c r="AA1433" s="62"/>
      <c r="AB1433" s="98"/>
      <c r="AC1433" s="62"/>
      <c r="AD1433" s="62"/>
      <c r="AE1433" s="62"/>
      <c r="AF1433" s="62"/>
      <c r="AG1433" s="66"/>
      <c r="AH1433" s="62"/>
      <c r="AI1433" s="62"/>
      <c r="AJ1433" s="62"/>
      <c r="AK1433" s="62"/>
      <c r="AL1433" s="66"/>
      <c r="AM1433" s="62"/>
      <c r="AN1433" s="62"/>
      <c r="AO1433" s="62"/>
      <c r="AP1433" s="62"/>
      <c r="AQ1433" s="66"/>
      <c r="AR1433" s="62"/>
      <c r="AS1433" s="62"/>
      <c r="AT1433" s="62"/>
      <c r="AU1433" s="62"/>
      <c r="AV1433" s="66"/>
      <c r="AW1433" s="97"/>
    </row>
    <row r="1434" spans="23:49" x14ac:dyDescent="0.15">
      <c r="W1434" s="12"/>
      <c r="X1434" s="62"/>
      <c r="Y1434" s="62"/>
      <c r="Z1434" s="62"/>
      <c r="AA1434" s="62"/>
      <c r="AB1434" s="98"/>
      <c r="AC1434" s="62"/>
      <c r="AD1434" s="62"/>
      <c r="AE1434" s="62"/>
      <c r="AF1434" s="62"/>
      <c r="AG1434" s="66"/>
      <c r="AH1434" s="62"/>
      <c r="AI1434" s="62"/>
      <c r="AJ1434" s="62"/>
      <c r="AK1434" s="62"/>
      <c r="AL1434" s="66"/>
      <c r="AM1434" s="62"/>
      <c r="AN1434" s="62"/>
      <c r="AO1434" s="62"/>
      <c r="AP1434" s="62"/>
      <c r="AQ1434" s="66"/>
      <c r="AR1434" s="62"/>
      <c r="AS1434" s="62"/>
      <c r="AT1434" s="62"/>
      <c r="AU1434" s="62"/>
      <c r="AV1434" s="66"/>
      <c r="AW1434" s="97"/>
    </row>
    <row r="1435" spans="23:49" x14ac:dyDescent="0.15">
      <c r="W1435" s="12"/>
      <c r="X1435" s="62"/>
      <c r="Y1435" s="62"/>
      <c r="Z1435" s="62"/>
      <c r="AA1435" s="62"/>
      <c r="AB1435" s="98"/>
      <c r="AC1435" s="62"/>
      <c r="AD1435" s="62"/>
      <c r="AE1435" s="62"/>
      <c r="AF1435" s="62"/>
      <c r="AG1435" s="66"/>
      <c r="AH1435" s="62"/>
      <c r="AI1435" s="62"/>
      <c r="AJ1435" s="62"/>
      <c r="AK1435" s="62"/>
      <c r="AL1435" s="66"/>
      <c r="AM1435" s="62"/>
      <c r="AN1435" s="62"/>
      <c r="AO1435" s="62"/>
      <c r="AP1435" s="62"/>
      <c r="AQ1435" s="66"/>
      <c r="AR1435" s="62"/>
      <c r="AS1435" s="62"/>
      <c r="AT1435" s="62"/>
      <c r="AU1435" s="62"/>
      <c r="AV1435" s="66"/>
      <c r="AW1435" s="97"/>
    </row>
    <row r="1436" spans="23:49" x14ac:dyDescent="0.15">
      <c r="W1436" s="12"/>
      <c r="X1436" s="62"/>
      <c r="Y1436" s="62"/>
      <c r="Z1436" s="62"/>
      <c r="AA1436" s="62"/>
      <c r="AB1436" s="98"/>
      <c r="AC1436" s="62"/>
      <c r="AD1436" s="62"/>
      <c r="AE1436" s="62"/>
      <c r="AF1436" s="62"/>
      <c r="AG1436" s="66"/>
      <c r="AH1436" s="62"/>
      <c r="AI1436" s="62"/>
      <c r="AJ1436" s="62"/>
      <c r="AK1436" s="62"/>
      <c r="AL1436" s="66"/>
      <c r="AM1436" s="62"/>
      <c r="AN1436" s="62"/>
      <c r="AO1436" s="62"/>
      <c r="AP1436" s="62"/>
      <c r="AQ1436" s="66"/>
      <c r="AR1436" s="62"/>
      <c r="AS1436" s="62"/>
      <c r="AT1436" s="62"/>
      <c r="AU1436" s="62"/>
      <c r="AV1436" s="66"/>
      <c r="AW1436" s="97"/>
    </row>
    <row r="1437" spans="23:49" x14ac:dyDescent="0.15">
      <c r="W1437" s="12"/>
      <c r="X1437" s="62"/>
      <c r="Y1437" s="62"/>
      <c r="Z1437" s="62"/>
      <c r="AA1437" s="62"/>
      <c r="AB1437" s="98"/>
      <c r="AC1437" s="62"/>
      <c r="AD1437" s="62"/>
      <c r="AE1437" s="62"/>
      <c r="AF1437" s="62"/>
      <c r="AG1437" s="66"/>
      <c r="AH1437" s="62"/>
      <c r="AI1437" s="62"/>
      <c r="AJ1437" s="62"/>
      <c r="AK1437" s="62"/>
      <c r="AL1437" s="66"/>
      <c r="AM1437" s="62"/>
      <c r="AN1437" s="62"/>
      <c r="AO1437" s="62"/>
      <c r="AP1437" s="62"/>
      <c r="AQ1437" s="66"/>
      <c r="AR1437" s="62"/>
      <c r="AS1437" s="62"/>
      <c r="AT1437" s="62"/>
      <c r="AU1437" s="62"/>
      <c r="AV1437" s="66"/>
      <c r="AW1437" s="97"/>
    </row>
    <row r="1438" spans="23:49" x14ac:dyDescent="0.15">
      <c r="W1438" s="12"/>
      <c r="X1438" s="62"/>
      <c r="Y1438" s="62"/>
      <c r="Z1438" s="62"/>
      <c r="AA1438" s="62"/>
      <c r="AB1438" s="98"/>
      <c r="AC1438" s="62"/>
      <c r="AD1438" s="62"/>
      <c r="AE1438" s="62"/>
      <c r="AF1438" s="62"/>
      <c r="AG1438" s="66"/>
      <c r="AH1438" s="62"/>
      <c r="AI1438" s="62"/>
      <c r="AJ1438" s="62"/>
      <c r="AK1438" s="62"/>
      <c r="AL1438" s="66"/>
      <c r="AM1438" s="62"/>
      <c r="AN1438" s="62"/>
      <c r="AO1438" s="62"/>
      <c r="AP1438" s="62"/>
      <c r="AQ1438" s="66"/>
      <c r="AR1438" s="62"/>
      <c r="AS1438" s="62"/>
      <c r="AT1438" s="62"/>
      <c r="AU1438" s="62"/>
      <c r="AV1438" s="66"/>
      <c r="AW1438" s="97"/>
    </row>
    <row r="1439" spans="23:49" x14ac:dyDescent="0.15">
      <c r="W1439" s="12"/>
      <c r="X1439" s="62"/>
      <c r="Y1439" s="62"/>
      <c r="Z1439" s="62"/>
      <c r="AA1439" s="62"/>
      <c r="AB1439" s="98"/>
      <c r="AC1439" s="62"/>
      <c r="AD1439" s="62"/>
      <c r="AE1439" s="62"/>
      <c r="AF1439" s="62"/>
      <c r="AG1439" s="66"/>
      <c r="AH1439" s="62"/>
      <c r="AI1439" s="62"/>
      <c r="AJ1439" s="62"/>
      <c r="AK1439" s="62"/>
      <c r="AL1439" s="66"/>
      <c r="AM1439" s="62"/>
      <c r="AN1439" s="62"/>
      <c r="AO1439" s="62"/>
      <c r="AP1439" s="62"/>
      <c r="AQ1439" s="66"/>
      <c r="AR1439" s="62"/>
      <c r="AS1439" s="62"/>
      <c r="AT1439" s="62"/>
      <c r="AU1439" s="62"/>
      <c r="AV1439" s="66"/>
      <c r="AW1439" s="97"/>
    </row>
    <row r="1440" spans="23:49" x14ac:dyDescent="0.15">
      <c r="W1440" s="12"/>
      <c r="X1440" s="62"/>
      <c r="Y1440" s="62"/>
      <c r="Z1440" s="62"/>
      <c r="AA1440" s="62"/>
      <c r="AB1440" s="98"/>
      <c r="AC1440" s="62"/>
      <c r="AD1440" s="62"/>
      <c r="AE1440" s="62"/>
      <c r="AF1440" s="62"/>
      <c r="AG1440" s="66"/>
      <c r="AH1440" s="62"/>
      <c r="AI1440" s="62"/>
      <c r="AJ1440" s="62"/>
      <c r="AK1440" s="62"/>
      <c r="AL1440" s="66"/>
      <c r="AM1440" s="62"/>
      <c r="AN1440" s="62"/>
      <c r="AO1440" s="62"/>
      <c r="AP1440" s="62"/>
      <c r="AQ1440" s="66"/>
      <c r="AR1440" s="62"/>
      <c r="AS1440" s="62"/>
      <c r="AT1440" s="62"/>
      <c r="AU1440" s="62"/>
      <c r="AV1440" s="66"/>
      <c r="AW1440" s="97"/>
    </row>
    <row r="1441" spans="23:49" x14ac:dyDescent="0.15">
      <c r="W1441" s="12"/>
      <c r="X1441" s="62"/>
      <c r="Y1441" s="62"/>
      <c r="Z1441" s="62"/>
      <c r="AA1441" s="62"/>
      <c r="AB1441" s="98"/>
      <c r="AC1441" s="62"/>
      <c r="AD1441" s="62"/>
      <c r="AE1441" s="62"/>
      <c r="AF1441" s="62"/>
      <c r="AG1441" s="66"/>
      <c r="AH1441" s="62"/>
      <c r="AI1441" s="62"/>
      <c r="AJ1441" s="62"/>
      <c r="AK1441" s="62"/>
      <c r="AL1441" s="66"/>
      <c r="AM1441" s="62"/>
      <c r="AN1441" s="62"/>
      <c r="AO1441" s="62"/>
      <c r="AP1441" s="62"/>
      <c r="AQ1441" s="66"/>
      <c r="AR1441" s="62"/>
      <c r="AS1441" s="62"/>
      <c r="AT1441" s="62"/>
      <c r="AU1441" s="62"/>
      <c r="AV1441" s="66"/>
      <c r="AW1441" s="97"/>
    </row>
    <row r="1442" spans="23:49" x14ac:dyDescent="0.15">
      <c r="W1442" s="12"/>
      <c r="X1442" s="62"/>
      <c r="Y1442" s="62"/>
      <c r="Z1442" s="62"/>
      <c r="AA1442" s="62"/>
      <c r="AB1442" s="98"/>
      <c r="AC1442" s="62"/>
      <c r="AD1442" s="62"/>
      <c r="AE1442" s="62"/>
      <c r="AF1442" s="62"/>
      <c r="AG1442" s="66"/>
      <c r="AH1442" s="62"/>
      <c r="AI1442" s="62"/>
      <c r="AJ1442" s="62"/>
      <c r="AK1442" s="62"/>
      <c r="AL1442" s="66"/>
      <c r="AM1442" s="62"/>
      <c r="AN1442" s="62"/>
      <c r="AO1442" s="62"/>
      <c r="AP1442" s="62"/>
      <c r="AQ1442" s="66"/>
      <c r="AR1442" s="62"/>
      <c r="AS1442" s="62"/>
      <c r="AT1442" s="62"/>
      <c r="AU1442" s="62"/>
      <c r="AV1442" s="66"/>
      <c r="AW1442" s="97"/>
    </row>
    <row r="1443" spans="23:49" x14ac:dyDescent="0.15">
      <c r="W1443" s="12"/>
      <c r="X1443" s="62"/>
      <c r="Y1443" s="62"/>
      <c r="Z1443" s="62"/>
      <c r="AA1443" s="62"/>
      <c r="AB1443" s="98"/>
      <c r="AC1443" s="62"/>
      <c r="AD1443" s="62"/>
      <c r="AE1443" s="62"/>
      <c r="AF1443" s="62"/>
      <c r="AG1443" s="66"/>
      <c r="AH1443" s="62"/>
      <c r="AI1443" s="62"/>
      <c r="AJ1443" s="62"/>
      <c r="AK1443" s="62"/>
      <c r="AL1443" s="66"/>
      <c r="AM1443" s="62"/>
      <c r="AN1443" s="62"/>
      <c r="AO1443" s="62"/>
      <c r="AP1443" s="62"/>
      <c r="AQ1443" s="66"/>
      <c r="AR1443" s="62"/>
      <c r="AS1443" s="62"/>
      <c r="AT1443" s="62"/>
      <c r="AU1443" s="62"/>
      <c r="AV1443" s="66"/>
      <c r="AW1443" s="97"/>
    </row>
    <row r="1444" spans="23:49" x14ac:dyDescent="0.15">
      <c r="W1444" s="12"/>
      <c r="X1444" s="62"/>
      <c r="Y1444" s="62"/>
      <c r="Z1444" s="62"/>
      <c r="AA1444" s="62"/>
      <c r="AB1444" s="98"/>
      <c r="AC1444" s="62"/>
      <c r="AD1444" s="62"/>
      <c r="AE1444" s="62"/>
      <c r="AF1444" s="62"/>
      <c r="AG1444" s="66"/>
      <c r="AH1444" s="62"/>
      <c r="AI1444" s="62"/>
      <c r="AJ1444" s="62"/>
      <c r="AK1444" s="62"/>
      <c r="AL1444" s="66"/>
      <c r="AM1444" s="62"/>
      <c r="AN1444" s="62"/>
      <c r="AO1444" s="62"/>
      <c r="AP1444" s="62"/>
      <c r="AQ1444" s="66"/>
      <c r="AR1444" s="62"/>
      <c r="AS1444" s="62"/>
      <c r="AT1444" s="62"/>
      <c r="AU1444" s="62"/>
      <c r="AV1444" s="66"/>
      <c r="AW1444" s="97"/>
    </row>
    <row r="1445" spans="23:49" x14ac:dyDescent="0.15">
      <c r="W1445" s="12"/>
      <c r="X1445" s="62"/>
      <c r="Y1445" s="62"/>
      <c r="Z1445" s="62"/>
      <c r="AA1445" s="62"/>
      <c r="AB1445" s="98"/>
      <c r="AC1445" s="62"/>
      <c r="AD1445" s="62"/>
      <c r="AE1445" s="62"/>
      <c r="AF1445" s="62"/>
      <c r="AG1445" s="66"/>
      <c r="AH1445" s="62"/>
      <c r="AI1445" s="62"/>
      <c r="AJ1445" s="62"/>
      <c r="AK1445" s="62"/>
      <c r="AL1445" s="66"/>
      <c r="AM1445" s="62"/>
      <c r="AN1445" s="62"/>
      <c r="AO1445" s="62"/>
      <c r="AP1445" s="62"/>
      <c r="AQ1445" s="66"/>
      <c r="AR1445" s="62"/>
      <c r="AS1445" s="62"/>
      <c r="AT1445" s="62"/>
      <c r="AU1445" s="62"/>
      <c r="AV1445" s="66"/>
      <c r="AW1445" s="97"/>
    </row>
    <row r="1446" spans="23:49" x14ac:dyDescent="0.15">
      <c r="W1446" s="12"/>
      <c r="X1446" s="62"/>
      <c r="Y1446" s="62"/>
      <c r="Z1446" s="62"/>
      <c r="AA1446" s="62"/>
      <c r="AB1446" s="98"/>
      <c r="AC1446" s="62"/>
      <c r="AD1446" s="62"/>
      <c r="AE1446" s="62"/>
      <c r="AF1446" s="62"/>
      <c r="AG1446" s="66"/>
      <c r="AH1446" s="62"/>
      <c r="AI1446" s="62"/>
      <c r="AJ1446" s="62"/>
      <c r="AK1446" s="62"/>
      <c r="AL1446" s="66"/>
      <c r="AM1446" s="62"/>
      <c r="AN1446" s="62"/>
      <c r="AO1446" s="62"/>
      <c r="AP1446" s="62"/>
      <c r="AQ1446" s="66"/>
      <c r="AR1446" s="62"/>
      <c r="AS1446" s="62"/>
      <c r="AT1446" s="62"/>
      <c r="AU1446" s="62"/>
      <c r="AV1446" s="66"/>
      <c r="AW1446" s="97"/>
    </row>
    <row r="1447" spans="23:49" x14ac:dyDescent="0.15">
      <c r="W1447" s="12"/>
      <c r="X1447" s="62"/>
      <c r="Y1447" s="62"/>
      <c r="Z1447" s="62"/>
      <c r="AA1447" s="62"/>
      <c r="AB1447" s="98"/>
      <c r="AC1447" s="62"/>
      <c r="AD1447" s="62"/>
      <c r="AE1447" s="62"/>
      <c r="AF1447" s="62"/>
      <c r="AG1447" s="66"/>
      <c r="AH1447" s="62"/>
      <c r="AI1447" s="62"/>
      <c r="AJ1447" s="62"/>
      <c r="AK1447" s="62"/>
      <c r="AL1447" s="66"/>
      <c r="AM1447" s="62"/>
      <c r="AN1447" s="62"/>
      <c r="AO1447" s="62"/>
      <c r="AP1447" s="62"/>
      <c r="AQ1447" s="66"/>
      <c r="AR1447" s="62"/>
      <c r="AS1447" s="62"/>
      <c r="AT1447" s="62"/>
      <c r="AU1447" s="62"/>
      <c r="AV1447" s="66"/>
      <c r="AW1447" s="97"/>
    </row>
    <row r="1448" spans="23:49" x14ac:dyDescent="0.15">
      <c r="W1448" s="12"/>
      <c r="X1448" s="62"/>
      <c r="Y1448" s="62"/>
      <c r="Z1448" s="62"/>
      <c r="AA1448" s="62"/>
      <c r="AB1448" s="98"/>
      <c r="AC1448" s="62"/>
      <c r="AD1448" s="62"/>
      <c r="AE1448" s="62"/>
      <c r="AF1448" s="62"/>
      <c r="AG1448" s="66"/>
      <c r="AH1448" s="62"/>
      <c r="AI1448" s="62"/>
      <c r="AJ1448" s="62"/>
      <c r="AK1448" s="62"/>
      <c r="AL1448" s="66"/>
      <c r="AM1448" s="62"/>
      <c r="AN1448" s="62"/>
      <c r="AO1448" s="62"/>
      <c r="AP1448" s="62"/>
      <c r="AQ1448" s="66"/>
      <c r="AR1448" s="62"/>
      <c r="AS1448" s="62"/>
      <c r="AT1448" s="62"/>
      <c r="AU1448" s="62"/>
      <c r="AV1448" s="66"/>
      <c r="AW1448" s="97"/>
    </row>
    <row r="1449" spans="23:49" x14ac:dyDescent="0.15">
      <c r="W1449" s="12"/>
      <c r="X1449" s="62"/>
      <c r="Y1449" s="62"/>
      <c r="Z1449" s="62"/>
      <c r="AA1449" s="62"/>
      <c r="AB1449" s="98"/>
      <c r="AC1449" s="62"/>
      <c r="AD1449" s="62"/>
      <c r="AE1449" s="62"/>
      <c r="AF1449" s="62"/>
      <c r="AG1449" s="66"/>
      <c r="AH1449" s="62"/>
      <c r="AI1449" s="62"/>
      <c r="AJ1449" s="62"/>
      <c r="AK1449" s="62"/>
      <c r="AL1449" s="66"/>
      <c r="AM1449" s="62"/>
      <c r="AN1449" s="62"/>
      <c r="AO1449" s="62"/>
      <c r="AP1449" s="62"/>
      <c r="AQ1449" s="66"/>
      <c r="AR1449" s="62"/>
      <c r="AS1449" s="62"/>
      <c r="AT1449" s="62"/>
      <c r="AU1449" s="62"/>
      <c r="AV1449" s="66"/>
      <c r="AW1449" s="97"/>
    </row>
    <row r="1450" spans="23:49" x14ac:dyDescent="0.15">
      <c r="W1450" s="12"/>
      <c r="X1450" s="62"/>
      <c r="Y1450" s="62"/>
      <c r="Z1450" s="62"/>
      <c r="AA1450" s="62"/>
      <c r="AB1450" s="98"/>
      <c r="AC1450" s="62"/>
      <c r="AD1450" s="62"/>
      <c r="AE1450" s="62"/>
      <c r="AF1450" s="62"/>
      <c r="AG1450" s="66"/>
      <c r="AH1450" s="62"/>
      <c r="AI1450" s="62"/>
      <c r="AJ1450" s="62"/>
      <c r="AK1450" s="62"/>
      <c r="AL1450" s="66"/>
      <c r="AM1450" s="62"/>
      <c r="AN1450" s="62"/>
      <c r="AO1450" s="62"/>
      <c r="AP1450" s="62"/>
      <c r="AQ1450" s="66"/>
      <c r="AR1450" s="62"/>
      <c r="AS1450" s="62"/>
      <c r="AT1450" s="62"/>
      <c r="AU1450" s="62"/>
      <c r="AV1450" s="66"/>
      <c r="AW1450" s="97"/>
    </row>
    <row r="1451" spans="23:49" x14ac:dyDescent="0.15">
      <c r="W1451" s="12"/>
      <c r="X1451" s="62"/>
      <c r="Y1451" s="62"/>
      <c r="Z1451" s="62"/>
      <c r="AA1451" s="62"/>
      <c r="AB1451" s="98"/>
      <c r="AC1451" s="62"/>
      <c r="AD1451" s="62"/>
      <c r="AE1451" s="62"/>
      <c r="AF1451" s="62"/>
      <c r="AG1451" s="66"/>
      <c r="AH1451" s="62"/>
      <c r="AI1451" s="62"/>
      <c r="AJ1451" s="62"/>
      <c r="AK1451" s="62"/>
      <c r="AL1451" s="66"/>
      <c r="AM1451" s="62"/>
      <c r="AN1451" s="62"/>
      <c r="AO1451" s="62"/>
      <c r="AP1451" s="62"/>
      <c r="AQ1451" s="66"/>
      <c r="AR1451" s="62"/>
      <c r="AS1451" s="62"/>
      <c r="AT1451" s="62"/>
      <c r="AU1451" s="62"/>
      <c r="AV1451" s="66"/>
      <c r="AW1451" s="97"/>
    </row>
    <row r="1452" spans="23:49" x14ac:dyDescent="0.15">
      <c r="W1452" s="12"/>
      <c r="X1452" s="62"/>
      <c r="Y1452" s="62"/>
      <c r="Z1452" s="62"/>
      <c r="AA1452" s="62"/>
      <c r="AB1452" s="98"/>
      <c r="AC1452" s="62"/>
      <c r="AD1452" s="62"/>
      <c r="AE1452" s="62"/>
      <c r="AF1452" s="62"/>
      <c r="AG1452" s="66"/>
      <c r="AH1452" s="62"/>
      <c r="AI1452" s="62"/>
      <c r="AJ1452" s="62"/>
      <c r="AK1452" s="62"/>
      <c r="AL1452" s="66"/>
      <c r="AM1452" s="62"/>
      <c r="AN1452" s="62"/>
      <c r="AO1452" s="62"/>
      <c r="AP1452" s="62"/>
      <c r="AQ1452" s="66"/>
      <c r="AR1452" s="62"/>
      <c r="AS1452" s="62"/>
      <c r="AT1452" s="62"/>
      <c r="AU1452" s="62"/>
      <c r="AV1452" s="66"/>
      <c r="AW1452" s="97"/>
    </row>
    <row r="1453" spans="23:49" x14ac:dyDescent="0.15">
      <c r="W1453" s="12"/>
      <c r="X1453" s="62"/>
      <c r="Y1453" s="62"/>
      <c r="Z1453" s="62"/>
      <c r="AA1453" s="62"/>
      <c r="AB1453" s="98"/>
      <c r="AC1453" s="62"/>
      <c r="AD1453" s="62"/>
      <c r="AE1453" s="62"/>
      <c r="AF1453" s="62"/>
      <c r="AG1453" s="66"/>
      <c r="AH1453" s="62"/>
      <c r="AI1453" s="62"/>
      <c r="AJ1453" s="62"/>
      <c r="AK1453" s="62"/>
      <c r="AL1453" s="66"/>
      <c r="AM1453" s="62"/>
      <c r="AN1453" s="62"/>
      <c r="AO1453" s="62"/>
      <c r="AP1453" s="62"/>
      <c r="AQ1453" s="66"/>
      <c r="AR1453" s="62"/>
      <c r="AS1453" s="62"/>
      <c r="AT1453" s="62"/>
      <c r="AU1453" s="62"/>
      <c r="AV1453" s="66"/>
      <c r="AW1453" s="97"/>
    </row>
    <row r="1454" spans="23:49" x14ac:dyDescent="0.15">
      <c r="W1454" s="12"/>
      <c r="X1454" s="62"/>
      <c r="Y1454" s="62"/>
      <c r="Z1454" s="62"/>
      <c r="AA1454" s="62"/>
      <c r="AB1454" s="98"/>
      <c r="AC1454" s="62"/>
      <c r="AD1454" s="62"/>
      <c r="AE1454" s="62"/>
      <c r="AF1454" s="62"/>
      <c r="AG1454" s="66"/>
      <c r="AH1454" s="62"/>
      <c r="AI1454" s="62"/>
      <c r="AJ1454" s="62"/>
      <c r="AK1454" s="62"/>
      <c r="AL1454" s="66"/>
      <c r="AM1454" s="62"/>
      <c r="AN1454" s="62"/>
      <c r="AO1454" s="62"/>
      <c r="AP1454" s="62"/>
      <c r="AQ1454" s="66"/>
      <c r="AR1454" s="62"/>
      <c r="AS1454" s="62"/>
      <c r="AT1454" s="62"/>
      <c r="AU1454" s="62"/>
      <c r="AV1454" s="66"/>
      <c r="AW1454" s="97"/>
    </row>
    <row r="1455" spans="23:49" x14ac:dyDescent="0.15">
      <c r="W1455" s="12"/>
      <c r="X1455" s="62"/>
      <c r="Y1455" s="62"/>
      <c r="Z1455" s="62"/>
      <c r="AA1455" s="62"/>
      <c r="AB1455" s="98"/>
      <c r="AC1455" s="62"/>
      <c r="AD1455" s="62"/>
      <c r="AE1455" s="62"/>
      <c r="AF1455" s="62"/>
      <c r="AG1455" s="66"/>
      <c r="AH1455" s="62"/>
      <c r="AI1455" s="62"/>
      <c r="AJ1455" s="62"/>
      <c r="AK1455" s="62"/>
      <c r="AL1455" s="66"/>
      <c r="AM1455" s="62"/>
      <c r="AN1455" s="62"/>
      <c r="AO1455" s="62"/>
      <c r="AP1455" s="62"/>
      <c r="AQ1455" s="66"/>
      <c r="AR1455" s="62"/>
      <c r="AS1455" s="62"/>
      <c r="AT1455" s="62"/>
      <c r="AU1455" s="62"/>
      <c r="AV1455" s="66"/>
      <c r="AW1455" s="97"/>
    </row>
    <row r="1456" spans="23:49" x14ac:dyDescent="0.15">
      <c r="W1456" s="12"/>
      <c r="X1456" s="62"/>
      <c r="Y1456" s="62"/>
      <c r="Z1456" s="62"/>
      <c r="AA1456" s="62"/>
      <c r="AB1456" s="98"/>
      <c r="AC1456" s="62"/>
      <c r="AD1456" s="62"/>
      <c r="AE1456" s="62"/>
      <c r="AF1456" s="62"/>
      <c r="AG1456" s="66"/>
      <c r="AH1456" s="62"/>
      <c r="AI1456" s="62"/>
      <c r="AJ1456" s="62"/>
      <c r="AK1456" s="62"/>
      <c r="AL1456" s="66"/>
      <c r="AM1456" s="62"/>
      <c r="AN1456" s="62"/>
      <c r="AO1456" s="62"/>
      <c r="AP1456" s="62"/>
      <c r="AQ1456" s="66"/>
      <c r="AR1456" s="62"/>
      <c r="AS1456" s="62"/>
      <c r="AT1456" s="62"/>
      <c r="AU1456" s="62"/>
      <c r="AV1456" s="66"/>
      <c r="AW1456" s="97"/>
    </row>
    <row r="1457" spans="23:49" x14ac:dyDescent="0.15">
      <c r="W1457" s="12"/>
      <c r="X1457" s="62"/>
      <c r="Y1457" s="62"/>
      <c r="Z1457" s="62"/>
      <c r="AA1457" s="62"/>
      <c r="AB1457" s="98"/>
      <c r="AC1457" s="62"/>
      <c r="AD1457" s="62"/>
      <c r="AE1457" s="62"/>
      <c r="AF1457" s="62"/>
      <c r="AG1457" s="66"/>
      <c r="AH1457" s="62"/>
      <c r="AI1457" s="62"/>
      <c r="AJ1457" s="62"/>
      <c r="AK1457" s="62"/>
      <c r="AL1457" s="66"/>
      <c r="AM1457" s="62"/>
      <c r="AN1457" s="62"/>
      <c r="AO1457" s="62"/>
      <c r="AP1457" s="62"/>
      <c r="AQ1457" s="66"/>
      <c r="AR1457" s="62"/>
      <c r="AS1457" s="62"/>
      <c r="AT1457" s="62"/>
      <c r="AU1457" s="62"/>
      <c r="AV1457" s="66"/>
      <c r="AW1457" s="97"/>
    </row>
    <row r="1458" spans="23:49" x14ac:dyDescent="0.15">
      <c r="W1458" s="12"/>
      <c r="X1458" s="62"/>
      <c r="Y1458" s="62"/>
      <c r="Z1458" s="62"/>
      <c r="AA1458" s="62"/>
      <c r="AB1458" s="98"/>
      <c r="AC1458" s="62"/>
      <c r="AD1458" s="62"/>
      <c r="AE1458" s="62"/>
      <c r="AF1458" s="62"/>
      <c r="AG1458" s="66"/>
      <c r="AH1458" s="62"/>
      <c r="AI1458" s="62"/>
      <c r="AJ1458" s="62"/>
      <c r="AK1458" s="62"/>
      <c r="AL1458" s="66"/>
      <c r="AM1458" s="62"/>
      <c r="AN1458" s="62"/>
      <c r="AO1458" s="62"/>
      <c r="AP1458" s="62"/>
      <c r="AQ1458" s="66"/>
      <c r="AR1458" s="62"/>
      <c r="AS1458" s="62"/>
      <c r="AT1458" s="62"/>
      <c r="AU1458" s="62"/>
      <c r="AV1458" s="66"/>
      <c r="AW1458" s="97"/>
    </row>
    <row r="1459" spans="23:49" x14ac:dyDescent="0.15">
      <c r="W1459" s="12"/>
      <c r="X1459" s="62"/>
      <c r="Y1459" s="62"/>
      <c r="Z1459" s="62"/>
      <c r="AA1459" s="62"/>
      <c r="AB1459" s="98"/>
      <c r="AC1459" s="62"/>
      <c r="AD1459" s="62"/>
      <c r="AE1459" s="62"/>
      <c r="AF1459" s="62"/>
      <c r="AG1459" s="66"/>
      <c r="AH1459" s="62"/>
      <c r="AI1459" s="62"/>
      <c r="AJ1459" s="62"/>
      <c r="AK1459" s="62"/>
      <c r="AL1459" s="66"/>
      <c r="AM1459" s="62"/>
      <c r="AN1459" s="62"/>
      <c r="AO1459" s="62"/>
      <c r="AP1459" s="62"/>
      <c r="AQ1459" s="66"/>
      <c r="AR1459" s="62"/>
      <c r="AS1459" s="62"/>
      <c r="AT1459" s="62"/>
      <c r="AU1459" s="62"/>
      <c r="AV1459" s="66"/>
      <c r="AW1459" s="97"/>
    </row>
    <row r="1460" spans="23:49" x14ac:dyDescent="0.15">
      <c r="W1460" s="12"/>
      <c r="X1460" s="62"/>
      <c r="Y1460" s="62"/>
      <c r="Z1460" s="62"/>
      <c r="AA1460" s="62"/>
      <c r="AB1460" s="98"/>
      <c r="AC1460" s="62"/>
      <c r="AD1460" s="62"/>
      <c r="AE1460" s="62"/>
      <c r="AF1460" s="62"/>
      <c r="AG1460" s="66"/>
      <c r="AH1460" s="62"/>
      <c r="AI1460" s="62"/>
      <c r="AJ1460" s="62"/>
      <c r="AK1460" s="62"/>
      <c r="AL1460" s="66"/>
      <c r="AM1460" s="62"/>
      <c r="AN1460" s="62"/>
      <c r="AO1460" s="62"/>
      <c r="AP1460" s="62"/>
      <c r="AQ1460" s="66"/>
      <c r="AR1460" s="62"/>
      <c r="AS1460" s="62"/>
      <c r="AT1460" s="62"/>
      <c r="AU1460" s="62"/>
      <c r="AV1460" s="66"/>
      <c r="AW1460" s="97"/>
    </row>
    <row r="1461" spans="23:49" x14ac:dyDescent="0.15">
      <c r="W1461" s="12"/>
      <c r="X1461" s="62"/>
      <c r="Y1461" s="62"/>
      <c r="Z1461" s="62"/>
      <c r="AA1461" s="62"/>
      <c r="AB1461" s="98"/>
      <c r="AC1461" s="62"/>
      <c r="AD1461" s="62"/>
      <c r="AE1461" s="62"/>
      <c r="AF1461" s="62"/>
      <c r="AG1461" s="66"/>
      <c r="AH1461" s="62"/>
      <c r="AI1461" s="62"/>
      <c r="AJ1461" s="62"/>
      <c r="AK1461" s="62"/>
      <c r="AL1461" s="66"/>
      <c r="AM1461" s="62"/>
      <c r="AN1461" s="62"/>
      <c r="AO1461" s="62"/>
      <c r="AP1461" s="62"/>
      <c r="AQ1461" s="66"/>
      <c r="AR1461" s="62"/>
      <c r="AS1461" s="62"/>
      <c r="AT1461" s="62"/>
      <c r="AU1461" s="62"/>
      <c r="AV1461" s="66"/>
      <c r="AW1461" s="97"/>
    </row>
    <row r="1462" spans="23:49" x14ac:dyDescent="0.15">
      <c r="W1462" s="12"/>
      <c r="X1462" s="62"/>
      <c r="Y1462" s="62"/>
      <c r="Z1462" s="62"/>
      <c r="AA1462" s="62"/>
      <c r="AB1462" s="98"/>
      <c r="AC1462" s="62"/>
      <c r="AD1462" s="62"/>
      <c r="AE1462" s="62"/>
      <c r="AF1462" s="62"/>
      <c r="AG1462" s="66"/>
      <c r="AH1462" s="62"/>
      <c r="AI1462" s="62"/>
      <c r="AJ1462" s="62"/>
      <c r="AK1462" s="62"/>
      <c r="AL1462" s="66"/>
      <c r="AM1462" s="62"/>
      <c r="AN1462" s="62"/>
      <c r="AO1462" s="62"/>
      <c r="AP1462" s="62"/>
      <c r="AQ1462" s="66"/>
      <c r="AR1462" s="62"/>
      <c r="AS1462" s="62"/>
      <c r="AT1462" s="62"/>
      <c r="AU1462" s="62"/>
      <c r="AV1462" s="66"/>
      <c r="AW1462" s="97"/>
    </row>
    <row r="1463" spans="23:49" x14ac:dyDescent="0.15">
      <c r="W1463" s="12"/>
      <c r="X1463" s="62"/>
      <c r="Y1463" s="62"/>
      <c r="Z1463" s="62"/>
      <c r="AA1463" s="62"/>
      <c r="AB1463" s="98"/>
      <c r="AC1463" s="62"/>
      <c r="AD1463" s="62"/>
      <c r="AE1463" s="62"/>
      <c r="AF1463" s="62"/>
      <c r="AG1463" s="66"/>
      <c r="AH1463" s="62"/>
      <c r="AI1463" s="62"/>
      <c r="AJ1463" s="62"/>
      <c r="AK1463" s="62"/>
      <c r="AL1463" s="66"/>
      <c r="AM1463" s="62"/>
      <c r="AN1463" s="62"/>
      <c r="AO1463" s="62"/>
      <c r="AP1463" s="62"/>
      <c r="AQ1463" s="66"/>
      <c r="AR1463" s="62"/>
      <c r="AS1463" s="62"/>
      <c r="AT1463" s="62"/>
      <c r="AU1463" s="62"/>
      <c r="AV1463" s="66"/>
      <c r="AW1463" s="97"/>
    </row>
    <row r="1464" spans="23:49" x14ac:dyDescent="0.15">
      <c r="W1464" s="12"/>
      <c r="X1464" s="62"/>
      <c r="Y1464" s="62"/>
      <c r="Z1464" s="62"/>
      <c r="AA1464" s="62"/>
      <c r="AB1464" s="98"/>
      <c r="AC1464" s="62"/>
      <c r="AD1464" s="62"/>
      <c r="AE1464" s="62"/>
      <c r="AF1464" s="62"/>
      <c r="AG1464" s="66"/>
      <c r="AH1464" s="62"/>
      <c r="AI1464" s="62"/>
      <c r="AJ1464" s="62"/>
      <c r="AK1464" s="62"/>
      <c r="AL1464" s="66"/>
      <c r="AM1464" s="62"/>
      <c r="AN1464" s="62"/>
      <c r="AO1464" s="62"/>
      <c r="AP1464" s="62"/>
      <c r="AQ1464" s="66"/>
      <c r="AR1464" s="62"/>
      <c r="AS1464" s="62"/>
      <c r="AT1464" s="62"/>
      <c r="AU1464" s="62"/>
      <c r="AV1464" s="66"/>
      <c r="AW1464" s="97"/>
    </row>
    <row r="1465" spans="23:49" x14ac:dyDescent="0.15">
      <c r="W1465" s="12"/>
      <c r="X1465" s="62"/>
      <c r="Y1465" s="62"/>
      <c r="Z1465" s="62"/>
      <c r="AA1465" s="62"/>
      <c r="AB1465" s="98"/>
      <c r="AC1465" s="62"/>
      <c r="AD1465" s="62"/>
      <c r="AE1465" s="62"/>
      <c r="AF1465" s="62"/>
      <c r="AG1465" s="66"/>
      <c r="AH1465" s="62"/>
      <c r="AI1465" s="62"/>
      <c r="AJ1465" s="62"/>
      <c r="AK1465" s="62"/>
      <c r="AL1465" s="66"/>
      <c r="AM1465" s="62"/>
      <c r="AN1465" s="62"/>
      <c r="AO1465" s="62"/>
      <c r="AP1465" s="62"/>
      <c r="AQ1465" s="66"/>
      <c r="AR1465" s="62"/>
      <c r="AS1465" s="62"/>
      <c r="AT1465" s="62"/>
      <c r="AU1465" s="62"/>
      <c r="AV1465" s="66"/>
      <c r="AW1465" s="97"/>
    </row>
    <row r="1466" spans="23:49" x14ac:dyDescent="0.15">
      <c r="W1466" s="12"/>
      <c r="X1466" s="62"/>
      <c r="Y1466" s="62"/>
      <c r="Z1466" s="62"/>
      <c r="AA1466" s="62"/>
      <c r="AB1466" s="98"/>
      <c r="AC1466" s="62"/>
      <c r="AD1466" s="62"/>
      <c r="AE1466" s="62"/>
      <c r="AF1466" s="62"/>
      <c r="AG1466" s="66"/>
      <c r="AH1466" s="62"/>
      <c r="AI1466" s="62"/>
      <c r="AJ1466" s="62"/>
      <c r="AK1466" s="62"/>
      <c r="AL1466" s="66"/>
      <c r="AM1466" s="62"/>
      <c r="AN1466" s="62"/>
      <c r="AO1466" s="62"/>
      <c r="AP1466" s="62"/>
      <c r="AQ1466" s="66"/>
      <c r="AR1466" s="62"/>
      <c r="AS1466" s="62"/>
      <c r="AT1466" s="62"/>
      <c r="AU1466" s="62"/>
      <c r="AV1466" s="66"/>
      <c r="AW1466" s="97"/>
    </row>
    <row r="1467" spans="23:49" x14ac:dyDescent="0.15">
      <c r="W1467" s="12"/>
      <c r="X1467" s="62"/>
      <c r="Y1467" s="62"/>
      <c r="Z1467" s="62"/>
      <c r="AA1467" s="62"/>
      <c r="AB1467" s="98"/>
      <c r="AC1467" s="62"/>
      <c r="AD1467" s="62"/>
      <c r="AE1467" s="62"/>
      <c r="AF1467" s="62"/>
      <c r="AG1467" s="66"/>
      <c r="AH1467" s="62"/>
      <c r="AI1467" s="62"/>
      <c r="AJ1467" s="62"/>
      <c r="AK1467" s="62"/>
      <c r="AL1467" s="66"/>
      <c r="AM1467" s="62"/>
      <c r="AN1467" s="62"/>
      <c r="AO1467" s="62"/>
      <c r="AP1467" s="62"/>
      <c r="AQ1467" s="66"/>
      <c r="AR1467" s="62"/>
      <c r="AS1467" s="62"/>
      <c r="AT1467" s="62"/>
      <c r="AU1467" s="62"/>
      <c r="AV1467" s="66"/>
      <c r="AW1467" s="97"/>
    </row>
    <row r="1468" spans="23:49" x14ac:dyDescent="0.15">
      <c r="W1468" s="12"/>
      <c r="X1468" s="62"/>
      <c r="Y1468" s="62"/>
      <c r="Z1468" s="62"/>
      <c r="AA1468" s="62"/>
      <c r="AB1468" s="98"/>
      <c r="AC1468" s="62"/>
      <c r="AD1468" s="62"/>
      <c r="AE1468" s="62"/>
      <c r="AF1468" s="62"/>
      <c r="AG1468" s="66"/>
      <c r="AH1468" s="62"/>
      <c r="AI1468" s="62"/>
      <c r="AJ1468" s="62"/>
      <c r="AK1468" s="62"/>
      <c r="AL1468" s="66"/>
      <c r="AM1468" s="62"/>
      <c r="AN1468" s="62"/>
      <c r="AO1468" s="62"/>
      <c r="AP1468" s="62"/>
      <c r="AQ1468" s="66"/>
      <c r="AR1468" s="62"/>
      <c r="AS1468" s="62"/>
      <c r="AT1468" s="62"/>
      <c r="AU1468" s="62"/>
      <c r="AV1468" s="66"/>
      <c r="AW1468" s="97"/>
    </row>
    <row r="1469" spans="23:49" x14ac:dyDescent="0.15">
      <c r="W1469" s="12"/>
      <c r="X1469" s="62"/>
      <c r="Y1469" s="62"/>
      <c r="Z1469" s="62"/>
      <c r="AA1469" s="62"/>
      <c r="AB1469" s="98"/>
      <c r="AC1469" s="62"/>
      <c r="AD1469" s="62"/>
      <c r="AE1469" s="62"/>
      <c r="AF1469" s="62"/>
      <c r="AG1469" s="66"/>
      <c r="AH1469" s="62"/>
      <c r="AI1469" s="62"/>
      <c r="AJ1469" s="62"/>
      <c r="AK1469" s="62"/>
      <c r="AL1469" s="66"/>
      <c r="AM1469" s="62"/>
      <c r="AN1469" s="62"/>
      <c r="AO1469" s="62"/>
      <c r="AP1469" s="62"/>
      <c r="AQ1469" s="66"/>
      <c r="AR1469" s="62"/>
      <c r="AS1469" s="62"/>
      <c r="AT1469" s="62"/>
      <c r="AU1469" s="62"/>
      <c r="AV1469" s="66"/>
      <c r="AW1469" s="97"/>
    </row>
    <row r="1470" spans="23:49" x14ac:dyDescent="0.15">
      <c r="W1470" s="12"/>
      <c r="X1470" s="62"/>
      <c r="Y1470" s="62"/>
      <c r="Z1470" s="62"/>
      <c r="AA1470" s="62"/>
      <c r="AB1470" s="98"/>
      <c r="AC1470" s="62"/>
      <c r="AD1470" s="62"/>
      <c r="AE1470" s="62"/>
      <c r="AF1470" s="62"/>
      <c r="AG1470" s="66"/>
      <c r="AH1470" s="62"/>
      <c r="AI1470" s="62"/>
      <c r="AJ1470" s="62"/>
      <c r="AK1470" s="62"/>
      <c r="AL1470" s="66"/>
      <c r="AM1470" s="62"/>
      <c r="AN1470" s="62"/>
      <c r="AO1470" s="62"/>
      <c r="AP1470" s="62"/>
      <c r="AQ1470" s="66"/>
      <c r="AR1470" s="62"/>
      <c r="AS1470" s="62"/>
      <c r="AT1470" s="62"/>
      <c r="AU1470" s="62"/>
      <c r="AV1470" s="66"/>
      <c r="AW1470" s="97"/>
    </row>
    <row r="1471" spans="23:49" x14ac:dyDescent="0.15">
      <c r="W1471" s="12"/>
      <c r="X1471" s="62"/>
      <c r="Y1471" s="62"/>
      <c r="Z1471" s="62"/>
      <c r="AA1471" s="62"/>
      <c r="AB1471" s="98"/>
      <c r="AC1471" s="62"/>
      <c r="AD1471" s="62"/>
      <c r="AE1471" s="62"/>
      <c r="AF1471" s="62"/>
      <c r="AG1471" s="66"/>
      <c r="AH1471" s="62"/>
      <c r="AI1471" s="62"/>
      <c r="AJ1471" s="62"/>
      <c r="AK1471" s="62"/>
      <c r="AL1471" s="66"/>
      <c r="AM1471" s="62"/>
      <c r="AN1471" s="62"/>
      <c r="AO1471" s="62"/>
      <c r="AP1471" s="62"/>
      <c r="AQ1471" s="66"/>
      <c r="AR1471" s="62"/>
      <c r="AS1471" s="62"/>
      <c r="AT1471" s="62"/>
      <c r="AU1471" s="62"/>
      <c r="AV1471" s="66"/>
      <c r="AW1471" s="97"/>
    </row>
    <row r="1472" spans="23:49" x14ac:dyDescent="0.15">
      <c r="W1472" s="12"/>
      <c r="X1472" s="62"/>
      <c r="Y1472" s="62"/>
      <c r="Z1472" s="62"/>
      <c r="AA1472" s="62"/>
      <c r="AB1472" s="98"/>
      <c r="AC1472" s="62"/>
      <c r="AD1472" s="62"/>
      <c r="AE1472" s="62"/>
      <c r="AF1472" s="62"/>
      <c r="AG1472" s="66"/>
      <c r="AH1472" s="62"/>
      <c r="AI1472" s="62"/>
      <c r="AJ1472" s="62"/>
      <c r="AK1472" s="62"/>
      <c r="AL1472" s="66"/>
      <c r="AM1472" s="62"/>
      <c r="AN1472" s="62"/>
      <c r="AO1472" s="62"/>
      <c r="AP1472" s="62"/>
      <c r="AQ1472" s="66"/>
      <c r="AR1472" s="62"/>
      <c r="AS1472" s="62"/>
      <c r="AT1472" s="62"/>
      <c r="AU1472" s="62"/>
      <c r="AV1472" s="66"/>
      <c r="AW1472" s="97"/>
    </row>
    <row r="1473" spans="23:49" x14ac:dyDescent="0.15">
      <c r="W1473" s="12"/>
      <c r="X1473" s="62"/>
      <c r="Y1473" s="62"/>
      <c r="Z1473" s="62"/>
      <c r="AA1473" s="62"/>
      <c r="AB1473" s="98"/>
      <c r="AC1473" s="62"/>
      <c r="AD1473" s="62"/>
      <c r="AE1473" s="62"/>
      <c r="AF1473" s="62"/>
      <c r="AG1473" s="66"/>
      <c r="AH1473" s="62"/>
      <c r="AI1473" s="62"/>
      <c r="AJ1473" s="62"/>
      <c r="AK1473" s="62"/>
      <c r="AL1473" s="66"/>
      <c r="AM1473" s="62"/>
      <c r="AN1473" s="62"/>
      <c r="AO1473" s="62"/>
      <c r="AP1473" s="62"/>
      <c r="AQ1473" s="66"/>
      <c r="AR1473" s="62"/>
      <c r="AS1473" s="62"/>
      <c r="AT1473" s="62"/>
      <c r="AU1473" s="62"/>
      <c r="AV1473" s="66"/>
      <c r="AW1473" s="97"/>
    </row>
    <row r="1474" spans="23:49" x14ac:dyDescent="0.15">
      <c r="W1474" s="12"/>
      <c r="X1474" s="62"/>
      <c r="Y1474" s="62"/>
      <c r="Z1474" s="62"/>
      <c r="AA1474" s="62"/>
      <c r="AB1474" s="98"/>
      <c r="AC1474" s="62"/>
      <c r="AD1474" s="62"/>
      <c r="AE1474" s="62"/>
      <c r="AF1474" s="62"/>
      <c r="AG1474" s="66"/>
      <c r="AH1474" s="62"/>
      <c r="AI1474" s="62"/>
      <c r="AJ1474" s="62"/>
      <c r="AK1474" s="62"/>
      <c r="AL1474" s="66"/>
      <c r="AM1474" s="62"/>
      <c r="AN1474" s="62"/>
      <c r="AO1474" s="62"/>
      <c r="AP1474" s="62"/>
      <c r="AQ1474" s="66"/>
      <c r="AR1474" s="62"/>
      <c r="AS1474" s="62"/>
      <c r="AT1474" s="62"/>
      <c r="AU1474" s="62"/>
      <c r="AV1474" s="66"/>
      <c r="AW1474" s="97"/>
    </row>
    <row r="1475" spans="23:49" x14ac:dyDescent="0.15">
      <c r="W1475" s="12"/>
      <c r="X1475" s="62"/>
      <c r="Y1475" s="62"/>
      <c r="Z1475" s="62"/>
      <c r="AA1475" s="62"/>
      <c r="AB1475" s="98"/>
      <c r="AC1475" s="62"/>
      <c r="AD1475" s="62"/>
      <c r="AE1475" s="62"/>
      <c r="AF1475" s="62"/>
      <c r="AG1475" s="66"/>
      <c r="AH1475" s="62"/>
      <c r="AI1475" s="62"/>
      <c r="AJ1475" s="62"/>
      <c r="AK1475" s="62"/>
      <c r="AL1475" s="66"/>
      <c r="AM1475" s="62"/>
      <c r="AN1475" s="62"/>
      <c r="AO1475" s="62"/>
      <c r="AP1475" s="62"/>
      <c r="AQ1475" s="66"/>
      <c r="AR1475" s="62"/>
      <c r="AS1475" s="62"/>
      <c r="AT1475" s="62"/>
      <c r="AU1475" s="62"/>
      <c r="AV1475" s="66"/>
      <c r="AW1475" s="97"/>
    </row>
    <row r="1476" spans="23:49" x14ac:dyDescent="0.15">
      <c r="W1476" s="12"/>
      <c r="X1476" s="62"/>
      <c r="Y1476" s="62"/>
      <c r="Z1476" s="62"/>
      <c r="AA1476" s="62"/>
      <c r="AB1476" s="98"/>
      <c r="AC1476" s="62"/>
      <c r="AD1476" s="62"/>
      <c r="AE1476" s="62"/>
      <c r="AF1476" s="62"/>
      <c r="AG1476" s="66"/>
      <c r="AH1476" s="62"/>
      <c r="AI1476" s="62"/>
      <c r="AJ1476" s="62"/>
      <c r="AK1476" s="62"/>
      <c r="AL1476" s="66"/>
      <c r="AM1476" s="62"/>
      <c r="AN1476" s="62"/>
      <c r="AO1476" s="62"/>
      <c r="AP1476" s="62"/>
      <c r="AQ1476" s="66"/>
      <c r="AR1476" s="62"/>
      <c r="AS1476" s="62"/>
      <c r="AT1476" s="62"/>
      <c r="AU1476" s="62"/>
      <c r="AV1476" s="66"/>
      <c r="AW1476" s="97"/>
    </row>
    <row r="1477" spans="23:49" x14ac:dyDescent="0.15">
      <c r="W1477" s="12"/>
      <c r="X1477" s="62"/>
      <c r="Y1477" s="62"/>
      <c r="Z1477" s="62"/>
      <c r="AA1477" s="62"/>
      <c r="AB1477" s="98"/>
      <c r="AC1477" s="62"/>
      <c r="AD1477" s="62"/>
      <c r="AE1477" s="62"/>
      <c r="AF1477" s="62"/>
      <c r="AG1477" s="66"/>
      <c r="AH1477" s="62"/>
      <c r="AI1477" s="62"/>
      <c r="AJ1477" s="62"/>
      <c r="AK1477" s="62"/>
      <c r="AL1477" s="66"/>
      <c r="AM1477" s="62"/>
      <c r="AN1477" s="62"/>
      <c r="AO1477" s="62"/>
      <c r="AP1477" s="62"/>
      <c r="AQ1477" s="66"/>
      <c r="AR1477" s="62"/>
      <c r="AS1477" s="62"/>
      <c r="AT1477" s="62"/>
      <c r="AU1477" s="62"/>
      <c r="AV1477" s="66"/>
      <c r="AW1477" s="97"/>
    </row>
    <row r="1478" spans="23:49" x14ac:dyDescent="0.15">
      <c r="W1478" s="12"/>
      <c r="X1478" s="62"/>
      <c r="Y1478" s="62"/>
      <c r="Z1478" s="62"/>
      <c r="AA1478" s="62"/>
      <c r="AB1478" s="98"/>
      <c r="AC1478" s="62"/>
      <c r="AD1478" s="62"/>
      <c r="AE1478" s="62"/>
      <c r="AF1478" s="62"/>
      <c r="AG1478" s="66"/>
      <c r="AH1478" s="62"/>
      <c r="AI1478" s="62"/>
      <c r="AJ1478" s="62"/>
      <c r="AK1478" s="62"/>
      <c r="AL1478" s="66"/>
      <c r="AM1478" s="62"/>
      <c r="AN1478" s="62"/>
      <c r="AO1478" s="62"/>
      <c r="AP1478" s="62"/>
      <c r="AQ1478" s="66"/>
      <c r="AR1478" s="62"/>
      <c r="AS1478" s="62"/>
      <c r="AT1478" s="62"/>
      <c r="AU1478" s="62"/>
      <c r="AV1478" s="66"/>
      <c r="AW1478" s="97"/>
    </row>
    <row r="1479" spans="23:49" x14ac:dyDescent="0.15">
      <c r="W1479" s="12"/>
      <c r="X1479" s="62"/>
      <c r="Y1479" s="62"/>
      <c r="Z1479" s="62"/>
      <c r="AA1479" s="62"/>
      <c r="AB1479" s="98"/>
      <c r="AC1479" s="62"/>
      <c r="AD1479" s="62"/>
      <c r="AE1479" s="62"/>
      <c r="AF1479" s="62"/>
      <c r="AG1479" s="66"/>
      <c r="AH1479" s="62"/>
      <c r="AI1479" s="62"/>
      <c r="AJ1479" s="62"/>
      <c r="AK1479" s="62"/>
      <c r="AL1479" s="66"/>
      <c r="AM1479" s="62"/>
      <c r="AN1479" s="62"/>
      <c r="AO1479" s="62"/>
      <c r="AP1479" s="62"/>
      <c r="AQ1479" s="66"/>
      <c r="AR1479" s="62"/>
      <c r="AS1479" s="62"/>
      <c r="AT1479" s="62"/>
      <c r="AU1479" s="62"/>
      <c r="AV1479" s="66"/>
      <c r="AW1479" s="97"/>
    </row>
    <row r="1480" spans="23:49" x14ac:dyDescent="0.15">
      <c r="W1480" s="12"/>
      <c r="X1480" s="62"/>
      <c r="Y1480" s="62"/>
      <c r="Z1480" s="62"/>
      <c r="AA1480" s="62"/>
      <c r="AB1480" s="98"/>
      <c r="AC1480" s="62"/>
      <c r="AD1480" s="62"/>
      <c r="AE1480" s="62"/>
      <c r="AF1480" s="62"/>
      <c r="AG1480" s="66"/>
      <c r="AH1480" s="62"/>
      <c r="AI1480" s="62"/>
      <c r="AJ1480" s="62"/>
      <c r="AK1480" s="62"/>
      <c r="AL1480" s="66"/>
      <c r="AM1480" s="62"/>
      <c r="AN1480" s="62"/>
      <c r="AO1480" s="62"/>
      <c r="AP1480" s="62"/>
      <c r="AQ1480" s="66"/>
      <c r="AR1480" s="62"/>
      <c r="AS1480" s="62"/>
      <c r="AT1480" s="62"/>
      <c r="AU1480" s="62"/>
      <c r="AV1480" s="66"/>
      <c r="AW1480" s="97"/>
    </row>
    <row r="1481" spans="23:49" x14ac:dyDescent="0.15">
      <c r="W1481" s="12"/>
      <c r="X1481" s="62"/>
      <c r="Y1481" s="62"/>
      <c r="Z1481" s="62"/>
      <c r="AA1481" s="62"/>
      <c r="AB1481" s="98"/>
      <c r="AC1481" s="62"/>
      <c r="AD1481" s="62"/>
      <c r="AE1481" s="62"/>
      <c r="AF1481" s="62"/>
      <c r="AG1481" s="66"/>
      <c r="AH1481" s="62"/>
      <c r="AI1481" s="62"/>
      <c r="AJ1481" s="62"/>
      <c r="AK1481" s="62"/>
      <c r="AL1481" s="66"/>
      <c r="AM1481" s="62"/>
      <c r="AN1481" s="62"/>
      <c r="AO1481" s="62"/>
      <c r="AP1481" s="62"/>
      <c r="AQ1481" s="66"/>
      <c r="AR1481" s="62"/>
      <c r="AS1481" s="62"/>
      <c r="AT1481" s="62"/>
      <c r="AU1481" s="62"/>
      <c r="AV1481" s="66"/>
      <c r="AW1481" s="97"/>
    </row>
    <row r="1482" spans="23:49" x14ac:dyDescent="0.15">
      <c r="W1482" s="12"/>
      <c r="X1482" s="62"/>
      <c r="Y1482" s="62"/>
      <c r="Z1482" s="62"/>
      <c r="AA1482" s="62"/>
      <c r="AB1482" s="98"/>
      <c r="AC1482" s="62"/>
      <c r="AD1482" s="62"/>
      <c r="AE1482" s="62"/>
      <c r="AF1482" s="62"/>
      <c r="AG1482" s="66"/>
      <c r="AH1482" s="62"/>
      <c r="AI1482" s="62"/>
      <c r="AJ1482" s="62"/>
      <c r="AK1482" s="62"/>
      <c r="AL1482" s="66"/>
      <c r="AM1482" s="62"/>
      <c r="AN1482" s="62"/>
      <c r="AO1482" s="62"/>
      <c r="AP1482" s="62"/>
      <c r="AQ1482" s="66"/>
      <c r="AR1482" s="62"/>
      <c r="AS1482" s="62"/>
      <c r="AT1482" s="62"/>
      <c r="AU1482" s="62"/>
      <c r="AV1482" s="66"/>
      <c r="AW1482" s="97"/>
    </row>
    <row r="1483" spans="23:49" x14ac:dyDescent="0.15">
      <c r="W1483" s="12"/>
      <c r="X1483" s="62"/>
      <c r="Y1483" s="62"/>
      <c r="Z1483" s="62"/>
      <c r="AA1483" s="62"/>
      <c r="AB1483" s="98"/>
      <c r="AC1483" s="62"/>
      <c r="AD1483" s="62"/>
      <c r="AE1483" s="62"/>
      <c r="AF1483" s="62"/>
      <c r="AG1483" s="66"/>
      <c r="AH1483" s="62"/>
      <c r="AI1483" s="62"/>
      <c r="AJ1483" s="62"/>
      <c r="AK1483" s="62"/>
      <c r="AL1483" s="66"/>
      <c r="AM1483" s="62"/>
      <c r="AN1483" s="62"/>
      <c r="AO1483" s="62"/>
      <c r="AP1483" s="62"/>
      <c r="AQ1483" s="66"/>
      <c r="AR1483" s="62"/>
      <c r="AS1483" s="62"/>
      <c r="AT1483" s="62"/>
      <c r="AU1483" s="62"/>
      <c r="AV1483" s="66"/>
      <c r="AW1483" s="97"/>
    </row>
    <row r="1484" spans="23:49" x14ac:dyDescent="0.15">
      <c r="W1484" s="12"/>
      <c r="X1484" s="62"/>
      <c r="Y1484" s="62"/>
      <c r="Z1484" s="62"/>
      <c r="AA1484" s="62"/>
      <c r="AB1484" s="98"/>
      <c r="AC1484" s="62"/>
      <c r="AD1484" s="62"/>
      <c r="AE1484" s="62"/>
      <c r="AF1484" s="62"/>
      <c r="AG1484" s="66"/>
      <c r="AH1484" s="62"/>
      <c r="AI1484" s="62"/>
      <c r="AJ1484" s="62"/>
      <c r="AK1484" s="62"/>
      <c r="AL1484" s="66"/>
      <c r="AM1484" s="62"/>
      <c r="AN1484" s="62"/>
      <c r="AO1484" s="62"/>
      <c r="AP1484" s="62"/>
      <c r="AQ1484" s="66"/>
      <c r="AR1484" s="62"/>
      <c r="AS1484" s="62"/>
      <c r="AT1484" s="62"/>
      <c r="AU1484" s="62"/>
      <c r="AV1484" s="66"/>
      <c r="AW1484" s="97"/>
    </row>
    <row r="1485" spans="23:49" x14ac:dyDescent="0.15">
      <c r="W1485" s="12"/>
      <c r="X1485" s="62"/>
      <c r="Y1485" s="62"/>
      <c r="Z1485" s="62"/>
      <c r="AA1485" s="62"/>
      <c r="AB1485" s="98"/>
      <c r="AC1485" s="62"/>
      <c r="AD1485" s="62"/>
      <c r="AE1485" s="62"/>
      <c r="AF1485" s="62"/>
      <c r="AG1485" s="66"/>
      <c r="AH1485" s="62"/>
      <c r="AI1485" s="62"/>
      <c r="AJ1485" s="62"/>
      <c r="AK1485" s="62"/>
      <c r="AL1485" s="66"/>
      <c r="AM1485" s="62"/>
      <c r="AN1485" s="62"/>
      <c r="AO1485" s="62"/>
      <c r="AP1485" s="62"/>
      <c r="AQ1485" s="66"/>
      <c r="AR1485" s="62"/>
      <c r="AS1485" s="62"/>
      <c r="AT1485" s="62"/>
      <c r="AU1485" s="62"/>
      <c r="AV1485" s="66"/>
      <c r="AW1485" s="97"/>
    </row>
    <row r="1486" spans="23:49" x14ac:dyDescent="0.15">
      <c r="W1486" s="12"/>
      <c r="X1486" s="62"/>
      <c r="Y1486" s="62"/>
      <c r="Z1486" s="62"/>
      <c r="AA1486" s="62"/>
      <c r="AB1486" s="98"/>
      <c r="AC1486" s="62"/>
      <c r="AD1486" s="62"/>
      <c r="AE1486" s="62"/>
      <c r="AF1486" s="62"/>
      <c r="AG1486" s="66"/>
      <c r="AH1486" s="62"/>
      <c r="AI1486" s="62"/>
      <c r="AJ1486" s="62"/>
      <c r="AK1486" s="62"/>
      <c r="AL1486" s="66"/>
      <c r="AM1486" s="62"/>
      <c r="AN1486" s="62"/>
      <c r="AO1486" s="62"/>
      <c r="AP1486" s="62"/>
      <c r="AQ1486" s="66"/>
      <c r="AR1486" s="62"/>
      <c r="AS1486" s="62"/>
      <c r="AT1486" s="62"/>
      <c r="AU1486" s="62"/>
      <c r="AV1486" s="66"/>
      <c r="AW1486" s="97"/>
    </row>
    <row r="1487" spans="23:49" x14ac:dyDescent="0.15">
      <c r="W1487" s="12"/>
      <c r="X1487" s="62"/>
      <c r="Y1487" s="62"/>
      <c r="Z1487" s="62"/>
      <c r="AA1487" s="62"/>
      <c r="AB1487" s="98"/>
      <c r="AC1487" s="62"/>
      <c r="AD1487" s="62"/>
      <c r="AE1487" s="62"/>
      <c r="AF1487" s="62"/>
      <c r="AG1487" s="66"/>
      <c r="AH1487" s="62"/>
      <c r="AI1487" s="62"/>
      <c r="AJ1487" s="62"/>
      <c r="AK1487" s="62"/>
      <c r="AL1487" s="66"/>
      <c r="AM1487" s="62"/>
      <c r="AN1487" s="62"/>
      <c r="AO1487" s="62"/>
      <c r="AP1487" s="62"/>
      <c r="AQ1487" s="66"/>
      <c r="AR1487" s="62"/>
      <c r="AS1487" s="62"/>
      <c r="AT1487" s="62"/>
      <c r="AU1487" s="62"/>
      <c r="AV1487" s="66"/>
      <c r="AW1487" s="97"/>
    </row>
    <row r="1488" spans="23:49" x14ac:dyDescent="0.15">
      <c r="W1488" s="12"/>
      <c r="X1488" s="62"/>
      <c r="Y1488" s="62"/>
      <c r="Z1488" s="62"/>
      <c r="AA1488" s="62"/>
      <c r="AB1488" s="98"/>
      <c r="AC1488" s="62"/>
      <c r="AD1488" s="62"/>
      <c r="AE1488" s="62"/>
      <c r="AF1488" s="62"/>
      <c r="AG1488" s="66"/>
      <c r="AH1488" s="62"/>
      <c r="AI1488" s="62"/>
      <c r="AJ1488" s="62"/>
      <c r="AK1488" s="62"/>
      <c r="AL1488" s="66"/>
      <c r="AM1488" s="62"/>
      <c r="AN1488" s="62"/>
      <c r="AO1488" s="62"/>
      <c r="AP1488" s="62"/>
      <c r="AQ1488" s="66"/>
      <c r="AR1488" s="62"/>
      <c r="AS1488" s="62"/>
      <c r="AT1488" s="62"/>
      <c r="AU1488" s="62"/>
      <c r="AV1488" s="66"/>
      <c r="AW1488" s="97"/>
    </row>
    <row r="1489" spans="23:49" x14ac:dyDescent="0.15">
      <c r="W1489" s="12"/>
      <c r="X1489" s="62"/>
      <c r="Y1489" s="62"/>
      <c r="Z1489" s="62"/>
      <c r="AA1489" s="62"/>
      <c r="AB1489" s="98"/>
      <c r="AC1489" s="62"/>
      <c r="AD1489" s="62"/>
      <c r="AE1489" s="62"/>
      <c r="AF1489" s="62"/>
      <c r="AG1489" s="66"/>
      <c r="AH1489" s="62"/>
      <c r="AI1489" s="62"/>
      <c r="AJ1489" s="62"/>
      <c r="AK1489" s="62"/>
      <c r="AL1489" s="66"/>
      <c r="AM1489" s="62"/>
      <c r="AN1489" s="62"/>
      <c r="AO1489" s="62"/>
      <c r="AP1489" s="62"/>
      <c r="AQ1489" s="66"/>
      <c r="AR1489" s="62"/>
      <c r="AS1489" s="62"/>
      <c r="AT1489" s="62"/>
      <c r="AU1489" s="62"/>
      <c r="AV1489" s="66"/>
      <c r="AW1489" s="97"/>
    </row>
    <row r="1490" spans="23:49" x14ac:dyDescent="0.15">
      <c r="W1490" s="12"/>
      <c r="X1490" s="62"/>
      <c r="Y1490" s="62"/>
      <c r="Z1490" s="62"/>
      <c r="AA1490" s="62"/>
      <c r="AB1490" s="98"/>
      <c r="AC1490" s="62"/>
      <c r="AD1490" s="62"/>
      <c r="AE1490" s="62"/>
      <c r="AF1490" s="62"/>
      <c r="AG1490" s="66"/>
      <c r="AH1490" s="62"/>
      <c r="AI1490" s="62"/>
      <c r="AJ1490" s="62"/>
      <c r="AK1490" s="62"/>
      <c r="AL1490" s="66"/>
      <c r="AM1490" s="62"/>
      <c r="AN1490" s="62"/>
      <c r="AO1490" s="62"/>
      <c r="AP1490" s="62"/>
      <c r="AQ1490" s="66"/>
      <c r="AR1490" s="62"/>
      <c r="AS1490" s="62"/>
      <c r="AT1490" s="62"/>
      <c r="AU1490" s="62"/>
      <c r="AV1490" s="66"/>
      <c r="AW1490" s="97"/>
    </row>
    <row r="1491" spans="23:49" x14ac:dyDescent="0.15">
      <c r="W1491" s="12"/>
      <c r="X1491" s="62"/>
      <c r="Y1491" s="62"/>
      <c r="Z1491" s="62"/>
      <c r="AA1491" s="62"/>
      <c r="AB1491" s="98"/>
      <c r="AC1491" s="62"/>
      <c r="AD1491" s="62"/>
      <c r="AE1491" s="62"/>
      <c r="AF1491" s="62"/>
      <c r="AG1491" s="66"/>
      <c r="AH1491" s="62"/>
      <c r="AI1491" s="62"/>
      <c r="AJ1491" s="62"/>
      <c r="AK1491" s="62"/>
      <c r="AL1491" s="66"/>
      <c r="AM1491" s="62"/>
      <c r="AN1491" s="62"/>
      <c r="AO1491" s="62"/>
      <c r="AP1491" s="62"/>
      <c r="AQ1491" s="66"/>
      <c r="AR1491" s="62"/>
      <c r="AS1491" s="62"/>
      <c r="AT1491" s="62"/>
      <c r="AU1491" s="62"/>
      <c r="AV1491" s="66"/>
      <c r="AW1491" s="97"/>
    </row>
    <row r="1492" spans="23:49" x14ac:dyDescent="0.15">
      <c r="W1492" s="12"/>
      <c r="X1492" s="62"/>
      <c r="Y1492" s="62"/>
      <c r="Z1492" s="62"/>
      <c r="AA1492" s="62"/>
      <c r="AB1492" s="98"/>
      <c r="AC1492" s="62"/>
      <c r="AD1492" s="62"/>
      <c r="AE1492" s="62"/>
      <c r="AF1492" s="62"/>
      <c r="AG1492" s="66"/>
      <c r="AH1492" s="62"/>
      <c r="AI1492" s="62"/>
      <c r="AJ1492" s="62"/>
      <c r="AK1492" s="62"/>
      <c r="AL1492" s="66"/>
      <c r="AM1492" s="62"/>
      <c r="AN1492" s="62"/>
      <c r="AO1492" s="62"/>
      <c r="AP1492" s="62"/>
      <c r="AQ1492" s="66"/>
      <c r="AR1492" s="62"/>
      <c r="AS1492" s="62"/>
      <c r="AT1492" s="62"/>
      <c r="AU1492" s="62"/>
      <c r="AV1492" s="66"/>
      <c r="AW1492" s="97"/>
    </row>
    <row r="1493" spans="23:49" x14ac:dyDescent="0.15">
      <c r="W1493" s="12"/>
      <c r="X1493" s="62"/>
      <c r="Y1493" s="62"/>
      <c r="Z1493" s="62"/>
      <c r="AA1493" s="62"/>
      <c r="AB1493" s="98"/>
      <c r="AC1493" s="62"/>
      <c r="AD1493" s="62"/>
      <c r="AE1493" s="62"/>
      <c r="AF1493" s="62"/>
      <c r="AG1493" s="66"/>
      <c r="AH1493" s="62"/>
      <c r="AI1493" s="62"/>
      <c r="AJ1493" s="62"/>
      <c r="AK1493" s="62"/>
      <c r="AL1493" s="66"/>
      <c r="AM1493" s="62"/>
      <c r="AN1493" s="62"/>
      <c r="AO1493" s="62"/>
      <c r="AP1493" s="62"/>
      <c r="AQ1493" s="66"/>
      <c r="AR1493" s="62"/>
      <c r="AS1493" s="62"/>
      <c r="AT1493" s="62"/>
      <c r="AU1493" s="62"/>
      <c r="AV1493" s="66"/>
      <c r="AW1493" s="97"/>
    </row>
    <row r="1494" spans="23:49" x14ac:dyDescent="0.15">
      <c r="W1494" s="12"/>
      <c r="X1494" s="62"/>
      <c r="Y1494" s="62"/>
      <c r="Z1494" s="62"/>
      <c r="AA1494" s="62"/>
      <c r="AB1494" s="98"/>
      <c r="AC1494" s="62"/>
      <c r="AD1494" s="62"/>
      <c r="AE1494" s="62"/>
      <c r="AF1494" s="62"/>
      <c r="AG1494" s="66"/>
      <c r="AH1494" s="62"/>
      <c r="AI1494" s="62"/>
      <c r="AJ1494" s="62"/>
      <c r="AK1494" s="62"/>
      <c r="AL1494" s="66"/>
      <c r="AM1494" s="62"/>
      <c r="AN1494" s="62"/>
      <c r="AO1494" s="62"/>
      <c r="AP1494" s="62"/>
      <c r="AQ1494" s="66"/>
      <c r="AR1494" s="62"/>
      <c r="AS1494" s="62"/>
      <c r="AT1494" s="62"/>
      <c r="AU1494" s="62"/>
      <c r="AV1494" s="66"/>
      <c r="AW1494" s="97"/>
    </row>
    <row r="1495" spans="23:49" x14ac:dyDescent="0.15">
      <c r="W1495" s="12"/>
      <c r="X1495" s="62"/>
      <c r="Y1495" s="62"/>
      <c r="Z1495" s="62"/>
      <c r="AA1495" s="62"/>
      <c r="AB1495" s="98"/>
      <c r="AC1495" s="62"/>
      <c r="AD1495" s="62"/>
      <c r="AE1495" s="62"/>
      <c r="AF1495" s="62"/>
      <c r="AG1495" s="66"/>
      <c r="AH1495" s="62"/>
      <c r="AI1495" s="62"/>
      <c r="AJ1495" s="62"/>
      <c r="AK1495" s="62"/>
      <c r="AL1495" s="66"/>
      <c r="AM1495" s="62"/>
      <c r="AN1495" s="62"/>
      <c r="AO1495" s="62"/>
      <c r="AP1495" s="62"/>
      <c r="AQ1495" s="66"/>
      <c r="AR1495" s="62"/>
      <c r="AS1495" s="62"/>
      <c r="AT1495" s="62"/>
      <c r="AU1495" s="62"/>
      <c r="AV1495" s="66"/>
      <c r="AW1495" s="97"/>
    </row>
    <row r="1496" spans="23:49" x14ac:dyDescent="0.15">
      <c r="W1496" s="12"/>
      <c r="X1496" s="62"/>
      <c r="Y1496" s="62"/>
      <c r="Z1496" s="62"/>
      <c r="AA1496" s="62"/>
      <c r="AB1496" s="98"/>
      <c r="AC1496" s="62"/>
      <c r="AD1496" s="62"/>
      <c r="AE1496" s="62"/>
      <c r="AF1496" s="62"/>
      <c r="AG1496" s="66"/>
      <c r="AH1496" s="62"/>
      <c r="AI1496" s="62"/>
      <c r="AJ1496" s="62"/>
      <c r="AK1496" s="62"/>
      <c r="AL1496" s="66"/>
      <c r="AM1496" s="62"/>
      <c r="AN1496" s="62"/>
      <c r="AO1496" s="62"/>
      <c r="AP1496" s="62"/>
      <c r="AQ1496" s="66"/>
      <c r="AR1496" s="62"/>
      <c r="AS1496" s="62"/>
      <c r="AT1496" s="62"/>
      <c r="AU1496" s="62"/>
      <c r="AV1496" s="66"/>
      <c r="AW1496" s="97"/>
    </row>
    <row r="1497" spans="23:49" x14ac:dyDescent="0.15">
      <c r="W1497" s="12"/>
      <c r="X1497" s="62"/>
      <c r="Y1497" s="62"/>
      <c r="Z1497" s="62"/>
      <c r="AA1497" s="62"/>
      <c r="AB1497" s="98"/>
      <c r="AC1497" s="62"/>
      <c r="AD1497" s="62"/>
      <c r="AE1497" s="62"/>
      <c r="AF1497" s="62"/>
      <c r="AG1497" s="66"/>
      <c r="AH1497" s="62"/>
      <c r="AI1497" s="62"/>
      <c r="AJ1497" s="62"/>
      <c r="AK1497" s="62"/>
      <c r="AL1497" s="66"/>
      <c r="AM1497" s="62"/>
      <c r="AN1497" s="62"/>
      <c r="AO1497" s="62"/>
      <c r="AP1497" s="62"/>
      <c r="AQ1497" s="66"/>
      <c r="AR1497" s="62"/>
      <c r="AS1497" s="62"/>
      <c r="AT1497" s="62"/>
      <c r="AU1497" s="62"/>
      <c r="AV1497" s="66"/>
      <c r="AW1497" s="97"/>
    </row>
    <row r="1498" spans="23:49" x14ac:dyDescent="0.15">
      <c r="W1498" s="12"/>
      <c r="X1498" s="62"/>
      <c r="Y1498" s="62"/>
      <c r="Z1498" s="62"/>
      <c r="AA1498" s="62"/>
      <c r="AB1498" s="98"/>
      <c r="AC1498" s="62"/>
      <c r="AD1498" s="62"/>
      <c r="AE1498" s="62"/>
      <c r="AF1498" s="62"/>
      <c r="AG1498" s="66"/>
      <c r="AH1498" s="62"/>
      <c r="AI1498" s="62"/>
      <c r="AJ1498" s="62"/>
      <c r="AK1498" s="62"/>
      <c r="AL1498" s="66"/>
      <c r="AM1498" s="62"/>
      <c r="AN1498" s="62"/>
      <c r="AO1498" s="62"/>
      <c r="AP1498" s="62"/>
      <c r="AQ1498" s="66"/>
      <c r="AR1498" s="62"/>
      <c r="AS1498" s="62"/>
      <c r="AT1498" s="62"/>
      <c r="AU1498" s="62"/>
      <c r="AV1498" s="66"/>
      <c r="AW1498" s="97"/>
    </row>
    <row r="1499" spans="23:49" x14ac:dyDescent="0.15">
      <c r="W1499" s="12"/>
      <c r="X1499" s="62"/>
      <c r="Y1499" s="62"/>
      <c r="Z1499" s="62"/>
      <c r="AA1499" s="62"/>
      <c r="AB1499" s="98"/>
      <c r="AC1499" s="62"/>
      <c r="AD1499" s="62"/>
      <c r="AE1499" s="62"/>
      <c r="AF1499" s="62"/>
      <c r="AG1499" s="66"/>
      <c r="AH1499" s="62"/>
      <c r="AI1499" s="62"/>
      <c r="AJ1499" s="62"/>
      <c r="AK1499" s="62"/>
      <c r="AL1499" s="66"/>
      <c r="AM1499" s="62"/>
      <c r="AN1499" s="62"/>
      <c r="AO1499" s="62"/>
      <c r="AP1499" s="62"/>
      <c r="AQ1499" s="66"/>
      <c r="AR1499" s="62"/>
      <c r="AS1499" s="62"/>
      <c r="AT1499" s="62"/>
      <c r="AU1499" s="62"/>
      <c r="AV1499" s="66"/>
      <c r="AW1499" s="97"/>
    </row>
    <row r="1500" spans="23:49" x14ac:dyDescent="0.15">
      <c r="W1500" s="12"/>
      <c r="X1500" s="62"/>
      <c r="Y1500" s="62"/>
      <c r="Z1500" s="62"/>
      <c r="AA1500" s="62"/>
      <c r="AB1500" s="98"/>
      <c r="AC1500" s="62"/>
      <c r="AD1500" s="62"/>
      <c r="AE1500" s="62"/>
      <c r="AF1500" s="62"/>
      <c r="AG1500" s="66"/>
      <c r="AH1500" s="62"/>
      <c r="AI1500" s="62"/>
      <c r="AJ1500" s="62"/>
      <c r="AK1500" s="62"/>
      <c r="AL1500" s="66"/>
      <c r="AM1500" s="62"/>
      <c r="AN1500" s="62"/>
      <c r="AO1500" s="62"/>
      <c r="AP1500" s="62"/>
      <c r="AQ1500" s="66"/>
      <c r="AR1500" s="62"/>
      <c r="AS1500" s="62"/>
      <c r="AT1500" s="62"/>
      <c r="AU1500" s="62"/>
      <c r="AV1500" s="66"/>
      <c r="AW1500" s="97"/>
    </row>
    <row r="1501" spans="23:49" x14ac:dyDescent="0.15">
      <c r="W1501" s="12"/>
      <c r="X1501" s="62"/>
      <c r="Y1501" s="62"/>
      <c r="Z1501" s="62"/>
      <c r="AA1501" s="62"/>
      <c r="AB1501" s="98"/>
      <c r="AC1501" s="62"/>
      <c r="AD1501" s="62"/>
      <c r="AE1501" s="62"/>
      <c r="AF1501" s="62"/>
      <c r="AG1501" s="66"/>
      <c r="AH1501" s="62"/>
      <c r="AI1501" s="62"/>
      <c r="AJ1501" s="62"/>
      <c r="AK1501" s="62"/>
      <c r="AL1501" s="66"/>
      <c r="AM1501" s="62"/>
      <c r="AN1501" s="62"/>
      <c r="AO1501" s="62"/>
      <c r="AP1501" s="62"/>
      <c r="AQ1501" s="66"/>
      <c r="AR1501" s="62"/>
      <c r="AS1501" s="62"/>
      <c r="AT1501" s="62"/>
      <c r="AU1501" s="62"/>
      <c r="AV1501" s="66"/>
      <c r="AW1501" s="97"/>
    </row>
    <row r="1502" spans="23:49" x14ac:dyDescent="0.15">
      <c r="W1502" s="12"/>
      <c r="X1502" s="62"/>
      <c r="Y1502" s="62"/>
      <c r="Z1502" s="62"/>
      <c r="AA1502" s="62"/>
      <c r="AB1502" s="98"/>
      <c r="AC1502" s="62"/>
      <c r="AD1502" s="62"/>
      <c r="AE1502" s="62"/>
      <c r="AF1502" s="62"/>
      <c r="AG1502" s="66"/>
      <c r="AH1502" s="62"/>
      <c r="AI1502" s="62"/>
      <c r="AJ1502" s="62"/>
      <c r="AK1502" s="62"/>
      <c r="AL1502" s="66"/>
      <c r="AM1502" s="62"/>
      <c r="AN1502" s="62"/>
      <c r="AO1502" s="62"/>
      <c r="AP1502" s="62"/>
      <c r="AQ1502" s="66"/>
      <c r="AR1502" s="62"/>
      <c r="AS1502" s="62"/>
      <c r="AT1502" s="62"/>
      <c r="AU1502" s="62"/>
      <c r="AV1502" s="66"/>
      <c r="AW1502" s="97"/>
    </row>
    <row r="1503" spans="23:49" x14ac:dyDescent="0.15">
      <c r="W1503" s="12"/>
      <c r="X1503" s="62"/>
      <c r="Y1503" s="62"/>
      <c r="Z1503" s="62"/>
      <c r="AA1503" s="62"/>
      <c r="AB1503" s="98"/>
      <c r="AC1503" s="62"/>
      <c r="AD1503" s="62"/>
      <c r="AE1503" s="62"/>
      <c r="AF1503" s="62"/>
      <c r="AG1503" s="66"/>
      <c r="AH1503" s="62"/>
      <c r="AI1503" s="62"/>
      <c r="AJ1503" s="62"/>
      <c r="AK1503" s="62"/>
      <c r="AL1503" s="66"/>
      <c r="AM1503" s="62"/>
      <c r="AN1503" s="62"/>
      <c r="AO1503" s="62"/>
      <c r="AP1503" s="62"/>
      <c r="AQ1503" s="66"/>
      <c r="AR1503" s="62"/>
      <c r="AS1503" s="62"/>
      <c r="AT1503" s="62"/>
      <c r="AU1503" s="62"/>
      <c r="AV1503" s="66"/>
      <c r="AW1503" s="97"/>
    </row>
    <row r="1504" spans="23:49" x14ac:dyDescent="0.15">
      <c r="W1504" s="12"/>
      <c r="X1504" s="62"/>
      <c r="Y1504" s="62"/>
      <c r="Z1504" s="62"/>
      <c r="AA1504" s="62"/>
      <c r="AB1504" s="98"/>
      <c r="AC1504" s="62"/>
      <c r="AD1504" s="62"/>
      <c r="AE1504" s="62"/>
      <c r="AF1504" s="62"/>
      <c r="AG1504" s="66"/>
      <c r="AH1504" s="62"/>
      <c r="AI1504" s="62"/>
      <c r="AJ1504" s="62"/>
      <c r="AK1504" s="62"/>
      <c r="AL1504" s="66"/>
      <c r="AM1504" s="62"/>
      <c r="AN1504" s="62"/>
      <c r="AO1504" s="62"/>
      <c r="AP1504" s="62"/>
      <c r="AQ1504" s="66"/>
      <c r="AR1504" s="62"/>
      <c r="AS1504" s="62"/>
      <c r="AT1504" s="62"/>
      <c r="AU1504" s="62"/>
      <c r="AV1504" s="66"/>
      <c r="AW1504" s="97"/>
    </row>
    <row r="1505" spans="23:49" x14ac:dyDescent="0.15">
      <c r="W1505" s="12"/>
      <c r="X1505" s="62"/>
      <c r="Y1505" s="62"/>
      <c r="Z1505" s="62"/>
      <c r="AA1505" s="62"/>
      <c r="AB1505" s="98"/>
      <c r="AC1505" s="62"/>
      <c r="AD1505" s="62"/>
      <c r="AE1505" s="62"/>
      <c r="AF1505" s="62"/>
      <c r="AG1505" s="66"/>
      <c r="AH1505" s="62"/>
      <c r="AI1505" s="62"/>
      <c r="AJ1505" s="62"/>
      <c r="AK1505" s="62"/>
      <c r="AL1505" s="66"/>
      <c r="AM1505" s="62"/>
      <c r="AN1505" s="62"/>
      <c r="AO1505" s="62"/>
      <c r="AP1505" s="62"/>
      <c r="AQ1505" s="66"/>
      <c r="AR1505" s="62"/>
      <c r="AS1505" s="62"/>
      <c r="AT1505" s="62"/>
      <c r="AU1505" s="62"/>
      <c r="AV1505" s="66"/>
      <c r="AW1505" s="97"/>
    </row>
    <row r="1506" spans="23:49" x14ac:dyDescent="0.15">
      <c r="W1506" s="12"/>
      <c r="X1506" s="62"/>
      <c r="Y1506" s="62"/>
      <c r="Z1506" s="62"/>
      <c r="AA1506" s="62"/>
      <c r="AB1506" s="98"/>
      <c r="AC1506" s="62"/>
      <c r="AD1506" s="62"/>
      <c r="AE1506" s="62"/>
      <c r="AF1506" s="62"/>
      <c r="AG1506" s="66"/>
      <c r="AH1506" s="62"/>
      <c r="AI1506" s="62"/>
      <c r="AJ1506" s="62"/>
      <c r="AK1506" s="62"/>
      <c r="AL1506" s="66"/>
      <c r="AM1506" s="62"/>
      <c r="AN1506" s="62"/>
      <c r="AO1506" s="62"/>
      <c r="AP1506" s="62"/>
      <c r="AQ1506" s="66"/>
      <c r="AR1506" s="62"/>
      <c r="AS1506" s="62"/>
      <c r="AT1506" s="62"/>
      <c r="AU1506" s="62"/>
      <c r="AV1506" s="66"/>
      <c r="AW1506" s="97"/>
    </row>
    <row r="1507" spans="23:49" x14ac:dyDescent="0.15">
      <c r="W1507" s="12"/>
      <c r="X1507" s="62"/>
      <c r="Y1507" s="62"/>
      <c r="Z1507" s="62"/>
      <c r="AA1507" s="62"/>
      <c r="AB1507" s="98"/>
      <c r="AC1507" s="62"/>
      <c r="AD1507" s="62"/>
      <c r="AE1507" s="62"/>
      <c r="AF1507" s="62"/>
      <c r="AG1507" s="66"/>
      <c r="AH1507" s="62"/>
      <c r="AI1507" s="62"/>
      <c r="AJ1507" s="62"/>
      <c r="AK1507" s="62"/>
      <c r="AL1507" s="66"/>
      <c r="AM1507" s="62"/>
      <c r="AN1507" s="62"/>
      <c r="AO1507" s="62"/>
      <c r="AP1507" s="62"/>
      <c r="AQ1507" s="66"/>
      <c r="AR1507" s="62"/>
      <c r="AS1507" s="62"/>
      <c r="AT1507" s="62"/>
      <c r="AU1507" s="62"/>
      <c r="AV1507" s="66"/>
      <c r="AW1507" s="97"/>
    </row>
    <row r="1508" spans="23:49" x14ac:dyDescent="0.15">
      <c r="W1508" s="12"/>
      <c r="X1508" s="62"/>
      <c r="Y1508" s="62"/>
      <c r="Z1508" s="62"/>
      <c r="AA1508" s="62"/>
      <c r="AB1508" s="98"/>
      <c r="AC1508" s="62"/>
      <c r="AD1508" s="62"/>
      <c r="AE1508" s="62"/>
      <c r="AF1508" s="62"/>
      <c r="AG1508" s="66"/>
      <c r="AH1508" s="62"/>
      <c r="AI1508" s="62"/>
      <c r="AJ1508" s="62"/>
      <c r="AK1508" s="62"/>
      <c r="AL1508" s="66"/>
      <c r="AM1508" s="62"/>
      <c r="AN1508" s="62"/>
      <c r="AO1508" s="62"/>
      <c r="AP1508" s="62"/>
      <c r="AQ1508" s="66"/>
      <c r="AR1508" s="62"/>
      <c r="AS1508" s="62"/>
      <c r="AT1508" s="62"/>
      <c r="AU1508" s="62"/>
      <c r="AV1508" s="66"/>
      <c r="AW1508" s="97"/>
    </row>
    <row r="1509" spans="23:49" x14ac:dyDescent="0.15">
      <c r="W1509" s="12"/>
      <c r="X1509" s="62"/>
      <c r="Y1509" s="62"/>
      <c r="Z1509" s="62"/>
      <c r="AA1509" s="62"/>
      <c r="AB1509" s="98"/>
      <c r="AC1509" s="62"/>
      <c r="AD1509" s="62"/>
      <c r="AE1509" s="62"/>
      <c r="AF1509" s="62"/>
      <c r="AG1509" s="66"/>
      <c r="AH1509" s="62"/>
      <c r="AI1509" s="62"/>
      <c r="AJ1509" s="62"/>
      <c r="AK1509" s="62"/>
      <c r="AL1509" s="66"/>
      <c r="AM1509" s="62"/>
      <c r="AN1509" s="62"/>
      <c r="AO1509" s="62"/>
      <c r="AP1509" s="62"/>
      <c r="AQ1509" s="66"/>
      <c r="AR1509" s="62"/>
      <c r="AS1509" s="62"/>
      <c r="AT1509" s="62"/>
      <c r="AU1509" s="62"/>
      <c r="AV1509" s="66"/>
      <c r="AW1509" s="97"/>
    </row>
    <row r="1510" spans="23:49" x14ac:dyDescent="0.15">
      <c r="W1510" s="12"/>
      <c r="X1510" s="62"/>
      <c r="Y1510" s="62"/>
      <c r="Z1510" s="62"/>
      <c r="AA1510" s="62"/>
      <c r="AB1510" s="98"/>
      <c r="AC1510" s="62"/>
      <c r="AD1510" s="62"/>
      <c r="AE1510" s="62"/>
      <c r="AF1510" s="62"/>
      <c r="AG1510" s="66"/>
      <c r="AH1510" s="62"/>
      <c r="AI1510" s="62"/>
      <c r="AJ1510" s="62"/>
      <c r="AK1510" s="62"/>
      <c r="AL1510" s="66"/>
      <c r="AM1510" s="62"/>
      <c r="AN1510" s="62"/>
      <c r="AO1510" s="62"/>
      <c r="AP1510" s="62"/>
      <c r="AQ1510" s="66"/>
      <c r="AR1510" s="62"/>
      <c r="AS1510" s="62"/>
      <c r="AT1510" s="62"/>
      <c r="AU1510" s="62"/>
      <c r="AV1510" s="66"/>
      <c r="AW1510" s="97"/>
    </row>
    <row r="1511" spans="23:49" x14ac:dyDescent="0.15">
      <c r="W1511" s="12"/>
      <c r="X1511" s="62"/>
      <c r="Y1511" s="62"/>
      <c r="Z1511" s="62"/>
      <c r="AA1511" s="62"/>
      <c r="AB1511" s="98"/>
      <c r="AC1511" s="62"/>
      <c r="AD1511" s="62"/>
      <c r="AE1511" s="62"/>
      <c r="AF1511" s="62"/>
      <c r="AG1511" s="66"/>
      <c r="AH1511" s="62"/>
      <c r="AI1511" s="62"/>
      <c r="AJ1511" s="62"/>
      <c r="AK1511" s="62"/>
      <c r="AL1511" s="66"/>
      <c r="AM1511" s="62"/>
      <c r="AN1511" s="62"/>
      <c r="AO1511" s="62"/>
      <c r="AP1511" s="62"/>
      <c r="AQ1511" s="66"/>
      <c r="AR1511" s="62"/>
      <c r="AS1511" s="62"/>
      <c r="AT1511" s="62"/>
      <c r="AU1511" s="62"/>
      <c r="AV1511" s="66"/>
      <c r="AW1511" s="97"/>
    </row>
    <row r="1512" spans="23:49" x14ac:dyDescent="0.15">
      <c r="W1512" s="12"/>
      <c r="X1512" s="62"/>
      <c r="Y1512" s="62"/>
      <c r="Z1512" s="62"/>
      <c r="AA1512" s="62"/>
      <c r="AB1512" s="98"/>
      <c r="AC1512" s="62"/>
      <c r="AD1512" s="62"/>
      <c r="AE1512" s="62"/>
      <c r="AF1512" s="62"/>
      <c r="AG1512" s="66"/>
      <c r="AH1512" s="62"/>
      <c r="AI1512" s="62"/>
      <c r="AJ1512" s="62"/>
      <c r="AK1512" s="62"/>
      <c r="AL1512" s="66"/>
      <c r="AM1512" s="62"/>
      <c r="AN1512" s="62"/>
      <c r="AO1512" s="62"/>
      <c r="AP1512" s="62"/>
      <c r="AQ1512" s="66"/>
      <c r="AR1512" s="62"/>
      <c r="AS1512" s="62"/>
      <c r="AT1512" s="62"/>
      <c r="AU1512" s="62"/>
      <c r="AV1512" s="66"/>
      <c r="AW1512" s="97"/>
    </row>
    <row r="1513" spans="23:49" x14ac:dyDescent="0.15">
      <c r="W1513" s="12"/>
      <c r="X1513" s="62"/>
      <c r="Y1513" s="62"/>
      <c r="Z1513" s="62"/>
      <c r="AA1513" s="62"/>
      <c r="AB1513" s="98"/>
      <c r="AC1513" s="62"/>
      <c r="AD1513" s="62"/>
      <c r="AE1513" s="62"/>
      <c r="AF1513" s="62"/>
      <c r="AG1513" s="66"/>
      <c r="AH1513" s="62"/>
      <c r="AI1513" s="62"/>
      <c r="AJ1513" s="62"/>
      <c r="AK1513" s="62"/>
      <c r="AL1513" s="66"/>
      <c r="AM1513" s="62"/>
      <c r="AN1513" s="62"/>
      <c r="AO1513" s="62"/>
      <c r="AP1513" s="62"/>
      <c r="AQ1513" s="66"/>
      <c r="AR1513" s="62"/>
      <c r="AS1513" s="62"/>
      <c r="AT1513" s="62"/>
      <c r="AU1513" s="62"/>
      <c r="AV1513" s="66"/>
      <c r="AW1513" s="97"/>
    </row>
    <row r="1514" spans="23:49" x14ac:dyDescent="0.15">
      <c r="W1514" s="12"/>
      <c r="X1514" s="62"/>
      <c r="Y1514" s="62"/>
      <c r="Z1514" s="62"/>
      <c r="AA1514" s="62"/>
      <c r="AB1514" s="98"/>
      <c r="AC1514" s="62"/>
      <c r="AD1514" s="62"/>
      <c r="AE1514" s="62"/>
      <c r="AF1514" s="62"/>
      <c r="AG1514" s="66"/>
      <c r="AH1514" s="62"/>
      <c r="AI1514" s="62"/>
      <c r="AJ1514" s="62"/>
      <c r="AK1514" s="62"/>
      <c r="AL1514" s="66"/>
      <c r="AM1514" s="62"/>
      <c r="AN1514" s="62"/>
      <c r="AO1514" s="62"/>
      <c r="AP1514" s="62"/>
      <c r="AQ1514" s="66"/>
      <c r="AR1514" s="62"/>
      <c r="AS1514" s="62"/>
      <c r="AT1514" s="62"/>
      <c r="AU1514" s="62"/>
      <c r="AV1514" s="66"/>
      <c r="AW1514" s="97"/>
    </row>
    <row r="1515" spans="23:49" x14ac:dyDescent="0.15">
      <c r="W1515" s="12"/>
      <c r="X1515" s="62"/>
      <c r="Y1515" s="62"/>
      <c r="Z1515" s="62"/>
      <c r="AA1515" s="62"/>
      <c r="AB1515" s="98"/>
      <c r="AC1515" s="62"/>
      <c r="AD1515" s="62"/>
      <c r="AE1515" s="62"/>
      <c r="AF1515" s="62"/>
      <c r="AG1515" s="66"/>
      <c r="AH1515" s="62"/>
      <c r="AI1515" s="62"/>
      <c r="AJ1515" s="62"/>
      <c r="AK1515" s="62"/>
      <c r="AL1515" s="66"/>
      <c r="AM1515" s="62"/>
      <c r="AN1515" s="62"/>
      <c r="AO1515" s="62"/>
      <c r="AP1515" s="62"/>
      <c r="AQ1515" s="66"/>
      <c r="AR1515" s="62"/>
      <c r="AS1515" s="62"/>
      <c r="AT1515" s="62"/>
      <c r="AU1515" s="62"/>
      <c r="AV1515" s="66"/>
      <c r="AW1515" s="97"/>
    </row>
    <row r="1516" spans="23:49" x14ac:dyDescent="0.15">
      <c r="W1516" s="12"/>
      <c r="X1516" s="62"/>
      <c r="Y1516" s="62"/>
      <c r="Z1516" s="62"/>
      <c r="AA1516" s="62"/>
      <c r="AB1516" s="98"/>
      <c r="AC1516" s="62"/>
      <c r="AD1516" s="62"/>
      <c r="AE1516" s="62"/>
      <c r="AF1516" s="62"/>
      <c r="AG1516" s="66"/>
      <c r="AH1516" s="62"/>
      <c r="AI1516" s="62"/>
      <c r="AJ1516" s="62"/>
      <c r="AK1516" s="62"/>
      <c r="AL1516" s="66"/>
      <c r="AM1516" s="62"/>
      <c r="AN1516" s="62"/>
      <c r="AO1516" s="62"/>
      <c r="AP1516" s="62"/>
      <c r="AQ1516" s="66"/>
      <c r="AR1516" s="62"/>
      <c r="AS1516" s="62"/>
      <c r="AT1516" s="62"/>
      <c r="AU1516" s="62"/>
      <c r="AV1516" s="66"/>
      <c r="AW1516" s="97"/>
    </row>
    <row r="1517" spans="23:49" x14ac:dyDescent="0.15">
      <c r="W1517" s="12"/>
      <c r="X1517" s="62"/>
      <c r="Y1517" s="62"/>
      <c r="Z1517" s="62"/>
      <c r="AA1517" s="62"/>
      <c r="AB1517" s="98"/>
      <c r="AC1517" s="62"/>
      <c r="AD1517" s="62"/>
      <c r="AE1517" s="62"/>
      <c r="AF1517" s="62"/>
      <c r="AG1517" s="66"/>
      <c r="AH1517" s="62"/>
      <c r="AI1517" s="62"/>
      <c r="AJ1517" s="62"/>
      <c r="AK1517" s="62"/>
      <c r="AL1517" s="66"/>
      <c r="AM1517" s="62"/>
      <c r="AN1517" s="62"/>
      <c r="AO1517" s="62"/>
      <c r="AP1517" s="62"/>
      <c r="AQ1517" s="66"/>
      <c r="AR1517" s="62"/>
      <c r="AS1517" s="62"/>
      <c r="AT1517" s="62"/>
      <c r="AU1517" s="62"/>
      <c r="AV1517" s="66"/>
      <c r="AW1517" s="97"/>
    </row>
    <row r="1518" spans="23:49" x14ac:dyDescent="0.15">
      <c r="W1518" s="12"/>
      <c r="X1518" s="62"/>
      <c r="Y1518" s="62"/>
      <c r="Z1518" s="62"/>
      <c r="AA1518" s="62"/>
      <c r="AB1518" s="98"/>
      <c r="AC1518" s="62"/>
      <c r="AD1518" s="62"/>
      <c r="AE1518" s="62"/>
      <c r="AF1518" s="62"/>
      <c r="AG1518" s="66"/>
      <c r="AH1518" s="62"/>
      <c r="AI1518" s="62"/>
      <c r="AJ1518" s="62"/>
      <c r="AK1518" s="62"/>
      <c r="AL1518" s="66"/>
      <c r="AM1518" s="62"/>
      <c r="AN1518" s="62"/>
      <c r="AO1518" s="62"/>
      <c r="AP1518" s="62"/>
      <c r="AQ1518" s="66"/>
      <c r="AR1518" s="62"/>
      <c r="AS1518" s="62"/>
      <c r="AT1518" s="62"/>
      <c r="AU1518" s="62"/>
      <c r="AV1518" s="66"/>
      <c r="AW1518" s="97"/>
    </row>
    <row r="1519" spans="23:49" x14ac:dyDescent="0.15">
      <c r="W1519" s="12"/>
      <c r="X1519" s="62"/>
      <c r="Y1519" s="62"/>
      <c r="Z1519" s="62"/>
      <c r="AA1519" s="62"/>
      <c r="AB1519" s="98"/>
      <c r="AC1519" s="62"/>
      <c r="AD1519" s="62"/>
      <c r="AE1519" s="62"/>
      <c r="AF1519" s="62"/>
      <c r="AG1519" s="66"/>
      <c r="AH1519" s="62"/>
      <c r="AI1519" s="62"/>
      <c r="AJ1519" s="62"/>
      <c r="AK1519" s="62"/>
      <c r="AL1519" s="66"/>
      <c r="AM1519" s="62"/>
      <c r="AN1519" s="62"/>
      <c r="AO1519" s="62"/>
      <c r="AP1519" s="62"/>
      <c r="AQ1519" s="66"/>
      <c r="AR1519" s="62"/>
      <c r="AS1519" s="62"/>
      <c r="AT1519" s="62"/>
      <c r="AU1519" s="62"/>
      <c r="AV1519" s="66"/>
      <c r="AW1519" s="97"/>
    </row>
    <row r="1520" spans="23:49" x14ac:dyDescent="0.15">
      <c r="W1520" s="12"/>
      <c r="X1520" s="62"/>
      <c r="Y1520" s="62"/>
      <c r="Z1520" s="62"/>
      <c r="AA1520" s="62"/>
      <c r="AB1520" s="98"/>
      <c r="AC1520" s="62"/>
      <c r="AD1520" s="62"/>
      <c r="AE1520" s="62"/>
      <c r="AF1520" s="62"/>
      <c r="AG1520" s="66"/>
      <c r="AH1520" s="62"/>
      <c r="AI1520" s="62"/>
      <c r="AJ1520" s="62"/>
      <c r="AK1520" s="62"/>
      <c r="AL1520" s="66"/>
      <c r="AM1520" s="62"/>
      <c r="AN1520" s="62"/>
      <c r="AO1520" s="62"/>
      <c r="AP1520" s="62"/>
      <c r="AQ1520" s="66"/>
      <c r="AR1520" s="62"/>
      <c r="AS1520" s="62"/>
      <c r="AT1520" s="62"/>
      <c r="AU1520" s="62"/>
      <c r="AV1520" s="66"/>
      <c r="AW1520" s="97"/>
    </row>
    <row r="1521" spans="23:49" x14ac:dyDescent="0.15">
      <c r="W1521" s="12"/>
      <c r="X1521" s="62"/>
      <c r="Y1521" s="62"/>
      <c r="Z1521" s="62"/>
      <c r="AA1521" s="62"/>
      <c r="AB1521" s="98"/>
      <c r="AC1521" s="62"/>
      <c r="AD1521" s="62"/>
      <c r="AE1521" s="62"/>
      <c r="AF1521" s="62"/>
      <c r="AG1521" s="66"/>
      <c r="AH1521" s="62"/>
      <c r="AI1521" s="62"/>
      <c r="AJ1521" s="62"/>
      <c r="AK1521" s="62"/>
      <c r="AL1521" s="66"/>
      <c r="AM1521" s="62"/>
      <c r="AN1521" s="62"/>
      <c r="AO1521" s="62"/>
      <c r="AP1521" s="62"/>
      <c r="AQ1521" s="66"/>
      <c r="AR1521" s="62"/>
      <c r="AS1521" s="62"/>
      <c r="AT1521" s="62"/>
      <c r="AU1521" s="62"/>
      <c r="AV1521" s="66"/>
      <c r="AW1521" s="97"/>
    </row>
    <row r="1522" spans="23:49" x14ac:dyDescent="0.15">
      <c r="W1522" s="12"/>
      <c r="X1522" s="62"/>
      <c r="Y1522" s="62"/>
      <c r="Z1522" s="62"/>
      <c r="AA1522" s="62"/>
      <c r="AB1522" s="98"/>
      <c r="AC1522" s="62"/>
      <c r="AD1522" s="62"/>
      <c r="AE1522" s="62"/>
      <c r="AF1522" s="62"/>
      <c r="AG1522" s="66"/>
      <c r="AH1522" s="62"/>
      <c r="AI1522" s="62"/>
      <c r="AJ1522" s="62"/>
      <c r="AK1522" s="62"/>
      <c r="AL1522" s="66"/>
      <c r="AM1522" s="62"/>
      <c r="AN1522" s="62"/>
      <c r="AO1522" s="62"/>
      <c r="AP1522" s="62"/>
      <c r="AQ1522" s="66"/>
      <c r="AR1522" s="62"/>
      <c r="AS1522" s="62"/>
      <c r="AT1522" s="62"/>
      <c r="AU1522" s="62"/>
      <c r="AV1522" s="66"/>
      <c r="AW1522" s="97"/>
    </row>
    <row r="1523" spans="23:49" x14ac:dyDescent="0.15">
      <c r="W1523" s="12"/>
      <c r="X1523" s="62"/>
      <c r="Y1523" s="62"/>
      <c r="Z1523" s="62"/>
      <c r="AA1523" s="62"/>
      <c r="AB1523" s="98"/>
      <c r="AC1523" s="62"/>
      <c r="AD1523" s="62"/>
      <c r="AE1523" s="62"/>
      <c r="AF1523" s="62"/>
      <c r="AG1523" s="66"/>
      <c r="AH1523" s="62"/>
      <c r="AI1523" s="62"/>
      <c r="AJ1523" s="62"/>
      <c r="AK1523" s="62"/>
      <c r="AL1523" s="66"/>
      <c r="AM1523" s="62"/>
      <c r="AN1523" s="62"/>
      <c r="AO1523" s="62"/>
      <c r="AP1523" s="62"/>
      <c r="AQ1523" s="66"/>
      <c r="AR1523" s="62"/>
      <c r="AS1523" s="62"/>
      <c r="AT1523" s="62"/>
      <c r="AU1523" s="62"/>
      <c r="AV1523" s="66"/>
      <c r="AW1523" s="97"/>
    </row>
    <row r="1524" spans="23:49" x14ac:dyDescent="0.15">
      <c r="W1524" s="12"/>
      <c r="X1524" s="62"/>
      <c r="Y1524" s="62"/>
      <c r="Z1524" s="62"/>
      <c r="AA1524" s="62"/>
      <c r="AB1524" s="98"/>
      <c r="AC1524" s="62"/>
      <c r="AD1524" s="62"/>
      <c r="AE1524" s="62"/>
      <c r="AF1524" s="62"/>
      <c r="AG1524" s="66"/>
      <c r="AH1524" s="62"/>
      <c r="AI1524" s="62"/>
      <c r="AJ1524" s="62"/>
      <c r="AK1524" s="62"/>
      <c r="AL1524" s="66"/>
      <c r="AM1524" s="62"/>
      <c r="AN1524" s="62"/>
      <c r="AO1524" s="62"/>
      <c r="AP1524" s="62"/>
      <c r="AQ1524" s="66"/>
      <c r="AR1524" s="62"/>
      <c r="AS1524" s="62"/>
      <c r="AT1524" s="62"/>
      <c r="AU1524" s="62"/>
      <c r="AV1524" s="66"/>
      <c r="AW1524" s="97"/>
    </row>
    <row r="1525" spans="23:49" x14ac:dyDescent="0.15">
      <c r="W1525" s="12"/>
      <c r="X1525" s="62"/>
      <c r="Y1525" s="62"/>
      <c r="Z1525" s="62"/>
      <c r="AA1525" s="62"/>
      <c r="AB1525" s="98"/>
      <c r="AC1525" s="62"/>
      <c r="AD1525" s="62"/>
      <c r="AE1525" s="62"/>
      <c r="AF1525" s="62"/>
      <c r="AG1525" s="66"/>
      <c r="AH1525" s="62"/>
      <c r="AI1525" s="62"/>
      <c r="AJ1525" s="62"/>
      <c r="AK1525" s="62"/>
      <c r="AL1525" s="66"/>
      <c r="AM1525" s="62"/>
      <c r="AN1525" s="62"/>
      <c r="AO1525" s="62"/>
      <c r="AP1525" s="62"/>
      <c r="AQ1525" s="66"/>
      <c r="AR1525" s="62"/>
      <c r="AS1525" s="62"/>
      <c r="AT1525" s="62"/>
      <c r="AU1525" s="62"/>
      <c r="AV1525" s="66"/>
      <c r="AW1525" s="97"/>
    </row>
    <row r="1526" spans="23:49" x14ac:dyDescent="0.15">
      <c r="W1526" s="12"/>
      <c r="X1526" s="62"/>
      <c r="Y1526" s="62"/>
      <c r="Z1526" s="62"/>
      <c r="AA1526" s="62"/>
      <c r="AB1526" s="98"/>
      <c r="AC1526" s="62"/>
      <c r="AD1526" s="62"/>
      <c r="AE1526" s="62"/>
      <c r="AF1526" s="62"/>
      <c r="AG1526" s="66"/>
      <c r="AH1526" s="62"/>
      <c r="AI1526" s="62"/>
      <c r="AJ1526" s="62"/>
      <c r="AK1526" s="62"/>
      <c r="AL1526" s="66"/>
      <c r="AM1526" s="62"/>
      <c r="AN1526" s="62"/>
      <c r="AO1526" s="62"/>
      <c r="AP1526" s="62"/>
      <c r="AQ1526" s="66"/>
      <c r="AR1526" s="62"/>
      <c r="AS1526" s="62"/>
      <c r="AT1526" s="62"/>
      <c r="AU1526" s="62"/>
      <c r="AV1526" s="66"/>
      <c r="AW1526" s="97"/>
    </row>
    <row r="1527" spans="23:49" x14ac:dyDescent="0.15">
      <c r="W1527" s="12"/>
      <c r="X1527" s="62"/>
      <c r="Y1527" s="62"/>
      <c r="Z1527" s="62"/>
      <c r="AA1527" s="62"/>
      <c r="AB1527" s="98"/>
      <c r="AC1527" s="62"/>
      <c r="AD1527" s="62"/>
      <c r="AE1527" s="62"/>
      <c r="AF1527" s="62"/>
      <c r="AG1527" s="66"/>
      <c r="AH1527" s="62"/>
      <c r="AI1527" s="62"/>
      <c r="AJ1527" s="62"/>
      <c r="AK1527" s="62"/>
      <c r="AL1527" s="66"/>
      <c r="AM1527" s="62"/>
      <c r="AN1527" s="62"/>
      <c r="AO1527" s="62"/>
      <c r="AP1527" s="62"/>
      <c r="AQ1527" s="66"/>
      <c r="AR1527" s="62"/>
      <c r="AS1527" s="62"/>
      <c r="AT1527" s="62"/>
      <c r="AU1527" s="62"/>
      <c r="AV1527" s="66"/>
      <c r="AW1527" s="97"/>
    </row>
    <row r="1528" spans="23:49" x14ac:dyDescent="0.15">
      <c r="W1528" s="12"/>
      <c r="X1528" s="62"/>
      <c r="Y1528" s="62"/>
      <c r="Z1528" s="62"/>
      <c r="AA1528" s="62"/>
      <c r="AB1528" s="98"/>
      <c r="AC1528" s="62"/>
      <c r="AD1528" s="62"/>
      <c r="AE1528" s="62"/>
      <c r="AF1528" s="62"/>
      <c r="AG1528" s="66"/>
      <c r="AH1528" s="62"/>
      <c r="AI1528" s="62"/>
      <c r="AJ1528" s="62"/>
      <c r="AK1528" s="62"/>
      <c r="AL1528" s="66"/>
      <c r="AM1528" s="62"/>
      <c r="AN1528" s="62"/>
      <c r="AO1528" s="62"/>
      <c r="AP1528" s="62"/>
      <c r="AQ1528" s="66"/>
      <c r="AR1528" s="62"/>
      <c r="AS1528" s="62"/>
      <c r="AT1528" s="62"/>
      <c r="AU1528" s="62"/>
      <c r="AV1528" s="66"/>
      <c r="AW1528" s="97"/>
    </row>
    <row r="1529" spans="23:49" x14ac:dyDescent="0.15">
      <c r="W1529" s="12"/>
      <c r="X1529" s="62"/>
      <c r="Y1529" s="62"/>
      <c r="Z1529" s="62"/>
      <c r="AA1529" s="62"/>
      <c r="AB1529" s="98"/>
      <c r="AC1529" s="62"/>
      <c r="AD1529" s="62"/>
      <c r="AE1529" s="62"/>
      <c r="AF1529" s="62"/>
      <c r="AG1529" s="66"/>
      <c r="AH1529" s="62"/>
      <c r="AI1529" s="62"/>
      <c r="AJ1529" s="62"/>
      <c r="AK1529" s="62"/>
      <c r="AL1529" s="66"/>
      <c r="AM1529" s="62"/>
      <c r="AN1529" s="62"/>
      <c r="AO1529" s="62"/>
      <c r="AP1529" s="62"/>
      <c r="AQ1529" s="66"/>
      <c r="AR1529" s="62"/>
      <c r="AS1529" s="62"/>
      <c r="AT1529" s="62"/>
      <c r="AU1529" s="62"/>
      <c r="AV1529" s="66"/>
      <c r="AW1529" s="97"/>
    </row>
    <row r="1530" spans="23:49" x14ac:dyDescent="0.15">
      <c r="W1530" s="12"/>
      <c r="X1530" s="62"/>
      <c r="Y1530" s="62"/>
      <c r="Z1530" s="62"/>
      <c r="AA1530" s="62"/>
      <c r="AB1530" s="98"/>
      <c r="AC1530" s="62"/>
      <c r="AD1530" s="62"/>
      <c r="AE1530" s="62"/>
      <c r="AF1530" s="62"/>
      <c r="AG1530" s="66"/>
      <c r="AH1530" s="62"/>
      <c r="AI1530" s="62"/>
      <c r="AJ1530" s="62"/>
      <c r="AK1530" s="62"/>
      <c r="AL1530" s="66"/>
      <c r="AM1530" s="62"/>
      <c r="AN1530" s="62"/>
      <c r="AO1530" s="62"/>
      <c r="AP1530" s="62"/>
      <c r="AQ1530" s="66"/>
      <c r="AR1530" s="62"/>
      <c r="AS1530" s="62"/>
      <c r="AT1530" s="62"/>
      <c r="AU1530" s="62"/>
      <c r="AV1530" s="66"/>
      <c r="AW1530" s="97"/>
    </row>
    <row r="1531" spans="23:49" x14ac:dyDescent="0.15">
      <c r="W1531" s="12"/>
      <c r="X1531" s="62"/>
      <c r="Y1531" s="62"/>
      <c r="Z1531" s="62"/>
      <c r="AA1531" s="62"/>
      <c r="AB1531" s="98"/>
      <c r="AC1531" s="62"/>
      <c r="AD1531" s="62"/>
      <c r="AE1531" s="62"/>
      <c r="AF1531" s="62"/>
      <c r="AG1531" s="66"/>
      <c r="AH1531" s="62"/>
      <c r="AI1531" s="62"/>
      <c r="AJ1531" s="62"/>
      <c r="AK1531" s="62"/>
      <c r="AL1531" s="66"/>
      <c r="AM1531" s="62"/>
      <c r="AN1531" s="62"/>
      <c r="AO1531" s="62"/>
      <c r="AP1531" s="62"/>
      <c r="AQ1531" s="66"/>
      <c r="AR1531" s="62"/>
      <c r="AS1531" s="62"/>
      <c r="AT1531" s="62"/>
      <c r="AU1531" s="62"/>
      <c r="AV1531" s="66"/>
      <c r="AW1531" s="97"/>
    </row>
    <row r="1532" spans="23:49" x14ac:dyDescent="0.15">
      <c r="W1532" s="12"/>
      <c r="X1532" s="62"/>
      <c r="Y1532" s="62"/>
      <c r="Z1532" s="62"/>
      <c r="AA1532" s="62"/>
      <c r="AB1532" s="98"/>
      <c r="AC1532" s="62"/>
      <c r="AD1532" s="62"/>
      <c r="AE1532" s="62"/>
      <c r="AF1532" s="62"/>
      <c r="AG1532" s="66"/>
      <c r="AH1532" s="62"/>
      <c r="AI1532" s="62"/>
      <c r="AJ1532" s="62"/>
      <c r="AK1532" s="62"/>
      <c r="AL1532" s="66"/>
      <c r="AM1532" s="62"/>
      <c r="AN1532" s="62"/>
      <c r="AO1532" s="62"/>
      <c r="AP1532" s="62"/>
      <c r="AQ1532" s="66"/>
      <c r="AR1532" s="62"/>
      <c r="AS1532" s="62"/>
      <c r="AT1532" s="62"/>
      <c r="AU1532" s="62"/>
      <c r="AV1532" s="66"/>
      <c r="AW1532" s="97"/>
    </row>
    <row r="1533" spans="23:49" x14ac:dyDescent="0.15">
      <c r="W1533" s="12"/>
      <c r="X1533" s="62"/>
      <c r="Y1533" s="62"/>
      <c r="Z1533" s="62"/>
      <c r="AA1533" s="62"/>
      <c r="AB1533" s="98"/>
      <c r="AC1533" s="62"/>
      <c r="AD1533" s="62"/>
      <c r="AE1533" s="62"/>
      <c r="AF1533" s="62"/>
      <c r="AG1533" s="66"/>
      <c r="AH1533" s="62"/>
      <c r="AI1533" s="62"/>
      <c r="AJ1533" s="62"/>
      <c r="AK1533" s="62"/>
      <c r="AL1533" s="66"/>
      <c r="AM1533" s="62"/>
      <c r="AN1533" s="62"/>
      <c r="AO1533" s="62"/>
      <c r="AP1533" s="62"/>
      <c r="AQ1533" s="66"/>
      <c r="AR1533" s="62"/>
      <c r="AS1533" s="62"/>
      <c r="AT1533" s="62"/>
      <c r="AU1533" s="62"/>
      <c r="AV1533" s="66"/>
      <c r="AW1533" s="97"/>
    </row>
    <row r="1534" spans="23:49" x14ac:dyDescent="0.15">
      <c r="W1534" s="12"/>
      <c r="X1534" s="62"/>
      <c r="Y1534" s="62"/>
      <c r="Z1534" s="62"/>
      <c r="AA1534" s="62"/>
      <c r="AB1534" s="98"/>
      <c r="AC1534" s="62"/>
      <c r="AD1534" s="62"/>
      <c r="AE1534" s="62"/>
      <c r="AF1534" s="62"/>
      <c r="AG1534" s="66"/>
      <c r="AH1534" s="62"/>
      <c r="AI1534" s="62"/>
      <c r="AJ1534" s="62"/>
      <c r="AK1534" s="62"/>
      <c r="AL1534" s="66"/>
      <c r="AM1534" s="62"/>
      <c r="AN1534" s="62"/>
      <c r="AO1534" s="62"/>
      <c r="AP1534" s="62"/>
      <c r="AQ1534" s="66"/>
      <c r="AR1534" s="62"/>
      <c r="AS1534" s="62"/>
      <c r="AT1534" s="62"/>
      <c r="AU1534" s="62"/>
      <c r="AV1534" s="66"/>
      <c r="AW1534" s="97"/>
    </row>
    <row r="1535" spans="23:49" x14ac:dyDescent="0.15">
      <c r="W1535" s="12"/>
      <c r="X1535" s="62"/>
      <c r="Y1535" s="62"/>
      <c r="Z1535" s="62"/>
      <c r="AA1535" s="62"/>
      <c r="AB1535" s="98"/>
      <c r="AC1535" s="62"/>
      <c r="AD1535" s="62"/>
      <c r="AE1535" s="62"/>
      <c r="AF1535" s="62"/>
      <c r="AG1535" s="66"/>
      <c r="AH1535" s="62"/>
      <c r="AI1535" s="62"/>
      <c r="AJ1535" s="62"/>
      <c r="AK1535" s="62"/>
      <c r="AL1535" s="66"/>
      <c r="AM1535" s="62"/>
      <c r="AN1535" s="62"/>
      <c r="AO1535" s="62"/>
      <c r="AP1535" s="62"/>
      <c r="AQ1535" s="66"/>
      <c r="AR1535" s="62"/>
      <c r="AS1535" s="62"/>
      <c r="AT1535" s="62"/>
      <c r="AU1535" s="62"/>
      <c r="AV1535" s="66"/>
      <c r="AW1535" s="97"/>
    </row>
    <row r="1536" spans="23:49" x14ac:dyDescent="0.15">
      <c r="W1536" s="12"/>
      <c r="X1536" s="62"/>
      <c r="Y1536" s="62"/>
      <c r="Z1536" s="62"/>
      <c r="AA1536" s="62"/>
      <c r="AB1536" s="98"/>
      <c r="AC1536" s="62"/>
      <c r="AD1536" s="62"/>
      <c r="AE1536" s="62"/>
      <c r="AF1536" s="62"/>
      <c r="AG1536" s="66"/>
      <c r="AH1536" s="62"/>
      <c r="AI1536" s="62"/>
      <c r="AJ1536" s="62"/>
      <c r="AK1536" s="62"/>
      <c r="AL1536" s="66"/>
      <c r="AM1536" s="62"/>
      <c r="AN1536" s="62"/>
      <c r="AO1536" s="62"/>
      <c r="AP1536" s="62"/>
      <c r="AQ1536" s="66"/>
      <c r="AR1536" s="62"/>
      <c r="AS1536" s="62"/>
      <c r="AT1536" s="62"/>
      <c r="AU1536" s="62"/>
      <c r="AV1536" s="66"/>
      <c r="AW1536" s="97"/>
    </row>
    <row r="1537" spans="23:49" x14ac:dyDescent="0.15">
      <c r="W1537" s="12"/>
      <c r="X1537" s="62"/>
      <c r="Y1537" s="62"/>
      <c r="Z1537" s="62"/>
      <c r="AA1537" s="62"/>
      <c r="AB1537" s="98"/>
      <c r="AC1537" s="62"/>
      <c r="AD1537" s="62"/>
      <c r="AE1537" s="62"/>
      <c r="AF1537" s="62"/>
      <c r="AG1537" s="66"/>
      <c r="AH1537" s="62"/>
      <c r="AI1537" s="62"/>
      <c r="AJ1537" s="62"/>
      <c r="AK1537" s="62"/>
      <c r="AL1537" s="66"/>
      <c r="AM1537" s="62"/>
      <c r="AN1537" s="62"/>
      <c r="AO1537" s="62"/>
      <c r="AP1537" s="62"/>
      <c r="AQ1537" s="66"/>
      <c r="AR1537" s="62"/>
      <c r="AS1537" s="62"/>
      <c r="AT1537" s="62"/>
      <c r="AU1537" s="62"/>
      <c r="AV1537" s="66"/>
      <c r="AW1537" s="97"/>
    </row>
    <row r="1538" spans="23:49" x14ac:dyDescent="0.15">
      <c r="W1538" s="12"/>
      <c r="X1538" s="62"/>
      <c r="Y1538" s="62"/>
      <c r="Z1538" s="62"/>
      <c r="AA1538" s="62"/>
      <c r="AB1538" s="98"/>
      <c r="AC1538" s="62"/>
      <c r="AD1538" s="62"/>
      <c r="AE1538" s="62"/>
      <c r="AF1538" s="62"/>
      <c r="AG1538" s="66"/>
      <c r="AH1538" s="62"/>
      <c r="AI1538" s="62"/>
      <c r="AJ1538" s="62"/>
      <c r="AK1538" s="62"/>
      <c r="AL1538" s="66"/>
      <c r="AM1538" s="62"/>
      <c r="AN1538" s="62"/>
      <c r="AO1538" s="62"/>
      <c r="AP1538" s="62"/>
      <c r="AQ1538" s="66"/>
      <c r="AR1538" s="62"/>
      <c r="AS1538" s="62"/>
      <c r="AT1538" s="62"/>
      <c r="AU1538" s="62"/>
      <c r="AV1538" s="66"/>
      <c r="AW1538" s="97"/>
    </row>
    <row r="1539" spans="23:49" x14ac:dyDescent="0.15">
      <c r="W1539" s="12"/>
      <c r="X1539" s="62"/>
      <c r="Y1539" s="62"/>
      <c r="Z1539" s="62"/>
      <c r="AA1539" s="62"/>
      <c r="AB1539" s="98"/>
      <c r="AC1539" s="62"/>
      <c r="AD1539" s="62"/>
      <c r="AE1539" s="62"/>
      <c r="AF1539" s="62"/>
      <c r="AG1539" s="66"/>
      <c r="AH1539" s="62"/>
      <c r="AI1539" s="62"/>
      <c r="AJ1539" s="62"/>
      <c r="AK1539" s="62"/>
      <c r="AL1539" s="66"/>
      <c r="AM1539" s="62"/>
      <c r="AN1539" s="62"/>
      <c r="AO1539" s="62"/>
      <c r="AP1539" s="62"/>
      <c r="AQ1539" s="66"/>
      <c r="AR1539" s="62"/>
      <c r="AS1539" s="62"/>
      <c r="AT1539" s="62"/>
      <c r="AU1539" s="62"/>
      <c r="AV1539" s="66"/>
      <c r="AW1539" s="97"/>
    </row>
    <row r="1540" spans="23:49" x14ac:dyDescent="0.15">
      <c r="W1540" s="12"/>
      <c r="X1540" s="62"/>
      <c r="Y1540" s="62"/>
      <c r="Z1540" s="62"/>
      <c r="AA1540" s="62"/>
      <c r="AB1540" s="98"/>
      <c r="AC1540" s="62"/>
      <c r="AD1540" s="62"/>
      <c r="AE1540" s="62"/>
      <c r="AF1540" s="62"/>
      <c r="AG1540" s="66"/>
      <c r="AH1540" s="62"/>
      <c r="AI1540" s="62"/>
      <c r="AJ1540" s="62"/>
      <c r="AK1540" s="62"/>
      <c r="AL1540" s="66"/>
      <c r="AM1540" s="62"/>
      <c r="AN1540" s="62"/>
      <c r="AO1540" s="62"/>
      <c r="AP1540" s="62"/>
      <c r="AQ1540" s="66"/>
      <c r="AR1540" s="62"/>
      <c r="AS1540" s="62"/>
      <c r="AT1540" s="62"/>
      <c r="AU1540" s="62"/>
      <c r="AV1540" s="66"/>
      <c r="AW1540" s="97"/>
    </row>
    <row r="1541" spans="23:49" x14ac:dyDescent="0.15">
      <c r="W1541" s="12"/>
      <c r="X1541" s="62"/>
      <c r="Y1541" s="62"/>
      <c r="Z1541" s="62"/>
      <c r="AA1541" s="62"/>
      <c r="AB1541" s="98"/>
      <c r="AC1541" s="62"/>
      <c r="AD1541" s="62"/>
      <c r="AE1541" s="62"/>
      <c r="AF1541" s="62"/>
      <c r="AG1541" s="66"/>
      <c r="AH1541" s="62"/>
      <c r="AI1541" s="62"/>
      <c r="AJ1541" s="62"/>
      <c r="AK1541" s="62"/>
      <c r="AL1541" s="66"/>
      <c r="AM1541" s="62"/>
      <c r="AN1541" s="62"/>
      <c r="AO1541" s="62"/>
      <c r="AP1541" s="62"/>
      <c r="AQ1541" s="66"/>
      <c r="AR1541" s="62"/>
      <c r="AS1541" s="62"/>
      <c r="AT1541" s="62"/>
      <c r="AU1541" s="62"/>
      <c r="AV1541" s="66"/>
      <c r="AW1541" s="97"/>
    </row>
    <row r="1542" spans="23:49" x14ac:dyDescent="0.15">
      <c r="W1542" s="12"/>
      <c r="X1542" s="62"/>
      <c r="Y1542" s="62"/>
      <c r="Z1542" s="62"/>
      <c r="AA1542" s="62"/>
      <c r="AB1542" s="98"/>
      <c r="AC1542" s="62"/>
      <c r="AD1542" s="62"/>
      <c r="AE1542" s="62"/>
      <c r="AF1542" s="62"/>
      <c r="AG1542" s="66"/>
      <c r="AH1542" s="62"/>
      <c r="AI1542" s="62"/>
      <c r="AJ1542" s="62"/>
      <c r="AK1542" s="62"/>
      <c r="AL1542" s="66"/>
      <c r="AM1542" s="62"/>
      <c r="AN1542" s="62"/>
      <c r="AO1542" s="62"/>
      <c r="AP1542" s="62"/>
      <c r="AQ1542" s="66"/>
      <c r="AR1542" s="62"/>
      <c r="AS1542" s="62"/>
      <c r="AT1542" s="62"/>
      <c r="AU1542" s="62"/>
      <c r="AV1542" s="66"/>
      <c r="AW1542" s="97"/>
    </row>
    <row r="1543" spans="23:49" x14ac:dyDescent="0.15">
      <c r="W1543" s="12"/>
      <c r="X1543" s="62"/>
      <c r="Y1543" s="62"/>
      <c r="Z1543" s="62"/>
      <c r="AA1543" s="62"/>
      <c r="AB1543" s="98"/>
      <c r="AC1543" s="62"/>
      <c r="AD1543" s="62"/>
      <c r="AE1543" s="62"/>
      <c r="AF1543" s="62"/>
      <c r="AG1543" s="66"/>
      <c r="AH1543" s="62"/>
      <c r="AI1543" s="62"/>
      <c r="AJ1543" s="62"/>
      <c r="AK1543" s="62"/>
      <c r="AL1543" s="66"/>
      <c r="AM1543" s="62"/>
      <c r="AN1543" s="62"/>
      <c r="AO1543" s="62"/>
      <c r="AP1543" s="62"/>
      <c r="AQ1543" s="66"/>
      <c r="AR1543" s="62"/>
      <c r="AS1543" s="62"/>
      <c r="AT1543" s="62"/>
      <c r="AU1543" s="62"/>
      <c r="AV1543" s="66"/>
      <c r="AW1543" s="97"/>
    </row>
    <row r="1544" spans="23:49" x14ac:dyDescent="0.15">
      <c r="W1544" s="12"/>
      <c r="X1544" s="62"/>
      <c r="Y1544" s="62"/>
      <c r="Z1544" s="62"/>
      <c r="AA1544" s="62"/>
      <c r="AB1544" s="98"/>
      <c r="AC1544" s="62"/>
      <c r="AD1544" s="62"/>
      <c r="AE1544" s="62"/>
      <c r="AF1544" s="62"/>
      <c r="AG1544" s="66"/>
      <c r="AH1544" s="62"/>
      <c r="AI1544" s="62"/>
      <c r="AJ1544" s="62"/>
      <c r="AK1544" s="62"/>
      <c r="AL1544" s="66"/>
      <c r="AM1544" s="62"/>
      <c r="AN1544" s="62"/>
      <c r="AO1544" s="62"/>
      <c r="AP1544" s="62"/>
      <c r="AQ1544" s="66"/>
      <c r="AR1544" s="62"/>
      <c r="AS1544" s="62"/>
      <c r="AT1544" s="62"/>
      <c r="AU1544" s="62"/>
      <c r="AV1544" s="66"/>
      <c r="AW1544" s="97"/>
    </row>
    <row r="1545" spans="23:49" x14ac:dyDescent="0.15">
      <c r="W1545" s="12"/>
      <c r="X1545" s="62"/>
      <c r="Y1545" s="62"/>
      <c r="Z1545" s="62"/>
      <c r="AA1545" s="62"/>
      <c r="AB1545" s="98"/>
      <c r="AC1545" s="62"/>
      <c r="AD1545" s="62"/>
      <c r="AE1545" s="62"/>
      <c r="AF1545" s="62"/>
      <c r="AG1545" s="66"/>
      <c r="AH1545" s="62"/>
      <c r="AI1545" s="62"/>
      <c r="AJ1545" s="62"/>
      <c r="AK1545" s="62"/>
      <c r="AL1545" s="66"/>
      <c r="AM1545" s="62"/>
      <c r="AN1545" s="62"/>
      <c r="AO1545" s="62"/>
      <c r="AP1545" s="62"/>
      <c r="AQ1545" s="66"/>
      <c r="AR1545" s="62"/>
      <c r="AS1545" s="62"/>
      <c r="AT1545" s="62"/>
      <c r="AU1545" s="62"/>
      <c r="AV1545" s="66"/>
      <c r="AW1545" s="97"/>
    </row>
    <row r="1546" spans="23:49" x14ac:dyDescent="0.15">
      <c r="W1546" s="12"/>
      <c r="X1546" s="62"/>
      <c r="Y1546" s="62"/>
      <c r="Z1546" s="62"/>
      <c r="AA1546" s="62"/>
      <c r="AB1546" s="98"/>
      <c r="AC1546" s="62"/>
      <c r="AD1546" s="62"/>
      <c r="AE1546" s="62"/>
      <c r="AF1546" s="62"/>
      <c r="AG1546" s="66"/>
      <c r="AH1546" s="62"/>
      <c r="AI1546" s="62"/>
      <c r="AJ1546" s="62"/>
      <c r="AK1546" s="62"/>
      <c r="AL1546" s="66"/>
      <c r="AM1546" s="62"/>
      <c r="AN1546" s="62"/>
      <c r="AO1546" s="62"/>
      <c r="AP1546" s="62"/>
      <c r="AQ1546" s="66"/>
      <c r="AR1546" s="62"/>
      <c r="AS1546" s="62"/>
      <c r="AT1546" s="62"/>
      <c r="AU1546" s="62"/>
      <c r="AV1546" s="66"/>
      <c r="AW1546" s="97"/>
    </row>
    <row r="1547" spans="23:49" x14ac:dyDescent="0.15">
      <c r="W1547" s="12"/>
      <c r="X1547" s="62"/>
      <c r="Y1547" s="62"/>
      <c r="Z1547" s="62"/>
      <c r="AA1547" s="62"/>
      <c r="AB1547" s="98"/>
      <c r="AC1547" s="62"/>
      <c r="AD1547" s="62"/>
      <c r="AE1547" s="62"/>
      <c r="AF1547" s="62"/>
      <c r="AG1547" s="66"/>
      <c r="AH1547" s="62"/>
      <c r="AI1547" s="62"/>
      <c r="AJ1547" s="62"/>
      <c r="AK1547" s="62"/>
      <c r="AL1547" s="66"/>
      <c r="AM1547" s="62"/>
      <c r="AN1547" s="62"/>
      <c r="AO1547" s="62"/>
      <c r="AP1547" s="62"/>
      <c r="AQ1547" s="66"/>
      <c r="AR1547" s="62"/>
      <c r="AS1547" s="62"/>
      <c r="AT1547" s="62"/>
      <c r="AU1547" s="62"/>
      <c r="AV1547" s="66"/>
      <c r="AW1547" s="97"/>
    </row>
    <row r="1548" spans="23:49" x14ac:dyDescent="0.15">
      <c r="W1548" s="12"/>
      <c r="X1548" s="62"/>
      <c r="Y1548" s="62"/>
      <c r="Z1548" s="62"/>
      <c r="AA1548" s="62"/>
      <c r="AB1548" s="98"/>
      <c r="AC1548" s="62"/>
      <c r="AD1548" s="62"/>
      <c r="AE1548" s="62"/>
      <c r="AF1548" s="62"/>
      <c r="AG1548" s="66"/>
      <c r="AH1548" s="62"/>
      <c r="AI1548" s="62"/>
      <c r="AJ1548" s="62"/>
      <c r="AK1548" s="62"/>
      <c r="AL1548" s="66"/>
      <c r="AM1548" s="62"/>
      <c r="AN1548" s="62"/>
      <c r="AO1548" s="62"/>
      <c r="AP1548" s="62"/>
      <c r="AQ1548" s="66"/>
      <c r="AR1548" s="62"/>
      <c r="AS1548" s="62"/>
      <c r="AT1548" s="62"/>
      <c r="AU1548" s="62"/>
      <c r="AV1548" s="66"/>
      <c r="AW1548" s="97"/>
    </row>
    <row r="1549" spans="23:49" x14ac:dyDescent="0.15">
      <c r="W1549" s="12"/>
      <c r="X1549" s="62"/>
      <c r="Y1549" s="62"/>
      <c r="Z1549" s="62"/>
      <c r="AA1549" s="62"/>
      <c r="AB1549" s="98"/>
      <c r="AC1549" s="62"/>
      <c r="AD1549" s="62"/>
      <c r="AE1549" s="62"/>
      <c r="AF1549" s="62"/>
      <c r="AG1549" s="66"/>
      <c r="AH1549" s="62"/>
      <c r="AI1549" s="62"/>
      <c r="AJ1549" s="62"/>
      <c r="AK1549" s="62"/>
      <c r="AL1549" s="66"/>
      <c r="AM1549" s="62"/>
      <c r="AN1549" s="62"/>
      <c r="AO1549" s="62"/>
      <c r="AP1549" s="62"/>
      <c r="AQ1549" s="66"/>
      <c r="AR1549" s="62"/>
      <c r="AS1549" s="62"/>
      <c r="AT1549" s="62"/>
      <c r="AU1549" s="62"/>
      <c r="AV1549" s="66"/>
      <c r="AW1549" s="97"/>
    </row>
    <row r="1550" spans="23:49" x14ac:dyDescent="0.15">
      <c r="W1550" s="12"/>
      <c r="X1550" s="62"/>
      <c r="Y1550" s="62"/>
      <c r="Z1550" s="62"/>
      <c r="AA1550" s="62"/>
      <c r="AB1550" s="98"/>
      <c r="AC1550" s="62"/>
      <c r="AD1550" s="62"/>
      <c r="AE1550" s="62"/>
      <c r="AF1550" s="62"/>
      <c r="AG1550" s="66"/>
      <c r="AH1550" s="62"/>
      <c r="AI1550" s="62"/>
      <c r="AJ1550" s="62"/>
      <c r="AK1550" s="62"/>
      <c r="AL1550" s="66"/>
      <c r="AM1550" s="62"/>
      <c r="AN1550" s="62"/>
      <c r="AO1550" s="62"/>
      <c r="AP1550" s="62"/>
      <c r="AQ1550" s="66"/>
      <c r="AR1550" s="62"/>
      <c r="AS1550" s="62"/>
      <c r="AT1550" s="62"/>
      <c r="AU1550" s="62"/>
      <c r="AV1550" s="66"/>
      <c r="AW1550" s="97"/>
    </row>
    <row r="1551" spans="23:49" x14ac:dyDescent="0.15">
      <c r="W1551" s="12"/>
      <c r="X1551" s="62"/>
      <c r="Y1551" s="62"/>
      <c r="Z1551" s="62"/>
      <c r="AA1551" s="62"/>
      <c r="AB1551" s="98"/>
      <c r="AC1551" s="62"/>
      <c r="AD1551" s="62"/>
      <c r="AE1551" s="62"/>
      <c r="AF1551" s="62"/>
      <c r="AG1551" s="66"/>
      <c r="AH1551" s="62"/>
      <c r="AI1551" s="62"/>
      <c r="AJ1551" s="62"/>
      <c r="AK1551" s="62"/>
      <c r="AL1551" s="66"/>
      <c r="AM1551" s="62"/>
      <c r="AN1551" s="62"/>
      <c r="AO1551" s="62"/>
      <c r="AP1551" s="62"/>
      <c r="AQ1551" s="66"/>
      <c r="AR1551" s="62"/>
      <c r="AS1551" s="62"/>
      <c r="AT1551" s="62"/>
      <c r="AU1551" s="62"/>
      <c r="AV1551" s="66"/>
      <c r="AW1551" s="97"/>
    </row>
    <row r="1552" spans="23:49" x14ac:dyDescent="0.15">
      <c r="W1552" s="12"/>
      <c r="X1552" s="62"/>
      <c r="Y1552" s="62"/>
      <c r="Z1552" s="62"/>
      <c r="AA1552" s="62"/>
      <c r="AB1552" s="98"/>
      <c r="AC1552" s="62"/>
      <c r="AD1552" s="62"/>
      <c r="AE1552" s="62"/>
      <c r="AF1552" s="62"/>
      <c r="AG1552" s="66"/>
      <c r="AH1552" s="62"/>
      <c r="AI1552" s="62"/>
      <c r="AJ1552" s="62"/>
      <c r="AK1552" s="62"/>
      <c r="AL1552" s="66"/>
      <c r="AM1552" s="62"/>
      <c r="AN1552" s="62"/>
      <c r="AO1552" s="62"/>
      <c r="AP1552" s="62"/>
      <c r="AQ1552" s="66"/>
      <c r="AR1552" s="62"/>
      <c r="AS1552" s="62"/>
      <c r="AT1552" s="62"/>
      <c r="AU1552" s="62"/>
      <c r="AV1552" s="66"/>
      <c r="AW1552" s="97"/>
    </row>
    <row r="1553" spans="23:49" x14ac:dyDescent="0.15">
      <c r="W1553" s="12"/>
      <c r="X1553" s="62"/>
      <c r="Y1553" s="62"/>
      <c r="Z1553" s="62"/>
      <c r="AA1553" s="62"/>
      <c r="AB1553" s="98"/>
      <c r="AC1553" s="62"/>
      <c r="AD1553" s="62"/>
      <c r="AE1553" s="62"/>
      <c r="AF1553" s="62"/>
      <c r="AG1553" s="66"/>
      <c r="AH1553" s="62"/>
      <c r="AI1553" s="62"/>
      <c r="AJ1553" s="62"/>
      <c r="AK1553" s="62"/>
      <c r="AL1553" s="66"/>
      <c r="AM1553" s="62"/>
      <c r="AN1553" s="62"/>
      <c r="AO1553" s="62"/>
      <c r="AP1553" s="62"/>
      <c r="AQ1553" s="66"/>
      <c r="AR1553" s="62"/>
      <c r="AS1553" s="62"/>
      <c r="AT1553" s="62"/>
      <c r="AU1553" s="62"/>
      <c r="AV1553" s="66"/>
      <c r="AW1553" s="97"/>
    </row>
    <row r="1554" spans="23:49" x14ac:dyDescent="0.15">
      <c r="W1554" s="12"/>
      <c r="X1554" s="62"/>
      <c r="Y1554" s="62"/>
      <c r="Z1554" s="62"/>
      <c r="AA1554" s="62"/>
      <c r="AB1554" s="98"/>
      <c r="AC1554" s="62"/>
      <c r="AD1554" s="62"/>
      <c r="AE1554" s="62"/>
      <c r="AF1554" s="62"/>
      <c r="AG1554" s="66"/>
      <c r="AH1554" s="62"/>
      <c r="AI1554" s="62"/>
      <c r="AJ1554" s="62"/>
      <c r="AK1554" s="62"/>
      <c r="AL1554" s="66"/>
      <c r="AM1554" s="62"/>
      <c r="AN1554" s="62"/>
      <c r="AO1554" s="62"/>
      <c r="AP1554" s="62"/>
      <c r="AQ1554" s="66"/>
      <c r="AR1554" s="62"/>
      <c r="AS1554" s="62"/>
      <c r="AT1554" s="62"/>
      <c r="AU1554" s="62"/>
      <c r="AV1554" s="66"/>
      <c r="AW1554" s="97"/>
    </row>
    <row r="1555" spans="23:49" x14ac:dyDescent="0.15">
      <c r="W1555" s="12"/>
      <c r="X1555" s="62"/>
      <c r="Y1555" s="62"/>
      <c r="Z1555" s="62"/>
      <c r="AA1555" s="62"/>
      <c r="AB1555" s="98"/>
      <c r="AC1555" s="62"/>
      <c r="AD1555" s="62"/>
      <c r="AE1555" s="62"/>
      <c r="AF1555" s="62"/>
      <c r="AG1555" s="66"/>
      <c r="AH1555" s="62"/>
      <c r="AI1555" s="62"/>
      <c r="AJ1555" s="62"/>
      <c r="AK1555" s="62"/>
      <c r="AL1555" s="66"/>
      <c r="AM1555" s="62"/>
      <c r="AN1555" s="62"/>
      <c r="AO1555" s="62"/>
      <c r="AP1555" s="62"/>
      <c r="AQ1555" s="66"/>
      <c r="AR1555" s="62"/>
      <c r="AS1555" s="62"/>
      <c r="AT1555" s="62"/>
      <c r="AU1555" s="62"/>
      <c r="AV1555" s="66"/>
      <c r="AW1555" s="97"/>
    </row>
    <row r="1556" spans="23:49" x14ac:dyDescent="0.15">
      <c r="W1556" s="12"/>
      <c r="X1556" s="62"/>
      <c r="Y1556" s="62"/>
      <c r="Z1556" s="62"/>
      <c r="AA1556" s="62"/>
      <c r="AB1556" s="98"/>
      <c r="AC1556" s="62"/>
      <c r="AD1556" s="62"/>
      <c r="AE1556" s="62"/>
      <c r="AF1556" s="62"/>
      <c r="AG1556" s="66"/>
      <c r="AH1556" s="62"/>
      <c r="AI1556" s="62"/>
      <c r="AJ1556" s="62"/>
      <c r="AK1556" s="62"/>
      <c r="AL1556" s="66"/>
      <c r="AM1556" s="62"/>
      <c r="AN1556" s="62"/>
      <c r="AO1556" s="62"/>
      <c r="AP1556" s="62"/>
      <c r="AQ1556" s="66"/>
      <c r="AR1556" s="62"/>
      <c r="AS1556" s="62"/>
      <c r="AT1556" s="62"/>
      <c r="AU1556" s="62"/>
      <c r="AV1556" s="66"/>
      <c r="AW1556" s="97"/>
    </row>
    <row r="1557" spans="23:49" x14ac:dyDescent="0.15">
      <c r="W1557" s="12"/>
      <c r="X1557" s="62"/>
      <c r="Y1557" s="62"/>
      <c r="Z1557" s="62"/>
      <c r="AA1557" s="62"/>
      <c r="AB1557" s="98"/>
      <c r="AC1557" s="62"/>
      <c r="AD1557" s="62"/>
      <c r="AE1557" s="62"/>
      <c r="AF1557" s="62"/>
      <c r="AG1557" s="66"/>
      <c r="AH1557" s="62"/>
      <c r="AI1557" s="62"/>
      <c r="AJ1557" s="62"/>
      <c r="AK1557" s="62"/>
      <c r="AL1557" s="66"/>
      <c r="AM1557" s="62"/>
      <c r="AN1557" s="62"/>
      <c r="AO1557" s="62"/>
      <c r="AP1557" s="62"/>
      <c r="AQ1557" s="66"/>
      <c r="AR1557" s="62"/>
      <c r="AS1557" s="62"/>
      <c r="AT1557" s="62"/>
      <c r="AU1557" s="62"/>
      <c r="AV1557" s="66"/>
      <c r="AW1557" s="97"/>
    </row>
    <row r="1558" spans="23:49" x14ac:dyDescent="0.15">
      <c r="W1558" s="12"/>
      <c r="X1558" s="62"/>
      <c r="Y1558" s="62"/>
      <c r="Z1558" s="62"/>
      <c r="AA1558" s="62"/>
      <c r="AB1558" s="98"/>
      <c r="AC1558" s="62"/>
      <c r="AD1558" s="62"/>
      <c r="AE1558" s="62"/>
      <c r="AF1558" s="62"/>
      <c r="AG1558" s="66"/>
      <c r="AH1558" s="62"/>
      <c r="AI1558" s="62"/>
      <c r="AJ1558" s="62"/>
      <c r="AK1558" s="62"/>
      <c r="AL1558" s="66"/>
      <c r="AM1558" s="62"/>
      <c r="AN1558" s="62"/>
      <c r="AO1558" s="62"/>
      <c r="AP1558" s="62"/>
      <c r="AQ1558" s="66"/>
      <c r="AR1558" s="62"/>
      <c r="AS1558" s="62"/>
      <c r="AT1558" s="62"/>
      <c r="AU1558" s="62"/>
      <c r="AV1558" s="66"/>
      <c r="AW1558" s="97"/>
    </row>
    <row r="1559" spans="23:49" x14ac:dyDescent="0.15">
      <c r="W1559" s="12"/>
      <c r="X1559" s="62"/>
      <c r="Y1559" s="62"/>
      <c r="Z1559" s="62"/>
      <c r="AA1559" s="62"/>
      <c r="AB1559" s="98"/>
      <c r="AC1559" s="62"/>
      <c r="AD1559" s="62"/>
      <c r="AE1559" s="62"/>
      <c r="AF1559" s="62"/>
      <c r="AG1559" s="66"/>
      <c r="AH1559" s="62"/>
      <c r="AI1559" s="62"/>
      <c r="AJ1559" s="62"/>
      <c r="AK1559" s="62"/>
      <c r="AL1559" s="66"/>
      <c r="AM1559" s="62"/>
      <c r="AN1559" s="62"/>
      <c r="AO1559" s="62"/>
      <c r="AP1559" s="62"/>
      <c r="AQ1559" s="66"/>
      <c r="AR1559" s="62"/>
      <c r="AS1559" s="62"/>
      <c r="AT1559" s="62"/>
      <c r="AU1559" s="62"/>
      <c r="AV1559" s="66"/>
      <c r="AW1559" s="97"/>
    </row>
    <row r="1560" spans="23:49" x14ac:dyDescent="0.15">
      <c r="W1560" s="12"/>
      <c r="X1560" s="62"/>
      <c r="Y1560" s="62"/>
      <c r="Z1560" s="62"/>
      <c r="AA1560" s="62"/>
      <c r="AB1560" s="98"/>
      <c r="AC1560" s="62"/>
      <c r="AD1560" s="62"/>
      <c r="AE1560" s="62"/>
      <c r="AF1560" s="62"/>
      <c r="AG1560" s="66"/>
      <c r="AH1560" s="62"/>
      <c r="AI1560" s="62"/>
      <c r="AJ1560" s="62"/>
      <c r="AK1560" s="62"/>
      <c r="AL1560" s="66"/>
      <c r="AM1560" s="62"/>
      <c r="AN1560" s="62"/>
      <c r="AO1560" s="62"/>
      <c r="AP1560" s="62"/>
      <c r="AQ1560" s="66"/>
      <c r="AR1560" s="62"/>
      <c r="AS1560" s="62"/>
      <c r="AT1560" s="62"/>
      <c r="AU1560" s="62"/>
      <c r="AV1560" s="66"/>
      <c r="AW1560" s="97"/>
    </row>
    <row r="1561" spans="23:49" x14ac:dyDescent="0.15">
      <c r="W1561" s="12"/>
      <c r="X1561" s="62"/>
      <c r="Y1561" s="62"/>
      <c r="Z1561" s="62"/>
      <c r="AA1561" s="62"/>
      <c r="AB1561" s="98"/>
      <c r="AC1561" s="62"/>
      <c r="AD1561" s="62"/>
      <c r="AE1561" s="62"/>
      <c r="AF1561" s="62"/>
      <c r="AG1561" s="66"/>
      <c r="AH1561" s="62"/>
      <c r="AI1561" s="62"/>
      <c r="AJ1561" s="62"/>
      <c r="AK1561" s="62"/>
      <c r="AL1561" s="66"/>
      <c r="AM1561" s="62"/>
      <c r="AN1561" s="62"/>
      <c r="AO1561" s="62"/>
      <c r="AP1561" s="62"/>
      <c r="AQ1561" s="66"/>
      <c r="AR1561" s="62"/>
      <c r="AS1561" s="62"/>
      <c r="AT1561" s="62"/>
      <c r="AU1561" s="62"/>
      <c r="AV1561" s="66"/>
      <c r="AW1561" s="97"/>
    </row>
    <row r="1562" spans="23:49" x14ac:dyDescent="0.15">
      <c r="W1562" s="12"/>
      <c r="X1562" s="62"/>
      <c r="Y1562" s="62"/>
      <c r="Z1562" s="62"/>
      <c r="AA1562" s="62"/>
      <c r="AB1562" s="98"/>
      <c r="AC1562" s="62"/>
      <c r="AD1562" s="62"/>
      <c r="AE1562" s="62"/>
      <c r="AF1562" s="62"/>
      <c r="AG1562" s="66"/>
      <c r="AH1562" s="62"/>
      <c r="AI1562" s="62"/>
      <c r="AJ1562" s="62"/>
      <c r="AK1562" s="62"/>
      <c r="AL1562" s="66"/>
      <c r="AM1562" s="62"/>
      <c r="AN1562" s="62"/>
      <c r="AO1562" s="62"/>
      <c r="AP1562" s="62"/>
      <c r="AQ1562" s="66"/>
      <c r="AR1562" s="62"/>
      <c r="AS1562" s="62"/>
      <c r="AT1562" s="62"/>
      <c r="AU1562" s="62"/>
      <c r="AV1562" s="66"/>
      <c r="AW1562" s="97"/>
    </row>
    <row r="1563" spans="23:49" x14ac:dyDescent="0.15">
      <c r="W1563" s="12"/>
      <c r="X1563" s="62"/>
      <c r="Y1563" s="62"/>
      <c r="Z1563" s="62"/>
      <c r="AA1563" s="62"/>
      <c r="AB1563" s="98"/>
      <c r="AC1563" s="62"/>
      <c r="AD1563" s="62"/>
      <c r="AE1563" s="62"/>
      <c r="AF1563" s="62"/>
      <c r="AG1563" s="66"/>
      <c r="AH1563" s="62"/>
      <c r="AI1563" s="62"/>
      <c r="AJ1563" s="62"/>
      <c r="AK1563" s="62"/>
      <c r="AL1563" s="66"/>
      <c r="AM1563" s="62"/>
      <c r="AN1563" s="62"/>
      <c r="AO1563" s="62"/>
      <c r="AP1563" s="62"/>
      <c r="AQ1563" s="66"/>
      <c r="AR1563" s="62"/>
      <c r="AS1563" s="62"/>
      <c r="AT1563" s="62"/>
      <c r="AU1563" s="62"/>
      <c r="AV1563" s="66"/>
      <c r="AW1563" s="97"/>
    </row>
    <row r="1564" spans="23:49" x14ac:dyDescent="0.15">
      <c r="W1564" s="12"/>
      <c r="X1564" s="62"/>
      <c r="Y1564" s="62"/>
      <c r="Z1564" s="62"/>
      <c r="AA1564" s="62"/>
      <c r="AB1564" s="98"/>
      <c r="AC1564" s="62"/>
      <c r="AD1564" s="62"/>
      <c r="AE1564" s="62"/>
      <c r="AF1564" s="62"/>
      <c r="AG1564" s="66"/>
      <c r="AH1564" s="62"/>
      <c r="AI1564" s="62"/>
      <c r="AJ1564" s="62"/>
      <c r="AK1564" s="62"/>
      <c r="AL1564" s="66"/>
      <c r="AM1564" s="62"/>
      <c r="AN1564" s="62"/>
      <c r="AO1564" s="62"/>
      <c r="AP1564" s="62"/>
      <c r="AQ1564" s="66"/>
      <c r="AR1564" s="62"/>
      <c r="AS1564" s="62"/>
      <c r="AT1564" s="62"/>
      <c r="AU1564" s="62"/>
      <c r="AV1564" s="66"/>
      <c r="AW1564" s="97"/>
    </row>
    <row r="1565" spans="23:49" x14ac:dyDescent="0.15">
      <c r="W1565" s="12"/>
      <c r="X1565" s="62"/>
      <c r="Y1565" s="62"/>
      <c r="Z1565" s="62"/>
      <c r="AA1565" s="62"/>
      <c r="AB1565" s="98"/>
      <c r="AC1565" s="62"/>
      <c r="AD1565" s="62"/>
      <c r="AE1565" s="62"/>
      <c r="AF1565" s="62"/>
      <c r="AG1565" s="66"/>
      <c r="AH1565" s="62"/>
      <c r="AI1565" s="62"/>
      <c r="AJ1565" s="62"/>
      <c r="AK1565" s="62"/>
      <c r="AL1565" s="66"/>
      <c r="AM1565" s="62"/>
      <c r="AN1565" s="62"/>
      <c r="AO1565" s="62"/>
      <c r="AP1565" s="62"/>
      <c r="AQ1565" s="66"/>
      <c r="AR1565" s="62"/>
      <c r="AS1565" s="62"/>
      <c r="AT1565" s="62"/>
      <c r="AU1565" s="62"/>
      <c r="AV1565" s="66"/>
      <c r="AW1565" s="97"/>
    </row>
    <row r="1566" spans="23:49" x14ac:dyDescent="0.15">
      <c r="W1566" s="12"/>
      <c r="X1566" s="62"/>
      <c r="Y1566" s="62"/>
      <c r="Z1566" s="62"/>
      <c r="AA1566" s="62"/>
      <c r="AB1566" s="98"/>
      <c r="AC1566" s="62"/>
      <c r="AD1566" s="62"/>
      <c r="AE1566" s="62"/>
      <c r="AF1566" s="62"/>
      <c r="AG1566" s="66"/>
      <c r="AH1566" s="62"/>
      <c r="AI1566" s="62"/>
      <c r="AJ1566" s="62"/>
      <c r="AK1566" s="62"/>
      <c r="AL1566" s="66"/>
      <c r="AM1566" s="62"/>
      <c r="AN1566" s="62"/>
      <c r="AO1566" s="62"/>
      <c r="AP1566" s="62"/>
      <c r="AQ1566" s="66"/>
      <c r="AR1566" s="62"/>
      <c r="AS1566" s="62"/>
      <c r="AT1566" s="62"/>
      <c r="AU1566" s="62"/>
      <c r="AV1566" s="66"/>
      <c r="AW1566" s="97"/>
    </row>
    <row r="1567" spans="23:49" x14ac:dyDescent="0.15">
      <c r="W1567" s="12"/>
      <c r="X1567" s="62"/>
      <c r="Y1567" s="62"/>
      <c r="Z1567" s="62"/>
      <c r="AA1567" s="62"/>
      <c r="AB1567" s="98"/>
      <c r="AC1567" s="62"/>
      <c r="AD1567" s="62"/>
      <c r="AE1567" s="62"/>
      <c r="AF1567" s="62"/>
      <c r="AG1567" s="66"/>
      <c r="AH1567" s="62"/>
      <c r="AI1567" s="62"/>
      <c r="AJ1567" s="62"/>
      <c r="AK1567" s="62"/>
      <c r="AL1567" s="66"/>
      <c r="AM1567" s="62"/>
      <c r="AN1567" s="62"/>
      <c r="AO1567" s="62"/>
      <c r="AP1567" s="62"/>
      <c r="AQ1567" s="66"/>
      <c r="AR1567" s="62"/>
      <c r="AS1567" s="62"/>
      <c r="AT1567" s="62"/>
      <c r="AU1567" s="62"/>
      <c r="AV1567" s="66"/>
      <c r="AW1567" s="97"/>
    </row>
    <row r="1568" spans="23:49" x14ac:dyDescent="0.15">
      <c r="W1568" s="12"/>
      <c r="X1568" s="62"/>
      <c r="Y1568" s="62"/>
      <c r="Z1568" s="62"/>
      <c r="AA1568" s="62"/>
      <c r="AB1568" s="98"/>
      <c r="AC1568" s="62"/>
      <c r="AD1568" s="62"/>
      <c r="AE1568" s="62"/>
      <c r="AF1568" s="62"/>
      <c r="AG1568" s="66"/>
      <c r="AH1568" s="62"/>
      <c r="AI1568" s="62"/>
      <c r="AJ1568" s="62"/>
      <c r="AK1568" s="62"/>
      <c r="AL1568" s="66"/>
      <c r="AM1568" s="62"/>
      <c r="AN1568" s="62"/>
      <c r="AO1568" s="62"/>
      <c r="AP1568" s="62"/>
      <c r="AQ1568" s="66"/>
      <c r="AR1568" s="62"/>
      <c r="AS1568" s="62"/>
      <c r="AT1568" s="62"/>
      <c r="AU1568" s="62"/>
      <c r="AV1568" s="66"/>
      <c r="AW1568" s="97"/>
    </row>
    <row r="1569" spans="23:49" x14ac:dyDescent="0.15">
      <c r="W1569" s="12"/>
      <c r="X1569" s="62"/>
      <c r="Y1569" s="62"/>
      <c r="Z1569" s="62"/>
      <c r="AA1569" s="62"/>
      <c r="AB1569" s="98"/>
      <c r="AC1569" s="62"/>
      <c r="AD1569" s="62"/>
      <c r="AE1569" s="62"/>
      <c r="AF1569" s="62"/>
      <c r="AG1569" s="66"/>
      <c r="AH1569" s="62"/>
      <c r="AI1569" s="62"/>
      <c r="AJ1569" s="62"/>
      <c r="AK1569" s="62"/>
      <c r="AL1569" s="66"/>
      <c r="AM1569" s="62"/>
      <c r="AN1569" s="62"/>
      <c r="AO1569" s="62"/>
      <c r="AP1569" s="62"/>
      <c r="AQ1569" s="66"/>
      <c r="AR1569" s="62"/>
      <c r="AS1569" s="62"/>
      <c r="AT1569" s="62"/>
      <c r="AU1569" s="62"/>
      <c r="AV1569" s="66"/>
      <c r="AW1569" s="97"/>
    </row>
    <row r="1570" spans="23:49" x14ac:dyDescent="0.15">
      <c r="W1570" s="12"/>
      <c r="X1570" s="62"/>
      <c r="Y1570" s="62"/>
      <c r="Z1570" s="62"/>
      <c r="AA1570" s="62"/>
      <c r="AB1570" s="98"/>
      <c r="AC1570" s="62"/>
      <c r="AD1570" s="62"/>
      <c r="AE1570" s="62"/>
      <c r="AF1570" s="62"/>
      <c r="AG1570" s="66"/>
      <c r="AH1570" s="62"/>
      <c r="AI1570" s="62"/>
      <c r="AJ1570" s="62"/>
      <c r="AK1570" s="62"/>
      <c r="AL1570" s="66"/>
      <c r="AM1570" s="62"/>
      <c r="AN1570" s="62"/>
      <c r="AO1570" s="62"/>
      <c r="AP1570" s="62"/>
      <c r="AQ1570" s="66"/>
      <c r="AR1570" s="62"/>
      <c r="AS1570" s="62"/>
      <c r="AT1570" s="62"/>
      <c r="AU1570" s="62"/>
      <c r="AV1570" s="66"/>
      <c r="AW1570" s="97"/>
    </row>
    <row r="1571" spans="23:49" x14ac:dyDescent="0.15">
      <c r="W1571" s="12"/>
      <c r="X1571" s="62"/>
      <c r="Y1571" s="62"/>
      <c r="Z1571" s="62"/>
      <c r="AA1571" s="62"/>
      <c r="AB1571" s="98"/>
      <c r="AC1571" s="62"/>
      <c r="AD1571" s="62"/>
      <c r="AE1571" s="62"/>
      <c r="AF1571" s="62"/>
      <c r="AG1571" s="66"/>
      <c r="AH1571" s="62"/>
      <c r="AI1571" s="62"/>
      <c r="AJ1571" s="62"/>
      <c r="AK1571" s="62"/>
      <c r="AL1571" s="66"/>
      <c r="AM1571" s="62"/>
      <c r="AN1571" s="62"/>
      <c r="AO1571" s="62"/>
      <c r="AP1571" s="62"/>
      <c r="AQ1571" s="66"/>
      <c r="AR1571" s="62"/>
      <c r="AS1571" s="62"/>
      <c r="AT1571" s="62"/>
      <c r="AU1571" s="62"/>
      <c r="AV1571" s="66"/>
      <c r="AW1571" s="97"/>
    </row>
    <row r="1572" spans="23:49" x14ac:dyDescent="0.15">
      <c r="W1572" s="12"/>
      <c r="X1572" s="62"/>
      <c r="Y1572" s="62"/>
      <c r="Z1572" s="62"/>
      <c r="AA1572" s="62"/>
      <c r="AB1572" s="98"/>
      <c r="AC1572" s="62"/>
      <c r="AD1572" s="62"/>
      <c r="AE1572" s="62"/>
      <c r="AF1572" s="62"/>
      <c r="AG1572" s="66"/>
      <c r="AH1572" s="62"/>
      <c r="AI1572" s="62"/>
      <c r="AJ1572" s="62"/>
      <c r="AK1572" s="62"/>
      <c r="AL1572" s="66"/>
      <c r="AM1572" s="62"/>
      <c r="AN1572" s="62"/>
      <c r="AO1572" s="62"/>
      <c r="AP1572" s="62"/>
      <c r="AQ1572" s="66"/>
      <c r="AR1572" s="62"/>
      <c r="AS1572" s="62"/>
      <c r="AT1572" s="62"/>
      <c r="AU1572" s="62"/>
      <c r="AV1572" s="66"/>
      <c r="AW1572" s="97"/>
    </row>
    <row r="1573" spans="23:49" x14ac:dyDescent="0.15">
      <c r="W1573" s="12"/>
      <c r="X1573" s="62"/>
      <c r="Y1573" s="62"/>
      <c r="Z1573" s="62"/>
      <c r="AA1573" s="62"/>
      <c r="AB1573" s="98"/>
      <c r="AC1573" s="62"/>
      <c r="AD1573" s="62"/>
      <c r="AE1573" s="62"/>
      <c r="AF1573" s="62"/>
      <c r="AG1573" s="66"/>
      <c r="AH1573" s="62"/>
      <c r="AI1573" s="62"/>
      <c r="AJ1573" s="62"/>
      <c r="AK1573" s="62"/>
      <c r="AL1573" s="66"/>
      <c r="AM1573" s="62"/>
      <c r="AN1573" s="62"/>
      <c r="AO1573" s="62"/>
      <c r="AP1573" s="62"/>
      <c r="AQ1573" s="66"/>
      <c r="AR1573" s="62"/>
      <c r="AS1573" s="62"/>
      <c r="AT1573" s="62"/>
      <c r="AU1573" s="62"/>
      <c r="AV1573" s="66"/>
      <c r="AW1573" s="97"/>
    </row>
    <row r="1574" spans="23:49" x14ac:dyDescent="0.15">
      <c r="W1574" s="12"/>
      <c r="X1574" s="62"/>
      <c r="Y1574" s="62"/>
      <c r="Z1574" s="62"/>
      <c r="AA1574" s="62"/>
      <c r="AB1574" s="98"/>
      <c r="AC1574" s="62"/>
      <c r="AD1574" s="62"/>
      <c r="AE1574" s="62"/>
      <c r="AF1574" s="62"/>
      <c r="AG1574" s="66"/>
      <c r="AH1574" s="62"/>
      <c r="AI1574" s="62"/>
      <c r="AJ1574" s="62"/>
      <c r="AK1574" s="62"/>
      <c r="AL1574" s="66"/>
      <c r="AM1574" s="62"/>
      <c r="AN1574" s="62"/>
      <c r="AO1574" s="62"/>
      <c r="AP1574" s="62"/>
      <c r="AQ1574" s="66"/>
      <c r="AR1574" s="62"/>
      <c r="AS1574" s="62"/>
      <c r="AT1574" s="62"/>
      <c r="AU1574" s="62"/>
      <c r="AV1574" s="66"/>
      <c r="AW1574" s="97"/>
    </row>
    <row r="1575" spans="23:49" x14ac:dyDescent="0.15">
      <c r="W1575" s="12"/>
      <c r="X1575" s="62"/>
      <c r="Y1575" s="62"/>
      <c r="Z1575" s="62"/>
      <c r="AA1575" s="62"/>
      <c r="AB1575" s="98"/>
      <c r="AC1575" s="62"/>
      <c r="AD1575" s="62"/>
      <c r="AE1575" s="62"/>
      <c r="AF1575" s="62"/>
      <c r="AG1575" s="66"/>
      <c r="AH1575" s="62"/>
      <c r="AI1575" s="62"/>
      <c r="AJ1575" s="62"/>
      <c r="AK1575" s="62"/>
      <c r="AL1575" s="66"/>
      <c r="AM1575" s="62"/>
      <c r="AN1575" s="62"/>
      <c r="AO1575" s="62"/>
      <c r="AP1575" s="62"/>
      <c r="AQ1575" s="66"/>
      <c r="AR1575" s="62"/>
      <c r="AS1575" s="62"/>
      <c r="AT1575" s="62"/>
      <c r="AU1575" s="62"/>
      <c r="AV1575" s="66"/>
      <c r="AW1575" s="97"/>
    </row>
    <row r="1576" spans="23:49" x14ac:dyDescent="0.15">
      <c r="W1576" s="12"/>
      <c r="X1576" s="62"/>
      <c r="Y1576" s="62"/>
      <c r="Z1576" s="62"/>
      <c r="AA1576" s="62"/>
      <c r="AB1576" s="98"/>
      <c r="AC1576" s="62"/>
      <c r="AD1576" s="62"/>
      <c r="AE1576" s="62"/>
      <c r="AF1576" s="62"/>
      <c r="AG1576" s="66"/>
      <c r="AH1576" s="62"/>
      <c r="AI1576" s="62"/>
      <c r="AJ1576" s="62"/>
      <c r="AK1576" s="62"/>
      <c r="AL1576" s="66"/>
      <c r="AM1576" s="62"/>
      <c r="AN1576" s="62"/>
      <c r="AO1576" s="62"/>
      <c r="AP1576" s="62"/>
      <c r="AQ1576" s="66"/>
      <c r="AR1576" s="62"/>
      <c r="AS1576" s="62"/>
      <c r="AT1576" s="62"/>
      <c r="AU1576" s="62"/>
      <c r="AV1576" s="66"/>
      <c r="AW1576" s="97"/>
    </row>
    <row r="1577" spans="23:49" x14ac:dyDescent="0.15">
      <c r="W1577" s="12"/>
      <c r="X1577" s="62"/>
      <c r="Y1577" s="62"/>
      <c r="Z1577" s="62"/>
      <c r="AA1577" s="62"/>
      <c r="AB1577" s="98"/>
      <c r="AC1577" s="62"/>
      <c r="AD1577" s="62"/>
      <c r="AE1577" s="62"/>
      <c r="AF1577" s="62"/>
      <c r="AG1577" s="66"/>
      <c r="AH1577" s="62"/>
      <c r="AI1577" s="62"/>
      <c r="AJ1577" s="62"/>
      <c r="AK1577" s="62"/>
      <c r="AL1577" s="66"/>
      <c r="AM1577" s="62"/>
      <c r="AN1577" s="62"/>
      <c r="AO1577" s="62"/>
      <c r="AP1577" s="62"/>
      <c r="AQ1577" s="66"/>
      <c r="AR1577" s="62"/>
      <c r="AS1577" s="62"/>
      <c r="AT1577" s="62"/>
      <c r="AU1577" s="62"/>
      <c r="AV1577" s="66"/>
      <c r="AW1577" s="97"/>
    </row>
    <row r="1578" spans="23:49" x14ac:dyDescent="0.15">
      <c r="W1578" s="12"/>
      <c r="X1578" s="62"/>
      <c r="Y1578" s="62"/>
      <c r="Z1578" s="62"/>
      <c r="AA1578" s="62"/>
      <c r="AB1578" s="98"/>
      <c r="AC1578" s="62"/>
      <c r="AD1578" s="62"/>
      <c r="AE1578" s="62"/>
      <c r="AF1578" s="62"/>
      <c r="AG1578" s="66"/>
      <c r="AH1578" s="62"/>
      <c r="AI1578" s="62"/>
      <c r="AJ1578" s="62"/>
      <c r="AK1578" s="62"/>
      <c r="AL1578" s="66"/>
      <c r="AM1578" s="62"/>
      <c r="AN1578" s="62"/>
      <c r="AO1578" s="62"/>
      <c r="AP1578" s="62"/>
      <c r="AQ1578" s="66"/>
      <c r="AR1578" s="62"/>
      <c r="AS1578" s="62"/>
      <c r="AT1578" s="62"/>
      <c r="AU1578" s="62"/>
      <c r="AV1578" s="66"/>
      <c r="AW1578" s="97"/>
    </row>
    <row r="1579" spans="23:49" x14ac:dyDescent="0.15">
      <c r="W1579" s="12"/>
      <c r="X1579" s="62"/>
      <c r="Y1579" s="62"/>
      <c r="Z1579" s="62"/>
      <c r="AA1579" s="62"/>
      <c r="AB1579" s="98"/>
      <c r="AC1579" s="62"/>
      <c r="AD1579" s="62"/>
      <c r="AE1579" s="62"/>
      <c r="AF1579" s="62"/>
      <c r="AG1579" s="66"/>
      <c r="AH1579" s="62"/>
      <c r="AI1579" s="62"/>
      <c r="AJ1579" s="62"/>
      <c r="AK1579" s="62"/>
      <c r="AL1579" s="66"/>
      <c r="AM1579" s="62"/>
      <c r="AN1579" s="62"/>
      <c r="AO1579" s="62"/>
      <c r="AP1579" s="62"/>
      <c r="AQ1579" s="66"/>
      <c r="AR1579" s="62"/>
      <c r="AS1579" s="62"/>
      <c r="AT1579" s="62"/>
      <c r="AU1579" s="62"/>
      <c r="AV1579" s="66"/>
      <c r="AW1579" s="97"/>
    </row>
    <row r="1580" spans="23:49" x14ac:dyDescent="0.15">
      <c r="W1580" s="12"/>
      <c r="X1580" s="62"/>
      <c r="Y1580" s="62"/>
      <c r="Z1580" s="62"/>
      <c r="AA1580" s="62"/>
      <c r="AB1580" s="98"/>
      <c r="AC1580" s="62"/>
      <c r="AD1580" s="62"/>
      <c r="AE1580" s="62"/>
      <c r="AF1580" s="62"/>
      <c r="AG1580" s="66"/>
      <c r="AH1580" s="62"/>
      <c r="AI1580" s="62"/>
      <c r="AJ1580" s="62"/>
      <c r="AK1580" s="62"/>
      <c r="AL1580" s="66"/>
      <c r="AM1580" s="62"/>
      <c r="AN1580" s="62"/>
      <c r="AO1580" s="62"/>
      <c r="AP1580" s="62"/>
      <c r="AQ1580" s="66"/>
      <c r="AR1580" s="62"/>
      <c r="AS1580" s="62"/>
      <c r="AT1580" s="62"/>
      <c r="AU1580" s="62"/>
      <c r="AV1580" s="66"/>
      <c r="AW1580" s="97"/>
    </row>
    <row r="1581" spans="23:49" x14ac:dyDescent="0.15">
      <c r="W1581" s="12"/>
      <c r="X1581" s="62"/>
      <c r="Y1581" s="62"/>
      <c r="Z1581" s="62"/>
      <c r="AA1581" s="62"/>
      <c r="AB1581" s="98"/>
      <c r="AC1581" s="62"/>
      <c r="AD1581" s="62"/>
      <c r="AE1581" s="62"/>
      <c r="AF1581" s="62"/>
      <c r="AG1581" s="66"/>
      <c r="AH1581" s="62"/>
      <c r="AI1581" s="62"/>
      <c r="AJ1581" s="62"/>
      <c r="AK1581" s="62"/>
      <c r="AL1581" s="66"/>
      <c r="AM1581" s="62"/>
      <c r="AN1581" s="62"/>
      <c r="AO1581" s="62"/>
      <c r="AP1581" s="62"/>
      <c r="AQ1581" s="66"/>
      <c r="AR1581" s="62"/>
      <c r="AS1581" s="62"/>
      <c r="AT1581" s="62"/>
      <c r="AU1581" s="62"/>
      <c r="AV1581" s="66"/>
      <c r="AW1581" s="97"/>
    </row>
    <row r="1582" spans="23:49" x14ac:dyDescent="0.15">
      <c r="W1582" s="12"/>
      <c r="X1582" s="62"/>
      <c r="Y1582" s="62"/>
      <c r="Z1582" s="62"/>
      <c r="AA1582" s="62"/>
      <c r="AB1582" s="98"/>
      <c r="AC1582" s="62"/>
      <c r="AD1582" s="62"/>
      <c r="AE1582" s="62"/>
      <c r="AF1582" s="62"/>
      <c r="AG1582" s="66"/>
      <c r="AH1582" s="62"/>
      <c r="AI1582" s="62"/>
      <c r="AJ1582" s="62"/>
      <c r="AK1582" s="62"/>
      <c r="AL1582" s="66"/>
      <c r="AM1582" s="62"/>
      <c r="AN1582" s="62"/>
      <c r="AO1582" s="62"/>
      <c r="AP1582" s="62"/>
      <c r="AQ1582" s="66"/>
      <c r="AR1582" s="62"/>
      <c r="AS1582" s="62"/>
      <c r="AT1582" s="62"/>
      <c r="AU1582" s="62"/>
      <c r="AV1582" s="66"/>
      <c r="AW1582" s="97"/>
    </row>
    <row r="1583" spans="23:49" x14ac:dyDescent="0.15">
      <c r="W1583" s="12"/>
      <c r="X1583" s="62"/>
      <c r="Y1583" s="62"/>
      <c r="Z1583" s="62"/>
      <c r="AA1583" s="62"/>
      <c r="AB1583" s="98"/>
      <c r="AC1583" s="62"/>
      <c r="AD1583" s="62"/>
      <c r="AE1583" s="62"/>
      <c r="AF1583" s="62"/>
      <c r="AG1583" s="66"/>
      <c r="AH1583" s="62"/>
      <c r="AI1583" s="62"/>
      <c r="AJ1583" s="62"/>
      <c r="AK1583" s="62"/>
      <c r="AL1583" s="66"/>
      <c r="AM1583" s="62"/>
      <c r="AN1583" s="62"/>
      <c r="AO1583" s="62"/>
      <c r="AP1583" s="62"/>
      <c r="AQ1583" s="66"/>
      <c r="AR1583" s="62"/>
      <c r="AS1583" s="62"/>
      <c r="AT1583" s="62"/>
      <c r="AU1583" s="62"/>
      <c r="AV1583" s="66"/>
      <c r="AW1583" s="97"/>
    </row>
    <row r="1584" spans="23:49" x14ac:dyDescent="0.15">
      <c r="W1584" s="12"/>
      <c r="X1584" s="62"/>
      <c r="Y1584" s="62"/>
      <c r="Z1584" s="62"/>
      <c r="AA1584" s="62"/>
      <c r="AB1584" s="98"/>
      <c r="AC1584" s="62"/>
      <c r="AD1584" s="62"/>
      <c r="AE1584" s="62"/>
      <c r="AF1584" s="62"/>
      <c r="AG1584" s="66"/>
      <c r="AH1584" s="62"/>
      <c r="AI1584" s="62"/>
      <c r="AJ1584" s="62"/>
      <c r="AK1584" s="62"/>
      <c r="AL1584" s="66"/>
      <c r="AM1584" s="62"/>
      <c r="AN1584" s="62"/>
      <c r="AO1584" s="62"/>
      <c r="AP1584" s="62"/>
      <c r="AQ1584" s="66"/>
      <c r="AR1584" s="62"/>
      <c r="AS1584" s="62"/>
      <c r="AT1584" s="62"/>
      <c r="AU1584" s="62"/>
      <c r="AV1584" s="66"/>
      <c r="AW1584" s="97"/>
    </row>
    <row r="1585" spans="23:49" x14ac:dyDescent="0.15">
      <c r="W1585" s="12"/>
      <c r="X1585" s="62"/>
      <c r="Y1585" s="62"/>
      <c r="Z1585" s="62"/>
      <c r="AA1585" s="62"/>
      <c r="AB1585" s="98"/>
      <c r="AC1585" s="62"/>
      <c r="AD1585" s="62"/>
      <c r="AE1585" s="62"/>
      <c r="AF1585" s="62"/>
      <c r="AG1585" s="66"/>
      <c r="AH1585" s="62"/>
      <c r="AI1585" s="62"/>
      <c r="AJ1585" s="62"/>
      <c r="AK1585" s="62"/>
      <c r="AL1585" s="66"/>
      <c r="AM1585" s="62"/>
      <c r="AN1585" s="62"/>
      <c r="AO1585" s="62"/>
      <c r="AP1585" s="62"/>
      <c r="AQ1585" s="66"/>
      <c r="AR1585" s="62"/>
      <c r="AS1585" s="62"/>
      <c r="AT1585" s="62"/>
      <c r="AU1585" s="62"/>
      <c r="AV1585" s="66"/>
      <c r="AW1585" s="97"/>
    </row>
    <row r="1586" spans="23:49" x14ac:dyDescent="0.15">
      <c r="W1586" s="12"/>
      <c r="X1586" s="62"/>
      <c r="Y1586" s="62"/>
      <c r="Z1586" s="62"/>
      <c r="AA1586" s="62"/>
      <c r="AB1586" s="98"/>
      <c r="AC1586" s="62"/>
      <c r="AD1586" s="62"/>
      <c r="AE1586" s="62"/>
      <c r="AF1586" s="62"/>
      <c r="AG1586" s="66"/>
      <c r="AH1586" s="62"/>
      <c r="AI1586" s="62"/>
      <c r="AJ1586" s="62"/>
      <c r="AK1586" s="62"/>
      <c r="AL1586" s="66"/>
      <c r="AM1586" s="62"/>
      <c r="AN1586" s="62"/>
      <c r="AO1586" s="62"/>
      <c r="AP1586" s="62"/>
      <c r="AQ1586" s="66"/>
      <c r="AR1586" s="62"/>
      <c r="AS1586" s="62"/>
      <c r="AT1586" s="62"/>
      <c r="AU1586" s="62"/>
      <c r="AV1586" s="66"/>
      <c r="AW1586" s="97"/>
    </row>
    <row r="1587" spans="23:49" x14ac:dyDescent="0.15">
      <c r="W1587" s="12"/>
      <c r="X1587" s="62"/>
      <c r="Y1587" s="62"/>
      <c r="Z1587" s="62"/>
      <c r="AA1587" s="62"/>
      <c r="AB1587" s="98"/>
      <c r="AC1587" s="62"/>
      <c r="AD1587" s="62"/>
      <c r="AE1587" s="62"/>
      <c r="AF1587" s="62"/>
      <c r="AG1587" s="66"/>
      <c r="AH1587" s="62"/>
      <c r="AI1587" s="62"/>
      <c r="AJ1587" s="62"/>
      <c r="AK1587" s="62"/>
      <c r="AL1587" s="66"/>
      <c r="AM1587" s="62"/>
      <c r="AN1587" s="62"/>
      <c r="AO1587" s="62"/>
      <c r="AP1587" s="62"/>
      <c r="AQ1587" s="66"/>
      <c r="AR1587" s="62"/>
      <c r="AS1587" s="62"/>
      <c r="AT1587" s="62"/>
      <c r="AU1587" s="62"/>
      <c r="AV1587" s="66"/>
      <c r="AW1587" s="97"/>
    </row>
    <row r="1588" spans="23:49" x14ac:dyDescent="0.15">
      <c r="W1588" s="12"/>
      <c r="X1588" s="62"/>
      <c r="Y1588" s="62"/>
      <c r="Z1588" s="62"/>
      <c r="AA1588" s="62"/>
      <c r="AB1588" s="98"/>
      <c r="AC1588" s="62"/>
      <c r="AD1588" s="62"/>
      <c r="AE1588" s="62"/>
      <c r="AF1588" s="62"/>
      <c r="AG1588" s="66"/>
      <c r="AH1588" s="62"/>
      <c r="AI1588" s="62"/>
      <c r="AJ1588" s="62"/>
      <c r="AK1588" s="62"/>
      <c r="AL1588" s="66"/>
      <c r="AM1588" s="62"/>
      <c r="AN1588" s="62"/>
      <c r="AO1588" s="62"/>
      <c r="AP1588" s="62"/>
      <c r="AQ1588" s="66"/>
      <c r="AR1588" s="62"/>
      <c r="AS1588" s="62"/>
      <c r="AT1588" s="62"/>
      <c r="AU1588" s="62"/>
      <c r="AV1588" s="66"/>
      <c r="AW1588" s="97"/>
    </row>
    <row r="1589" spans="23:49" x14ac:dyDescent="0.15">
      <c r="W1589" s="12"/>
      <c r="X1589" s="62"/>
      <c r="Y1589" s="62"/>
      <c r="Z1589" s="62"/>
      <c r="AA1589" s="62"/>
      <c r="AB1589" s="98"/>
      <c r="AC1589" s="62"/>
      <c r="AD1589" s="62"/>
      <c r="AE1589" s="62"/>
      <c r="AF1589" s="62"/>
      <c r="AG1589" s="66"/>
      <c r="AH1589" s="62"/>
      <c r="AI1589" s="62"/>
      <c r="AJ1589" s="62"/>
      <c r="AK1589" s="62"/>
      <c r="AL1589" s="66"/>
      <c r="AM1589" s="62"/>
      <c r="AN1589" s="62"/>
      <c r="AO1589" s="62"/>
      <c r="AP1589" s="62"/>
      <c r="AQ1589" s="66"/>
      <c r="AR1589" s="62"/>
      <c r="AS1589" s="62"/>
      <c r="AT1589" s="62"/>
      <c r="AU1589" s="62"/>
      <c r="AV1589" s="66"/>
      <c r="AW1589" s="97"/>
    </row>
    <row r="1590" spans="23:49" x14ac:dyDescent="0.15">
      <c r="W1590" s="12"/>
      <c r="X1590" s="62"/>
      <c r="Y1590" s="62"/>
      <c r="Z1590" s="62"/>
      <c r="AA1590" s="62"/>
      <c r="AB1590" s="98"/>
      <c r="AC1590" s="62"/>
      <c r="AD1590" s="62"/>
      <c r="AE1590" s="62"/>
      <c r="AF1590" s="62"/>
      <c r="AG1590" s="66"/>
      <c r="AH1590" s="62"/>
      <c r="AI1590" s="62"/>
      <c r="AJ1590" s="62"/>
      <c r="AK1590" s="62"/>
      <c r="AL1590" s="66"/>
      <c r="AM1590" s="62"/>
      <c r="AN1590" s="62"/>
      <c r="AO1590" s="62"/>
      <c r="AP1590" s="62"/>
      <c r="AQ1590" s="66"/>
      <c r="AR1590" s="62"/>
      <c r="AS1590" s="62"/>
      <c r="AT1590" s="62"/>
      <c r="AU1590" s="62"/>
      <c r="AV1590" s="66"/>
      <c r="AW1590" s="97"/>
    </row>
    <row r="1591" spans="23:49" x14ac:dyDescent="0.15">
      <c r="W1591" s="12"/>
      <c r="X1591" s="62"/>
      <c r="Y1591" s="62"/>
      <c r="Z1591" s="62"/>
      <c r="AA1591" s="62"/>
      <c r="AB1591" s="98"/>
      <c r="AC1591" s="62"/>
      <c r="AD1591" s="62"/>
      <c r="AE1591" s="62"/>
      <c r="AF1591" s="62"/>
      <c r="AG1591" s="66"/>
      <c r="AH1591" s="62"/>
      <c r="AI1591" s="62"/>
      <c r="AJ1591" s="62"/>
      <c r="AK1591" s="62"/>
      <c r="AL1591" s="66"/>
      <c r="AM1591" s="62"/>
      <c r="AN1591" s="62"/>
      <c r="AO1591" s="62"/>
      <c r="AP1591" s="62"/>
      <c r="AQ1591" s="66"/>
      <c r="AR1591" s="62"/>
      <c r="AS1591" s="62"/>
      <c r="AT1591" s="62"/>
      <c r="AU1591" s="62"/>
      <c r="AV1591" s="66"/>
      <c r="AW1591" s="97"/>
    </row>
    <row r="1592" spans="23:49" x14ac:dyDescent="0.15">
      <c r="W1592" s="12"/>
      <c r="X1592" s="62"/>
      <c r="Y1592" s="62"/>
      <c r="Z1592" s="62"/>
      <c r="AA1592" s="62"/>
      <c r="AB1592" s="98"/>
      <c r="AC1592" s="62"/>
      <c r="AD1592" s="62"/>
      <c r="AE1592" s="62"/>
      <c r="AF1592" s="62"/>
      <c r="AG1592" s="66"/>
      <c r="AH1592" s="62"/>
      <c r="AI1592" s="62"/>
      <c r="AJ1592" s="62"/>
      <c r="AK1592" s="62"/>
      <c r="AL1592" s="66"/>
      <c r="AM1592" s="62"/>
      <c r="AN1592" s="62"/>
      <c r="AO1592" s="62"/>
      <c r="AP1592" s="62"/>
      <c r="AQ1592" s="66"/>
      <c r="AR1592" s="62"/>
      <c r="AS1592" s="62"/>
      <c r="AT1592" s="62"/>
      <c r="AU1592" s="62"/>
      <c r="AV1592" s="66"/>
      <c r="AW1592" s="97"/>
    </row>
    <row r="1593" spans="23:49" x14ac:dyDescent="0.15">
      <c r="W1593" s="12"/>
      <c r="X1593" s="62"/>
      <c r="Y1593" s="62"/>
      <c r="Z1593" s="62"/>
      <c r="AA1593" s="62"/>
      <c r="AB1593" s="98"/>
      <c r="AC1593" s="62"/>
      <c r="AD1593" s="62"/>
      <c r="AE1593" s="62"/>
      <c r="AF1593" s="62"/>
      <c r="AG1593" s="66"/>
      <c r="AH1593" s="62"/>
      <c r="AI1593" s="62"/>
      <c r="AJ1593" s="62"/>
      <c r="AK1593" s="62"/>
      <c r="AL1593" s="66"/>
      <c r="AM1593" s="62"/>
      <c r="AN1593" s="62"/>
      <c r="AO1593" s="62"/>
      <c r="AP1593" s="62"/>
      <c r="AQ1593" s="66"/>
      <c r="AR1593" s="62"/>
      <c r="AS1593" s="62"/>
      <c r="AT1593" s="62"/>
      <c r="AU1593" s="62"/>
      <c r="AV1593" s="66"/>
      <c r="AW1593" s="97"/>
    </row>
    <row r="1594" spans="23:49" x14ac:dyDescent="0.15">
      <c r="W1594" s="12"/>
      <c r="X1594" s="62"/>
      <c r="Y1594" s="62"/>
      <c r="Z1594" s="62"/>
      <c r="AA1594" s="62"/>
      <c r="AB1594" s="98"/>
      <c r="AC1594" s="62"/>
      <c r="AD1594" s="62"/>
      <c r="AE1594" s="62"/>
      <c r="AF1594" s="62"/>
      <c r="AG1594" s="66"/>
      <c r="AH1594" s="62"/>
      <c r="AI1594" s="62"/>
      <c r="AJ1594" s="62"/>
      <c r="AK1594" s="62"/>
      <c r="AL1594" s="66"/>
      <c r="AM1594" s="62"/>
      <c r="AN1594" s="62"/>
      <c r="AO1594" s="62"/>
      <c r="AP1594" s="62"/>
      <c r="AQ1594" s="66"/>
      <c r="AR1594" s="62"/>
      <c r="AS1594" s="62"/>
      <c r="AT1594" s="62"/>
      <c r="AU1594" s="62"/>
      <c r="AV1594" s="66"/>
      <c r="AW1594" s="97"/>
    </row>
    <row r="1595" spans="23:49" x14ac:dyDescent="0.15">
      <c r="W1595" s="12"/>
      <c r="X1595" s="62"/>
      <c r="Y1595" s="62"/>
      <c r="Z1595" s="62"/>
      <c r="AA1595" s="62"/>
      <c r="AB1595" s="98"/>
      <c r="AC1595" s="62"/>
      <c r="AD1595" s="62"/>
      <c r="AE1595" s="62"/>
      <c r="AF1595" s="62"/>
      <c r="AG1595" s="66"/>
      <c r="AH1595" s="62"/>
      <c r="AI1595" s="62"/>
      <c r="AJ1595" s="62"/>
      <c r="AK1595" s="62"/>
      <c r="AL1595" s="66"/>
      <c r="AM1595" s="62"/>
      <c r="AN1595" s="62"/>
      <c r="AO1595" s="62"/>
      <c r="AP1595" s="62"/>
      <c r="AQ1595" s="66"/>
      <c r="AR1595" s="62"/>
      <c r="AS1595" s="62"/>
      <c r="AT1595" s="62"/>
      <c r="AU1595" s="62"/>
      <c r="AV1595" s="66"/>
      <c r="AW1595" s="97"/>
    </row>
    <row r="1596" spans="23:49" x14ac:dyDescent="0.15">
      <c r="W1596" s="12"/>
      <c r="X1596" s="62"/>
      <c r="Y1596" s="62"/>
      <c r="Z1596" s="62"/>
      <c r="AA1596" s="62"/>
      <c r="AB1596" s="98"/>
      <c r="AC1596" s="62"/>
      <c r="AD1596" s="62"/>
      <c r="AE1596" s="62"/>
      <c r="AF1596" s="62"/>
      <c r="AG1596" s="66"/>
      <c r="AH1596" s="62"/>
      <c r="AI1596" s="62"/>
      <c r="AJ1596" s="62"/>
      <c r="AK1596" s="62"/>
      <c r="AL1596" s="66"/>
      <c r="AM1596" s="62"/>
      <c r="AN1596" s="62"/>
      <c r="AO1596" s="62"/>
      <c r="AP1596" s="62"/>
      <c r="AQ1596" s="66"/>
      <c r="AR1596" s="62"/>
      <c r="AS1596" s="62"/>
      <c r="AT1596" s="62"/>
      <c r="AU1596" s="62"/>
      <c r="AV1596" s="66"/>
      <c r="AW1596" s="97"/>
    </row>
    <row r="1597" spans="23:49" x14ac:dyDescent="0.15">
      <c r="W1597" s="12"/>
      <c r="X1597" s="62"/>
      <c r="Y1597" s="62"/>
      <c r="Z1597" s="62"/>
      <c r="AA1597" s="62"/>
      <c r="AB1597" s="98"/>
      <c r="AC1597" s="62"/>
      <c r="AD1597" s="62"/>
      <c r="AE1597" s="62"/>
      <c r="AF1597" s="62"/>
      <c r="AG1597" s="66"/>
      <c r="AH1597" s="62"/>
      <c r="AI1597" s="62"/>
      <c r="AJ1597" s="62"/>
      <c r="AK1597" s="62"/>
      <c r="AL1597" s="66"/>
      <c r="AM1597" s="62"/>
      <c r="AN1597" s="62"/>
      <c r="AO1597" s="62"/>
      <c r="AP1597" s="62"/>
      <c r="AQ1597" s="66"/>
      <c r="AR1597" s="62"/>
      <c r="AS1597" s="62"/>
      <c r="AT1597" s="62"/>
      <c r="AU1597" s="62"/>
      <c r="AV1597" s="66"/>
      <c r="AW1597" s="97"/>
    </row>
    <row r="1598" spans="23:49" x14ac:dyDescent="0.15">
      <c r="W1598" s="12"/>
      <c r="X1598" s="62"/>
      <c r="Y1598" s="62"/>
      <c r="Z1598" s="62"/>
      <c r="AA1598" s="62"/>
      <c r="AB1598" s="98"/>
      <c r="AC1598" s="62"/>
      <c r="AD1598" s="62"/>
      <c r="AE1598" s="62"/>
      <c r="AF1598" s="62"/>
      <c r="AG1598" s="66"/>
      <c r="AH1598" s="62"/>
      <c r="AI1598" s="62"/>
      <c r="AJ1598" s="62"/>
      <c r="AK1598" s="62"/>
      <c r="AL1598" s="66"/>
      <c r="AM1598" s="62"/>
      <c r="AN1598" s="62"/>
      <c r="AO1598" s="62"/>
      <c r="AP1598" s="62"/>
      <c r="AQ1598" s="66"/>
      <c r="AR1598" s="62"/>
      <c r="AS1598" s="62"/>
      <c r="AT1598" s="62"/>
      <c r="AU1598" s="62"/>
      <c r="AV1598" s="66"/>
      <c r="AW1598" s="97"/>
    </row>
    <row r="1599" spans="23:49" x14ac:dyDescent="0.15">
      <c r="W1599" s="12"/>
      <c r="X1599" s="62"/>
      <c r="Y1599" s="62"/>
      <c r="Z1599" s="62"/>
      <c r="AA1599" s="62"/>
      <c r="AB1599" s="98"/>
      <c r="AC1599" s="62"/>
      <c r="AD1599" s="62"/>
      <c r="AE1599" s="62"/>
      <c r="AF1599" s="62"/>
      <c r="AG1599" s="66"/>
      <c r="AH1599" s="62"/>
      <c r="AI1599" s="62"/>
      <c r="AJ1599" s="62"/>
      <c r="AK1599" s="62"/>
      <c r="AL1599" s="66"/>
      <c r="AM1599" s="62"/>
      <c r="AN1599" s="62"/>
      <c r="AO1599" s="62"/>
      <c r="AP1599" s="62"/>
      <c r="AQ1599" s="66"/>
      <c r="AR1599" s="62"/>
      <c r="AS1599" s="62"/>
      <c r="AT1599" s="62"/>
      <c r="AU1599" s="62"/>
      <c r="AV1599" s="66"/>
      <c r="AW1599" s="97"/>
    </row>
    <row r="1600" spans="23:49" x14ac:dyDescent="0.15">
      <c r="W1600" s="12"/>
      <c r="X1600" s="62"/>
      <c r="Y1600" s="62"/>
      <c r="Z1600" s="62"/>
      <c r="AA1600" s="62"/>
      <c r="AB1600" s="98"/>
      <c r="AC1600" s="62"/>
      <c r="AD1600" s="62"/>
      <c r="AE1600" s="62"/>
      <c r="AF1600" s="62"/>
      <c r="AG1600" s="66"/>
      <c r="AH1600" s="62"/>
      <c r="AI1600" s="62"/>
      <c r="AJ1600" s="62"/>
      <c r="AK1600" s="62"/>
      <c r="AL1600" s="66"/>
      <c r="AM1600" s="62"/>
      <c r="AN1600" s="62"/>
      <c r="AO1600" s="62"/>
      <c r="AP1600" s="62"/>
      <c r="AQ1600" s="66"/>
      <c r="AR1600" s="62"/>
      <c r="AS1600" s="62"/>
      <c r="AT1600" s="62"/>
      <c r="AU1600" s="62"/>
      <c r="AV1600" s="66"/>
      <c r="AW1600" s="97"/>
    </row>
    <row r="1601" spans="23:49" x14ac:dyDescent="0.15">
      <c r="W1601" s="12"/>
      <c r="X1601" s="62"/>
      <c r="Y1601" s="62"/>
      <c r="Z1601" s="62"/>
      <c r="AA1601" s="62"/>
      <c r="AB1601" s="98"/>
      <c r="AC1601" s="62"/>
      <c r="AD1601" s="62"/>
      <c r="AE1601" s="62"/>
      <c r="AF1601" s="62"/>
      <c r="AG1601" s="66"/>
      <c r="AH1601" s="62"/>
      <c r="AI1601" s="62"/>
      <c r="AJ1601" s="62"/>
      <c r="AK1601" s="62"/>
      <c r="AL1601" s="66"/>
      <c r="AM1601" s="62"/>
      <c r="AN1601" s="62"/>
      <c r="AO1601" s="62"/>
      <c r="AP1601" s="62"/>
      <c r="AQ1601" s="66"/>
      <c r="AR1601" s="62"/>
      <c r="AS1601" s="62"/>
      <c r="AT1601" s="62"/>
      <c r="AU1601" s="62"/>
      <c r="AV1601" s="66"/>
      <c r="AW1601" s="97"/>
    </row>
    <row r="1602" spans="23:49" x14ac:dyDescent="0.15">
      <c r="W1602" s="12"/>
      <c r="X1602" s="62"/>
      <c r="Y1602" s="62"/>
      <c r="Z1602" s="62"/>
      <c r="AA1602" s="62"/>
      <c r="AB1602" s="98"/>
      <c r="AC1602" s="62"/>
      <c r="AD1602" s="62"/>
      <c r="AE1602" s="62"/>
      <c r="AF1602" s="62"/>
      <c r="AG1602" s="66"/>
      <c r="AH1602" s="62"/>
      <c r="AI1602" s="62"/>
      <c r="AJ1602" s="62"/>
      <c r="AK1602" s="62"/>
      <c r="AL1602" s="66"/>
      <c r="AM1602" s="62"/>
      <c r="AN1602" s="62"/>
      <c r="AO1602" s="62"/>
      <c r="AP1602" s="62"/>
      <c r="AQ1602" s="66"/>
      <c r="AR1602" s="62"/>
      <c r="AS1602" s="62"/>
      <c r="AT1602" s="62"/>
      <c r="AU1602" s="62"/>
      <c r="AV1602" s="66"/>
      <c r="AW1602" s="97"/>
    </row>
    <row r="1603" spans="23:49" x14ac:dyDescent="0.15">
      <c r="W1603" s="12"/>
      <c r="X1603" s="62"/>
      <c r="Y1603" s="62"/>
      <c r="Z1603" s="62"/>
      <c r="AA1603" s="62"/>
      <c r="AB1603" s="98"/>
      <c r="AC1603" s="62"/>
      <c r="AD1603" s="62"/>
      <c r="AE1603" s="62"/>
      <c r="AF1603" s="62"/>
      <c r="AG1603" s="66"/>
      <c r="AH1603" s="62"/>
      <c r="AI1603" s="62"/>
      <c r="AJ1603" s="62"/>
      <c r="AK1603" s="62"/>
      <c r="AL1603" s="66"/>
      <c r="AM1603" s="62"/>
      <c r="AN1603" s="62"/>
      <c r="AO1603" s="62"/>
      <c r="AP1603" s="62"/>
      <c r="AQ1603" s="66"/>
      <c r="AR1603" s="62"/>
      <c r="AS1603" s="62"/>
      <c r="AT1603" s="62"/>
      <c r="AU1603" s="62"/>
      <c r="AV1603" s="66"/>
      <c r="AW1603" s="97"/>
    </row>
    <row r="1604" spans="23:49" x14ac:dyDescent="0.15">
      <c r="W1604" s="12"/>
      <c r="X1604" s="62"/>
      <c r="Y1604" s="62"/>
      <c r="Z1604" s="62"/>
      <c r="AA1604" s="62"/>
      <c r="AB1604" s="98"/>
      <c r="AC1604" s="62"/>
      <c r="AD1604" s="62"/>
      <c r="AE1604" s="62"/>
      <c r="AF1604" s="62"/>
      <c r="AG1604" s="66"/>
      <c r="AH1604" s="62"/>
      <c r="AI1604" s="62"/>
      <c r="AJ1604" s="62"/>
      <c r="AK1604" s="62"/>
      <c r="AL1604" s="66"/>
      <c r="AM1604" s="62"/>
      <c r="AN1604" s="62"/>
      <c r="AO1604" s="62"/>
      <c r="AP1604" s="62"/>
      <c r="AQ1604" s="66"/>
      <c r="AR1604" s="62"/>
      <c r="AS1604" s="62"/>
      <c r="AT1604" s="62"/>
      <c r="AU1604" s="62"/>
      <c r="AV1604" s="66"/>
      <c r="AW1604" s="97"/>
    </row>
    <row r="1605" spans="23:49" x14ac:dyDescent="0.15">
      <c r="W1605" s="12"/>
      <c r="X1605" s="62"/>
      <c r="Y1605" s="62"/>
      <c r="Z1605" s="62"/>
      <c r="AA1605" s="62"/>
      <c r="AB1605" s="98"/>
      <c r="AC1605" s="62"/>
      <c r="AD1605" s="62"/>
      <c r="AE1605" s="62"/>
      <c r="AF1605" s="62"/>
      <c r="AG1605" s="66"/>
      <c r="AH1605" s="62"/>
      <c r="AI1605" s="62"/>
      <c r="AJ1605" s="62"/>
      <c r="AK1605" s="62"/>
      <c r="AL1605" s="66"/>
      <c r="AM1605" s="62"/>
      <c r="AN1605" s="62"/>
      <c r="AO1605" s="62"/>
      <c r="AP1605" s="62"/>
      <c r="AQ1605" s="66"/>
      <c r="AR1605" s="62"/>
      <c r="AS1605" s="62"/>
      <c r="AT1605" s="62"/>
      <c r="AU1605" s="62"/>
      <c r="AV1605" s="66"/>
      <c r="AW1605" s="97"/>
    </row>
    <row r="1606" spans="23:49" x14ac:dyDescent="0.15">
      <c r="W1606" s="12"/>
      <c r="X1606" s="62"/>
      <c r="Y1606" s="62"/>
      <c r="Z1606" s="62"/>
      <c r="AA1606" s="62"/>
      <c r="AB1606" s="98"/>
      <c r="AC1606" s="62"/>
      <c r="AD1606" s="62"/>
      <c r="AE1606" s="62"/>
      <c r="AF1606" s="62"/>
      <c r="AG1606" s="66"/>
      <c r="AH1606" s="62"/>
      <c r="AI1606" s="62"/>
      <c r="AJ1606" s="62"/>
      <c r="AK1606" s="62"/>
      <c r="AL1606" s="66"/>
      <c r="AM1606" s="62"/>
      <c r="AN1606" s="62"/>
      <c r="AO1606" s="62"/>
      <c r="AP1606" s="62"/>
      <c r="AQ1606" s="66"/>
      <c r="AR1606" s="62"/>
      <c r="AS1606" s="62"/>
      <c r="AT1606" s="62"/>
      <c r="AU1606" s="62"/>
      <c r="AV1606" s="66"/>
      <c r="AW1606" s="97"/>
    </row>
    <row r="1607" spans="23:49" x14ac:dyDescent="0.15">
      <c r="W1607" s="12"/>
      <c r="X1607" s="62"/>
      <c r="Y1607" s="62"/>
      <c r="Z1607" s="62"/>
      <c r="AA1607" s="62"/>
      <c r="AB1607" s="98"/>
      <c r="AC1607" s="62"/>
      <c r="AD1607" s="62"/>
      <c r="AE1607" s="62"/>
      <c r="AF1607" s="62"/>
      <c r="AG1607" s="66"/>
      <c r="AH1607" s="62"/>
      <c r="AI1607" s="62"/>
      <c r="AJ1607" s="62"/>
      <c r="AK1607" s="62"/>
      <c r="AL1607" s="66"/>
      <c r="AM1607" s="62"/>
      <c r="AN1607" s="62"/>
      <c r="AO1607" s="62"/>
      <c r="AP1607" s="62"/>
      <c r="AQ1607" s="66"/>
      <c r="AR1607" s="62"/>
      <c r="AS1607" s="62"/>
      <c r="AT1607" s="62"/>
      <c r="AU1607" s="62"/>
      <c r="AV1607" s="66"/>
      <c r="AW1607" s="97"/>
    </row>
    <row r="1608" spans="23:49" x14ac:dyDescent="0.15">
      <c r="W1608" s="12"/>
      <c r="X1608" s="62"/>
      <c r="Y1608" s="62"/>
      <c r="Z1608" s="62"/>
      <c r="AA1608" s="62"/>
      <c r="AB1608" s="98"/>
      <c r="AC1608" s="62"/>
      <c r="AD1608" s="62"/>
      <c r="AE1608" s="62"/>
      <c r="AF1608" s="62"/>
      <c r="AG1608" s="66"/>
      <c r="AH1608" s="62"/>
      <c r="AI1608" s="62"/>
      <c r="AJ1608" s="62"/>
      <c r="AK1608" s="62"/>
      <c r="AL1608" s="66"/>
      <c r="AM1608" s="62"/>
      <c r="AN1608" s="62"/>
      <c r="AO1608" s="62"/>
      <c r="AP1608" s="62"/>
      <c r="AQ1608" s="66"/>
      <c r="AR1608" s="62"/>
      <c r="AS1608" s="62"/>
      <c r="AT1608" s="62"/>
      <c r="AU1608" s="62"/>
      <c r="AV1608" s="66"/>
      <c r="AW1608" s="97"/>
    </row>
    <row r="1609" spans="23:49" x14ac:dyDescent="0.15">
      <c r="W1609" s="12"/>
      <c r="X1609" s="62"/>
      <c r="Y1609" s="62"/>
      <c r="Z1609" s="62"/>
      <c r="AA1609" s="62"/>
      <c r="AB1609" s="98"/>
      <c r="AC1609" s="62"/>
      <c r="AD1609" s="62"/>
      <c r="AE1609" s="62"/>
      <c r="AF1609" s="62"/>
      <c r="AG1609" s="66"/>
      <c r="AH1609" s="62"/>
      <c r="AI1609" s="62"/>
      <c r="AJ1609" s="62"/>
      <c r="AK1609" s="62"/>
      <c r="AL1609" s="66"/>
      <c r="AM1609" s="62"/>
      <c r="AN1609" s="62"/>
      <c r="AO1609" s="62"/>
      <c r="AP1609" s="62"/>
      <c r="AQ1609" s="66"/>
      <c r="AR1609" s="62"/>
      <c r="AS1609" s="62"/>
      <c r="AT1609" s="62"/>
      <c r="AU1609" s="62"/>
      <c r="AV1609" s="66"/>
      <c r="AW1609" s="97"/>
    </row>
    <row r="1610" spans="23:49" x14ac:dyDescent="0.15">
      <c r="W1610" s="12"/>
      <c r="X1610" s="62"/>
      <c r="Y1610" s="62"/>
      <c r="Z1610" s="62"/>
      <c r="AA1610" s="62"/>
      <c r="AB1610" s="98"/>
      <c r="AC1610" s="62"/>
      <c r="AD1610" s="62"/>
      <c r="AE1610" s="62"/>
      <c r="AF1610" s="62"/>
      <c r="AG1610" s="66"/>
      <c r="AH1610" s="62"/>
      <c r="AI1610" s="62"/>
      <c r="AJ1610" s="62"/>
      <c r="AK1610" s="62"/>
      <c r="AL1610" s="66"/>
      <c r="AM1610" s="62"/>
      <c r="AN1610" s="62"/>
      <c r="AO1610" s="62"/>
      <c r="AP1610" s="62"/>
      <c r="AQ1610" s="66"/>
      <c r="AR1610" s="62"/>
      <c r="AS1610" s="62"/>
      <c r="AT1610" s="62"/>
      <c r="AU1610" s="62"/>
      <c r="AV1610" s="66"/>
      <c r="AW1610" s="97"/>
    </row>
    <row r="1611" spans="23:49" x14ac:dyDescent="0.15">
      <c r="W1611" s="12"/>
      <c r="X1611" s="62"/>
      <c r="Y1611" s="62"/>
      <c r="Z1611" s="62"/>
      <c r="AA1611" s="62"/>
      <c r="AB1611" s="98"/>
      <c r="AC1611" s="62"/>
      <c r="AD1611" s="62"/>
      <c r="AE1611" s="62"/>
      <c r="AF1611" s="62"/>
      <c r="AG1611" s="66"/>
      <c r="AH1611" s="62"/>
      <c r="AI1611" s="62"/>
      <c r="AJ1611" s="62"/>
      <c r="AK1611" s="62"/>
      <c r="AL1611" s="66"/>
      <c r="AM1611" s="62"/>
      <c r="AN1611" s="62"/>
      <c r="AO1611" s="62"/>
      <c r="AP1611" s="62"/>
      <c r="AQ1611" s="66"/>
      <c r="AR1611" s="62"/>
      <c r="AS1611" s="62"/>
      <c r="AT1611" s="62"/>
      <c r="AU1611" s="62"/>
      <c r="AV1611" s="66"/>
      <c r="AW1611" s="97"/>
    </row>
    <row r="1612" spans="23:49" x14ac:dyDescent="0.15">
      <c r="W1612" s="12"/>
      <c r="X1612" s="62"/>
      <c r="Y1612" s="62"/>
      <c r="Z1612" s="62"/>
      <c r="AA1612" s="62"/>
      <c r="AB1612" s="98"/>
      <c r="AC1612" s="62"/>
      <c r="AD1612" s="62"/>
      <c r="AE1612" s="62"/>
      <c r="AF1612" s="62"/>
      <c r="AG1612" s="66"/>
      <c r="AH1612" s="62"/>
      <c r="AI1612" s="62"/>
      <c r="AJ1612" s="62"/>
      <c r="AK1612" s="62"/>
      <c r="AL1612" s="66"/>
      <c r="AM1612" s="62"/>
      <c r="AN1612" s="62"/>
      <c r="AO1612" s="62"/>
      <c r="AP1612" s="62"/>
      <c r="AQ1612" s="66"/>
      <c r="AR1612" s="62"/>
      <c r="AS1612" s="62"/>
      <c r="AT1612" s="62"/>
      <c r="AU1612" s="62"/>
      <c r="AV1612" s="66"/>
      <c r="AW1612" s="97"/>
    </row>
    <row r="1613" spans="23:49" x14ac:dyDescent="0.15">
      <c r="W1613" s="12"/>
      <c r="X1613" s="62"/>
      <c r="Y1613" s="62"/>
      <c r="Z1613" s="62"/>
      <c r="AA1613" s="62"/>
      <c r="AB1613" s="98"/>
      <c r="AC1613" s="62"/>
      <c r="AD1613" s="62"/>
      <c r="AE1613" s="62"/>
      <c r="AF1613" s="62"/>
      <c r="AG1613" s="66"/>
      <c r="AH1613" s="62"/>
      <c r="AI1613" s="62"/>
      <c r="AJ1613" s="62"/>
      <c r="AK1613" s="62"/>
      <c r="AL1613" s="66"/>
      <c r="AM1613" s="62"/>
      <c r="AN1613" s="62"/>
      <c r="AO1613" s="62"/>
      <c r="AP1613" s="62"/>
      <c r="AQ1613" s="66"/>
      <c r="AR1613" s="62"/>
      <c r="AS1613" s="62"/>
      <c r="AT1613" s="62"/>
      <c r="AU1613" s="62"/>
      <c r="AV1613" s="66"/>
      <c r="AW1613" s="97"/>
    </row>
    <row r="1614" spans="23:49" x14ac:dyDescent="0.15">
      <c r="W1614" s="12"/>
      <c r="X1614" s="62"/>
      <c r="Y1614" s="62"/>
      <c r="Z1614" s="62"/>
      <c r="AA1614" s="62"/>
      <c r="AB1614" s="98"/>
      <c r="AC1614" s="62"/>
      <c r="AD1614" s="62"/>
      <c r="AE1614" s="62"/>
      <c r="AF1614" s="62"/>
      <c r="AG1614" s="66"/>
      <c r="AH1614" s="62"/>
      <c r="AI1614" s="62"/>
      <c r="AJ1614" s="62"/>
      <c r="AK1614" s="62"/>
      <c r="AL1614" s="66"/>
      <c r="AM1614" s="62"/>
      <c r="AN1614" s="62"/>
      <c r="AO1614" s="62"/>
      <c r="AP1614" s="62"/>
      <c r="AQ1614" s="66"/>
      <c r="AR1614" s="62"/>
      <c r="AS1614" s="62"/>
      <c r="AT1614" s="62"/>
      <c r="AU1614" s="62"/>
      <c r="AV1614" s="66"/>
      <c r="AW1614" s="97"/>
    </row>
    <row r="1615" spans="23:49" x14ac:dyDescent="0.15">
      <c r="W1615" s="12"/>
      <c r="X1615" s="62"/>
      <c r="Y1615" s="62"/>
      <c r="Z1615" s="62"/>
      <c r="AA1615" s="62"/>
      <c r="AB1615" s="98"/>
      <c r="AC1615" s="62"/>
      <c r="AD1615" s="62"/>
      <c r="AE1615" s="62"/>
      <c r="AF1615" s="62"/>
      <c r="AG1615" s="66"/>
      <c r="AH1615" s="62"/>
      <c r="AI1615" s="62"/>
      <c r="AJ1615" s="62"/>
      <c r="AK1615" s="62"/>
      <c r="AL1615" s="66"/>
      <c r="AM1615" s="62"/>
      <c r="AN1615" s="62"/>
      <c r="AO1615" s="62"/>
      <c r="AP1615" s="62"/>
      <c r="AQ1615" s="66"/>
      <c r="AR1615" s="62"/>
      <c r="AS1615" s="62"/>
      <c r="AT1615" s="62"/>
      <c r="AU1615" s="62"/>
      <c r="AV1615" s="66"/>
      <c r="AW1615" s="97"/>
    </row>
    <row r="1616" spans="23:49" x14ac:dyDescent="0.15">
      <c r="W1616" s="12"/>
      <c r="X1616" s="62"/>
      <c r="Y1616" s="62"/>
      <c r="Z1616" s="62"/>
      <c r="AA1616" s="62"/>
      <c r="AB1616" s="98"/>
      <c r="AC1616" s="62"/>
      <c r="AD1616" s="62"/>
      <c r="AE1616" s="62"/>
      <c r="AF1616" s="62"/>
      <c r="AG1616" s="66"/>
      <c r="AH1616" s="62"/>
      <c r="AI1616" s="62"/>
      <c r="AJ1616" s="62"/>
      <c r="AK1616" s="62"/>
      <c r="AL1616" s="66"/>
      <c r="AM1616" s="62"/>
      <c r="AN1616" s="62"/>
      <c r="AO1616" s="62"/>
      <c r="AP1616" s="62"/>
      <c r="AQ1616" s="66"/>
      <c r="AR1616" s="62"/>
      <c r="AS1616" s="62"/>
      <c r="AT1616" s="62"/>
      <c r="AU1616" s="62"/>
      <c r="AV1616" s="66"/>
      <c r="AW1616" s="97"/>
    </row>
    <row r="1617" spans="23:49" x14ac:dyDescent="0.15">
      <c r="W1617" s="12"/>
      <c r="X1617" s="62"/>
      <c r="Y1617" s="62"/>
      <c r="Z1617" s="62"/>
      <c r="AA1617" s="62"/>
      <c r="AB1617" s="98"/>
      <c r="AC1617" s="62"/>
      <c r="AD1617" s="62"/>
      <c r="AE1617" s="62"/>
      <c r="AF1617" s="62"/>
      <c r="AG1617" s="66"/>
      <c r="AH1617" s="62"/>
      <c r="AI1617" s="62"/>
      <c r="AJ1617" s="62"/>
      <c r="AK1617" s="62"/>
      <c r="AL1617" s="66"/>
      <c r="AM1617" s="62"/>
      <c r="AN1617" s="62"/>
      <c r="AO1617" s="62"/>
      <c r="AP1617" s="62"/>
      <c r="AQ1617" s="66"/>
      <c r="AR1617" s="62"/>
      <c r="AS1617" s="62"/>
      <c r="AT1617" s="62"/>
      <c r="AU1617" s="62"/>
      <c r="AV1617" s="66"/>
      <c r="AW1617" s="97"/>
    </row>
    <row r="1618" spans="23:49" x14ac:dyDescent="0.15">
      <c r="W1618" s="12"/>
      <c r="X1618" s="62"/>
      <c r="Y1618" s="62"/>
      <c r="Z1618" s="62"/>
      <c r="AA1618" s="62"/>
      <c r="AB1618" s="98"/>
      <c r="AC1618" s="62"/>
      <c r="AD1618" s="62"/>
      <c r="AE1618" s="62"/>
      <c r="AF1618" s="62"/>
      <c r="AG1618" s="66"/>
      <c r="AH1618" s="62"/>
      <c r="AI1618" s="62"/>
      <c r="AJ1618" s="62"/>
      <c r="AK1618" s="62"/>
      <c r="AL1618" s="66"/>
      <c r="AM1618" s="62"/>
      <c r="AN1618" s="62"/>
      <c r="AO1618" s="62"/>
      <c r="AP1618" s="62"/>
      <c r="AQ1618" s="66"/>
      <c r="AR1618" s="62"/>
      <c r="AS1618" s="62"/>
      <c r="AT1618" s="62"/>
      <c r="AU1618" s="62"/>
      <c r="AV1618" s="66"/>
      <c r="AW1618" s="97"/>
    </row>
    <row r="1619" spans="23:49" x14ac:dyDescent="0.15">
      <c r="W1619" s="12"/>
      <c r="X1619" s="62"/>
      <c r="Y1619" s="62"/>
      <c r="Z1619" s="62"/>
      <c r="AA1619" s="62"/>
      <c r="AB1619" s="98"/>
      <c r="AC1619" s="62"/>
      <c r="AD1619" s="62"/>
      <c r="AE1619" s="62"/>
      <c r="AF1619" s="62"/>
      <c r="AG1619" s="66"/>
      <c r="AH1619" s="62"/>
      <c r="AI1619" s="62"/>
      <c r="AJ1619" s="62"/>
      <c r="AK1619" s="62"/>
      <c r="AL1619" s="66"/>
      <c r="AM1619" s="62"/>
      <c r="AN1619" s="62"/>
      <c r="AO1619" s="62"/>
      <c r="AP1619" s="62"/>
      <c r="AQ1619" s="66"/>
      <c r="AR1619" s="62"/>
      <c r="AS1619" s="62"/>
      <c r="AT1619" s="62"/>
      <c r="AU1619" s="62"/>
      <c r="AV1619" s="66"/>
      <c r="AW1619" s="97"/>
    </row>
    <row r="1620" spans="23:49" x14ac:dyDescent="0.15">
      <c r="W1620" s="12"/>
      <c r="X1620" s="62"/>
      <c r="Y1620" s="62"/>
      <c r="Z1620" s="62"/>
      <c r="AA1620" s="62"/>
      <c r="AB1620" s="98"/>
      <c r="AC1620" s="62"/>
      <c r="AD1620" s="62"/>
      <c r="AE1620" s="62"/>
      <c r="AF1620" s="62"/>
      <c r="AG1620" s="66"/>
      <c r="AH1620" s="62"/>
      <c r="AI1620" s="62"/>
      <c r="AJ1620" s="62"/>
      <c r="AK1620" s="62"/>
      <c r="AL1620" s="66"/>
      <c r="AM1620" s="62"/>
      <c r="AN1620" s="62"/>
      <c r="AO1620" s="62"/>
      <c r="AP1620" s="62"/>
      <c r="AQ1620" s="66"/>
      <c r="AR1620" s="62"/>
      <c r="AS1620" s="62"/>
      <c r="AT1620" s="62"/>
      <c r="AU1620" s="62"/>
      <c r="AV1620" s="66"/>
      <c r="AW1620" s="97"/>
    </row>
    <row r="1621" spans="23:49" x14ac:dyDescent="0.15">
      <c r="W1621" s="12"/>
      <c r="X1621" s="62"/>
      <c r="Y1621" s="62"/>
      <c r="Z1621" s="62"/>
      <c r="AA1621" s="62"/>
      <c r="AB1621" s="98"/>
      <c r="AC1621" s="62"/>
      <c r="AD1621" s="62"/>
      <c r="AE1621" s="62"/>
      <c r="AF1621" s="62"/>
      <c r="AG1621" s="66"/>
      <c r="AH1621" s="62"/>
      <c r="AI1621" s="62"/>
      <c r="AJ1621" s="62"/>
      <c r="AK1621" s="62"/>
      <c r="AL1621" s="66"/>
      <c r="AM1621" s="62"/>
      <c r="AN1621" s="62"/>
      <c r="AO1621" s="62"/>
      <c r="AP1621" s="62"/>
      <c r="AQ1621" s="66"/>
      <c r="AR1621" s="62"/>
      <c r="AS1621" s="62"/>
      <c r="AT1621" s="62"/>
      <c r="AU1621" s="62"/>
      <c r="AV1621" s="66"/>
      <c r="AW1621" s="97"/>
    </row>
    <row r="1622" spans="23:49" x14ac:dyDescent="0.15">
      <c r="W1622" s="12"/>
      <c r="X1622" s="62"/>
      <c r="Y1622" s="62"/>
      <c r="Z1622" s="62"/>
      <c r="AA1622" s="62"/>
      <c r="AB1622" s="98"/>
      <c r="AC1622" s="62"/>
      <c r="AD1622" s="62"/>
      <c r="AE1622" s="62"/>
      <c r="AF1622" s="62"/>
      <c r="AG1622" s="66"/>
      <c r="AH1622" s="62"/>
      <c r="AI1622" s="62"/>
      <c r="AJ1622" s="62"/>
      <c r="AK1622" s="62"/>
      <c r="AL1622" s="66"/>
      <c r="AM1622" s="62"/>
      <c r="AN1622" s="62"/>
      <c r="AO1622" s="62"/>
      <c r="AP1622" s="62"/>
      <c r="AQ1622" s="66"/>
      <c r="AR1622" s="62"/>
      <c r="AS1622" s="62"/>
      <c r="AT1622" s="62"/>
      <c r="AU1622" s="62"/>
      <c r="AV1622" s="66"/>
      <c r="AW1622" s="97"/>
    </row>
    <row r="1623" spans="23:49" x14ac:dyDescent="0.15">
      <c r="W1623" s="12"/>
      <c r="X1623" s="62"/>
      <c r="Y1623" s="62"/>
      <c r="Z1623" s="62"/>
      <c r="AA1623" s="62"/>
      <c r="AB1623" s="98"/>
      <c r="AC1623" s="62"/>
      <c r="AD1623" s="62"/>
      <c r="AE1623" s="62"/>
      <c r="AF1623" s="62"/>
      <c r="AG1623" s="66"/>
      <c r="AH1623" s="62"/>
      <c r="AI1623" s="62"/>
      <c r="AJ1623" s="62"/>
      <c r="AK1623" s="62"/>
      <c r="AL1623" s="66"/>
      <c r="AM1623" s="62"/>
      <c r="AN1623" s="62"/>
      <c r="AO1623" s="62"/>
      <c r="AP1623" s="62"/>
      <c r="AQ1623" s="66"/>
      <c r="AR1623" s="62"/>
      <c r="AS1623" s="62"/>
      <c r="AT1623" s="62"/>
      <c r="AU1623" s="62"/>
      <c r="AV1623" s="66"/>
      <c r="AW1623" s="97"/>
    </row>
    <row r="1624" spans="23:49" x14ac:dyDescent="0.15">
      <c r="W1624" s="12"/>
      <c r="X1624" s="62"/>
      <c r="Y1624" s="62"/>
      <c r="Z1624" s="62"/>
      <c r="AA1624" s="62"/>
      <c r="AB1624" s="98"/>
      <c r="AC1624" s="62"/>
      <c r="AD1624" s="62"/>
      <c r="AE1624" s="62"/>
      <c r="AF1624" s="62"/>
      <c r="AG1624" s="66"/>
      <c r="AH1624" s="62"/>
      <c r="AI1624" s="62"/>
      <c r="AJ1624" s="62"/>
      <c r="AK1624" s="62"/>
      <c r="AL1624" s="66"/>
      <c r="AM1624" s="62"/>
      <c r="AN1624" s="62"/>
      <c r="AO1624" s="62"/>
      <c r="AP1624" s="62"/>
      <c r="AQ1624" s="66"/>
      <c r="AR1624" s="62"/>
      <c r="AS1624" s="62"/>
      <c r="AT1624" s="62"/>
      <c r="AU1624" s="62"/>
      <c r="AV1624" s="66"/>
      <c r="AW1624" s="97"/>
    </row>
    <row r="1625" spans="23:49" x14ac:dyDescent="0.15">
      <c r="W1625" s="12"/>
      <c r="X1625" s="62"/>
      <c r="Y1625" s="62"/>
      <c r="Z1625" s="62"/>
      <c r="AA1625" s="62"/>
      <c r="AB1625" s="98"/>
      <c r="AC1625" s="62"/>
      <c r="AD1625" s="62"/>
      <c r="AE1625" s="62"/>
      <c r="AF1625" s="62"/>
      <c r="AG1625" s="66"/>
      <c r="AH1625" s="62"/>
      <c r="AI1625" s="62"/>
      <c r="AJ1625" s="62"/>
      <c r="AK1625" s="62"/>
      <c r="AL1625" s="66"/>
      <c r="AM1625" s="62"/>
      <c r="AN1625" s="62"/>
      <c r="AO1625" s="62"/>
      <c r="AP1625" s="62"/>
      <c r="AQ1625" s="66"/>
      <c r="AR1625" s="62"/>
      <c r="AS1625" s="62"/>
      <c r="AT1625" s="62"/>
      <c r="AU1625" s="62"/>
      <c r="AV1625" s="66"/>
      <c r="AW1625" s="97"/>
    </row>
    <row r="1626" spans="23:49" x14ac:dyDescent="0.15">
      <c r="W1626" s="12"/>
      <c r="X1626" s="62"/>
      <c r="Y1626" s="62"/>
      <c r="Z1626" s="62"/>
      <c r="AA1626" s="62"/>
      <c r="AB1626" s="98"/>
      <c r="AC1626" s="62"/>
      <c r="AD1626" s="62"/>
      <c r="AE1626" s="62"/>
      <c r="AF1626" s="62"/>
      <c r="AG1626" s="66"/>
      <c r="AH1626" s="62"/>
      <c r="AI1626" s="62"/>
      <c r="AJ1626" s="62"/>
      <c r="AK1626" s="62"/>
      <c r="AL1626" s="66"/>
      <c r="AM1626" s="62"/>
      <c r="AN1626" s="62"/>
      <c r="AO1626" s="62"/>
      <c r="AP1626" s="62"/>
      <c r="AQ1626" s="66"/>
      <c r="AR1626" s="62"/>
      <c r="AS1626" s="62"/>
      <c r="AT1626" s="62"/>
      <c r="AU1626" s="62"/>
      <c r="AV1626" s="66"/>
      <c r="AW1626" s="97"/>
    </row>
    <row r="1627" spans="23:49" x14ac:dyDescent="0.15">
      <c r="W1627" s="12"/>
      <c r="X1627" s="62"/>
      <c r="Y1627" s="62"/>
      <c r="Z1627" s="62"/>
      <c r="AA1627" s="62"/>
      <c r="AB1627" s="98"/>
      <c r="AC1627" s="62"/>
      <c r="AD1627" s="62"/>
      <c r="AE1627" s="62"/>
      <c r="AF1627" s="62"/>
      <c r="AG1627" s="66"/>
      <c r="AH1627" s="62"/>
      <c r="AI1627" s="62"/>
      <c r="AJ1627" s="62"/>
      <c r="AK1627" s="62"/>
      <c r="AL1627" s="66"/>
      <c r="AM1627" s="62"/>
      <c r="AN1627" s="62"/>
      <c r="AO1627" s="62"/>
      <c r="AP1627" s="62"/>
      <c r="AQ1627" s="66"/>
      <c r="AR1627" s="62"/>
      <c r="AS1627" s="62"/>
      <c r="AT1627" s="62"/>
      <c r="AU1627" s="62"/>
      <c r="AV1627" s="66"/>
      <c r="AW1627" s="97"/>
    </row>
    <row r="1628" spans="23:49" x14ac:dyDescent="0.15">
      <c r="W1628" s="12"/>
      <c r="X1628" s="62"/>
      <c r="Y1628" s="62"/>
      <c r="Z1628" s="62"/>
      <c r="AA1628" s="62"/>
      <c r="AB1628" s="98"/>
      <c r="AC1628" s="62"/>
      <c r="AD1628" s="62"/>
      <c r="AE1628" s="62"/>
      <c r="AF1628" s="62"/>
      <c r="AG1628" s="66"/>
      <c r="AH1628" s="62"/>
      <c r="AI1628" s="62"/>
      <c r="AJ1628" s="62"/>
      <c r="AK1628" s="62"/>
      <c r="AL1628" s="66"/>
      <c r="AM1628" s="62"/>
      <c r="AN1628" s="62"/>
      <c r="AO1628" s="62"/>
      <c r="AP1628" s="62"/>
      <c r="AQ1628" s="66"/>
      <c r="AR1628" s="62"/>
      <c r="AS1628" s="62"/>
      <c r="AT1628" s="62"/>
      <c r="AU1628" s="62"/>
      <c r="AV1628" s="66"/>
      <c r="AW1628" s="97"/>
    </row>
    <row r="1629" spans="23:49" x14ac:dyDescent="0.15">
      <c r="W1629" s="12"/>
      <c r="X1629" s="62"/>
      <c r="Y1629" s="62"/>
      <c r="Z1629" s="62"/>
      <c r="AA1629" s="62"/>
      <c r="AB1629" s="98"/>
      <c r="AC1629" s="62"/>
      <c r="AD1629" s="62"/>
      <c r="AE1629" s="62"/>
      <c r="AF1629" s="62"/>
      <c r="AG1629" s="66"/>
      <c r="AH1629" s="62"/>
      <c r="AI1629" s="62"/>
      <c r="AJ1629" s="62"/>
      <c r="AK1629" s="62"/>
      <c r="AL1629" s="66"/>
      <c r="AM1629" s="62"/>
      <c r="AN1629" s="62"/>
      <c r="AO1629" s="62"/>
      <c r="AP1629" s="62"/>
      <c r="AQ1629" s="66"/>
      <c r="AR1629" s="62"/>
      <c r="AS1629" s="62"/>
      <c r="AT1629" s="62"/>
      <c r="AU1629" s="62"/>
      <c r="AV1629" s="66"/>
      <c r="AW1629" s="97"/>
    </row>
    <row r="1630" spans="23:49" x14ac:dyDescent="0.15">
      <c r="W1630" s="12"/>
      <c r="X1630" s="62"/>
      <c r="Y1630" s="62"/>
      <c r="Z1630" s="62"/>
      <c r="AA1630" s="62"/>
      <c r="AB1630" s="98"/>
      <c r="AC1630" s="62"/>
      <c r="AD1630" s="62"/>
      <c r="AE1630" s="62"/>
      <c r="AF1630" s="62"/>
      <c r="AG1630" s="66"/>
      <c r="AH1630" s="62"/>
      <c r="AI1630" s="62"/>
      <c r="AJ1630" s="62"/>
      <c r="AK1630" s="62"/>
      <c r="AL1630" s="66"/>
      <c r="AM1630" s="62"/>
      <c r="AN1630" s="62"/>
      <c r="AO1630" s="62"/>
      <c r="AP1630" s="62"/>
      <c r="AQ1630" s="66"/>
      <c r="AR1630" s="62"/>
      <c r="AS1630" s="62"/>
      <c r="AT1630" s="62"/>
      <c r="AU1630" s="62"/>
      <c r="AV1630" s="66"/>
      <c r="AW1630" s="97"/>
    </row>
    <row r="1631" spans="23:49" x14ac:dyDescent="0.15">
      <c r="W1631" s="12"/>
      <c r="X1631" s="62"/>
      <c r="Y1631" s="62"/>
      <c r="Z1631" s="62"/>
      <c r="AA1631" s="62"/>
      <c r="AB1631" s="98"/>
      <c r="AC1631" s="62"/>
      <c r="AD1631" s="62"/>
      <c r="AE1631" s="62"/>
      <c r="AF1631" s="62"/>
      <c r="AG1631" s="66"/>
      <c r="AH1631" s="62"/>
      <c r="AI1631" s="62"/>
      <c r="AJ1631" s="62"/>
      <c r="AK1631" s="62"/>
      <c r="AL1631" s="66"/>
      <c r="AM1631" s="62"/>
      <c r="AN1631" s="62"/>
      <c r="AO1631" s="62"/>
      <c r="AP1631" s="62"/>
      <c r="AQ1631" s="66"/>
      <c r="AR1631" s="62"/>
      <c r="AS1631" s="62"/>
      <c r="AT1631" s="62"/>
      <c r="AU1631" s="62"/>
      <c r="AV1631" s="66"/>
      <c r="AW1631" s="97"/>
    </row>
    <row r="1632" spans="23:49" x14ac:dyDescent="0.15">
      <c r="W1632" s="12"/>
      <c r="X1632" s="62"/>
      <c r="Y1632" s="62"/>
      <c r="Z1632" s="62"/>
      <c r="AA1632" s="62"/>
      <c r="AB1632" s="98"/>
      <c r="AC1632" s="62"/>
      <c r="AD1632" s="62"/>
      <c r="AE1632" s="62"/>
      <c r="AF1632" s="62"/>
      <c r="AG1632" s="66"/>
      <c r="AH1632" s="62"/>
      <c r="AI1632" s="62"/>
      <c r="AJ1632" s="62"/>
      <c r="AK1632" s="62"/>
      <c r="AL1632" s="66"/>
      <c r="AM1632" s="62"/>
      <c r="AN1632" s="62"/>
      <c r="AO1632" s="62"/>
      <c r="AP1632" s="62"/>
      <c r="AQ1632" s="66"/>
      <c r="AR1632" s="62"/>
      <c r="AS1632" s="62"/>
      <c r="AT1632" s="62"/>
      <c r="AU1632" s="62"/>
      <c r="AV1632" s="66"/>
      <c r="AW1632" s="97"/>
    </row>
    <row r="1633" spans="23:49" x14ac:dyDescent="0.15">
      <c r="W1633" s="12"/>
      <c r="X1633" s="62"/>
      <c r="Y1633" s="62"/>
      <c r="Z1633" s="62"/>
      <c r="AA1633" s="62"/>
      <c r="AB1633" s="98"/>
      <c r="AC1633" s="62"/>
      <c r="AD1633" s="62"/>
      <c r="AE1633" s="62"/>
      <c r="AF1633" s="62"/>
      <c r="AG1633" s="66"/>
      <c r="AH1633" s="62"/>
      <c r="AI1633" s="62"/>
      <c r="AJ1633" s="62"/>
      <c r="AK1633" s="62"/>
      <c r="AL1633" s="66"/>
      <c r="AM1633" s="62"/>
      <c r="AN1633" s="62"/>
      <c r="AO1633" s="62"/>
      <c r="AP1633" s="62"/>
      <c r="AQ1633" s="66"/>
      <c r="AR1633" s="62"/>
      <c r="AS1633" s="62"/>
      <c r="AT1633" s="62"/>
      <c r="AU1633" s="62"/>
      <c r="AV1633" s="66"/>
      <c r="AW1633" s="97"/>
    </row>
    <row r="1634" spans="23:49" x14ac:dyDescent="0.15">
      <c r="W1634" s="12"/>
      <c r="X1634" s="62"/>
      <c r="Y1634" s="62"/>
      <c r="Z1634" s="62"/>
      <c r="AA1634" s="62"/>
      <c r="AB1634" s="98"/>
      <c r="AC1634" s="62"/>
      <c r="AD1634" s="62"/>
      <c r="AE1634" s="62"/>
      <c r="AF1634" s="62"/>
      <c r="AG1634" s="66"/>
      <c r="AH1634" s="62"/>
      <c r="AI1634" s="62"/>
      <c r="AJ1634" s="62"/>
      <c r="AK1634" s="62"/>
      <c r="AL1634" s="66"/>
      <c r="AM1634" s="62"/>
      <c r="AN1634" s="62"/>
      <c r="AO1634" s="62"/>
      <c r="AP1634" s="62"/>
      <c r="AQ1634" s="66"/>
      <c r="AR1634" s="62"/>
      <c r="AS1634" s="62"/>
      <c r="AT1634" s="62"/>
      <c r="AU1634" s="62"/>
      <c r="AV1634" s="66"/>
      <c r="AW1634" s="97"/>
    </row>
    <row r="1635" spans="23:49" x14ac:dyDescent="0.15">
      <c r="W1635" s="12"/>
      <c r="X1635" s="62"/>
      <c r="Y1635" s="62"/>
      <c r="Z1635" s="62"/>
      <c r="AA1635" s="62"/>
      <c r="AB1635" s="98"/>
      <c r="AC1635" s="62"/>
      <c r="AD1635" s="62"/>
      <c r="AE1635" s="62"/>
      <c r="AF1635" s="62"/>
      <c r="AG1635" s="66"/>
      <c r="AH1635" s="62"/>
      <c r="AI1635" s="62"/>
      <c r="AJ1635" s="62"/>
      <c r="AK1635" s="62"/>
      <c r="AL1635" s="66"/>
      <c r="AM1635" s="62"/>
      <c r="AN1635" s="62"/>
      <c r="AO1635" s="62"/>
      <c r="AP1635" s="62"/>
      <c r="AQ1635" s="66"/>
      <c r="AR1635" s="62"/>
      <c r="AS1635" s="62"/>
      <c r="AT1635" s="62"/>
      <c r="AU1635" s="62"/>
      <c r="AV1635" s="66"/>
      <c r="AW1635" s="97"/>
    </row>
    <row r="1636" spans="23:49" x14ac:dyDescent="0.15">
      <c r="W1636" s="12"/>
      <c r="X1636" s="62"/>
      <c r="Y1636" s="62"/>
      <c r="Z1636" s="62"/>
      <c r="AA1636" s="62"/>
      <c r="AB1636" s="98"/>
      <c r="AC1636" s="62"/>
      <c r="AD1636" s="62"/>
      <c r="AE1636" s="62"/>
      <c r="AF1636" s="62"/>
      <c r="AG1636" s="66"/>
      <c r="AH1636" s="62"/>
      <c r="AI1636" s="62"/>
      <c r="AJ1636" s="62"/>
      <c r="AK1636" s="62"/>
      <c r="AL1636" s="66"/>
      <c r="AM1636" s="62"/>
      <c r="AN1636" s="62"/>
      <c r="AO1636" s="62"/>
      <c r="AP1636" s="62"/>
      <c r="AQ1636" s="66"/>
      <c r="AR1636" s="62"/>
      <c r="AS1636" s="62"/>
      <c r="AT1636" s="62"/>
      <c r="AU1636" s="62"/>
      <c r="AV1636" s="66"/>
      <c r="AW1636" s="97"/>
    </row>
    <row r="1637" spans="23:49" x14ac:dyDescent="0.15">
      <c r="W1637" s="12"/>
      <c r="X1637" s="62"/>
      <c r="Y1637" s="62"/>
      <c r="Z1637" s="62"/>
      <c r="AA1637" s="62"/>
      <c r="AB1637" s="98"/>
      <c r="AC1637" s="62"/>
      <c r="AD1637" s="62"/>
      <c r="AE1637" s="62"/>
      <c r="AF1637" s="62"/>
      <c r="AG1637" s="66"/>
      <c r="AH1637" s="62"/>
      <c r="AI1637" s="62"/>
      <c r="AJ1637" s="62"/>
      <c r="AK1637" s="62"/>
      <c r="AL1637" s="66"/>
      <c r="AM1637" s="62"/>
      <c r="AN1637" s="62"/>
      <c r="AO1637" s="62"/>
      <c r="AP1637" s="62"/>
      <c r="AQ1637" s="66"/>
      <c r="AR1637" s="62"/>
      <c r="AS1637" s="62"/>
      <c r="AT1637" s="62"/>
      <c r="AU1637" s="62"/>
      <c r="AV1637" s="66"/>
      <c r="AW1637" s="97"/>
    </row>
    <row r="1638" spans="23:49" x14ac:dyDescent="0.15">
      <c r="W1638" s="12"/>
      <c r="X1638" s="62"/>
      <c r="Y1638" s="62"/>
      <c r="Z1638" s="62"/>
      <c r="AA1638" s="62"/>
      <c r="AB1638" s="98"/>
      <c r="AC1638" s="62"/>
      <c r="AD1638" s="62"/>
      <c r="AE1638" s="62"/>
      <c r="AF1638" s="62"/>
      <c r="AG1638" s="66"/>
      <c r="AH1638" s="62"/>
      <c r="AI1638" s="62"/>
      <c r="AJ1638" s="62"/>
      <c r="AK1638" s="62"/>
      <c r="AL1638" s="66"/>
      <c r="AM1638" s="62"/>
      <c r="AN1638" s="62"/>
      <c r="AO1638" s="62"/>
      <c r="AP1638" s="62"/>
      <c r="AQ1638" s="66"/>
      <c r="AR1638" s="62"/>
      <c r="AS1638" s="62"/>
      <c r="AT1638" s="62"/>
      <c r="AU1638" s="62"/>
      <c r="AV1638" s="66"/>
      <c r="AW1638" s="97"/>
    </row>
    <row r="1639" spans="23:49" x14ac:dyDescent="0.15">
      <c r="W1639" s="12"/>
      <c r="X1639" s="62"/>
      <c r="Y1639" s="62"/>
      <c r="Z1639" s="62"/>
      <c r="AA1639" s="62"/>
      <c r="AB1639" s="98"/>
      <c r="AC1639" s="62"/>
      <c r="AD1639" s="62"/>
      <c r="AE1639" s="62"/>
      <c r="AF1639" s="62"/>
      <c r="AG1639" s="66"/>
      <c r="AH1639" s="62"/>
      <c r="AI1639" s="62"/>
      <c r="AJ1639" s="62"/>
      <c r="AK1639" s="62"/>
      <c r="AL1639" s="66"/>
      <c r="AM1639" s="62"/>
      <c r="AN1639" s="62"/>
      <c r="AO1639" s="62"/>
      <c r="AP1639" s="62"/>
      <c r="AQ1639" s="66"/>
      <c r="AR1639" s="62"/>
      <c r="AS1639" s="62"/>
      <c r="AT1639" s="62"/>
      <c r="AU1639" s="62"/>
      <c r="AV1639" s="66"/>
      <c r="AW1639" s="97"/>
    </row>
    <row r="1640" spans="23:49" x14ac:dyDescent="0.15">
      <c r="W1640" s="12"/>
      <c r="X1640" s="62"/>
      <c r="Y1640" s="62"/>
      <c r="Z1640" s="62"/>
      <c r="AA1640" s="62"/>
      <c r="AB1640" s="98"/>
      <c r="AC1640" s="62"/>
      <c r="AD1640" s="62"/>
      <c r="AE1640" s="62"/>
      <c r="AF1640" s="62"/>
      <c r="AG1640" s="66"/>
      <c r="AH1640" s="62"/>
      <c r="AI1640" s="62"/>
      <c r="AJ1640" s="62"/>
      <c r="AK1640" s="62"/>
      <c r="AL1640" s="66"/>
      <c r="AM1640" s="62"/>
      <c r="AN1640" s="62"/>
      <c r="AO1640" s="62"/>
      <c r="AP1640" s="62"/>
      <c r="AQ1640" s="66"/>
      <c r="AR1640" s="62"/>
      <c r="AS1640" s="62"/>
      <c r="AT1640" s="62"/>
      <c r="AU1640" s="62"/>
      <c r="AV1640" s="66"/>
      <c r="AW1640" s="97"/>
    </row>
    <row r="1641" spans="23:49" x14ac:dyDescent="0.15">
      <c r="W1641" s="12"/>
      <c r="X1641" s="62"/>
      <c r="Y1641" s="62"/>
      <c r="Z1641" s="62"/>
      <c r="AA1641" s="62"/>
      <c r="AB1641" s="98"/>
      <c r="AC1641" s="62"/>
      <c r="AD1641" s="62"/>
      <c r="AE1641" s="62"/>
      <c r="AF1641" s="62"/>
      <c r="AG1641" s="66"/>
      <c r="AH1641" s="62"/>
      <c r="AI1641" s="62"/>
      <c r="AJ1641" s="62"/>
      <c r="AK1641" s="62"/>
      <c r="AL1641" s="66"/>
      <c r="AM1641" s="62"/>
      <c r="AN1641" s="62"/>
      <c r="AO1641" s="62"/>
      <c r="AP1641" s="62"/>
      <c r="AQ1641" s="66"/>
      <c r="AR1641" s="62"/>
      <c r="AS1641" s="62"/>
      <c r="AT1641" s="62"/>
      <c r="AU1641" s="62"/>
      <c r="AV1641" s="66"/>
      <c r="AW1641" s="97"/>
    </row>
    <row r="1642" spans="23:49" x14ac:dyDescent="0.15">
      <c r="W1642" s="12"/>
      <c r="X1642" s="62"/>
      <c r="Y1642" s="62"/>
      <c r="Z1642" s="62"/>
      <c r="AA1642" s="62"/>
      <c r="AB1642" s="98"/>
      <c r="AC1642" s="62"/>
      <c r="AD1642" s="62"/>
      <c r="AE1642" s="62"/>
      <c r="AF1642" s="62"/>
      <c r="AG1642" s="66"/>
      <c r="AH1642" s="62"/>
      <c r="AI1642" s="62"/>
      <c r="AJ1642" s="62"/>
      <c r="AK1642" s="62"/>
      <c r="AL1642" s="66"/>
      <c r="AM1642" s="62"/>
      <c r="AN1642" s="62"/>
      <c r="AO1642" s="62"/>
      <c r="AP1642" s="62"/>
      <c r="AQ1642" s="66"/>
      <c r="AR1642" s="62"/>
      <c r="AS1642" s="62"/>
      <c r="AT1642" s="62"/>
      <c r="AU1642" s="62"/>
      <c r="AV1642" s="66"/>
      <c r="AW1642" s="97"/>
    </row>
    <row r="1643" spans="23:49" x14ac:dyDescent="0.15">
      <c r="W1643" s="12"/>
      <c r="X1643" s="62"/>
      <c r="Y1643" s="62"/>
      <c r="Z1643" s="62"/>
      <c r="AA1643" s="62"/>
      <c r="AB1643" s="98"/>
      <c r="AC1643" s="62"/>
      <c r="AD1643" s="62"/>
      <c r="AE1643" s="62"/>
      <c r="AF1643" s="62"/>
      <c r="AG1643" s="66"/>
      <c r="AH1643" s="62"/>
      <c r="AI1643" s="62"/>
      <c r="AJ1643" s="62"/>
      <c r="AK1643" s="62"/>
      <c r="AL1643" s="66"/>
      <c r="AM1643" s="62"/>
      <c r="AN1643" s="62"/>
      <c r="AO1643" s="62"/>
      <c r="AP1643" s="62"/>
      <c r="AQ1643" s="66"/>
      <c r="AR1643" s="62"/>
      <c r="AS1643" s="62"/>
      <c r="AT1643" s="62"/>
      <c r="AU1643" s="62"/>
      <c r="AV1643" s="66"/>
      <c r="AW1643" s="97"/>
    </row>
    <row r="1644" spans="23:49" x14ac:dyDescent="0.15">
      <c r="W1644" s="12"/>
      <c r="X1644" s="62"/>
      <c r="Y1644" s="62"/>
      <c r="Z1644" s="62"/>
      <c r="AA1644" s="62"/>
      <c r="AB1644" s="98"/>
      <c r="AC1644" s="62"/>
      <c r="AD1644" s="62"/>
      <c r="AE1644" s="62"/>
      <c r="AF1644" s="62"/>
      <c r="AG1644" s="66"/>
      <c r="AH1644" s="62"/>
      <c r="AI1644" s="62"/>
      <c r="AJ1644" s="62"/>
      <c r="AK1644" s="62"/>
      <c r="AL1644" s="66"/>
      <c r="AM1644" s="62"/>
      <c r="AN1644" s="62"/>
      <c r="AO1644" s="62"/>
      <c r="AP1644" s="62"/>
      <c r="AQ1644" s="66"/>
      <c r="AR1644" s="62"/>
      <c r="AS1644" s="62"/>
      <c r="AT1644" s="62"/>
      <c r="AU1644" s="62"/>
      <c r="AV1644" s="66"/>
      <c r="AW1644" s="97"/>
    </row>
    <row r="1645" spans="23:49" x14ac:dyDescent="0.15">
      <c r="W1645" s="12"/>
      <c r="X1645" s="62"/>
      <c r="Y1645" s="62"/>
      <c r="Z1645" s="62"/>
      <c r="AA1645" s="62"/>
      <c r="AB1645" s="98"/>
      <c r="AC1645" s="62"/>
      <c r="AD1645" s="62"/>
      <c r="AE1645" s="62"/>
      <c r="AF1645" s="62"/>
      <c r="AG1645" s="66"/>
      <c r="AH1645" s="62"/>
      <c r="AI1645" s="62"/>
      <c r="AJ1645" s="62"/>
      <c r="AK1645" s="62"/>
      <c r="AL1645" s="66"/>
      <c r="AM1645" s="62"/>
      <c r="AN1645" s="62"/>
      <c r="AO1645" s="62"/>
      <c r="AP1645" s="62"/>
      <c r="AQ1645" s="66"/>
      <c r="AR1645" s="62"/>
      <c r="AS1645" s="62"/>
      <c r="AT1645" s="62"/>
      <c r="AU1645" s="62"/>
      <c r="AV1645" s="66"/>
      <c r="AW1645" s="97"/>
    </row>
    <row r="1646" spans="23:49" x14ac:dyDescent="0.15">
      <c r="W1646" s="12"/>
      <c r="X1646" s="62"/>
      <c r="Y1646" s="62"/>
      <c r="Z1646" s="62"/>
      <c r="AA1646" s="62"/>
      <c r="AB1646" s="98"/>
      <c r="AC1646" s="62"/>
      <c r="AD1646" s="62"/>
      <c r="AE1646" s="62"/>
      <c r="AF1646" s="62"/>
      <c r="AG1646" s="66"/>
      <c r="AH1646" s="62"/>
      <c r="AI1646" s="62"/>
      <c r="AJ1646" s="62"/>
      <c r="AK1646" s="62"/>
      <c r="AL1646" s="66"/>
      <c r="AM1646" s="62"/>
      <c r="AN1646" s="62"/>
      <c r="AO1646" s="62"/>
      <c r="AP1646" s="62"/>
      <c r="AQ1646" s="66"/>
      <c r="AR1646" s="62"/>
      <c r="AS1646" s="62"/>
      <c r="AT1646" s="62"/>
      <c r="AU1646" s="62"/>
      <c r="AV1646" s="66"/>
      <c r="AW1646" s="97"/>
    </row>
    <row r="1647" spans="23:49" x14ac:dyDescent="0.15">
      <c r="W1647" s="12"/>
      <c r="X1647" s="62"/>
      <c r="Y1647" s="62"/>
      <c r="Z1647" s="62"/>
      <c r="AA1647" s="62"/>
      <c r="AB1647" s="98"/>
      <c r="AC1647" s="62"/>
      <c r="AD1647" s="62"/>
      <c r="AE1647" s="62"/>
      <c r="AF1647" s="62"/>
      <c r="AG1647" s="66"/>
      <c r="AH1647" s="62"/>
      <c r="AI1647" s="62"/>
      <c r="AJ1647" s="62"/>
      <c r="AK1647" s="62"/>
      <c r="AL1647" s="66"/>
      <c r="AM1647" s="62"/>
      <c r="AN1647" s="62"/>
      <c r="AO1647" s="62"/>
      <c r="AP1647" s="62"/>
      <c r="AQ1647" s="66"/>
      <c r="AR1647" s="62"/>
      <c r="AS1647" s="62"/>
      <c r="AT1647" s="62"/>
      <c r="AU1647" s="62"/>
      <c r="AV1647" s="66"/>
      <c r="AW1647" s="97"/>
    </row>
    <row r="1648" spans="23:49" x14ac:dyDescent="0.15">
      <c r="W1648" s="12"/>
      <c r="X1648" s="62"/>
      <c r="Y1648" s="62"/>
      <c r="Z1648" s="62"/>
      <c r="AA1648" s="62"/>
      <c r="AB1648" s="98"/>
      <c r="AC1648" s="62"/>
      <c r="AD1648" s="62"/>
      <c r="AE1648" s="62"/>
      <c r="AF1648" s="62"/>
      <c r="AG1648" s="66"/>
      <c r="AH1648" s="62"/>
      <c r="AI1648" s="62"/>
      <c r="AJ1648" s="62"/>
      <c r="AK1648" s="62"/>
      <c r="AL1648" s="66"/>
      <c r="AM1648" s="62"/>
      <c r="AN1648" s="62"/>
      <c r="AO1648" s="62"/>
      <c r="AP1648" s="62"/>
      <c r="AQ1648" s="66"/>
      <c r="AR1648" s="62"/>
      <c r="AS1648" s="62"/>
      <c r="AT1648" s="62"/>
      <c r="AU1648" s="62"/>
      <c r="AV1648" s="66"/>
      <c r="AW1648" s="97"/>
    </row>
    <row r="1649" spans="23:49" x14ac:dyDescent="0.15">
      <c r="W1649" s="12"/>
      <c r="X1649" s="62"/>
      <c r="Y1649" s="62"/>
      <c r="Z1649" s="62"/>
      <c r="AA1649" s="62"/>
      <c r="AB1649" s="98"/>
      <c r="AC1649" s="62"/>
      <c r="AD1649" s="62"/>
      <c r="AE1649" s="62"/>
      <c r="AF1649" s="62"/>
      <c r="AG1649" s="66"/>
      <c r="AH1649" s="62"/>
      <c r="AI1649" s="62"/>
      <c r="AJ1649" s="62"/>
      <c r="AK1649" s="62"/>
      <c r="AL1649" s="66"/>
      <c r="AM1649" s="62"/>
      <c r="AN1649" s="62"/>
      <c r="AO1649" s="62"/>
      <c r="AP1649" s="62"/>
      <c r="AQ1649" s="66"/>
      <c r="AR1649" s="62"/>
      <c r="AS1649" s="62"/>
      <c r="AT1649" s="62"/>
      <c r="AU1649" s="62"/>
      <c r="AV1649" s="66"/>
      <c r="AW1649" s="97"/>
    </row>
    <row r="1650" spans="23:49" x14ac:dyDescent="0.15">
      <c r="W1650" s="12"/>
      <c r="X1650" s="62"/>
      <c r="Y1650" s="62"/>
      <c r="Z1650" s="62"/>
      <c r="AA1650" s="62"/>
      <c r="AB1650" s="98"/>
      <c r="AC1650" s="62"/>
      <c r="AD1650" s="62"/>
      <c r="AE1650" s="62"/>
      <c r="AF1650" s="62"/>
      <c r="AG1650" s="66"/>
      <c r="AH1650" s="62"/>
      <c r="AI1650" s="62"/>
      <c r="AJ1650" s="62"/>
      <c r="AK1650" s="62"/>
      <c r="AL1650" s="66"/>
      <c r="AM1650" s="62"/>
      <c r="AN1650" s="62"/>
      <c r="AO1650" s="62"/>
      <c r="AP1650" s="62"/>
      <c r="AQ1650" s="66"/>
      <c r="AR1650" s="62"/>
      <c r="AS1650" s="62"/>
      <c r="AT1650" s="62"/>
      <c r="AU1650" s="62"/>
      <c r="AV1650" s="66"/>
      <c r="AW1650" s="97"/>
    </row>
    <row r="1651" spans="23:49" x14ac:dyDescent="0.15">
      <c r="W1651" s="12"/>
      <c r="X1651" s="62"/>
      <c r="Y1651" s="62"/>
      <c r="Z1651" s="62"/>
      <c r="AA1651" s="62"/>
      <c r="AB1651" s="98"/>
      <c r="AC1651" s="62"/>
      <c r="AD1651" s="62"/>
      <c r="AE1651" s="62"/>
      <c r="AF1651" s="62"/>
      <c r="AG1651" s="66"/>
      <c r="AH1651" s="62"/>
      <c r="AI1651" s="62"/>
      <c r="AJ1651" s="62"/>
      <c r="AK1651" s="62"/>
      <c r="AL1651" s="66"/>
      <c r="AM1651" s="62"/>
      <c r="AN1651" s="62"/>
      <c r="AO1651" s="62"/>
      <c r="AP1651" s="62"/>
      <c r="AQ1651" s="66"/>
      <c r="AR1651" s="62"/>
      <c r="AS1651" s="62"/>
      <c r="AT1651" s="62"/>
      <c r="AU1651" s="62"/>
      <c r="AV1651" s="66"/>
      <c r="AW1651" s="97"/>
    </row>
    <row r="1652" spans="23:49" x14ac:dyDescent="0.15">
      <c r="W1652" s="12"/>
      <c r="X1652" s="62"/>
      <c r="Y1652" s="62"/>
      <c r="Z1652" s="62"/>
      <c r="AA1652" s="62"/>
      <c r="AB1652" s="98"/>
      <c r="AC1652" s="62"/>
      <c r="AD1652" s="62"/>
      <c r="AE1652" s="62"/>
      <c r="AF1652" s="62"/>
      <c r="AG1652" s="66"/>
      <c r="AH1652" s="62"/>
      <c r="AI1652" s="62"/>
      <c r="AJ1652" s="62"/>
      <c r="AK1652" s="62"/>
      <c r="AL1652" s="66"/>
      <c r="AM1652" s="62"/>
      <c r="AN1652" s="62"/>
      <c r="AO1652" s="62"/>
      <c r="AP1652" s="62"/>
      <c r="AQ1652" s="66"/>
      <c r="AR1652" s="62"/>
      <c r="AS1652" s="62"/>
      <c r="AT1652" s="62"/>
      <c r="AU1652" s="62"/>
      <c r="AV1652" s="66"/>
      <c r="AW1652" s="97"/>
    </row>
    <row r="1653" spans="23:49" x14ac:dyDescent="0.15">
      <c r="W1653" s="12"/>
      <c r="X1653" s="62"/>
      <c r="Y1653" s="62"/>
      <c r="Z1653" s="62"/>
      <c r="AA1653" s="62"/>
      <c r="AB1653" s="98"/>
      <c r="AC1653" s="62"/>
      <c r="AD1653" s="62"/>
      <c r="AE1653" s="62"/>
      <c r="AF1653" s="62"/>
      <c r="AG1653" s="66"/>
      <c r="AH1653" s="62"/>
      <c r="AI1653" s="62"/>
      <c r="AJ1653" s="62"/>
      <c r="AK1653" s="62"/>
      <c r="AL1653" s="66"/>
      <c r="AM1653" s="62"/>
      <c r="AN1653" s="62"/>
      <c r="AO1653" s="62"/>
      <c r="AP1653" s="62"/>
      <c r="AQ1653" s="66"/>
      <c r="AR1653" s="62"/>
      <c r="AS1653" s="62"/>
      <c r="AT1653" s="62"/>
      <c r="AU1653" s="62"/>
      <c r="AV1653" s="66"/>
      <c r="AW1653" s="97"/>
    </row>
    <row r="1654" spans="23:49" x14ac:dyDescent="0.15">
      <c r="W1654" s="12"/>
      <c r="X1654" s="62"/>
      <c r="Y1654" s="62"/>
      <c r="Z1654" s="62"/>
      <c r="AA1654" s="62"/>
      <c r="AB1654" s="98"/>
      <c r="AC1654" s="62"/>
      <c r="AD1654" s="62"/>
      <c r="AE1654" s="62"/>
      <c r="AF1654" s="62"/>
      <c r="AG1654" s="66"/>
      <c r="AH1654" s="62"/>
      <c r="AI1654" s="62"/>
      <c r="AJ1654" s="62"/>
      <c r="AK1654" s="62"/>
      <c r="AL1654" s="66"/>
      <c r="AM1654" s="62"/>
      <c r="AN1654" s="62"/>
      <c r="AO1654" s="62"/>
      <c r="AP1654" s="62"/>
      <c r="AQ1654" s="66"/>
      <c r="AR1654" s="62"/>
      <c r="AS1654" s="62"/>
      <c r="AT1654" s="62"/>
      <c r="AU1654" s="62"/>
      <c r="AV1654" s="66"/>
      <c r="AW1654" s="97"/>
    </row>
    <row r="1655" spans="23:49" x14ac:dyDescent="0.15">
      <c r="W1655" s="12"/>
      <c r="X1655" s="62"/>
      <c r="Y1655" s="62"/>
      <c r="Z1655" s="62"/>
      <c r="AA1655" s="62"/>
      <c r="AB1655" s="98"/>
      <c r="AC1655" s="62"/>
      <c r="AD1655" s="62"/>
      <c r="AE1655" s="62"/>
      <c r="AF1655" s="62"/>
      <c r="AG1655" s="66"/>
      <c r="AH1655" s="62"/>
      <c r="AI1655" s="62"/>
      <c r="AJ1655" s="62"/>
      <c r="AK1655" s="62"/>
      <c r="AL1655" s="66"/>
      <c r="AM1655" s="62"/>
      <c r="AN1655" s="62"/>
      <c r="AO1655" s="62"/>
      <c r="AP1655" s="62"/>
      <c r="AQ1655" s="66"/>
      <c r="AR1655" s="62"/>
      <c r="AS1655" s="62"/>
      <c r="AT1655" s="62"/>
      <c r="AU1655" s="62"/>
      <c r="AV1655" s="66"/>
      <c r="AW1655" s="97"/>
    </row>
    <row r="1656" spans="23:49" x14ac:dyDescent="0.15">
      <c r="W1656" s="12"/>
      <c r="X1656" s="62"/>
      <c r="Y1656" s="62"/>
      <c r="Z1656" s="62"/>
      <c r="AA1656" s="62"/>
      <c r="AB1656" s="98"/>
      <c r="AC1656" s="62"/>
      <c r="AD1656" s="62"/>
      <c r="AE1656" s="62"/>
      <c r="AF1656" s="62"/>
      <c r="AG1656" s="66"/>
      <c r="AH1656" s="62"/>
      <c r="AI1656" s="62"/>
      <c r="AJ1656" s="62"/>
      <c r="AK1656" s="62"/>
      <c r="AL1656" s="66"/>
      <c r="AM1656" s="62"/>
      <c r="AN1656" s="62"/>
      <c r="AO1656" s="62"/>
      <c r="AP1656" s="62"/>
      <c r="AQ1656" s="66"/>
      <c r="AR1656" s="62"/>
      <c r="AS1656" s="62"/>
      <c r="AT1656" s="62"/>
      <c r="AU1656" s="62"/>
      <c r="AV1656" s="66"/>
      <c r="AW1656" s="97"/>
    </row>
    <row r="1657" spans="23:49" x14ac:dyDescent="0.15">
      <c r="W1657" s="12"/>
      <c r="X1657" s="62"/>
      <c r="Y1657" s="62"/>
      <c r="Z1657" s="62"/>
      <c r="AA1657" s="62"/>
      <c r="AB1657" s="98"/>
      <c r="AC1657" s="62"/>
      <c r="AD1657" s="62"/>
      <c r="AE1657" s="62"/>
      <c r="AF1657" s="62"/>
      <c r="AG1657" s="66"/>
      <c r="AH1657" s="62"/>
      <c r="AI1657" s="62"/>
      <c r="AJ1657" s="62"/>
      <c r="AK1657" s="62"/>
      <c r="AL1657" s="66"/>
      <c r="AM1657" s="62"/>
      <c r="AN1657" s="62"/>
      <c r="AO1657" s="62"/>
      <c r="AP1657" s="62"/>
      <c r="AQ1657" s="66"/>
      <c r="AR1657" s="62"/>
      <c r="AS1657" s="62"/>
      <c r="AT1657" s="62"/>
      <c r="AU1657" s="62"/>
      <c r="AV1657" s="66"/>
      <c r="AW1657" s="97"/>
    </row>
    <row r="1658" spans="23:49" x14ac:dyDescent="0.15">
      <c r="W1658" s="12"/>
      <c r="X1658" s="62"/>
      <c r="Y1658" s="62"/>
      <c r="Z1658" s="62"/>
      <c r="AA1658" s="62"/>
      <c r="AB1658" s="98"/>
      <c r="AC1658" s="62"/>
      <c r="AD1658" s="62"/>
      <c r="AE1658" s="62"/>
      <c r="AF1658" s="62"/>
      <c r="AG1658" s="66"/>
      <c r="AH1658" s="62"/>
      <c r="AI1658" s="62"/>
      <c r="AJ1658" s="62"/>
      <c r="AK1658" s="62"/>
      <c r="AL1658" s="66"/>
      <c r="AM1658" s="62"/>
      <c r="AN1658" s="62"/>
      <c r="AO1658" s="62"/>
      <c r="AP1658" s="62"/>
      <c r="AQ1658" s="66"/>
      <c r="AR1658" s="62"/>
      <c r="AS1658" s="62"/>
      <c r="AT1658" s="62"/>
      <c r="AU1658" s="62"/>
      <c r="AV1658" s="66"/>
      <c r="AW1658" s="97"/>
    </row>
    <row r="1659" spans="23:49" x14ac:dyDescent="0.15">
      <c r="W1659" s="12"/>
      <c r="X1659" s="62"/>
      <c r="Y1659" s="62"/>
      <c r="Z1659" s="62"/>
      <c r="AA1659" s="62"/>
      <c r="AB1659" s="98"/>
      <c r="AC1659" s="62"/>
      <c r="AD1659" s="62"/>
      <c r="AE1659" s="62"/>
      <c r="AF1659" s="62"/>
      <c r="AG1659" s="66"/>
      <c r="AH1659" s="62"/>
      <c r="AI1659" s="62"/>
      <c r="AJ1659" s="62"/>
      <c r="AK1659" s="62"/>
      <c r="AL1659" s="66"/>
      <c r="AM1659" s="62"/>
      <c r="AN1659" s="62"/>
      <c r="AO1659" s="62"/>
      <c r="AP1659" s="62"/>
      <c r="AQ1659" s="66"/>
      <c r="AR1659" s="62"/>
      <c r="AS1659" s="62"/>
      <c r="AT1659" s="62"/>
      <c r="AU1659" s="62"/>
      <c r="AV1659" s="66"/>
      <c r="AW1659" s="97"/>
    </row>
    <row r="1660" spans="23:49" x14ac:dyDescent="0.15">
      <c r="W1660" s="12"/>
      <c r="X1660" s="62"/>
      <c r="Y1660" s="62"/>
      <c r="Z1660" s="62"/>
      <c r="AA1660" s="62"/>
      <c r="AB1660" s="98"/>
      <c r="AC1660" s="62"/>
      <c r="AD1660" s="62"/>
      <c r="AE1660" s="62"/>
      <c r="AF1660" s="62"/>
      <c r="AG1660" s="66"/>
      <c r="AH1660" s="62"/>
      <c r="AI1660" s="62"/>
      <c r="AJ1660" s="62"/>
      <c r="AK1660" s="62"/>
      <c r="AL1660" s="66"/>
      <c r="AM1660" s="62"/>
      <c r="AN1660" s="62"/>
      <c r="AO1660" s="62"/>
      <c r="AP1660" s="62"/>
      <c r="AQ1660" s="66"/>
      <c r="AR1660" s="62"/>
      <c r="AS1660" s="62"/>
      <c r="AT1660" s="62"/>
      <c r="AU1660" s="62"/>
      <c r="AV1660" s="66"/>
      <c r="AW1660" s="97"/>
    </row>
    <row r="1661" spans="23:49" x14ac:dyDescent="0.15">
      <c r="W1661" s="12"/>
      <c r="X1661" s="62"/>
      <c r="Y1661" s="62"/>
      <c r="Z1661" s="62"/>
      <c r="AA1661" s="62"/>
      <c r="AB1661" s="98"/>
      <c r="AC1661" s="62"/>
      <c r="AD1661" s="62"/>
      <c r="AE1661" s="62"/>
      <c r="AF1661" s="62"/>
      <c r="AG1661" s="66"/>
      <c r="AH1661" s="62"/>
      <c r="AI1661" s="62"/>
      <c r="AJ1661" s="62"/>
      <c r="AK1661" s="62"/>
      <c r="AL1661" s="66"/>
      <c r="AM1661" s="62"/>
      <c r="AN1661" s="62"/>
      <c r="AO1661" s="62"/>
      <c r="AP1661" s="62"/>
      <c r="AQ1661" s="66"/>
      <c r="AR1661" s="62"/>
      <c r="AS1661" s="62"/>
      <c r="AT1661" s="62"/>
      <c r="AU1661" s="62"/>
      <c r="AV1661" s="66"/>
      <c r="AW1661" s="97"/>
    </row>
    <row r="1662" spans="23:49" x14ac:dyDescent="0.15">
      <c r="W1662" s="12"/>
      <c r="X1662" s="62"/>
      <c r="Y1662" s="62"/>
      <c r="Z1662" s="62"/>
      <c r="AA1662" s="62"/>
      <c r="AB1662" s="98"/>
      <c r="AC1662" s="62"/>
      <c r="AD1662" s="62"/>
      <c r="AE1662" s="62"/>
      <c r="AF1662" s="62"/>
      <c r="AG1662" s="66"/>
      <c r="AH1662" s="62"/>
      <c r="AI1662" s="62"/>
      <c r="AJ1662" s="62"/>
      <c r="AK1662" s="62"/>
      <c r="AL1662" s="66"/>
      <c r="AM1662" s="62"/>
      <c r="AN1662" s="62"/>
      <c r="AO1662" s="62"/>
      <c r="AP1662" s="62"/>
      <c r="AQ1662" s="66"/>
      <c r="AR1662" s="62"/>
      <c r="AS1662" s="62"/>
      <c r="AT1662" s="62"/>
      <c r="AU1662" s="62"/>
      <c r="AV1662" s="66"/>
      <c r="AW1662" s="97"/>
    </row>
    <row r="1663" spans="23:49" x14ac:dyDescent="0.15">
      <c r="W1663" s="12"/>
      <c r="X1663" s="62"/>
      <c r="Y1663" s="62"/>
      <c r="Z1663" s="62"/>
      <c r="AA1663" s="62"/>
      <c r="AB1663" s="98"/>
      <c r="AC1663" s="62"/>
      <c r="AD1663" s="62"/>
      <c r="AE1663" s="62"/>
      <c r="AF1663" s="62"/>
      <c r="AG1663" s="66"/>
      <c r="AH1663" s="62"/>
      <c r="AI1663" s="62"/>
      <c r="AJ1663" s="62"/>
      <c r="AK1663" s="62"/>
      <c r="AL1663" s="66"/>
      <c r="AM1663" s="62"/>
      <c r="AN1663" s="62"/>
      <c r="AO1663" s="62"/>
      <c r="AP1663" s="62"/>
      <c r="AQ1663" s="66"/>
      <c r="AR1663" s="62"/>
      <c r="AS1663" s="62"/>
      <c r="AT1663" s="62"/>
      <c r="AU1663" s="62"/>
      <c r="AV1663" s="66"/>
      <c r="AW1663" s="97"/>
    </row>
    <row r="1664" spans="23:49" x14ac:dyDescent="0.15">
      <c r="W1664" s="12"/>
      <c r="X1664" s="62"/>
      <c r="Y1664" s="62"/>
      <c r="Z1664" s="62"/>
      <c r="AA1664" s="62"/>
      <c r="AB1664" s="98"/>
      <c r="AC1664" s="62"/>
      <c r="AD1664" s="62"/>
      <c r="AE1664" s="62"/>
      <c r="AF1664" s="62"/>
      <c r="AG1664" s="66"/>
      <c r="AH1664" s="62"/>
      <c r="AI1664" s="62"/>
      <c r="AJ1664" s="62"/>
      <c r="AK1664" s="62"/>
      <c r="AL1664" s="66"/>
      <c r="AM1664" s="62"/>
      <c r="AN1664" s="62"/>
      <c r="AO1664" s="62"/>
      <c r="AP1664" s="62"/>
      <c r="AQ1664" s="66"/>
      <c r="AR1664" s="62"/>
      <c r="AS1664" s="62"/>
      <c r="AT1664" s="62"/>
      <c r="AU1664" s="62"/>
      <c r="AV1664" s="66"/>
      <c r="AW1664" s="97"/>
    </row>
    <row r="1665" spans="23:49" x14ac:dyDescent="0.15">
      <c r="W1665" s="12"/>
      <c r="X1665" s="62"/>
      <c r="Y1665" s="62"/>
      <c r="Z1665" s="62"/>
      <c r="AA1665" s="62"/>
      <c r="AB1665" s="98"/>
      <c r="AC1665" s="62"/>
      <c r="AD1665" s="62"/>
      <c r="AE1665" s="62"/>
      <c r="AF1665" s="62"/>
      <c r="AG1665" s="66"/>
      <c r="AH1665" s="62"/>
      <c r="AI1665" s="62"/>
      <c r="AJ1665" s="62"/>
      <c r="AK1665" s="62"/>
      <c r="AL1665" s="66"/>
      <c r="AM1665" s="62"/>
      <c r="AN1665" s="62"/>
      <c r="AO1665" s="62"/>
      <c r="AP1665" s="62"/>
      <c r="AQ1665" s="66"/>
      <c r="AR1665" s="62"/>
      <c r="AS1665" s="62"/>
      <c r="AT1665" s="62"/>
      <c r="AU1665" s="62"/>
      <c r="AV1665" s="66"/>
      <c r="AW1665" s="97"/>
    </row>
    <row r="1666" spans="23:49" x14ac:dyDescent="0.15">
      <c r="W1666" s="12"/>
      <c r="X1666" s="62"/>
      <c r="Y1666" s="62"/>
      <c r="Z1666" s="62"/>
      <c r="AA1666" s="62"/>
      <c r="AB1666" s="98"/>
      <c r="AC1666" s="62"/>
      <c r="AD1666" s="62"/>
      <c r="AE1666" s="62"/>
      <c r="AF1666" s="62"/>
      <c r="AG1666" s="66"/>
      <c r="AH1666" s="62"/>
      <c r="AI1666" s="62"/>
      <c r="AJ1666" s="62"/>
      <c r="AK1666" s="62"/>
      <c r="AL1666" s="66"/>
      <c r="AM1666" s="62"/>
      <c r="AN1666" s="62"/>
      <c r="AO1666" s="62"/>
      <c r="AP1666" s="62"/>
      <c r="AQ1666" s="66"/>
      <c r="AR1666" s="62"/>
      <c r="AS1666" s="62"/>
      <c r="AT1666" s="62"/>
      <c r="AU1666" s="62"/>
      <c r="AV1666" s="66"/>
      <c r="AW1666" s="97"/>
    </row>
    <row r="1667" spans="23:49" x14ac:dyDescent="0.15">
      <c r="W1667" s="12"/>
      <c r="X1667" s="62"/>
      <c r="Y1667" s="62"/>
      <c r="Z1667" s="62"/>
      <c r="AA1667" s="62"/>
      <c r="AB1667" s="98"/>
      <c r="AC1667" s="62"/>
      <c r="AD1667" s="62"/>
      <c r="AE1667" s="62"/>
      <c r="AF1667" s="62"/>
      <c r="AG1667" s="66"/>
      <c r="AH1667" s="62"/>
      <c r="AI1667" s="62"/>
      <c r="AJ1667" s="62"/>
      <c r="AK1667" s="62"/>
      <c r="AL1667" s="66"/>
      <c r="AM1667" s="62"/>
      <c r="AN1667" s="62"/>
      <c r="AO1667" s="62"/>
      <c r="AP1667" s="62"/>
      <c r="AQ1667" s="66"/>
      <c r="AR1667" s="62"/>
      <c r="AS1667" s="62"/>
      <c r="AT1667" s="62"/>
      <c r="AU1667" s="62"/>
      <c r="AV1667" s="66"/>
      <c r="AW1667" s="97"/>
    </row>
    <row r="1668" spans="23:49" x14ac:dyDescent="0.15">
      <c r="W1668" s="12"/>
      <c r="X1668" s="62"/>
      <c r="Y1668" s="62"/>
      <c r="Z1668" s="62"/>
      <c r="AA1668" s="62"/>
      <c r="AB1668" s="98"/>
      <c r="AC1668" s="62"/>
      <c r="AD1668" s="62"/>
      <c r="AE1668" s="62"/>
      <c r="AF1668" s="62"/>
      <c r="AG1668" s="66"/>
      <c r="AH1668" s="62"/>
      <c r="AI1668" s="62"/>
      <c r="AJ1668" s="62"/>
      <c r="AK1668" s="62"/>
      <c r="AL1668" s="66"/>
      <c r="AM1668" s="62"/>
      <c r="AN1668" s="62"/>
      <c r="AO1668" s="62"/>
      <c r="AP1668" s="62"/>
      <c r="AQ1668" s="66"/>
      <c r="AR1668" s="62"/>
      <c r="AS1668" s="62"/>
      <c r="AT1668" s="62"/>
      <c r="AU1668" s="62"/>
      <c r="AV1668" s="66"/>
      <c r="AW1668" s="97"/>
    </row>
    <row r="1669" spans="23:49" x14ac:dyDescent="0.15">
      <c r="W1669" s="12"/>
      <c r="X1669" s="62"/>
      <c r="Y1669" s="62"/>
      <c r="Z1669" s="62"/>
      <c r="AA1669" s="62"/>
      <c r="AB1669" s="98"/>
      <c r="AC1669" s="62"/>
      <c r="AD1669" s="62"/>
      <c r="AE1669" s="62"/>
      <c r="AF1669" s="62"/>
      <c r="AG1669" s="66"/>
      <c r="AH1669" s="62"/>
      <c r="AI1669" s="62"/>
      <c r="AJ1669" s="62"/>
      <c r="AK1669" s="62"/>
      <c r="AL1669" s="66"/>
      <c r="AM1669" s="62"/>
      <c r="AN1669" s="62"/>
      <c r="AO1669" s="62"/>
      <c r="AP1669" s="62"/>
      <c r="AQ1669" s="66"/>
      <c r="AR1669" s="62"/>
      <c r="AS1669" s="62"/>
      <c r="AT1669" s="62"/>
      <c r="AU1669" s="62"/>
      <c r="AV1669" s="66"/>
      <c r="AW1669" s="97"/>
    </row>
    <row r="1670" spans="23:49" x14ac:dyDescent="0.15">
      <c r="W1670" s="12"/>
      <c r="X1670" s="62"/>
      <c r="Y1670" s="62"/>
      <c r="Z1670" s="62"/>
      <c r="AA1670" s="62"/>
      <c r="AB1670" s="98"/>
      <c r="AC1670" s="62"/>
      <c r="AD1670" s="62"/>
      <c r="AE1670" s="62"/>
      <c r="AF1670" s="62"/>
      <c r="AG1670" s="66"/>
      <c r="AH1670" s="62"/>
      <c r="AI1670" s="62"/>
      <c r="AJ1670" s="62"/>
      <c r="AK1670" s="62"/>
      <c r="AL1670" s="66"/>
      <c r="AM1670" s="62"/>
      <c r="AN1670" s="62"/>
      <c r="AO1670" s="62"/>
      <c r="AP1670" s="62"/>
      <c r="AQ1670" s="66"/>
      <c r="AR1670" s="62"/>
      <c r="AS1670" s="62"/>
      <c r="AT1670" s="62"/>
      <c r="AU1670" s="62"/>
      <c r="AV1670" s="66"/>
      <c r="AW1670" s="97"/>
    </row>
    <row r="1671" spans="23:49" x14ac:dyDescent="0.15">
      <c r="W1671" s="12"/>
      <c r="X1671" s="62"/>
      <c r="Y1671" s="62"/>
      <c r="Z1671" s="62"/>
      <c r="AA1671" s="62"/>
      <c r="AB1671" s="98"/>
      <c r="AC1671" s="62"/>
      <c r="AD1671" s="62"/>
      <c r="AE1671" s="62"/>
      <c r="AF1671" s="62"/>
      <c r="AG1671" s="66"/>
      <c r="AH1671" s="62"/>
      <c r="AI1671" s="62"/>
      <c r="AJ1671" s="62"/>
      <c r="AK1671" s="62"/>
      <c r="AL1671" s="66"/>
      <c r="AM1671" s="62"/>
      <c r="AN1671" s="62"/>
      <c r="AO1671" s="62"/>
      <c r="AP1671" s="62"/>
      <c r="AQ1671" s="66"/>
      <c r="AR1671" s="62"/>
      <c r="AS1671" s="62"/>
      <c r="AT1671" s="62"/>
      <c r="AU1671" s="62"/>
      <c r="AV1671" s="66"/>
      <c r="AW1671" s="97"/>
    </row>
    <row r="1672" spans="23:49" x14ac:dyDescent="0.15">
      <c r="W1672" s="12"/>
      <c r="X1672" s="62"/>
      <c r="Y1672" s="62"/>
      <c r="Z1672" s="62"/>
      <c r="AA1672" s="62"/>
      <c r="AB1672" s="98"/>
      <c r="AC1672" s="62"/>
      <c r="AD1672" s="62"/>
      <c r="AE1672" s="62"/>
      <c r="AF1672" s="62"/>
      <c r="AG1672" s="66"/>
      <c r="AH1672" s="62"/>
      <c r="AI1672" s="62"/>
      <c r="AJ1672" s="62"/>
      <c r="AK1672" s="62"/>
      <c r="AL1672" s="66"/>
      <c r="AM1672" s="62"/>
      <c r="AN1672" s="62"/>
      <c r="AO1672" s="62"/>
      <c r="AP1672" s="62"/>
      <c r="AQ1672" s="66"/>
      <c r="AR1672" s="62"/>
      <c r="AS1672" s="62"/>
      <c r="AT1672" s="62"/>
      <c r="AU1672" s="62"/>
      <c r="AV1672" s="66"/>
      <c r="AW1672" s="97"/>
    </row>
    <row r="1673" spans="23:49" x14ac:dyDescent="0.15">
      <c r="W1673" s="12"/>
      <c r="X1673" s="62"/>
      <c r="Y1673" s="62"/>
      <c r="Z1673" s="62"/>
      <c r="AA1673" s="62"/>
      <c r="AB1673" s="98"/>
      <c r="AC1673" s="62"/>
      <c r="AD1673" s="62"/>
      <c r="AE1673" s="62"/>
      <c r="AF1673" s="62"/>
      <c r="AG1673" s="66"/>
      <c r="AH1673" s="62"/>
      <c r="AI1673" s="62"/>
      <c r="AJ1673" s="62"/>
      <c r="AK1673" s="62"/>
      <c r="AL1673" s="66"/>
      <c r="AM1673" s="62"/>
      <c r="AN1673" s="62"/>
      <c r="AO1673" s="62"/>
      <c r="AP1673" s="62"/>
      <c r="AQ1673" s="66"/>
      <c r="AR1673" s="62"/>
      <c r="AS1673" s="62"/>
      <c r="AT1673" s="62"/>
      <c r="AU1673" s="62"/>
      <c r="AV1673" s="66"/>
      <c r="AW1673" s="97"/>
    </row>
    <row r="1674" spans="23:49" x14ac:dyDescent="0.15">
      <c r="W1674" s="12"/>
      <c r="X1674" s="62"/>
      <c r="Y1674" s="62"/>
      <c r="Z1674" s="62"/>
      <c r="AA1674" s="62"/>
      <c r="AB1674" s="98"/>
      <c r="AC1674" s="62"/>
      <c r="AD1674" s="62"/>
      <c r="AE1674" s="62"/>
      <c r="AF1674" s="62"/>
      <c r="AG1674" s="66"/>
      <c r="AH1674" s="62"/>
      <c r="AI1674" s="62"/>
      <c r="AJ1674" s="62"/>
      <c r="AK1674" s="62"/>
      <c r="AL1674" s="66"/>
      <c r="AM1674" s="62"/>
      <c r="AN1674" s="62"/>
      <c r="AO1674" s="62"/>
      <c r="AP1674" s="62"/>
      <c r="AQ1674" s="66"/>
      <c r="AR1674" s="62"/>
      <c r="AS1674" s="62"/>
      <c r="AT1674" s="62"/>
      <c r="AU1674" s="62"/>
      <c r="AV1674" s="66"/>
      <c r="AW1674" s="97"/>
    </row>
    <row r="1675" spans="23:49" x14ac:dyDescent="0.15">
      <c r="W1675" s="12"/>
      <c r="X1675" s="62"/>
      <c r="Y1675" s="62"/>
      <c r="Z1675" s="62"/>
      <c r="AA1675" s="62"/>
      <c r="AB1675" s="98"/>
      <c r="AC1675" s="62"/>
      <c r="AD1675" s="62"/>
      <c r="AE1675" s="62"/>
      <c r="AF1675" s="62"/>
      <c r="AG1675" s="66"/>
      <c r="AH1675" s="62"/>
      <c r="AI1675" s="62"/>
      <c r="AJ1675" s="62"/>
      <c r="AK1675" s="62"/>
      <c r="AL1675" s="66"/>
      <c r="AM1675" s="62"/>
      <c r="AN1675" s="62"/>
      <c r="AO1675" s="62"/>
      <c r="AP1675" s="62"/>
      <c r="AQ1675" s="66"/>
      <c r="AR1675" s="62"/>
      <c r="AS1675" s="62"/>
      <c r="AT1675" s="62"/>
      <c r="AU1675" s="62"/>
      <c r="AV1675" s="66"/>
      <c r="AW1675" s="97"/>
    </row>
    <row r="1676" spans="23:49" x14ac:dyDescent="0.15">
      <c r="W1676" s="12"/>
      <c r="X1676" s="62"/>
      <c r="Y1676" s="62"/>
      <c r="Z1676" s="62"/>
      <c r="AA1676" s="62"/>
      <c r="AB1676" s="98"/>
      <c r="AC1676" s="62"/>
      <c r="AD1676" s="62"/>
      <c r="AE1676" s="62"/>
      <c r="AF1676" s="62"/>
      <c r="AG1676" s="66"/>
      <c r="AH1676" s="62"/>
      <c r="AI1676" s="62"/>
      <c r="AJ1676" s="62"/>
      <c r="AK1676" s="62"/>
      <c r="AL1676" s="66"/>
      <c r="AM1676" s="62"/>
      <c r="AN1676" s="62"/>
      <c r="AO1676" s="62"/>
      <c r="AP1676" s="62"/>
      <c r="AQ1676" s="66"/>
      <c r="AR1676" s="62"/>
      <c r="AS1676" s="62"/>
      <c r="AT1676" s="62"/>
      <c r="AU1676" s="62"/>
      <c r="AV1676" s="66"/>
      <c r="AW1676" s="97"/>
    </row>
    <row r="1677" spans="23:49" x14ac:dyDescent="0.15">
      <c r="W1677" s="12"/>
      <c r="X1677" s="62"/>
      <c r="Y1677" s="62"/>
      <c r="Z1677" s="62"/>
      <c r="AA1677" s="62"/>
      <c r="AB1677" s="98"/>
      <c r="AC1677" s="62"/>
      <c r="AD1677" s="62"/>
      <c r="AE1677" s="62"/>
      <c r="AF1677" s="62"/>
      <c r="AG1677" s="66"/>
      <c r="AH1677" s="62"/>
      <c r="AI1677" s="62"/>
      <c r="AJ1677" s="62"/>
      <c r="AK1677" s="62"/>
      <c r="AL1677" s="66"/>
      <c r="AM1677" s="62"/>
      <c r="AN1677" s="62"/>
      <c r="AO1677" s="62"/>
      <c r="AP1677" s="62"/>
      <c r="AQ1677" s="66"/>
      <c r="AR1677" s="62"/>
      <c r="AS1677" s="62"/>
      <c r="AT1677" s="62"/>
      <c r="AU1677" s="62"/>
      <c r="AV1677" s="66"/>
      <c r="AW1677" s="97"/>
    </row>
    <row r="1678" spans="23:49" x14ac:dyDescent="0.15">
      <c r="W1678" s="12"/>
      <c r="X1678" s="62"/>
      <c r="Y1678" s="62"/>
      <c r="Z1678" s="62"/>
      <c r="AA1678" s="62"/>
      <c r="AB1678" s="98"/>
      <c r="AC1678" s="62"/>
      <c r="AD1678" s="62"/>
      <c r="AE1678" s="62"/>
      <c r="AF1678" s="62"/>
      <c r="AG1678" s="66"/>
      <c r="AH1678" s="62"/>
      <c r="AI1678" s="62"/>
      <c r="AJ1678" s="62"/>
      <c r="AK1678" s="62"/>
      <c r="AL1678" s="66"/>
      <c r="AM1678" s="62"/>
      <c r="AN1678" s="62"/>
      <c r="AO1678" s="62"/>
      <c r="AP1678" s="62"/>
      <c r="AQ1678" s="66"/>
      <c r="AR1678" s="62"/>
      <c r="AS1678" s="62"/>
      <c r="AT1678" s="62"/>
      <c r="AU1678" s="62"/>
      <c r="AV1678" s="66"/>
      <c r="AW1678" s="97"/>
    </row>
    <row r="1679" spans="23:49" x14ac:dyDescent="0.15">
      <c r="W1679" s="12"/>
      <c r="X1679" s="62"/>
      <c r="Y1679" s="62"/>
      <c r="Z1679" s="62"/>
      <c r="AA1679" s="62"/>
      <c r="AB1679" s="98"/>
      <c r="AC1679" s="62"/>
      <c r="AD1679" s="62"/>
      <c r="AE1679" s="62"/>
      <c r="AF1679" s="62"/>
      <c r="AG1679" s="66"/>
      <c r="AH1679" s="62"/>
      <c r="AI1679" s="62"/>
      <c r="AJ1679" s="62"/>
      <c r="AK1679" s="62"/>
      <c r="AL1679" s="66"/>
      <c r="AM1679" s="62"/>
      <c r="AN1679" s="62"/>
      <c r="AO1679" s="62"/>
      <c r="AP1679" s="62"/>
      <c r="AQ1679" s="66"/>
      <c r="AR1679" s="62"/>
      <c r="AS1679" s="62"/>
      <c r="AT1679" s="62"/>
      <c r="AU1679" s="62"/>
      <c r="AV1679" s="66"/>
      <c r="AW1679" s="97"/>
    </row>
    <row r="1680" spans="23:49" x14ac:dyDescent="0.15">
      <c r="W1680" s="12"/>
      <c r="X1680" s="62"/>
      <c r="Y1680" s="62"/>
      <c r="Z1680" s="62"/>
      <c r="AA1680" s="62"/>
      <c r="AB1680" s="98"/>
      <c r="AC1680" s="62"/>
      <c r="AD1680" s="62"/>
      <c r="AE1680" s="62"/>
      <c r="AF1680" s="62"/>
      <c r="AG1680" s="66"/>
      <c r="AH1680" s="62"/>
      <c r="AI1680" s="62"/>
      <c r="AJ1680" s="62"/>
      <c r="AK1680" s="62"/>
      <c r="AL1680" s="66"/>
      <c r="AM1680" s="62"/>
      <c r="AN1680" s="62"/>
      <c r="AO1680" s="62"/>
      <c r="AP1680" s="62"/>
      <c r="AQ1680" s="66"/>
      <c r="AR1680" s="62"/>
      <c r="AS1680" s="62"/>
      <c r="AT1680" s="62"/>
      <c r="AU1680" s="62"/>
      <c r="AV1680" s="66"/>
      <c r="AW1680" s="97"/>
    </row>
    <row r="1681" spans="23:49" x14ac:dyDescent="0.15">
      <c r="W1681" s="12"/>
      <c r="X1681" s="62"/>
      <c r="Y1681" s="62"/>
      <c r="Z1681" s="62"/>
      <c r="AA1681" s="62"/>
      <c r="AB1681" s="98"/>
      <c r="AC1681" s="62"/>
      <c r="AD1681" s="62"/>
      <c r="AE1681" s="62"/>
      <c r="AF1681" s="62"/>
      <c r="AG1681" s="66"/>
      <c r="AH1681" s="62"/>
      <c r="AI1681" s="62"/>
      <c r="AJ1681" s="62"/>
      <c r="AK1681" s="62"/>
      <c r="AL1681" s="66"/>
      <c r="AM1681" s="62"/>
      <c r="AN1681" s="62"/>
      <c r="AO1681" s="62"/>
      <c r="AP1681" s="62"/>
      <c r="AQ1681" s="66"/>
      <c r="AR1681" s="62"/>
      <c r="AS1681" s="62"/>
      <c r="AT1681" s="62"/>
      <c r="AU1681" s="62"/>
      <c r="AV1681" s="66"/>
      <c r="AW1681" s="97"/>
    </row>
    <row r="1682" spans="23:49" x14ac:dyDescent="0.15">
      <c r="W1682" s="12"/>
      <c r="X1682" s="62"/>
      <c r="Y1682" s="62"/>
      <c r="Z1682" s="62"/>
      <c r="AA1682" s="62"/>
      <c r="AB1682" s="98"/>
      <c r="AC1682" s="62"/>
      <c r="AD1682" s="62"/>
      <c r="AE1682" s="62"/>
      <c r="AF1682" s="62"/>
      <c r="AG1682" s="66"/>
      <c r="AH1682" s="62"/>
      <c r="AI1682" s="62"/>
      <c r="AJ1682" s="62"/>
      <c r="AK1682" s="62"/>
      <c r="AL1682" s="66"/>
      <c r="AM1682" s="62"/>
      <c r="AN1682" s="62"/>
      <c r="AO1682" s="62"/>
      <c r="AP1682" s="62"/>
      <c r="AQ1682" s="66"/>
      <c r="AR1682" s="62"/>
      <c r="AS1682" s="62"/>
      <c r="AT1682" s="62"/>
      <c r="AU1682" s="62"/>
      <c r="AV1682" s="66"/>
      <c r="AW1682" s="97"/>
    </row>
    <row r="1683" spans="23:49" x14ac:dyDescent="0.15">
      <c r="W1683" s="12"/>
      <c r="X1683" s="62"/>
      <c r="Y1683" s="62"/>
      <c r="Z1683" s="62"/>
      <c r="AA1683" s="62"/>
      <c r="AB1683" s="98"/>
      <c r="AC1683" s="62"/>
      <c r="AD1683" s="62"/>
      <c r="AE1683" s="62"/>
      <c r="AF1683" s="62"/>
      <c r="AG1683" s="66"/>
      <c r="AH1683" s="62"/>
      <c r="AI1683" s="62"/>
      <c r="AJ1683" s="62"/>
      <c r="AK1683" s="62"/>
      <c r="AL1683" s="66"/>
      <c r="AM1683" s="62"/>
      <c r="AN1683" s="62"/>
      <c r="AO1683" s="62"/>
      <c r="AP1683" s="62"/>
      <c r="AQ1683" s="66"/>
      <c r="AR1683" s="62"/>
      <c r="AS1683" s="62"/>
      <c r="AT1683" s="62"/>
      <c r="AU1683" s="62"/>
      <c r="AV1683" s="66"/>
      <c r="AW1683" s="97"/>
    </row>
    <row r="1684" spans="23:49" x14ac:dyDescent="0.15">
      <c r="W1684" s="12"/>
      <c r="X1684" s="62"/>
      <c r="Y1684" s="62"/>
      <c r="Z1684" s="62"/>
      <c r="AA1684" s="62"/>
      <c r="AB1684" s="98"/>
      <c r="AC1684" s="62"/>
      <c r="AD1684" s="62"/>
      <c r="AE1684" s="62"/>
      <c r="AF1684" s="62"/>
      <c r="AG1684" s="66"/>
      <c r="AH1684" s="62"/>
      <c r="AI1684" s="62"/>
      <c r="AJ1684" s="62"/>
      <c r="AK1684" s="62"/>
      <c r="AL1684" s="66"/>
      <c r="AM1684" s="62"/>
      <c r="AN1684" s="62"/>
      <c r="AO1684" s="62"/>
      <c r="AP1684" s="62"/>
      <c r="AQ1684" s="66"/>
      <c r="AR1684" s="62"/>
      <c r="AS1684" s="62"/>
      <c r="AT1684" s="62"/>
      <c r="AU1684" s="62"/>
      <c r="AV1684" s="66"/>
      <c r="AW1684" s="97"/>
    </row>
    <row r="1685" spans="23:49" x14ac:dyDescent="0.15">
      <c r="W1685" s="12"/>
      <c r="X1685" s="62"/>
      <c r="Y1685" s="62"/>
      <c r="Z1685" s="62"/>
      <c r="AA1685" s="62"/>
      <c r="AB1685" s="98"/>
      <c r="AC1685" s="62"/>
      <c r="AD1685" s="62"/>
      <c r="AE1685" s="62"/>
      <c r="AF1685" s="62"/>
      <c r="AG1685" s="66"/>
      <c r="AH1685" s="62"/>
      <c r="AI1685" s="62"/>
      <c r="AJ1685" s="62"/>
      <c r="AK1685" s="62"/>
      <c r="AL1685" s="66"/>
      <c r="AM1685" s="62"/>
      <c r="AN1685" s="62"/>
      <c r="AO1685" s="62"/>
      <c r="AP1685" s="62"/>
      <c r="AQ1685" s="66"/>
      <c r="AR1685" s="62"/>
      <c r="AS1685" s="62"/>
      <c r="AT1685" s="62"/>
      <c r="AU1685" s="62"/>
      <c r="AV1685" s="66"/>
      <c r="AW1685" s="97"/>
    </row>
    <row r="1686" spans="23:49" x14ac:dyDescent="0.15">
      <c r="W1686" s="12"/>
      <c r="X1686" s="62"/>
      <c r="Y1686" s="62"/>
      <c r="Z1686" s="62"/>
      <c r="AA1686" s="62"/>
      <c r="AB1686" s="98"/>
      <c r="AC1686" s="62"/>
      <c r="AD1686" s="62"/>
      <c r="AE1686" s="62"/>
      <c r="AF1686" s="62"/>
      <c r="AG1686" s="66"/>
      <c r="AH1686" s="62"/>
      <c r="AI1686" s="62"/>
      <c r="AJ1686" s="62"/>
      <c r="AK1686" s="62"/>
      <c r="AL1686" s="66"/>
      <c r="AM1686" s="62"/>
      <c r="AN1686" s="62"/>
      <c r="AO1686" s="62"/>
      <c r="AP1686" s="62"/>
      <c r="AQ1686" s="66"/>
      <c r="AR1686" s="62"/>
      <c r="AS1686" s="62"/>
      <c r="AT1686" s="62"/>
      <c r="AU1686" s="62"/>
      <c r="AV1686" s="66"/>
      <c r="AW1686" s="97"/>
    </row>
    <row r="1687" spans="23:49" x14ac:dyDescent="0.15">
      <c r="W1687" s="12"/>
      <c r="X1687" s="62"/>
      <c r="Y1687" s="62"/>
      <c r="Z1687" s="62"/>
      <c r="AA1687" s="62"/>
      <c r="AB1687" s="98"/>
      <c r="AC1687" s="62"/>
      <c r="AD1687" s="62"/>
      <c r="AE1687" s="62"/>
      <c r="AF1687" s="62"/>
      <c r="AG1687" s="66"/>
      <c r="AH1687" s="62"/>
      <c r="AI1687" s="62"/>
      <c r="AJ1687" s="62"/>
      <c r="AK1687" s="62"/>
      <c r="AL1687" s="66"/>
      <c r="AM1687" s="62"/>
      <c r="AN1687" s="62"/>
      <c r="AO1687" s="62"/>
      <c r="AP1687" s="62"/>
      <c r="AQ1687" s="66"/>
      <c r="AR1687" s="62"/>
      <c r="AS1687" s="62"/>
      <c r="AT1687" s="62"/>
      <c r="AU1687" s="62"/>
      <c r="AV1687" s="66"/>
      <c r="AW1687" s="97"/>
    </row>
    <row r="1688" spans="23:49" x14ac:dyDescent="0.15">
      <c r="W1688" s="12"/>
      <c r="X1688" s="62"/>
      <c r="Y1688" s="62"/>
      <c r="Z1688" s="62"/>
      <c r="AA1688" s="62"/>
      <c r="AB1688" s="98"/>
      <c r="AC1688" s="62"/>
      <c r="AD1688" s="62"/>
      <c r="AE1688" s="62"/>
      <c r="AF1688" s="62"/>
      <c r="AG1688" s="66"/>
      <c r="AH1688" s="62"/>
      <c r="AI1688" s="62"/>
      <c r="AJ1688" s="62"/>
      <c r="AK1688" s="62"/>
      <c r="AL1688" s="66"/>
      <c r="AM1688" s="62"/>
      <c r="AN1688" s="62"/>
      <c r="AO1688" s="62"/>
      <c r="AP1688" s="62"/>
      <c r="AQ1688" s="66"/>
      <c r="AR1688" s="62"/>
      <c r="AS1688" s="62"/>
      <c r="AT1688" s="62"/>
      <c r="AU1688" s="62"/>
      <c r="AV1688" s="66"/>
      <c r="AW1688" s="97"/>
    </row>
    <row r="1689" spans="23:49" x14ac:dyDescent="0.15">
      <c r="W1689" s="12"/>
      <c r="X1689" s="62"/>
      <c r="Y1689" s="62"/>
      <c r="Z1689" s="62"/>
      <c r="AA1689" s="62"/>
      <c r="AB1689" s="98"/>
      <c r="AC1689" s="62"/>
      <c r="AD1689" s="62"/>
      <c r="AE1689" s="62"/>
      <c r="AF1689" s="62"/>
      <c r="AG1689" s="66"/>
      <c r="AH1689" s="62"/>
      <c r="AI1689" s="62"/>
      <c r="AJ1689" s="62"/>
      <c r="AK1689" s="62"/>
      <c r="AL1689" s="66"/>
      <c r="AM1689" s="62"/>
      <c r="AN1689" s="62"/>
      <c r="AO1689" s="62"/>
      <c r="AP1689" s="62"/>
      <c r="AQ1689" s="66"/>
      <c r="AR1689" s="62"/>
      <c r="AS1689" s="62"/>
      <c r="AT1689" s="62"/>
      <c r="AU1689" s="62"/>
      <c r="AV1689" s="66"/>
      <c r="AW1689" s="97"/>
    </row>
    <row r="1690" spans="23:49" x14ac:dyDescent="0.15">
      <c r="W1690" s="12"/>
      <c r="X1690" s="62"/>
      <c r="Y1690" s="62"/>
      <c r="Z1690" s="62"/>
      <c r="AA1690" s="62"/>
      <c r="AB1690" s="98"/>
      <c r="AC1690" s="62"/>
      <c r="AD1690" s="62"/>
      <c r="AE1690" s="62"/>
      <c r="AF1690" s="62"/>
      <c r="AG1690" s="66"/>
      <c r="AH1690" s="62"/>
      <c r="AI1690" s="62"/>
      <c r="AJ1690" s="62"/>
      <c r="AK1690" s="62"/>
      <c r="AL1690" s="66"/>
      <c r="AM1690" s="62"/>
      <c r="AN1690" s="62"/>
      <c r="AO1690" s="62"/>
      <c r="AP1690" s="62"/>
      <c r="AQ1690" s="66"/>
      <c r="AR1690" s="62"/>
      <c r="AS1690" s="62"/>
      <c r="AT1690" s="62"/>
      <c r="AU1690" s="62"/>
      <c r="AV1690" s="66"/>
      <c r="AW1690" s="97"/>
    </row>
    <row r="1691" spans="23:49" x14ac:dyDescent="0.15">
      <c r="W1691" s="12"/>
      <c r="X1691" s="62"/>
      <c r="Y1691" s="62"/>
      <c r="Z1691" s="62"/>
      <c r="AA1691" s="62"/>
      <c r="AB1691" s="98"/>
      <c r="AC1691" s="62"/>
      <c r="AD1691" s="62"/>
      <c r="AE1691" s="62"/>
      <c r="AF1691" s="62"/>
      <c r="AG1691" s="66"/>
      <c r="AH1691" s="62"/>
      <c r="AI1691" s="62"/>
      <c r="AJ1691" s="62"/>
      <c r="AK1691" s="62"/>
      <c r="AL1691" s="66"/>
      <c r="AM1691" s="62"/>
      <c r="AN1691" s="62"/>
      <c r="AO1691" s="62"/>
      <c r="AP1691" s="62"/>
      <c r="AQ1691" s="66"/>
      <c r="AR1691" s="62"/>
      <c r="AS1691" s="62"/>
      <c r="AT1691" s="62"/>
      <c r="AU1691" s="62"/>
      <c r="AV1691" s="66"/>
      <c r="AW1691" s="97"/>
    </row>
    <row r="1692" spans="23:49" x14ac:dyDescent="0.15">
      <c r="W1692" s="12"/>
      <c r="X1692" s="62"/>
      <c r="Y1692" s="62"/>
      <c r="Z1692" s="62"/>
      <c r="AA1692" s="62"/>
      <c r="AB1692" s="98"/>
      <c r="AC1692" s="62"/>
      <c r="AD1692" s="62"/>
      <c r="AE1692" s="62"/>
      <c r="AF1692" s="62"/>
      <c r="AG1692" s="66"/>
      <c r="AH1692" s="62"/>
      <c r="AI1692" s="62"/>
      <c r="AJ1692" s="62"/>
      <c r="AK1692" s="62"/>
      <c r="AL1692" s="66"/>
      <c r="AM1692" s="62"/>
      <c r="AN1692" s="62"/>
      <c r="AO1692" s="62"/>
      <c r="AP1692" s="62"/>
      <c r="AQ1692" s="66"/>
      <c r="AR1692" s="62"/>
      <c r="AS1692" s="62"/>
      <c r="AT1692" s="62"/>
      <c r="AU1692" s="62"/>
      <c r="AV1692" s="66"/>
      <c r="AW1692" s="97"/>
    </row>
    <row r="1693" spans="23:49" x14ac:dyDescent="0.15">
      <c r="W1693" s="12"/>
      <c r="X1693" s="62"/>
      <c r="Y1693" s="62"/>
      <c r="Z1693" s="62"/>
      <c r="AA1693" s="62"/>
      <c r="AB1693" s="98"/>
      <c r="AC1693" s="62"/>
      <c r="AD1693" s="62"/>
      <c r="AE1693" s="62"/>
      <c r="AF1693" s="62"/>
      <c r="AG1693" s="66"/>
      <c r="AH1693" s="62"/>
      <c r="AI1693" s="62"/>
      <c r="AJ1693" s="62"/>
      <c r="AK1693" s="62"/>
      <c r="AL1693" s="66"/>
      <c r="AM1693" s="62"/>
      <c r="AN1693" s="62"/>
      <c r="AO1693" s="62"/>
      <c r="AP1693" s="62"/>
      <c r="AQ1693" s="66"/>
      <c r="AR1693" s="62"/>
      <c r="AS1693" s="62"/>
      <c r="AT1693" s="62"/>
      <c r="AU1693" s="62"/>
      <c r="AV1693" s="66"/>
      <c r="AW1693" s="97"/>
    </row>
    <row r="1694" spans="23:49" x14ac:dyDescent="0.15">
      <c r="W1694" s="12"/>
      <c r="X1694" s="62"/>
      <c r="Y1694" s="62"/>
      <c r="Z1694" s="62"/>
      <c r="AA1694" s="62"/>
      <c r="AB1694" s="98"/>
      <c r="AC1694" s="62"/>
      <c r="AD1694" s="62"/>
      <c r="AE1694" s="62"/>
      <c r="AF1694" s="62"/>
      <c r="AG1694" s="66"/>
      <c r="AH1694" s="62"/>
      <c r="AI1694" s="62"/>
      <c r="AJ1694" s="62"/>
      <c r="AK1694" s="62"/>
      <c r="AL1694" s="66"/>
      <c r="AM1694" s="62"/>
      <c r="AN1694" s="62"/>
      <c r="AO1694" s="62"/>
      <c r="AP1694" s="62"/>
      <c r="AQ1694" s="66"/>
      <c r="AR1694" s="62"/>
      <c r="AS1694" s="62"/>
      <c r="AT1694" s="62"/>
      <c r="AU1694" s="62"/>
      <c r="AV1694" s="66"/>
      <c r="AW1694" s="97"/>
    </row>
    <row r="1695" spans="23:49" x14ac:dyDescent="0.15">
      <c r="W1695" s="12"/>
      <c r="X1695" s="62"/>
      <c r="Y1695" s="62"/>
      <c r="Z1695" s="62"/>
      <c r="AA1695" s="62"/>
      <c r="AB1695" s="98"/>
      <c r="AC1695" s="62"/>
      <c r="AD1695" s="62"/>
      <c r="AE1695" s="62"/>
      <c r="AF1695" s="62"/>
      <c r="AG1695" s="66"/>
      <c r="AH1695" s="62"/>
      <c r="AI1695" s="62"/>
      <c r="AJ1695" s="62"/>
      <c r="AK1695" s="62"/>
      <c r="AL1695" s="66"/>
      <c r="AM1695" s="62"/>
      <c r="AN1695" s="62"/>
      <c r="AO1695" s="62"/>
      <c r="AP1695" s="62"/>
      <c r="AQ1695" s="66"/>
      <c r="AR1695" s="62"/>
      <c r="AS1695" s="62"/>
      <c r="AT1695" s="62"/>
      <c r="AU1695" s="62"/>
      <c r="AV1695" s="66"/>
      <c r="AW1695" s="97"/>
    </row>
    <row r="1696" spans="23:49" x14ac:dyDescent="0.15">
      <c r="W1696" s="12"/>
      <c r="X1696" s="62"/>
      <c r="Y1696" s="62"/>
      <c r="Z1696" s="62"/>
      <c r="AA1696" s="62"/>
      <c r="AB1696" s="98"/>
      <c r="AC1696" s="62"/>
      <c r="AD1696" s="62"/>
      <c r="AE1696" s="62"/>
      <c r="AF1696" s="62"/>
      <c r="AG1696" s="66"/>
      <c r="AH1696" s="62"/>
      <c r="AI1696" s="62"/>
      <c r="AJ1696" s="62"/>
      <c r="AK1696" s="62"/>
      <c r="AL1696" s="66"/>
      <c r="AM1696" s="62"/>
      <c r="AN1696" s="62"/>
      <c r="AO1696" s="62"/>
      <c r="AP1696" s="62"/>
      <c r="AQ1696" s="66"/>
      <c r="AR1696" s="62"/>
      <c r="AS1696" s="62"/>
      <c r="AT1696" s="62"/>
      <c r="AU1696" s="62"/>
      <c r="AV1696" s="66"/>
      <c r="AW1696" s="97"/>
    </row>
    <row r="1697" spans="23:49" x14ac:dyDescent="0.15">
      <c r="W1697" s="12"/>
      <c r="X1697" s="62"/>
      <c r="Y1697" s="62"/>
      <c r="Z1697" s="62"/>
      <c r="AA1697" s="62"/>
      <c r="AB1697" s="98"/>
      <c r="AC1697" s="62"/>
      <c r="AD1697" s="62"/>
      <c r="AE1697" s="62"/>
      <c r="AF1697" s="62"/>
      <c r="AG1697" s="66"/>
      <c r="AH1697" s="62"/>
      <c r="AI1697" s="62"/>
      <c r="AJ1697" s="62"/>
      <c r="AK1697" s="62"/>
      <c r="AL1697" s="66"/>
      <c r="AM1697" s="62"/>
      <c r="AN1697" s="62"/>
      <c r="AO1697" s="62"/>
      <c r="AP1697" s="62"/>
      <c r="AQ1697" s="66"/>
      <c r="AR1697" s="62"/>
      <c r="AS1697" s="62"/>
      <c r="AT1697" s="62"/>
      <c r="AU1697" s="62"/>
      <c r="AV1697" s="66"/>
      <c r="AW1697" s="97"/>
    </row>
    <row r="1698" spans="23:49" x14ac:dyDescent="0.15">
      <c r="W1698" s="12"/>
      <c r="X1698" s="62"/>
      <c r="Y1698" s="62"/>
      <c r="Z1698" s="62"/>
      <c r="AA1698" s="62"/>
      <c r="AB1698" s="98"/>
      <c r="AC1698" s="62"/>
      <c r="AD1698" s="62"/>
      <c r="AE1698" s="62"/>
      <c r="AF1698" s="62"/>
      <c r="AG1698" s="66"/>
      <c r="AH1698" s="62"/>
      <c r="AI1698" s="62"/>
      <c r="AJ1698" s="62"/>
      <c r="AK1698" s="62"/>
      <c r="AL1698" s="66"/>
      <c r="AM1698" s="62"/>
      <c r="AN1698" s="62"/>
      <c r="AO1698" s="62"/>
      <c r="AP1698" s="62"/>
      <c r="AQ1698" s="66"/>
      <c r="AR1698" s="62"/>
      <c r="AS1698" s="62"/>
      <c r="AT1698" s="62"/>
      <c r="AU1698" s="62"/>
      <c r="AV1698" s="66"/>
      <c r="AW1698" s="97"/>
    </row>
    <row r="1699" spans="23:49" x14ac:dyDescent="0.15">
      <c r="W1699" s="12"/>
      <c r="X1699" s="62"/>
      <c r="Y1699" s="62"/>
      <c r="Z1699" s="62"/>
      <c r="AA1699" s="62"/>
      <c r="AB1699" s="98"/>
      <c r="AC1699" s="62"/>
      <c r="AD1699" s="62"/>
      <c r="AE1699" s="62"/>
      <c r="AF1699" s="62"/>
      <c r="AG1699" s="66"/>
      <c r="AH1699" s="62"/>
      <c r="AI1699" s="62"/>
      <c r="AJ1699" s="62"/>
      <c r="AK1699" s="62"/>
      <c r="AL1699" s="66"/>
      <c r="AM1699" s="62"/>
      <c r="AN1699" s="62"/>
      <c r="AO1699" s="62"/>
      <c r="AP1699" s="62"/>
      <c r="AQ1699" s="66"/>
      <c r="AR1699" s="62"/>
      <c r="AS1699" s="62"/>
      <c r="AT1699" s="62"/>
      <c r="AU1699" s="62"/>
      <c r="AV1699" s="66"/>
      <c r="AW1699" s="97"/>
    </row>
    <row r="1700" spans="23:49" x14ac:dyDescent="0.15">
      <c r="W1700" s="12"/>
      <c r="X1700" s="62"/>
      <c r="Y1700" s="62"/>
      <c r="Z1700" s="62"/>
      <c r="AA1700" s="62"/>
      <c r="AB1700" s="98"/>
      <c r="AC1700" s="62"/>
      <c r="AD1700" s="62"/>
      <c r="AE1700" s="62"/>
      <c r="AF1700" s="62"/>
      <c r="AG1700" s="66"/>
      <c r="AH1700" s="62"/>
      <c r="AI1700" s="62"/>
      <c r="AJ1700" s="62"/>
      <c r="AK1700" s="62"/>
      <c r="AL1700" s="66"/>
      <c r="AM1700" s="62"/>
      <c r="AN1700" s="62"/>
      <c r="AO1700" s="62"/>
      <c r="AP1700" s="62"/>
      <c r="AQ1700" s="66"/>
      <c r="AR1700" s="62"/>
      <c r="AS1700" s="62"/>
      <c r="AT1700" s="62"/>
      <c r="AU1700" s="62"/>
      <c r="AV1700" s="66"/>
      <c r="AW1700" s="97"/>
    </row>
    <row r="1701" spans="23:49" x14ac:dyDescent="0.15">
      <c r="W1701" s="12"/>
      <c r="X1701" s="62"/>
      <c r="Y1701" s="62"/>
      <c r="Z1701" s="62"/>
      <c r="AA1701" s="62"/>
      <c r="AB1701" s="98"/>
      <c r="AC1701" s="62"/>
      <c r="AD1701" s="62"/>
      <c r="AE1701" s="62"/>
      <c r="AF1701" s="62"/>
      <c r="AG1701" s="66"/>
      <c r="AH1701" s="62"/>
      <c r="AI1701" s="62"/>
      <c r="AJ1701" s="62"/>
      <c r="AK1701" s="62"/>
      <c r="AL1701" s="66"/>
      <c r="AM1701" s="62"/>
      <c r="AN1701" s="62"/>
      <c r="AO1701" s="62"/>
      <c r="AP1701" s="62"/>
      <c r="AQ1701" s="66"/>
      <c r="AR1701" s="62"/>
      <c r="AS1701" s="62"/>
      <c r="AT1701" s="62"/>
      <c r="AU1701" s="62"/>
      <c r="AV1701" s="66"/>
      <c r="AW1701" s="97"/>
    </row>
    <row r="1702" spans="23:49" x14ac:dyDescent="0.15">
      <c r="W1702" s="12"/>
      <c r="X1702" s="62"/>
      <c r="Y1702" s="62"/>
      <c r="Z1702" s="62"/>
      <c r="AA1702" s="62"/>
      <c r="AB1702" s="98"/>
      <c r="AC1702" s="62"/>
      <c r="AD1702" s="62"/>
      <c r="AE1702" s="62"/>
      <c r="AF1702" s="62"/>
      <c r="AG1702" s="66"/>
      <c r="AH1702" s="62"/>
      <c r="AI1702" s="62"/>
      <c r="AJ1702" s="62"/>
      <c r="AK1702" s="62"/>
      <c r="AL1702" s="66"/>
      <c r="AM1702" s="62"/>
      <c r="AN1702" s="62"/>
      <c r="AO1702" s="62"/>
      <c r="AP1702" s="62"/>
      <c r="AQ1702" s="66"/>
      <c r="AR1702" s="62"/>
      <c r="AS1702" s="62"/>
      <c r="AT1702" s="62"/>
      <c r="AU1702" s="62"/>
      <c r="AV1702" s="66"/>
      <c r="AW1702" s="97"/>
    </row>
    <row r="1703" spans="23:49" x14ac:dyDescent="0.15">
      <c r="W1703" s="12"/>
      <c r="X1703" s="62"/>
      <c r="Y1703" s="62"/>
      <c r="Z1703" s="62"/>
      <c r="AA1703" s="62"/>
      <c r="AB1703" s="98"/>
      <c r="AC1703" s="62"/>
      <c r="AD1703" s="62"/>
      <c r="AE1703" s="62"/>
      <c r="AF1703" s="62"/>
      <c r="AG1703" s="66"/>
      <c r="AH1703" s="62"/>
      <c r="AI1703" s="62"/>
      <c r="AJ1703" s="62"/>
      <c r="AK1703" s="62"/>
      <c r="AL1703" s="66"/>
      <c r="AM1703" s="62"/>
      <c r="AN1703" s="62"/>
      <c r="AO1703" s="62"/>
      <c r="AP1703" s="62"/>
      <c r="AQ1703" s="66"/>
      <c r="AR1703" s="62"/>
      <c r="AS1703" s="62"/>
      <c r="AT1703" s="62"/>
      <c r="AU1703" s="62"/>
      <c r="AV1703" s="66"/>
      <c r="AW1703" s="97"/>
    </row>
    <row r="1704" spans="23:49" x14ac:dyDescent="0.15">
      <c r="W1704" s="12"/>
      <c r="X1704" s="62"/>
      <c r="Y1704" s="62"/>
      <c r="Z1704" s="62"/>
      <c r="AA1704" s="62"/>
      <c r="AB1704" s="98"/>
      <c r="AC1704" s="62"/>
      <c r="AD1704" s="62"/>
      <c r="AE1704" s="62"/>
      <c r="AF1704" s="62"/>
      <c r="AG1704" s="66"/>
      <c r="AH1704" s="62"/>
      <c r="AI1704" s="62"/>
      <c r="AJ1704" s="62"/>
      <c r="AK1704" s="62"/>
      <c r="AL1704" s="66"/>
      <c r="AM1704" s="62"/>
      <c r="AN1704" s="62"/>
      <c r="AO1704" s="62"/>
      <c r="AP1704" s="62"/>
      <c r="AQ1704" s="66"/>
      <c r="AR1704" s="62"/>
      <c r="AS1704" s="62"/>
      <c r="AT1704" s="62"/>
      <c r="AU1704" s="62"/>
      <c r="AV1704" s="66"/>
      <c r="AW1704" s="97"/>
    </row>
    <row r="1705" spans="23:49" x14ac:dyDescent="0.15">
      <c r="W1705" s="12"/>
      <c r="X1705" s="62"/>
      <c r="Y1705" s="62"/>
      <c r="Z1705" s="62"/>
      <c r="AA1705" s="62"/>
      <c r="AB1705" s="98"/>
      <c r="AC1705" s="62"/>
      <c r="AD1705" s="62"/>
      <c r="AE1705" s="62"/>
      <c r="AF1705" s="62"/>
      <c r="AG1705" s="66"/>
      <c r="AH1705" s="62"/>
      <c r="AI1705" s="62"/>
      <c r="AJ1705" s="62"/>
      <c r="AK1705" s="62"/>
      <c r="AL1705" s="66"/>
      <c r="AM1705" s="62"/>
      <c r="AN1705" s="62"/>
      <c r="AO1705" s="62"/>
      <c r="AP1705" s="62"/>
      <c r="AQ1705" s="66"/>
      <c r="AR1705" s="62"/>
      <c r="AS1705" s="62"/>
      <c r="AT1705" s="62"/>
      <c r="AU1705" s="62"/>
      <c r="AV1705" s="66"/>
      <c r="AW1705" s="97"/>
    </row>
    <row r="1706" spans="23:49" x14ac:dyDescent="0.15">
      <c r="W1706" s="12"/>
      <c r="X1706" s="62"/>
      <c r="Y1706" s="62"/>
      <c r="Z1706" s="62"/>
      <c r="AA1706" s="62"/>
      <c r="AB1706" s="98"/>
      <c r="AC1706" s="62"/>
      <c r="AD1706" s="62"/>
      <c r="AE1706" s="62"/>
      <c r="AF1706" s="62"/>
      <c r="AG1706" s="66"/>
      <c r="AH1706" s="62"/>
      <c r="AI1706" s="62"/>
      <c r="AJ1706" s="62"/>
      <c r="AK1706" s="62"/>
      <c r="AL1706" s="66"/>
      <c r="AM1706" s="62"/>
      <c r="AN1706" s="62"/>
      <c r="AO1706" s="62"/>
      <c r="AP1706" s="62"/>
      <c r="AQ1706" s="66"/>
      <c r="AR1706" s="62"/>
      <c r="AS1706" s="62"/>
      <c r="AT1706" s="62"/>
      <c r="AU1706" s="62"/>
      <c r="AV1706" s="66"/>
      <c r="AW1706" s="97"/>
    </row>
    <row r="1707" spans="23:49" x14ac:dyDescent="0.15">
      <c r="W1707" s="12"/>
      <c r="X1707" s="62"/>
      <c r="Y1707" s="62"/>
      <c r="Z1707" s="62"/>
      <c r="AA1707" s="62"/>
      <c r="AB1707" s="98"/>
      <c r="AC1707" s="62"/>
      <c r="AD1707" s="62"/>
      <c r="AE1707" s="62"/>
      <c r="AF1707" s="62"/>
      <c r="AG1707" s="66"/>
      <c r="AH1707" s="62"/>
      <c r="AI1707" s="62"/>
      <c r="AJ1707" s="62"/>
      <c r="AK1707" s="62"/>
      <c r="AL1707" s="66"/>
      <c r="AM1707" s="62"/>
      <c r="AN1707" s="62"/>
      <c r="AO1707" s="62"/>
      <c r="AP1707" s="62"/>
      <c r="AQ1707" s="66"/>
      <c r="AR1707" s="62"/>
      <c r="AS1707" s="62"/>
      <c r="AT1707" s="62"/>
      <c r="AU1707" s="62"/>
      <c r="AV1707" s="66"/>
      <c r="AW1707" s="97"/>
    </row>
    <row r="1708" spans="23:49" x14ac:dyDescent="0.15">
      <c r="W1708" s="12"/>
      <c r="X1708" s="62"/>
      <c r="Y1708" s="62"/>
      <c r="Z1708" s="62"/>
      <c r="AA1708" s="62"/>
      <c r="AB1708" s="98"/>
      <c r="AC1708" s="62"/>
      <c r="AD1708" s="62"/>
      <c r="AE1708" s="62"/>
      <c r="AF1708" s="62"/>
      <c r="AG1708" s="66"/>
      <c r="AH1708" s="62"/>
      <c r="AI1708" s="62"/>
      <c r="AJ1708" s="62"/>
      <c r="AK1708" s="62"/>
      <c r="AL1708" s="66"/>
      <c r="AM1708" s="62"/>
      <c r="AN1708" s="62"/>
      <c r="AO1708" s="62"/>
      <c r="AP1708" s="62"/>
      <c r="AQ1708" s="66"/>
      <c r="AR1708" s="62"/>
      <c r="AS1708" s="62"/>
      <c r="AT1708" s="62"/>
      <c r="AU1708" s="62"/>
      <c r="AV1708" s="66"/>
      <c r="AW1708" s="97"/>
    </row>
    <row r="1709" spans="23:49" x14ac:dyDescent="0.15">
      <c r="W1709" s="12"/>
      <c r="X1709" s="62"/>
      <c r="Y1709" s="62"/>
      <c r="Z1709" s="62"/>
      <c r="AA1709" s="62"/>
      <c r="AB1709" s="98"/>
      <c r="AC1709" s="62"/>
      <c r="AD1709" s="62"/>
      <c r="AE1709" s="62"/>
      <c r="AF1709" s="62"/>
      <c r="AG1709" s="66"/>
      <c r="AH1709" s="62"/>
      <c r="AI1709" s="62"/>
      <c r="AJ1709" s="62"/>
      <c r="AK1709" s="62"/>
      <c r="AL1709" s="66"/>
      <c r="AM1709" s="62"/>
      <c r="AN1709" s="62"/>
      <c r="AO1709" s="62"/>
      <c r="AP1709" s="62"/>
      <c r="AQ1709" s="66"/>
      <c r="AR1709" s="62"/>
      <c r="AS1709" s="62"/>
      <c r="AT1709" s="62"/>
      <c r="AU1709" s="62"/>
      <c r="AV1709" s="66"/>
      <c r="AW1709" s="97"/>
    </row>
    <row r="1710" spans="23:49" x14ac:dyDescent="0.15">
      <c r="W1710" s="12"/>
      <c r="X1710" s="62"/>
      <c r="Y1710" s="62"/>
      <c r="Z1710" s="62"/>
      <c r="AA1710" s="62"/>
      <c r="AB1710" s="98"/>
      <c r="AC1710" s="62"/>
      <c r="AD1710" s="62"/>
      <c r="AE1710" s="62"/>
      <c r="AF1710" s="62"/>
      <c r="AG1710" s="66"/>
      <c r="AH1710" s="62"/>
      <c r="AI1710" s="62"/>
      <c r="AJ1710" s="62"/>
      <c r="AK1710" s="62"/>
      <c r="AL1710" s="66"/>
      <c r="AM1710" s="62"/>
      <c r="AN1710" s="62"/>
      <c r="AO1710" s="62"/>
      <c r="AP1710" s="62"/>
      <c r="AQ1710" s="66"/>
      <c r="AR1710" s="62"/>
      <c r="AS1710" s="62"/>
      <c r="AT1710" s="62"/>
      <c r="AU1710" s="62"/>
      <c r="AV1710" s="66"/>
      <c r="AW1710" s="97"/>
    </row>
    <row r="1711" spans="23:49" x14ac:dyDescent="0.15">
      <c r="W1711" s="12"/>
      <c r="X1711" s="62"/>
      <c r="Y1711" s="62"/>
      <c r="Z1711" s="62"/>
      <c r="AA1711" s="62"/>
      <c r="AB1711" s="98"/>
      <c r="AC1711" s="62"/>
      <c r="AD1711" s="62"/>
      <c r="AE1711" s="62"/>
      <c r="AF1711" s="62"/>
      <c r="AG1711" s="66"/>
      <c r="AH1711" s="62"/>
      <c r="AI1711" s="62"/>
      <c r="AJ1711" s="62"/>
      <c r="AK1711" s="62"/>
      <c r="AL1711" s="66"/>
      <c r="AM1711" s="62"/>
      <c r="AN1711" s="62"/>
      <c r="AO1711" s="62"/>
      <c r="AP1711" s="62"/>
      <c r="AQ1711" s="66"/>
      <c r="AR1711" s="62"/>
      <c r="AS1711" s="62"/>
      <c r="AT1711" s="62"/>
      <c r="AU1711" s="62"/>
      <c r="AV1711" s="66"/>
      <c r="AW1711" s="97"/>
    </row>
    <row r="1712" spans="23:49" x14ac:dyDescent="0.15">
      <c r="W1712" s="12"/>
      <c r="X1712" s="62"/>
      <c r="Y1712" s="62"/>
      <c r="Z1712" s="62"/>
      <c r="AA1712" s="62"/>
      <c r="AB1712" s="98"/>
      <c r="AC1712" s="62"/>
      <c r="AD1712" s="62"/>
      <c r="AE1712" s="62"/>
      <c r="AF1712" s="62"/>
      <c r="AG1712" s="66"/>
      <c r="AH1712" s="62"/>
      <c r="AI1712" s="62"/>
      <c r="AJ1712" s="62"/>
      <c r="AK1712" s="62"/>
      <c r="AL1712" s="66"/>
      <c r="AM1712" s="62"/>
      <c r="AN1712" s="62"/>
      <c r="AO1712" s="62"/>
      <c r="AP1712" s="62"/>
      <c r="AQ1712" s="66"/>
      <c r="AR1712" s="62"/>
      <c r="AS1712" s="62"/>
      <c r="AT1712" s="62"/>
      <c r="AU1712" s="62"/>
      <c r="AV1712" s="66"/>
      <c r="AW1712" s="97"/>
    </row>
    <row r="1713" spans="23:49" x14ac:dyDescent="0.15">
      <c r="W1713" s="12"/>
      <c r="X1713" s="62"/>
      <c r="Y1713" s="62"/>
      <c r="Z1713" s="62"/>
      <c r="AA1713" s="62"/>
      <c r="AB1713" s="98"/>
      <c r="AC1713" s="62"/>
      <c r="AD1713" s="62"/>
      <c r="AE1713" s="62"/>
      <c r="AF1713" s="62"/>
      <c r="AG1713" s="66"/>
      <c r="AH1713" s="62"/>
      <c r="AI1713" s="62"/>
      <c r="AJ1713" s="62"/>
      <c r="AK1713" s="62"/>
      <c r="AL1713" s="66"/>
      <c r="AM1713" s="62"/>
      <c r="AN1713" s="62"/>
      <c r="AO1713" s="62"/>
      <c r="AP1713" s="62"/>
      <c r="AQ1713" s="66"/>
      <c r="AR1713" s="62"/>
      <c r="AS1713" s="62"/>
      <c r="AT1713" s="62"/>
      <c r="AU1713" s="62"/>
      <c r="AV1713" s="66"/>
      <c r="AW1713" s="97"/>
    </row>
    <row r="1714" spans="23:49" x14ac:dyDescent="0.15">
      <c r="W1714" s="12"/>
      <c r="X1714" s="62"/>
      <c r="Y1714" s="62"/>
      <c r="Z1714" s="62"/>
      <c r="AA1714" s="62"/>
      <c r="AB1714" s="98"/>
      <c r="AC1714" s="62"/>
      <c r="AD1714" s="62"/>
      <c r="AE1714" s="62"/>
      <c r="AF1714" s="62"/>
      <c r="AG1714" s="66"/>
      <c r="AH1714" s="62"/>
      <c r="AI1714" s="62"/>
      <c r="AJ1714" s="62"/>
      <c r="AK1714" s="62"/>
      <c r="AL1714" s="66"/>
      <c r="AM1714" s="62"/>
      <c r="AN1714" s="62"/>
      <c r="AO1714" s="62"/>
      <c r="AP1714" s="62"/>
      <c r="AQ1714" s="66"/>
      <c r="AR1714" s="62"/>
      <c r="AS1714" s="62"/>
      <c r="AT1714" s="62"/>
      <c r="AU1714" s="62"/>
      <c r="AV1714" s="66"/>
      <c r="AW1714" s="97"/>
    </row>
    <row r="1715" spans="23:49" x14ac:dyDescent="0.15">
      <c r="W1715" s="12"/>
      <c r="X1715" s="62"/>
      <c r="Y1715" s="62"/>
      <c r="Z1715" s="62"/>
      <c r="AA1715" s="62"/>
      <c r="AB1715" s="98"/>
      <c r="AC1715" s="62"/>
      <c r="AD1715" s="62"/>
      <c r="AE1715" s="62"/>
      <c r="AF1715" s="62"/>
      <c r="AG1715" s="66"/>
      <c r="AH1715" s="62"/>
      <c r="AI1715" s="62"/>
      <c r="AJ1715" s="62"/>
      <c r="AK1715" s="62"/>
      <c r="AL1715" s="66"/>
      <c r="AM1715" s="62"/>
      <c r="AN1715" s="62"/>
      <c r="AO1715" s="62"/>
      <c r="AP1715" s="62"/>
      <c r="AQ1715" s="66"/>
      <c r="AR1715" s="62"/>
      <c r="AS1715" s="62"/>
      <c r="AT1715" s="62"/>
      <c r="AU1715" s="62"/>
      <c r="AV1715" s="66"/>
      <c r="AW1715" s="97"/>
    </row>
    <row r="1716" spans="23:49" x14ac:dyDescent="0.15">
      <c r="W1716" s="12"/>
      <c r="X1716" s="62"/>
      <c r="Y1716" s="62"/>
      <c r="Z1716" s="62"/>
      <c r="AA1716" s="62"/>
      <c r="AB1716" s="98"/>
      <c r="AC1716" s="62"/>
      <c r="AD1716" s="62"/>
      <c r="AE1716" s="62"/>
      <c r="AF1716" s="62"/>
      <c r="AG1716" s="66"/>
      <c r="AH1716" s="62"/>
      <c r="AI1716" s="62"/>
      <c r="AJ1716" s="62"/>
      <c r="AK1716" s="62"/>
      <c r="AL1716" s="66"/>
      <c r="AM1716" s="62"/>
      <c r="AN1716" s="62"/>
      <c r="AO1716" s="62"/>
      <c r="AP1716" s="62"/>
      <c r="AQ1716" s="66"/>
      <c r="AR1716" s="62"/>
      <c r="AS1716" s="62"/>
      <c r="AT1716" s="62"/>
      <c r="AU1716" s="62"/>
      <c r="AV1716" s="66"/>
      <c r="AW1716" s="97"/>
    </row>
    <row r="1717" spans="23:49" x14ac:dyDescent="0.15">
      <c r="W1717" s="12"/>
      <c r="X1717" s="62"/>
      <c r="Y1717" s="62"/>
      <c r="Z1717" s="62"/>
      <c r="AA1717" s="62"/>
      <c r="AB1717" s="98"/>
      <c r="AC1717" s="62"/>
      <c r="AD1717" s="62"/>
      <c r="AE1717" s="62"/>
      <c r="AF1717" s="62"/>
      <c r="AG1717" s="66"/>
      <c r="AH1717" s="62"/>
      <c r="AI1717" s="62"/>
      <c r="AJ1717" s="62"/>
      <c r="AK1717" s="62"/>
      <c r="AL1717" s="66"/>
      <c r="AM1717" s="62"/>
      <c r="AN1717" s="62"/>
      <c r="AO1717" s="62"/>
      <c r="AP1717" s="62"/>
      <c r="AQ1717" s="66"/>
      <c r="AR1717" s="62"/>
      <c r="AS1717" s="62"/>
      <c r="AT1717" s="62"/>
      <c r="AU1717" s="62"/>
      <c r="AV1717" s="66"/>
      <c r="AW1717" s="97"/>
    </row>
    <row r="1718" spans="23:49" x14ac:dyDescent="0.15">
      <c r="W1718" s="12"/>
      <c r="X1718" s="62"/>
      <c r="Y1718" s="62"/>
      <c r="Z1718" s="62"/>
      <c r="AA1718" s="62"/>
      <c r="AB1718" s="98"/>
      <c r="AC1718" s="62"/>
      <c r="AD1718" s="62"/>
      <c r="AE1718" s="62"/>
      <c r="AF1718" s="62"/>
      <c r="AG1718" s="66"/>
      <c r="AH1718" s="62"/>
      <c r="AI1718" s="62"/>
      <c r="AJ1718" s="62"/>
      <c r="AK1718" s="62"/>
      <c r="AL1718" s="66"/>
      <c r="AM1718" s="62"/>
      <c r="AN1718" s="62"/>
      <c r="AO1718" s="62"/>
      <c r="AP1718" s="62"/>
      <c r="AQ1718" s="66"/>
      <c r="AR1718" s="62"/>
      <c r="AS1718" s="62"/>
      <c r="AT1718" s="62"/>
      <c r="AU1718" s="62"/>
      <c r="AV1718" s="66"/>
      <c r="AW1718" s="97"/>
    </row>
    <row r="1719" spans="23:49" x14ac:dyDescent="0.15">
      <c r="W1719" s="12"/>
      <c r="X1719" s="62"/>
      <c r="Y1719" s="62"/>
      <c r="Z1719" s="62"/>
      <c r="AA1719" s="62"/>
      <c r="AB1719" s="98"/>
      <c r="AC1719" s="62"/>
      <c r="AD1719" s="62"/>
      <c r="AE1719" s="62"/>
      <c r="AF1719" s="62"/>
      <c r="AG1719" s="66"/>
      <c r="AH1719" s="62"/>
      <c r="AI1719" s="62"/>
      <c r="AJ1719" s="62"/>
      <c r="AK1719" s="62"/>
      <c r="AL1719" s="66"/>
      <c r="AM1719" s="62"/>
      <c r="AN1719" s="62"/>
      <c r="AO1719" s="62"/>
      <c r="AP1719" s="62"/>
      <c r="AQ1719" s="66"/>
      <c r="AR1719" s="62"/>
      <c r="AS1719" s="62"/>
      <c r="AT1719" s="62"/>
      <c r="AU1719" s="62"/>
      <c r="AV1719" s="66"/>
      <c r="AW1719" s="97"/>
    </row>
    <row r="1720" spans="23:49" x14ac:dyDescent="0.15">
      <c r="W1720" s="12"/>
      <c r="X1720" s="62"/>
      <c r="Y1720" s="62"/>
      <c r="Z1720" s="62"/>
      <c r="AA1720" s="62"/>
      <c r="AB1720" s="98"/>
      <c r="AC1720" s="62"/>
      <c r="AD1720" s="62"/>
      <c r="AE1720" s="62"/>
      <c r="AF1720" s="62"/>
      <c r="AG1720" s="66"/>
      <c r="AH1720" s="62"/>
      <c r="AI1720" s="62"/>
      <c r="AJ1720" s="62"/>
      <c r="AK1720" s="62"/>
      <c r="AL1720" s="66"/>
      <c r="AM1720" s="62"/>
      <c r="AN1720" s="62"/>
      <c r="AO1720" s="62"/>
      <c r="AP1720" s="62"/>
      <c r="AQ1720" s="66"/>
      <c r="AR1720" s="62"/>
      <c r="AS1720" s="62"/>
      <c r="AT1720" s="62"/>
      <c r="AU1720" s="62"/>
      <c r="AV1720" s="66"/>
      <c r="AW1720" s="97"/>
    </row>
    <row r="1721" spans="23:49" x14ac:dyDescent="0.15">
      <c r="W1721" s="12"/>
      <c r="X1721" s="62"/>
      <c r="Y1721" s="62"/>
      <c r="Z1721" s="62"/>
      <c r="AA1721" s="62"/>
      <c r="AB1721" s="98"/>
      <c r="AC1721" s="62"/>
      <c r="AD1721" s="62"/>
      <c r="AE1721" s="62"/>
      <c r="AF1721" s="62"/>
      <c r="AG1721" s="66"/>
      <c r="AH1721" s="62"/>
      <c r="AI1721" s="62"/>
      <c r="AJ1721" s="62"/>
      <c r="AK1721" s="62"/>
      <c r="AL1721" s="66"/>
      <c r="AM1721" s="62"/>
      <c r="AN1721" s="62"/>
      <c r="AO1721" s="62"/>
      <c r="AP1721" s="62"/>
      <c r="AQ1721" s="66"/>
      <c r="AR1721" s="62"/>
      <c r="AS1721" s="62"/>
      <c r="AT1721" s="62"/>
      <c r="AU1721" s="62"/>
      <c r="AV1721" s="66"/>
      <c r="AW1721" s="97"/>
    </row>
    <row r="1722" spans="23:49" x14ac:dyDescent="0.15">
      <c r="W1722" s="12"/>
      <c r="X1722" s="62"/>
      <c r="Y1722" s="62"/>
      <c r="Z1722" s="62"/>
      <c r="AA1722" s="62"/>
      <c r="AB1722" s="98"/>
      <c r="AC1722" s="62"/>
      <c r="AD1722" s="62"/>
      <c r="AE1722" s="62"/>
      <c r="AF1722" s="62"/>
      <c r="AG1722" s="66"/>
      <c r="AH1722" s="62"/>
      <c r="AI1722" s="62"/>
      <c r="AJ1722" s="62"/>
      <c r="AK1722" s="62"/>
      <c r="AL1722" s="66"/>
      <c r="AM1722" s="62"/>
      <c r="AN1722" s="62"/>
      <c r="AO1722" s="62"/>
      <c r="AP1722" s="62"/>
      <c r="AQ1722" s="66"/>
      <c r="AR1722" s="62"/>
      <c r="AS1722" s="62"/>
      <c r="AT1722" s="62"/>
      <c r="AU1722" s="62"/>
      <c r="AV1722" s="66"/>
      <c r="AW1722" s="97"/>
    </row>
    <row r="1723" spans="23:49" x14ac:dyDescent="0.15">
      <c r="W1723" s="12"/>
      <c r="X1723" s="62"/>
      <c r="Y1723" s="62"/>
      <c r="Z1723" s="62"/>
      <c r="AA1723" s="62"/>
      <c r="AB1723" s="98"/>
      <c r="AC1723" s="62"/>
      <c r="AD1723" s="62"/>
      <c r="AE1723" s="62"/>
      <c r="AF1723" s="62"/>
      <c r="AG1723" s="66"/>
      <c r="AH1723" s="62"/>
      <c r="AI1723" s="62"/>
      <c r="AJ1723" s="62"/>
      <c r="AK1723" s="62"/>
      <c r="AL1723" s="66"/>
      <c r="AM1723" s="62"/>
      <c r="AN1723" s="62"/>
      <c r="AO1723" s="62"/>
      <c r="AP1723" s="62"/>
      <c r="AQ1723" s="66"/>
      <c r="AR1723" s="62"/>
      <c r="AS1723" s="62"/>
      <c r="AT1723" s="62"/>
      <c r="AU1723" s="62"/>
      <c r="AV1723" s="66"/>
      <c r="AW1723" s="97"/>
    </row>
    <row r="1724" spans="23:49" x14ac:dyDescent="0.15">
      <c r="W1724" s="12"/>
      <c r="X1724" s="62"/>
      <c r="Y1724" s="62"/>
      <c r="Z1724" s="62"/>
      <c r="AA1724" s="62"/>
      <c r="AB1724" s="98"/>
      <c r="AC1724" s="62"/>
      <c r="AD1724" s="62"/>
      <c r="AE1724" s="62"/>
      <c r="AF1724" s="62"/>
      <c r="AG1724" s="66"/>
      <c r="AH1724" s="62"/>
      <c r="AI1724" s="62"/>
      <c r="AJ1724" s="62"/>
      <c r="AK1724" s="62"/>
      <c r="AL1724" s="66"/>
      <c r="AM1724" s="62"/>
      <c r="AN1724" s="62"/>
      <c r="AO1724" s="62"/>
      <c r="AP1724" s="62"/>
      <c r="AQ1724" s="66"/>
      <c r="AR1724" s="62"/>
      <c r="AS1724" s="62"/>
      <c r="AT1724" s="62"/>
      <c r="AU1724" s="62"/>
      <c r="AV1724" s="66"/>
      <c r="AW1724" s="97"/>
    </row>
    <row r="1725" spans="23:49" x14ac:dyDescent="0.15">
      <c r="W1725" s="12"/>
      <c r="X1725" s="62"/>
      <c r="Y1725" s="62"/>
      <c r="Z1725" s="62"/>
      <c r="AA1725" s="62"/>
      <c r="AB1725" s="98"/>
      <c r="AC1725" s="62"/>
      <c r="AD1725" s="62"/>
      <c r="AE1725" s="62"/>
      <c r="AF1725" s="62"/>
      <c r="AG1725" s="66"/>
      <c r="AH1725" s="62"/>
      <c r="AI1725" s="62"/>
      <c r="AJ1725" s="62"/>
      <c r="AK1725" s="62"/>
      <c r="AL1725" s="66"/>
      <c r="AM1725" s="62"/>
      <c r="AN1725" s="62"/>
      <c r="AO1725" s="62"/>
      <c r="AP1725" s="62"/>
      <c r="AQ1725" s="66"/>
      <c r="AR1725" s="62"/>
      <c r="AS1725" s="62"/>
      <c r="AT1725" s="62"/>
      <c r="AU1725" s="62"/>
      <c r="AV1725" s="66"/>
      <c r="AW1725" s="97"/>
    </row>
    <row r="1726" spans="23:49" x14ac:dyDescent="0.15">
      <c r="W1726" s="12"/>
      <c r="X1726" s="62"/>
      <c r="Y1726" s="62"/>
      <c r="Z1726" s="62"/>
      <c r="AA1726" s="62"/>
      <c r="AB1726" s="98"/>
      <c r="AC1726" s="62"/>
      <c r="AD1726" s="62"/>
      <c r="AE1726" s="62"/>
      <c r="AF1726" s="62"/>
      <c r="AG1726" s="66"/>
      <c r="AH1726" s="62"/>
      <c r="AI1726" s="62"/>
      <c r="AJ1726" s="62"/>
      <c r="AK1726" s="62"/>
      <c r="AL1726" s="66"/>
      <c r="AM1726" s="62"/>
      <c r="AN1726" s="62"/>
      <c r="AO1726" s="62"/>
      <c r="AP1726" s="62"/>
      <c r="AQ1726" s="66"/>
      <c r="AR1726" s="62"/>
      <c r="AS1726" s="62"/>
      <c r="AT1726" s="62"/>
      <c r="AU1726" s="62"/>
      <c r="AV1726" s="66"/>
      <c r="AW1726" s="97"/>
    </row>
    <row r="1727" spans="23:49" x14ac:dyDescent="0.15">
      <c r="W1727" s="12"/>
      <c r="X1727" s="62"/>
      <c r="Y1727" s="62"/>
      <c r="Z1727" s="62"/>
      <c r="AA1727" s="62"/>
      <c r="AB1727" s="98"/>
      <c r="AC1727" s="62"/>
      <c r="AD1727" s="62"/>
      <c r="AE1727" s="62"/>
      <c r="AF1727" s="62"/>
      <c r="AG1727" s="66"/>
      <c r="AH1727" s="62"/>
      <c r="AI1727" s="62"/>
      <c r="AJ1727" s="62"/>
      <c r="AK1727" s="62"/>
      <c r="AL1727" s="66"/>
      <c r="AM1727" s="62"/>
      <c r="AN1727" s="62"/>
      <c r="AO1727" s="62"/>
      <c r="AP1727" s="62"/>
      <c r="AQ1727" s="66"/>
      <c r="AR1727" s="62"/>
      <c r="AS1727" s="62"/>
      <c r="AT1727" s="62"/>
      <c r="AU1727" s="62"/>
      <c r="AV1727" s="66"/>
      <c r="AW1727" s="97"/>
    </row>
    <row r="1728" spans="23:49" x14ac:dyDescent="0.15">
      <c r="W1728" s="12"/>
      <c r="X1728" s="62"/>
      <c r="Y1728" s="62"/>
      <c r="Z1728" s="62"/>
      <c r="AA1728" s="62"/>
      <c r="AB1728" s="98"/>
      <c r="AC1728" s="62"/>
      <c r="AD1728" s="62"/>
      <c r="AE1728" s="62"/>
      <c r="AF1728" s="62"/>
      <c r="AG1728" s="66"/>
      <c r="AH1728" s="62"/>
      <c r="AI1728" s="62"/>
      <c r="AJ1728" s="62"/>
      <c r="AK1728" s="62"/>
      <c r="AL1728" s="66"/>
      <c r="AM1728" s="62"/>
      <c r="AN1728" s="62"/>
      <c r="AO1728" s="62"/>
      <c r="AP1728" s="62"/>
      <c r="AQ1728" s="66"/>
      <c r="AR1728" s="62"/>
      <c r="AS1728" s="62"/>
      <c r="AT1728" s="62"/>
      <c r="AU1728" s="62"/>
      <c r="AV1728" s="66"/>
      <c r="AW1728" s="97"/>
    </row>
    <row r="1729" spans="23:49" x14ac:dyDescent="0.15">
      <c r="W1729" s="12"/>
      <c r="X1729" s="62"/>
      <c r="Y1729" s="62"/>
      <c r="Z1729" s="62"/>
      <c r="AA1729" s="62"/>
      <c r="AB1729" s="98"/>
      <c r="AC1729" s="62"/>
      <c r="AD1729" s="62"/>
      <c r="AE1729" s="62"/>
      <c r="AF1729" s="62"/>
      <c r="AG1729" s="66"/>
      <c r="AH1729" s="62"/>
      <c r="AI1729" s="62"/>
      <c r="AJ1729" s="62"/>
      <c r="AK1729" s="62"/>
      <c r="AL1729" s="66"/>
      <c r="AM1729" s="62"/>
      <c r="AN1729" s="62"/>
      <c r="AO1729" s="62"/>
      <c r="AP1729" s="62"/>
      <c r="AQ1729" s="66"/>
      <c r="AR1729" s="62"/>
      <c r="AS1729" s="62"/>
      <c r="AT1729" s="62"/>
      <c r="AU1729" s="62"/>
      <c r="AV1729" s="66"/>
      <c r="AW1729" s="97"/>
    </row>
    <row r="1730" spans="23:49" x14ac:dyDescent="0.15">
      <c r="W1730" s="12"/>
      <c r="X1730" s="62"/>
      <c r="Y1730" s="62"/>
      <c r="Z1730" s="62"/>
      <c r="AA1730" s="62"/>
      <c r="AB1730" s="98"/>
      <c r="AC1730" s="62"/>
      <c r="AD1730" s="62"/>
      <c r="AE1730" s="62"/>
      <c r="AF1730" s="62"/>
      <c r="AG1730" s="66"/>
      <c r="AH1730" s="62"/>
      <c r="AI1730" s="62"/>
      <c r="AJ1730" s="62"/>
      <c r="AK1730" s="62"/>
      <c r="AL1730" s="66"/>
      <c r="AM1730" s="62"/>
      <c r="AN1730" s="62"/>
      <c r="AO1730" s="62"/>
      <c r="AP1730" s="62"/>
      <c r="AQ1730" s="66"/>
      <c r="AR1730" s="62"/>
      <c r="AS1730" s="62"/>
      <c r="AT1730" s="62"/>
      <c r="AU1730" s="62"/>
      <c r="AV1730" s="66"/>
      <c r="AW1730" s="97"/>
    </row>
    <row r="1731" spans="23:49" x14ac:dyDescent="0.15">
      <c r="W1731" s="12"/>
      <c r="X1731" s="62"/>
      <c r="Y1731" s="62"/>
      <c r="Z1731" s="62"/>
      <c r="AA1731" s="62"/>
      <c r="AB1731" s="98"/>
      <c r="AC1731" s="62"/>
      <c r="AD1731" s="62"/>
      <c r="AE1731" s="62"/>
      <c r="AF1731" s="62"/>
      <c r="AG1731" s="66"/>
      <c r="AH1731" s="62"/>
      <c r="AI1731" s="62"/>
      <c r="AJ1731" s="62"/>
      <c r="AK1731" s="62"/>
      <c r="AL1731" s="66"/>
      <c r="AM1731" s="62"/>
      <c r="AN1731" s="62"/>
      <c r="AO1731" s="62"/>
      <c r="AP1731" s="62"/>
      <c r="AQ1731" s="66"/>
      <c r="AR1731" s="62"/>
      <c r="AS1731" s="62"/>
      <c r="AT1731" s="62"/>
      <c r="AU1731" s="62"/>
      <c r="AV1731" s="66"/>
      <c r="AW1731" s="97"/>
    </row>
    <row r="1732" spans="23:49" x14ac:dyDescent="0.15">
      <c r="W1732" s="12"/>
      <c r="X1732" s="62"/>
      <c r="Y1732" s="62"/>
      <c r="Z1732" s="62"/>
      <c r="AA1732" s="62"/>
      <c r="AB1732" s="98"/>
      <c r="AC1732" s="62"/>
      <c r="AD1732" s="62"/>
      <c r="AE1732" s="62"/>
      <c r="AF1732" s="62"/>
      <c r="AG1732" s="66"/>
      <c r="AH1732" s="62"/>
      <c r="AI1732" s="62"/>
      <c r="AJ1732" s="62"/>
      <c r="AK1732" s="62"/>
      <c r="AL1732" s="66"/>
      <c r="AM1732" s="62"/>
      <c r="AN1732" s="62"/>
      <c r="AO1732" s="62"/>
      <c r="AP1732" s="62"/>
      <c r="AQ1732" s="66"/>
      <c r="AR1732" s="62"/>
      <c r="AS1732" s="62"/>
      <c r="AT1732" s="62"/>
      <c r="AU1732" s="62"/>
      <c r="AV1732" s="66"/>
      <c r="AW1732" s="97"/>
    </row>
    <row r="1733" spans="23:49" x14ac:dyDescent="0.15">
      <c r="W1733" s="12"/>
      <c r="X1733" s="62"/>
      <c r="Y1733" s="62"/>
      <c r="Z1733" s="62"/>
      <c r="AA1733" s="62"/>
      <c r="AB1733" s="98"/>
      <c r="AC1733" s="62"/>
      <c r="AD1733" s="62"/>
      <c r="AE1733" s="62"/>
      <c r="AF1733" s="62"/>
      <c r="AG1733" s="66"/>
      <c r="AH1733" s="62"/>
      <c r="AI1733" s="62"/>
      <c r="AJ1733" s="62"/>
      <c r="AK1733" s="62"/>
      <c r="AL1733" s="66"/>
      <c r="AM1733" s="62"/>
      <c r="AN1733" s="62"/>
      <c r="AO1733" s="62"/>
      <c r="AP1733" s="62"/>
      <c r="AQ1733" s="66"/>
      <c r="AR1733" s="62"/>
      <c r="AS1733" s="62"/>
      <c r="AT1733" s="62"/>
      <c r="AU1733" s="62"/>
      <c r="AV1733" s="66"/>
      <c r="AW1733" s="97"/>
    </row>
    <row r="1734" spans="23:49" x14ac:dyDescent="0.15">
      <c r="W1734" s="12"/>
      <c r="X1734" s="62"/>
      <c r="Y1734" s="62"/>
      <c r="Z1734" s="62"/>
      <c r="AA1734" s="62"/>
      <c r="AB1734" s="98"/>
      <c r="AC1734" s="62"/>
      <c r="AD1734" s="62"/>
      <c r="AE1734" s="62"/>
      <c r="AF1734" s="62"/>
      <c r="AG1734" s="66"/>
      <c r="AH1734" s="62"/>
      <c r="AI1734" s="62"/>
      <c r="AJ1734" s="62"/>
      <c r="AK1734" s="62"/>
      <c r="AL1734" s="66"/>
      <c r="AM1734" s="62"/>
      <c r="AN1734" s="62"/>
      <c r="AO1734" s="62"/>
      <c r="AP1734" s="62"/>
      <c r="AQ1734" s="66"/>
      <c r="AR1734" s="62"/>
      <c r="AS1734" s="62"/>
      <c r="AT1734" s="62"/>
      <c r="AU1734" s="62"/>
      <c r="AV1734" s="66"/>
      <c r="AW1734" s="97"/>
    </row>
    <row r="1735" spans="23:49" x14ac:dyDescent="0.15">
      <c r="W1735" s="12"/>
      <c r="X1735" s="62"/>
      <c r="Y1735" s="62"/>
      <c r="Z1735" s="62"/>
      <c r="AA1735" s="62"/>
      <c r="AB1735" s="98"/>
      <c r="AC1735" s="62"/>
      <c r="AD1735" s="62"/>
      <c r="AE1735" s="62"/>
      <c r="AF1735" s="62"/>
      <c r="AG1735" s="66"/>
      <c r="AH1735" s="62"/>
      <c r="AI1735" s="62"/>
      <c r="AJ1735" s="62"/>
      <c r="AK1735" s="62"/>
      <c r="AL1735" s="66"/>
      <c r="AM1735" s="62"/>
      <c r="AN1735" s="62"/>
      <c r="AO1735" s="62"/>
      <c r="AP1735" s="62"/>
      <c r="AQ1735" s="66"/>
      <c r="AR1735" s="62"/>
      <c r="AS1735" s="62"/>
      <c r="AT1735" s="62"/>
      <c r="AU1735" s="62"/>
      <c r="AV1735" s="66"/>
      <c r="AW1735" s="97"/>
    </row>
    <row r="1736" spans="23:49" x14ac:dyDescent="0.15">
      <c r="W1736" s="12"/>
      <c r="X1736" s="62"/>
      <c r="Y1736" s="62"/>
      <c r="Z1736" s="62"/>
      <c r="AA1736" s="62"/>
      <c r="AB1736" s="98"/>
      <c r="AC1736" s="62"/>
      <c r="AD1736" s="62"/>
      <c r="AE1736" s="62"/>
      <c r="AF1736" s="62"/>
      <c r="AG1736" s="66"/>
      <c r="AH1736" s="62"/>
      <c r="AI1736" s="62"/>
      <c r="AJ1736" s="62"/>
      <c r="AK1736" s="62"/>
      <c r="AL1736" s="66"/>
      <c r="AM1736" s="62"/>
      <c r="AN1736" s="62"/>
      <c r="AO1736" s="62"/>
      <c r="AP1736" s="62"/>
      <c r="AQ1736" s="66"/>
      <c r="AR1736" s="62"/>
      <c r="AS1736" s="62"/>
      <c r="AT1736" s="62"/>
      <c r="AU1736" s="62"/>
      <c r="AV1736" s="66"/>
      <c r="AW1736" s="97"/>
    </row>
    <row r="1737" spans="23:49" x14ac:dyDescent="0.15">
      <c r="W1737" s="12"/>
      <c r="X1737" s="62"/>
      <c r="Y1737" s="62"/>
      <c r="Z1737" s="62"/>
      <c r="AA1737" s="62"/>
      <c r="AB1737" s="98"/>
      <c r="AC1737" s="62"/>
      <c r="AD1737" s="62"/>
      <c r="AE1737" s="62"/>
      <c r="AF1737" s="62"/>
      <c r="AG1737" s="66"/>
      <c r="AH1737" s="62"/>
      <c r="AI1737" s="62"/>
      <c r="AJ1737" s="62"/>
      <c r="AK1737" s="62"/>
      <c r="AL1737" s="66"/>
      <c r="AM1737" s="62"/>
      <c r="AN1737" s="62"/>
      <c r="AO1737" s="62"/>
      <c r="AP1737" s="62"/>
      <c r="AQ1737" s="66"/>
      <c r="AR1737" s="62"/>
      <c r="AS1737" s="62"/>
      <c r="AT1737" s="62"/>
      <c r="AU1737" s="62"/>
      <c r="AV1737" s="66"/>
      <c r="AW1737" s="97"/>
    </row>
    <row r="1738" spans="23:49" x14ac:dyDescent="0.15">
      <c r="W1738" s="12"/>
      <c r="X1738" s="62"/>
      <c r="Y1738" s="62"/>
      <c r="Z1738" s="62"/>
      <c r="AA1738" s="62"/>
      <c r="AB1738" s="98"/>
      <c r="AC1738" s="62"/>
      <c r="AD1738" s="62"/>
      <c r="AE1738" s="62"/>
      <c r="AF1738" s="62"/>
      <c r="AG1738" s="66"/>
      <c r="AH1738" s="62"/>
      <c r="AI1738" s="62"/>
      <c r="AJ1738" s="62"/>
      <c r="AK1738" s="62"/>
      <c r="AL1738" s="66"/>
      <c r="AM1738" s="62"/>
      <c r="AN1738" s="62"/>
      <c r="AO1738" s="62"/>
      <c r="AP1738" s="62"/>
      <c r="AQ1738" s="66"/>
      <c r="AR1738" s="62"/>
      <c r="AS1738" s="62"/>
      <c r="AT1738" s="62"/>
      <c r="AU1738" s="62"/>
      <c r="AV1738" s="66"/>
      <c r="AW1738" s="97"/>
    </row>
    <row r="1739" spans="23:49" x14ac:dyDescent="0.15">
      <c r="W1739" s="12"/>
      <c r="X1739" s="62"/>
      <c r="Y1739" s="62"/>
      <c r="Z1739" s="62"/>
      <c r="AA1739" s="62"/>
      <c r="AB1739" s="98"/>
      <c r="AC1739" s="62"/>
      <c r="AD1739" s="62"/>
      <c r="AE1739" s="62"/>
      <c r="AF1739" s="62"/>
      <c r="AG1739" s="66"/>
      <c r="AH1739" s="62"/>
      <c r="AI1739" s="62"/>
      <c r="AJ1739" s="62"/>
      <c r="AK1739" s="62"/>
      <c r="AL1739" s="66"/>
      <c r="AM1739" s="62"/>
      <c r="AN1739" s="62"/>
      <c r="AO1739" s="62"/>
      <c r="AP1739" s="62"/>
      <c r="AQ1739" s="66"/>
      <c r="AR1739" s="62"/>
      <c r="AS1739" s="62"/>
      <c r="AT1739" s="62"/>
      <c r="AU1739" s="62"/>
      <c r="AV1739" s="66"/>
      <c r="AW1739" s="97"/>
    </row>
    <row r="1740" spans="23:49" x14ac:dyDescent="0.15">
      <c r="W1740" s="12"/>
      <c r="X1740" s="62"/>
      <c r="Y1740" s="62"/>
      <c r="Z1740" s="62"/>
      <c r="AA1740" s="62"/>
      <c r="AB1740" s="98"/>
      <c r="AC1740" s="62"/>
      <c r="AD1740" s="62"/>
      <c r="AE1740" s="62"/>
      <c r="AF1740" s="62"/>
      <c r="AG1740" s="66"/>
      <c r="AH1740" s="62"/>
      <c r="AI1740" s="62"/>
      <c r="AJ1740" s="62"/>
      <c r="AK1740" s="62"/>
      <c r="AL1740" s="66"/>
      <c r="AM1740" s="62"/>
      <c r="AN1740" s="62"/>
      <c r="AO1740" s="62"/>
      <c r="AP1740" s="62"/>
      <c r="AQ1740" s="66"/>
      <c r="AR1740" s="62"/>
      <c r="AS1740" s="62"/>
      <c r="AT1740" s="62"/>
      <c r="AU1740" s="62"/>
      <c r="AV1740" s="66"/>
      <c r="AW1740" s="97"/>
    </row>
    <row r="1741" spans="23:49" x14ac:dyDescent="0.15">
      <c r="W1741" s="12"/>
      <c r="X1741" s="62"/>
      <c r="Y1741" s="62"/>
      <c r="Z1741" s="62"/>
      <c r="AA1741" s="62"/>
      <c r="AB1741" s="98"/>
      <c r="AC1741" s="62"/>
      <c r="AD1741" s="62"/>
      <c r="AE1741" s="62"/>
      <c r="AF1741" s="62"/>
      <c r="AG1741" s="66"/>
      <c r="AH1741" s="62"/>
      <c r="AI1741" s="62"/>
      <c r="AJ1741" s="62"/>
      <c r="AK1741" s="62"/>
      <c r="AL1741" s="66"/>
      <c r="AM1741" s="62"/>
      <c r="AN1741" s="62"/>
      <c r="AO1741" s="62"/>
      <c r="AP1741" s="62"/>
      <c r="AQ1741" s="66"/>
      <c r="AR1741" s="62"/>
      <c r="AS1741" s="62"/>
      <c r="AT1741" s="62"/>
      <c r="AU1741" s="62"/>
      <c r="AV1741" s="66"/>
      <c r="AW1741" s="97"/>
    </row>
    <row r="1742" spans="23:49" x14ac:dyDescent="0.15">
      <c r="W1742" s="12"/>
      <c r="X1742" s="62"/>
      <c r="Y1742" s="62"/>
      <c r="Z1742" s="62"/>
      <c r="AA1742" s="62"/>
      <c r="AB1742" s="98"/>
      <c r="AC1742" s="62"/>
      <c r="AD1742" s="62"/>
      <c r="AE1742" s="62"/>
      <c r="AF1742" s="62"/>
      <c r="AG1742" s="66"/>
      <c r="AH1742" s="62"/>
      <c r="AI1742" s="62"/>
      <c r="AJ1742" s="62"/>
      <c r="AK1742" s="62"/>
      <c r="AL1742" s="66"/>
      <c r="AM1742" s="62"/>
      <c r="AN1742" s="62"/>
      <c r="AO1742" s="62"/>
      <c r="AP1742" s="62"/>
      <c r="AQ1742" s="66"/>
      <c r="AR1742" s="62"/>
      <c r="AS1742" s="62"/>
      <c r="AT1742" s="62"/>
      <c r="AU1742" s="62"/>
      <c r="AV1742" s="66"/>
      <c r="AW1742" s="97"/>
    </row>
    <row r="1743" spans="23:49" x14ac:dyDescent="0.15">
      <c r="W1743" s="12"/>
      <c r="X1743" s="62"/>
      <c r="Y1743" s="62"/>
      <c r="Z1743" s="62"/>
      <c r="AA1743" s="62"/>
      <c r="AB1743" s="98"/>
      <c r="AC1743" s="62"/>
      <c r="AD1743" s="62"/>
      <c r="AE1743" s="62"/>
      <c r="AF1743" s="62"/>
      <c r="AG1743" s="66"/>
      <c r="AH1743" s="62"/>
      <c r="AI1743" s="62"/>
      <c r="AJ1743" s="62"/>
      <c r="AK1743" s="62"/>
      <c r="AL1743" s="66"/>
      <c r="AM1743" s="62"/>
      <c r="AN1743" s="62"/>
      <c r="AO1743" s="62"/>
      <c r="AP1743" s="62"/>
      <c r="AQ1743" s="66"/>
      <c r="AR1743" s="62"/>
      <c r="AS1743" s="62"/>
      <c r="AT1743" s="62"/>
      <c r="AU1743" s="62"/>
      <c r="AV1743" s="66"/>
      <c r="AW1743" s="97"/>
    </row>
    <row r="1744" spans="23:49" x14ac:dyDescent="0.15">
      <c r="W1744" s="12"/>
      <c r="X1744" s="62"/>
      <c r="Y1744" s="62"/>
      <c r="Z1744" s="62"/>
      <c r="AA1744" s="62"/>
      <c r="AB1744" s="98"/>
      <c r="AC1744" s="62"/>
      <c r="AD1744" s="62"/>
      <c r="AE1744" s="62"/>
      <c r="AF1744" s="62"/>
      <c r="AG1744" s="66"/>
      <c r="AH1744" s="62"/>
      <c r="AI1744" s="62"/>
      <c r="AJ1744" s="62"/>
      <c r="AK1744" s="62"/>
      <c r="AL1744" s="66"/>
      <c r="AM1744" s="62"/>
      <c r="AN1744" s="62"/>
      <c r="AO1744" s="62"/>
      <c r="AP1744" s="62"/>
      <c r="AQ1744" s="66"/>
      <c r="AR1744" s="62"/>
      <c r="AS1744" s="62"/>
      <c r="AT1744" s="62"/>
      <c r="AU1744" s="62"/>
      <c r="AV1744" s="66"/>
      <c r="AW1744" s="97"/>
    </row>
    <row r="1745" spans="23:49" x14ac:dyDescent="0.15">
      <c r="W1745" s="12"/>
      <c r="X1745" s="62"/>
      <c r="Y1745" s="62"/>
      <c r="Z1745" s="62"/>
      <c r="AA1745" s="62"/>
      <c r="AB1745" s="98"/>
      <c r="AC1745" s="62"/>
      <c r="AD1745" s="62"/>
      <c r="AE1745" s="62"/>
      <c r="AF1745" s="62"/>
      <c r="AG1745" s="66"/>
      <c r="AH1745" s="62"/>
      <c r="AI1745" s="62"/>
      <c r="AJ1745" s="62"/>
      <c r="AK1745" s="62"/>
      <c r="AL1745" s="66"/>
      <c r="AM1745" s="62"/>
      <c r="AN1745" s="62"/>
      <c r="AO1745" s="62"/>
      <c r="AP1745" s="62"/>
      <c r="AQ1745" s="66"/>
      <c r="AR1745" s="62"/>
      <c r="AS1745" s="62"/>
      <c r="AT1745" s="62"/>
      <c r="AU1745" s="62"/>
      <c r="AV1745" s="66"/>
      <c r="AW1745" s="97"/>
    </row>
    <row r="1746" spans="23:49" x14ac:dyDescent="0.15">
      <c r="W1746" s="12"/>
      <c r="X1746" s="62"/>
      <c r="Y1746" s="62"/>
      <c r="Z1746" s="62"/>
      <c r="AA1746" s="62"/>
      <c r="AB1746" s="98"/>
      <c r="AC1746" s="62"/>
      <c r="AD1746" s="62"/>
      <c r="AE1746" s="62"/>
      <c r="AF1746" s="62"/>
      <c r="AG1746" s="66"/>
      <c r="AH1746" s="62"/>
      <c r="AI1746" s="62"/>
      <c r="AJ1746" s="62"/>
      <c r="AK1746" s="62"/>
      <c r="AL1746" s="66"/>
      <c r="AM1746" s="62"/>
      <c r="AN1746" s="62"/>
      <c r="AO1746" s="62"/>
      <c r="AP1746" s="62"/>
      <c r="AQ1746" s="66"/>
      <c r="AR1746" s="62"/>
      <c r="AS1746" s="62"/>
      <c r="AT1746" s="62"/>
      <c r="AU1746" s="62"/>
      <c r="AV1746" s="66"/>
      <c r="AW1746" s="97"/>
    </row>
    <row r="1747" spans="23:49" x14ac:dyDescent="0.15">
      <c r="W1747" s="12"/>
      <c r="X1747" s="62"/>
      <c r="Y1747" s="62"/>
      <c r="Z1747" s="62"/>
      <c r="AA1747" s="62"/>
      <c r="AB1747" s="98"/>
      <c r="AC1747" s="62"/>
      <c r="AD1747" s="62"/>
      <c r="AE1747" s="62"/>
      <c r="AF1747" s="62"/>
      <c r="AG1747" s="66"/>
      <c r="AH1747" s="62"/>
      <c r="AI1747" s="62"/>
      <c r="AJ1747" s="62"/>
      <c r="AK1747" s="62"/>
      <c r="AL1747" s="66"/>
      <c r="AM1747" s="62"/>
      <c r="AN1747" s="62"/>
      <c r="AO1747" s="62"/>
      <c r="AP1747" s="62"/>
      <c r="AQ1747" s="66"/>
      <c r="AR1747" s="62"/>
      <c r="AS1747" s="62"/>
      <c r="AT1747" s="62"/>
      <c r="AU1747" s="62"/>
      <c r="AV1747" s="66"/>
      <c r="AW1747" s="97"/>
    </row>
    <row r="1748" spans="23:49" x14ac:dyDescent="0.15">
      <c r="W1748" s="12"/>
      <c r="X1748" s="62"/>
      <c r="Y1748" s="62"/>
      <c r="Z1748" s="62"/>
      <c r="AA1748" s="62"/>
      <c r="AB1748" s="98"/>
      <c r="AC1748" s="62"/>
      <c r="AD1748" s="62"/>
      <c r="AE1748" s="62"/>
      <c r="AF1748" s="62"/>
      <c r="AG1748" s="66"/>
      <c r="AH1748" s="62"/>
      <c r="AI1748" s="62"/>
      <c r="AJ1748" s="62"/>
      <c r="AK1748" s="62"/>
      <c r="AL1748" s="66"/>
      <c r="AM1748" s="62"/>
      <c r="AN1748" s="62"/>
      <c r="AO1748" s="62"/>
      <c r="AP1748" s="62"/>
      <c r="AQ1748" s="66"/>
      <c r="AR1748" s="62"/>
      <c r="AS1748" s="62"/>
      <c r="AT1748" s="62"/>
      <c r="AU1748" s="62"/>
      <c r="AV1748" s="66"/>
      <c r="AW1748" s="97"/>
    </row>
    <row r="1749" spans="23:49" x14ac:dyDescent="0.15">
      <c r="W1749" s="12"/>
      <c r="X1749" s="62"/>
      <c r="Y1749" s="62"/>
      <c r="Z1749" s="62"/>
      <c r="AA1749" s="62"/>
      <c r="AB1749" s="98"/>
      <c r="AC1749" s="62"/>
      <c r="AD1749" s="62"/>
      <c r="AE1749" s="62"/>
      <c r="AF1749" s="62"/>
      <c r="AG1749" s="66"/>
      <c r="AH1749" s="62"/>
      <c r="AI1749" s="62"/>
      <c r="AJ1749" s="62"/>
      <c r="AK1749" s="62"/>
      <c r="AL1749" s="66"/>
      <c r="AM1749" s="62"/>
      <c r="AN1749" s="62"/>
      <c r="AO1749" s="62"/>
      <c r="AP1749" s="62"/>
      <c r="AQ1749" s="66"/>
      <c r="AR1749" s="62"/>
      <c r="AS1749" s="62"/>
      <c r="AT1749" s="62"/>
      <c r="AU1749" s="62"/>
      <c r="AV1749" s="66"/>
      <c r="AW1749" s="97"/>
    </row>
    <row r="1750" spans="23:49" x14ac:dyDescent="0.15">
      <c r="W1750" s="12"/>
      <c r="X1750" s="62"/>
      <c r="Y1750" s="62"/>
      <c r="Z1750" s="62"/>
      <c r="AA1750" s="62"/>
      <c r="AB1750" s="98"/>
      <c r="AC1750" s="62"/>
      <c r="AD1750" s="62"/>
      <c r="AE1750" s="62"/>
      <c r="AF1750" s="62"/>
      <c r="AG1750" s="66"/>
      <c r="AH1750" s="62"/>
      <c r="AI1750" s="62"/>
      <c r="AJ1750" s="62"/>
      <c r="AK1750" s="62"/>
      <c r="AL1750" s="66"/>
      <c r="AM1750" s="62"/>
      <c r="AN1750" s="62"/>
      <c r="AO1750" s="62"/>
      <c r="AP1750" s="62"/>
      <c r="AQ1750" s="66"/>
      <c r="AR1750" s="62"/>
      <c r="AS1750" s="62"/>
      <c r="AT1750" s="62"/>
      <c r="AU1750" s="62"/>
      <c r="AV1750" s="66"/>
      <c r="AW1750" s="97"/>
    </row>
    <row r="1751" spans="23:49" x14ac:dyDescent="0.15">
      <c r="W1751" s="12"/>
      <c r="X1751" s="62"/>
      <c r="Y1751" s="62"/>
      <c r="Z1751" s="62"/>
      <c r="AA1751" s="62"/>
      <c r="AB1751" s="98"/>
      <c r="AC1751" s="62"/>
      <c r="AD1751" s="62"/>
      <c r="AE1751" s="62"/>
      <c r="AF1751" s="62"/>
      <c r="AG1751" s="66"/>
      <c r="AH1751" s="62"/>
      <c r="AI1751" s="62"/>
      <c r="AJ1751" s="62"/>
      <c r="AK1751" s="62"/>
      <c r="AL1751" s="66"/>
      <c r="AM1751" s="62"/>
      <c r="AN1751" s="62"/>
      <c r="AO1751" s="62"/>
      <c r="AP1751" s="62"/>
      <c r="AQ1751" s="66"/>
      <c r="AR1751" s="62"/>
      <c r="AS1751" s="62"/>
      <c r="AT1751" s="62"/>
      <c r="AU1751" s="62"/>
      <c r="AV1751" s="66"/>
      <c r="AW1751" s="97"/>
    </row>
    <row r="1752" spans="23:49" x14ac:dyDescent="0.15">
      <c r="W1752" s="12"/>
      <c r="X1752" s="62"/>
      <c r="Y1752" s="62"/>
      <c r="Z1752" s="62"/>
      <c r="AA1752" s="62"/>
      <c r="AB1752" s="98"/>
      <c r="AC1752" s="62"/>
      <c r="AD1752" s="62"/>
      <c r="AE1752" s="62"/>
      <c r="AF1752" s="62"/>
      <c r="AG1752" s="66"/>
      <c r="AH1752" s="62"/>
      <c r="AI1752" s="62"/>
      <c r="AJ1752" s="62"/>
      <c r="AK1752" s="62"/>
      <c r="AL1752" s="66"/>
      <c r="AM1752" s="62"/>
      <c r="AN1752" s="62"/>
      <c r="AO1752" s="62"/>
      <c r="AP1752" s="62"/>
      <c r="AQ1752" s="66"/>
      <c r="AR1752" s="62"/>
      <c r="AS1752" s="62"/>
      <c r="AT1752" s="62"/>
      <c r="AU1752" s="62"/>
      <c r="AV1752" s="66"/>
      <c r="AW1752" s="97"/>
    </row>
    <row r="1753" spans="23:49" x14ac:dyDescent="0.15">
      <c r="W1753" s="12"/>
      <c r="X1753" s="62"/>
      <c r="Y1753" s="62"/>
      <c r="Z1753" s="62"/>
      <c r="AA1753" s="62"/>
      <c r="AB1753" s="98"/>
      <c r="AC1753" s="62"/>
      <c r="AD1753" s="62"/>
      <c r="AE1753" s="62"/>
      <c r="AF1753" s="62"/>
      <c r="AG1753" s="66"/>
      <c r="AH1753" s="62"/>
      <c r="AI1753" s="62"/>
      <c r="AJ1753" s="62"/>
      <c r="AK1753" s="62"/>
      <c r="AL1753" s="66"/>
      <c r="AM1753" s="62"/>
      <c r="AN1753" s="62"/>
      <c r="AO1753" s="62"/>
      <c r="AP1753" s="62"/>
      <c r="AQ1753" s="66"/>
      <c r="AR1753" s="62"/>
      <c r="AS1753" s="62"/>
      <c r="AT1753" s="62"/>
      <c r="AU1753" s="62"/>
      <c r="AV1753" s="66"/>
      <c r="AW1753" s="97"/>
    </row>
    <row r="1754" spans="23:49" x14ac:dyDescent="0.15">
      <c r="W1754" s="12"/>
      <c r="X1754" s="62"/>
      <c r="Y1754" s="62"/>
      <c r="Z1754" s="62"/>
      <c r="AA1754" s="62"/>
      <c r="AB1754" s="98"/>
      <c r="AC1754" s="62"/>
      <c r="AD1754" s="62"/>
      <c r="AE1754" s="62"/>
      <c r="AF1754" s="62"/>
      <c r="AG1754" s="66"/>
      <c r="AH1754" s="62"/>
      <c r="AI1754" s="62"/>
      <c r="AJ1754" s="62"/>
      <c r="AK1754" s="62"/>
      <c r="AL1754" s="66"/>
      <c r="AM1754" s="62"/>
      <c r="AN1754" s="62"/>
      <c r="AO1754" s="62"/>
      <c r="AP1754" s="62"/>
      <c r="AQ1754" s="66"/>
      <c r="AR1754" s="62"/>
      <c r="AS1754" s="62"/>
      <c r="AT1754" s="62"/>
      <c r="AU1754" s="62"/>
      <c r="AV1754" s="66"/>
      <c r="AW1754" s="97"/>
    </row>
    <row r="1755" spans="23:49" x14ac:dyDescent="0.15">
      <c r="W1755" s="12"/>
      <c r="X1755" s="62"/>
      <c r="Y1755" s="62"/>
      <c r="Z1755" s="62"/>
      <c r="AA1755" s="62"/>
      <c r="AB1755" s="98"/>
      <c r="AC1755" s="62"/>
      <c r="AD1755" s="62"/>
      <c r="AE1755" s="62"/>
      <c r="AF1755" s="62"/>
      <c r="AG1755" s="66"/>
      <c r="AH1755" s="62"/>
      <c r="AI1755" s="62"/>
      <c r="AJ1755" s="62"/>
      <c r="AK1755" s="62"/>
      <c r="AL1755" s="66"/>
      <c r="AM1755" s="62"/>
      <c r="AN1755" s="62"/>
      <c r="AO1755" s="62"/>
      <c r="AP1755" s="62"/>
      <c r="AQ1755" s="66"/>
      <c r="AR1755" s="62"/>
      <c r="AS1755" s="62"/>
      <c r="AT1755" s="62"/>
      <c r="AU1755" s="62"/>
      <c r="AV1755" s="66"/>
      <c r="AW1755" s="97"/>
    </row>
    <row r="1756" spans="23:49" x14ac:dyDescent="0.15">
      <c r="W1756" s="12"/>
      <c r="X1756" s="62"/>
      <c r="Y1756" s="62"/>
      <c r="Z1756" s="62"/>
      <c r="AA1756" s="62"/>
      <c r="AB1756" s="98"/>
      <c r="AC1756" s="62"/>
      <c r="AD1756" s="62"/>
      <c r="AE1756" s="62"/>
      <c r="AF1756" s="62"/>
      <c r="AG1756" s="66"/>
      <c r="AH1756" s="62"/>
      <c r="AI1756" s="62"/>
      <c r="AJ1756" s="62"/>
      <c r="AK1756" s="62"/>
      <c r="AL1756" s="66"/>
      <c r="AM1756" s="62"/>
      <c r="AN1756" s="62"/>
      <c r="AO1756" s="62"/>
      <c r="AP1756" s="62"/>
      <c r="AQ1756" s="66"/>
      <c r="AR1756" s="62"/>
      <c r="AS1756" s="62"/>
      <c r="AT1756" s="62"/>
      <c r="AU1756" s="62"/>
      <c r="AV1756" s="66"/>
      <c r="AW1756" s="97"/>
    </row>
    <row r="1757" spans="23:49" x14ac:dyDescent="0.15">
      <c r="W1757" s="12"/>
      <c r="X1757" s="62"/>
      <c r="Y1757" s="62"/>
      <c r="Z1757" s="62"/>
      <c r="AA1757" s="62"/>
      <c r="AB1757" s="98"/>
      <c r="AC1757" s="62"/>
      <c r="AD1757" s="62"/>
      <c r="AE1757" s="62"/>
      <c r="AF1757" s="62"/>
      <c r="AG1757" s="66"/>
      <c r="AH1757" s="62"/>
      <c r="AI1757" s="62"/>
      <c r="AJ1757" s="62"/>
      <c r="AK1757" s="62"/>
      <c r="AL1757" s="66"/>
      <c r="AM1757" s="62"/>
      <c r="AN1757" s="62"/>
      <c r="AO1757" s="62"/>
      <c r="AP1757" s="62"/>
      <c r="AQ1757" s="66"/>
      <c r="AR1757" s="62"/>
      <c r="AS1757" s="62"/>
      <c r="AT1757" s="62"/>
      <c r="AU1757" s="62"/>
      <c r="AV1757" s="66"/>
      <c r="AW1757" s="97"/>
    </row>
    <row r="1758" spans="23:49" x14ac:dyDescent="0.15">
      <c r="W1758" s="12"/>
      <c r="X1758" s="62"/>
      <c r="Y1758" s="62"/>
      <c r="Z1758" s="62"/>
      <c r="AA1758" s="62"/>
      <c r="AB1758" s="98"/>
      <c r="AC1758" s="62"/>
      <c r="AD1758" s="62"/>
      <c r="AE1758" s="62"/>
      <c r="AF1758" s="62"/>
      <c r="AG1758" s="66"/>
      <c r="AH1758" s="62"/>
      <c r="AI1758" s="62"/>
      <c r="AJ1758" s="62"/>
      <c r="AK1758" s="62"/>
      <c r="AL1758" s="66"/>
      <c r="AM1758" s="62"/>
      <c r="AN1758" s="62"/>
      <c r="AO1758" s="62"/>
      <c r="AP1758" s="62"/>
      <c r="AQ1758" s="66"/>
      <c r="AR1758" s="62"/>
      <c r="AS1758" s="62"/>
      <c r="AT1758" s="62"/>
      <c r="AU1758" s="62"/>
      <c r="AV1758" s="66"/>
      <c r="AW1758" s="97"/>
    </row>
    <row r="1759" spans="23:49" x14ac:dyDescent="0.15">
      <c r="W1759" s="12"/>
      <c r="X1759" s="62"/>
      <c r="Y1759" s="62"/>
      <c r="Z1759" s="62"/>
      <c r="AA1759" s="62"/>
      <c r="AB1759" s="98"/>
      <c r="AC1759" s="62"/>
      <c r="AD1759" s="62"/>
      <c r="AE1759" s="62"/>
      <c r="AF1759" s="62"/>
      <c r="AG1759" s="66"/>
      <c r="AH1759" s="62"/>
      <c r="AI1759" s="62"/>
      <c r="AJ1759" s="62"/>
      <c r="AK1759" s="62"/>
      <c r="AL1759" s="66"/>
      <c r="AM1759" s="62"/>
      <c r="AN1759" s="62"/>
      <c r="AO1759" s="62"/>
      <c r="AP1759" s="62"/>
      <c r="AQ1759" s="66"/>
      <c r="AR1759" s="62"/>
      <c r="AS1759" s="62"/>
      <c r="AT1759" s="62"/>
      <c r="AU1759" s="62"/>
      <c r="AV1759" s="66"/>
      <c r="AW1759" s="97"/>
    </row>
    <row r="1760" spans="23:49" x14ac:dyDescent="0.15">
      <c r="W1760" s="12"/>
      <c r="X1760" s="62"/>
      <c r="Y1760" s="62"/>
      <c r="Z1760" s="62"/>
      <c r="AA1760" s="62"/>
      <c r="AB1760" s="98"/>
      <c r="AC1760" s="62"/>
      <c r="AD1760" s="62"/>
      <c r="AE1760" s="62"/>
      <c r="AF1760" s="62"/>
      <c r="AG1760" s="66"/>
      <c r="AH1760" s="62"/>
      <c r="AI1760" s="62"/>
      <c r="AJ1760" s="62"/>
      <c r="AK1760" s="62"/>
      <c r="AL1760" s="66"/>
      <c r="AM1760" s="62"/>
      <c r="AN1760" s="62"/>
      <c r="AO1760" s="62"/>
      <c r="AP1760" s="62"/>
      <c r="AQ1760" s="66"/>
      <c r="AR1760" s="62"/>
      <c r="AS1760" s="62"/>
      <c r="AT1760" s="62"/>
      <c r="AU1760" s="62"/>
      <c r="AV1760" s="66"/>
      <c r="AW1760" s="97"/>
    </row>
    <row r="1761" spans="23:49" x14ac:dyDescent="0.15">
      <c r="W1761" s="12"/>
      <c r="X1761" s="62"/>
      <c r="Y1761" s="62"/>
      <c r="Z1761" s="62"/>
      <c r="AA1761" s="62"/>
      <c r="AB1761" s="98"/>
      <c r="AC1761" s="62"/>
      <c r="AD1761" s="62"/>
      <c r="AE1761" s="62"/>
      <c r="AF1761" s="62"/>
      <c r="AG1761" s="66"/>
      <c r="AH1761" s="62"/>
      <c r="AI1761" s="62"/>
      <c r="AJ1761" s="62"/>
      <c r="AK1761" s="62"/>
      <c r="AL1761" s="66"/>
      <c r="AM1761" s="62"/>
      <c r="AN1761" s="62"/>
      <c r="AO1761" s="62"/>
      <c r="AP1761" s="62"/>
      <c r="AQ1761" s="66"/>
      <c r="AR1761" s="62"/>
      <c r="AS1761" s="62"/>
      <c r="AT1761" s="62"/>
      <c r="AU1761" s="62"/>
      <c r="AV1761" s="66"/>
      <c r="AW1761" s="97"/>
    </row>
    <row r="1762" spans="23:49" x14ac:dyDescent="0.15">
      <c r="W1762" s="12"/>
      <c r="X1762" s="62"/>
      <c r="Y1762" s="62"/>
      <c r="Z1762" s="62"/>
      <c r="AA1762" s="62"/>
      <c r="AB1762" s="98"/>
      <c r="AC1762" s="62"/>
      <c r="AD1762" s="62"/>
      <c r="AE1762" s="62"/>
      <c r="AF1762" s="62"/>
      <c r="AG1762" s="66"/>
      <c r="AH1762" s="62"/>
      <c r="AI1762" s="62"/>
      <c r="AJ1762" s="62"/>
      <c r="AK1762" s="62"/>
      <c r="AL1762" s="66"/>
      <c r="AM1762" s="62"/>
      <c r="AN1762" s="62"/>
      <c r="AO1762" s="62"/>
      <c r="AP1762" s="62"/>
      <c r="AQ1762" s="66"/>
      <c r="AR1762" s="62"/>
      <c r="AS1762" s="62"/>
      <c r="AT1762" s="62"/>
      <c r="AU1762" s="62"/>
      <c r="AV1762" s="66"/>
      <c r="AW1762" s="97"/>
    </row>
    <row r="1763" spans="23:49" x14ac:dyDescent="0.15">
      <c r="W1763" s="12"/>
      <c r="X1763" s="62"/>
      <c r="Y1763" s="62"/>
      <c r="Z1763" s="62"/>
      <c r="AA1763" s="62"/>
      <c r="AB1763" s="98"/>
      <c r="AC1763" s="62"/>
      <c r="AD1763" s="62"/>
      <c r="AE1763" s="62"/>
      <c r="AF1763" s="62"/>
      <c r="AG1763" s="66"/>
      <c r="AH1763" s="62"/>
      <c r="AI1763" s="62"/>
      <c r="AJ1763" s="62"/>
      <c r="AK1763" s="62"/>
      <c r="AL1763" s="66"/>
      <c r="AM1763" s="62"/>
      <c r="AN1763" s="62"/>
      <c r="AO1763" s="62"/>
      <c r="AP1763" s="62"/>
      <c r="AQ1763" s="66"/>
      <c r="AR1763" s="62"/>
      <c r="AS1763" s="62"/>
      <c r="AT1763" s="62"/>
      <c r="AU1763" s="62"/>
      <c r="AV1763" s="66"/>
      <c r="AW1763" s="97"/>
    </row>
    <row r="1764" spans="23:49" x14ac:dyDescent="0.15">
      <c r="W1764" s="12"/>
      <c r="X1764" s="62"/>
      <c r="Y1764" s="62"/>
      <c r="Z1764" s="62"/>
      <c r="AA1764" s="62"/>
      <c r="AB1764" s="98"/>
      <c r="AC1764" s="62"/>
      <c r="AD1764" s="62"/>
      <c r="AE1764" s="62"/>
      <c r="AF1764" s="62"/>
      <c r="AG1764" s="66"/>
      <c r="AH1764" s="62"/>
      <c r="AI1764" s="62"/>
      <c r="AJ1764" s="62"/>
      <c r="AK1764" s="62"/>
      <c r="AL1764" s="66"/>
      <c r="AM1764" s="62"/>
      <c r="AN1764" s="62"/>
      <c r="AO1764" s="62"/>
      <c r="AP1764" s="62"/>
      <c r="AQ1764" s="66"/>
      <c r="AR1764" s="62"/>
      <c r="AS1764" s="62"/>
      <c r="AT1764" s="62"/>
      <c r="AU1764" s="62"/>
      <c r="AV1764" s="66"/>
      <c r="AW1764" s="97"/>
    </row>
    <row r="1765" spans="23:49" x14ac:dyDescent="0.15">
      <c r="W1765" s="12"/>
      <c r="X1765" s="62"/>
      <c r="Y1765" s="62"/>
      <c r="Z1765" s="62"/>
      <c r="AA1765" s="62"/>
      <c r="AB1765" s="98"/>
      <c r="AC1765" s="62"/>
      <c r="AD1765" s="62"/>
      <c r="AE1765" s="62"/>
      <c r="AF1765" s="62"/>
      <c r="AG1765" s="66"/>
      <c r="AH1765" s="62"/>
      <c r="AI1765" s="62"/>
      <c r="AJ1765" s="62"/>
      <c r="AK1765" s="62"/>
      <c r="AL1765" s="66"/>
      <c r="AM1765" s="62"/>
      <c r="AN1765" s="62"/>
      <c r="AO1765" s="62"/>
      <c r="AP1765" s="62"/>
      <c r="AQ1765" s="66"/>
      <c r="AR1765" s="62"/>
      <c r="AS1765" s="62"/>
      <c r="AT1765" s="62"/>
      <c r="AU1765" s="62"/>
      <c r="AV1765" s="66"/>
      <c r="AW1765" s="97"/>
    </row>
    <row r="1766" spans="23:49" x14ac:dyDescent="0.15">
      <c r="W1766" s="12"/>
      <c r="X1766" s="62"/>
      <c r="Y1766" s="62"/>
      <c r="Z1766" s="62"/>
      <c r="AA1766" s="62"/>
      <c r="AB1766" s="98"/>
      <c r="AC1766" s="62"/>
      <c r="AD1766" s="62"/>
      <c r="AE1766" s="62"/>
      <c r="AF1766" s="62"/>
      <c r="AG1766" s="66"/>
      <c r="AH1766" s="62"/>
      <c r="AI1766" s="62"/>
      <c r="AJ1766" s="62"/>
      <c r="AK1766" s="62"/>
      <c r="AL1766" s="66"/>
      <c r="AM1766" s="62"/>
      <c r="AN1766" s="62"/>
      <c r="AO1766" s="62"/>
      <c r="AP1766" s="62"/>
      <c r="AQ1766" s="66"/>
      <c r="AR1766" s="62"/>
      <c r="AS1766" s="62"/>
      <c r="AT1766" s="62"/>
      <c r="AU1766" s="62"/>
      <c r="AV1766" s="66"/>
      <c r="AW1766" s="97"/>
    </row>
    <row r="1767" spans="23:49" x14ac:dyDescent="0.15">
      <c r="W1767" s="12"/>
      <c r="X1767" s="62"/>
      <c r="Y1767" s="62"/>
      <c r="Z1767" s="62"/>
      <c r="AA1767" s="62"/>
      <c r="AB1767" s="98"/>
      <c r="AC1767" s="62"/>
      <c r="AD1767" s="62"/>
      <c r="AE1767" s="62"/>
      <c r="AF1767" s="62"/>
      <c r="AG1767" s="66"/>
      <c r="AH1767" s="62"/>
      <c r="AI1767" s="62"/>
      <c r="AJ1767" s="62"/>
      <c r="AK1767" s="62"/>
      <c r="AL1767" s="66"/>
      <c r="AM1767" s="62"/>
      <c r="AN1767" s="62"/>
      <c r="AO1767" s="62"/>
      <c r="AP1767" s="62"/>
      <c r="AQ1767" s="66"/>
      <c r="AR1767" s="62"/>
      <c r="AS1767" s="62"/>
      <c r="AT1767" s="62"/>
      <c r="AU1767" s="62"/>
      <c r="AV1767" s="66"/>
      <c r="AW1767" s="97"/>
    </row>
    <row r="1768" spans="23:49" x14ac:dyDescent="0.15">
      <c r="W1768" s="12"/>
      <c r="X1768" s="62"/>
      <c r="Y1768" s="62"/>
      <c r="Z1768" s="62"/>
      <c r="AA1768" s="62"/>
      <c r="AB1768" s="98"/>
      <c r="AC1768" s="62"/>
      <c r="AD1768" s="62"/>
      <c r="AE1768" s="62"/>
      <c r="AF1768" s="62"/>
      <c r="AG1768" s="66"/>
      <c r="AH1768" s="62"/>
      <c r="AI1768" s="62"/>
      <c r="AJ1768" s="62"/>
      <c r="AK1768" s="62"/>
      <c r="AL1768" s="66"/>
      <c r="AM1768" s="62"/>
      <c r="AN1768" s="62"/>
      <c r="AO1768" s="62"/>
      <c r="AP1768" s="62"/>
      <c r="AQ1768" s="66"/>
      <c r="AR1768" s="62"/>
      <c r="AS1768" s="62"/>
      <c r="AT1768" s="62"/>
      <c r="AU1768" s="62"/>
      <c r="AV1768" s="66"/>
      <c r="AW1768" s="97"/>
    </row>
    <row r="1769" spans="23:49" x14ac:dyDescent="0.15">
      <c r="W1769" s="12"/>
      <c r="X1769" s="62"/>
      <c r="Y1769" s="62"/>
      <c r="Z1769" s="62"/>
      <c r="AA1769" s="62"/>
      <c r="AB1769" s="98"/>
      <c r="AC1769" s="62"/>
      <c r="AD1769" s="62"/>
      <c r="AE1769" s="62"/>
      <c r="AF1769" s="62"/>
      <c r="AG1769" s="66"/>
      <c r="AH1769" s="62"/>
      <c r="AI1769" s="62"/>
      <c r="AJ1769" s="62"/>
      <c r="AK1769" s="62"/>
      <c r="AL1769" s="66"/>
      <c r="AM1769" s="62"/>
      <c r="AN1769" s="62"/>
      <c r="AO1769" s="62"/>
      <c r="AP1769" s="62"/>
      <c r="AQ1769" s="66"/>
      <c r="AR1769" s="62"/>
      <c r="AS1769" s="62"/>
      <c r="AT1769" s="62"/>
      <c r="AU1769" s="62"/>
      <c r="AV1769" s="66"/>
      <c r="AW1769" s="97"/>
    </row>
    <row r="1770" spans="23:49" x14ac:dyDescent="0.15">
      <c r="W1770" s="12"/>
      <c r="X1770" s="62"/>
      <c r="Y1770" s="62"/>
      <c r="Z1770" s="62"/>
      <c r="AA1770" s="62"/>
      <c r="AB1770" s="98"/>
      <c r="AC1770" s="62"/>
      <c r="AD1770" s="62"/>
      <c r="AE1770" s="62"/>
      <c r="AF1770" s="62"/>
      <c r="AG1770" s="66"/>
      <c r="AH1770" s="62"/>
      <c r="AI1770" s="62"/>
      <c r="AJ1770" s="62"/>
      <c r="AK1770" s="62"/>
      <c r="AL1770" s="66"/>
      <c r="AM1770" s="62"/>
      <c r="AN1770" s="62"/>
      <c r="AO1770" s="62"/>
      <c r="AP1770" s="62"/>
      <c r="AQ1770" s="66"/>
      <c r="AR1770" s="62"/>
      <c r="AS1770" s="62"/>
      <c r="AT1770" s="62"/>
      <c r="AU1770" s="62"/>
      <c r="AV1770" s="66"/>
      <c r="AW1770" s="97"/>
    </row>
    <row r="1771" spans="23:49" x14ac:dyDescent="0.15">
      <c r="W1771" s="12"/>
      <c r="X1771" s="62"/>
      <c r="Y1771" s="62"/>
      <c r="Z1771" s="62"/>
      <c r="AA1771" s="62"/>
      <c r="AB1771" s="98"/>
      <c r="AC1771" s="62"/>
      <c r="AD1771" s="62"/>
      <c r="AE1771" s="62"/>
      <c r="AF1771" s="62"/>
      <c r="AG1771" s="66"/>
      <c r="AH1771" s="62"/>
      <c r="AI1771" s="62"/>
      <c r="AJ1771" s="62"/>
      <c r="AK1771" s="62"/>
      <c r="AL1771" s="66"/>
      <c r="AM1771" s="62"/>
      <c r="AN1771" s="62"/>
      <c r="AO1771" s="62"/>
      <c r="AP1771" s="62"/>
      <c r="AQ1771" s="66"/>
      <c r="AR1771" s="62"/>
      <c r="AS1771" s="62"/>
      <c r="AT1771" s="62"/>
      <c r="AU1771" s="62"/>
      <c r="AV1771" s="66"/>
      <c r="AW1771" s="97"/>
    </row>
    <row r="1772" spans="23:49" x14ac:dyDescent="0.15">
      <c r="W1772" s="12"/>
      <c r="X1772" s="62"/>
      <c r="Y1772" s="62"/>
      <c r="Z1772" s="62"/>
      <c r="AA1772" s="62"/>
      <c r="AB1772" s="98"/>
      <c r="AC1772" s="62"/>
      <c r="AD1772" s="62"/>
      <c r="AE1772" s="62"/>
      <c r="AF1772" s="62"/>
      <c r="AG1772" s="66"/>
      <c r="AH1772" s="62"/>
      <c r="AI1772" s="62"/>
      <c r="AJ1772" s="62"/>
      <c r="AK1772" s="62"/>
      <c r="AL1772" s="66"/>
      <c r="AM1772" s="62"/>
      <c r="AN1772" s="62"/>
      <c r="AO1772" s="62"/>
      <c r="AP1772" s="62"/>
      <c r="AQ1772" s="66"/>
      <c r="AR1772" s="62"/>
      <c r="AS1772" s="62"/>
      <c r="AT1772" s="62"/>
      <c r="AU1772" s="62"/>
      <c r="AV1772" s="66"/>
      <c r="AW1772" s="97"/>
    </row>
    <row r="1773" spans="23:49" x14ac:dyDescent="0.15">
      <c r="W1773" s="12"/>
      <c r="X1773" s="62"/>
      <c r="Y1773" s="62"/>
      <c r="Z1773" s="62"/>
      <c r="AA1773" s="62"/>
      <c r="AB1773" s="98"/>
      <c r="AC1773" s="62"/>
      <c r="AD1773" s="62"/>
      <c r="AE1773" s="62"/>
      <c r="AF1773" s="62"/>
      <c r="AG1773" s="66"/>
      <c r="AH1773" s="62"/>
      <c r="AI1773" s="62"/>
      <c r="AJ1773" s="62"/>
      <c r="AK1773" s="62"/>
      <c r="AL1773" s="66"/>
      <c r="AM1773" s="62"/>
      <c r="AN1773" s="62"/>
      <c r="AO1773" s="62"/>
      <c r="AP1773" s="62"/>
      <c r="AQ1773" s="66"/>
      <c r="AR1773" s="62"/>
      <c r="AS1773" s="62"/>
      <c r="AT1773" s="62"/>
      <c r="AU1773" s="62"/>
      <c r="AV1773" s="66"/>
      <c r="AW1773" s="97"/>
    </row>
    <row r="1774" spans="23:49" x14ac:dyDescent="0.15">
      <c r="W1774" s="12"/>
      <c r="X1774" s="62"/>
      <c r="Y1774" s="62"/>
      <c r="Z1774" s="62"/>
      <c r="AA1774" s="62"/>
      <c r="AB1774" s="98"/>
      <c r="AC1774" s="62"/>
      <c r="AD1774" s="62"/>
      <c r="AE1774" s="62"/>
      <c r="AF1774" s="62"/>
      <c r="AG1774" s="66"/>
      <c r="AH1774" s="62"/>
      <c r="AI1774" s="62"/>
      <c r="AJ1774" s="62"/>
      <c r="AK1774" s="62"/>
      <c r="AL1774" s="66"/>
      <c r="AM1774" s="62"/>
      <c r="AN1774" s="62"/>
      <c r="AO1774" s="62"/>
      <c r="AP1774" s="62"/>
      <c r="AQ1774" s="66"/>
      <c r="AR1774" s="62"/>
      <c r="AS1774" s="62"/>
      <c r="AT1774" s="62"/>
      <c r="AU1774" s="62"/>
      <c r="AV1774" s="66"/>
      <c r="AW1774" s="97"/>
    </row>
    <row r="1775" spans="23:49" x14ac:dyDescent="0.15">
      <c r="W1775" s="12"/>
      <c r="X1775" s="62"/>
      <c r="Y1775" s="62"/>
      <c r="Z1775" s="62"/>
      <c r="AA1775" s="62"/>
      <c r="AB1775" s="98"/>
      <c r="AC1775" s="62"/>
      <c r="AD1775" s="62"/>
      <c r="AE1775" s="62"/>
      <c r="AF1775" s="62"/>
      <c r="AG1775" s="66"/>
      <c r="AH1775" s="62"/>
      <c r="AI1775" s="62"/>
      <c r="AJ1775" s="62"/>
      <c r="AK1775" s="62"/>
      <c r="AL1775" s="66"/>
      <c r="AM1775" s="62"/>
      <c r="AN1775" s="62"/>
      <c r="AO1775" s="62"/>
      <c r="AP1775" s="62"/>
      <c r="AQ1775" s="66"/>
      <c r="AR1775" s="62"/>
      <c r="AS1775" s="62"/>
      <c r="AT1775" s="62"/>
      <c r="AU1775" s="62"/>
      <c r="AV1775" s="66"/>
      <c r="AW1775" s="97"/>
    </row>
    <row r="1776" spans="23:49" x14ac:dyDescent="0.15">
      <c r="W1776" s="12"/>
      <c r="X1776" s="62"/>
      <c r="Y1776" s="62"/>
      <c r="Z1776" s="62"/>
      <c r="AA1776" s="62"/>
      <c r="AB1776" s="98"/>
      <c r="AC1776" s="62"/>
      <c r="AD1776" s="62"/>
      <c r="AE1776" s="62"/>
      <c r="AF1776" s="62"/>
      <c r="AG1776" s="66"/>
      <c r="AH1776" s="62"/>
      <c r="AI1776" s="62"/>
      <c r="AJ1776" s="62"/>
      <c r="AK1776" s="62"/>
      <c r="AL1776" s="66"/>
      <c r="AM1776" s="62"/>
      <c r="AN1776" s="62"/>
      <c r="AO1776" s="62"/>
      <c r="AP1776" s="62"/>
      <c r="AQ1776" s="66"/>
      <c r="AR1776" s="62"/>
      <c r="AS1776" s="62"/>
      <c r="AT1776" s="62"/>
      <c r="AU1776" s="62"/>
      <c r="AV1776" s="66"/>
      <c r="AW1776" s="97"/>
    </row>
    <row r="1777" spans="23:49" x14ac:dyDescent="0.15">
      <c r="W1777" s="12"/>
      <c r="X1777" s="62"/>
      <c r="Y1777" s="62"/>
      <c r="Z1777" s="62"/>
      <c r="AA1777" s="62"/>
      <c r="AB1777" s="98"/>
      <c r="AC1777" s="62"/>
      <c r="AD1777" s="62"/>
      <c r="AE1777" s="62"/>
      <c r="AF1777" s="62"/>
      <c r="AG1777" s="66"/>
      <c r="AH1777" s="62"/>
      <c r="AI1777" s="62"/>
      <c r="AJ1777" s="62"/>
      <c r="AK1777" s="62"/>
      <c r="AL1777" s="66"/>
      <c r="AM1777" s="62"/>
      <c r="AN1777" s="62"/>
      <c r="AO1777" s="62"/>
      <c r="AP1777" s="62"/>
      <c r="AQ1777" s="66"/>
      <c r="AR1777" s="62"/>
      <c r="AS1777" s="62"/>
      <c r="AT1777" s="62"/>
      <c r="AU1777" s="62"/>
      <c r="AV1777" s="66"/>
      <c r="AW1777" s="97"/>
    </row>
    <row r="1778" spans="23:49" x14ac:dyDescent="0.15">
      <c r="W1778" s="12"/>
      <c r="X1778" s="62"/>
      <c r="Y1778" s="62"/>
      <c r="Z1778" s="62"/>
      <c r="AA1778" s="62"/>
      <c r="AB1778" s="98"/>
      <c r="AC1778" s="62"/>
      <c r="AD1778" s="62"/>
      <c r="AE1778" s="62"/>
      <c r="AF1778" s="62"/>
      <c r="AG1778" s="66"/>
      <c r="AH1778" s="62"/>
      <c r="AI1778" s="62"/>
      <c r="AJ1778" s="62"/>
      <c r="AK1778" s="62"/>
      <c r="AL1778" s="66"/>
      <c r="AM1778" s="62"/>
      <c r="AN1778" s="62"/>
      <c r="AO1778" s="62"/>
      <c r="AP1778" s="62"/>
      <c r="AQ1778" s="66"/>
      <c r="AR1778" s="62"/>
      <c r="AS1778" s="62"/>
      <c r="AT1778" s="62"/>
      <c r="AU1778" s="62"/>
      <c r="AV1778" s="66"/>
      <c r="AW1778" s="97"/>
    </row>
    <row r="1779" spans="23:49" x14ac:dyDescent="0.15">
      <c r="W1779" s="12"/>
      <c r="X1779" s="62"/>
      <c r="Y1779" s="62"/>
      <c r="Z1779" s="62"/>
      <c r="AA1779" s="62"/>
      <c r="AB1779" s="98"/>
      <c r="AC1779" s="62"/>
      <c r="AD1779" s="62"/>
      <c r="AE1779" s="62"/>
      <c r="AF1779" s="62"/>
      <c r="AG1779" s="66"/>
      <c r="AH1779" s="62"/>
      <c r="AI1779" s="62"/>
      <c r="AJ1779" s="62"/>
      <c r="AK1779" s="62"/>
      <c r="AL1779" s="66"/>
      <c r="AM1779" s="62"/>
      <c r="AN1779" s="62"/>
      <c r="AO1779" s="62"/>
      <c r="AP1779" s="62"/>
      <c r="AQ1779" s="66"/>
      <c r="AR1779" s="62"/>
      <c r="AS1779" s="62"/>
      <c r="AT1779" s="62"/>
      <c r="AU1779" s="62"/>
      <c r="AV1779" s="66"/>
      <c r="AW1779" s="97"/>
    </row>
    <row r="1780" spans="23:49" x14ac:dyDescent="0.15">
      <c r="W1780" s="12"/>
      <c r="X1780" s="62"/>
      <c r="Y1780" s="62"/>
      <c r="Z1780" s="62"/>
      <c r="AA1780" s="62"/>
      <c r="AB1780" s="98"/>
      <c r="AC1780" s="62"/>
      <c r="AD1780" s="62"/>
      <c r="AE1780" s="62"/>
      <c r="AF1780" s="62"/>
      <c r="AG1780" s="66"/>
      <c r="AH1780" s="62"/>
      <c r="AI1780" s="62"/>
      <c r="AJ1780" s="62"/>
      <c r="AK1780" s="62"/>
      <c r="AL1780" s="66"/>
      <c r="AM1780" s="62"/>
      <c r="AN1780" s="62"/>
      <c r="AO1780" s="62"/>
      <c r="AP1780" s="62"/>
      <c r="AQ1780" s="66"/>
      <c r="AR1780" s="62"/>
      <c r="AS1780" s="62"/>
      <c r="AT1780" s="62"/>
      <c r="AU1780" s="62"/>
      <c r="AV1780" s="66"/>
      <c r="AW1780" s="97"/>
    </row>
    <row r="1781" spans="23:49" x14ac:dyDescent="0.15">
      <c r="W1781" s="12"/>
      <c r="X1781" s="62"/>
      <c r="Y1781" s="62"/>
      <c r="Z1781" s="62"/>
      <c r="AA1781" s="62"/>
      <c r="AB1781" s="98"/>
      <c r="AC1781" s="62"/>
      <c r="AD1781" s="62"/>
      <c r="AE1781" s="62"/>
      <c r="AF1781" s="62"/>
      <c r="AG1781" s="66"/>
      <c r="AH1781" s="62"/>
      <c r="AI1781" s="62"/>
      <c r="AJ1781" s="62"/>
      <c r="AK1781" s="62"/>
      <c r="AL1781" s="66"/>
      <c r="AM1781" s="62"/>
      <c r="AN1781" s="62"/>
      <c r="AO1781" s="62"/>
      <c r="AP1781" s="62"/>
      <c r="AQ1781" s="66"/>
      <c r="AR1781" s="62"/>
      <c r="AS1781" s="62"/>
      <c r="AT1781" s="62"/>
      <c r="AU1781" s="62"/>
      <c r="AV1781" s="66"/>
      <c r="AW1781" s="97"/>
    </row>
    <row r="1782" spans="23:49" x14ac:dyDescent="0.15">
      <c r="W1782" s="12"/>
      <c r="X1782" s="62"/>
      <c r="Y1782" s="62"/>
      <c r="Z1782" s="62"/>
      <c r="AA1782" s="62"/>
      <c r="AB1782" s="98"/>
      <c r="AC1782" s="62"/>
      <c r="AD1782" s="62"/>
      <c r="AE1782" s="62"/>
      <c r="AF1782" s="62"/>
      <c r="AG1782" s="66"/>
      <c r="AH1782" s="62"/>
      <c r="AI1782" s="62"/>
      <c r="AJ1782" s="62"/>
      <c r="AK1782" s="62"/>
      <c r="AL1782" s="66"/>
      <c r="AM1782" s="62"/>
      <c r="AN1782" s="62"/>
      <c r="AO1782" s="62"/>
      <c r="AP1782" s="62"/>
      <c r="AQ1782" s="66"/>
      <c r="AR1782" s="62"/>
      <c r="AS1782" s="62"/>
      <c r="AT1782" s="62"/>
      <c r="AU1782" s="62"/>
      <c r="AV1782" s="66"/>
      <c r="AW1782" s="97"/>
    </row>
    <row r="1783" spans="23:49" x14ac:dyDescent="0.15">
      <c r="W1783" s="12"/>
      <c r="X1783" s="62"/>
      <c r="Y1783" s="62"/>
      <c r="Z1783" s="62"/>
      <c r="AA1783" s="62"/>
      <c r="AB1783" s="98"/>
      <c r="AC1783" s="62"/>
      <c r="AD1783" s="62"/>
      <c r="AE1783" s="62"/>
      <c r="AF1783" s="62"/>
      <c r="AG1783" s="66"/>
      <c r="AH1783" s="62"/>
      <c r="AI1783" s="62"/>
      <c r="AJ1783" s="62"/>
      <c r="AK1783" s="62"/>
      <c r="AL1783" s="66"/>
      <c r="AM1783" s="62"/>
      <c r="AN1783" s="62"/>
      <c r="AO1783" s="62"/>
      <c r="AP1783" s="62"/>
      <c r="AQ1783" s="66"/>
      <c r="AR1783" s="62"/>
      <c r="AS1783" s="62"/>
      <c r="AT1783" s="62"/>
      <c r="AU1783" s="62"/>
      <c r="AV1783" s="66"/>
      <c r="AW1783" s="97"/>
    </row>
    <row r="1784" spans="23:49" x14ac:dyDescent="0.15">
      <c r="W1784" s="12"/>
      <c r="X1784" s="62"/>
      <c r="Y1784" s="62"/>
      <c r="Z1784" s="62"/>
      <c r="AA1784" s="62"/>
      <c r="AB1784" s="98"/>
      <c r="AC1784" s="62"/>
      <c r="AD1784" s="62"/>
      <c r="AE1784" s="62"/>
      <c r="AF1784" s="62"/>
      <c r="AG1784" s="66"/>
      <c r="AH1784" s="62"/>
      <c r="AI1784" s="62"/>
      <c r="AJ1784" s="62"/>
      <c r="AK1784" s="62"/>
      <c r="AL1784" s="66"/>
      <c r="AM1784" s="62"/>
      <c r="AN1784" s="62"/>
      <c r="AO1784" s="62"/>
      <c r="AP1784" s="62"/>
      <c r="AQ1784" s="66"/>
      <c r="AR1784" s="62"/>
      <c r="AS1784" s="62"/>
      <c r="AT1784" s="62"/>
      <c r="AU1784" s="62"/>
      <c r="AV1784" s="66"/>
      <c r="AW1784" s="97"/>
    </row>
    <row r="1785" spans="23:49" x14ac:dyDescent="0.15">
      <c r="W1785" s="12"/>
      <c r="X1785" s="62"/>
      <c r="Y1785" s="62"/>
      <c r="Z1785" s="62"/>
      <c r="AA1785" s="62"/>
      <c r="AB1785" s="98"/>
      <c r="AC1785" s="62"/>
      <c r="AD1785" s="62"/>
      <c r="AE1785" s="62"/>
      <c r="AF1785" s="62"/>
      <c r="AG1785" s="66"/>
      <c r="AH1785" s="62"/>
      <c r="AI1785" s="62"/>
      <c r="AJ1785" s="62"/>
      <c r="AK1785" s="62"/>
      <c r="AL1785" s="66"/>
      <c r="AM1785" s="62"/>
      <c r="AN1785" s="62"/>
      <c r="AO1785" s="62"/>
      <c r="AP1785" s="62"/>
      <c r="AQ1785" s="66"/>
      <c r="AR1785" s="62"/>
      <c r="AS1785" s="62"/>
      <c r="AT1785" s="62"/>
      <c r="AU1785" s="62"/>
      <c r="AV1785" s="66"/>
      <c r="AW1785" s="97"/>
    </row>
    <row r="1786" spans="23:49" x14ac:dyDescent="0.15">
      <c r="W1786" s="12"/>
      <c r="X1786" s="62"/>
      <c r="Y1786" s="62"/>
      <c r="Z1786" s="62"/>
      <c r="AA1786" s="62"/>
      <c r="AB1786" s="98"/>
      <c r="AC1786" s="62"/>
      <c r="AD1786" s="62"/>
      <c r="AE1786" s="62"/>
      <c r="AF1786" s="62"/>
      <c r="AG1786" s="66"/>
      <c r="AH1786" s="62"/>
      <c r="AI1786" s="62"/>
      <c r="AJ1786" s="62"/>
      <c r="AK1786" s="62"/>
      <c r="AL1786" s="66"/>
      <c r="AM1786" s="62"/>
      <c r="AN1786" s="62"/>
      <c r="AO1786" s="62"/>
      <c r="AP1786" s="62"/>
      <c r="AQ1786" s="66"/>
      <c r="AR1786" s="62"/>
      <c r="AS1786" s="62"/>
      <c r="AT1786" s="62"/>
      <c r="AU1786" s="62"/>
      <c r="AV1786" s="66"/>
      <c r="AW1786" s="97"/>
    </row>
    <row r="1787" spans="23:49" x14ac:dyDescent="0.15">
      <c r="W1787" s="12"/>
      <c r="X1787" s="62"/>
      <c r="Y1787" s="62"/>
      <c r="Z1787" s="62"/>
      <c r="AA1787" s="62"/>
      <c r="AB1787" s="98"/>
      <c r="AC1787" s="62"/>
      <c r="AD1787" s="62"/>
      <c r="AE1787" s="62"/>
      <c r="AF1787" s="62"/>
      <c r="AG1787" s="66"/>
      <c r="AH1787" s="62"/>
      <c r="AI1787" s="62"/>
      <c r="AJ1787" s="62"/>
      <c r="AK1787" s="62"/>
      <c r="AL1787" s="66"/>
      <c r="AM1787" s="62"/>
      <c r="AN1787" s="62"/>
      <c r="AO1787" s="62"/>
      <c r="AP1787" s="62"/>
      <c r="AQ1787" s="66"/>
      <c r="AR1787" s="62"/>
      <c r="AS1787" s="62"/>
      <c r="AT1787" s="62"/>
      <c r="AU1787" s="62"/>
      <c r="AV1787" s="66"/>
      <c r="AW1787" s="97"/>
    </row>
    <row r="1788" spans="23:49" x14ac:dyDescent="0.15">
      <c r="W1788" s="12"/>
      <c r="X1788" s="62"/>
      <c r="Y1788" s="62"/>
      <c r="Z1788" s="62"/>
      <c r="AA1788" s="62"/>
      <c r="AB1788" s="98"/>
      <c r="AC1788" s="62"/>
      <c r="AD1788" s="62"/>
      <c r="AE1788" s="62"/>
      <c r="AF1788" s="62"/>
      <c r="AG1788" s="66"/>
      <c r="AH1788" s="62"/>
      <c r="AI1788" s="62"/>
      <c r="AJ1788" s="62"/>
      <c r="AK1788" s="62"/>
      <c r="AL1788" s="66"/>
      <c r="AM1788" s="62"/>
      <c r="AN1788" s="62"/>
      <c r="AO1788" s="62"/>
      <c r="AP1788" s="62"/>
      <c r="AQ1788" s="66"/>
      <c r="AR1788" s="62"/>
      <c r="AS1788" s="62"/>
      <c r="AT1788" s="62"/>
      <c r="AU1788" s="62"/>
      <c r="AV1788" s="66"/>
      <c r="AW1788" s="97"/>
    </row>
    <row r="1789" spans="23:49" x14ac:dyDescent="0.15">
      <c r="W1789" s="12"/>
      <c r="X1789" s="62"/>
      <c r="Y1789" s="62"/>
      <c r="Z1789" s="62"/>
      <c r="AA1789" s="62"/>
      <c r="AB1789" s="98"/>
      <c r="AC1789" s="62"/>
      <c r="AD1789" s="62"/>
      <c r="AE1789" s="62"/>
      <c r="AF1789" s="62"/>
      <c r="AG1789" s="66"/>
      <c r="AH1789" s="62"/>
      <c r="AI1789" s="62"/>
      <c r="AJ1789" s="62"/>
      <c r="AK1789" s="62"/>
      <c r="AL1789" s="66"/>
      <c r="AM1789" s="62"/>
      <c r="AN1789" s="62"/>
      <c r="AO1789" s="62"/>
      <c r="AP1789" s="62"/>
      <c r="AQ1789" s="66"/>
      <c r="AR1789" s="62"/>
      <c r="AS1789" s="62"/>
      <c r="AT1789" s="62"/>
      <c r="AU1789" s="62"/>
      <c r="AV1789" s="66"/>
      <c r="AW1789" s="97"/>
    </row>
    <row r="1790" spans="23:49" x14ac:dyDescent="0.15">
      <c r="W1790" s="12"/>
      <c r="X1790" s="62"/>
      <c r="Y1790" s="62"/>
      <c r="Z1790" s="62"/>
      <c r="AA1790" s="62"/>
      <c r="AB1790" s="98"/>
      <c r="AC1790" s="62"/>
      <c r="AD1790" s="62"/>
      <c r="AE1790" s="62"/>
      <c r="AF1790" s="62"/>
      <c r="AG1790" s="66"/>
      <c r="AH1790" s="62"/>
      <c r="AI1790" s="62"/>
      <c r="AJ1790" s="62"/>
      <c r="AK1790" s="62"/>
      <c r="AL1790" s="66"/>
      <c r="AM1790" s="62"/>
      <c r="AN1790" s="62"/>
      <c r="AO1790" s="62"/>
      <c r="AP1790" s="62"/>
      <c r="AQ1790" s="66"/>
      <c r="AR1790" s="62"/>
      <c r="AS1790" s="62"/>
      <c r="AT1790" s="62"/>
      <c r="AU1790" s="62"/>
      <c r="AV1790" s="66"/>
      <c r="AW1790" s="97"/>
    </row>
    <row r="1791" spans="23:49" x14ac:dyDescent="0.15">
      <c r="W1791" s="12"/>
      <c r="X1791" s="62"/>
      <c r="Y1791" s="62"/>
      <c r="Z1791" s="62"/>
      <c r="AA1791" s="62"/>
      <c r="AB1791" s="98"/>
      <c r="AC1791" s="62"/>
      <c r="AD1791" s="62"/>
      <c r="AE1791" s="62"/>
      <c r="AF1791" s="62"/>
      <c r="AG1791" s="66"/>
      <c r="AH1791" s="62"/>
      <c r="AI1791" s="62"/>
      <c r="AJ1791" s="62"/>
      <c r="AK1791" s="62"/>
      <c r="AL1791" s="66"/>
      <c r="AM1791" s="62"/>
      <c r="AN1791" s="62"/>
      <c r="AO1791" s="62"/>
      <c r="AP1791" s="62"/>
      <c r="AQ1791" s="66"/>
      <c r="AR1791" s="62"/>
      <c r="AS1791" s="62"/>
      <c r="AT1791" s="62"/>
      <c r="AU1791" s="62"/>
      <c r="AV1791" s="66"/>
      <c r="AW1791" s="97"/>
    </row>
    <row r="1792" spans="23:49" x14ac:dyDescent="0.15">
      <c r="W1792" s="12"/>
      <c r="X1792" s="62"/>
      <c r="Y1792" s="62"/>
      <c r="Z1792" s="62"/>
      <c r="AA1792" s="62"/>
      <c r="AB1792" s="98"/>
      <c r="AC1792" s="62"/>
      <c r="AD1792" s="62"/>
      <c r="AE1792" s="62"/>
      <c r="AF1792" s="62"/>
      <c r="AG1792" s="66"/>
      <c r="AH1792" s="62"/>
      <c r="AI1792" s="62"/>
      <c r="AJ1792" s="62"/>
      <c r="AK1792" s="62"/>
      <c r="AL1792" s="66"/>
      <c r="AM1792" s="62"/>
      <c r="AN1792" s="62"/>
      <c r="AO1792" s="62"/>
      <c r="AP1792" s="62"/>
      <c r="AQ1792" s="66"/>
      <c r="AR1792" s="62"/>
      <c r="AS1792" s="62"/>
      <c r="AT1792" s="62"/>
      <c r="AU1792" s="62"/>
      <c r="AV1792" s="66"/>
      <c r="AW1792" s="97"/>
    </row>
    <row r="1793" spans="23:49" x14ac:dyDescent="0.15">
      <c r="W1793" s="12"/>
      <c r="X1793" s="62"/>
      <c r="Y1793" s="62"/>
      <c r="Z1793" s="62"/>
      <c r="AA1793" s="62"/>
      <c r="AB1793" s="98"/>
      <c r="AC1793" s="62"/>
      <c r="AD1793" s="62"/>
      <c r="AE1793" s="62"/>
      <c r="AF1793" s="62"/>
      <c r="AG1793" s="66"/>
      <c r="AH1793" s="62"/>
      <c r="AI1793" s="62"/>
      <c r="AJ1793" s="62"/>
      <c r="AK1793" s="62"/>
      <c r="AL1793" s="66"/>
      <c r="AM1793" s="62"/>
      <c r="AN1793" s="62"/>
      <c r="AO1793" s="62"/>
      <c r="AP1793" s="62"/>
      <c r="AQ1793" s="66"/>
      <c r="AR1793" s="62"/>
      <c r="AS1793" s="62"/>
      <c r="AT1793" s="62"/>
      <c r="AU1793" s="62"/>
      <c r="AV1793" s="66"/>
      <c r="AW1793" s="97"/>
    </row>
    <row r="1794" spans="23:49" x14ac:dyDescent="0.15">
      <c r="W1794" s="12"/>
      <c r="X1794" s="62"/>
      <c r="Y1794" s="62"/>
      <c r="Z1794" s="62"/>
      <c r="AA1794" s="62"/>
      <c r="AB1794" s="98"/>
      <c r="AC1794" s="62"/>
      <c r="AD1794" s="62"/>
      <c r="AE1794" s="62"/>
      <c r="AF1794" s="62"/>
      <c r="AG1794" s="66"/>
      <c r="AH1794" s="62"/>
      <c r="AI1794" s="62"/>
      <c r="AJ1794" s="62"/>
      <c r="AK1794" s="62"/>
      <c r="AL1794" s="66"/>
      <c r="AM1794" s="62"/>
      <c r="AN1794" s="62"/>
      <c r="AO1794" s="62"/>
      <c r="AP1794" s="62"/>
      <c r="AQ1794" s="66"/>
      <c r="AR1794" s="62"/>
      <c r="AS1794" s="62"/>
      <c r="AT1794" s="62"/>
      <c r="AU1794" s="62"/>
      <c r="AV1794" s="66"/>
      <c r="AW1794" s="97"/>
    </row>
    <row r="1795" spans="23:49" x14ac:dyDescent="0.15">
      <c r="W1795" s="12"/>
      <c r="X1795" s="62"/>
      <c r="Y1795" s="62"/>
      <c r="Z1795" s="62"/>
      <c r="AA1795" s="62"/>
      <c r="AB1795" s="98"/>
      <c r="AC1795" s="62"/>
      <c r="AD1795" s="62"/>
      <c r="AE1795" s="62"/>
      <c r="AF1795" s="62"/>
      <c r="AG1795" s="66"/>
      <c r="AH1795" s="62"/>
      <c r="AI1795" s="62"/>
      <c r="AJ1795" s="62"/>
      <c r="AK1795" s="62"/>
      <c r="AL1795" s="66"/>
      <c r="AM1795" s="62"/>
      <c r="AN1795" s="62"/>
      <c r="AO1795" s="62"/>
      <c r="AP1795" s="62"/>
      <c r="AQ1795" s="66"/>
      <c r="AR1795" s="62"/>
      <c r="AS1795" s="62"/>
      <c r="AT1795" s="62"/>
      <c r="AU1795" s="62"/>
      <c r="AV1795" s="66"/>
      <c r="AW1795" s="97"/>
    </row>
    <row r="1796" spans="23:49" x14ac:dyDescent="0.15">
      <c r="W1796" s="12"/>
      <c r="X1796" s="62"/>
      <c r="Y1796" s="62"/>
      <c r="Z1796" s="62"/>
      <c r="AA1796" s="62"/>
      <c r="AB1796" s="98"/>
      <c r="AC1796" s="62"/>
      <c r="AD1796" s="62"/>
      <c r="AE1796" s="62"/>
      <c r="AF1796" s="62"/>
      <c r="AG1796" s="66"/>
      <c r="AH1796" s="62"/>
      <c r="AI1796" s="62"/>
      <c r="AJ1796" s="62"/>
      <c r="AK1796" s="62"/>
      <c r="AL1796" s="66"/>
      <c r="AM1796" s="62"/>
      <c r="AN1796" s="62"/>
      <c r="AO1796" s="62"/>
      <c r="AP1796" s="62"/>
      <c r="AQ1796" s="66"/>
      <c r="AR1796" s="62"/>
      <c r="AS1796" s="62"/>
      <c r="AT1796" s="62"/>
      <c r="AU1796" s="62"/>
      <c r="AV1796" s="66"/>
      <c r="AW1796" s="97"/>
    </row>
    <row r="1797" spans="23:49" x14ac:dyDescent="0.15">
      <c r="W1797" s="12"/>
      <c r="X1797" s="62"/>
      <c r="Y1797" s="62"/>
      <c r="Z1797" s="62"/>
      <c r="AA1797" s="62"/>
      <c r="AB1797" s="98"/>
      <c r="AC1797" s="62"/>
      <c r="AD1797" s="62"/>
      <c r="AE1797" s="62"/>
      <c r="AF1797" s="62"/>
      <c r="AG1797" s="66"/>
      <c r="AH1797" s="62"/>
      <c r="AI1797" s="62"/>
      <c r="AJ1797" s="62"/>
      <c r="AK1797" s="62"/>
      <c r="AL1797" s="66"/>
      <c r="AM1797" s="62"/>
      <c r="AN1797" s="62"/>
      <c r="AO1797" s="62"/>
      <c r="AP1797" s="62"/>
      <c r="AQ1797" s="66"/>
      <c r="AR1797" s="62"/>
      <c r="AS1797" s="62"/>
      <c r="AT1797" s="62"/>
      <c r="AU1797" s="62"/>
      <c r="AV1797" s="66"/>
      <c r="AW1797" s="97"/>
    </row>
    <row r="1798" spans="23:49" x14ac:dyDescent="0.15">
      <c r="W1798" s="12"/>
      <c r="X1798" s="62"/>
      <c r="Y1798" s="62"/>
      <c r="Z1798" s="62"/>
      <c r="AA1798" s="62"/>
      <c r="AB1798" s="98"/>
      <c r="AC1798" s="62"/>
      <c r="AD1798" s="62"/>
      <c r="AE1798" s="62"/>
      <c r="AF1798" s="62"/>
      <c r="AG1798" s="66"/>
      <c r="AH1798" s="62"/>
      <c r="AI1798" s="62"/>
      <c r="AJ1798" s="62"/>
      <c r="AK1798" s="62"/>
      <c r="AL1798" s="66"/>
      <c r="AM1798" s="62"/>
      <c r="AN1798" s="62"/>
      <c r="AO1798" s="62"/>
      <c r="AP1798" s="62"/>
      <c r="AQ1798" s="66"/>
      <c r="AR1798" s="62"/>
      <c r="AS1798" s="62"/>
      <c r="AT1798" s="62"/>
      <c r="AU1798" s="62"/>
      <c r="AV1798" s="66"/>
      <c r="AW1798" s="97"/>
    </row>
    <row r="1799" spans="23:49" x14ac:dyDescent="0.15">
      <c r="W1799" s="12"/>
      <c r="X1799" s="62"/>
      <c r="Y1799" s="62"/>
      <c r="Z1799" s="62"/>
      <c r="AA1799" s="62"/>
      <c r="AB1799" s="98"/>
      <c r="AC1799" s="62"/>
      <c r="AD1799" s="62"/>
      <c r="AE1799" s="62"/>
      <c r="AF1799" s="62"/>
      <c r="AG1799" s="66"/>
      <c r="AH1799" s="62"/>
      <c r="AI1799" s="62"/>
      <c r="AJ1799" s="62"/>
      <c r="AK1799" s="62"/>
      <c r="AL1799" s="66"/>
      <c r="AM1799" s="62"/>
      <c r="AN1799" s="62"/>
      <c r="AO1799" s="62"/>
      <c r="AP1799" s="62"/>
      <c r="AQ1799" s="66"/>
      <c r="AR1799" s="62"/>
      <c r="AS1799" s="62"/>
      <c r="AT1799" s="62"/>
      <c r="AU1799" s="62"/>
      <c r="AV1799" s="66"/>
      <c r="AW1799" s="97"/>
    </row>
    <row r="1800" spans="23:49" x14ac:dyDescent="0.15">
      <c r="W1800" s="12"/>
      <c r="X1800" s="62"/>
      <c r="Y1800" s="62"/>
      <c r="Z1800" s="62"/>
      <c r="AA1800" s="62"/>
      <c r="AB1800" s="98"/>
      <c r="AC1800" s="62"/>
      <c r="AD1800" s="62"/>
      <c r="AE1800" s="62"/>
      <c r="AF1800" s="62"/>
      <c r="AG1800" s="66"/>
      <c r="AH1800" s="62"/>
      <c r="AI1800" s="62"/>
      <c r="AJ1800" s="62"/>
      <c r="AK1800" s="62"/>
      <c r="AL1800" s="66"/>
      <c r="AM1800" s="62"/>
      <c r="AN1800" s="62"/>
      <c r="AO1800" s="62"/>
      <c r="AP1800" s="62"/>
      <c r="AQ1800" s="66"/>
      <c r="AR1800" s="62"/>
      <c r="AS1800" s="62"/>
      <c r="AT1800" s="62"/>
      <c r="AU1800" s="62"/>
      <c r="AV1800" s="66"/>
      <c r="AW1800" s="97"/>
    </row>
    <row r="1801" spans="23:49" x14ac:dyDescent="0.15">
      <c r="W1801" s="12"/>
      <c r="X1801" s="62"/>
      <c r="Y1801" s="62"/>
      <c r="Z1801" s="62"/>
      <c r="AA1801" s="62"/>
      <c r="AB1801" s="98"/>
      <c r="AC1801" s="62"/>
      <c r="AD1801" s="62"/>
      <c r="AE1801" s="62"/>
      <c r="AF1801" s="62"/>
      <c r="AG1801" s="66"/>
      <c r="AH1801" s="62"/>
      <c r="AI1801" s="62"/>
      <c r="AJ1801" s="62"/>
      <c r="AK1801" s="62"/>
      <c r="AL1801" s="66"/>
      <c r="AM1801" s="62"/>
      <c r="AN1801" s="62"/>
      <c r="AO1801" s="62"/>
      <c r="AP1801" s="62"/>
      <c r="AQ1801" s="66"/>
      <c r="AR1801" s="62"/>
      <c r="AS1801" s="62"/>
      <c r="AT1801" s="62"/>
      <c r="AU1801" s="62"/>
      <c r="AV1801" s="66"/>
      <c r="AW1801" s="97"/>
    </row>
    <row r="1802" spans="23:49" x14ac:dyDescent="0.15">
      <c r="W1802" s="12"/>
      <c r="X1802" s="62"/>
      <c r="Y1802" s="62"/>
      <c r="Z1802" s="62"/>
      <c r="AA1802" s="62"/>
      <c r="AB1802" s="98"/>
      <c r="AC1802" s="62"/>
      <c r="AD1802" s="62"/>
      <c r="AE1802" s="62"/>
      <c r="AF1802" s="62"/>
      <c r="AG1802" s="66"/>
      <c r="AH1802" s="62"/>
      <c r="AI1802" s="62"/>
      <c r="AJ1802" s="62"/>
      <c r="AK1802" s="62"/>
      <c r="AL1802" s="66"/>
      <c r="AM1802" s="62"/>
      <c r="AN1802" s="62"/>
      <c r="AO1802" s="62"/>
      <c r="AP1802" s="62"/>
      <c r="AQ1802" s="66"/>
      <c r="AR1802" s="62"/>
      <c r="AS1802" s="62"/>
      <c r="AT1802" s="62"/>
      <c r="AU1802" s="62"/>
      <c r="AV1802" s="66"/>
      <c r="AW1802" s="97"/>
    </row>
    <row r="1803" spans="23:49" x14ac:dyDescent="0.15">
      <c r="W1803" s="12"/>
      <c r="X1803" s="62"/>
      <c r="Y1803" s="62"/>
      <c r="Z1803" s="62"/>
      <c r="AA1803" s="62"/>
      <c r="AB1803" s="98"/>
      <c r="AC1803" s="62"/>
      <c r="AD1803" s="62"/>
      <c r="AE1803" s="62"/>
      <c r="AF1803" s="62"/>
      <c r="AG1803" s="66"/>
      <c r="AH1803" s="62"/>
      <c r="AI1803" s="62"/>
      <c r="AJ1803" s="62"/>
      <c r="AK1803" s="62"/>
      <c r="AL1803" s="66"/>
      <c r="AM1803" s="62"/>
      <c r="AN1803" s="62"/>
      <c r="AO1803" s="62"/>
      <c r="AP1803" s="62"/>
      <c r="AQ1803" s="66"/>
      <c r="AR1803" s="62"/>
      <c r="AS1803" s="62"/>
      <c r="AT1803" s="62"/>
      <c r="AU1803" s="62"/>
      <c r="AV1803" s="66"/>
      <c r="AW1803" s="97"/>
    </row>
    <row r="1804" spans="23:49" x14ac:dyDescent="0.15">
      <c r="W1804" s="12"/>
      <c r="X1804" s="62"/>
      <c r="Y1804" s="62"/>
      <c r="Z1804" s="62"/>
      <c r="AA1804" s="62"/>
      <c r="AB1804" s="98"/>
      <c r="AC1804" s="62"/>
      <c r="AD1804" s="62"/>
      <c r="AE1804" s="62"/>
      <c r="AF1804" s="62"/>
      <c r="AG1804" s="66"/>
      <c r="AH1804" s="62"/>
      <c r="AI1804" s="62"/>
      <c r="AJ1804" s="62"/>
      <c r="AK1804" s="62"/>
      <c r="AL1804" s="66"/>
      <c r="AM1804" s="62"/>
      <c r="AN1804" s="62"/>
      <c r="AO1804" s="62"/>
      <c r="AP1804" s="62"/>
      <c r="AQ1804" s="66"/>
      <c r="AR1804" s="62"/>
      <c r="AS1804" s="62"/>
      <c r="AT1804" s="62"/>
      <c r="AU1804" s="62"/>
      <c r="AV1804" s="66"/>
      <c r="AW1804" s="97"/>
    </row>
    <row r="1805" spans="23:49" x14ac:dyDescent="0.15">
      <c r="W1805" s="12"/>
      <c r="X1805" s="62"/>
      <c r="Y1805" s="62"/>
      <c r="Z1805" s="62"/>
      <c r="AA1805" s="62"/>
      <c r="AB1805" s="98"/>
      <c r="AC1805" s="62"/>
      <c r="AD1805" s="62"/>
      <c r="AE1805" s="62"/>
      <c r="AF1805" s="62"/>
      <c r="AG1805" s="66"/>
      <c r="AH1805" s="62"/>
      <c r="AI1805" s="62"/>
      <c r="AJ1805" s="62"/>
      <c r="AK1805" s="62"/>
      <c r="AL1805" s="66"/>
      <c r="AM1805" s="62"/>
      <c r="AN1805" s="62"/>
      <c r="AO1805" s="62"/>
      <c r="AP1805" s="62"/>
      <c r="AQ1805" s="66"/>
      <c r="AR1805" s="62"/>
      <c r="AS1805" s="62"/>
      <c r="AT1805" s="62"/>
      <c r="AU1805" s="62"/>
      <c r="AV1805" s="66"/>
      <c r="AW1805" s="97"/>
    </row>
    <row r="1806" spans="23:49" x14ac:dyDescent="0.15">
      <c r="W1806" s="12"/>
      <c r="X1806" s="62"/>
      <c r="Y1806" s="62"/>
      <c r="Z1806" s="62"/>
      <c r="AA1806" s="62"/>
      <c r="AB1806" s="98"/>
      <c r="AC1806" s="62"/>
      <c r="AD1806" s="62"/>
      <c r="AE1806" s="62"/>
      <c r="AF1806" s="62"/>
      <c r="AG1806" s="66"/>
      <c r="AH1806" s="62"/>
      <c r="AI1806" s="62"/>
      <c r="AJ1806" s="62"/>
      <c r="AK1806" s="62"/>
      <c r="AL1806" s="66"/>
      <c r="AM1806" s="62"/>
      <c r="AN1806" s="62"/>
      <c r="AO1806" s="62"/>
      <c r="AP1806" s="62"/>
      <c r="AQ1806" s="66"/>
      <c r="AR1806" s="62"/>
      <c r="AS1806" s="62"/>
      <c r="AT1806" s="62"/>
      <c r="AU1806" s="62"/>
      <c r="AV1806" s="66"/>
      <c r="AW1806" s="97"/>
    </row>
    <row r="1807" spans="23:49" x14ac:dyDescent="0.15">
      <c r="W1807" s="12"/>
      <c r="X1807" s="62"/>
      <c r="Y1807" s="62"/>
      <c r="Z1807" s="62"/>
      <c r="AA1807" s="62"/>
      <c r="AB1807" s="98"/>
      <c r="AC1807" s="62"/>
      <c r="AD1807" s="62"/>
      <c r="AE1807" s="62"/>
      <c r="AF1807" s="62"/>
      <c r="AG1807" s="66"/>
      <c r="AH1807" s="62"/>
      <c r="AI1807" s="62"/>
      <c r="AJ1807" s="62"/>
      <c r="AK1807" s="62"/>
      <c r="AL1807" s="66"/>
      <c r="AM1807" s="62"/>
      <c r="AN1807" s="62"/>
      <c r="AO1807" s="62"/>
      <c r="AP1807" s="62"/>
      <c r="AQ1807" s="66"/>
      <c r="AR1807" s="62"/>
      <c r="AS1807" s="62"/>
      <c r="AT1807" s="62"/>
      <c r="AU1807" s="62"/>
      <c r="AV1807" s="66"/>
      <c r="AW1807" s="97"/>
    </row>
    <row r="1808" spans="23:49" x14ac:dyDescent="0.15">
      <c r="W1808" s="12"/>
      <c r="X1808" s="62"/>
      <c r="Y1808" s="62"/>
      <c r="Z1808" s="62"/>
      <c r="AA1808" s="62"/>
      <c r="AB1808" s="98"/>
      <c r="AC1808" s="62"/>
      <c r="AD1808" s="62"/>
      <c r="AE1808" s="62"/>
      <c r="AF1808" s="62"/>
      <c r="AG1808" s="66"/>
      <c r="AH1808" s="62"/>
      <c r="AI1808" s="62"/>
      <c r="AJ1808" s="62"/>
      <c r="AK1808" s="62"/>
      <c r="AL1808" s="66"/>
      <c r="AM1808" s="62"/>
      <c r="AN1808" s="62"/>
      <c r="AO1808" s="62"/>
      <c r="AP1808" s="62"/>
      <c r="AQ1808" s="66"/>
      <c r="AR1808" s="62"/>
      <c r="AS1808" s="62"/>
      <c r="AT1808" s="62"/>
      <c r="AU1808" s="62"/>
      <c r="AV1808" s="66"/>
      <c r="AW1808" s="97"/>
    </row>
    <row r="1809" spans="23:49" x14ac:dyDescent="0.15">
      <c r="W1809" s="12"/>
      <c r="X1809" s="62"/>
      <c r="Y1809" s="62"/>
      <c r="Z1809" s="62"/>
      <c r="AA1809" s="62"/>
      <c r="AB1809" s="98"/>
      <c r="AC1809" s="62"/>
      <c r="AD1809" s="62"/>
      <c r="AE1809" s="62"/>
      <c r="AF1809" s="62"/>
      <c r="AG1809" s="66"/>
      <c r="AH1809" s="62"/>
      <c r="AI1809" s="62"/>
      <c r="AJ1809" s="62"/>
      <c r="AK1809" s="62"/>
      <c r="AL1809" s="66"/>
      <c r="AM1809" s="62"/>
      <c r="AN1809" s="62"/>
      <c r="AO1809" s="62"/>
      <c r="AP1809" s="62"/>
      <c r="AQ1809" s="66"/>
      <c r="AR1809" s="62"/>
      <c r="AS1809" s="62"/>
      <c r="AT1809" s="62"/>
      <c r="AU1809" s="62"/>
      <c r="AV1809" s="66"/>
      <c r="AW1809" s="97"/>
    </row>
    <row r="1810" spans="23:49" x14ac:dyDescent="0.15">
      <c r="W1810" s="12"/>
      <c r="X1810" s="62"/>
      <c r="Y1810" s="62"/>
      <c r="Z1810" s="62"/>
      <c r="AA1810" s="62"/>
      <c r="AB1810" s="98"/>
      <c r="AC1810" s="62"/>
      <c r="AD1810" s="62"/>
      <c r="AE1810" s="62"/>
      <c r="AF1810" s="62"/>
      <c r="AG1810" s="66"/>
      <c r="AH1810" s="62"/>
      <c r="AI1810" s="62"/>
      <c r="AJ1810" s="62"/>
      <c r="AK1810" s="62"/>
      <c r="AL1810" s="66"/>
      <c r="AM1810" s="62"/>
      <c r="AN1810" s="62"/>
      <c r="AO1810" s="62"/>
      <c r="AP1810" s="62"/>
      <c r="AQ1810" s="66"/>
      <c r="AR1810" s="62"/>
      <c r="AS1810" s="62"/>
      <c r="AT1810" s="62"/>
      <c r="AU1810" s="62"/>
      <c r="AV1810" s="66"/>
      <c r="AW1810" s="97"/>
    </row>
    <row r="1811" spans="23:49" x14ac:dyDescent="0.15">
      <c r="W1811" s="12"/>
      <c r="X1811" s="62"/>
      <c r="Y1811" s="62"/>
      <c r="Z1811" s="62"/>
      <c r="AA1811" s="62"/>
      <c r="AB1811" s="98"/>
      <c r="AC1811" s="62"/>
      <c r="AD1811" s="62"/>
      <c r="AE1811" s="62"/>
      <c r="AF1811" s="62"/>
      <c r="AG1811" s="66"/>
      <c r="AH1811" s="62"/>
      <c r="AI1811" s="62"/>
      <c r="AJ1811" s="62"/>
      <c r="AK1811" s="62"/>
      <c r="AL1811" s="66"/>
      <c r="AM1811" s="62"/>
      <c r="AN1811" s="62"/>
      <c r="AO1811" s="62"/>
      <c r="AP1811" s="62"/>
      <c r="AQ1811" s="66"/>
      <c r="AR1811" s="62"/>
      <c r="AS1811" s="62"/>
      <c r="AT1811" s="62"/>
      <c r="AU1811" s="62"/>
      <c r="AV1811" s="66"/>
      <c r="AW1811" s="97"/>
    </row>
    <row r="1812" spans="23:49" x14ac:dyDescent="0.15">
      <c r="W1812" s="12"/>
      <c r="X1812" s="62"/>
      <c r="Y1812" s="62"/>
      <c r="Z1812" s="62"/>
      <c r="AA1812" s="62"/>
      <c r="AB1812" s="98"/>
      <c r="AC1812" s="62"/>
      <c r="AD1812" s="62"/>
      <c r="AE1812" s="62"/>
      <c r="AF1812" s="62"/>
      <c r="AG1812" s="66"/>
      <c r="AH1812" s="62"/>
      <c r="AI1812" s="62"/>
      <c r="AJ1812" s="62"/>
      <c r="AK1812" s="62"/>
      <c r="AL1812" s="66"/>
      <c r="AM1812" s="62"/>
      <c r="AN1812" s="62"/>
      <c r="AO1812" s="62"/>
      <c r="AP1812" s="62"/>
      <c r="AQ1812" s="66"/>
      <c r="AR1812" s="62"/>
      <c r="AS1812" s="62"/>
      <c r="AT1812" s="62"/>
      <c r="AU1812" s="62"/>
      <c r="AV1812" s="66"/>
      <c r="AW1812" s="97"/>
    </row>
    <row r="1813" spans="23:49" x14ac:dyDescent="0.15">
      <c r="W1813" s="12"/>
      <c r="X1813" s="62"/>
      <c r="Y1813" s="62"/>
      <c r="Z1813" s="62"/>
      <c r="AA1813" s="62"/>
      <c r="AB1813" s="98"/>
      <c r="AC1813" s="62"/>
      <c r="AD1813" s="62"/>
      <c r="AE1813" s="62"/>
      <c r="AF1813" s="62"/>
      <c r="AG1813" s="66"/>
      <c r="AH1813" s="62"/>
      <c r="AI1813" s="62"/>
      <c r="AJ1813" s="62"/>
      <c r="AK1813" s="62"/>
      <c r="AL1813" s="66"/>
      <c r="AM1813" s="62"/>
      <c r="AN1813" s="62"/>
      <c r="AO1813" s="62"/>
      <c r="AP1813" s="62"/>
      <c r="AQ1813" s="66"/>
      <c r="AR1813" s="62"/>
      <c r="AS1813" s="62"/>
      <c r="AT1813" s="62"/>
      <c r="AU1813" s="62"/>
      <c r="AV1813" s="66"/>
      <c r="AW1813" s="97"/>
    </row>
    <row r="1814" spans="23:49" x14ac:dyDescent="0.15">
      <c r="W1814" s="12"/>
      <c r="X1814" s="62"/>
      <c r="Y1814" s="62"/>
      <c r="Z1814" s="62"/>
      <c r="AA1814" s="62"/>
      <c r="AB1814" s="98"/>
      <c r="AC1814" s="62"/>
      <c r="AD1814" s="62"/>
      <c r="AE1814" s="62"/>
      <c r="AF1814" s="62"/>
      <c r="AG1814" s="66"/>
      <c r="AH1814" s="62"/>
      <c r="AI1814" s="62"/>
      <c r="AJ1814" s="62"/>
      <c r="AK1814" s="62"/>
      <c r="AL1814" s="66"/>
      <c r="AM1814" s="62"/>
      <c r="AN1814" s="62"/>
      <c r="AO1814" s="62"/>
      <c r="AP1814" s="62"/>
      <c r="AQ1814" s="66"/>
      <c r="AR1814" s="62"/>
      <c r="AS1814" s="62"/>
      <c r="AT1814" s="62"/>
      <c r="AU1814" s="62"/>
      <c r="AV1814" s="66"/>
      <c r="AW1814" s="97"/>
    </row>
    <row r="1815" spans="23:49" x14ac:dyDescent="0.15">
      <c r="W1815" s="12"/>
      <c r="X1815" s="62"/>
      <c r="Y1815" s="62"/>
      <c r="Z1815" s="62"/>
      <c r="AA1815" s="62"/>
      <c r="AB1815" s="98"/>
      <c r="AC1815" s="62"/>
      <c r="AD1815" s="62"/>
      <c r="AE1815" s="62"/>
      <c r="AF1815" s="62"/>
      <c r="AG1815" s="66"/>
      <c r="AH1815" s="62"/>
      <c r="AI1815" s="62"/>
      <c r="AJ1815" s="62"/>
      <c r="AK1815" s="62"/>
      <c r="AL1815" s="66"/>
      <c r="AM1815" s="62"/>
      <c r="AN1815" s="62"/>
      <c r="AO1815" s="62"/>
      <c r="AP1815" s="62"/>
      <c r="AQ1815" s="66"/>
      <c r="AR1815" s="62"/>
      <c r="AS1815" s="62"/>
      <c r="AT1815" s="62"/>
      <c r="AU1815" s="62"/>
      <c r="AV1815" s="66"/>
      <c r="AW1815" s="97"/>
    </row>
    <row r="1816" spans="23:49" x14ac:dyDescent="0.15">
      <c r="W1816" s="12"/>
      <c r="X1816" s="62"/>
      <c r="Y1816" s="62"/>
      <c r="Z1816" s="62"/>
      <c r="AA1816" s="62"/>
      <c r="AB1816" s="98"/>
      <c r="AC1816" s="62"/>
      <c r="AD1816" s="62"/>
      <c r="AE1816" s="62"/>
      <c r="AF1816" s="62"/>
      <c r="AG1816" s="66"/>
      <c r="AH1816" s="62"/>
      <c r="AI1816" s="62"/>
      <c r="AJ1816" s="62"/>
      <c r="AK1816" s="62"/>
      <c r="AL1816" s="66"/>
      <c r="AM1816" s="62"/>
      <c r="AN1816" s="62"/>
      <c r="AO1816" s="62"/>
      <c r="AP1816" s="62"/>
      <c r="AQ1816" s="66"/>
      <c r="AR1816" s="62"/>
      <c r="AS1816" s="62"/>
      <c r="AT1816" s="62"/>
      <c r="AU1816" s="62"/>
      <c r="AV1816" s="66"/>
      <c r="AW1816" s="97"/>
    </row>
    <row r="1817" spans="23:49" x14ac:dyDescent="0.15">
      <c r="W1817" s="12"/>
      <c r="X1817" s="62"/>
      <c r="Y1817" s="62"/>
      <c r="Z1817" s="62"/>
      <c r="AA1817" s="62"/>
      <c r="AB1817" s="98"/>
      <c r="AC1817" s="62"/>
      <c r="AD1817" s="62"/>
      <c r="AE1817" s="62"/>
      <c r="AF1817" s="62"/>
      <c r="AG1817" s="66"/>
      <c r="AH1817" s="62"/>
      <c r="AI1817" s="62"/>
      <c r="AJ1817" s="62"/>
      <c r="AK1817" s="62"/>
      <c r="AL1817" s="66"/>
      <c r="AM1817" s="62"/>
      <c r="AN1817" s="62"/>
      <c r="AO1817" s="62"/>
      <c r="AP1817" s="62"/>
      <c r="AQ1817" s="66"/>
      <c r="AR1817" s="62"/>
      <c r="AS1817" s="62"/>
      <c r="AT1817" s="62"/>
      <c r="AU1817" s="62"/>
      <c r="AV1817" s="66"/>
      <c r="AW1817" s="97"/>
    </row>
    <row r="1818" spans="23:49" x14ac:dyDescent="0.15">
      <c r="W1818" s="12"/>
      <c r="X1818" s="62"/>
      <c r="Y1818" s="62"/>
      <c r="Z1818" s="62"/>
      <c r="AA1818" s="62"/>
      <c r="AB1818" s="98"/>
      <c r="AC1818" s="62"/>
      <c r="AD1818" s="62"/>
      <c r="AE1818" s="62"/>
      <c r="AF1818" s="62"/>
      <c r="AG1818" s="66"/>
      <c r="AH1818" s="62"/>
      <c r="AI1818" s="62"/>
      <c r="AJ1818" s="62"/>
      <c r="AK1818" s="62"/>
      <c r="AL1818" s="66"/>
      <c r="AM1818" s="62"/>
      <c r="AN1818" s="62"/>
      <c r="AO1818" s="62"/>
      <c r="AP1818" s="62"/>
      <c r="AQ1818" s="66"/>
      <c r="AR1818" s="62"/>
      <c r="AS1818" s="62"/>
      <c r="AT1818" s="62"/>
      <c r="AU1818" s="62"/>
      <c r="AV1818" s="66"/>
      <c r="AW1818" s="97"/>
    </row>
    <row r="1819" spans="23:49" x14ac:dyDescent="0.15">
      <c r="W1819" s="12"/>
      <c r="X1819" s="62"/>
      <c r="Y1819" s="62"/>
      <c r="Z1819" s="62"/>
      <c r="AA1819" s="62"/>
      <c r="AB1819" s="98"/>
      <c r="AC1819" s="62"/>
      <c r="AD1819" s="62"/>
      <c r="AE1819" s="62"/>
      <c r="AF1819" s="62"/>
      <c r="AG1819" s="66"/>
      <c r="AH1819" s="62"/>
      <c r="AI1819" s="62"/>
      <c r="AJ1819" s="62"/>
      <c r="AK1819" s="62"/>
      <c r="AL1819" s="66"/>
      <c r="AM1819" s="62"/>
      <c r="AN1819" s="62"/>
      <c r="AO1819" s="62"/>
      <c r="AP1819" s="62"/>
      <c r="AQ1819" s="66"/>
      <c r="AR1819" s="62"/>
      <c r="AS1819" s="62"/>
      <c r="AT1819" s="62"/>
      <c r="AU1819" s="62"/>
      <c r="AV1819" s="66"/>
      <c r="AW1819" s="97"/>
    </row>
    <row r="1820" spans="23:49" x14ac:dyDescent="0.15">
      <c r="W1820" s="12"/>
      <c r="X1820" s="62"/>
      <c r="Y1820" s="62"/>
      <c r="Z1820" s="62"/>
      <c r="AA1820" s="62"/>
      <c r="AB1820" s="98"/>
      <c r="AC1820" s="62"/>
      <c r="AD1820" s="62"/>
      <c r="AE1820" s="62"/>
      <c r="AF1820" s="62"/>
      <c r="AG1820" s="66"/>
      <c r="AH1820" s="62"/>
      <c r="AI1820" s="62"/>
      <c r="AJ1820" s="62"/>
      <c r="AK1820" s="62"/>
      <c r="AL1820" s="66"/>
      <c r="AM1820" s="62"/>
      <c r="AN1820" s="62"/>
      <c r="AO1820" s="62"/>
      <c r="AP1820" s="62"/>
      <c r="AQ1820" s="66"/>
      <c r="AR1820" s="62"/>
      <c r="AS1820" s="62"/>
      <c r="AT1820" s="62"/>
      <c r="AU1820" s="62"/>
      <c r="AV1820" s="66"/>
      <c r="AW1820" s="97"/>
    </row>
    <row r="1821" spans="23:49" x14ac:dyDescent="0.15">
      <c r="W1821" s="12"/>
      <c r="X1821" s="62"/>
      <c r="Y1821" s="62"/>
      <c r="Z1821" s="62"/>
      <c r="AA1821" s="62"/>
      <c r="AB1821" s="98"/>
      <c r="AC1821" s="62"/>
      <c r="AD1821" s="62"/>
      <c r="AE1821" s="62"/>
      <c r="AF1821" s="62"/>
      <c r="AG1821" s="66"/>
      <c r="AH1821" s="62"/>
      <c r="AI1821" s="62"/>
      <c r="AJ1821" s="62"/>
      <c r="AK1821" s="62"/>
      <c r="AL1821" s="66"/>
      <c r="AM1821" s="62"/>
      <c r="AN1821" s="62"/>
      <c r="AO1821" s="62"/>
      <c r="AP1821" s="62"/>
      <c r="AQ1821" s="66"/>
      <c r="AR1821" s="62"/>
      <c r="AS1821" s="62"/>
      <c r="AT1821" s="62"/>
      <c r="AU1821" s="62"/>
      <c r="AV1821" s="66"/>
      <c r="AW1821" s="97"/>
    </row>
    <row r="1822" spans="23:49" x14ac:dyDescent="0.15">
      <c r="W1822" s="12"/>
      <c r="X1822" s="62"/>
      <c r="Y1822" s="62"/>
      <c r="Z1822" s="62"/>
      <c r="AA1822" s="62"/>
      <c r="AB1822" s="98"/>
      <c r="AC1822" s="62"/>
      <c r="AD1822" s="62"/>
      <c r="AE1822" s="62"/>
      <c r="AF1822" s="62"/>
      <c r="AG1822" s="66"/>
      <c r="AH1822" s="62"/>
      <c r="AI1822" s="62"/>
      <c r="AJ1822" s="62"/>
      <c r="AK1822" s="62"/>
      <c r="AL1822" s="66"/>
      <c r="AM1822" s="62"/>
      <c r="AN1822" s="62"/>
      <c r="AO1822" s="62"/>
      <c r="AP1822" s="62"/>
      <c r="AQ1822" s="66"/>
      <c r="AR1822" s="62"/>
      <c r="AS1822" s="62"/>
      <c r="AT1822" s="62"/>
      <c r="AU1822" s="62"/>
      <c r="AV1822" s="66"/>
      <c r="AW1822" s="97"/>
    </row>
    <row r="1823" spans="23:49" x14ac:dyDescent="0.15">
      <c r="W1823" s="12"/>
      <c r="X1823" s="62"/>
      <c r="Y1823" s="62"/>
      <c r="Z1823" s="62"/>
      <c r="AA1823" s="62"/>
      <c r="AB1823" s="98"/>
      <c r="AC1823" s="62"/>
      <c r="AD1823" s="62"/>
      <c r="AE1823" s="62"/>
      <c r="AF1823" s="62"/>
      <c r="AG1823" s="66"/>
      <c r="AH1823" s="62"/>
      <c r="AI1823" s="62"/>
      <c r="AJ1823" s="62"/>
      <c r="AK1823" s="62"/>
      <c r="AL1823" s="66"/>
      <c r="AM1823" s="62"/>
      <c r="AN1823" s="62"/>
      <c r="AO1823" s="62"/>
      <c r="AP1823" s="62"/>
      <c r="AQ1823" s="66"/>
      <c r="AR1823" s="62"/>
      <c r="AS1823" s="62"/>
      <c r="AT1823" s="62"/>
      <c r="AU1823" s="62"/>
      <c r="AV1823" s="66"/>
      <c r="AW1823" s="97"/>
    </row>
    <row r="1824" spans="23:49" x14ac:dyDescent="0.15">
      <c r="W1824" s="12"/>
      <c r="X1824" s="62"/>
      <c r="Y1824" s="62"/>
      <c r="Z1824" s="62"/>
      <c r="AA1824" s="62"/>
      <c r="AB1824" s="98"/>
      <c r="AC1824" s="62"/>
      <c r="AD1824" s="62"/>
      <c r="AE1824" s="62"/>
      <c r="AF1824" s="62"/>
      <c r="AG1824" s="66"/>
      <c r="AH1824" s="62"/>
      <c r="AI1824" s="62"/>
      <c r="AJ1824" s="62"/>
      <c r="AK1824" s="62"/>
      <c r="AL1824" s="66"/>
      <c r="AM1824" s="62"/>
      <c r="AN1824" s="62"/>
      <c r="AO1824" s="62"/>
      <c r="AP1824" s="62"/>
      <c r="AQ1824" s="66"/>
      <c r="AR1824" s="62"/>
      <c r="AS1824" s="62"/>
      <c r="AT1824" s="62"/>
      <c r="AU1824" s="62"/>
      <c r="AV1824" s="66"/>
      <c r="AW1824" s="97"/>
    </row>
    <row r="1825" spans="23:49" x14ac:dyDescent="0.15">
      <c r="W1825" s="12"/>
      <c r="X1825" s="62"/>
      <c r="Y1825" s="62"/>
      <c r="Z1825" s="62"/>
      <c r="AA1825" s="62"/>
      <c r="AB1825" s="98"/>
      <c r="AC1825" s="62"/>
      <c r="AD1825" s="62"/>
      <c r="AE1825" s="62"/>
      <c r="AF1825" s="62"/>
      <c r="AG1825" s="66"/>
      <c r="AH1825" s="62"/>
      <c r="AI1825" s="62"/>
      <c r="AJ1825" s="62"/>
      <c r="AK1825" s="62"/>
      <c r="AL1825" s="66"/>
      <c r="AM1825" s="62"/>
      <c r="AN1825" s="62"/>
      <c r="AO1825" s="62"/>
      <c r="AP1825" s="62"/>
      <c r="AQ1825" s="66"/>
      <c r="AR1825" s="62"/>
      <c r="AS1825" s="62"/>
      <c r="AT1825" s="62"/>
      <c r="AU1825" s="62"/>
      <c r="AV1825" s="66"/>
      <c r="AW1825" s="97"/>
    </row>
    <row r="1826" spans="23:49" x14ac:dyDescent="0.15">
      <c r="W1826" s="12"/>
      <c r="X1826" s="62"/>
      <c r="Y1826" s="62"/>
      <c r="Z1826" s="62"/>
      <c r="AA1826" s="62"/>
      <c r="AB1826" s="98"/>
      <c r="AC1826" s="62"/>
      <c r="AD1826" s="62"/>
      <c r="AE1826" s="62"/>
      <c r="AF1826" s="62"/>
      <c r="AG1826" s="66"/>
      <c r="AH1826" s="62"/>
      <c r="AI1826" s="62"/>
      <c r="AJ1826" s="62"/>
      <c r="AK1826" s="62"/>
      <c r="AL1826" s="66"/>
      <c r="AM1826" s="62"/>
      <c r="AN1826" s="62"/>
      <c r="AO1826" s="62"/>
      <c r="AP1826" s="62"/>
      <c r="AQ1826" s="66"/>
      <c r="AR1826" s="62"/>
      <c r="AS1826" s="62"/>
      <c r="AT1826" s="62"/>
      <c r="AU1826" s="62"/>
      <c r="AV1826" s="66"/>
      <c r="AW1826" s="97"/>
    </row>
    <row r="1827" spans="23:49" x14ac:dyDescent="0.15">
      <c r="W1827" s="12"/>
      <c r="X1827" s="62"/>
      <c r="Y1827" s="62"/>
      <c r="Z1827" s="62"/>
      <c r="AA1827" s="62"/>
      <c r="AB1827" s="98"/>
      <c r="AC1827" s="62"/>
      <c r="AD1827" s="62"/>
      <c r="AE1827" s="62"/>
      <c r="AF1827" s="62"/>
      <c r="AG1827" s="66"/>
      <c r="AH1827" s="62"/>
      <c r="AI1827" s="62"/>
      <c r="AJ1827" s="62"/>
      <c r="AK1827" s="62"/>
      <c r="AL1827" s="66"/>
      <c r="AM1827" s="62"/>
      <c r="AN1827" s="62"/>
      <c r="AO1827" s="62"/>
      <c r="AP1827" s="62"/>
      <c r="AQ1827" s="66"/>
      <c r="AR1827" s="62"/>
      <c r="AS1827" s="62"/>
      <c r="AT1827" s="62"/>
      <c r="AU1827" s="62"/>
      <c r="AV1827" s="66"/>
      <c r="AW1827" s="97"/>
    </row>
    <row r="1828" spans="23:49" x14ac:dyDescent="0.15">
      <c r="W1828" s="12"/>
      <c r="X1828" s="62"/>
      <c r="Y1828" s="62"/>
      <c r="Z1828" s="62"/>
      <c r="AA1828" s="62"/>
      <c r="AB1828" s="98"/>
      <c r="AC1828" s="62"/>
      <c r="AD1828" s="62"/>
      <c r="AE1828" s="62"/>
      <c r="AF1828" s="62"/>
      <c r="AG1828" s="66"/>
      <c r="AH1828" s="62"/>
      <c r="AI1828" s="62"/>
      <c r="AJ1828" s="62"/>
      <c r="AK1828" s="62"/>
      <c r="AL1828" s="66"/>
      <c r="AM1828" s="62"/>
      <c r="AN1828" s="62"/>
      <c r="AO1828" s="62"/>
      <c r="AP1828" s="62"/>
      <c r="AQ1828" s="66"/>
      <c r="AR1828" s="62"/>
      <c r="AS1828" s="62"/>
      <c r="AT1828" s="62"/>
      <c r="AU1828" s="62"/>
      <c r="AV1828" s="66"/>
      <c r="AW1828" s="97"/>
    </row>
    <row r="1829" spans="23:49" x14ac:dyDescent="0.15">
      <c r="W1829" s="12"/>
      <c r="X1829" s="62"/>
      <c r="Y1829" s="62"/>
      <c r="Z1829" s="62"/>
      <c r="AA1829" s="62"/>
      <c r="AB1829" s="98"/>
      <c r="AC1829" s="62"/>
      <c r="AD1829" s="62"/>
      <c r="AE1829" s="62"/>
      <c r="AF1829" s="62"/>
      <c r="AG1829" s="66"/>
      <c r="AH1829" s="62"/>
      <c r="AI1829" s="62"/>
      <c r="AJ1829" s="62"/>
      <c r="AK1829" s="62"/>
      <c r="AL1829" s="66"/>
      <c r="AM1829" s="62"/>
      <c r="AN1829" s="62"/>
      <c r="AO1829" s="62"/>
      <c r="AP1829" s="62"/>
      <c r="AQ1829" s="66"/>
      <c r="AR1829" s="62"/>
      <c r="AS1829" s="62"/>
      <c r="AT1829" s="62"/>
      <c r="AU1829" s="62"/>
      <c r="AV1829" s="66"/>
      <c r="AW1829" s="97"/>
    </row>
    <row r="1830" spans="23:49" x14ac:dyDescent="0.15">
      <c r="W1830" s="12"/>
      <c r="X1830" s="62"/>
      <c r="Y1830" s="62"/>
      <c r="Z1830" s="62"/>
      <c r="AA1830" s="62"/>
      <c r="AB1830" s="98"/>
      <c r="AC1830" s="62"/>
      <c r="AD1830" s="62"/>
      <c r="AE1830" s="62"/>
      <c r="AF1830" s="62"/>
      <c r="AG1830" s="66"/>
      <c r="AH1830" s="62"/>
      <c r="AI1830" s="62"/>
      <c r="AJ1830" s="62"/>
      <c r="AK1830" s="62"/>
      <c r="AL1830" s="66"/>
      <c r="AM1830" s="62"/>
      <c r="AN1830" s="62"/>
      <c r="AO1830" s="62"/>
      <c r="AP1830" s="62"/>
      <c r="AQ1830" s="66"/>
      <c r="AR1830" s="62"/>
      <c r="AS1830" s="62"/>
      <c r="AT1830" s="62"/>
      <c r="AU1830" s="62"/>
      <c r="AV1830" s="66"/>
      <c r="AW1830" s="97"/>
    </row>
    <row r="1831" spans="23:49" x14ac:dyDescent="0.15">
      <c r="W1831" s="12"/>
      <c r="X1831" s="62"/>
      <c r="Y1831" s="62"/>
      <c r="Z1831" s="62"/>
      <c r="AA1831" s="62"/>
      <c r="AB1831" s="98"/>
      <c r="AC1831" s="62"/>
      <c r="AD1831" s="62"/>
      <c r="AE1831" s="62"/>
      <c r="AF1831" s="62"/>
      <c r="AG1831" s="66"/>
      <c r="AH1831" s="62"/>
      <c r="AI1831" s="62"/>
      <c r="AJ1831" s="62"/>
      <c r="AK1831" s="62"/>
      <c r="AL1831" s="66"/>
      <c r="AM1831" s="62"/>
      <c r="AN1831" s="62"/>
      <c r="AO1831" s="62"/>
      <c r="AP1831" s="62"/>
      <c r="AQ1831" s="66"/>
      <c r="AR1831" s="62"/>
      <c r="AS1831" s="62"/>
      <c r="AT1831" s="62"/>
      <c r="AU1831" s="62"/>
      <c r="AV1831" s="66"/>
      <c r="AW1831" s="97"/>
    </row>
    <row r="1832" spans="23:49" x14ac:dyDescent="0.15">
      <c r="W1832" s="12"/>
      <c r="X1832" s="62"/>
      <c r="Y1832" s="62"/>
      <c r="Z1832" s="62"/>
      <c r="AA1832" s="62"/>
      <c r="AB1832" s="98"/>
      <c r="AC1832" s="62"/>
      <c r="AD1832" s="62"/>
      <c r="AE1832" s="62"/>
      <c r="AF1832" s="62"/>
      <c r="AG1832" s="66"/>
      <c r="AH1832" s="62"/>
      <c r="AI1832" s="62"/>
      <c r="AJ1832" s="62"/>
      <c r="AK1832" s="62"/>
      <c r="AL1832" s="66"/>
      <c r="AM1832" s="62"/>
      <c r="AN1832" s="62"/>
      <c r="AO1832" s="62"/>
      <c r="AP1832" s="62"/>
      <c r="AQ1832" s="66"/>
      <c r="AR1832" s="62"/>
      <c r="AS1832" s="62"/>
      <c r="AT1832" s="62"/>
      <c r="AU1832" s="62"/>
      <c r="AV1832" s="66"/>
      <c r="AW1832" s="97"/>
    </row>
    <row r="1833" spans="23:49" x14ac:dyDescent="0.15">
      <c r="W1833" s="12"/>
      <c r="X1833" s="62"/>
      <c r="Y1833" s="62"/>
      <c r="Z1833" s="62"/>
      <c r="AA1833" s="62"/>
      <c r="AB1833" s="98"/>
      <c r="AC1833" s="62"/>
      <c r="AD1833" s="62"/>
      <c r="AE1833" s="62"/>
      <c r="AF1833" s="62"/>
      <c r="AG1833" s="66"/>
      <c r="AH1833" s="62"/>
      <c r="AI1833" s="62"/>
      <c r="AJ1833" s="62"/>
      <c r="AK1833" s="62"/>
      <c r="AL1833" s="66"/>
      <c r="AM1833" s="62"/>
      <c r="AN1833" s="62"/>
      <c r="AO1833" s="62"/>
      <c r="AP1833" s="62"/>
      <c r="AQ1833" s="66"/>
      <c r="AR1833" s="62"/>
      <c r="AS1833" s="62"/>
      <c r="AT1833" s="62"/>
      <c r="AU1833" s="62"/>
      <c r="AV1833" s="66"/>
      <c r="AW1833" s="97"/>
    </row>
    <row r="1834" spans="23:49" x14ac:dyDescent="0.15">
      <c r="W1834" s="12"/>
      <c r="X1834" s="62"/>
      <c r="Y1834" s="62"/>
      <c r="Z1834" s="62"/>
      <c r="AA1834" s="62"/>
      <c r="AB1834" s="98"/>
      <c r="AC1834" s="62"/>
      <c r="AD1834" s="62"/>
      <c r="AE1834" s="62"/>
      <c r="AF1834" s="62"/>
      <c r="AG1834" s="66"/>
      <c r="AH1834" s="62"/>
      <c r="AI1834" s="62"/>
      <c r="AJ1834" s="62"/>
      <c r="AK1834" s="62"/>
      <c r="AL1834" s="66"/>
      <c r="AM1834" s="62"/>
      <c r="AN1834" s="62"/>
      <c r="AO1834" s="62"/>
      <c r="AP1834" s="62"/>
      <c r="AQ1834" s="66"/>
      <c r="AR1834" s="62"/>
      <c r="AS1834" s="62"/>
      <c r="AT1834" s="62"/>
      <c r="AU1834" s="62"/>
      <c r="AV1834" s="66"/>
      <c r="AW1834" s="97"/>
    </row>
    <row r="1835" spans="23:49" x14ac:dyDescent="0.15">
      <c r="W1835" s="12"/>
      <c r="X1835" s="62"/>
      <c r="Y1835" s="62"/>
      <c r="Z1835" s="62"/>
      <c r="AA1835" s="62"/>
      <c r="AB1835" s="98"/>
      <c r="AC1835" s="62"/>
      <c r="AD1835" s="62"/>
      <c r="AE1835" s="62"/>
      <c r="AF1835" s="62"/>
      <c r="AG1835" s="66"/>
      <c r="AH1835" s="62"/>
      <c r="AI1835" s="62"/>
      <c r="AJ1835" s="62"/>
      <c r="AK1835" s="62"/>
      <c r="AL1835" s="66"/>
      <c r="AM1835" s="62"/>
      <c r="AN1835" s="62"/>
      <c r="AO1835" s="62"/>
      <c r="AP1835" s="62"/>
      <c r="AQ1835" s="66"/>
      <c r="AR1835" s="62"/>
      <c r="AS1835" s="62"/>
      <c r="AT1835" s="62"/>
      <c r="AU1835" s="62"/>
      <c r="AV1835" s="66"/>
      <c r="AW1835" s="97"/>
    </row>
    <row r="1836" spans="23:49" x14ac:dyDescent="0.15">
      <c r="W1836" s="12"/>
      <c r="X1836" s="62"/>
      <c r="Y1836" s="62"/>
      <c r="Z1836" s="62"/>
      <c r="AA1836" s="62"/>
      <c r="AB1836" s="98"/>
      <c r="AC1836" s="62"/>
      <c r="AD1836" s="62"/>
      <c r="AE1836" s="62"/>
      <c r="AF1836" s="62"/>
      <c r="AG1836" s="66"/>
      <c r="AH1836" s="62"/>
      <c r="AI1836" s="62"/>
      <c r="AJ1836" s="62"/>
      <c r="AK1836" s="62"/>
      <c r="AL1836" s="66"/>
      <c r="AM1836" s="62"/>
      <c r="AN1836" s="62"/>
      <c r="AO1836" s="62"/>
      <c r="AP1836" s="62"/>
      <c r="AQ1836" s="66"/>
      <c r="AR1836" s="62"/>
      <c r="AS1836" s="62"/>
      <c r="AT1836" s="62"/>
      <c r="AU1836" s="62"/>
      <c r="AV1836" s="66"/>
      <c r="AW1836" s="97"/>
    </row>
    <row r="1837" spans="23:49" x14ac:dyDescent="0.15">
      <c r="W1837" s="12"/>
      <c r="X1837" s="62"/>
      <c r="Y1837" s="62"/>
      <c r="Z1837" s="62"/>
      <c r="AA1837" s="62"/>
      <c r="AB1837" s="98"/>
      <c r="AC1837" s="62"/>
      <c r="AD1837" s="62"/>
      <c r="AE1837" s="62"/>
      <c r="AF1837" s="62"/>
      <c r="AG1837" s="66"/>
      <c r="AH1837" s="62"/>
      <c r="AI1837" s="62"/>
      <c r="AJ1837" s="62"/>
      <c r="AK1837" s="62"/>
      <c r="AL1837" s="66"/>
      <c r="AM1837" s="62"/>
      <c r="AN1837" s="62"/>
      <c r="AO1837" s="62"/>
      <c r="AP1837" s="62"/>
      <c r="AQ1837" s="66"/>
      <c r="AR1837" s="62"/>
      <c r="AS1837" s="62"/>
      <c r="AT1837" s="62"/>
      <c r="AU1837" s="62"/>
      <c r="AV1837" s="66"/>
      <c r="AW1837" s="97"/>
    </row>
    <row r="1838" spans="23:49" x14ac:dyDescent="0.15">
      <c r="W1838" s="12"/>
      <c r="X1838" s="62"/>
      <c r="Y1838" s="62"/>
      <c r="Z1838" s="62"/>
      <c r="AA1838" s="62"/>
      <c r="AB1838" s="98"/>
      <c r="AC1838" s="62"/>
      <c r="AD1838" s="62"/>
      <c r="AE1838" s="62"/>
      <c r="AF1838" s="62"/>
      <c r="AG1838" s="66"/>
      <c r="AH1838" s="62"/>
      <c r="AI1838" s="62"/>
      <c r="AJ1838" s="62"/>
      <c r="AK1838" s="62"/>
      <c r="AL1838" s="66"/>
      <c r="AM1838" s="62"/>
      <c r="AN1838" s="62"/>
      <c r="AO1838" s="62"/>
      <c r="AP1838" s="62"/>
      <c r="AQ1838" s="66"/>
      <c r="AR1838" s="62"/>
      <c r="AS1838" s="62"/>
      <c r="AT1838" s="62"/>
      <c r="AU1838" s="62"/>
      <c r="AV1838" s="66"/>
      <c r="AW1838" s="97"/>
    </row>
    <row r="1839" spans="23:49" x14ac:dyDescent="0.15">
      <c r="W1839" s="12"/>
      <c r="X1839" s="62"/>
      <c r="Y1839" s="62"/>
      <c r="Z1839" s="62"/>
      <c r="AA1839" s="62"/>
      <c r="AB1839" s="98"/>
      <c r="AC1839" s="62"/>
      <c r="AD1839" s="62"/>
      <c r="AE1839" s="62"/>
      <c r="AF1839" s="62"/>
      <c r="AG1839" s="66"/>
      <c r="AH1839" s="62"/>
      <c r="AI1839" s="62"/>
      <c r="AJ1839" s="62"/>
      <c r="AK1839" s="62"/>
      <c r="AL1839" s="66"/>
      <c r="AM1839" s="62"/>
      <c r="AN1839" s="62"/>
      <c r="AO1839" s="62"/>
      <c r="AP1839" s="62"/>
      <c r="AQ1839" s="66"/>
      <c r="AR1839" s="62"/>
      <c r="AS1839" s="62"/>
      <c r="AT1839" s="62"/>
      <c r="AU1839" s="62"/>
      <c r="AV1839" s="66"/>
      <c r="AW1839" s="97"/>
    </row>
    <row r="1840" spans="23:49" x14ac:dyDescent="0.15">
      <c r="W1840" s="12"/>
      <c r="X1840" s="62"/>
      <c r="Y1840" s="62"/>
      <c r="Z1840" s="62"/>
      <c r="AA1840" s="62"/>
      <c r="AB1840" s="98"/>
      <c r="AC1840" s="62"/>
      <c r="AD1840" s="62"/>
      <c r="AE1840" s="62"/>
      <c r="AF1840" s="62"/>
      <c r="AG1840" s="66"/>
      <c r="AH1840" s="62"/>
      <c r="AI1840" s="62"/>
      <c r="AJ1840" s="62"/>
      <c r="AK1840" s="62"/>
      <c r="AL1840" s="66"/>
      <c r="AM1840" s="62"/>
      <c r="AN1840" s="62"/>
      <c r="AO1840" s="62"/>
      <c r="AP1840" s="62"/>
      <c r="AQ1840" s="66"/>
      <c r="AR1840" s="62"/>
      <c r="AS1840" s="62"/>
      <c r="AT1840" s="62"/>
      <c r="AU1840" s="62"/>
      <c r="AV1840" s="66"/>
      <c r="AW1840" s="97"/>
    </row>
    <row r="1841" spans="23:49" x14ac:dyDescent="0.15">
      <c r="W1841" s="12"/>
      <c r="X1841" s="62"/>
      <c r="Y1841" s="62"/>
      <c r="Z1841" s="62"/>
      <c r="AA1841" s="62"/>
      <c r="AB1841" s="98"/>
      <c r="AC1841" s="62"/>
      <c r="AD1841" s="62"/>
      <c r="AE1841" s="62"/>
      <c r="AF1841" s="62"/>
      <c r="AG1841" s="66"/>
      <c r="AH1841" s="62"/>
      <c r="AI1841" s="62"/>
      <c r="AJ1841" s="62"/>
      <c r="AK1841" s="62"/>
      <c r="AL1841" s="66"/>
      <c r="AM1841" s="62"/>
      <c r="AN1841" s="62"/>
      <c r="AO1841" s="62"/>
      <c r="AP1841" s="62"/>
      <c r="AQ1841" s="66"/>
      <c r="AR1841" s="62"/>
      <c r="AS1841" s="62"/>
      <c r="AT1841" s="62"/>
      <c r="AU1841" s="62"/>
      <c r="AV1841" s="66"/>
      <c r="AW1841" s="97"/>
    </row>
    <row r="1842" spans="23:49" x14ac:dyDescent="0.15">
      <c r="W1842" s="12"/>
      <c r="X1842" s="62"/>
      <c r="Y1842" s="62"/>
      <c r="Z1842" s="62"/>
      <c r="AA1842" s="62"/>
      <c r="AB1842" s="98"/>
      <c r="AC1842" s="62"/>
      <c r="AD1842" s="62"/>
      <c r="AE1842" s="62"/>
      <c r="AF1842" s="62"/>
      <c r="AG1842" s="66"/>
      <c r="AH1842" s="62"/>
      <c r="AI1842" s="62"/>
      <c r="AJ1842" s="62"/>
      <c r="AK1842" s="62"/>
      <c r="AL1842" s="66"/>
      <c r="AM1842" s="62"/>
      <c r="AN1842" s="62"/>
      <c r="AO1842" s="62"/>
      <c r="AP1842" s="62"/>
      <c r="AQ1842" s="66"/>
      <c r="AR1842" s="62"/>
      <c r="AS1842" s="62"/>
      <c r="AT1842" s="62"/>
      <c r="AU1842" s="62"/>
      <c r="AV1842" s="66"/>
      <c r="AW1842" s="97"/>
    </row>
    <row r="1843" spans="23:49" x14ac:dyDescent="0.15">
      <c r="W1843" s="12"/>
      <c r="X1843" s="62"/>
      <c r="Y1843" s="62"/>
      <c r="Z1843" s="62"/>
      <c r="AA1843" s="62"/>
      <c r="AB1843" s="98"/>
      <c r="AC1843" s="62"/>
      <c r="AD1843" s="62"/>
      <c r="AE1843" s="62"/>
      <c r="AF1843" s="62"/>
      <c r="AG1843" s="66"/>
      <c r="AH1843" s="62"/>
      <c r="AI1843" s="62"/>
      <c r="AJ1843" s="62"/>
      <c r="AK1843" s="62"/>
      <c r="AL1843" s="66"/>
      <c r="AM1843" s="62"/>
      <c r="AN1843" s="62"/>
      <c r="AO1843" s="62"/>
      <c r="AP1843" s="62"/>
      <c r="AQ1843" s="66"/>
      <c r="AR1843" s="62"/>
      <c r="AS1843" s="62"/>
      <c r="AT1843" s="62"/>
      <c r="AU1843" s="62"/>
      <c r="AV1843" s="66"/>
      <c r="AW1843" s="97"/>
    </row>
    <row r="1844" spans="23:49" x14ac:dyDescent="0.15">
      <c r="W1844" s="12"/>
      <c r="X1844" s="62"/>
      <c r="Y1844" s="62"/>
      <c r="Z1844" s="62"/>
      <c r="AA1844" s="62"/>
      <c r="AB1844" s="98"/>
      <c r="AC1844" s="62"/>
      <c r="AD1844" s="62"/>
      <c r="AE1844" s="62"/>
      <c r="AF1844" s="62"/>
      <c r="AG1844" s="66"/>
      <c r="AH1844" s="62"/>
      <c r="AI1844" s="62"/>
      <c r="AJ1844" s="62"/>
      <c r="AK1844" s="62"/>
      <c r="AL1844" s="66"/>
      <c r="AM1844" s="62"/>
      <c r="AN1844" s="62"/>
      <c r="AO1844" s="62"/>
      <c r="AP1844" s="62"/>
      <c r="AQ1844" s="66"/>
      <c r="AR1844" s="62"/>
      <c r="AS1844" s="62"/>
      <c r="AT1844" s="62"/>
      <c r="AU1844" s="62"/>
      <c r="AV1844" s="66"/>
      <c r="AW1844" s="97"/>
    </row>
    <row r="1845" spans="23:49" x14ac:dyDescent="0.15">
      <c r="W1845" s="12"/>
      <c r="X1845" s="62"/>
      <c r="Y1845" s="62"/>
      <c r="Z1845" s="62"/>
      <c r="AA1845" s="62"/>
      <c r="AB1845" s="98"/>
      <c r="AC1845" s="62"/>
      <c r="AD1845" s="62"/>
      <c r="AE1845" s="62"/>
      <c r="AF1845" s="62"/>
      <c r="AG1845" s="66"/>
      <c r="AH1845" s="62"/>
      <c r="AI1845" s="62"/>
      <c r="AJ1845" s="62"/>
      <c r="AK1845" s="62"/>
      <c r="AL1845" s="66"/>
      <c r="AM1845" s="62"/>
      <c r="AN1845" s="62"/>
      <c r="AO1845" s="62"/>
      <c r="AP1845" s="62"/>
      <c r="AQ1845" s="66"/>
      <c r="AR1845" s="62"/>
      <c r="AS1845" s="62"/>
      <c r="AT1845" s="62"/>
      <c r="AU1845" s="62"/>
      <c r="AV1845" s="66"/>
      <c r="AW1845" s="97"/>
    </row>
    <row r="1846" spans="23:49" x14ac:dyDescent="0.15">
      <c r="W1846" s="12"/>
      <c r="X1846" s="62"/>
      <c r="Y1846" s="62"/>
      <c r="Z1846" s="62"/>
      <c r="AA1846" s="62"/>
      <c r="AB1846" s="98"/>
      <c r="AC1846" s="62"/>
      <c r="AD1846" s="62"/>
      <c r="AE1846" s="62"/>
      <c r="AF1846" s="62"/>
      <c r="AG1846" s="66"/>
      <c r="AH1846" s="62"/>
      <c r="AI1846" s="62"/>
      <c r="AJ1846" s="62"/>
      <c r="AK1846" s="62"/>
      <c r="AL1846" s="66"/>
      <c r="AM1846" s="62"/>
      <c r="AN1846" s="62"/>
      <c r="AO1846" s="62"/>
      <c r="AP1846" s="62"/>
      <c r="AQ1846" s="66"/>
      <c r="AR1846" s="62"/>
      <c r="AS1846" s="62"/>
      <c r="AT1846" s="62"/>
      <c r="AU1846" s="62"/>
      <c r="AV1846" s="66"/>
      <c r="AW1846" s="97"/>
    </row>
    <row r="1847" spans="23:49" x14ac:dyDescent="0.15">
      <c r="W1847" s="12"/>
      <c r="X1847" s="62"/>
      <c r="Y1847" s="62"/>
      <c r="Z1847" s="62"/>
      <c r="AA1847" s="62"/>
      <c r="AB1847" s="98"/>
      <c r="AC1847" s="62"/>
      <c r="AD1847" s="62"/>
      <c r="AE1847" s="62"/>
      <c r="AF1847" s="62"/>
      <c r="AG1847" s="66"/>
      <c r="AH1847" s="62"/>
      <c r="AI1847" s="62"/>
      <c r="AJ1847" s="62"/>
      <c r="AK1847" s="62"/>
      <c r="AL1847" s="66"/>
      <c r="AM1847" s="62"/>
      <c r="AN1847" s="62"/>
      <c r="AO1847" s="62"/>
      <c r="AP1847" s="62"/>
      <c r="AQ1847" s="66"/>
      <c r="AR1847" s="62"/>
      <c r="AS1847" s="62"/>
      <c r="AT1847" s="62"/>
      <c r="AU1847" s="62"/>
      <c r="AV1847" s="66"/>
      <c r="AW1847" s="97"/>
    </row>
    <row r="1848" spans="23:49" x14ac:dyDescent="0.15">
      <c r="W1848" s="12"/>
      <c r="X1848" s="62"/>
      <c r="Y1848" s="62"/>
      <c r="Z1848" s="62"/>
      <c r="AA1848" s="62"/>
      <c r="AB1848" s="98"/>
      <c r="AC1848" s="62"/>
      <c r="AD1848" s="62"/>
      <c r="AE1848" s="62"/>
      <c r="AF1848" s="62"/>
      <c r="AG1848" s="66"/>
      <c r="AH1848" s="62"/>
      <c r="AI1848" s="62"/>
      <c r="AJ1848" s="62"/>
      <c r="AK1848" s="62"/>
      <c r="AL1848" s="66"/>
      <c r="AM1848" s="62"/>
      <c r="AN1848" s="62"/>
      <c r="AO1848" s="62"/>
      <c r="AP1848" s="62"/>
      <c r="AQ1848" s="66"/>
      <c r="AR1848" s="62"/>
      <c r="AS1848" s="62"/>
      <c r="AT1848" s="62"/>
      <c r="AU1848" s="62"/>
      <c r="AV1848" s="66"/>
      <c r="AW1848" s="97"/>
    </row>
    <row r="1849" spans="23:49" x14ac:dyDescent="0.15">
      <c r="W1849" s="12"/>
      <c r="X1849" s="62"/>
      <c r="Y1849" s="62"/>
      <c r="Z1849" s="62"/>
      <c r="AA1849" s="62"/>
      <c r="AB1849" s="98"/>
      <c r="AC1849" s="62"/>
      <c r="AD1849" s="62"/>
      <c r="AE1849" s="62"/>
      <c r="AF1849" s="62"/>
      <c r="AG1849" s="66"/>
      <c r="AH1849" s="62"/>
      <c r="AI1849" s="62"/>
      <c r="AJ1849" s="62"/>
      <c r="AK1849" s="62"/>
      <c r="AL1849" s="66"/>
      <c r="AM1849" s="62"/>
      <c r="AN1849" s="62"/>
      <c r="AO1849" s="62"/>
      <c r="AP1849" s="62"/>
      <c r="AQ1849" s="66"/>
      <c r="AR1849" s="62"/>
      <c r="AS1849" s="62"/>
      <c r="AT1849" s="62"/>
      <c r="AU1849" s="62"/>
      <c r="AV1849" s="66"/>
      <c r="AW1849" s="97"/>
    </row>
    <row r="1850" spans="23:49" x14ac:dyDescent="0.15">
      <c r="W1850" s="12"/>
      <c r="X1850" s="62"/>
      <c r="Y1850" s="62"/>
      <c r="Z1850" s="62"/>
      <c r="AA1850" s="62"/>
      <c r="AB1850" s="98"/>
      <c r="AC1850" s="62"/>
      <c r="AD1850" s="62"/>
      <c r="AE1850" s="62"/>
      <c r="AF1850" s="62"/>
      <c r="AG1850" s="66"/>
      <c r="AH1850" s="62"/>
      <c r="AI1850" s="62"/>
      <c r="AJ1850" s="62"/>
      <c r="AK1850" s="62"/>
      <c r="AL1850" s="66"/>
      <c r="AM1850" s="62"/>
      <c r="AN1850" s="62"/>
      <c r="AO1850" s="62"/>
      <c r="AP1850" s="62"/>
      <c r="AQ1850" s="66"/>
      <c r="AR1850" s="62"/>
      <c r="AS1850" s="62"/>
      <c r="AT1850" s="62"/>
      <c r="AU1850" s="62"/>
      <c r="AV1850" s="66"/>
      <c r="AW1850" s="97"/>
    </row>
    <row r="1851" spans="23:49" x14ac:dyDescent="0.15">
      <c r="W1851" s="12"/>
      <c r="X1851" s="62"/>
      <c r="Y1851" s="62"/>
      <c r="Z1851" s="62"/>
      <c r="AA1851" s="62"/>
      <c r="AB1851" s="98"/>
      <c r="AC1851" s="62"/>
      <c r="AD1851" s="62"/>
      <c r="AE1851" s="62"/>
      <c r="AF1851" s="62"/>
      <c r="AG1851" s="66"/>
      <c r="AH1851" s="62"/>
      <c r="AI1851" s="62"/>
      <c r="AJ1851" s="62"/>
      <c r="AK1851" s="62"/>
      <c r="AL1851" s="66"/>
      <c r="AM1851" s="62"/>
      <c r="AN1851" s="62"/>
      <c r="AO1851" s="62"/>
      <c r="AP1851" s="62"/>
      <c r="AQ1851" s="66"/>
      <c r="AR1851" s="62"/>
      <c r="AS1851" s="62"/>
      <c r="AT1851" s="62"/>
      <c r="AU1851" s="62"/>
      <c r="AV1851" s="66"/>
      <c r="AW1851" s="97"/>
    </row>
    <row r="1852" spans="23:49" x14ac:dyDescent="0.15">
      <c r="W1852" s="12"/>
      <c r="X1852" s="62"/>
      <c r="Y1852" s="62"/>
      <c r="Z1852" s="62"/>
      <c r="AA1852" s="62"/>
      <c r="AB1852" s="98"/>
      <c r="AC1852" s="62"/>
      <c r="AD1852" s="62"/>
      <c r="AE1852" s="62"/>
      <c r="AF1852" s="62"/>
      <c r="AG1852" s="66"/>
      <c r="AH1852" s="62"/>
      <c r="AI1852" s="62"/>
      <c r="AJ1852" s="62"/>
      <c r="AK1852" s="62"/>
      <c r="AL1852" s="66"/>
      <c r="AM1852" s="62"/>
      <c r="AN1852" s="62"/>
      <c r="AO1852" s="62"/>
      <c r="AP1852" s="62"/>
      <c r="AQ1852" s="66"/>
      <c r="AR1852" s="62"/>
      <c r="AS1852" s="62"/>
      <c r="AT1852" s="62"/>
      <c r="AU1852" s="62"/>
      <c r="AV1852" s="66"/>
      <c r="AW1852" s="97"/>
    </row>
    <row r="1853" spans="23:49" x14ac:dyDescent="0.15">
      <c r="W1853" s="12"/>
      <c r="X1853" s="62"/>
      <c r="Y1853" s="62"/>
      <c r="Z1853" s="62"/>
      <c r="AA1853" s="62"/>
      <c r="AB1853" s="98"/>
      <c r="AC1853" s="62"/>
      <c r="AD1853" s="62"/>
      <c r="AE1853" s="62"/>
      <c r="AF1853" s="62"/>
      <c r="AG1853" s="66"/>
      <c r="AH1853" s="62"/>
      <c r="AI1853" s="62"/>
      <c r="AJ1853" s="62"/>
      <c r="AK1853" s="62"/>
      <c r="AL1853" s="66"/>
      <c r="AM1853" s="62"/>
      <c r="AN1853" s="62"/>
      <c r="AO1853" s="62"/>
      <c r="AP1853" s="62"/>
      <c r="AQ1853" s="66"/>
      <c r="AR1853" s="62"/>
      <c r="AS1853" s="62"/>
      <c r="AT1853" s="62"/>
      <c r="AU1853" s="62"/>
      <c r="AV1853" s="66"/>
      <c r="AW1853" s="97"/>
    </row>
    <row r="1854" spans="23:49" x14ac:dyDescent="0.15">
      <c r="W1854" s="12"/>
      <c r="X1854" s="62"/>
      <c r="Y1854" s="62"/>
      <c r="Z1854" s="62"/>
      <c r="AA1854" s="62"/>
      <c r="AB1854" s="98"/>
      <c r="AC1854" s="62"/>
      <c r="AD1854" s="62"/>
      <c r="AE1854" s="62"/>
      <c r="AF1854" s="62"/>
      <c r="AG1854" s="66"/>
      <c r="AH1854" s="62"/>
      <c r="AI1854" s="62"/>
      <c r="AJ1854" s="62"/>
      <c r="AK1854" s="62"/>
      <c r="AL1854" s="66"/>
      <c r="AM1854" s="62"/>
      <c r="AN1854" s="62"/>
      <c r="AO1854" s="62"/>
      <c r="AP1854" s="62"/>
      <c r="AQ1854" s="66"/>
      <c r="AR1854" s="62"/>
      <c r="AS1854" s="62"/>
      <c r="AT1854" s="62"/>
      <c r="AU1854" s="62"/>
      <c r="AV1854" s="66"/>
      <c r="AW1854" s="97"/>
    </row>
    <row r="1855" spans="23:49" x14ac:dyDescent="0.15">
      <c r="W1855" s="12"/>
      <c r="X1855" s="62"/>
      <c r="Y1855" s="62"/>
      <c r="Z1855" s="62"/>
      <c r="AA1855" s="62"/>
      <c r="AB1855" s="98"/>
      <c r="AC1855" s="62"/>
      <c r="AD1855" s="62"/>
      <c r="AE1855" s="62"/>
      <c r="AF1855" s="62"/>
      <c r="AG1855" s="66"/>
      <c r="AH1855" s="62"/>
      <c r="AI1855" s="62"/>
      <c r="AJ1855" s="62"/>
      <c r="AK1855" s="62"/>
      <c r="AL1855" s="66"/>
      <c r="AM1855" s="62"/>
      <c r="AN1855" s="62"/>
      <c r="AO1855" s="62"/>
      <c r="AP1855" s="62"/>
      <c r="AQ1855" s="66"/>
      <c r="AR1855" s="62"/>
      <c r="AS1855" s="62"/>
      <c r="AT1855" s="62"/>
      <c r="AU1855" s="62"/>
      <c r="AV1855" s="66"/>
      <c r="AW1855" s="97"/>
    </row>
    <row r="1856" spans="23:49" x14ac:dyDescent="0.15">
      <c r="W1856" s="12"/>
      <c r="X1856" s="62"/>
      <c r="Y1856" s="62"/>
      <c r="Z1856" s="62"/>
      <c r="AA1856" s="62"/>
      <c r="AB1856" s="98"/>
      <c r="AC1856" s="62"/>
      <c r="AD1856" s="62"/>
      <c r="AE1856" s="62"/>
      <c r="AF1856" s="62"/>
      <c r="AG1856" s="66"/>
      <c r="AH1856" s="62"/>
      <c r="AI1856" s="62"/>
      <c r="AJ1856" s="62"/>
      <c r="AK1856" s="62"/>
      <c r="AL1856" s="66"/>
      <c r="AM1856" s="62"/>
      <c r="AN1856" s="62"/>
      <c r="AO1856" s="62"/>
      <c r="AP1856" s="62"/>
      <c r="AQ1856" s="66"/>
      <c r="AR1856" s="62"/>
      <c r="AS1856" s="62"/>
      <c r="AT1856" s="62"/>
      <c r="AU1856" s="62"/>
      <c r="AV1856" s="66"/>
      <c r="AW1856" s="97"/>
    </row>
    <row r="1857" spans="23:49" x14ac:dyDescent="0.15">
      <c r="W1857" s="12"/>
      <c r="X1857" s="62"/>
      <c r="Y1857" s="62"/>
      <c r="Z1857" s="62"/>
      <c r="AA1857" s="62"/>
      <c r="AB1857" s="98"/>
      <c r="AC1857" s="62"/>
      <c r="AD1857" s="62"/>
      <c r="AE1857" s="62"/>
      <c r="AF1857" s="62"/>
      <c r="AG1857" s="66"/>
      <c r="AH1857" s="62"/>
      <c r="AI1857" s="62"/>
      <c r="AJ1857" s="62"/>
      <c r="AK1857" s="62"/>
      <c r="AL1857" s="66"/>
      <c r="AM1857" s="62"/>
      <c r="AN1857" s="62"/>
      <c r="AO1857" s="62"/>
      <c r="AP1857" s="62"/>
      <c r="AQ1857" s="66"/>
      <c r="AR1857" s="62"/>
      <c r="AS1857" s="62"/>
      <c r="AT1857" s="62"/>
      <c r="AU1857" s="62"/>
      <c r="AV1857" s="66"/>
      <c r="AW1857" s="97"/>
    </row>
    <row r="1858" spans="23:49" x14ac:dyDescent="0.15">
      <c r="W1858" s="12"/>
      <c r="X1858" s="62"/>
      <c r="Y1858" s="62"/>
      <c r="Z1858" s="62"/>
      <c r="AA1858" s="62"/>
      <c r="AB1858" s="98"/>
      <c r="AC1858" s="62"/>
      <c r="AD1858" s="62"/>
      <c r="AE1858" s="62"/>
      <c r="AF1858" s="62"/>
      <c r="AG1858" s="66"/>
      <c r="AH1858" s="62"/>
      <c r="AI1858" s="62"/>
      <c r="AJ1858" s="62"/>
      <c r="AK1858" s="62"/>
      <c r="AL1858" s="66"/>
      <c r="AM1858" s="62"/>
      <c r="AN1858" s="62"/>
      <c r="AO1858" s="62"/>
      <c r="AP1858" s="62"/>
      <c r="AQ1858" s="66"/>
      <c r="AR1858" s="62"/>
      <c r="AS1858" s="62"/>
      <c r="AT1858" s="62"/>
      <c r="AU1858" s="62"/>
      <c r="AV1858" s="66"/>
      <c r="AW1858" s="97"/>
    </row>
    <row r="1859" spans="23:49" x14ac:dyDescent="0.15">
      <c r="W1859" s="12"/>
      <c r="X1859" s="62"/>
      <c r="Y1859" s="62"/>
      <c r="Z1859" s="62"/>
      <c r="AA1859" s="62"/>
      <c r="AB1859" s="98"/>
      <c r="AC1859" s="62"/>
      <c r="AD1859" s="62"/>
      <c r="AE1859" s="62"/>
      <c r="AF1859" s="62"/>
      <c r="AG1859" s="66"/>
      <c r="AH1859" s="62"/>
      <c r="AI1859" s="62"/>
      <c r="AJ1859" s="62"/>
      <c r="AK1859" s="62"/>
      <c r="AL1859" s="66"/>
      <c r="AM1859" s="62"/>
      <c r="AN1859" s="62"/>
      <c r="AO1859" s="62"/>
      <c r="AP1859" s="62"/>
      <c r="AQ1859" s="66"/>
      <c r="AR1859" s="62"/>
      <c r="AS1859" s="62"/>
      <c r="AT1859" s="62"/>
      <c r="AU1859" s="62"/>
      <c r="AV1859" s="66"/>
      <c r="AW1859" s="97"/>
    </row>
    <row r="1860" spans="23:49" x14ac:dyDescent="0.15">
      <c r="W1860" s="12"/>
      <c r="X1860" s="62"/>
      <c r="Y1860" s="62"/>
      <c r="Z1860" s="62"/>
      <c r="AA1860" s="62"/>
      <c r="AB1860" s="98"/>
      <c r="AC1860" s="62"/>
      <c r="AD1860" s="62"/>
      <c r="AE1860" s="62"/>
      <c r="AF1860" s="62"/>
      <c r="AG1860" s="66"/>
      <c r="AH1860" s="62"/>
      <c r="AI1860" s="62"/>
      <c r="AJ1860" s="62"/>
      <c r="AK1860" s="62"/>
      <c r="AL1860" s="66"/>
      <c r="AM1860" s="62"/>
      <c r="AN1860" s="62"/>
      <c r="AO1860" s="62"/>
      <c r="AP1860" s="62"/>
      <c r="AQ1860" s="66"/>
      <c r="AR1860" s="62"/>
      <c r="AS1860" s="62"/>
      <c r="AT1860" s="62"/>
      <c r="AU1860" s="62"/>
      <c r="AV1860" s="66"/>
      <c r="AW1860" s="97"/>
    </row>
    <row r="1861" spans="23:49" x14ac:dyDescent="0.15">
      <c r="W1861" s="12"/>
      <c r="X1861" s="62"/>
      <c r="Y1861" s="62"/>
      <c r="Z1861" s="62"/>
      <c r="AA1861" s="62"/>
      <c r="AB1861" s="98"/>
      <c r="AC1861" s="62"/>
      <c r="AD1861" s="62"/>
      <c r="AE1861" s="62"/>
      <c r="AF1861" s="62"/>
      <c r="AG1861" s="66"/>
      <c r="AH1861" s="62"/>
      <c r="AI1861" s="62"/>
      <c r="AJ1861" s="62"/>
      <c r="AK1861" s="62"/>
      <c r="AL1861" s="66"/>
      <c r="AM1861" s="62"/>
      <c r="AN1861" s="62"/>
      <c r="AO1861" s="62"/>
      <c r="AP1861" s="62"/>
      <c r="AQ1861" s="66"/>
      <c r="AR1861" s="62"/>
      <c r="AS1861" s="62"/>
      <c r="AT1861" s="62"/>
      <c r="AU1861" s="62"/>
      <c r="AV1861" s="66"/>
      <c r="AW1861" s="97"/>
    </row>
    <row r="1862" spans="23:49" x14ac:dyDescent="0.15">
      <c r="W1862" s="12"/>
      <c r="X1862" s="62"/>
      <c r="Y1862" s="62"/>
      <c r="Z1862" s="62"/>
      <c r="AA1862" s="62"/>
      <c r="AB1862" s="98"/>
      <c r="AC1862" s="62"/>
      <c r="AD1862" s="62"/>
      <c r="AE1862" s="62"/>
      <c r="AF1862" s="62"/>
      <c r="AG1862" s="66"/>
      <c r="AH1862" s="62"/>
      <c r="AI1862" s="62"/>
      <c r="AJ1862" s="62"/>
      <c r="AK1862" s="62"/>
      <c r="AL1862" s="66"/>
      <c r="AM1862" s="62"/>
      <c r="AN1862" s="62"/>
      <c r="AO1862" s="62"/>
      <c r="AP1862" s="62"/>
      <c r="AQ1862" s="66"/>
      <c r="AR1862" s="62"/>
      <c r="AS1862" s="62"/>
      <c r="AT1862" s="62"/>
      <c r="AU1862" s="62"/>
      <c r="AV1862" s="66"/>
      <c r="AW1862" s="97"/>
    </row>
    <row r="1863" spans="23:49" x14ac:dyDescent="0.15">
      <c r="W1863" s="12"/>
      <c r="X1863" s="62"/>
      <c r="Y1863" s="62"/>
      <c r="Z1863" s="62"/>
      <c r="AA1863" s="62"/>
      <c r="AB1863" s="98"/>
      <c r="AC1863" s="62"/>
      <c r="AD1863" s="62"/>
      <c r="AE1863" s="62"/>
      <c r="AF1863" s="62"/>
      <c r="AG1863" s="66"/>
      <c r="AH1863" s="62"/>
      <c r="AI1863" s="62"/>
      <c r="AJ1863" s="62"/>
      <c r="AK1863" s="62"/>
      <c r="AL1863" s="66"/>
      <c r="AM1863" s="62"/>
      <c r="AN1863" s="62"/>
      <c r="AO1863" s="62"/>
      <c r="AP1863" s="62"/>
      <c r="AQ1863" s="66"/>
      <c r="AR1863" s="62"/>
      <c r="AS1863" s="62"/>
      <c r="AT1863" s="62"/>
      <c r="AU1863" s="62"/>
      <c r="AV1863" s="66"/>
      <c r="AW1863" s="97"/>
    </row>
    <row r="1864" spans="23:49" x14ac:dyDescent="0.15">
      <c r="W1864" s="12"/>
      <c r="X1864" s="62"/>
      <c r="Y1864" s="62"/>
      <c r="Z1864" s="62"/>
      <c r="AA1864" s="62"/>
      <c r="AB1864" s="98"/>
      <c r="AC1864" s="62"/>
      <c r="AD1864" s="62"/>
      <c r="AE1864" s="62"/>
      <c r="AF1864" s="62"/>
      <c r="AG1864" s="66"/>
      <c r="AH1864" s="62"/>
      <c r="AI1864" s="62"/>
      <c r="AJ1864" s="62"/>
      <c r="AK1864" s="62"/>
      <c r="AL1864" s="66"/>
      <c r="AM1864" s="62"/>
      <c r="AN1864" s="62"/>
      <c r="AO1864" s="62"/>
      <c r="AP1864" s="62"/>
      <c r="AQ1864" s="66"/>
      <c r="AR1864" s="62"/>
      <c r="AS1864" s="62"/>
      <c r="AT1864" s="62"/>
      <c r="AU1864" s="62"/>
      <c r="AV1864" s="66"/>
      <c r="AW1864" s="97"/>
    </row>
    <row r="1865" spans="23:49" x14ac:dyDescent="0.15">
      <c r="W1865" s="12"/>
      <c r="X1865" s="62"/>
      <c r="Y1865" s="62"/>
      <c r="Z1865" s="62"/>
      <c r="AA1865" s="62"/>
      <c r="AB1865" s="98"/>
      <c r="AC1865" s="62"/>
      <c r="AD1865" s="62"/>
      <c r="AE1865" s="62"/>
      <c r="AF1865" s="62"/>
      <c r="AG1865" s="66"/>
      <c r="AH1865" s="62"/>
      <c r="AI1865" s="62"/>
      <c r="AJ1865" s="62"/>
      <c r="AK1865" s="62"/>
      <c r="AL1865" s="66"/>
      <c r="AM1865" s="62"/>
      <c r="AN1865" s="62"/>
      <c r="AO1865" s="62"/>
      <c r="AP1865" s="62"/>
      <c r="AQ1865" s="66"/>
      <c r="AR1865" s="62"/>
      <c r="AS1865" s="62"/>
      <c r="AT1865" s="62"/>
      <c r="AU1865" s="62"/>
      <c r="AV1865" s="66"/>
      <c r="AW1865" s="97"/>
    </row>
    <row r="1866" spans="23:49" x14ac:dyDescent="0.15">
      <c r="W1866" s="12"/>
      <c r="X1866" s="62"/>
      <c r="Y1866" s="62"/>
      <c r="Z1866" s="62"/>
      <c r="AA1866" s="62"/>
      <c r="AB1866" s="98"/>
      <c r="AC1866" s="62"/>
      <c r="AD1866" s="62"/>
      <c r="AE1866" s="62"/>
      <c r="AF1866" s="62"/>
      <c r="AG1866" s="66"/>
      <c r="AH1866" s="62"/>
      <c r="AI1866" s="62"/>
      <c r="AJ1866" s="62"/>
      <c r="AK1866" s="62"/>
      <c r="AL1866" s="66"/>
      <c r="AM1866" s="62"/>
      <c r="AN1866" s="62"/>
      <c r="AO1866" s="62"/>
      <c r="AP1866" s="62"/>
      <c r="AQ1866" s="66"/>
      <c r="AR1866" s="62"/>
      <c r="AS1866" s="62"/>
      <c r="AT1866" s="62"/>
      <c r="AU1866" s="62"/>
      <c r="AV1866" s="66"/>
      <c r="AW1866" s="97"/>
    </row>
    <row r="1867" spans="23:49" x14ac:dyDescent="0.15">
      <c r="W1867" s="12"/>
      <c r="X1867" s="62"/>
      <c r="Y1867" s="62"/>
      <c r="Z1867" s="62"/>
      <c r="AA1867" s="62"/>
      <c r="AB1867" s="98"/>
      <c r="AC1867" s="62"/>
      <c r="AD1867" s="62"/>
      <c r="AE1867" s="62"/>
      <c r="AF1867" s="62"/>
      <c r="AG1867" s="66"/>
      <c r="AH1867" s="62"/>
      <c r="AI1867" s="62"/>
      <c r="AJ1867" s="62"/>
      <c r="AK1867" s="62"/>
      <c r="AL1867" s="66"/>
      <c r="AM1867" s="62"/>
      <c r="AN1867" s="62"/>
      <c r="AO1867" s="62"/>
      <c r="AP1867" s="62"/>
      <c r="AQ1867" s="66"/>
      <c r="AR1867" s="62"/>
      <c r="AS1867" s="62"/>
      <c r="AT1867" s="62"/>
      <c r="AU1867" s="62"/>
      <c r="AV1867" s="66"/>
      <c r="AW1867" s="97"/>
    </row>
    <row r="1868" spans="23:49" x14ac:dyDescent="0.15">
      <c r="W1868" s="12"/>
      <c r="X1868" s="62"/>
      <c r="Y1868" s="62"/>
      <c r="Z1868" s="62"/>
      <c r="AA1868" s="62"/>
      <c r="AB1868" s="98"/>
      <c r="AC1868" s="62"/>
      <c r="AD1868" s="62"/>
      <c r="AE1868" s="62"/>
      <c r="AF1868" s="62"/>
      <c r="AG1868" s="66"/>
      <c r="AH1868" s="62"/>
      <c r="AI1868" s="62"/>
      <c r="AJ1868" s="62"/>
      <c r="AK1868" s="62"/>
      <c r="AL1868" s="66"/>
      <c r="AM1868" s="62"/>
      <c r="AN1868" s="62"/>
      <c r="AO1868" s="62"/>
      <c r="AP1868" s="62"/>
      <c r="AQ1868" s="66"/>
      <c r="AR1868" s="62"/>
      <c r="AS1868" s="62"/>
      <c r="AT1868" s="62"/>
      <c r="AU1868" s="62"/>
      <c r="AV1868" s="66"/>
      <c r="AW1868" s="97"/>
    </row>
    <row r="1869" spans="23:49" x14ac:dyDescent="0.15">
      <c r="W1869" s="12"/>
      <c r="X1869" s="62"/>
      <c r="Y1869" s="62"/>
      <c r="Z1869" s="62"/>
      <c r="AA1869" s="62"/>
      <c r="AB1869" s="98"/>
      <c r="AC1869" s="62"/>
      <c r="AD1869" s="62"/>
      <c r="AE1869" s="62"/>
      <c r="AF1869" s="62"/>
      <c r="AG1869" s="66"/>
      <c r="AH1869" s="62"/>
      <c r="AI1869" s="62"/>
      <c r="AJ1869" s="62"/>
      <c r="AK1869" s="62"/>
      <c r="AL1869" s="66"/>
      <c r="AM1869" s="62"/>
      <c r="AN1869" s="62"/>
      <c r="AO1869" s="62"/>
      <c r="AP1869" s="62"/>
      <c r="AQ1869" s="66"/>
      <c r="AR1869" s="62"/>
      <c r="AS1869" s="62"/>
      <c r="AT1869" s="62"/>
      <c r="AU1869" s="62"/>
      <c r="AV1869" s="66"/>
      <c r="AW1869" s="97"/>
    </row>
    <row r="1870" spans="23:49" x14ac:dyDescent="0.15">
      <c r="W1870" s="12"/>
      <c r="X1870" s="62"/>
      <c r="Y1870" s="62"/>
      <c r="Z1870" s="62"/>
      <c r="AA1870" s="62"/>
      <c r="AB1870" s="98"/>
      <c r="AC1870" s="62"/>
      <c r="AD1870" s="62"/>
      <c r="AE1870" s="62"/>
      <c r="AF1870" s="62"/>
      <c r="AG1870" s="66"/>
      <c r="AH1870" s="62"/>
      <c r="AI1870" s="62"/>
      <c r="AJ1870" s="62"/>
      <c r="AK1870" s="62"/>
      <c r="AL1870" s="66"/>
      <c r="AM1870" s="62"/>
      <c r="AN1870" s="62"/>
      <c r="AO1870" s="62"/>
      <c r="AP1870" s="62"/>
      <c r="AQ1870" s="66"/>
      <c r="AR1870" s="62"/>
      <c r="AS1870" s="62"/>
      <c r="AT1870" s="62"/>
      <c r="AU1870" s="62"/>
      <c r="AV1870" s="66"/>
      <c r="AW1870" s="97"/>
    </row>
    <row r="1871" spans="23:49" x14ac:dyDescent="0.15">
      <c r="W1871" s="12"/>
      <c r="X1871" s="62"/>
      <c r="Y1871" s="62"/>
      <c r="Z1871" s="62"/>
      <c r="AA1871" s="62"/>
      <c r="AB1871" s="98"/>
      <c r="AC1871" s="62"/>
      <c r="AD1871" s="62"/>
      <c r="AE1871" s="62"/>
      <c r="AF1871" s="62"/>
      <c r="AG1871" s="66"/>
      <c r="AH1871" s="62"/>
      <c r="AI1871" s="62"/>
      <c r="AJ1871" s="62"/>
      <c r="AK1871" s="62"/>
      <c r="AL1871" s="66"/>
      <c r="AM1871" s="62"/>
      <c r="AN1871" s="62"/>
      <c r="AO1871" s="62"/>
      <c r="AP1871" s="62"/>
      <c r="AQ1871" s="66"/>
      <c r="AR1871" s="62"/>
      <c r="AS1871" s="62"/>
      <c r="AT1871" s="62"/>
      <c r="AU1871" s="62"/>
      <c r="AV1871" s="66"/>
      <c r="AW1871" s="97"/>
    </row>
    <row r="1872" spans="23:49" x14ac:dyDescent="0.15">
      <c r="W1872" s="12"/>
      <c r="X1872" s="62"/>
      <c r="Y1872" s="62"/>
      <c r="Z1872" s="62"/>
      <c r="AA1872" s="62"/>
      <c r="AB1872" s="98"/>
      <c r="AC1872" s="62"/>
      <c r="AD1872" s="62"/>
      <c r="AE1872" s="62"/>
      <c r="AF1872" s="62"/>
      <c r="AG1872" s="66"/>
      <c r="AH1872" s="62"/>
      <c r="AI1872" s="62"/>
      <c r="AJ1872" s="62"/>
      <c r="AK1872" s="62"/>
      <c r="AL1872" s="66"/>
      <c r="AM1872" s="62"/>
      <c r="AN1872" s="62"/>
      <c r="AO1872" s="62"/>
      <c r="AP1872" s="62"/>
      <c r="AQ1872" s="66"/>
      <c r="AR1872" s="62"/>
      <c r="AS1872" s="62"/>
      <c r="AT1872" s="62"/>
      <c r="AU1872" s="62"/>
      <c r="AV1872" s="66"/>
      <c r="AW1872" s="97"/>
    </row>
    <row r="1873" spans="23:49" x14ac:dyDescent="0.15">
      <c r="W1873" s="12"/>
      <c r="X1873" s="62"/>
      <c r="Y1873" s="62"/>
      <c r="Z1873" s="62"/>
      <c r="AA1873" s="62"/>
      <c r="AB1873" s="98"/>
      <c r="AC1873" s="62"/>
      <c r="AD1873" s="62"/>
      <c r="AE1873" s="62"/>
      <c r="AF1873" s="62"/>
      <c r="AG1873" s="66"/>
      <c r="AH1873" s="62"/>
      <c r="AI1873" s="62"/>
      <c r="AJ1873" s="62"/>
      <c r="AK1873" s="62"/>
      <c r="AL1873" s="66"/>
      <c r="AM1873" s="62"/>
      <c r="AN1873" s="62"/>
      <c r="AO1873" s="62"/>
      <c r="AP1873" s="62"/>
      <c r="AQ1873" s="66"/>
      <c r="AR1873" s="62"/>
      <c r="AS1873" s="62"/>
      <c r="AT1873" s="62"/>
      <c r="AU1873" s="62"/>
      <c r="AV1873" s="66"/>
      <c r="AW1873" s="97"/>
    </row>
    <row r="1874" spans="23:49" x14ac:dyDescent="0.15">
      <c r="W1874" s="12"/>
      <c r="X1874" s="62"/>
      <c r="Y1874" s="62"/>
      <c r="Z1874" s="62"/>
      <c r="AA1874" s="62"/>
      <c r="AB1874" s="98"/>
      <c r="AC1874" s="62"/>
      <c r="AD1874" s="62"/>
      <c r="AE1874" s="62"/>
      <c r="AF1874" s="62"/>
      <c r="AG1874" s="66"/>
      <c r="AH1874" s="62"/>
      <c r="AI1874" s="62"/>
      <c r="AJ1874" s="62"/>
      <c r="AK1874" s="62"/>
      <c r="AL1874" s="66"/>
      <c r="AM1874" s="62"/>
      <c r="AN1874" s="62"/>
      <c r="AO1874" s="62"/>
      <c r="AP1874" s="62"/>
      <c r="AQ1874" s="66"/>
      <c r="AR1874" s="62"/>
      <c r="AS1874" s="62"/>
      <c r="AT1874" s="62"/>
      <c r="AU1874" s="62"/>
      <c r="AV1874" s="66"/>
      <c r="AW1874" s="97"/>
    </row>
    <row r="1875" spans="23:49" x14ac:dyDescent="0.15">
      <c r="W1875" s="12"/>
      <c r="X1875" s="62"/>
      <c r="Y1875" s="62"/>
      <c r="Z1875" s="62"/>
      <c r="AA1875" s="62"/>
      <c r="AB1875" s="98"/>
      <c r="AC1875" s="62"/>
      <c r="AD1875" s="62"/>
      <c r="AE1875" s="62"/>
      <c r="AF1875" s="62"/>
      <c r="AG1875" s="66"/>
      <c r="AH1875" s="62"/>
      <c r="AI1875" s="62"/>
      <c r="AJ1875" s="62"/>
      <c r="AK1875" s="62"/>
      <c r="AL1875" s="66"/>
      <c r="AM1875" s="62"/>
      <c r="AN1875" s="62"/>
      <c r="AO1875" s="62"/>
      <c r="AP1875" s="62"/>
      <c r="AQ1875" s="66"/>
      <c r="AR1875" s="62"/>
      <c r="AS1875" s="62"/>
      <c r="AT1875" s="62"/>
      <c r="AU1875" s="62"/>
      <c r="AV1875" s="66"/>
      <c r="AW1875" s="97"/>
    </row>
    <row r="1876" spans="23:49" x14ac:dyDescent="0.15">
      <c r="W1876" s="12"/>
      <c r="X1876" s="62"/>
      <c r="Y1876" s="62"/>
      <c r="Z1876" s="62"/>
      <c r="AA1876" s="62"/>
      <c r="AB1876" s="98"/>
      <c r="AC1876" s="62"/>
      <c r="AD1876" s="62"/>
      <c r="AE1876" s="62"/>
      <c r="AF1876" s="62"/>
      <c r="AG1876" s="66"/>
      <c r="AH1876" s="62"/>
      <c r="AI1876" s="62"/>
      <c r="AJ1876" s="62"/>
      <c r="AK1876" s="62"/>
      <c r="AL1876" s="66"/>
      <c r="AM1876" s="62"/>
      <c r="AN1876" s="62"/>
      <c r="AO1876" s="62"/>
      <c r="AP1876" s="62"/>
      <c r="AQ1876" s="66"/>
      <c r="AR1876" s="62"/>
      <c r="AS1876" s="62"/>
      <c r="AT1876" s="62"/>
      <c r="AU1876" s="62"/>
      <c r="AV1876" s="66"/>
      <c r="AW1876" s="97"/>
    </row>
    <row r="1877" spans="23:49" x14ac:dyDescent="0.15">
      <c r="W1877" s="12"/>
      <c r="X1877" s="62"/>
      <c r="Y1877" s="62"/>
      <c r="Z1877" s="62"/>
      <c r="AA1877" s="62"/>
      <c r="AB1877" s="98"/>
      <c r="AC1877" s="62"/>
      <c r="AD1877" s="62"/>
      <c r="AE1877" s="62"/>
      <c r="AF1877" s="62"/>
      <c r="AG1877" s="66"/>
      <c r="AH1877" s="62"/>
      <c r="AI1877" s="62"/>
      <c r="AJ1877" s="62"/>
      <c r="AK1877" s="62"/>
      <c r="AL1877" s="66"/>
      <c r="AM1877" s="62"/>
      <c r="AN1877" s="62"/>
      <c r="AO1877" s="62"/>
      <c r="AP1877" s="62"/>
      <c r="AQ1877" s="66"/>
      <c r="AR1877" s="62"/>
      <c r="AS1877" s="62"/>
      <c r="AT1877" s="62"/>
      <c r="AU1877" s="62"/>
      <c r="AV1877" s="66"/>
      <c r="AW1877" s="97"/>
    </row>
    <row r="1878" spans="23:49" x14ac:dyDescent="0.15">
      <c r="W1878" s="12"/>
      <c r="X1878" s="62"/>
      <c r="Y1878" s="62"/>
      <c r="Z1878" s="62"/>
      <c r="AA1878" s="62"/>
      <c r="AB1878" s="98"/>
      <c r="AC1878" s="62"/>
      <c r="AD1878" s="62"/>
      <c r="AE1878" s="62"/>
      <c r="AF1878" s="62"/>
      <c r="AG1878" s="66"/>
      <c r="AH1878" s="62"/>
      <c r="AI1878" s="62"/>
      <c r="AJ1878" s="62"/>
      <c r="AK1878" s="62"/>
      <c r="AL1878" s="66"/>
      <c r="AM1878" s="62"/>
      <c r="AN1878" s="62"/>
      <c r="AO1878" s="62"/>
      <c r="AP1878" s="62"/>
      <c r="AQ1878" s="66"/>
      <c r="AR1878" s="62"/>
      <c r="AS1878" s="62"/>
      <c r="AT1878" s="62"/>
      <c r="AU1878" s="62"/>
      <c r="AV1878" s="66"/>
      <c r="AW1878" s="97"/>
    </row>
    <row r="1879" spans="23:49" x14ac:dyDescent="0.15">
      <c r="W1879" s="12"/>
      <c r="X1879" s="62"/>
      <c r="Y1879" s="62"/>
      <c r="Z1879" s="62"/>
      <c r="AA1879" s="62"/>
      <c r="AB1879" s="98"/>
      <c r="AC1879" s="62"/>
      <c r="AD1879" s="62"/>
      <c r="AE1879" s="62"/>
      <c r="AF1879" s="62"/>
      <c r="AG1879" s="66"/>
      <c r="AH1879" s="62"/>
      <c r="AI1879" s="62"/>
      <c r="AJ1879" s="62"/>
      <c r="AK1879" s="62"/>
      <c r="AL1879" s="66"/>
      <c r="AM1879" s="62"/>
      <c r="AN1879" s="62"/>
      <c r="AO1879" s="62"/>
      <c r="AP1879" s="62"/>
      <c r="AQ1879" s="66"/>
      <c r="AR1879" s="62"/>
      <c r="AS1879" s="62"/>
      <c r="AT1879" s="62"/>
      <c r="AU1879" s="62"/>
      <c r="AV1879" s="66"/>
      <c r="AW1879" s="97"/>
    </row>
    <row r="1880" spans="23:49" x14ac:dyDescent="0.15">
      <c r="W1880" s="12"/>
      <c r="X1880" s="62"/>
      <c r="Y1880" s="62"/>
      <c r="Z1880" s="62"/>
      <c r="AA1880" s="62"/>
      <c r="AB1880" s="98"/>
      <c r="AC1880" s="62"/>
      <c r="AD1880" s="62"/>
      <c r="AE1880" s="62"/>
      <c r="AF1880" s="62"/>
      <c r="AG1880" s="66"/>
      <c r="AH1880" s="62"/>
      <c r="AI1880" s="62"/>
      <c r="AJ1880" s="62"/>
      <c r="AK1880" s="62"/>
      <c r="AL1880" s="66"/>
      <c r="AM1880" s="62"/>
      <c r="AN1880" s="62"/>
      <c r="AO1880" s="62"/>
      <c r="AP1880" s="62"/>
      <c r="AQ1880" s="66"/>
      <c r="AR1880" s="62"/>
      <c r="AS1880" s="62"/>
      <c r="AT1880" s="62"/>
      <c r="AU1880" s="62"/>
      <c r="AV1880" s="66"/>
      <c r="AW1880" s="97"/>
    </row>
    <row r="1881" spans="23:49" x14ac:dyDescent="0.15">
      <c r="W1881" s="12"/>
      <c r="X1881" s="62"/>
      <c r="Y1881" s="62"/>
      <c r="Z1881" s="62"/>
      <c r="AA1881" s="62"/>
      <c r="AB1881" s="98"/>
      <c r="AC1881" s="62"/>
      <c r="AD1881" s="62"/>
      <c r="AE1881" s="62"/>
      <c r="AF1881" s="62"/>
      <c r="AG1881" s="66"/>
      <c r="AH1881" s="62"/>
      <c r="AI1881" s="62"/>
      <c r="AJ1881" s="62"/>
      <c r="AK1881" s="62"/>
      <c r="AL1881" s="66"/>
      <c r="AM1881" s="62"/>
      <c r="AN1881" s="62"/>
      <c r="AO1881" s="62"/>
      <c r="AP1881" s="62"/>
      <c r="AQ1881" s="66"/>
      <c r="AR1881" s="62"/>
      <c r="AS1881" s="62"/>
      <c r="AT1881" s="62"/>
      <c r="AU1881" s="62"/>
      <c r="AV1881" s="66"/>
      <c r="AW1881" s="97"/>
    </row>
    <row r="1882" spans="23:49" x14ac:dyDescent="0.15">
      <c r="W1882" s="12"/>
      <c r="X1882" s="62"/>
      <c r="Y1882" s="62"/>
      <c r="Z1882" s="62"/>
      <c r="AA1882" s="62"/>
      <c r="AB1882" s="98"/>
      <c r="AC1882" s="62"/>
      <c r="AD1882" s="62"/>
      <c r="AE1882" s="62"/>
      <c r="AF1882" s="62"/>
      <c r="AG1882" s="66"/>
      <c r="AH1882" s="62"/>
      <c r="AI1882" s="62"/>
      <c r="AJ1882" s="62"/>
      <c r="AK1882" s="62"/>
      <c r="AL1882" s="66"/>
      <c r="AM1882" s="62"/>
      <c r="AN1882" s="62"/>
      <c r="AO1882" s="62"/>
      <c r="AP1882" s="62"/>
      <c r="AQ1882" s="66"/>
      <c r="AR1882" s="62"/>
      <c r="AS1882" s="62"/>
      <c r="AT1882" s="62"/>
      <c r="AU1882" s="62"/>
      <c r="AV1882" s="66"/>
      <c r="AW1882" s="97"/>
    </row>
    <row r="1883" spans="23:49" x14ac:dyDescent="0.15">
      <c r="W1883" s="12"/>
      <c r="X1883" s="62"/>
      <c r="Y1883" s="62"/>
      <c r="Z1883" s="62"/>
      <c r="AA1883" s="62"/>
      <c r="AB1883" s="98"/>
      <c r="AC1883" s="62"/>
      <c r="AD1883" s="62"/>
      <c r="AE1883" s="62"/>
      <c r="AF1883" s="62"/>
      <c r="AG1883" s="66"/>
      <c r="AH1883" s="62"/>
      <c r="AI1883" s="62"/>
      <c r="AJ1883" s="62"/>
      <c r="AK1883" s="62"/>
      <c r="AL1883" s="66"/>
      <c r="AM1883" s="62"/>
      <c r="AN1883" s="62"/>
      <c r="AO1883" s="62"/>
      <c r="AP1883" s="62"/>
      <c r="AQ1883" s="66"/>
      <c r="AR1883" s="62"/>
      <c r="AS1883" s="62"/>
      <c r="AT1883" s="62"/>
      <c r="AU1883" s="62"/>
      <c r="AV1883" s="66"/>
      <c r="AW1883" s="97"/>
    </row>
    <row r="1884" spans="23:49" x14ac:dyDescent="0.15">
      <c r="W1884" s="12"/>
      <c r="X1884" s="62"/>
      <c r="Y1884" s="62"/>
      <c r="Z1884" s="62"/>
      <c r="AA1884" s="62"/>
      <c r="AB1884" s="98"/>
      <c r="AC1884" s="62"/>
      <c r="AD1884" s="62"/>
      <c r="AE1884" s="62"/>
      <c r="AF1884" s="62"/>
      <c r="AG1884" s="66"/>
      <c r="AH1884" s="62"/>
      <c r="AI1884" s="62"/>
      <c r="AJ1884" s="62"/>
      <c r="AK1884" s="62"/>
      <c r="AL1884" s="66"/>
      <c r="AM1884" s="62"/>
      <c r="AN1884" s="62"/>
      <c r="AO1884" s="62"/>
      <c r="AP1884" s="62"/>
      <c r="AQ1884" s="66"/>
      <c r="AR1884" s="62"/>
      <c r="AS1884" s="62"/>
      <c r="AT1884" s="62"/>
      <c r="AU1884" s="62"/>
      <c r="AV1884" s="66"/>
      <c r="AW1884" s="97"/>
    </row>
    <row r="1885" spans="23:49" x14ac:dyDescent="0.15">
      <c r="W1885" s="12"/>
      <c r="X1885" s="62"/>
      <c r="Y1885" s="62"/>
      <c r="Z1885" s="62"/>
      <c r="AA1885" s="62"/>
      <c r="AB1885" s="98"/>
      <c r="AC1885" s="62"/>
      <c r="AD1885" s="62"/>
      <c r="AE1885" s="62"/>
      <c r="AF1885" s="62"/>
      <c r="AG1885" s="66"/>
      <c r="AH1885" s="62"/>
      <c r="AI1885" s="62"/>
      <c r="AJ1885" s="62"/>
      <c r="AK1885" s="62"/>
      <c r="AL1885" s="66"/>
      <c r="AM1885" s="62"/>
      <c r="AN1885" s="62"/>
      <c r="AO1885" s="62"/>
      <c r="AP1885" s="62"/>
      <c r="AQ1885" s="66"/>
      <c r="AR1885" s="62"/>
      <c r="AS1885" s="62"/>
      <c r="AT1885" s="62"/>
      <c r="AU1885" s="62"/>
      <c r="AV1885" s="66"/>
      <c r="AW1885" s="97"/>
    </row>
    <row r="1886" spans="23:49" x14ac:dyDescent="0.15">
      <c r="W1886" s="12"/>
      <c r="X1886" s="62"/>
      <c r="Y1886" s="62"/>
      <c r="Z1886" s="62"/>
      <c r="AA1886" s="62"/>
      <c r="AB1886" s="98"/>
      <c r="AC1886" s="62"/>
      <c r="AD1886" s="62"/>
      <c r="AE1886" s="62"/>
      <c r="AF1886" s="62"/>
      <c r="AG1886" s="66"/>
      <c r="AH1886" s="62"/>
      <c r="AI1886" s="62"/>
      <c r="AJ1886" s="62"/>
      <c r="AK1886" s="62"/>
      <c r="AL1886" s="66"/>
      <c r="AM1886" s="62"/>
      <c r="AN1886" s="62"/>
      <c r="AO1886" s="62"/>
      <c r="AP1886" s="62"/>
      <c r="AQ1886" s="66"/>
      <c r="AR1886" s="62"/>
      <c r="AS1886" s="62"/>
      <c r="AT1886" s="62"/>
      <c r="AU1886" s="62"/>
      <c r="AV1886" s="66"/>
      <c r="AW1886" s="97"/>
    </row>
    <row r="1887" spans="23:49" x14ac:dyDescent="0.15">
      <c r="W1887" s="12"/>
      <c r="X1887" s="62"/>
      <c r="Y1887" s="62"/>
      <c r="Z1887" s="62"/>
      <c r="AA1887" s="62"/>
      <c r="AB1887" s="98"/>
      <c r="AC1887" s="62"/>
      <c r="AD1887" s="62"/>
      <c r="AE1887" s="62"/>
      <c r="AF1887" s="62"/>
      <c r="AG1887" s="66"/>
      <c r="AH1887" s="62"/>
      <c r="AI1887" s="62"/>
      <c r="AJ1887" s="62"/>
      <c r="AK1887" s="62"/>
      <c r="AL1887" s="66"/>
      <c r="AM1887" s="62"/>
      <c r="AN1887" s="62"/>
      <c r="AO1887" s="62"/>
      <c r="AP1887" s="62"/>
      <c r="AQ1887" s="66"/>
      <c r="AR1887" s="62"/>
      <c r="AS1887" s="62"/>
      <c r="AT1887" s="62"/>
      <c r="AU1887" s="62"/>
      <c r="AV1887" s="66"/>
      <c r="AW1887" s="97"/>
    </row>
    <row r="1888" spans="23:49" x14ac:dyDescent="0.15">
      <c r="W1888" s="12"/>
      <c r="X1888" s="62"/>
      <c r="Y1888" s="62"/>
      <c r="Z1888" s="62"/>
      <c r="AA1888" s="62"/>
      <c r="AB1888" s="98"/>
      <c r="AC1888" s="62"/>
      <c r="AD1888" s="62"/>
      <c r="AE1888" s="62"/>
      <c r="AF1888" s="62"/>
      <c r="AG1888" s="66"/>
      <c r="AH1888" s="62"/>
      <c r="AI1888" s="62"/>
      <c r="AJ1888" s="62"/>
      <c r="AK1888" s="62"/>
      <c r="AL1888" s="66"/>
      <c r="AM1888" s="62"/>
      <c r="AN1888" s="62"/>
      <c r="AO1888" s="62"/>
      <c r="AP1888" s="62"/>
      <c r="AQ1888" s="66"/>
      <c r="AR1888" s="62"/>
      <c r="AS1888" s="62"/>
      <c r="AT1888" s="62"/>
      <c r="AU1888" s="62"/>
      <c r="AV1888" s="66"/>
      <c r="AW1888" s="97"/>
    </row>
    <row r="1889" spans="23:49" x14ac:dyDescent="0.15">
      <c r="W1889" s="12"/>
      <c r="X1889" s="62"/>
      <c r="Y1889" s="62"/>
      <c r="Z1889" s="62"/>
      <c r="AA1889" s="62"/>
      <c r="AB1889" s="98"/>
      <c r="AC1889" s="62"/>
      <c r="AD1889" s="62"/>
      <c r="AE1889" s="62"/>
      <c r="AF1889" s="62"/>
      <c r="AG1889" s="66"/>
      <c r="AH1889" s="62"/>
      <c r="AI1889" s="62"/>
      <c r="AJ1889" s="62"/>
      <c r="AK1889" s="62"/>
      <c r="AL1889" s="66"/>
      <c r="AM1889" s="62"/>
      <c r="AN1889" s="62"/>
      <c r="AO1889" s="62"/>
      <c r="AP1889" s="62"/>
      <c r="AQ1889" s="66"/>
      <c r="AR1889" s="62"/>
      <c r="AS1889" s="62"/>
      <c r="AT1889" s="62"/>
      <c r="AU1889" s="62"/>
      <c r="AV1889" s="66"/>
      <c r="AW1889" s="97"/>
    </row>
    <row r="1890" spans="23:49" x14ac:dyDescent="0.15">
      <c r="W1890" s="12"/>
      <c r="X1890" s="62"/>
      <c r="Y1890" s="62"/>
      <c r="Z1890" s="62"/>
      <c r="AA1890" s="62"/>
      <c r="AB1890" s="98"/>
      <c r="AC1890" s="62"/>
      <c r="AD1890" s="62"/>
      <c r="AE1890" s="62"/>
      <c r="AF1890" s="62"/>
      <c r="AG1890" s="66"/>
      <c r="AH1890" s="62"/>
      <c r="AI1890" s="62"/>
      <c r="AJ1890" s="62"/>
      <c r="AK1890" s="62"/>
      <c r="AL1890" s="66"/>
      <c r="AM1890" s="62"/>
      <c r="AN1890" s="62"/>
      <c r="AO1890" s="62"/>
      <c r="AP1890" s="62"/>
      <c r="AQ1890" s="66"/>
      <c r="AR1890" s="62"/>
      <c r="AS1890" s="62"/>
      <c r="AT1890" s="62"/>
      <c r="AU1890" s="62"/>
      <c r="AV1890" s="66"/>
      <c r="AW1890" s="97"/>
    </row>
    <row r="1891" spans="23:49" x14ac:dyDescent="0.15">
      <c r="W1891" s="12"/>
      <c r="X1891" s="62"/>
      <c r="Y1891" s="62"/>
      <c r="Z1891" s="62"/>
      <c r="AA1891" s="62"/>
      <c r="AB1891" s="98"/>
      <c r="AC1891" s="62"/>
      <c r="AD1891" s="62"/>
      <c r="AE1891" s="62"/>
      <c r="AF1891" s="62"/>
      <c r="AG1891" s="66"/>
      <c r="AH1891" s="62"/>
      <c r="AI1891" s="62"/>
      <c r="AJ1891" s="62"/>
      <c r="AK1891" s="62"/>
      <c r="AL1891" s="66"/>
      <c r="AM1891" s="62"/>
      <c r="AN1891" s="62"/>
      <c r="AO1891" s="62"/>
      <c r="AP1891" s="62"/>
      <c r="AQ1891" s="66"/>
      <c r="AR1891" s="62"/>
      <c r="AS1891" s="62"/>
      <c r="AT1891" s="62"/>
      <c r="AU1891" s="62"/>
      <c r="AV1891" s="66"/>
      <c r="AW1891" s="97"/>
    </row>
    <row r="1892" spans="23:49" x14ac:dyDescent="0.15">
      <c r="W1892" s="12"/>
      <c r="X1892" s="62"/>
      <c r="Y1892" s="62"/>
      <c r="Z1892" s="62"/>
      <c r="AA1892" s="62"/>
      <c r="AB1892" s="98"/>
      <c r="AC1892" s="62"/>
      <c r="AD1892" s="62"/>
      <c r="AE1892" s="62"/>
      <c r="AF1892" s="62"/>
      <c r="AG1892" s="66"/>
      <c r="AH1892" s="62"/>
      <c r="AI1892" s="62"/>
      <c r="AJ1892" s="62"/>
      <c r="AK1892" s="62"/>
      <c r="AL1892" s="66"/>
      <c r="AM1892" s="62"/>
      <c r="AN1892" s="62"/>
      <c r="AO1892" s="62"/>
      <c r="AP1892" s="62"/>
      <c r="AQ1892" s="66"/>
      <c r="AR1892" s="62"/>
      <c r="AS1892" s="62"/>
      <c r="AT1892" s="62"/>
      <c r="AU1892" s="62"/>
      <c r="AV1892" s="66"/>
      <c r="AW1892" s="97"/>
    </row>
    <row r="1893" spans="23:49" x14ac:dyDescent="0.15">
      <c r="W1893" s="12"/>
      <c r="X1893" s="62"/>
      <c r="Y1893" s="62"/>
      <c r="Z1893" s="62"/>
      <c r="AA1893" s="62"/>
      <c r="AB1893" s="98"/>
      <c r="AC1893" s="62"/>
      <c r="AD1893" s="62"/>
      <c r="AE1893" s="62"/>
      <c r="AF1893" s="62"/>
      <c r="AG1893" s="66"/>
      <c r="AH1893" s="62"/>
      <c r="AI1893" s="62"/>
      <c r="AJ1893" s="62"/>
      <c r="AK1893" s="62"/>
      <c r="AL1893" s="66"/>
      <c r="AM1893" s="62"/>
      <c r="AN1893" s="62"/>
      <c r="AO1893" s="62"/>
      <c r="AP1893" s="62"/>
      <c r="AQ1893" s="66"/>
      <c r="AR1893" s="62"/>
      <c r="AS1893" s="62"/>
      <c r="AT1893" s="62"/>
      <c r="AU1893" s="62"/>
      <c r="AV1893" s="66"/>
      <c r="AW1893" s="97"/>
    </row>
    <row r="1894" spans="23:49" x14ac:dyDescent="0.15">
      <c r="W1894" s="12"/>
      <c r="X1894" s="62"/>
      <c r="Y1894" s="62"/>
      <c r="Z1894" s="62"/>
      <c r="AA1894" s="62"/>
      <c r="AB1894" s="98"/>
      <c r="AC1894" s="62"/>
      <c r="AD1894" s="62"/>
      <c r="AE1894" s="62"/>
      <c r="AF1894" s="62"/>
      <c r="AG1894" s="66"/>
      <c r="AH1894" s="62"/>
      <c r="AI1894" s="62"/>
      <c r="AJ1894" s="62"/>
      <c r="AK1894" s="62"/>
      <c r="AL1894" s="66"/>
      <c r="AM1894" s="62"/>
      <c r="AN1894" s="62"/>
      <c r="AO1894" s="62"/>
      <c r="AP1894" s="62"/>
      <c r="AQ1894" s="66"/>
      <c r="AR1894" s="62"/>
      <c r="AS1894" s="62"/>
      <c r="AT1894" s="62"/>
      <c r="AU1894" s="62"/>
      <c r="AV1894" s="66"/>
      <c r="AW1894" s="97"/>
    </row>
    <row r="1895" spans="23:49" x14ac:dyDescent="0.15">
      <c r="W1895" s="12"/>
      <c r="X1895" s="62"/>
      <c r="Y1895" s="62"/>
      <c r="Z1895" s="62"/>
      <c r="AA1895" s="62"/>
      <c r="AB1895" s="98"/>
      <c r="AC1895" s="62"/>
      <c r="AD1895" s="62"/>
      <c r="AE1895" s="62"/>
      <c r="AF1895" s="62"/>
      <c r="AG1895" s="66"/>
      <c r="AH1895" s="62"/>
      <c r="AI1895" s="62"/>
      <c r="AJ1895" s="62"/>
      <c r="AK1895" s="62"/>
      <c r="AL1895" s="66"/>
      <c r="AM1895" s="62"/>
      <c r="AN1895" s="62"/>
      <c r="AO1895" s="62"/>
      <c r="AP1895" s="62"/>
      <c r="AQ1895" s="66"/>
      <c r="AR1895" s="62"/>
      <c r="AS1895" s="62"/>
      <c r="AT1895" s="62"/>
      <c r="AU1895" s="62"/>
      <c r="AV1895" s="66"/>
      <c r="AW1895" s="97"/>
    </row>
    <row r="1896" spans="23:49" x14ac:dyDescent="0.15">
      <c r="W1896" s="12"/>
      <c r="X1896" s="62"/>
      <c r="Y1896" s="62"/>
      <c r="Z1896" s="62"/>
      <c r="AA1896" s="62"/>
      <c r="AB1896" s="98"/>
      <c r="AC1896" s="62"/>
      <c r="AD1896" s="62"/>
      <c r="AE1896" s="62"/>
      <c r="AF1896" s="62"/>
      <c r="AG1896" s="66"/>
      <c r="AH1896" s="62"/>
      <c r="AI1896" s="62"/>
      <c r="AJ1896" s="62"/>
      <c r="AK1896" s="62"/>
      <c r="AL1896" s="66"/>
      <c r="AM1896" s="62"/>
      <c r="AN1896" s="62"/>
      <c r="AO1896" s="62"/>
      <c r="AP1896" s="62"/>
      <c r="AQ1896" s="66"/>
      <c r="AR1896" s="62"/>
      <c r="AS1896" s="62"/>
      <c r="AT1896" s="62"/>
      <c r="AU1896" s="62"/>
      <c r="AV1896" s="66"/>
      <c r="AW1896" s="97"/>
    </row>
    <row r="1897" spans="23:49" x14ac:dyDescent="0.15">
      <c r="W1897" s="12"/>
      <c r="X1897" s="62"/>
      <c r="Y1897" s="62"/>
      <c r="Z1897" s="62"/>
      <c r="AA1897" s="62"/>
      <c r="AB1897" s="98"/>
      <c r="AC1897" s="62"/>
      <c r="AD1897" s="62"/>
      <c r="AE1897" s="62"/>
      <c r="AF1897" s="62"/>
      <c r="AG1897" s="66"/>
      <c r="AH1897" s="62"/>
      <c r="AI1897" s="62"/>
      <c r="AJ1897" s="62"/>
      <c r="AK1897" s="62"/>
      <c r="AL1897" s="66"/>
      <c r="AM1897" s="62"/>
      <c r="AN1897" s="62"/>
      <c r="AO1897" s="62"/>
      <c r="AP1897" s="62"/>
      <c r="AQ1897" s="66"/>
      <c r="AR1897" s="62"/>
      <c r="AS1897" s="62"/>
      <c r="AT1897" s="62"/>
      <c r="AU1897" s="62"/>
      <c r="AV1897" s="66"/>
      <c r="AW1897" s="97"/>
    </row>
    <row r="1898" spans="23:49" x14ac:dyDescent="0.15">
      <c r="W1898" s="12"/>
      <c r="X1898" s="62"/>
      <c r="Y1898" s="62"/>
      <c r="Z1898" s="62"/>
      <c r="AA1898" s="62"/>
      <c r="AB1898" s="98"/>
      <c r="AC1898" s="62"/>
      <c r="AD1898" s="62"/>
      <c r="AE1898" s="62"/>
      <c r="AF1898" s="62"/>
      <c r="AG1898" s="66"/>
      <c r="AH1898" s="62"/>
      <c r="AI1898" s="62"/>
      <c r="AJ1898" s="62"/>
      <c r="AK1898" s="62"/>
      <c r="AL1898" s="66"/>
      <c r="AM1898" s="62"/>
      <c r="AN1898" s="62"/>
      <c r="AO1898" s="62"/>
      <c r="AP1898" s="62"/>
      <c r="AQ1898" s="66"/>
      <c r="AR1898" s="62"/>
      <c r="AS1898" s="62"/>
      <c r="AT1898" s="62"/>
      <c r="AU1898" s="62"/>
      <c r="AV1898" s="66"/>
      <c r="AW1898" s="97"/>
    </row>
    <row r="1899" spans="23:49" x14ac:dyDescent="0.15">
      <c r="W1899" s="12"/>
      <c r="X1899" s="62"/>
      <c r="Y1899" s="62"/>
      <c r="Z1899" s="62"/>
      <c r="AA1899" s="62"/>
      <c r="AB1899" s="98"/>
      <c r="AC1899" s="62"/>
      <c r="AD1899" s="62"/>
      <c r="AE1899" s="62"/>
      <c r="AF1899" s="62"/>
      <c r="AG1899" s="66"/>
      <c r="AH1899" s="62"/>
      <c r="AI1899" s="62"/>
      <c r="AJ1899" s="62"/>
      <c r="AK1899" s="62"/>
      <c r="AL1899" s="66"/>
      <c r="AM1899" s="62"/>
      <c r="AN1899" s="62"/>
      <c r="AO1899" s="62"/>
      <c r="AP1899" s="62"/>
      <c r="AQ1899" s="66"/>
      <c r="AR1899" s="62"/>
      <c r="AS1899" s="62"/>
      <c r="AT1899" s="62"/>
      <c r="AU1899" s="62"/>
      <c r="AV1899" s="66"/>
      <c r="AW1899" s="97"/>
    </row>
    <row r="1900" spans="23:49" x14ac:dyDescent="0.15">
      <c r="W1900" s="12"/>
      <c r="X1900" s="62"/>
      <c r="Y1900" s="62"/>
      <c r="Z1900" s="62"/>
      <c r="AA1900" s="62"/>
      <c r="AB1900" s="98"/>
      <c r="AC1900" s="62"/>
      <c r="AD1900" s="62"/>
      <c r="AE1900" s="62"/>
      <c r="AF1900" s="62"/>
      <c r="AG1900" s="66"/>
      <c r="AH1900" s="62"/>
      <c r="AI1900" s="62"/>
      <c r="AJ1900" s="62"/>
      <c r="AK1900" s="62"/>
      <c r="AL1900" s="66"/>
      <c r="AM1900" s="62"/>
      <c r="AN1900" s="62"/>
      <c r="AO1900" s="62"/>
      <c r="AP1900" s="62"/>
      <c r="AQ1900" s="66"/>
      <c r="AR1900" s="62"/>
      <c r="AS1900" s="62"/>
      <c r="AT1900" s="62"/>
      <c r="AU1900" s="62"/>
      <c r="AV1900" s="66"/>
      <c r="AW1900" s="97"/>
    </row>
    <row r="1901" spans="23:49" x14ac:dyDescent="0.15">
      <c r="W1901" s="12"/>
      <c r="X1901" s="62"/>
      <c r="Y1901" s="62"/>
      <c r="Z1901" s="62"/>
      <c r="AA1901" s="62"/>
      <c r="AB1901" s="98"/>
      <c r="AC1901" s="62"/>
      <c r="AD1901" s="62"/>
      <c r="AE1901" s="62"/>
      <c r="AF1901" s="62"/>
      <c r="AG1901" s="66"/>
      <c r="AH1901" s="62"/>
      <c r="AI1901" s="62"/>
      <c r="AJ1901" s="62"/>
      <c r="AK1901" s="62"/>
      <c r="AL1901" s="66"/>
      <c r="AM1901" s="62"/>
      <c r="AN1901" s="62"/>
      <c r="AO1901" s="62"/>
      <c r="AP1901" s="62"/>
      <c r="AQ1901" s="66"/>
      <c r="AR1901" s="62"/>
      <c r="AS1901" s="62"/>
      <c r="AT1901" s="62"/>
      <c r="AU1901" s="62"/>
      <c r="AV1901" s="66"/>
      <c r="AW1901" s="97"/>
    </row>
    <row r="1902" spans="23:49" x14ac:dyDescent="0.15">
      <c r="W1902" s="12"/>
      <c r="X1902" s="62"/>
      <c r="Y1902" s="62"/>
      <c r="Z1902" s="62"/>
      <c r="AA1902" s="62"/>
      <c r="AB1902" s="98"/>
      <c r="AC1902" s="62"/>
      <c r="AD1902" s="62"/>
      <c r="AE1902" s="62"/>
      <c r="AF1902" s="62"/>
      <c r="AG1902" s="66"/>
      <c r="AH1902" s="62"/>
      <c r="AI1902" s="62"/>
      <c r="AJ1902" s="62"/>
      <c r="AK1902" s="62"/>
      <c r="AL1902" s="66"/>
      <c r="AM1902" s="62"/>
      <c r="AN1902" s="62"/>
      <c r="AO1902" s="62"/>
      <c r="AP1902" s="62"/>
      <c r="AQ1902" s="66"/>
      <c r="AR1902" s="62"/>
      <c r="AS1902" s="62"/>
      <c r="AT1902" s="62"/>
      <c r="AU1902" s="62"/>
      <c r="AV1902" s="66"/>
      <c r="AW1902" s="97"/>
    </row>
    <row r="1903" spans="23:49" x14ac:dyDescent="0.15">
      <c r="W1903" s="12"/>
      <c r="X1903" s="62"/>
      <c r="Y1903" s="62"/>
      <c r="Z1903" s="62"/>
      <c r="AA1903" s="62"/>
      <c r="AB1903" s="98"/>
      <c r="AC1903" s="62"/>
      <c r="AD1903" s="62"/>
      <c r="AE1903" s="62"/>
      <c r="AF1903" s="62"/>
      <c r="AG1903" s="66"/>
      <c r="AH1903" s="62"/>
      <c r="AI1903" s="62"/>
      <c r="AJ1903" s="62"/>
      <c r="AK1903" s="62"/>
      <c r="AL1903" s="66"/>
      <c r="AM1903" s="62"/>
      <c r="AN1903" s="62"/>
      <c r="AO1903" s="62"/>
      <c r="AP1903" s="62"/>
      <c r="AQ1903" s="66"/>
      <c r="AR1903" s="62"/>
      <c r="AS1903" s="62"/>
      <c r="AT1903" s="62"/>
      <c r="AU1903" s="62"/>
      <c r="AV1903" s="66"/>
      <c r="AW1903" s="97"/>
    </row>
    <row r="1904" spans="23:49" x14ac:dyDescent="0.15">
      <c r="W1904" s="12"/>
      <c r="X1904" s="62"/>
      <c r="Y1904" s="62"/>
      <c r="Z1904" s="62"/>
      <c r="AA1904" s="62"/>
      <c r="AB1904" s="98"/>
      <c r="AC1904" s="62"/>
      <c r="AD1904" s="62"/>
      <c r="AE1904" s="62"/>
      <c r="AF1904" s="62"/>
      <c r="AG1904" s="66"/>
      <c r="AH1904" s="62"/>
      <c r="AI1904" s="62"/>
      <c r="AJ1904" s="62"/>
      <c r="AK1904" s="62"/>
      <c r="AL1904" s="66"/>
      <c r="AM1904" s="62"/>
      <c r="AN1904" s="62"/>
      <c r="AO1904" s="62"/>
      <c r="AP1904" s="62"/>
      <c r="AQ1904" s="66"/>
      <c r="AR1904" s="62"/>
      <c r="AS1904" s="62"/>
      <c r="AT1904" s="62"/>
      <c r="AU1904" s="62"/>
      <c r="AV1904" s="66"/>
      <c r="AW1904" s="97"/>
    </row>
    <row r="1905" spans="23:49" x14ac:dyDescent="0.15">
      <c r="W1905" s="12"/>
      <c r="X1905" s="62"/>
      <c r="Y1905" s="62"/>
      <c r="Z1905" s="62"/>
      <c r="AA1905" s="62"/>
      <c r="AB1905" s="98"/>
      <c r="AC1905" s="62"/>
      <c r="AD1905" s="62"/>
      <c r="AE1905" s="62"/>
      <c r="AF1905" s="62"/>
      <c r="AG1905" s="66"/>
      <c r="AH1905" s="62"/>
      <c r="AI1905" s="62"/>
      <c r="AJ1905" s="62"/>
      <c r="AK1905" s="62"/>
      <c r="AL1905" s="66"/>
      <c r="AM1905" s="62"/>
      <c r="AN1905" s="62"/>
      <c r="AO1905" s="62"/>
      <c r="AP1905" s="62"/>
      <c r="AQ1905" s="66"/>
      <c r="AR1905" s="62"/>
      <c r="AS1905" s="62"/>
      <c r="AT1905" s="62"/>
      <c r="AU1905" s="62"/>
      <c r="AV1905" s="66"/>
      <c r="AW1905" s="97"/>
    </row>
    <row r="1906" spans="23:49" x14ac:dyDescent="0.15">
      <c r="W1906" s="12"/>
      <c r="X1906" s="62"/>
      <c r="Y1906" s="62"/>
      <c r="Z1906" s="62"/>
      <c r="AA1906" s="62"/>
      <c r="AB1906" s="98"/>
      <c r="AC1906" s="62"/>
      <c r="AD1906" s="62"/>
      <c r="AE1906" s="62"/>
      <c r="AF1906" s="62"/>
      <c r="AG1906" s="66"/>
      <c r="AH1906" s="62"/>
      <c r="AI1906" s="62"/>
      <c r="AJ1906" s="62"/>
      <c r="AK1906" s="62"/>
      <c r="AL1906" s="66"/>
      <c r="AM1906" s="62"/>
      <c r="AN1906" s="62"/>
      <c r="AO1906" s="62"/>
      <c r="AP1906" s="62"/>
      <c r="AQ1906" s="66"/>
      <c r="AR1906" s="62"/>
      <c r="AS1906" s="62"/>
      <c r="AT1906" s="62"/>
      <c r="AU1906" s="62"/>
      <c r="AV1906" s="66"/>
      <c r="AW1906" s="97"/>
    </row>
    <row r="1907" spans="23:49" x14ac:dyDescent="0.15">
      <c r="W1907" s="12"/>
      <c r="X1907" s="62"/>
      <c r="Y1907" s="62"/>
      <c r="Z1907" s="62"/>
      <c r="AA1907" s="62"/>
      <c r="AB1907" s="98"/>
      <c r="AC1907" s="62"/>
      <c r="AD1907" s="62"/>
      <c r="AE1907" s="62"/>
      <c r="AF1907" s="62"/>
      <c r="AG1907" s="66"/>
      <c r="AH1907" s="62"/>
      <c r="AI1907" s="62"/>
      <c r="AJ1907" s="62"/>
      <c r="AK1907" s="62"/>
      <c r="AL1907" s="66"/>
      <c r="AM1907" s="62"/>
      <c r="AN1907" s="62"/>
      <c r="AO1907" s="62"/>
      <c r="AP1907" s="62"/>
      <c r="AQ1907" s="66"/>
      <c r="AR1907" s="62"/>
      <c r="AS1907" s="62"/>
      <c r="AT1907" s="62"/>
      <c r="AU1907" s="62"/>
      <c r="AV1907" s="66"/>
      <c r="AW1907" s="97"/>
    </row>
    <row r="1908" spans="23:49" x14ac:dyDescent="0.15">
      <c r="W1908" s="12"/>
      <c r="X1908" s="62"/>
      <c r="Y1908" s="62"/>
      <c r="Z1908" s="62"/>
      <c r="AA1908" s="62"/>
      <c r="AB1908" s="98"/>
      <c r="AC1908" s="62"/>
      <c r="AD1908" s="62"/>
      <c r="AE1908" s="62"/>
      <c r="AF1908" s="62"/>
      <c r="AG1908" s="66"/>
      <c r="AH1908" s="62"/>
      <c r="AI1908" s="62"/>
      <c r="AJ1908" s="62"/>
      <c r="AK1908" s="62"/>
      <c r="AL1908" s="66"/>
      <c r="AM1908" s="62"/>
      <c r="AN1908" s="62"/>
      <c r="AO1908" s="62"/>
      <c r="AP1908" s="62"/>
      <c r="AQ1908" s="66"/>
      <c r="AR1908" s="62"/>
      <c r="AS1908" s="62"/>
      <c r="AT1908" s="62"/>
      <c r="AU1908" s="62"/>
      <c r="AV1908" s="66"/>
      <c r="AW1908" s="97"/>
    </row>
    <row r="1909" spans="23:49" x14ac:dyDescent="0.15">
      <c r="W1909" s="12"/>
      <c r="X1909" s="62"/>
      <c r="Y1909" s="62"/>
      <c r="Z1909" s="62"/>
      <c r="AA1909" s="62"/>
      <c r="AB1909" s="98"/>
      <c r="AC1909" s="62"/>
      <c r="AD1909" s="62"/>
      <c r="AE1909" s="62"/>
      <c r="AF1909" s="62"/>
      <c r="AG1909" s="66"/>
      <c r="AH1909" s="62"/>
      <c r="AI1909" s="62"/>
      <c r="AJ1909" s="62"/>
      <c r="AK1909" s="62"/>
      <c r="AL1909" s="66"/>
      <c r="AM1909" s="62"/>
      <c r="AN1909" s="62"/>
      <c r="AO1909" s="62"/>
      <c r="AP1909" s="62"/>
      <c r="AQ1909" s="66"/>
      <c r="AR1909" s="62"/>
      <c r="AS1909" s="62"/>
      <c r="AT1909" s="62"/>
      <c r="AU1909" s="62"/>
      <c r="AV1909" s="66"/>
      <c r="AW1909" s="97"/>
    </row>
    <row r="1910" spans="23:49" x14ac:dyDescent="0.15">
      <c r="W1910" s="12"/>
      <c r="X1910" s="62"/>
      <c r="Y1910" s="62"/>
      <c r="Z1910" s="62"/>
      <c r="AA1910" s="62"/>
      <c r="AB1910" s="98"/>
      <c r="AC1910" s="62"/>
      <c r="AD1910" s="62"/>
      <c r="AE1910" s="62"/>
      <c r="AF1910" s="62"/>
      <c r="AG1910" s="66"/>
      <c r="AH1910" s="62"/>
      <c r="AI1910" s="62"/>
      <c r="AJ1910" s="62"/>
      <c r="AK1910" s="62"/>
      <c r="AL1910" s="66"/>
      <c r="AM1910" s="62"/>
      <c r="AN1910" s="62"/>
      <c r="AO1910" s="62"/>
      <c r="AP1910" s="62"/>
      <c r="AQ1910" s="66"/>
      <c r="AR1910" s="62"/>
      <c r="AS1910" s="62"/>
      <c r="AT1910" s="62"/>
      <c r="AU1910" s="62"/>
      <c r="AV1910" s="66"/>
      <c r="AW1910" s="97"/>
    </row>
    <row r="1911" spans="23:49" x14ac:dyDescent="0.15">
      <c r="W1911" s="12"/>
      <c r="X1911" s="62"/>
      <c r="Y1911" s="62"/>
      <c r="Z1911" s="62"/>
      <c r="AA1911" s="62"/>
      <c r="AB1911" s="98"/>
      <c r="AC1911" s="62"/>
      <c r="AD1911" s="62"/>
      <c r="AE1911" s="62"/>
      <c r="AF1911" s="62"/>
      <c r="AG1911" s="66"/>
      <c r="AH1911" s="62"/>
      <c r="AI1911" s="62"/>
      <c r="AJ1911" s="62"/>
      <c r="AK1911" s="62"/>
      <c r="AL1911" s="66"/>
      <c r="AM1911" s="62"/>
      <c r="AN1911" s="62"/>
      <c r="AO1911" s="62"/>
      <c r="AP1911" s="62"/>
      <c r="AQ1911" s="66"/>
      <c r="AR1911" s="62"/>
      <c r="AS1911" s="62"/>
      <c r="AT1911" s="62"/>
      <c r="AU1911" s="62"/>
      <c r="AV1911" s="66"/>
      <c r="AW1911" s="97"/>
    </row>
    <row r="1912" spans="23:49" x14ac:dyDescent="0.15">
      <c r="W1912" s="12"/>
      <c r="X1912" s="62"/>
      <c r="Y1912" s="62"/>
      <c r="Z1912" s="62"/>
      <c r="AA1912" s="62"/>
      <c r="AB1912" s="98"/>
      <c r="AC1912" s="62"/>
      <c r="AD1912" s="62"/>
      <c r="AE1912" s="62"/>
      <c r="AF1912" s="62"/>
      <c r="AG1912" s="66"/>
      <c r="AH1912" s="62"/>
      <c r="AI1912" s="62"/>
      <c r="AJ1912" s="62"/>
      <c r="AK1912" s="62"/>
      <c r="AL1912" s="66"/>
      <c r="AM1912" s="62"/>
      <c r="AN1912" s="62"/>
      <c r="AO1912" s="62"/>
      <c r="AP1912" s="62"/>
      <c r="AQ1912" s="66"/>
      <c r="AR1912" s="62"/>
      <c r="AS1912" s="62"/>
      <c r="AT1912" s="62"/>
      <c r="AU1912" s="62"/>
      <c r="AV1912" s="66"/>
      <c r="AW1912" s="97"/>
    </row>
    <row r="1913" spans="23:49" x14ac:dyDescent="0.15">
      <c r="W1913" s="12"/>
      <c r="X1913" s="62"/>
      <c r="Y1913" s="62"/>
      <c r="Z1913" s="62"/>
      <c r="AA1913" s="62"/>
      <c r="AB1913" s="98"/>
      <c r="AC1913" s="62"/>
      <c r="AD1913" s="62"/>
      <c r="AE1913" s="62"/>
      <c r="AF1913" s="62"/>
      <c r="AG1913" s="66"/>
      <c r="AH1913" s="62"/>
      <c r="AI1913" s="62"/>
      <c r="AJ1913" s="62"/>
      <c r="AK1913" s="62"/>
      <c r="AL1913" s="66"/>
      <c r="AM1913" s="62"/>
      <c r="AN1913" s="62"/>
      <c r="AO1913" s="62"/>
      <c r="AP1913" s="62"/>
      <c r="AQ1913" s="66"/>
      <c r="AR1913" s="62"/>
      <c r="AS1913" s="62"/>
      <c r="AT1913" s="62"/>
      <c r="AU1913" s="62"/>
      <c r="AV1913" s="66"/>
      <c r="AW1913" s="97"/>
    </row>
    <row r="1914" spans="23:49" x14ac:dyDescent="0.15">
      <c r="W1914" s="12"/>
      <c r="X1914" s="62"/>
      <c r="Y1914" s="62"/>
      <c r="Z1914" s="62"/>
      <c r="AA1914" s="62"/>
      <c r="AB1914" s="98"/>
      <c r="AC1914" s="62"/>
      <c r="AD1914" s="62"/>
      <c r="AE1914" s="62"/>
      <c r="AF1914" s="62"/>
      <c r="AG1914" s="66"/>
      <c r="AH1914" s="62"/>
      <c r="AI1914" s="62"/>
      <c r="AJ1914" s="62"/>
      <c r="AK1914" s="62"/>
      <c r="AL1914" s="66"/>
      <c r="AM1914" s="62"/>
      <c r="AN1914" s="62"/>
      <c r="AO1914" s="62"/>
      <c r="AP1914" s="62"/>
      <c r="AQ1914" s="66"/>
      <c r="AR1914" s="62"/>
      <c r="AS1914" s="62"/>
      <c r="AT1914" s="62"/>
      <c r="AU1914" s="62"/>
      <c r="AV1914" s="66"/>
      <c r="AW1914" s="97"/>
    </row>
    <row r="1915" spans="23:49" x14ac:dyDescent="0.15">
      <c r="W1915" s="12"/>
      <c r="X1915" s="62"/>
      <c r="Y1915" s="62"/>
      <c r="Z1915" s="62"/>
      <c r="AA1915" s="62"/>
      <c r="AB1915" s="98"/>
      <c r="AC1915" s="62"/>
      <c r="AD1915" s="62"/>
      <c r="AE1915" s="62"/>
      <c r="AF1915" s="62"/>
      <c r="AG1915" s="66"/>
      <c r="AH1915" s="62"/>
      <c r="AI1915" s="62"/>
      <c r="AJ1915" s="62"/>
      <c r="AK1915" s="62"/>
      <c r="AL1915" s="66"/>
      <c r="AM1915" s="62"/>
      <c r="AN1915" s="62"/>
      <c r="AO1915" s="62"/>
      <c r="AP1915" s="62"/>
      <c r="AQ1915" s="66"/>
      <c r="AR1915" s="62"/>
      <c r="AS1915" s="62"/>
      <c r="AT1915" s="62"/>
      <c r="AU1915" s="62"/>
      <c r="AV1915" s="66"/>
      <c r="AW1915" s="97"/>
    </row>
    <row r="1916" spans="23:49" x14ac:dyDescent="0.15">
      <c r="W1916" s="12"/>
      <c r="X1916" s="62"/>
      <c r="Y1916" s="62"/>
      <c r="Z1916" s="62"/>
      <c r="AA1916" s="62"/>
      <c r="AB1916" s="98"/>
      <c r="AC1916" s="62"/>
      <c r="AD1916" s="62"/>
      <c r="AE1916" s="62"/>
      <c r="AF1916" s="62"/>
      <c r="AG1916" s="66"/>
      <c r="AH1916" s="62"/>
      <c r="AI1916" s="62"/>
      <c r="AJ1916" s="62"/>
      <c r="AK1916" s="62"/>
      <c r="AL1916" s="66"/>
      <c r="AM1916" s="62"/>
      <c r="AN1916" s="62"/>
      <c r="AO1916" s="62"/>
      <c r="AP1916" s="62"/>
      <c r="AQ1916" s="66"/>
      <c r="AR1916" s="62"/>
      <c r="AS1916" s="62"/>
      <c r="AT1916" s="62"/>
      <c r="AU1916" s="62"/>
      <c r="AV1916" s="66"/>
      <c r="AW1916" s="97"/>
    </row>
    <row r="1917" spans="23:49" x14ac:dyDescent="0.15">
      <c r="W1917" s="12"/>
      <c r="X1917" s="62"/>
      <c r="Y1917" s="62"/>
      <c r="Z1917" s="62"/>
      <c r="AA1917" s="62"/>
      <c r="AB1917" s="98"/>
      <c r="AC1917" s="62"/>
      <c r="AD1917" s="62"/>
      <c r="AE1917" s="62"/>
      <c r="AF1917" s="62"/>
      <c r="AG1917" s="66"/>
      <c r="AH1917" s="62"/>
      <c r="AI1917" s="62"/>
      <c r="AJ1917" s="62"/>
      <c r="AK1917" s="62"/>
      <c r="AL1917" s="66"/>
      <c r="AM1917" s="62"/>
      <c r="AN1917" s="62"/>
      <c r="AO1917" s="62"/>
      <c r="AP1917" s="62"/>
      <c r="AQ1917" s="66"/>
      <c r="AR1917" s="62"/>
      <c r="AS1917" s="62"/>
      <c r="AT1917" s="62"/>
      <c r="AU1917" s="62"/>
      <c r="AV1917" s="66"/>
      <c r="AW1917" s="97"/>
    </row>
    <row r="1918" spans="23:49" x14ac:dyDescent="0.15">
      <c r="W1918" s="12"/>
      <c r="X1918" s="62"/>
      <c r="Y1918" s="62"/>
      <c r="Z1918" s="62"/>
      <c r="AA1918" s="62"/>
      <c r="AB1918" s="98"/>
      <c r="AC1918" s="62"/>
      <c r="AD1918" s="62"/>
      <c r="AE1918" s="62"/>
      <c r="AF1918" s="62"/>
      <c r="AG1918" s="66"/>
      <c r="AH1918" s="62"/>
      <c r="AI1918" s="62"/>
      <c r="AJ1918" s="62"/>
      <c r="AK1918" s="62"/>
      <c r="AL1918" s="66"/>
      <c r="AM1918" s="62"/>
      <c r="AN1918" s="62"/>
      <c r="AO1918" s="62"/>
      <c r="AP1918" s="62"/>
      <c r="AQ1918" s="66"/>
      <c r="AR1918" s="62"/>
      <c r="AS1918" s="62"/>
      <c r="AT1918" s="62"/>
      <c r="AU1918" s="62"/>
      <c r="AV1918" s="66"/>
      <c r="AW1918" s="97"/>
    </row>
    <row r="1919" spans="23:49" x14ac:dyDescent="0.15">
      <c r="W1919" s="12"/>
      <c r="X1919" s="62"/>
      <c r="Y1919" s="62"/>
      <c r="Z1919" s="62"/>
      <c r="AA1919" s="62"/>
      <c r="AB1919" s="98"/>
      <c r="AC1919" s="62"/>
      <c r="AD1919" s="62"/>
      <c r="AE1919" s="62"/>
      <c r="AF1919" s="62"/>
      <c r="AG1919" s="66"/>
      <c r="AH1919" s="62"/>
      <c r="AI1919" s="62"/>
      <c r="AJ1919" s="62"/>
      <c r="AK1919" s="62"/>
      <c r="AL1919" s="66"/>
      <c r="AM1919" s="62"/>
      <c r="AN1919" s="62"/>
      <c r="AO1919" s="62"/>
      <c r="AP1919" s="62"/>
      <c r="AQ1919" s="66"/>
      <c r="AR1919" s="62"/>
      <c r="AS1919" s="62"/>
      <c r="AT1919" s="62"/>
      <c r="AU1919" s="62"/>
      <c r="AV1919" s="66"/>
      <c r="AW1919" s="97"/>
    </row>
    <row r="1920" spans="23:49" x14ac:dyDescent="0.15">
      <c r="W1920" s="12"/>
      <c r="X1920" s="62"/>
      <c r="Y1920" s="62"/>
      <c r="Z1920" s="62"/>
      <c r="AA1920" s="62"/>
      <c r="AB1920" s="98"/>
      <c r="AC1920" s="62"/>
      <c r="AD1920" s="62"/>
      <c r="AE1920" s="62"/>
      <c r="AF1920" s="62"/>
      <c r="AG1920" s="66"/>
      <c r="AH1920" s="62"/>
      <c r="AI1920" s="62"/>
      <c r="AJ1920" s="62"/>
      <c r="AK1920" s="62"/>
      <c r="AL1920" s="66"/>
      <c r="AM1920" s="62"/>
      <c r="AN1920" s="62"/>
      <c r="AO1920" s="62"/>
      <c r="AP1920" s="62"/>
      <c r="AQ1920" s="66"/>
      <c r="AR1920" s="62"/>
      <c r="AS1920" s="62"/>
      <c r="AT1920" s="62"/>
      <c r="AU1920" s="62"/>
      <c r="AV1920" s="66"/>
      <c r="AW1920" s="97"/>
    </row>
    <row r="1921" spans="23:49" x14ac:dyDescent="0.15">
      <c r="W1921" s="12"/>
      <c r="X1921" s="62"/>
      <c r="Y1921" s="62"/>
      <c r="Z1921" s="62"/>
      <c r="AA1921" s="62"/>
      <c r="AB1921" s="98"/>
      <c r="AC1921" s="62"/>
      <c r="AD1921" s="62"/>
      <c r="AE1921" s="62"/>
      <c r="AF1921" s="62"/>
      <c r="AG1921" s="66"/>
      <c r="AH1921" s="62"/>
      <c r="AI1921" s="62"/>
      <c r="AJ1921" s="62"/>
      <c r="AK1921" s="62"/>
      <c r="AL1921" s="66"/>
      <c r="AM1921" s="62"/>
      <c r="AN1921" s="62"/>
      <c r="AO1921" s="62"/>
      <c r="AP1921" s="62"/>
      <c r="AQ1921" s="66"/>
      <c r="AR1921" s="62"/>
      <c r="AS1921" s="62"/>
      <c r="AT1921" s="62"/>
      <c r="AU1921" s="62"/>
      <c r="AV1921" s="66"/>
      <c r="AW1921" s="97"/>
    </row>
    <row r="1922" spans="23:49" x14ac:dyDescent="0.15">
      <c r="W1922" s="12"/>
      <c r="X1922" s="62"/>
      <c r="Y1922" s="62"/>
      <c r="Z1922" s="62"/>
      <c r="AA1922" s="62"/>
      <c r="AB1922" s="98"/>
      <c r="AC1922" s="62"/>
      <c r="AD1922" s="62"/>
      <c r="AE1922" s="62"/>
      <c r="AF1922" s="62"/>
      <c r="AG1922" s="66"/>
      <c r="AH1922" s="62"/>
      <c r="AI1922" s="62"/>
      <c r="AJ1922" s="62"/>
      <c r="AK1922" s="62"/>
      <c r="AL1922" s="66"/>
      <c r="AM1922" s="62"/>
      <c r="AN1922" s="62"/>
      <c r="AO1922" s="62"/>
      <c r="AP1922" s="62"/>
      <c r="AQ1922" s="66"/>
      <c r="AR1922" s="62"/>
      <c r="AS1922" s="62"/>
      <c r="AT1922" s="62"/>
      <c r="AU1922" s="62"/>
      <c r="AV1922" s="66"/>
      <c r="AW1922" s="97"/>
    </row>
    <row r="1923" spans="23:49" x14ac:dyDescent="0.15">
      <c r="W1923" s="12"/>
      <c r="X1923" s="62"/>
      <c r="Y1923" s="62"/>
      <c r="Z1923" s="62"/>
      <c r="AA1923" s="62"/>
      <c r="AB1923" s="98"/>
      <c r="AC1923" s="62"/>
      <c r="AD1923" s="62"/>
      <c r="AE1923" s="62"/>
      <c r="AF1923" s="62"/>
      <c r="AG1923" s="66"/>
      <c r="AH1923" s="62"/>
      <c r="AI1923" s="62"/>
      <c r="AJ1923" s="62"/>
      <c r="AK1923" s="62"/>
      <c r="AL1923" s="66"/>
      <c r="AM1923" s="62"/>
      <c r="AN1923" s="62"/>
      <c r="AO1923" s="62"/>
      <c r="AP1923" s="62"/>
      <c r="AQ1923" s="66"/>
      <c r="AR1923" s="62"/>
      <c r="AS1923" s="62"/>
      <c r="AT1923" s="62"/>
      <c r="AU1923" s="62"/>
      <c r="AV1923" s="66"/>
      <c r="AW1923" s="97"/>
    </row>
    <row r="1924" spans="23:49" x14ac:dyDescent="0.15">
      <c r="W1924" s="12"/>
      <c r="X1924" s="62"/>
      <c r="Y1924" s="62"/>
      <c r="Z1924" s="62"/>
      <c r="AA1924" s="62"/>
      <c r="AB1924" s="98"/>
      <c r="AC1924" s="62"/>
      <c r="AD1924" s="62"/>
      <c r="AE1924" s="62"/>
      <c r="AF1924" s="62"/>
      <c r="AG1924" s="66"/>
      <c r="AH1924" s="62"/>
      <c r="AI1924" s="62"/>
      <c r="AJ1924" s="62"/>
      <c r="AK1924" s="62"/>
      <c r="AL1924" s="66"/>
      <c r="AM1924" s="62"/>
      <c r="AN1924" s="62"/>
      <c r="AO1924" s="62"/>
      <c r="AP1924" s="62"/>
      <c r="AQ1924" s="66"/>
      <c r="AR1924" s="62"/>
      <c r="AS1924" s="62"/>
      <c r="AT1924" s="62"/>
      <c r="AU1924" s="62"/>
      <c r="AV1924" s="66"/>
      <c r="AW1924" s="97"/>
    </row>
    <row r="1925" spans="23:49" x14ac:dyDescent="0.15">
      <c r="W1925" s="12"/>
      <c r="X1925" s="62"/>
      <c r="Y1925" s="62"/>
      <c r="Z1925" s="62"/>
      <c r="AA1925" s="62"/>
      <c r="AB1925" s="98"/>
      <c r="AC1925" s="62"/>
      <c r="AD1925" s="62"/>
      <c r="AE1925" s="62"/>
      <c r="AF1925" s="62"/>
      <c r="AG1925" s="66"/>
      <c r="AH1925" s="62"/>
      <c r="AI1925" s="62"/>
      <c r="AJ1925" s="62"/>
      <c r="AK1925" s="62"/>
      <c r="AL1925" s="66"/>
      <c r="AM1925" s="62"/>
      <c r="AN1925" s="62"/>
      <c r="AO1925" s="62"/>
      <c r="AP1925" s="62"/>
      <c r="AQ1925" s="66"/>
      <c r="AR1925" s="62"/>
      <c r="AS1925" s="62"/>
      <c r="AT1925" s="62"/>
      <c r="AU1925" s="62"/>
      <c r="AV1925" s="66"/>
      <c r="AW1925" s="97"/>
    </row>
    <row r="1926" spans="23:49" x14ac:dyDescent="0.15">
      <c r="W1926" s="12"/>
      <c r="X1926" s="62"/>
      <c r="Y1926" s="62"/>
      <c r="Z1926" s="62"/>
      <c r="AA1926" s="62"/>
      <c r="AB1926" s="98"/>
      <c r="AC1926" s="62"/>
      <c r="AD1926" s="62"/>
      <c r="AE1926" s="62"/>
      <c r="AF1926" s="62"/>
      <c r="AG1926" s="66"/>
      <c r="AH1926" s="62"/>
      <c r="AI1926" s="62"/>
      <c r="AJ1926" s="62"/>
      <c r="AK1926" s="62"/>
      <c r="AL1926" s="66"/>
      <c r="AM1926" s="62"/>
      <c r="AN1926" s="62"/>
      <c r="AO1926" s="62"/>
      <c r="AP1926" s="62"/>
      <c r="AQ1926" s="66"/>
      <c r="AR1926" s="62"/>
      <c r="AS1926" s="62"/>
      <c r="AT1926" s="62"/>
      <c r="AU1926" s="62"/>
      <c r="AV1926" s="66"/>
      <c r="AW1926" s="97"/>
    </row>
    <row r="1927" spans="23:49" x14ac:dyDescent="0.15">
      <c r="W1927" s="12"/>
      <c r="X1927" s="62"/>
      <c r="Y1927" s="62"/>
      <c r="Z1927" s="62"/>
      <c r="AA1927" s="62"/>
      <c r="AB1927" s="98"/>
      <c r="AC1927" s="62"/>
      <c r="AD1927" s="62"/>
      <c r="AE1927" s="62"/>
      <c r="AF1927" s="62"/>
      <c r="AG1927" s="66"/>
      <c r="AH1927" s="62"/>
      <c r="AI1927" s="62"/>
      <c r="AJ1927" s="62"/>
      <c r="AK1927" s="62"/>
      <c r="AL1927" s="66"/>
      <c r="AM1927" s="62"/>
      <c r="AN1927" s="62"/>
      <c r="AO1927" s="62"/>
      <c r="AP1927" s="62"/>
      <c r="AQ1927" s="66"/>
      <c r="AR1927" s="62"/>
      <c r="AS1927" s="62"/>
      <c r="AT1927" s="62"/>
      <c r="AU1927" s="62"/>
      <c r="AV1927" s="66"/>
      <c r="AW1927" s="97"/>
    </row>
    <row r="1928" spans="23:49" x14ac:dyDescent="0.15">
      <c r="W1928" s="12"/>
      <c r="X1928" s="62"/>
      <c r="Y1928" s="62"/>
      <c r="Z1928" s="62"/>
      <c r="AA1928" s="62"/>
      <c r="AB1928" s="98"/>
      <c r="AC1928" s="62"/>
      <c r="AD1928" s="62"/>
      <c r="AE1928" s="62"/>
      <c r="AF1928" s="62"/>
      <c r="AG1928" s="66"/>
      <c r="AH1928" s="62"/>
      <c r="AI1928" s="62"/>
      <c r="AJ1928" s="62"/>
      <c r="AK1928" s="62"/>
      <c r="AL1928" s="66"/>
      <c r="AM1928" s="62"/>
      <c r="AN1928" s="62"/>
      <c r="AO1928" s="62"/>
      <c r="AP1928" s="62"/>
      <c r="AQ1928" s="66"/>
      <c r="AR1928" s="62"/>
      <c r="AS1928" s="62"/>
      <c r="AT1928" s="62"/>
      <c r="AU1928" s="62"/>
      <c r="AV1928" s="66"/>
      <c r="AW1928" s="97"/>
    </row>
    <row r="1929" spans="23:49" x14ac:dyDescent="0.15">
      <c r="W1929" s="12"/>
      <c r="X1929" s="62"/>
      <c r="Y1929" s="62"/>
      <c r="Z1929" s="62"/>
      <c r="AA1929" s="62"/>
      <c r="AB1929" s="98"/>
      <c r="AC1929" s="62"/>
      <c r="AD1929" s="62"/>
      <c r="AE1929" s="62"/>
      <c r="AF1929" s="62"/>
      <c r="AG1929" s="66"/>
      <c r="AH1929" s="62"/>
      <c r="AI1929" s="62"/>
      <c r="AJ1929" s="62"/>
      <c r="AK1929" s="62"/>
      <c r="AL1929" s="66"/>
      <c r="AM1929" s="62"/>
      <c r="AN1929" s="62"/>
      <c r="AO1929" s="62"/>
      <c r="AP1929" s="62"/>
      <c r="AQ1929" s="66"/>
      <c r="AR1929" s="62"/>
      <c r="AS1929" s="62"/>
      <c r="AT1929" s="62"/>
      <c r="AU1929" s="62"/>
      <c r="AV1929" s="66"/>
      <c r="AW1929" s="97"/>
    </row>
    <row r="1930" spans="23:49" x14ac:dyDescent="0.15">
      <c r="W1930" s="12"/>
      <c r="X1930" s="62"/>
      <c r="Y1930" s="62"/>
      <c r="Z1930" s="62"/>
      <c r="AA1930" s="62"/>
      <c r="AB1930" s="98"/>
      <c r="AC1930" s="62"/>
      <c r="AD1930" s="62"/>
      <c r="AE1930" s="62"/>
      <c r="AF1930" s="62"/>
      <c r="AG1930" s="66"/>
      <c r="AH1930" s="62"/>
      <c r="AI1930" s="62"/>
      <c r="AJ1930" s="62"/>
      <c r="AK1930" s="62"/>
      <c r="AL1930" s="66"/>
      <c r="AM1930" s="62"/>
      <c r="AN1930" s="62"/>
      <c r="AO1930" s="62"/>
      <c r="AP1930" s="62"/>
      <c r="AQ1930" s="66"/>
      <c r="AR1930" s="62"/>
      <c r="AS1930" s="62"/>
      <c r="AT1930" s="62"/>
      <c r="AU1930" s="62"/>
      <c r="AV1930" s="66"/>
      <c r="AW1930" s="97"/>
    </row>
    <row r="1931" spans="23:49" x14ac:dyDescent="0.15">
      <c r="W1931" s="12"/>
      <c r="X1931" s="62"/>
      <c r="Y1931" s="62"/>
      <c r="Z1931" s="62"/>
      <c r="AA1931" s="62"/>
      <c r="AB1931" s="98"/>
      <c r="AC1931" s="62"/>
      <c r="AD1931" s="62"/>
      <c r="AE1931" s="62"/>
      <c r="AF1931" s="62"/>
      <c r="AG1931" s="66"/>
      <c r="AH1931" s="62"/>
      <c r="AI1931" s="62"/>
      <c r="AJ1931" s="62"/>
      <c r="AK1931" s="62"/>
      <c r="AL1931" s="66"/>
      <c r="AM1931" s="62"/>
      <c r="AN1931" s="62"/>
      <c r="AO1931" s="62"/>
      <c r="AP1931" s="62"/>
      <c r="AQ1931" s="66"/>
      <c r="AR1931" s="62"/>
      <c r="AS1931" s="62"/>
      <c r="AT1931" s="62"/>
      <c r="AU1931" s="62"/>
      <c r="AV1931" s="66"/>
      <c r="AW1931" s="97"/>
    </row>
    <row r="1932" spans="23:49" x14ac:dyDescent="0.15">
      <c r="W1932" s="12"/>
      <c r="X1932" s="62"/>
      <c r="Y1932" s="62"/>
      <c r="Z1932" s="62"/>
      <c r="AA1932" s="62"/>
      <c r="AB1932" s="98"/>
      <c r="AC1932" s="62"/>
      <c r="AD1932" s="62"/>
      <c r="AE1932" s="62"/>
      <c r="AF1932" s="62"/>
      <c r="AG1932" s="66"/>
      <c r="AH1932" s="62"/>
      <c r="AI1932" s="62"/>
      <c r="AJ1932" s="62"/>
      <c r="AK1932" s="62"/>
      <c r="AL1932" s="66"/>
      <c r="AM1932" s="62"/>
      <c r="AN1932" s="62"/>
      <c r="AO1932" s="62"/>
      <c r="AP1932" s="62"/>
      <c r="AQ1932" s="66"/>
      <c r="AR1932" s="62"/>
      <c r="AS1932" s="62"/>
      <c r="AT1932" s="62"/>
      <c r="AU1932" s="62"/>
      <c r="AV1932" s="66"/>
      <c r="AW1932" s="97"/>
    </row>
    <row r="1933" spans="23:49" x14ac:dyDescent="0.15">
      <c r="W1933" s="12"/>
      <c r="X1933" s="62"/>
      <c r="Y1933" s="62"/>
      <c r="Z1933" s="62"/>
      <c r="AA1933" s="62"/>
      <c r="AB1933" s="98"/>
      <c r="AC1933" s="62"/>
      <c r="AD1933" s="62"/>
      <c r="AE1933" s="62"/>
      <c r="AF1933" s="62"/>
      <c r="AG1933" s="66"/>
      <c r="AH1933" s="62"/>
      <c r="AI1933" s="62"/>
      <c r="AJ1933" s="62"/>
      <c r="AK1933" s="62"/>
      <c r="AL1933" s="66"/>
      <c r="AM1933" s="62"/>
      <c r="AN1933" s="62"/>
      <c r="AO1933" s="62"/>
      <c r="AP1933" s="62"/>
      <c r="AQ1933" s="66"/>
      <c r="AR1933" s="62"/>
      <c r="AS1933" s="62"/>
      <c r="AT1933" s="62"/>
      <c r="AU1933" s="62"/>
      <c r="AV1933" s="66"/>
      <c r="AW1933" s="97"/>
    </row>
    <row r="1934" spans="23:49" x14ac:dyDescent="0.15">
      <c r="W1934" s="12"/>
      <c r="X1934" s="62"/>
      <c r="Y1934" s="62"/>
      <c r="Z1934" s="62"/>
      <c r="AA1934" s="62"/>
      <c r="AB1934" s="98"/>
      <c r="AC1934" s="62"/>
      <c r="AD1934" s="62"/>
      <c r="AE1934" s="62"/>
      <c r="AF1934" s="62"/>
      <c r="AG1934" s="66"/>
      <c r="AH1934" s="62"/>
      <c r="AI1934" s="62"/>
      <c r="AJ1934" s="62"/>
      <c r="AK1934" s="62"/>
      <c r="AL1934" s="66"/>
      <c r="AM1934" s="62"/>
      <c r="AN1934" s="62"/>
      <c r="AO1934" s="62"/>
      <c r="AP1934" s="62"/>
      <c r="AQ1934" s="66"/>
      <c r="AR1934" s="62"/>
      <c r="AS1934" s="62"/>
      <c r="AT1934" s="62"/>
      <c r="AU1934" s="62"/>
      <c r="AV1934" s="66"/>
      <c r="AW1934" s="97"/>
    </row>
    <row r="1935" spans="23:49" x14ac:dyDescent="0.15">
      <c r="W1935" s="12"/>
      <c r="X1935" s="62"/>
      <c r="Y1935" s="62"/>
      <c r="Z1935" s="62"/>
      <c r="AA1935" s="62"/>
      <c r="AB1935" s="98"/>
      <c r="AC1935" s="62"/>
      <c r="AD1935" s="62"/>
      <c r="AE1935" s="62"/>
      <c r="AF1935" s="62"/>
      <c r="AG1935" s="66"/>
      <c r="AH1935" s="62"/>
      <c r="AI1935" s="62"/>
      <c r="AJ1935" s="62"/>
      <c r="AK1935" s="62"/>
      <c r="AL1935" s="66"/>
      <c r="AM1935" s="62"/>
      <c r="AN1935" s="62"/>
      <c r="AO1935" s="62"/>
      <c r="AP1935" s="62"/>
      <c r="AQ1935" s="66"/>
      <c r="AR1935" s="62"/>
      <c r="AS1935" s="62"/>
      <c r="AT1935" s="62"/>
      <c r="AU1935" s="62"/>
      <c r="AV1935" s="66"/>
      <c r="AW1935" s="97"/>
    </row>
    <row r="1936" spans="23:49" x14ac:dyDescent="0.15">
      <c r="W1936" s="12"/>
      <c r="X1936" s="62"/>
      <c r="Y1936" s="62"/>
      <c r="Z1936" s="62"/>
      <c r="AA1936" s="62"/>
      <c r="AB1936" s="98"/>
      <c r="AC1936" s="62"/>
      <c r="AD1936" s="62"/>
      <c r="AE1936" s="62"/>
      <c r="AF1936" s="62"/>
      <c r="AG1936" s="66"/>
      <c r="AH1936" s="62"/>
      <c r="AI1936" s="62"/>
      <c r="AJ1936" s="62"/>
      <c r="AK1936" s="62"/>
      <c r="AL1936" s="66"/>
      <c r="AM1936" s="62"/>
      <c r="AN1936" s="62"/>
      <c r="AO1936" s="62"/>
      <c r="AP1936" s="62"/>
      <c r="AQ1936" s="66"/>
      <c r="AR1936" s="62"/>
      <c r="AS1936" s="62"/>
      <c r="AT1936" s="62"/>
      <c r="AU1936" s="62"/>
      <c r="AV1936" s="66"/>
      <c r="AW1936" s="97"/>
    </row>
    <row r="1937" spans="23:49" x14ac:dyDescent="0.15">
      <c r="W1937" s="12"/>
      <c r="X1937" s="62"/>
      <c r="Y1937" s="62"/>
      <c r="Z1937" s="62"/>
      <c r="AA1937" s="62"/>
      <c r="AB1937" s="98"/>
      <c r="AC1937" s="62"/>
      <c r="AD1937" s="62"/>
      <c r="AE1937" s="62"/>
      <c r="AF1937" s="62"/>
      <c r="AG1937" s="66"/>
      <c r="AH1937" s="62"/>
      <c r="AI1937" s="62"/>
      <c r="AJ1937" s="62"/>
      <c r="AK1937" s="62"/>
      <c r="AL1937" s="66"/>
      <c r="AM1937" s="62"/>
      <c r="AN1937" s="62"/>
      <c r="AO1937" s="62"/>
      <c r="AP1937" s="62"/>
      <c r="AQ1937" s="66"/>
      <c r="AR1937" s="62"/>
      <c r="AS1937" s="62"/>
      <c r="AT1937" s="62"/>
      <c r="AU1937" s="62"/>
      <c r="AV1937" s="66"/>
      <c r="AW1937" s="97"/>
    </row>
    <row r="1938" spans="23:49" x14ac:dyDescent="0.15">
      <c r="W1938" s="12"/>
      <c r="X1938" s="62"/>
      <c r="Y1938" s="62"/>
      <c r="Z1938" s="62"/>
      <c r="AA1938" s="62"/>
      <c r="AB1938" s="98"/>
      <c r="AC1938" s="62"/>
      <c r="AD1938" s="62"/>
      <c r="AE1938" s="62"/>
      <c r="AF1938" s="62"/>
      <c r="AG1938" s="66"/>
      <c r="AH1938" s="62"/>
      <c r="AI1938" s="62"/>
      <c r="AJ1938" s="62"/>
      <c r="AK1938" s="62"/>
      <c r="AL1938" s="66"/>
      <c r="AM1938" s="62"/>
      <c r="AN1938" s="62"/>
      <c r="AO1938" s="62"/>
      <c r="AP1938" s="62"/>
      <c r="AQ1938" s="66"/>
      <c r="AR1938" s="62"/>
      <c r="AS1938" s="62"/>
      <c r="AT1938" s="62"/>
      <c r="AU1938" s="62"/>
      <c r="AV1938" s="66"/>
      <c r="AW1938" s="97"/>
    </row>
    <row r="1939" spans="23:49" x14ac:dyDescent="0.15">
      <c r="W1939" s="12"/>
      <c r="X1939" s="62"/>
      <c r="Y1939" s="62"/>
      <c r="Z1939" s="62"/>
      <c r="AA1939" s="62"/>
      <c r="AB1939" s="98"/>
      <c r="AC1939" s="62"/>
      <c r="AD1939" s="62"/>
      <c r="AE1939" s="62"/>
      <c r="AF1939" s="62"/>
      <c r="AG1939" s="66"/>
      <c r="AH1939" s="62"/>
      <c r="AI1939" s="62"/>
      <c r="AJ1939" s="62"/>
      <c r="AK1939" s="62"/>
      <c r="AL1939" s="66"/>
      <c r="AM1939" s="62"/>
      <c r="AN1939" s="62"/>
      <c r="AO1939" s="62"/>
      <c r="AP1939" s="62"/>
      <c r="AQ1939" s="66"/>
      <c r="AR1939" s="62"/>
      <c r="AS1939" s="62"/>
      <c r="AT1939" s="62"/>
      <c r="AU1939" s="62"/>
      <c r="AV1939" s="66"/>
      <c r="AW1939" s="97"/>
    </row>
    <row r="1940" spans="23:49" x14ac:dyDescent="0.15">
      <c r="W1940" s="12"/>
      <c r="X1940" s="62"/>
      <c r="Y1940" s="62"/>
      <c r="Z1940" s="62"/>
      <c r="AA1940" s="62"/>
      <c r="AB1940" s="98"/>
      <c r="AC1940" s="62"/>
      <c r="AD1940" s="62"/>
      <c r="AE1940" s="62"/>
      <c r="AF1940" s="62"/>
      <c r="AG1940" s="66"/>
      <c r="AH1940" s="62"/>
      <c r="AI1940" s="62"/>
      <c r="AJ1940" s="62"/>
      <c r="AK1940" s="62"/>
      <c r="AL1940" s="66"/>
      <c r="AM1940" s="62"/>
      <c r="AN1940" s="62"/>
      <c r="AO1940" s="62"/>
      <c r="AP1940" s="62"/>
      <c r="AQ1940" s="66"/>
      <c r="AR1940" s="62"/>
      <c r="AS1940" s="62"/>
      <c r="AT1940" s="62"/>
      <c r="AU1940" s="62"/>
      <c r="AV1940" s="66"/>
      <c r="AW1940" s="97"/>
    </row>
    <row r="1941" spans="23:49" x14ac:dyDescent="0.15">
      <c r="W1941" s="12"/>
      <c r="X1941" s="62"/>
      <c r="Y1941" s="62"/>
      <c r="Z1941" s="62"/>
      <c r="AA1941" s="62"/>
      <c r="AB1941" s="98"/>
      <c r="AC1941" s="62"/>
      <c r="AD1941" s="62"/>
      <c r="AE1941" s="62"/>
      <c r="AF1941" s="62"/>
      <c r="AG1941" s="66"/>
      <c r="AH1941" s="62"/>
      <c r="AI1941" s="62"/>
      <c r="AJ1941" s="62"/>
      <c r="AK1941" s="62"/>
      <c r="AL1941" s="66"/>
      <c r="AM1941" s="62"/>
      <c r="AN1941" s="62"/>
      <c r="AO1941" s="62"/>
      <c r="AP1941" s="62"/>
      <c r="AQ1941" s="66"/>
      <c r="AR1941" s="62"/>
      <c r="AS1941" s="62"/>
      <c r="AT1941" s="62"/>
      <c r="AU1941" s="62"/>
      <c r="AV1941" s="66"/>
      <c r="AW1941" s="97"/>
    </row>
    <row r="1942" spans="23:49" x14ac:dyDescent="0.15">
      <c r="W1942" s="12"/>
      <c r="X1942" s="62"/>
      <c r="Y1942" s="62"/>
      <c r="Z1942" s="62"/>
      <c r="AA1942" s="62"/>
      <c r="AB1942" s="98"/>
      <c r="AC1942" s="62"/>
      <c r="AD1942" s="62"/>
      <c r="AE1942" s="62"/>
      <c r="AF1942" s="62"/>
      <c r="AG1942" s="66"/>
      <c r="AH1942" s="62"/>
      <c r="AI1942" s="62"/>
      <c r="AJ1942" s="62"/>
      <c r="AK1942" s="62"/>
      <c r="AL1942" s="66"/>
      <c r="AM1942" s="62"/>
      <c r="AN1942" s="62"/>
      <c r="AO1942" s="62"/>
      <c r="AP1942" s="62"/>
      <c r="AQ1942" s="66"/>
      <c r="AR1942" s="62"/>
      <c r="AS1942" s="62"/>
      <c r="AT1942" s="62"/>
      <c r="AU1942" s="62"/>
      <c r="AV1942" s="66"/>
      <c r="AW1942" s="97"/>
    </row>
    <row r="1943" spans="23:49" x14ac:dyDescent="0.15">
      <c r="W1943" s="12"/>
      <c r="X1943" s="62"/>
      <c r="Y1943" s="62"/>
      <c r="Z1943" s="62"/>
      <c r="AA1943" s="62"/>
      <c r="AB1943" s="98"/>
      <c r="AC1943" s="62"/>
      <c r="AD1943" s="62"/>
      <c r="AE1943" s="62"/>
      <c r="AF1943" s="62"/>
      <c r="AG1943" s="66"/>
      <c r="AH1943" s="62"/>
      <c r="AI1943" s="62"/>
      <c r="AJ1943" s="62"/>
      <c r="AK1943" s="62"/>
      <c r="AL1943" s="66"/>
      <c r="AM1943" s="62"/>
      <c r="AN1943" s="62"/>
      <c r="AO1943" s="62"/>
      <c r="AP1943" s="62"/>
      <c r="AQ1943" s="66"/>
      <c r="AR1943" s="62"/>
      <c r="AS1943" s="62"/>
      <c r="AT1943" s="62"/>
      <c r="AU1943" s="62"/>
      <c r="AV1943" s="66"/>
      <c r="AW1943" s="97"/>
    </row>
    <row r="1944" spans="23:49" x14ac:dyDescent="0.15">
      <c r="W1944" s="12"/>
      <c r="X1944" s="62"/>
      <c r="Y1944" s="62"/>
      <c r="Z1944" s="62"/>
      <c r="AA1944" s="62"/>
      <c r="AB1944" s="98"/>
      <c r="AC1944" s="62"/>
      <c r="AD1944" s="62"/>
      <c r="AE1944" s="62"/>
      <c r="AF1944" s="62"/>
      <c r="AG1944" s="66"/>
      <c r="AH1944" s="62"/>
      <c r="AI1944" s="62"/>
      <c r="AJ1944" s="62"/>
      <c r="AK1944" s="62"/>
      <c r="AL1944" s="66"/>
      <c r="AM1944" s="62"/>
      <c r="AN1944" s="62"/>
      <c r="AO1944" s="62"/>
      <c r="AP1944" s="62"/>
      <c r="AQ1944" s="66"/>
      <c r="AR1944" s="62"/>
      <c r="AS1944" s="62"/>
      <c r="AT1944" s="62"/>
      <c r="AU1944" s="62"/>
      <c r="AV1944" s="66"/>
      <c r="AW1944" s="97"/>
    </row>
    <row r="1945" spans="23:49" x14ac:dyDescent="0.15">
      <c r="W1945" s="12"/>
      <c r="X1945" s="62"/>
      <c r="Y1945" s="62"/>
      <c r="Z1945" s="62"/>
      <c r="AA1945" s="62"/>
      <c r="AB1945" s="98"/>
      <c r="AC1945" s="62"/>
      <c r="AD1945" s="62"/>
      <c r="AE1945" s="62"/>
      <c r="AF1945" s="62"/>
      <c r="AG1945" s="66"/>
      <c r="AH1945" s="62"/>
      <c r="AI1945" s="62"/>
      <c r="AJ1945" s="62"/>
      <c r="AK1945" s="62"/>
      <c r="AL1945" s="66"/>
      <c r="AM1945" s="62"/>
      <c r="AN1945" s="62"/>
      <c r="AO1945" s="62"/>
      <c r="AP1945" s="62"/>
      <c r="AQ1945" s="66"/>
      <c r="AR1945" s="62"/>
      <c r="AS1945" s="62"/>
      <c r="AT1945" s="62"/>
      <c r="AU1945" s="62"/>
      <c r="AV1945" s="66"/>
      <c r="AW1945" s="97"/>
    </row>
    <row r="1946" spans="23:49" x14ac:dyDescent="0.15">
      <c r="W1946" s="12"/>
      <c r="X1946" s="62"/>
      <c r="Y1946" s="62"/>
      <c r="Z1946" s="62"/>
      <c r="AA1946" s="62"/>
      <c r="AB1946" s="98"/>
      <c r="AC1946" s="62"/>
      <c r="AD1946" s="62"/>
      <c r="AE1946" s="62"/>
      <c r="AF1946" s="62"/>
      <c r="AG1946" s="66"/>
      <c r="AH1946" s="62"/>
      <c r="AI1946" s="62"/>
      <c r="AJ1946" s="62"/>
      <c r="AK1946" s="62"/>
      <c r="AL1946" s="66"/>
      <c r="AM1946" s="62"/>
      <c r="AN1946" s="62"/>
      <c r="AO1946" s="62"/>
      <c r="AP1946" s="62"/>
      <c r="AQ1946" s="66"/>
      <c r="AR1946" s="62"/>
      <c r="AS1946" s="62"/>
      <c r="AT1946" s="62"/>
      <c r="AU1946" s="62"/>
      <c r="AV1946" s="66"/>
      <c r="AW1946" s="97"/>
    </row>
    <row r="1947" spans="23:49" x14ac:dyDescent="0.15">
      <c r="W1947" s="12"/>
      <c r="X1947" s="62"/>
      <c r="Y1947" s="62"/>
      <c r="Z1947" s="62"/>
      <c r="AA1947" s="62"/>
      <c r="AB1947" s="98"/>
      <c r="AC1947" s="62"/>
      <c r="AD1947" s="62"/>
      <c r="AE1947" s="62"/>
      <c r="AF1947" s="62"/>
      <c r="AG1947" s="66"/>
      <c r="AH1947" s="62"/>
      <c r="AI1947" s="62"/>
      <c r="AJ1947" s="62"/>
      <c r="AK1947" s="62"/>
      <c r="AL1947" s="66"/>
      <c r="AM1947" s="62"/>
      <c r="AN1947" s="62"/>
      <c r="AO1947" s="62"/>
      <c r="AP1947" s="62"/>
      <c r="AQ1947" s="66"/>
      <c r="AR1947" s="62"/>
      <c r="AS1947" s="62"/>
      <c r="AT1947" s="62"/>
      <c r="AU1947" s="62"/>
      <c r="AV1947" s="66"/>
      <c r="AW1947" s="97"/>
    </row>
    <row r="1948" spans="23:49" x14ac:dyDescent="0.15">
      <c r="W1948" s="12"/>
      <c r="X1948" s="62"/>
      <c r="Y1948" s="62"/>
      <c r="Z1948" s="62"/>
      <c r="AA1948" s="62"/>
      <c r="AB1948" s="98"/>
      <c r="AC1948" s="62"/>
      <c r="AD1948" s="62"/>
      <c r="AE1948" s="62"/>
      <c r="AF1948" s="62"/>
      <c r="AG1948" s="66"/>
      <c r="AH1948" s="62"/>
      <c r="AI1948" s="62"/>
      <c r="AJ1948" s="62"/>
      <c r="AK1948" s="62"/>
      <c r="AL1948" s="66"/>
      <c r="AM1948" s="62"/>
      <c r="AN1948" s="62"/>
      <c r="AO1948" s="62"/>
      <c r="AP1948" s="62"/>
      <c r="AQ1948" s="66"/>
      <c r="AR1948" s="62"/>
      <c r="AS1948" s="62"/>
      <c r="AT1948" s="62"/>
      <c r="AU1948" s="62"/>
      <c r="AV1948" s="66"/>
      <c r="AW1948" s="97"/>
    </row>
    <row r="1949" spans="23:49" x14ac:dyDescent="0.15">
      <c r="W1949" s="12"/>
      <c r="X1949" s="62"/>
      <c r="Y1949" s="62"/>
      <c r="Z1949" s="62"/>
      <c r="AA1949" s="62"/>
      <c r="AB1949" s="98"/>
      <c r="AC1949" s="62"/>
      <c r="AD1949" s="62"/>
      <c r="AE1949" s="62"/>
      <c r="AF1949" s="62"/>
      <c r="AG1949" s="66"/>
      <c r="AH1949" s="62"/>
      <c r="AI1949" s="62"/>
      <c r="AJ1949" s="62"/>
      <c r="AK1949" s="62"/>
      <c r="AL1949" s="66"/>
      <c r="AM1949" s="62"/>
      <c r="AN1949" s="62"/>
      <c r="AO1949" s="62"/>
      <c r="AP1949" s="62"/>
      <c r="AQ1949" s="66"/>
      <c r="AR1949" s="62"/>
      <c r="AS1949" s="62"/>
      <c r="AT1949" s="62"/>
      <c r="AU1949" s="62"/>
      <c r="AV1949" s="66"/>
      <c r="AW1949" s="97"/>
    </row>
    <row r="1950" spans="23:49" x14ac:dyDescent="0.15">
      <c r="W1950" s="12"/>
      <c r="X1950" s="62"/>
      <c r="Y1950" s="62"/>
      <c r="Z1950" s="62"/>
      <c r="AA1950" s="62"/>
      <c r="AB1950" s="98"/>
      <c r="AC1950" s="62"/>
      <c r="AD1950" s="62"/>
      <c r="AE1950" s="62"/>
      <c r="AF1950" s="62"/>
      <c r="AG1950" s="66"/>
      <c r="AH1950" s="62"/>
      <c r="AI1950" s="62"/>
      <c r="AJ1950" s="62"/>
      <c r="AK1950" s="62"/>
      <c r="AL1950" s="66"/>
      <c r="AM1950" s="62"/>
      <c r="AN1950" s="62"/>
      <c r="AO1950" s="62"/>
      <c r="AP1950" s="62"/>
      <c r="AQ1950" s="66"/>
      <c r="AR1950" s="62"/>
      <c r="AS1950" s="62"/>
      <c r="AT1950" s="62"/>
      <c r="AU1950" s="62"/>
      <c r="AV1950" s="66"/>
      <c r="AW1950" s="97"/>
    </row>
    <row r="1951" spans="23:49" x14ac:dyDescent="0.15">
      <c r="W1951" s="12"/>
      <c r="X1951" s="62"/>
      <c r="Y1951" s="62"/>
      <c r="Z1951" s="62"/>
      <c r="AA1951" s="62"/>
      <c r="AB1951" s="98"/>
      <c r="AC1951" s="62"/>
      <c r="AD1951" s="62"/>
      <c r="AE1951" s="62"/>
      <c r="AF1951" s="62"/>
      <c r="AG1951" s="66"/>
      <c r="AH1951" s="62"/>
      <c r="AI1951" s="62"/>
      <c r="AJ1951" s="62"/>
      <c r="AK1951" s="62"/>
      <c r="AL1951" s="66"/>
      <c r="AM1951" s="62"/>
      <c r="AN1951" s="62"/>
      <c r="AO1951" s="62"/>
      <c r="AP1951" s="62"/>
      <c r="AQ1951" s="66"/>
      <c r="AR1951" s="62"/>
      <c r="AS1951" s="62"/>
      <c r="AT1951" s="62"/>
      <c r="AU1951" s="62"/>
      <c r="AV1951" s="66"/>
      <c r="AW1951" s="97"/>
    </row>
    <row r="1952" spans="23:49" x14ac:dyDescent="0.15">
      <c r="W1952" s="12"/>
      <c r="X1952" s="62"/>
      <c r="Y1952" s="62"/>
      <c r="Z1952" s="62"/>
      <c r="AA1952" s="62"/>
      <c r="AB1952" s="98"/>
      <c r="AC1952" s="62"/>
      <c r="AD1952" s="62"/>
      <c r="AE1952" s="62"/>
      <c r="AF1952" s="62"/>
      <c r="AG1952" s="66"/>
      <c r="AH1952" s="62"/>
      <c r="AI1952" s="62"/>
      <c r="AJ1952" s="62"/>
      <c r="AK1952" s="62"/>
      <c r="AL1952" s="66"/>
      <c r="AM1952" s="62"/>
      <c r="AN1952" s="62"/>
      <c r="AO1952" s="62"/>
      <c r="AP1952" s="62"/>
      <c r="AQ1952" s="66"/>
      <c r="AR1952" s="62"/>
      <c r="AS1952" s="62"/>
      <c r="AT1952" s="62"/>
      <c r="AU1952" s="62"/>
      <c r="AV1952" s="66"/>
      <c r="AW1952" s="97"/>
    </row>
    <row r="1953" spans="23:49" x14ac:dyDescent="0.15">
      <c r="W1953" s="12"/>
      <c r="X1953" s="62"/>
      <c r="Y1953" s="62"/>
      <c r="Z1953" s="62"/>
      <c r="AA1953" s="62"/>
      <c r="AB1953" s="98"/>
      <c r="AC1953" s="62"/>
      <c r="AD1953" s="62"/>
      <c r="AE1953" s="62"/>
      <c r="AF1953" s="62"/>
      <c r="AG1953" s="66"/>
      <c r="AH1953" s="62"/>
      <c r="AI1953" s="62"/>
      <c r="AJ1953" s="62"/>
      <c r="AK1953" s="62"/>
      <c r="AL1953" s="66"/>
      <c r="AM1953" s="62"/>
      <c r="AN1953" s="62"/>
      <c r="AO1953" s="62"/>
      <c r="AP1953" s="62"/>
      <c r="AQ1953" s="66"/>
      <c r="AR1953" s="62"/>
      <c r="AS1953" s="62"/>
      <c r="AT1953" s="62"/>
      <c r="AU1953" s="62"/>
      <c r="AV1953" s="66"/>
      <c r="AW1953" s="97"/>
    </row>
    <row r="1954" spans="23:49" x14ac:dyDescent="0.15">
      <c r="W1954" s="12"/>
      <c r="X1954" s="62"/>
      <c r="Y1954" s="62"/>
      <c r="Z1954" s="62"/>
      <c r="AA1954" s="62"/>
      <c r="AB1954" s="98"/>
      <c r="AC1954" s="62"/>
      <c r="AD1954" s="62"/>
      <c r="AE1954" s="62"/>
      <c r="AF1954" s="62"/>
      <c r="AG1954" s="66"/>
      <c r="AH1954" s="62"/>
      <c r="AI1954" s="62"/>
      <c r="AJ1954" s="62"/>
      <c r="AK1954" s="62"/>
      <c r="AL1954" s="66"/>
      <c r="AM1954" s="62"/>
      <c r="AN1954" s="62"/>
      <c r="AO1954" s="62"/>
      <c r="AP1954" s="62"/>
      <c r="AQ1954" s="66"/>
      <c r="AR1954" s="62"/>
      <c r="AS1954" s="62"/>
      <c r="AT1954" s="62"/>
      <c r="AU1954" s="62"/>
      <c r="AV1954" s="66"/>
      <c r="AW1954" s="97"/>
    </row>
    <row r="1955" spans="23:49" x14ac:dyDescent="0.15">
      <c r="W1955" s="12"/>
      <c r="X1955" s="62"/>
      <c r="Y1955" s="62"/>
      <c r="Z1955" s="62"/>
      <c r="AA1955" s="62"/>
      <c r="AB1955" s="98"/>
      <c r="AC1955" s="62"/>
      <c r="AD1955" s="62"/>
      <c r="AE1955" s="62"/>
      <c r="AF1955" s="62"/>
      <c r="AG1955" s="66"/>
      <c r="AH1955" s="62"/>
      <c r="AI1955" s="62"/>
      <c r="AJ1955" s="62"/>
      <c r="AK1955" s="62"/>
      <c r="AL1955" s="66"/>
      <c r="AM1955" s="62"/>
      <c r="AN1955" s="62"/>
      <c r="AO1955" s="62"/>
      <c r="AP1955" s="62"/>
      <c r="AQ1955" s="66"/>
      <c r="AR1955" s="62"/>
      <c r="AS1955" s="62"/>
      <c r="AT1955" s="62"/>
      <c r="AU1955" s="62"/>
      <c r="AV1955" s="66"/>
      <c r="AW1955" s="97"/>
    </row>
    <row r="1956" spans="23:49" x14ac:dyDescent="0.15">
      <c r="W1956" s="12"/>
      <c r="X1956" s="62"/>
      <c r="Y1956" s="62"/>
      <c r="Z1956" s="62"/>
      <c r="AA1956" s="62"/>
      <c r="AB1956" s="98"/>
      <c r="AC1956" s="62"/>
      <c r="AD1956" s="62"/>
      <c r="AE1956" s="62"/>
      <c r="AF1956" s="62"/>
      <c r="AG1956" s="66"/>
      <c r="AH1956" s="62"/>
      <c r="AI1956" s="62"/>
      <c r="AJ1956" s="62"/>
      <c r="AK1956" s="62"/>
      <c r="AL1956" s="66"/>
      <c r="AM1956" s="62"/>
      <c r="AN1956" s="62"/>
      <c r="AO1956" s="62"/>
      <c r="AP1956" s="62"/>
      <c r="AQ1956" s="66"/>
      <c r="AR1956" s="62"/>
      <c r="AS1956" s="62"/>
      <c r="AT1956" s="62"/>
      <c r="AU1956" s="62"/>
      <c r="AV1956" s="66"/>
      <c r="AW1956" s="97"/>
    </row>
    <row r="1957" spans="23:49" x14ac:dyDescent="0.15">
      <c r="W1957" s="12"/>
      <c r="X1957" s="62"/>
      <c r="Y1957" s="62"/>
      <c r="Z1957" s="62"/>
      <c r="AA1957" s="62"/>
      <c r="AB1957" s="98"/>
      <c r="AC1957" s="62"/>
      <c r="AD1957" s="62"/>
      <c r="AE1957" s="62"/>
      <c r="AF1957" s="62"/>
      <c r="AG1957" s="66"/>
      <c r="AH1957" s="62"/>
      <c r="AI1957" s="62"/>
      <c r="AJ1957" s="62"/>
      <c r="AK1957" s="62"/>
      <c r="AL1957" s="66"/>
      <c r="AM1957" s="62"/>
      <c r="AN1957" s="62"/>
      <c r="AO1957" s="62"/>
      <c r="AP1957" s="62"/>
      <c r="AQ1957" s="66"/>
      <c r="AR1957" s="62"/>
      <c r="AS1957" s="62"/>
      <c r="AT1957" s="62"/>
      <c r="AU1957" s="62"/>
      <c r="AV1957" s="66"/>
      <c r="AW1957" s="97"/>
    </row>
    <row r="1958" spans="23:49" x14ac:dyDescent="0.15">
      <c r="W1958" s="12"/>
      <c r="X1958" s="62"/>
      <c r="Y1958" s="62"/>
      <c r="Z1958" s="62"/>
      <c r="AA1958" s="62"/>
      <c r="AB1958" s="98"/>
      <c r="AC1958" s="62"/>
      <c r="AD1958" s="62"/>
      <c r="AE1958" s="62"/>
      <c r="AF1958" s="62"/>
      <c r="AG1958" s="66"/>
      <c r="AH1958" s="62"/>
      <c r="AI1958" s="62"/>
      <c r="AJ1958" s="62"/>
      <c r="AK1958" s="62"/>
      <c r="AL1958" s="66"/>
      <c r="AM1958" s="62"/>
      <c r="AN1958" s="62"/>
      <c r="AO1958" s="62"/>
      <c r="AP1958" s="62"/>
      <c r="AQ1958" s="66"/>
      <c r="AR1958" s="62"/>
      <c r="AS1958" s="62"/>
      <c r="AT1958" s="62"/>
      <c r="AU1958" s="62"/>
      <c r="AV1958" s="66"/>
      <c r="AW1958" s="97"/>
    </row>
    <row r="1959" spans="23:49" x14ac:dyDescent="0.15">
      <c r="W1959" s="12"/>
      <c r="X1959" s="62"/>
      <c r="Y1959" s="62"/>
      <c r="Z1959" s="62"/>
      <c r="AA1959" s="62"/>
      <c r="AB1959" s="98"/>
      <c r="AC1959" s="62"/>
      <c r="AD1959" s="62"/>
      <c r="AE1959" s="62"/>
      <c r="AF1959" s="62"/>
      <c r="AG1959" s="66"/>
      <c r="AH1959" s="62"/>
      <c r="AI1959" s="62"/>
      <c r="AJ1959" s="62"/>
      <c r="AK1959" s="62"/>
      <c r="AL1959" s="66"/>
      <c r="AM1959" s="62"/>
      <c r="AN1959" s="62"/>
      <c r="AO1959" s="62"/>
      <c r="AP1959" s="62"/>
      <c r="AQ1959" s="66"/>
      <c r="AR1959" s="62"/>
      <c r="AS1959" s="62"/>
      <c r="AT1959" s="62"/>
      <c r="AU1959" s="62"/>
      <c r="AV1959" s="66"/>
      <c r="AW1959" s="97"/>
    </row>
    <row r="1960" spans="23:49" x14ac:dyDescent="0.15">
      <c r="W1960" s="12"/>
      <c r="X1960" s="62"/>
      <c r="Y1960" s="62"/>
      <c r="Z1960" s="62"/>
      <c r="AA1960" s="62"/>
      <c r="AB1960" s="98"/>
      <c r="AC1960" s="62"/>
      <c r="AD1960" s="62"/>
      <c r="AE1960" s="62"/>
      <c r="AF1960" s="62"/>
      <c r="AG1960" s="66"/>
      <c r="AH1960" s="62"/>
      <c r="AI1960" s="62"/>
      <c r="AJ1960" s="62"/>
      <c r="AK1960" s="62"/>
      <c r="AL1960" s="66"/>
      <c r="AM1960" s="62"/>
      <c r="AN1960" s="62"/>
      <c r="AO1960" s="62"/>
      <c r="AP1960" s="62"/>
      <c r="AQ1960" s="66"/>
      <c r="AR1960" s="62"/>
      <c r="AS1960" s="62"/>
      <c r="AT1960" s="62"/>
      <c r="AU1960" s="62"/>
      <c r="AV1960" s="66"/>
      <c r="AW1960" s="97"/>
    </row>
    <row r="1961" spans="23:49" x14ac:dyDescent="0.15">
      <c r="W1961" s="12"/>
      <c r="X1961" s="62"/>
      <c r="Y1961" s="62"/>
      <c r="Z1961" s="62"/>
      <c r="AA1961" s="62"/>
      <c r="AB1961" s="98"/>
      <c r="AC1961" s="62"/>
      <c r="AD1961" s="62"/>
      <c r="AE1961" s="62"/>
      <c r="AF1961" s="62"/>
      <c r="AG1961" s="66"/>
      <c r="AH1961" s="62"/>
      <c r="AI1961" s="62"/>
      <c r="AJ1961" s="62"/>
      <c r="AK1961" s="62"/>
      <c r="AL1961" s="66"/>
      <c r="AM1961" s="62"/>
      <c r="AN1961" s="62"/>
      <c r="AO1961" s="62"/>
      <c r="AP1961" s="62"/>
      <c r="AQ1961" s="66"/>
      <c r="AR1961" s="62"/>
      <c r="AS1961" s="62"/>
      <c r="AT1961" s="62"/>
      <c r="AU1961" s="62"/>
      <c r="AV1961" s="66"/>
      <c r="AW1961" s="97"/>
    </row>
    <row r="1962" spans="23:49" x14ac:dyDescent="0.15">
      <c r="W1962" s="12"/>
      <c r="X1962" s="62"/>
      <c r="Y1962" s="62"/>
      <c r="Z1962" s="62"/>
      <c r="AA1962" s="62"/>
      <c r="AB1962" s="98"/>
      <c r="AC1962" s="62"/>
      <c r="AD1962" s="62"/>
      <c r="AE1962" s="62"/>
      <c r="AF1962" s="62"/>
      <c r="AG1962" s="66"/>
      <c r="AH1962" s="62"/>
      <c r="AI1962" s="62"/>
      <c r="AJ1962" s="62"/>
      <c r="AK1962" s="62"/>
      <c r="AL1962" s="66"/>
      <c r="AM1962" s="62"/>
      <c r="AN1962" s="62"/>
      <c r="AO1962" s="62"/>
      <c r="AP1962" s="62"/>
      <c r="AQ1962" s="66"/>
      <c r="AR1962" s="62"/>
      <c r="AS1962" s="62"/>
      <c r="AT1962" s="62"/>
      <c r="AU1962" s="62"/>
      <c r="AV1962" s="66"/>
      <c r="AW1962" s="97"/>
    </row>
    <row r="1963" spans="23:49" x14ac:dyDescent="0.15">
      <c r="W1963" s="12"/>
      <c r="X1963" s="62"/>
      <c r="Y1963" s="62"/>
      <c r="Z1963" s="62"/>
      <c r="AA1963" s="62"/>
      <c r="AB1963" s="98"/>
      <c r="AC1963" s="62"/>
      <c r="AD1963" s="62"/>
      <c r="AE1963" s="62"/>
      <c r="AF1963" s="62"/>
      <c r="AG1963" s="66"/>
      <c r="AH1963" s="62"/>
      <c r="AI1963" s="62"/>
      <c r="AJ1963" s="62"/>
      <c r="AK1963" s="62"/>
      <c r="AL1963" s="66"/>
      <c r="AM1963" s="62"/>
      <c r="AN1963" s="62"/>
      <c r="AO1963" s="62"/>
      <c r="AP1963" s="62"/>
      <c r="AQ1963" s="66"/>
      <c r="AR1963" s="62"/>
      <c r="AS1963" s="62"/>
      <c r="AT1963" s="62"/>
      <c r="AU1963" s="62"/>
      <c r="AV1963" s="66"/>
      <c r="AW1963" s="97"/>
    </row>
    <row r="1964" spans="23:49" x14ac:dyDescent="0.15">
      <c r="W1964" s="12"/>
      <c r="X1964" s="62"/>
      <c r="Y1964" s="62"/>
      <c r="Z1964" s="62"/>
      <c r="AA1964" s="62"/>
      <c r="AB1964" s="98"/>
      <c r="AC1964" s="62"/>
      <c r="AD1964" s="62"/>
      <c r="AE1964" s="62"/>
      <c r="AF1964" s="62"/>
      <c r="AG1964" s="66"/>
      <c r="AH1964" s="62"/>
      <c r="AI1964" s="62"/>
      <c r="AJ1964" s="62"/>
      <c r="AK1964" s="62"/>
      <c r="AL1964" s="66"/>
      <c r="AM1964" s="62"/>
      <c r="AN1964" s="62"/>
      <c r="AO1964" s="62"/>
      <c r="AP1964" s="62"/>
      <c r="AQ1964" s="66"/>
      <c r="AR1964" s="62"/>
      <c r="AS1964" s="62"/>
      <c r="AT1964" s="62"/>
      <c r="AU1964" s="62"/>
      <c r="AV1964" s="66"/>
      <c r="AW1964" s="97"/>
    </row>
    <row r="1965" spans="23:49" x14ac:dyDescent="0.15">
      <c r="W1965" s="12"/>
      <c r="X1965" s="62"/>
      <c r="Y1965" s="62"/>
      <c r="Z1965" s="62"/>
      <c r="AA1965" s="62"/>
      <c r="AB1965" s="98"/>
      <c r="AC1965" s="62"/>
      <c r="AD1965" s="62"/>
      <c r="AE1965" s="62"/>
      <c r="AF1965" s="62"/>
      <c r="AG1965" s="66"/>
      <c r="AH1965" s="62"/>
      <c r="AI1965" s="62"/>
      <c r="AJ1965" s="62"/>
      <c r="AK1965" s="62"/>
      <c r="AL1965" s="66"/>
      <c r="AM1965" s="62"/>
      <c r="AN1965" s="62"/>
      <c r="AO1965" s="62"/>
      <c r="AP1965" s="62"/>
      <c r="AQ1965" s="66"/>
      <c r="AR1965" s="62"/>
      <c r="AS1965" s="62"/>
      <c r="AT1965" s="62"/>
      <c r="AU1965" s="62"/>
      <c r="AV1965" s="66"/>
      <c r="AW1965" s="97"/>
    </row>
    <row r="1966" spans="23:49" x14ac:dyDescent="0.15">
      <c r="W1966" s="12"/>
      <c r="X1966" s="62"/>
      <c r="Y1966" s="62"/>
      <c r="Z1966" s="62"/>
      <c r="AA1966" s="62"/>
      <c r="AB1966" s="98"/>
      <c r="AC1966" s="62"/>
      <c r="AD1966" s="62"/>
      <c r="AE1966" s="62"/>
      <c r="AF1966" s="62"/>
      <c r="AG1966" s="66"/>
      <c r="AH1966" s="62"/>
      <c r="AI1966" s="62"/>
      <c r="AJ1966" s="62"/>
      <c r="AK1966" s="62"/>
      <c r="AL1966" s="66"/>
      <c r="AM1966" s="62"/>
      <c r="AN1966" s="62"/>
      <c r="AO1966" s="62"/>
      <c r="AP1966" s="62"/>
      <c r="AQ1966" s="66"/>
      <c r="AR1966" s="62"/>
      <c r="AS1966" s="62"/>
      <c r="AT1966" s="62"/>
      <c r="AU1966" s="62"/>
      <c r="AV1966" s="66"/>
      <c r="AW1966" s="97"/>
    </row>
    <row r="1967" spans="23:49" x14ac:dyDescent="0.15">
      <c r="W1967" s="12"/>
      <c r="X1967" s="62"/>
      <c r="Y1967" s="62"/>
      <c r="Z1967" s="62"/>
      <c r="AA1967" s="62"/>
      <c r="AB1967" s="98"/>
      <c r="AC1967" s="62"/>
      <c r="AD1967" s="62"/>
      <c r="AE1967" s="62"/>
      <c r="AF1967" s="62"/>
      <c r="AG1967" s="66"/>
      <c r="AH1967" s="62"/>
      <c r="AI1967" s="62"/>
      <c r="AJ1967" s="62"/>
      <c r="AK1967" s="62"/>
      <c r="AL1967" s="66"/>
      <c r="AM1967" s="62"/>
      <c r="AN1967" s="62"/>
      <c r="AO1967" s="62"/>
      <c r="AP1967" s="62"/>
      <c r="AQ1967" s="66"/>
      <c r="AR1967" s="62"/>
      <c r="AS1967" s="62"/>
      <c r="AT1967" s="62"/>
      <c r="AU1967" s="62"/>
      <c r="AV1967" s="66"/>
      <c r="AW1967" s="97"/>
    </row>
    <row r="1968" spans="23:49" x14ac:dyDescent="0.15">
      <c r="W1968" s="12"/>
      <c r="X1968" s="62"/>
      <c r="Y1968" s="62"/>
      <c r="Z1968" s="62"/>
      <c r="AA1968" s="62"/>
      <c r="AB1968" s="98"/>
      <c r="AC1968" s="62"/>
      <c r="AD1968" s="62"/>
      <c r="AE1968" s="62"/>
      <c r="AF1968" s="62"/>
      <c r="AG1968" s="66"/>
      <c r="AH1968" s="62"/>
      <c r="AI1968" s="62"/>
      <c r="AJ1968" s="62"/>
      <c r="AK1968" s="62"/>
      <c r="AL1968" s="66"/>
      <c r="AM1968" s="62"/>
      <c r="AN1968" s="62"/>
      <c r="AO1968" s="62"/>
      <c r="AP1968" s="62"/>
      <c r="AQ1968" s="66"/>
      <c r="AR1968" s="62"/>
      <c r="AS1968" s="62"/>
      <c r="AT1968" s="62"/>
      <c r="AU1968" s="62"/>
      <c r="AV1968" s="66"/>
      <c r="AW1968" s="97"/>
    </row>
    <row r="1969" spans="23:49" x14ac:dyDescent="0.15">
      <c r="W1969" s="12"/>
      <c r="X1969" s="62"/>
      <c r="Y1969" s="62"/>
      <c r="Z1969" s="62"/>
      <c r="AA1969" s="62"/>
      <c r="AB1969" s="98"/>
      <c r="AC1969" s="62"/>
      <c r="AD1969" s="62"/>
      <c r="AE1969" s="62"/>
      <c r="AF1969" s="62"/>
      <c r="AG1969" s="66"/>
      <c r="AH1969" s="62"/>
      <c r="AI1969" s="62"/>
      <c r="AJ1969" s="62"/>
      <c r="AK1969" s="62"/>
      <c r="AL1969" s="66"/>
      <c r="AM1969" s="62"/>
      <c r="AN1969" s="62"/>
      <c r="AO1969" s="62"/>
      <c r="AP1969" s="62"/>
      <c r="AQ1969" s="66"/>
      <c r="AR1969" s="62"/>
      <c r="AS1969" s="62"/>
      <c r="AT1969" s="62"/>
      <c r="AU1969" s="62"/>
      <c r="AV1969" s="66"/>
      <c r="AW1969" s="97"/>
    </row>
    <row r="1970" spans="23:49" x14ac:dyDescent="0.15">
      <c r="W1970" s="12"/>
      <c r="X1970" s="62"/>
      <c r="Y1970" s="62"/>
      <c r="Z1970" s="62"/>
      <c r="AA1970" s="62"/>
      <c r="AB1970" s="98"/>
      <c r="AC1970" s="62"/>
      <c r="AD1970" s="62"/>
      <c r="AE1970" s="62"/>
      <c r="AF1970" s="62"/>
      <c r="AG1970" s="66"/>
      <c r="AH1970" s="62"/>
      <c r="AI1970" s="62"/>
      <c r="AJ1970" s="62"/>
      <c r="AK1970" s="62"/>
      <c r="AL1970" s="66"/>
      <c r="AM1970" s="62"/>
      <c r="AN1970" s="62"/>
      <c r="AO1970" s="62"/>
      <c r="AP1970" s="62"/>
      <c r="AQ1970" s="66"/>
      <c r="AR1970" s="62"/>
      <c r="AS1970" s="62"/>
      <c r="AT1970" s="62"/>
      <c r="AU1970" s="62"/>
      <c r="AV1970" s="66"/>
      <c r="AW1970" s="97"/>
    </row>
    <row r="1971" spans="23:49" x14ac:dyDescent="0.15">
      <c r="W1971" s="12"/>
      <c r="X1971" s="62"/>
      <c r="Y1971" s="62"/>
      <c r="Z1971" s="62"/>
      <c r="AA1971" s="62"/>
      <c r="AB1971" s="98"/>
      <c r="AC1971" s="62"/>
      <c r="AD1971" s="62"/>
      <c r="AE1971" s="62"/>
      <c r="AF1971" s="62"/>
      <c r="AG1971" s="66"/>
      <c r="AH1971" s="62"/>
      <c r="AI1971" s="62"/>
      <c r="AJ1971" s="62"/>
      <c r="AK1971" s="62"/>
      <c r="AL1971" s="66"/>
      <c r="AM1971" s="62"/>
      <c r="AN1971" s="62"/>
      <c r="AO1971" s="62"/>
      <c r="AP1971" s="62"/>
      <c r="AQ1971" s="66"/>
      <c r="AR1971" s="62"/>
      <c r="AS1971" s="62"/>
      <c r="AT1971" s="62"/>
      <c r="AU1971" s="62"/>
      <c r="AV1971" s="66"/>
      <c r="AW1971" s="97"/>
    </row>
    <row r="1972" spans="23:49" x14ac:dyDescent="0.15">
      <c r="W1972" s="12"/>
      <c r="X1972" s="62"/>
      <c r="Y1972" s="62"/>
      <c r="Z1972" s="62"/>
      <c r="AA1972" s="62"/>
      <c r="AB1972" s="98"/>
      <c r="AC1972" s="62"/>
      <c r="AD1972" s="62"/>
      <c r="AE1972" s="62"/>
      <c r="AF1972" s="62"/>
      <c r="AG1972" s="66"/>
      <c r="AH1972" s="62"/>
      <c r="AI1972" s="62"/>
      <c r="AJ1972" s="62"/>
      <c r="AK1972" s="62"/>
      <c r="AL1972" s="66"/>
      <c r="AM1972" s="62"/>
      <c r="AN1972" s="62"/>
      <c r="AO1972" s="62"/>
      <c r="AP1972" s="62"/>
      <c r="AQ1972" s="66"/>
      <c r="AR1972" s="62"/>
      <c r="AS1972" s="62"/>
      <c r="AT1972" s="62"/>
      <c r="AU1972" s="62"/>
      <c r="AV1972" s="66"/>
      <c r="AW1972" s="97"/>
    </row>
    <row r="1973" spans="23:49" x14ac:dyDescent="0.15">
      <c r="W1973" s="12"/>
      <c r="X1973" s="62"/>
      <c r="Y1973" s="62"/>
      <c r="Z1973" s="62"/>
      <c r="AA1973" s="62"/>
      <c r="AB1973" s="98"/>
      <c r="AC1973" s="62"/>
      <c r="AD1973" s="62"/>
      <c r="AE1973" s="62"/>
      <c r="AF1973" s="62"/>
      <c r="AG1973" s="66"/>
      <c r="AH1973" s="62"/>
      <c r="AI1973" s="62"/>
      <c r="AJ1973" s="62"/>
      <c r="AK1973" s="62"/>
      <c r="AL1973" s="66"/>
      <c r="AM1973" s="62"/>
      <c r="AN1973" s="62"/>
      <c r="AO1973" s="62"/>
      <c r="AP1973" s="62"/>
      <c r="AQ1973" s="66"/>
      <c r="AR1973" s="62"/>
      <c r="AS1973" s="62"/>
      <c r="AT1973" s="62"/>
      <c r="AU1973" s="62"/>
      <c r="AV1973" s="66"/>
      <c r="AW1973" s="97"/>
    </row>
    <row r="1974" spans="23:49" x14ac:dyDescent="0.15">
      <c r="W1974" s="12"/>
      <c r="X1974" s="62"/>
      <c r="Y1974" s="62"/>
      <c r="Z1974" s="62"/>
      <c r="AA1974" s="62"/>
      <c r="AB1974" s="98"/>
      <c r="AC1974" s="62"/>
      <c r="AD1974" s="62"/>
      <c r="AE1974" s="62"/>
      <c r="AF1974" s="62"/>
      <c r="AG1974" s="66"/>
      <c r="AH1974" s="62"/>
      <c r="AI1974" s="62"/>
      <c r="AJ1974" s="62"/>
      <c r="AK1974" s="62"/>
      <c r="AL1974" s="66"/>
      <c r="AM1974" s="62"/>
      <c r="AN1974" s="62"/>
      <c r="AO1974" s="62"/>
      <c r="AP1974" s="62"/>
      <c r="AQ1974" s="66"/>
      <c r="AR1974" s="62"/>
      <c r="AS1974" s="62"/>
      <c r="AT1974" s="62"/>
      <c r="AU1974" s="62"/>
      <c r="AV1974" s="66"/>
      <c r="AW1974" s="97"/>
    </row>
    <row r="1975" spans="23:49" x14ac:dyDescent="0.15">
      <c r="W1975" s="12"/>
      <c r="X1975" s="62"/>
      <c r="Y1975" s="62"/>
      <c r="Z1975" s="62"/>
      <c r="AA1975" s="62"/>
      <c r="AB1975" s="98"/>
      <c r="AC1975" s="62"/>
      <c r="AD1975" s="62"/>
      <c r="AE1975" s="62"/>
      <c r="AF1975" s="62"/>
      <c r="AG1975" s="66"/>
      <c r="AH1975" s="62"/>
      <c r="AI1975" s="62"/>
      <c r="AJ1975" s="62"/>
      <c r="AK1975" s="62"/>
      <c r="AL1975" s="66"/>
      <c r="AM1975" s="62"/>
      <c r="AN1975" s="62"/>
      <c r="AO1975" s="62"/>
      <c r="AP1975" s="62"/>
      <c r="AQ1975" s="66"/>
      <c r="AR1975" s="62"/>
      <c r="AS1975" s="62"/>
      <c r="AT1975" s="62"/>
      <c r="AU1975" s="62"/>
      <c r="AV1975" s="66"/>
      <c r="AW1975" s="97"/>
    </row>
    <row r="1976" spans="23:49" x14ac:dyDescent="0.15">
      <c r="W1976" s="12"/>
      <c r="X1976" s="62"/>
      <c r="Y1976" s="62"/>
      <c r="Z1976" s="62"/>
      <c r="AA1976" s="62"/>
      <c r="AB1976" s="98"/>
      <c r="AC1976" s="62"/>
      <c r="AD1976" s="62"/>
      <c r="AE1976" s="62"/>
      <c r="AF1976" s="62"/>
      <c r="AG1976" s="66"/>
      <c r="AH1976" s="62"/>
      <c r="AI1976" s="62"/>
      <c r="AJ1976" s="62"/>
      <c r="AK1976" s="62"/>
      <c r="AL1976" s="66"/>
      <c r="AM1976" s="62"/>
      <c r="AN1976" s="62"/>
      <c r="AO1976" s="62"/>
      <c r="AP1976" s="62"/>
      <c r="AQ1976" s="66"/>
      <c r="AR1976" s="62"/>
      <c r="AS1976" s="62"/>
      <c r="AT1976" s="62"/>
      <c r="AU1976" s="62"/>
      <c r="AV1976" s="66"/>
      <c r="AW1976" s="97"/>
    </row>
    <row r="1977" spans="23:49" x14ac:dyDescent="0.15">
      <c r="W1977" s="12"/>
      <c r="X1977" s="62"/>
      <c r="Y1977" s="62"/>
      <c r="Z1977" s="62"/>
      <c r="AA1977" s="62"/>
      <c r="AB1977" s="98"/>
      <c r="AC1977" s="62"/>
      <c r="AD1977" s="62"/>
      <c r="AE1977" s="62"/>
      <c r="AF1977" s="62"/>
      <c r="AG1977" s="66"/>
      <c r="AH1977" s="62"/>
      <c r="AI1977" s="62"/>
      <c r="AJ1977" s="62"/>
      <c r="AK1977" s="62"/>
      <c r="AL1977" s="66"/>
      <c r="AM1977" s="62"/>
      <c r="AN1977" s="62"/>
      <c r="AO1977" s="62"/>
      <c r="AP1977" s="62"/>
      <c r="AQ1977" s="66"/>
      <c r="AR1977" s="62"/>
      <c r="AS1977" s="62"/>
      <c r="AT1977" s="62"/>
      <c r="AU1977" s="62"/>
      <c r="AV1977" s="66"/>
      <c r="AW1977" s="97"/>
    </row>
    <row r="1978" spans="23:49" x14ac:dyDescent="0.15">
      <c r="W1978" s="12"/>
      <c r="X1978" s="62"/>
      <c r="Y1978" s="62"/>
      <c r="Z1978" s="62"/>
      <c r="AA1978" s="62"/>
      <c r="AB1978" s="98"/>
      <c r="AC1978" s="62"/>
      <c r="AD1978" s="62"/>
      <c r="AE1978" s="62"/>
      <c r="AF1978" s="62"/>
      <c r="AG1978" s="66"/>
      <c r="AH1978" s="62"/>
      <c r="AI1978" s="62"/>
      <c r="AJ1978" s="62"/>
      <c r="AK1978" s="62"/>
      <c r="AL1978" s="66"/>
      <c r="AM1978" s="62"/>
      <c r="AN1978" s="62"/>
      <c r="AO1978" s="62"/>
      <c r="AP1978" s="62"/>
      <c r="AQ1978" s="66"/>
      <c r="AR1978" s="62"/>
      <c r="AS1978" s="62"/>
      <c r="AT1978" s="62"/>
      <c r="AU1978" s="62"/>
      <c r="AV1978" s="66"/>
      <c r="AW1978" s="97"/>
    </row>
    <row r="1979" spans="23:49" x14ac:dyDescent="0.15">
      <c r="W1979" s="12"/>
      <c r="X1979" s="62"/>
      <c r="Y1979" s="62"/>
      <c r="Z1979" s="62"/>
      <c r="AA1979" s="62"/>
      <c r="AB1979" s="98"/>
      <c r="AC1979" s="62"/>
      <c r="AD1979" s="62"/>
      <c r="AE1979" s="62"/>
      <c r="AF1979" s="62"/>
      <c r="AG1979" s="66"/>
      <c r="AH1979" s="62"/>
      <c r="AI1979" s="62"/>
      <c r="AJ1979" s="62"/>
      <c r="AK1979" s="62"/>
      <c r="AL1979" s="66"/>
      <c r="AM1979" s="62"/>
      <c r="AN1979" s="62"/>
      <c r="AO1979" s="62"/>
      <c r="AP1979" s="62"/>
      <c r="AQ1979" s="66"/>
      <c r="AR1979" s="62"/>
      <c r="AS1979" s="62"/>
      <c r="AT1979" s="62"/>
      <c r="AU1979" s="62"/>
      <c r="AV1979" s="66"/>
      <c r="AW1979" s="97"/>
    </row>
    <row r="1980" spans="23:49" x14ac:dyDescent="0.15">
      <c r="W1980" s="12"/>
      <c r="X1980" s="62"/>
      <c r="Y1980" s="62"/>
      <c r="Z1980" s="62"/>
      <c r="AA1980" s="62"/>
      <c r="AB1980" s="98"/>
      <c r="AC1980" s="62"/>
      <c r="AD1980" s="62"/>
      <c r="AE1980" s="62"/>
      <c r="AF1980" s="62"/>
      <c r="AG1980" s="66"/>
      <c r="AH1980" s="62"/>
      <c r="AI1980" s="62"/>
      <c r="AJ1980" s="62"/>
      <c r="AK1980" s="62"/>
      <c r="AL1980" s="66"/>
      <c r="AM1980" s="62"/>
      <c r="AN1980" s="62"/>
      <c r="AO1980" s="62"/>
      <c r="AP1980" s="62"/>
      <c r="AQ1980" s="66"/>
      <c r="AR1980" s="62"/>
      <c r="AS1980" s="62"/>
      <c r="AT1980" s="62"/>
      <c r="AU1980" s="62"/>
      <c r="AV1980" s="66"/>
      <c r="AW1980" s="97"/>
    </row>
    <row r="1981" spans="23:49" x14ac:dyDescent="0.15">
      <c r="W1981" s="12"/>
      <c r="X1981" s="62"/>
      <c r="Y1981" s="62"/>
      <c r="Z1981" s="62"/>
      <c r="AA1981" s="62"/>
      <c r="AB1981" s="98"/>
      <c r="AC1981" s="62"/>
      <c r="AD1981" s="62"/>
      <c r="AE1981" s="62"/>
      <c r="AF1981" s="62"/>
      <c r="AG1981" s="66"/>
      <c r="AH1981" s="62"/>
      <c r="AI1981" s="62"/>
      <c r="AJ1981" s="62"/>
      <c r="AK1981" s="62"/>
      <c r="AL1981" s="66"/>
      <c r="AM1981" s="62"/>
      <c r="AN1981" s="62"/>
      <c r="AO1981" s="62"/>
      <c r="AP1981" s="62"/>
      <c r="AQ1981" s="66"/>
      <c r="AR1981" s="62"/>
      <c r="AS1981" s="62"/>
      <c r="AT1981" s="62"/>
      <c r="AU1981" s="62"/>
      <c r="AV1981" s="66"/>
      <c r="AW1981" s="97"/>
    </row>
    <row r="1982" spans="23:49" x14ac:dyDescent="0.15">
      <c r="W1982" s="12"/>
      <c r="X1982" s="62"/>
      <c r="Y1982" s="62"/>
      <c r="Z1982" s="62"/>
      <c r="AA1982" s="62"/>
      <c r="AB1982" s="98"/>
      <c r="AC1982" s="62"/>
      <c r="AD1982" s="62"/>
      <c r="AE1982" s="62"/>
      <c r="AF1982" s="62"/>
      <c r="AG1982" s="66"/>
      <c r="AH1982" s="62"/>
      <c r="AI1982" s="62"/>
      <c r="AJ1982" s="62"/>
      <c r="AK1982" s="62"/>
      <c r="AL1982" s="66"/>
      <c r="AM1982" s="62"/>
      <c r="AN1982" s="62"/>
      <c r="AO1982" s="62"/>
      <c r="AP1982" s="62"/>
      <c r="AQ1982" s="66"/>
      <c r="AR1982" s="62"/>
      <c r="AS1982" s="62"/>
      <c r="AT1982" s="62"/>
      <c r="AU1982" s="62"/>
      <c r="AV1982" s="66"/>
      <c r="AW1982" s="97"/>
    </row>
    <row r="1983" spans="23:49" x14ac:dyDescent="0.15">
      <c r="W1983" s="12"/>
      <c r="X1983" s="62"/>
      <c r="Y1983" s="62"/>
      <c r="Z1983" s="62"/>
      <c r="AA1983" s="62"/>
      <c r="AB1983" s="98"/>
      <c r="AC1983" s="62"/>
      <c r="AD1983" s="62"/>
      <c r="AE1983" s="62"/>
      <c r="AF1983" s="62"/>
      <c r="AG1983" s="66"/>
      <c r="AH1983" s="62"/>
      <c r="AI1983" s="62"/>
      <c r="AJ1983" s="62"/>
      <c r="AK1983" s="62"/>
      <c r="AL1983" s="66"/>
      <c r="AM1983" s="62"/>
      <c r="AN1983" s="62"/>
      <c r="AO1983" s="62"/>
      <c r="AP1983" s="62"/>
      <c r="AQ1983" s="66"/>
      <c r="AR1983" s="62"/>
      <c r="AS1983" s="62"/>
      <c r="AT1983" s="62"/>
      <c r="AU1983" s="62"/>
      <c r="AV1983" s="66"/>
      <c r="AW1983" s="97"/>
    </row>
    <row r="1984" spans="23:49" x14ac:dyDescent="0.15">
      <c r="W1984" s="12"/>
      <c r="X1984" s="62"/>
      <c r="Y1984" s="62"/>
      <c r="Z1984" s="62"/>
      <c r="AA1984" s="62"/>
      <c r="AB1984" s="98"/>
      <c r="AC1984" s="62"/>
      <c r="AD1984" s="62"/>
      <c r="AE1984" s="62"/>
      <c r="AF1984" s="62"/>
      <c r="AG1984" s="66"/>
      <c r="AH1984" s="62"/>
      <c r="AI1984" s="62"/>
      <c r="AJ1984" s="62"/>
      <c r="AK1984" s="62"/>
      <c r="AL1984" s="66"/>
      <c r="AM1984" s="62"/>
      <c r="AN1984" s="62"/>
      <c r="AO1984" s="62"/>
      <c r="AP1984" s="62"/>
      <c r="AQ1984" s="66"/>
      <c r="AR1984" s="62"/>
      <c r="AS1984" s="62"/>
      <c r="AT1984" s="62"/>
      <c r="AU1984" s="62"/>
      <c r="AV1984" s="66"/>
      <c r="AW1984" s="97"/>
    </row>
    <row r="1985" spans="23:49" x14ac:dyDescent="0.15">
      <c r="W1985" s="12"/>
      <c r="X1985" s="62"/>
      <c r="Y1985" s="62"/>
      <c r="Z1985" s="62"/>
      <c r="AA1985" s="62"/>
      <c r="AB1985" s="98"/>
      <c r="AC1985" s="62"/>
      <c r="AD1985" s="62"/>
      <c r="AE1985" s="62"/>
      <c r="AF1985" s="62"/>
      <c r="AG1985" s="66"/>
      <c r="AH1985" s="62"/>
      <c r="AI1985" s="62"/>
      <c r="AJ1985" s="62"/>
      <c r="AK1985" s="62"/>
      <c r="AL1985" s="66"/>
      <c r="AM1985" s="62"/>
      <c r="AN1985" s="62"/>
      <c r="AO1985" s="62"/>
      <c r="AP1985" s="62"/>
      <c r="AQ1985" s="66"/>
      <c r="AR1985" s="62"/>
      <c r="AS1985" s="62"/>
      <c r="AT1985" s="62"/>
      <c r="AU1985" s="62"/>
      <c r="AV1985" s="66"/>
      <c r="AW1985" s="97"/>
    </row>
    <row r="1986" spans="23:49" x14ac:dyDescent="0.15">
      <c r="W1986" s="12"/>
      <c r="X1986" s="62"/>
      <c r="Y1986" s="62"/>
      <c r="Z1986" s="62"/>
      <c r="AA1986" s="62"/>
      <c r="AB1986" s="98"/>
      <c r="AC1986" s="62"/>
      <c r="AD1986" s="62"/>
      <c r="AE1986" s="62"/>
      <c r="AF1986" s="62"/>
      <c r="AG1986" s="66"/>
      <c r="AH1986" s="62"/>
      <c r="AI1986" s="62"/>
      <c r="AJ1986" s="62"/>
      <c r="AK1986" s="62"/>
      <c r="AL1986" s="66"/>
      <c r="AM1986" s="62"/>
      <c r="AN1986" s="62"/>
      <c r="AO1986" s="62"/>
      <c r="AP1986" s="62"/>
      <c r="AQ1986" s="66"/>
      <c r="AR1986" s="62"/>
      <c r="AS1986" s="62"/>
      <c r="AT1986" s="62"/>
      <c r="AU1986" s="62"/>
      <c r="AV1986" s="66"/>
      <c r="AW1986" s="97"/>
    </row>
    <row r="1987" spans="23:49" x14ac:dyDescent="0.15">
      <c r="W1987" s="12"/>
      <c r="X1987" s="62"/>
      <c r="Y1987" s="62"/>
      <c r="Z1987" s="62"/>
      <c r="AA1987" s="62"/>
      <c r="AB1987" s="98"/>
      <c r="AC1987" s="62"/>
      <c r="AD1987" s="62"/>
      <c r="AE1987" s="62"/>
      <c r="AF1987" s="62"/>
      <c r="AG1987" s="66"/>
      <c r="AH1987" s="62"/>
      <c r="AI1987" s="62"/>
      <c r="AJ1987" s="62"/>
      <c r="AK1987" s="62"/>
      <c r="AL1987" s="66"/>
      <c r="AM1987" s="62"/>
      <c r="AN1987" s="62"/>
      <c r="AO1987" s="62"/>
      <c r="AP1987" s="62"/>
      <c r="AQ1987" s="66"/>
      <c r="AR1987" s="62"/>
      <c r="AS1987" s="62"/>
      <c r="AT1987" s="62"/>
      <c r="AU1987" s="62"/>
      <c r="AV1987" s="66"/>
      <c r="AW1987" s="97"/>
    </row>
    <row r="1988" spans="23:49" x14ac:dyDescent="0.15">
      <c r="W1988" s="12"/>
      <c r="X1988" s="62"/>
      <c r="Y1988" s="62"/>
      <c r="Z1988" s="62"/>
      <c r="AA1988" s="62"/>
      <c r="AB1988" s="98"/>
      <c r="AC1988" s="62"/>
      <c r="AD1988" s="62"/>
      <c r="AE1988" s="62"/>
      <c r="AF1988" s="62"/>
      <c r="AG1988" s="66"/>
      <c r="AH1988" s="62"/>
      <c r="AI1988" s="62"/>
      <c r="AJ1988" s="62"/>
      <c r="AK1988" s="62"/>
      <c r="AL1988" s="66"/>
      <c r="AM1988" s="62"/>
      <c r="AN1988" s="62"/>
      <c r="AO1988" s="62"/>
      <c r="AP1988" s="62"/>
      <c r="AQ1988" s="66"/>
      <c r="AR1988" s="62"/>
      <c r="AS1988" s="62"/>
      <c r="AT1988" s="62"/>
      <c r="AU1988" s="62"/>
      <c r="AV1988" s="66"/>
      <c r="AW1988" s="97"/>
    </row>
    <row r="1989" spans="23:49" x14ac:dyDescent="0.15">
      <c r="W1989" s="12"/>
      <c r="X1989" s="62"/>
      <c r="Y1989" s="62"/>
      <c r="Z1989" s="62"/>
      <c r="AA1989" s="62"/>
      <c r="AB1989" s="98"/>
      <c r="AC1989" s="62"/>
      <c r="AD1989" s="62"/>
      <c r="AE1989" s="62"/>
      <c r="AF1989" s="62"/>
      <c r="AG1989" s="66"/>
      <c r="AH1989" s="62"/>
      <c r="AI1989" s="62"/>
      <c r="AJ1989" s="62"/>
      <c r="AK1989" s="62"/>
      <c r="AL1989" s="66"/>
      <c r="AM1989" s="62"/>
      <c r="AN1989" s="62"/>
      <c r="AO1989" s="62"/>
      <c r="AP1989" s="62"/>
      <c r="AQ1989" s="66"/>
      <c r="AR1989" s="62"/>
      <c r="AS1989" s="62"/>
      <c r="AT1989" s="62"/>
      <c r="AU1989" s="62"/>
      <c r="AV1989" s="66"/>
      <c r="AW1989" s="97"/>
    </row>
    <row r="1990" spans="23:49" x14ac:dyDescent="0.15">
      <c r="W1990" s="12"/>
      <c r="X1990" s="62"/>
      <c r="Y1990" s="62"/>
      <c r="Z1990" s="62"/>
      <c r="AA1990" s="62"/>
      <c r="AB1990" s="98"/>
      <c r="AC1990" s="62"/>
      <c r="AD1990" s="62"/>
      <c r="AE1990" s="62"/>
      <c r="AF1990" s="62"/>
      <c r="AG1990" s="66"/>
      <c r="AH1990" s="62"/>
      <c r="AI1990" s="62"/>
      <c r="AJ1990" s="62"/>
      <c r="AK1990" s="62"/>
      <c r="AL1990" s="66"/>
      <c r="AM1990" s="62"/>
      <c r="AN1990" s="62"/>
      <c r="AO1990" s="62"/>
      <c r="AP1990" s="62"/>
      <c r="AQ1990" s="66"/>
      <c r="AR1990" s="62"/>
      <c r="AS1990" s="62"/>
      <c r="AT1990" s="62"/>
      <c r="AU1990" s="62"/>
      <c r="AV1990" s="66"/>
      <c r="AW1990" s="97"/>
    </row>
    <row r="1991" spans="23:49" x14ac:dyDescent="0.15">
      <c r="W1991" s="12"/>
      <c r="X1991" s="62"/>
      <c r="Y1991" s="62"/>
      <c r="Z1991" s="62"/>
      <c r="AA1991" s="62"/>
      <c r="AB1991" s="98"/>
      <c r="AC1991" s="62"/>
      <c r="AD1991" s="62"/>
      <c r="AE1991" s="62"/>
      <c r="AF1991" s="62"/>
      <c r="AG1991" s="66"/>
      <c r="AH1991" s="62"/>
      <c r="AI1991" s="62"/>
      <c r="AJ1991" s="62"/>
      <c r="AK1991" s="62"/>
      <c r="AL1991" s="66"/>
      <c r="AM1991" s="62"/>
      <c r="AN1991" s="62"/>
      <c r="AO1991" s="62"/>
      <c r="AP1991" s="62"/>
      <c r="AQ1991" s="66"/>
      <c r="AR1991" s="62"/>
      <c r="AS1991" s="62"/>
      <c r="AT1991" s="62"/>
      <c r="AU1991" s="62"/>
      <c r="AV1991" s="66"/>
      <c r="AW1991" s="97"/>
    </row>
    <row r="1992" spans="23:49" x14ac:dyDescent="0.15">
      <c r="W1992" s="12"/>
      <c r="X1992" s="62"/>
      <c r="Y1992" s="62"/>
      <c r="Z1992" s="62"/>
      <c r="AA1992" s="62"/>
      <c r="AB1992" s="98"/>
      <c r="AC1992" s="62"/>
      <c r="AD1992" s="62"/>
      <c r="AE1992" s="62"/>
      <c r="AF1992" s="62"/>
      <c r="AG1992" s="66"/>
      <c r="AH1992" s="62"/>
      <c r="AI1992" s="62"/>
      <c r="AJ1992" s="62"/>
      <c r="AK1992" s="62"/>
      <c r="AL1992" s="66"/>
      <c r="AM1992" s="62"/>
      <c r="AN1992" s="62"/>
      <c r="AO1992" s="62"/>
      <c r="AP1992" s="62"/>
      <c r="AQ1992" s="66"/>
      <c r="AR1992" s="62"/>
      <c r="AS1992" s="62"/>
      <c r="AT1992" s="62"/>
      <c r="AU1992" s="62"/>
      <c r="AV1992" s="66"/>
      <c r="AW1992" s="97"/>
    </row>
    <row r="1993" spans="23:49" x14ac:dyDescent="0.15">
      <c r="W1993" s="12"/>
      <c r="X1993" s="62"/>
      <c r="Y1993" s="62"/>
      <c r="Z1993" s="62"/>
      <c r="AA1993" s="62"/>
      <c r="AB1993" s="98"/>
      <c r="AC1993" s="62"/>
      <c r="AD1993" s="62"/>
      <c r="AE1993" s="62"/>
      <c r="AF1993" s="62"/>
      <c r="AG1993" s="66"/>
      <c r="AH1993" s="62"/>
      <c r="AI1993" s="62"/>
      <c r="AJ1993" s="62"/>
      <c r="AK1993" s="62"/>
      <c r="AL1993" s="66"/>
      <c r="AM1993" s="62"/>
      <c r="AN1993" s="62"/>
      <c r="AO1993" s="62"/>
      <c r="AP1993" s="62"/>
      <c r="AQ1993" s="66"/>
      <c r="AR1993" s="62"/>
      <c r="AS1993" s="62"/>
      <c r="AT1993" s="62"/>
      <c r="AU1993" s="62"/>
      <c r="AV1993" s="66"/>
      <c r="AW1993" s="97"/>
    </row>
    <row r="1994" spans="23:49" x14ac:dyDescent="0.15">
      <c r="W1994" s="12"/>
      <c r="X1994" s="62"/>
      <c r="Y1994" s="62"/>
      <c r="Z1994" s="62"/>
      <c r="AA1994" s="62"/>
      <c r="AB1994" s="98"/>
      <c r="AC1994" s="62"/>
      <c r="AD1994" s="62"/>
      <c r="AE1994" s="62"/>
      <c r="AF1994" s="62"/>
      <c r="AG1994" s="66"/>
      <c r="AH1994" s="62"/>
      <c r="AI1994" s="62"/>
      <c r="AJ1994" s="62"/>
      <c r="AK1994" s="62"/>
      <c r="AL1994" s="66"/>
      <c r="AM1994" s="62"/>
      <c r="AN1994" s="62"/>
      <c r="AO1994" s="62"/>
      <c r="AP1994" s="62"/>
      <c r="AQ1994" s="66"/>
      <c r="AR1994" s="62"/>
      <c r="AS1994" s="62"/>
      <c r="AT1994" s="62"/>
      <c r="AU1994" s="62"/>
      <c r="AV1994" s="66"/>
      <c r="AW1994" s="97"/>
    </row>
    <row r="1995" spans="23:49" x14ac:dyDescent="0.15">
      <c r="W1995" s="12"/>
      <c r="X1995" s="62"/>
      <c r="Y1995" s="62"/>
      <c r="Z1995" s="62"/>
      <c r="AA1995" s="62"/>
      <c r="AB1995" s="98"/>
      <c r="AC1995" s="62"/>
      <c r="AD1995" s="62"/>
      <c r="AE1995" s="62"/>
      <c r="AF1995" s="62"/>
      <c r="AG1995" s="66"/>
      <c r="AH1995" s="62"/>
      <c r="AI1995" s="62"/>
      <c r="AJ1995" s="62"/>
      <c r="AK1995" s="62"/>
      <c r="AL1995" s="66"/>
      <c r="AM1995" s="62"/>
      <c r="AN1995" s="62"/>
      <c r="AO1995" s="62"/>
      <c r="AP1995" s="62"/>
      <c r="AQ1995" s="66"/>
      <c r="AR1995" s="62"/>
      <c r="AS1995" s="62"/>
      <c r="AT1995" s="62"/>
      <c r="AU1995" s="62"/>
      <c r="AV1995" s="66"/>
      <c r="AW1995" s="97"/>
    </row>
    <row r="1996" spans="23:49" x14ac:dyDescent="0.15">
      <c r="W1996" s="12"/>
      <c r="X1996" s="62"/>
      <c r="Y1996" s="62"/>
      <c r="Z1996" s="62"/>
      <c r="AA1996" s="62"/>
      <c r="AB1996" s="98"/>
      <c r="AC1996" s="62"/>
      <c r="AD1996" s="62"/>
      <c r="AE1996" s="62"/>
      <c r="AF1996" s="62"/>
      <c r="AG1996" s="66"/>
      <c r="AH1996" s="62"/>
      <c r="AI1996" s="62"/>
      <c r="AJ1996" s="62"/>
      <c r="AK1996" s="62"/>
      <c r="AL1996" s="66"/>
      <c r="AM1996" s="62"/>
      <c r="AN1996" s="62"/>
      <c r="AO1996" s="62"/>
      <c r="AP1996" s="62"/>
      <c r="AQ1996" s="66"/>
      <c r="AR1996" s="62"/>
      <c r="AS1996" s="62"/>
      <c r="AT1996" s="62"/>
      <c r="AU1996" s="62"/>
      <c r="AV1996" s="66"/>
      <c r="AW1996" s="97"/>
    </row>
    <row r="1997" spans="23:49" x14ac:dyDescent="0.15">
      <c r="W1997" s="12"/>
      <c r="X1997" s="62"/>
      <c r="Y1997" s="62"/>
      <c r="Z1997" s="62"/>
      <c r="AA1997" s="62"/>
      <c r="AB1997" s="98"/>
      <c r="AC1997" s="62"/>
      <c r="AD1997" s="62"/>
      <c r="AE1997" s="62"/>
      <c r="AF1997" s="62"/>
      <c r="AG1997" s="66"/>
      <c r="AH1997" s="62"/>
      <c r="AI1997" s="62"/>
      <c r="AJ1997" s="62"/>
      <c r="AK1997" s="62"/>
      <c r="AL1997" s="66"/>
      <c r="AM1997" s="62"/>
      <c r="AN1997" s="62"/>
      <c r="AO1997" s="62"/>
      <c r="AP1997" s="62"/>
      <c r="AQ1997" s="66"/>
      <c r="AR1997" s="62"/>
      <c r="AS1997" s="62"/>
      <c r="AT1997" s="62"/>
      <c r="AU1997" s="62"/>
      <c r="AV1997" s="66"/>
      <c r="AW1997" s="97"/>
    </row>
    <row r="1998" spans="23:49" x14ac:dyDescent="0.15">
      <c r="W1998" s="12"/>
      <c r="X1998" s="62"/>
      <c r="Y1998" s="62"/>
      <c r="Z1998" s="62"/>
      <c r="AA1998" s="62"/>
      <c r="AB1998" s="98"/>
      <c r="AC1998" s="62"/>
      <c r="AD1998" s="62"/>
      <c r="AE1998" s="62"/>
      <c r="AF1998" s="62"/>
      <c r="AG1998" s="66"/>
      <c r="AH1998" s="62"/>
      <c r="AI1998" s="62"/>
      <c r="AJ1998" s="62"/>
      <c r="AK1998" s="62"/>
      <c r="AL1998" s="66"/>
      <c r="AM1998" s="62"/>
      <c r="AN1998" s="62"/>
      <c r="AO1998" s="62"/>
      <c r="AP1998" s="62"/>
      <c r="AQ1998" s="66"/>
      <c r="AR1998" s="62"/>
      <c r="AS1998" s="62"/>
      <c r="AT1998" s="62"/>
      <c r="AU1998" s="62"/>
      <c r="AV1998" s="66"/>
      <c r="AW1998" s="97"/>
    </row>
    <row r="1999" spans="23:49" x14ac:dyDescent="0.15">
      <c r="W1999" s="12"/>
      <c r="X1999" s="62"/>
      <c r="Y1999" s="62"/>
      <c r="Z1999" s="62"/>
      <c r="AA1999" s="62"/>
      <c r="AB1999" s="98"/>
      <c r="AC1999" s="62"/>
      <c r="AD1999" s="62"/>
      <c r="AE1999" s="62"/>
      <c r="AF1999" s="62"/>
      <c r="AG1999" s="66"/>
      <c r="AH1999" s="62"/>
      <c r="AI1999" s="62"/>
      <c r="AJ1999" s="62"/>
      <c r="AK1999" s="62"/>
      <c r="AL1999" s="66"/>
      <c r="AM1999" s="62"/>
      <c r="AN1999" s="62"/>
      <c r="AO1999" s="62"/>
      <c r="AP1999" s="62"/>
      <c r="AQ1999" s="66"/>
      <c r="AR1999" s="62"/>
      <c r="AS1999" s="62"/>
      <c r="AT1999" s="62"/>
      <c r="AU1999" s="62"/>
      <c r="AV1999" s="66"/>
      <c r="AW1999" s="97"/>
    </row>
    <row r="2000" spans="23:49" x14ac:dyDescent="0.15">
      <c r="W2000" s="12"/>
      <c r="X2000" s="62"/>
      <c r="Y2000" s="62"/>
      <c r="Z2000" s="62"/>
      <c r="AA2000" s="62"/>
      <c r="AB2000" s="98"/>
      <c r="AC2000" s="62"/>
      <c r="AD2000" s="62"/>
      <c r="AE2000" s="62"/>
      <c r="AF2000" s="62"/>
      <c r="AG2000" s="66"/>
      <c r="AH2000" s="62"/>
      <c r="AI2000" s="62"/>
      <c r="AJ2000" s="62"/>
      <c r="AK2000" s="62"/>
      <c r="AL2000" s="66"/>
      <c r="AM2000" s="62"/>
      <c r="AN2000" s="62"/>
      <c r="AO2000" s="62"/>
      <c r="AP2000" s="62"/>
      <c r="AQ2000" s="66"/>
      <c r="AR2000" s="62"/>
      <c r="AS2000" s="62"/>
      <c r="AT2000" s="62"/>
      <c r="AU2000" s="62"/>
      <c r="AV2000" s="66"/>
      <c r="AW2000" s="97"/>
    </row>
    <row r="2001" spans="23:49" x14ac:dyDescent="0.15">
      <c r="W2001" s="12"/>
      <c r="X2001" s="62"/>
      <c r="Y2001" s="62"/>
      <c r="Z2001" s="62"/>
      <c r="AA2001" s="62"/>
      <c r="AB2001" s="98"/>
      <c r="AC2001" s="62"/>
      <c r="AD2001" s="62"/>
      <c r="AE2001" s="62"/>
      <c r="AF2001" s="62"/>
      <c r="AG2001" s="66"/>
      <c r="AH2001" s="62"/>
      <c r="AI2001" s="62"/>
      <c r="AJ2001" s="62"/>
      <c r="AK2001" s="62"/>
      <c r="AL2001" s="66"/>
      <c r="AM2001" s="62"/>
      <c r="AN2001" s="62"/>
      <c r="AO2001" s="62"/>
      <c r="AP2001" s="62"/>
      <c r="AQ2001" s="66"/>
      <c r="AR2001" s="62"/>
      <c r="AS2001" s="62"/>
      <c r="AT2001" s="62"/>
      <c r="AU2001" s="62"/>
      <c r="AV2001" s="66"/>
      <c r="AW2001" s="97"/>
    </row>
    <row r="2002" spans="23:49" x14ac:dyDescent="0.15">
      <c r="W2002" s="12"/>
      <c r="X2002" s="62"/>
      <c r="Y2002" s="62"/>
      <c r="Z2002" s="62"/>
      <c r="AA2002" s="62"/>
      <c r="AB2002" s="98"/>
      <c r="AC2002" s="62"/>
      <c r="AD2002" s="62"/>
      <c r="AE2002" s="62"/>
      <c r="AF2002" s="62"/>
      <c r="AG2002" s="66"/>
      <c r="AH2002" s="62"/>
      <c r="AI2002" s="62"/>
      <c r="AJ2002" s="62"/>
      <c r="AK2002" s="62"/>
      <c r="AL2002" s="66"/>
      <c r="AM2002" s="62"/>
      <c r="AN2002" s="62"/>
      <c r="AO2002" s="62"/>
      <c r="AP2002" s="62"/>
      <c r="AQ2002" s="66"/>
      <c r="AR2002" s="62"/>
      <c r="AS2002" s="62"/>
      <c r="AT2002" s="62"/>
      <c r="AU2002" s="62"/>
      <c r="AV2002" s="66"/>
      <c r="AW2002" s="97"/>
    </row>
    <row r="2003" spans="23:49" x14ac:dyDescent="0.15">
      <c r="W2003" s="12"/>
      <c r="X2003" s="62"/>
      <c r="Y2003" s="62"/>
      <c r="Z2003" s="62"/>
      <c r="AA2003" s="62"/>
      <c r="AB2003" s="98"/>
      <c r="AC2003" s="62"/>
      <c r="AD2003" s="62"/>
      <c r="AE2003" s="62"/>
      <c r="AF2003" s="62"/>
      <c r="AG2003" s="66"/>
      <c r="AH2003" s="62"/>
      <c r="AI2003" s="62"/>
      <c r="AJ2003" s="62"/>
      <c r="AK2003" s="62"/>
      <c r="AL2003" s="66"/>
      <c r="AM2003" s="62"/>
      <c r="AN2003" s="62"/>
      <c r="AO2003" s="62"/>
      <c r="AP2003" s="62"/>
      <c r="AQ2003" s="66"/>
      <c r="AR2003" s="62"/>
      <c r="AS2003" s="62"/>
      <c r="AT2003" s="62"/>
      <c r="AU2003" s="62"/>
      <c r="AV2003" s="66"/>
      <c r="AW2003" s="97"/>
    </row>
  </sheetData>
  <mergeCells count="29">
    <mergeCell ref="X2:AA2"/>
    <mergeCell ref="AR2:AU2"/>
    <mergeCell ref="AC3:AF3"/>
    <mergeCell ref="N43:Q43"/>
    <mergeCell ref="AH3:AK3"/>
    <mergeCell ref="AM3:AP3"/>
    <mergeCell ref="X3:AA3"/>
    <mergeCell ref="Q60:R60"/>
    <mergeCell ref="Q54:R54"/>
    <mergeCell ref="B36:D36"/>
    <mergeCell ref="N37:Q37"/>
    <mergeCell ref="I37:L37"/>
    <mergeCell ref="I43:L43"/>
    <mergeCell ref="B50:E50"/>
    <mergeCell ref="B51:C51"/>
    <mergeCell ref="G65:I65"/>
    <mergeCell ref="G54:H54"/>
    <mergeCell ref="L54:M54"/>
    <mergeCell ref="B60:C60"/>
    <mergeCell ref="B54:C54"/>
    <mergeCell ref="C43:D43"/>
    <mergeCell ref="G60:H60"/>
    <mergeCell ref="L60:M60"/>
    <mergeCell ref="B24:C24"/>
    <mergeCell ref="B52:C52"/>
    <mergeCell ref="B25:C25"/>
    <mergeCell ref="B26:C26"/>
    <mergeCell ref="B27:C27"/>
    <mergeCell ref="B28:C28"/>
  </mergeCells>
  <phoneticPr fontId="2" type="noConversion"/>
  <dataValidations count="1">
    <dataValidation type="list" allowBlank="1" showInputMessage="1" showErrorMessage="1" sqref="D24">
      <formula1>"100,150,200,250,300,400,600,800,1000,1500,2000"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45" r:id="rId4" name="Button 521">
              <controlPr defaultSize="0" print="0" autoFill="0" autoPict="0" macro="[0]!RunCalibration">
                <anchor moveWithCells="1" sizeWithCells="1">
                  <from>
                    <xdr:col>0</xdr:col>
                    <xdr:colOff>161925</xdr:colOff>
                    <xdr:row>44</xdr:row>
                    <xdr:rowOff>47625</xdr:rowOff>
                  </from>
                  <to>
                    <xdr:col>4</xdr:col>
                    <xdr:colOff>28575</xdr:colOff>
                    <xdr:row>47</xdr:row>
                    <xdr:rowOff>9525</xdr:rowOff>
                  </to>
                </anchor>
              </controlPr>
            </control>
          </mc:Choice>
        </mc:AlternateContent>
        <mc:AlternateContent xmlns:mc="http://schemas.openxmlformats.org/markup-compatibility/2006">
          <mc:Choice Requires="x14">
            <control shapeId="1128278" r:id="rId5" name="Button 13142">
              <controlPr defaultSize="0" print="0" autoFill="0" autoPict="0" macro="[0]!PopulateSpreadsheet">
                <anchor moveWithCells="1" sizeWithCells="1">
                  <from>
                    <xdr:col>0</xdr:col>
                    <xdr:colOff>142875</xdr:colOff>
                    <xdr:row>29</xdr:row>
                    <xdr:rowOff>28575</xdr:rowOff>
                  </from>
                  <to>
                    <xdr:col>4</xdr:col>
                    <xdr:colOff>9525</xdr:colOff>
                    <xdr:row>31</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U2003"/>
  <sheetViews>
    <sheetView workbookViewId="0"/>
  </sheetViews>
  <sheetFormatPr defaultColWidth="2.28515625" defaultRowHeight="10.5" x14ac:dyDescent="0.15"/>
  <cols>
    <col min="1" max="1" width="2.28515625" style="2" customWidth="1"/>
    <col min="2" max="2" width="4.42578125" style="2" bestFit="1" customWidth="1"/>
    <col min="3" max="3" width="2.28515625" style="2" customWidth="1"/>
    <col min="4" max="4" width="4" style="2" bestFit="1" customWidth="1"/>
    <col min="5" max="5" width="4.42578125" style="2" bestFit="1" customWidth="1"/>
    <col min="6" max="6" width="4" style="2" bestFit="1" customWidth="1"/>
    <col min="7" max="7" width="4.5703125" style="2" bestFit="1" customWidth="1"/>
    <col min="8" max="8" width="2.28515625" style="2" customWidth="1"/>
    <col min="9" max="10" width="4" style="2" bestFit="1" customWidth="1"/>
    <col min="11" max="12" width="4" style="3" bestFit="1" customWidth="1"/>
    <col min="13" max="13" width="2.28515625" style="3" customWidth="1"/>
    <col min="14" max="17" width="4.42578125" style="3" bestFit="1" customWidth="1"/>
    <col min="18" max="18" width="2.28515625" style="3" customWidth="1"/>
    <col min="19" max="23" width="4.42578125" style="3" bestFit="1" customWidth="1"/>
    <col min="24" max="24" width="2.28515625" style="1" customWidth="1"/>
    <col min="25" max="25" width="3.28515625" style="2" bestFit="1" customWidth="1"/>
    <col min="26" max="29" width="4" style="3" bestFit="1" customWidth="1"/>
    <col min="30" max="30" width="2.28515625" style="2" customWidth="1"/>
    <col min="31" max="34" width="4" style="65" bestFit="1" customWidth="1"/>
    <col min="35" max="35" width="2.28515625" style="2" customWidth="1"/>
    <col min="36" max="39" width="4" style="3" bestFit="1" customWidth="1"/>
    <col min="40" max="40" width="2.28515625" style="2" customWidth="1"/>
    <col min="41" max="44" width="4" style="65" bestFit="1" customWidth="1"/>
    <col min="45" max="16384" width="2.28515625" style="2"/>
  </cols>
  <sheetData>
    <row r="1" spans="2:47" x14ac:dyDescent="0.15">
      <c r="K1" s="2"/>
      <c r="L1" s="2"/>
      <c r="M1" s="2"/>
      <c r="N1" s="2"/>
      <c r="O1" s="2"/>
      <c r="P1" s="2"/>
      <c r="Q1" s="2"/>
      <c r="Z1" s="122" t="s">
        <v>43</v>
      </c>
      <c r="AA1" s="122"/>
      <c r="AB1" s="122"/>
      <c r="AC1" s="122"/>
      <c r="AD1" s="122"/>
      <c r="AE1" s="122"/>
      <c r="AF1" s="122"/>
      <c r="AG1" s="122"/>
      <c r="AH1" s="122"/>
      <c r="AI1" s="122"/>
      <c r="AJ1" s="122"/>
      <c r="AK1" s="122"/>
      <c r="AL1" s="122"/>
      <c r="AM1" s="122"/>
      <c r="AN1" s="122"/>
      <c r="AO1" s="122"/>
      <c r="AP1" s="122"/>
      <c r="AQ1" s="122"/>
      <c r="AR1" s="122"/>
    </row>
    <row r="2" spans="2:47" x14ac:dyDescent="0.15">
      <c r="D2" s="122" t="s">
        <v>6</v>
      </c>
      <c r="E2" s="122"/>
      <c r="K2" s="2"/>
      <c r="L2" s="2"/>
      <c r="M2" s="2"/>
      <c r="N2" s="4"/>
      <c r="O2" s="2"/>
      <c r="P2" s="2"/>
      <c r="Q2" s="2"/>
      <c r="Z2" s="140" t="s">
        <v>44</v>
      </c>
      <c r="AA2" s="140"/>
      <c r="AB2" s="140"/>
      <c r="AC2" s="140"/>
      <c r="AD2" s="95"/>
      <c r="AI2" s="95"/>
      <c r="AJ2" s="140" t="s">
        <v>44</v>
      </c>
      <c r="AK2" s="140"/>
      <c r="AL2" s="140"/>
      <c r="AM2" s="140"/>
      <c r="AN2" s="95"/>
      <c r="AO2" s="144" t="s">
        <v>37</v>
      </c>
      <c r="AP2" s="144"/>
      <c r="AQ2" s="144"/>
      <c r="AR2" s="144"/>
      <c r="AT2" s="4"/>
      <c r="AU2" s="4"/>
    </row>
    <row r="3" spans="2:47" x14ac:dyDescent="0.15">
      <c r="D3" s="18" t="s">
        <v>3</v>
      </c>
      <c r="E3" s="86">
        <f ca="1" xml:space="preserve"> RAND()*0.4</f>
        <v>0.33496946126635452</v>
      </c>
      <c r="K3" s="2"/>
      <c r="L3" s="2"/>
      <c r="M3" s="2"/>
      <c r="N3" s="4"/>
      <c r="O3" s="2"/>
      <c r="P3" s="2"/>
      <c r="Q3" s="2"/>
      <c r="Y3" s="8"/>
      <c r="Z3" s="140" t="s">
        <v>45</v>
      </c>
      <c r="AA3" s="140"/>
      <c r="AB3" s="140"/>
      <c r="AC3" s="140"/>
      <c r="AE3" s="144" t="s">
        <v>36</v>
      </c>
      <c r="AF3" s="144"/>
      <c r="AG3" s="144"/>
      <c r="AH3" s="144"/>
      <c r="AI3" s="6"/>
      <c r="AJ3" s="140" t="s">
        <v>46</v>
      </c>
      <c r="AK3" s="140"/>
      <c r="AL3" s="140"/>
      <c r="AM3" s="140"/>
      <c r="AO3" s="118">
        <v>0</v>
      </c>
      <c r="AP3" s="118">
        <v>0</v>
      </c>
      <c r="AQ3" s="118">
        <v>0</v>
      </c>
      <c r="AR3" s="118">
        <v>0</v>
      </c>
    </row>
    <row r="4" spans="2:47" x14ac:dyDescent="0.15">
      <c r="D4" s="19" t="s">
        <v>2</v>
      </c>
      <c r="E4" s="87">
        <f ca="1">0.3 + RAND()*0.5</f>
        <v>0.32660286296351893</v>
      </c>
      <c r="K4" s="2"/>
      <c r="L4" s="2"/>
      <c r="M4" s="2"/>
      <c r="N4" s="4"/>
      <c r="O4" s="2"/>
      <c r="P4" s="2"/>
      <c r="Q4" s="2"/>
      <c r="Y4" s="8">
        <f>Y3+1</f>
        <v>1</v>
      </c>
      <c r="Z4" s="61">
        <f t="shared" ref="Z4:Z35" ca="1" si="0">NORMSINV(RAND())</f>
        <v>-0.62899528471499722</v>
      </c>
      <c r="AA4" s="61">
        <f t="shared" ref="AA4:AC88" ca="1" si="1">NORMSINV(RAND())</f>
        <v>-0.87932861463639644</v>
      </c>
      <c r="AB4" s="61">
        <f t="shared" ca="1" si="1"/>
        <v>1.5590353460917934</v>
      </c>
      <c r="AC4" s="61">
        <f t="shared" ca="1" si="1"/>
        <v>-1.0303549621197265</v>
      </c>
      <c r="AD4" s="37"/>
      <c r="AE4" s="62">
        <f t="array" aca="1" ref="AE4:AH4" ca="1">TRANSPOSE($B$9:$B$12 + MMULT($D$9:$G$12,TRANSPOSE(AO4:AR4)) + MMULT($N$9:$Q$12, TRANSPOSE(Z4:AC4)))</f>
        <v>0.48954827537457235</v>
      </c>
      <c r="AF4" s="62">
        <f ca="1"/>
        <v>-6.4159936387303995E-2</v>
      </c>
      <c r="AG4" s="62">
        <f ca="1"/>
        <v>0.37088000929131465</v>
      </c>
      <c r="AH4" s="62">
        <f ca="1"/>
        <v>-0.4271575339800176</v>
      </c>
      <c r="AI4" s="37"/>
      <c r="AJ4" s="61">
        <f t="shared" ref="AJ4:AJ35" ca="1" si="2">NORMSINV(RAND())</f>
        <v>0.2583775013103215</v>
      </c>
      <c r="AK4" s="61">
        <f t="shared" ref="AK4:AM88" ca="1" si="3">NORMSINV(RAND())</f>
        <v>0.90932549203738755</v>
      </c>
      <c r="AL4" s="61">
        <f t="shared" ca="1" si="3"/>
        <v>0.19388774729907804</v>
      </c>
      <c r="AM4" s="61">
        <f t="shared" ca="1" si="3"/>
        <v>-2.7844111494972186</v>
      </c>
      <c r="AN4" s="37"/>
      <c r="AO4" s="62">
        <f t="array" aca="1" ref="AO4:AR4" ca="1">TRANSPOSE($B$17:$B$20 + MMULT($D$17:$G$20,TRANSPOSE(AO3:AR3)) + MMULT($N$17:$Q$20,TRANSPOSE(AJ4:AM4)))</f>
        <v>0.36096310577261481</v>
      </c>
      <c r="AP4" s="62">
        <f ca="1"/>
        <v>0.43813059166599244</v>
      </c>
      <c r="AQ4" s="62">
        <f ca="1"/>
        <v>0.12941981744651529</v>
      </c>
      <c r="AR4" s="62">
        <f ca="1"/>
        <v>-0.58823742601742279</v>
      </c>
    </row>
    <row r="5" spans="2:47" x14ac:dyDescent="0.15">
      <c r="D5" s="20"/>
      <c r="E5" s="88">
        <f ca="1">1 - E4</f>
        <v>0.67339713703648107</v>
      </c>
      <c r="K5" s="2"/>
      <c r="L5" s="2"/>
      <c r="M5" s="2"/>
      <c r="N5" s="4"/>
      <c r="O5" s="2"/>
      <c r="P5" s="2"/>
      <c r="Q5" s="2"/>
      <c r="Y5" s="8">
        <f t="shared" ref="Y5:Y68" si="4">Y4+1</f>
        <v>2</v>
      </c>
      <c r="Z5" s="61">
        <f t="shared" ca="1" si="0"/>
        <v>-0.28403880129597681</v>
      </c>
      <c r="AA5" s="61">
        <f t="shared" ca="1" si="1"/>
        <v>1.9322346658030982</v>
      </c>
      <c r="AB5" s="61">
        <f t="shared" ca="1" si="1"/>
        <v>-0.23949965177737409</v>
      </c>
      <c r="AC5" s="61">
        <f t="shared" ca="1" si="1"/>
        <v>-1.0684695395569401</v>
      </c>
      <c r="AD5" s="37"/>
      <c r="AE5" s="62">
        <f t="array" aca="1" ref="AE5:AH5" ca="1">TRANSPOSE($B$9:$B$12 + MMULT($D$9:$G$12,TRANSPOSE(AO5:AR5)) + MMULT($N$9:$Q$12, TRANSPOSE(Z5:AC5)))</f>
        <v>0.6940012477899864</v>
      </c>
      <c r="AF5" s="62">
        <f ca="1"/>
        <v>0.67785289571464402</v>
      </c>
      <c r="AG5" s="62">
        <f ca="1"/>
        <v>0.42883773118951646</v>
      </c>
      <c r="AH5" s="62">
        <f ca="1"/>
        <v>2.308133177842947E-2</v>
      </c>
      <c r="AI5" s="37"/>
      <c r="AJ5" s="61">
        <f t="shared" ca="1" si="2"/>
        <v>8.8735750284765158E-2</v>
      </c>
      <c r="AK5" s="61">
        <f t="shared" ca="1" si="3"/>
        <v>-0.83300368587375828</v>
      </c>
      <c r="AL5" s="61">
        <f t="shared" ca="1" si="3"/>
        <v>0.14085985469985529</v>
      </c>
      <c r="AM5" s="61">
        <f t="shared" ca="1" si="3"/>
        <v>-0.59564940045378201</v>
      </c>
      <c r="AN5" s="37"/>
      <c r="AO5" s="62">
        <f t="array" aca="1" ref="AO5:AR5" ca="1">TRANSPOSE($B$17:$B$20 + MMULT($D$17:$G$20,TRANSPOSE(AO4:AR4)) + MMULT($N$17:$Q$20,TRANSPOSE(AJ5:AM5)))</f>
        <v>0.42036888863652849</v>
      </c>
      <c r="AP5" s="62">
        <f ca="1"/>
        <v>-0.13979433904025149</v>
      </c>
      <c r="AQ5" s="62">
        <f ca="1"/>
        <v>0.4696722405474022</v>
      </c>
      <c r="AR5" s="62">
        <f ca="1"/>
        <v>0.20907595642038598</v>
      </c>
    </row>
    <row r="6" spans="2:47" x14ac:dyDescent="0.15">
      <c r="D6" s="18" t="s">
        <v>4</v>
      </c>
      <c r="E6" s="86">
        <f ca="1">0.2 + RAND()*0.4</f>
        <v>0.34523971417380106</v>
      </c>
      <c r="K6" s="2"/>
      <c r="L6" s="2"/>
      <c r="M6" s="2"/>
      <c r="N6" s="2"/>
      <c r="O6" s="2"/>
      <c r="P6" s="2"/>
      <c r="Q6" s="2"/>
      <c r="Y6" s="8">
        <f t="shared" si="4"/>
        <v>3</v>
      </c>
      <c r="Z6" s="61">
        <f t="shared" ca="1" si="0"/>
        <v>-0.16900435854852328</v>
      </c>
      <c r="AA6" s="61">
        <f t="shared" ca="1" si="1"/>
        <v>-0.19724825148760888</v>
      </c>
      <c r="AB6" s="61">
        <f t="shared" ca="1" si="1"/>
        <v>-2.2498541206886999</v>
      </c>
      <c r="AC6" s="61">
        <f t="shared" ca="1" si="1"/>
        <v>0.15649138717746908</v>
      </c>
      <c r="AD6" s="37"/>
      <c r="AE6" s="62">
        <f t="array" aca="1" ref="AE6:AH6" ca="1">TRANSPOSE($B$9:$B$12 + MMULT($D$9:$G$12,TRANSPOSE(AO6:AR6)) + MMULT($N$9:$Q$12, TRANSPOSE(Z6:AC6)))</f>
        <v>0.58867048606185879</v>
      </c>
      <c r="AF6" s="62">
        <f ca="1"/>
        <v>0.71550921556575631</v>
      </c>
      <c r="AG6" s="62">
        <f ca="1"/>
        <v>-0.97061655748171638</v>
      </c>
      <c r="AH6" s="62">
        <f ca="1"/>
        <v>0.17097523706108803</v>
      </c>
      <c r="AI6" s="37"/>
      <c r="AJ6" s="61">
        <f t="shared" ca="1" si="2"/>
        <v>0.33229312160125923</v>
      </c>
      <c r="AK6" s="61">
        <f t="shared" ca="1" si="3"/>
        <v>1.1144315436016805</v>
      </c>
      <c r="AL6" s="61">
        <f t="shared" ca="1" si="3"/>
        <v>-0.51519753854119732</v>
      </c>
      <c r="AM6" s="61">
        <f t="shared" ca="1" si="3"/>
        <v>-1.5357396252324069</v>
      </c>
      <c r="AN6" s="37"/>
      <c r="AO6" s="62">
        <f t="array" aca="1" ref="AO6:AR6" ca="1">TRANSPOSE($B$17:$B$20 + MMULT($D$17:$G$20,TRANSPOSE(AO5:AR5)) + MMULT($N$17:$Q$20,TRANSPOSE(AJ6:AM6)))</f>
        <v>0.56530552309635973</v>
      </c>
      <c r="AP6" s="62">
        <f ca="1"/>
        <v>0.6951632046220203</v>
      </c>
      <c r="AQ6" s="62">
        <f ca="1"/>
        <v>-4.1788758660489644E-2</v>
      </c>
      <c r="AR6" s="62">
        <f ca="1"/>
        <v>-0.18937291254396305</v>
      </c>
    </row>
    <row r="7" spans="2:47" x14ac:dyDescent="0.15">
      <c r="K7" s="2"/>
      <c r="L7" s="2"/>
      <c r="M7" s="2"/>
      <c r="N7" s="2"/>
      <c r="O7" s="2"/>
      <c r="P7" s="2"/>
      <c r="Q7" s="2"/>
      <c r="R7" s="48"/>
      <c r="S7" s="142" t="s">
        <v>39</v>
      </c>
      <c r="T7" s="143"/>
      <c r="U7" s="143"/>
      <c r="V7" s="143"/>
      <c r="W7" s="143"/>
      <c r="Y7" s="8">
        <f t="shared" si="4"/>
        <v>4</v>
      </c>
      <c r="Z7" s="61">
        <f t="shared" ca="1" si="0"/>
        <v>-0.58644391506592586</v>
      </c>
      <c r="AA7" s="61">
        <f t="shared" ca="1" si="1"/>
        <v>0.74692909168417032</v>
      </c>
      <c r="AB7" s="61">
        <f t="shared" ca="1" si="1"/>
        <v>0.17217619972123424</v>
      </c>
      <c r="AC7" s="61">
        <f t="shared" ca="1" si="1"/>
        <v>2.5065254674585571</v>
      </c>
      <c r="AD7" s="37"/>
      <c r="AE7" s="62">
        <f t="array" aca="1" ref="AE7:AH7" ca="1">TRANSPOSE($B$9:$B$12 + MMULT($D$9:$G$12,TRANSPOSE(AO7:AR7)) + MMULT($N$9:$Q$12, TRANSPOSE(Z7:AC7)))</f>
        <v>1.0847269023724766</v>
      </c>
      <c r="AF7" s="62">
        <f ca="1"/>
        <v>0.97789654259335812</v>
      </c>
      <c r="AG7" s="62">
        <f ca="1"/>
        <v>0.28407147765156576</v>
      </c>
      <c r="AH7" s="62">
        <f ca="1"/>
        <v>0.93280871173102586</v>
      </c>
      <c r="AI7" s="37"/>
      <c r="AJ7" s="61">
        <f t="shared" ca="1" si="2"/>
        <v>1.2380465862288097</v>
      </c>
      <c r="AK7" s="61">
        <f t="shared" ca="1" si="3"/>
        <v>0.78651569879345207</v>
      </c>
      <c r="AL7" s="61">
        <f t="shared" ca="1" si="3"/>
        <v>0.48005202164117972</v>
      </c>
      <c r="AM7" s="61">
        <f t="shared" ca="1" si="3"/>
        <v>-1.3229056121991867</v>
      </c>
      <c r="AN7" s="37"/>
      <c r="AO7" s="62">
        <f t="array" aca="1" ref="AO7:AR7" ca="1">TRANSPOSE($B$17:$B$20 + MMULT($D$17:$G$20,TRANSPOSE(AO6:AR6)) + MMULT($N$17:$Q$20,TRANSPOSE(AJ7:AM7)))</f>
        <v>0.87295898128028082</v>
      </c>
      <c r="AP7" s="62">
        <f ca="1"/>
        <v>0.73937867176868799</v>
      </c>
      <c r="AQ7" s="62">
        <f ca="1"/>
        <v>0.74085630422609294</v>
      </c>
      <c r="AR7" s="62">
        <f ca="1"/>
        <v>-2.0590317008866932E-2</v>
      </c>
    </row>
    <row r="8" spans="2:47" x14ac:dyDescent="0.15">
      <c r="B8" s="17" t="s">
        <v>0</v>
      </c>
      <c r="D8" s="133" t="s">
        <v>26</v>
      </c>
      <c r="E8" s="133"/>
      <c r="F8" s="133"/>
      <c r="G8" s="133"/>
      <c r="I8" s="133" t="s">
        <v>10</v>
      </c>
      <c r="J8" s="133"/>
      <c r="K8" s="133"/>
      <c r="L8" s="133"/>
      <c r="N8" s="139" t="s">
        <v>18</v>
      </c>
      <c r="O8" s="139"/>
      <c r="P8" s="139"/>
      <c r="Q8" s="139"/>
      <c r="R8" s="48"/>
      <c r="S8" s="90" t="s">
        <v>9</v>
      </c>
      <c r="T8" s="141" t="s">
        <v>8</v>
      </c>
      <c r="U8" s="141"/>
      <c r="V8" s="141"/>
      <c r="W8" s="141"/>
      <c r="Y8" s="8">
        <f t="shared" si="4"/>
        <v>5</v>
      </c>
      <c r="Z8" s="61">
        <f t="shared" ca="1" si="0"/>
        <v>0.87319488446014659</v>
      </c>
      <c r="AA8" s="61">
        <f t="shared" ca="1" si="1"/>
        <v>-1.2512483767160465</v>
      </c>
      <c r="AB8" s="61">
        <f t="shared" ca="1" si="1"/>
        <v>-0.66787553357843543</v>
      </c>
      <c r="AC8" s="61">
        <f t="shared" ca="1" si="1"/>
        <v>0.34195099679015012</v>
      </c>
      <c r="AD8" s="37"/>
      <c r="AE8" s="62">
        <f t="array" aca="1" ref="AE8:AH8" ca="1">TRANSPOSE($B$9:$B$12 + MMULT($D$9:$G$12,TRANSPOSE(AO8:AR8)) + MMULT($N$9:$Q$12, TRANSPOSE(Z8:AC8)))</f>
        <v>1.4411112962041142</v>
      </c>
      <c r="AF8" s="62">
        <f ca="1"/>
        <v>1.3245440025180799E-2</v>
      </c>
      <c r="AG8" s="62">
        <f ca="1"/>
        <v>0.43403310660010536</v>
      </c>
      <c r="AH8" s="62">
        <f ca="1"/>
        <v>0.83974274735876953</v>
      </c>
      <c r="AI8" s="37"/>
      <c r="AJ8" s="61">
        <f t="shared" ca="1" si="2"/>
        <v>0.28153570995106053</v>
      </c>
      <c r="AK8" s="61">
        <f t="shared" ca="1" si="3"/>
        <v>-1.2599544413232961</v>
      </c>
      <c r="AL8" s="61">
        <f t="shared" ca="1" si="3"/>
        <v>-0.31372090871907488</v>
      </c>
      <c r="AM8" s="61">
        <f t="shared" ca="1" si="3"/>
        <v>-0.72901776765222892</v>
      </c>
      <c r="AN8" s="37"/>
      <c r="AO8" s="62">
        <f t="array" aca="1" ref="AO8:AR8" ca="1">TRANSPOSE($B$17:$B$20 + MMULT($D$17:$G$20,TRANSPOSE(AO7:AR7)) + MMULT($N$17:$Q$20,TRANSPOSE(AJ8:AM8)))</f>
        <v>0.75868265814147873</v>
      </c>
      <c r="AP8" s="62">
        <f ca="1"/>
        <v>6.1799109458595125E-2</v>
      </c>
      <c r="AQ8" s="62">
        <f ca="1"/>
        <v>0.73069381963298885</v>
      </c>
      <c r="AR8" s="62">
        <f ca="1"/>
        <v>0.65029393658382983</v>
      </c>
    </row>
    <row r="9" spans="2:47" x14ac:dyDescent="0.15">
      <c r="B9" s="25">
        <f ca="1">RAND() *$B$14</f>
        <v>0.26326626193514052</v>
      </c>
      <c r="D9" s="27">
        <f t="array" ref="D9:G12">MRndOrth(4)</f>
        <v>0.71539582104633137</v>
      </c>
      <c r="E9" s="28">
        <v>-5.3068049588041344E-2</v>
      </c>
      <c r="F9" s="28">
        <v>0.63599380925612259</v>
      </c>
      <c r="G9" s="29">
        <v>-0.28443712122409748</v>
      </c>
      <c r="I9" s="27">
        <f t="array" aca="1" ref="I9:L12" ca="1">MMULT(MMULT(T9:W12, MDiag(S9:S12)), TRANSPOSE(T9:W12))</f>
        <v>0.16867076473978568</v>
      </c>
      <c r="J9" s="28">
        <f ca="1"/>
        <v>8.518042984037312E-2</v>
      </c>
      <c r="K9" s="28">
        <f ca="1"/>
        <v>-7.8616880577000364E-2</v>
      </c>
      <c r="L9" s="29">
        <f ca="1"/>
        <v>3.2269851129946917E-2</v>
      </c>
      <c r="N9" s="49">
        <f t="array" aca="1" ref="N9:Q12" ca="1">MCholesky(I9:L12)</f>
        <v>0.41069546471781943</v>
      </c>
      <c r="O9" s="50">
        <f ca="1"/>
        <v>0</v>
      </c>
      <c r="P9" s="50">
        <f ca="1"/>
        <v>0</v>
      </c>
      <c r="Q9" s="51">
        <f ca="1"/>
        <v>0</v>
      </c>
      <c r="R9" s="48"/>
      <c r="S9" s="52">
        <f ca="1">E3</f>
        <v>0.33496946126635452</v>
      </c>
      <c r="T9" s="49">
        <f t="array" ref="T9:W12">MRndOrth(4)</f>
        <v>0.58343433346207518</v>
      </c>
      <c r="U9" s="50">
        <v>0.1314562217220589</v>
      </c>
      <c r="V9" s="50">
        <v>0.77052853276893307</v>
      </c>
      <c r="W9" s="51">
        <v>-0.22047544193668478</v>
      </c>
      <c r="Y9" s="8">
        <f t="shared" si="4"/>
        <v>6</v>
      </c>
      <c r="Z9" s="61">
        <f t="shared" ca="1" si="0"/>
        <v>-0.98376480044516423</v>
      </c>
      <c r="AA9" s="61">
        <f t="shared" ca="1" si="1"/>
        <v>-0.43572225233150169</v>
      </c>
      <c r="AB9" s="61">
        <f t="shared" ca="1" si="1"/>
        <v>0.75451902934547788</v>
      </c>
      <c r="AC9" s="61">
        <f t="shared" ca="1" si="1"/>
        <v>0.38307251349274141</v>
      </c>
      <c r="AD9" s="37"/>
      <c r="AE9" s="62">
        <f t="array" aca="1" ref="AE9:AH9" ca="1">TRANSPOSE($B$9:$B$12 + MMULT($D$9:$G$12,TRANSPOSE(AO9:AR9)) + MMULT($N$9:$Q$12, TRANSPOSE(Z9:AC9)))</f>
        <v>0.4836495213486216</v>
      </c>
      <c r="AF9" s="62">
        <f ca="1"/>
        <v>0.28251184984151778</v>
      </c>
      <c r="AG9" s="62">
        <f ca="1"/>
        <v>1.4401872175795127</v>
      </c>
      <c r="AH9" s="62">
        <f ca="1"/>
        <v>0.57579070210688366</v>
      </c>
      <c r="AI9" s="37"/>
      <c r="AJ9" s="61">
        <f t="shared" ca="1" si="2"/>
        <v>0.43904091115693156</v>
      </c>
      <c r="AK9" s="61">
        <f t="shared" ca="1" si="3"/>
        <v>-0.30577978678744977</v>
      </c>
      <c r="AL9" s="61">
        <f t="shared" ca="1" si="3"/>
        <v>-0.14920389339664625</v>
      </c>
      <c r="AM9" s="61">
        <f t="shared" ca="1" si="3"/>
        <v>0.35640606843171824</v>
      </c>
      <c r="AN9" s="37"/>
      <c r="AO9" s="62">
        <f t="array" aca="1" ref="AO9:AR9" ca="1">TRANSPOSE($B$17:$B$20 + MMULT($D$17:$G$20,TRANSPOSE(AO8:AR8)) + MMULT($N$17:$Q$20,TRANSPOSE(AJ9:AM9)))</f>
        <v>0.76410738929895305</v>
      </c>
      <c r="AP9" s="62">
        <f ca="1"/>
        <v>0.34883550992630602</v>
      </c>
      <c r="AQ9" s="62">
        <f ca="1"/>
        <v>0.5219070909484923</v>
      </c>
      <c r="AR9" s="62">
        <f ca="1"/>
        <v>0.82846391331379776</v>
      </c>
    </row>
    <row r="10" spans="2:47" x14ac:dyDescent="0.15">
      <c r="B10" s="33">
        <f ca="1">RAND() *$B$14</f>
        <v>3.8181866182311903E-2</v>
      </c>
      <c r="D10" s="34">
        <v>0.36996800518420003</v>
      </c>
      <c r="E10" s="26">
        <v>0.87131312573504616</v>
      </c>
      <c r="F10" s="26">
        <v>-0.25555289882909715</v>
      </c>
      <c r="G10" s="35">
        <v>0.19654472254906707</v>
      </c>
      <c r="I10" s="34">
        <f ca="1"/>
        <v>8.518042984037312E-2</v>
      </c>
      <c r="J10" s="26">
        <f ca="1"/>
        <v>0.19119685561799946</v>
      </c>
      <c r="K10" s="26">
        <f ca="1"/>
        <v>-4.0457615893159805E-2</v>
      </c>
      <c r="L10" s="35">
        <f ca="1"/>
        <v>3.6888358751693056E-3</v>
      </c>
      <c r="N10" s="53">
        <f ca="1"/>
        <v>0.20740533353320295</v>
      </c>
      <c r="O10" s="54">
        <f ca="1"/>
        <v>0.38494140234583796</v>
      </c>
      <c r="P10" s="54">
        <f ca="1"/>
        <v>0</v>
      </c>
      <c r="Q10" s="55">
        <f ca="1"/>
        <v>0</v>
      </c>
      <c r="R10" s="48"/>
      <c r="S10" s="56">
        <f ca="1">S9/2</f>
        <v>0.16748473063317726</v>
      </c>
      <c r="T10" s="53">
        <v>0.51878799960559197</v>
      </c>
      <c r="U10" s="54">
        <v>0.69860391422626722</v>
      </c>
      <c r="V10" s="54">
        <v>-0.46709968918457184</v>
      </c>
      <c r="W10" s="55">
        <v>0.1569377674641943</v>
      </c>
      <c r="Y10" s="8">
        <f t="shared" si="4"/>
        <v>7</v>
      </c>
      <c r="Z10" s="61">
        <f t="shared" ca="1" si="0"/>
        <v>-0.56089653127109618</v>
      </c>
      <c r="AA10" s="61">
        <f t="shared" ca="1" si="1"/>
        <v>0.72644536733736664</v>
      </c>
      <c r="AB10" s="61">
        <f t="shared" ca="1" si="1"/>
        <v>1.4254257468924467</v>
      </c>
      <c r="AC10" s="61">
        <f t="shared" ca="1" si="1"/>
        <v>1.0668741542178752</v>
      </c>
      <c r="AD10" s="37"/>
      <c r="AE10" s="62">
        <f t="array" aca="1" ref="AE10:AH10" ca="1">TRANSPOSE($B$9:$B$12 + MMULT($D$9:$G$12,TRANSPOSE(AO10:AR10)) + MMULT($N$9:$Q$12, TRANSPOSE(Z10:AC10)))</f>
        <v>0.41762429516050931</v>
      </c>
      <c r="AF10" s="62">
        <f ca="1"/>
        <v>0.94225668889066783</v>
      </c>
      <c r="AG10" s="62">
        <f ca="1"/>
        <v>1.3611401650435917</v>
      </c>
      <c r="AH10" s="62">
        <f ca="1"/>
        <v>0.57699686861824251</v>
      </c>
      <c r="AI10" s="37"/>
      <c r="AJ10" s="61">
        <f t="shared" ca="1" si="2"/>
        <v>-0.13104417494620682</v>
      </c>
      <c r="AK10" s="61">
        <f t="shared" ca="1" si="3"/>
        <v>-2.658147662110602E-2</v>
      </c>
      <c r="AL10" s="61">
        <f t="shared" ca="1" si="3"/>
        <v>-0.47059328476375267</v>
      </c>
      <c r="AM10" s="61">
        <f t="shared" ca="1" si="3"/>
        <v>0.15734086908164477</v>
      </c>
      <c r="AN10" s="37"/>
      <c r="AO10" s="62">
        <f t="array" aca="1" ref="AO10:AR10" ca="1">TRANSPOSE($B$17:$B$20 + MMULT($D$17:$G$20,TRANSPOSE(AO9:AR9)) + MMULT($N$17:$Q$20,TRANSPOSE(AJ10:AM10)))</f>
        <v>0.57197774818246971</v>
      </c>
      <c r="AP10" s="62">
        <f ca="1"/>
        <v>0.54765293364446554</v>
      </c>
      <c r="AQ10" s="62">
        <f ca="1"/>
        <v>0.29985745792819651</v>
      </c>
      <c r="AR10" s="62">
        <f ca="1"/>
        <v>0.65434289676332014</v>
      </c>
    </row>
    <row r="11" spans="2:47" x14ac:dyDescent="0.15">
      <c r="B11" s="33">
        <f ca="1">RAND() *$B$14</f>
        <v>0.13121470932916363</v>
      </c>
      <c r="D11" s="34">
        <v>0.38660279684843957</v>
      </c>
      <c r="E11" s="26">
        <v>-0.37984324009361448</v>
      </c>
      <c r="F11" s="26">
        <v>-9.302292495633413E-2</v>
      </c>
      <c r="G11" s="35">
        <v>0.83522699061795436</v>
      </c>
      <c r="I11" s="34">
        <f ca="1"/>
        <v>-7.8616880577000364E-2</v>
      </c>
      <c r="J11" s="26">
        <f ca="1"/>
        <v>-4.0457615893159805E-2</v>
      </c>
      <c r="K11" s="26">
        <f ca="1"/>
        <v>0.20927569938428178</v>
      </c>
      <c r="L11" s="35">
        <f ca="1"/>
        <v>-4.7386741262677085E-2</v>
      </c>
      <c r="N11" s="53">
        <f ca="1"/>
        <v>-0.19142378558043352</v>
      </c>
      <c r="O11" s="54">
        <f ca="1"/>
        <v>-1.962121491891611E-3</v>
      </c>
      <c r="P11" s="54">
        <f ca="1"/>
        <v>0.41548620166930816</v>
      </c>
      <c r="Q11" s="55">
        <f ca="1"/>
        <v>0</v>
      </c>
      <c r="R11" s="48"/>
      <c r="S11" s="56">
        <f ca="1">S10/2</f>
        <v>8.3742365316588629E-2</v>
      </c>
      <c r="T11" s="53">
        <v>-0.59899338202272678</v>
      </c>
      <c r="U11" s="54">
        <v>0.66546366653194977</v>
      </c>
      <c r="V11" s="54">
        <v>0.397501060372211</v>
      </c>
      <c r="W11" s="55">
        <v>0.20089286652789984</v>
      </c>
      <c r="Y11" s="8">
        <f t="shared" si="4"/>
        <v>8</v>
      </c>
      <c r="Z11" s="61">
        <f t="shared" ca="1" si="0"/>
        <v>0.29636725462420871</v>
      </c>
      <c r="AA11" s="61">
        <f t="shared" ca="1" si="1"/>
        <v>0.78319211911163489</v>
      </c>
      <c r="AB11" s="61">
        <f t="shared" ca="1" si="1"/>
        <v>1.2327017936842353</v>
      </c>
      <c r="AC11" s="61">
        <f t="shared" ca="1" si="1"/>
        <v>0.80495681342743852</v>
      </c>
      <c r="AD11" s="37"/>
      <c r="AE11" s="62">
        <f t="array" aca="1" ref="AE11:AH11" ca="1">TRANSPOSE($B$9:$B$12 + MMULT($D$9:$G$12,TRANSPOSE(AO11:AR11)) + MMULT($N$9:$Q$12, TRANSPOSE(Z11:AC11)))</f>
        <v>0.92493734528739391</v>
      </c>
      <c r="AF11" s="62">
        <f ca="1"/>
        <v>0.51192039210550666</v>
      </c>
      <c r="AG11" s="62">
        <f ca="1"/>
        <v>1.6251744388933944</v>
      </c>
      <c r="AH11" s="62">
        <f ca="1"/>
        <v>1.0391719357082068</v>
      </c>
      <c r="AI11" s="37"/>
      <c r="AJ11" s="61">
        <f t="shared" ca="1" si="2"/>
        <v>-0.26436753521111472</v>
      </c>
      <c r="AK11" s="61">
        <f t="shared" ca="1" si="3"/>
        <v>-1.3562062808038144</v>
      </c>
      <c r="AL11" s="61">
        <f t="shared" ca="1" si="3"/>
        <v>0.50247830171318097</v>
      </c>
      <c r="AM11" s="61">
        <f t="shared" ca="1" si="3"/>
        <v>0.99305637341079789</v>
      </c>
      <c r="AN11" s="37"/>
      <c r="AO11" s="62">
        <f t="array" aca="1" ref="AO11:AR11" ca="1">TRANSPOSE($B$17:$B$20 + MMULT($D$17:$G$20,TRANSPOSE(AO10:AR10)) + MMULT($N$17:$Q$20,TRANSPOSE(AJ11:AM11)))</f>
        <v>0.44988061283256642</v>
      </c>
      <c r="AP11" s="62">
        <f ca="1"/>
        <v>-6.8625397115380848E-2</v>
      </c>
      <c r="AQ11" s="62">
        <f ca="1"/>
        <v>0.82830139904802091</v>
      </c>
      <c r="AR11" s="62">
        <f ca="1"/>
        <v>1.0980447665504822</v>
      </c>
    </row>
    <row r="12" spans="2:47" x14ac:dyDescent="0.15">
      <c r="B12" s="39">
        <f ca="1">RAND() *$B$14</f>
        <v>0.12121894894839952</v>
      </c>
      <c r="D12" s="40">
        <v>-0.44930031364159762</v>
      </c>
      <c r="E12" s="41">
        <v>0.30613123328063363</v>
      </c>
      <c r="F12" s="41">
        <v>0.72218510502536137</v>
      </c>
      <c r="G12" s="42">
        <v>0.42762316383837451</v>
      </c>
      <c r="I12" s="40">
        <f ca="1"/>
        <v>3.2269851129946923E-2</v>
      </c>
      <c r="J12" s="41">
        <f ca="1"/>
        <v>3.6888358751693091E-3</v>
      </c>
      <c r="K12" s="41">
        <f ca="1"/>
        <v>-4.7386741262677085E-2</v>
      </c>
      <c r="L12" s="42">
        <f ca="1"/>
        <v>5.8924420132347187E-2</v>
      </c>
      <c r="N12" s="57">
        <f ca="1"/>
        <v>7.8573672957696003E-2</v>
      </c>
      <c r="O12" s="58">
        <f ca="1"/>
        <v>-3.2752421263908135E-2</v>
      </c>
      <c r="P12" s="58">
        <f ca="1"/>
        <v>-7.8005323492367371E-2</v>
      </c>
      <c r="Q12" s="59">
        <f ca="1"/>
        <v>0.21352528294908504</v>
      </c>
      <c r="R12" s="48"/>
      <c r="S12" s="60">
        <f ca="1">S11/2</f>
        <v>4.1871182658294315E-2</v>
      </c>
      <c r="T12" s="57">
        <v>0.17796156409704289</v>
      </c>
      <c r="U12" s="58">
        <v>-0.22766190134529238</v>
      </c>
      <c r="V12" s="58">
        <v>0.1734836233066403</v>
      </c>
      <c r="W12" s="59">
        <v>0.94148986867856488</v>
      </c>
      <c r="Y12" s="8">
        <f t="shared" si="4"/>
        <v>9</v>
      </c>
      <c r="Z12" s="61">
        <f t="shared" ca="1" si="0"/>
        <v>-0.53778067204897972</v>
      </c>
      <c r="AA12" s="61">
        <f t="shared" ca="1" si="1"/>
        <v>-0.74992017319917947</v>
      </c>
      <c r="AB12" s="61">
        <f t="shared" ca="1" si="1"/>
        <v>0.46746349214265887</v>
      </c>
      <c r="AC12" s="61">
        <f t="shared" ca="1" si="1"/>
        <v>-0.43510127092818018</v>
      </c>
      <c r="AD12" s="37"/>
      <c r="AE12" s="62">
        <f t="array" aca="1" ref="AE12:AH12" ca="1">TRANSPOSE($B$9:$B$12 + MMULT($D$9:$G$12,TRANSPOSE(AO12:AR12)) + MMULT($N$9:$Q$12, TRANSPOSE(Z12:AC12)))</f>
        <v>0.4627779311311373</v>
      </c>
      <c r="AF12" s="62">
        <f ca="1"/>
        <v>-7.7355790782505929E-2</v>
      </c>
      <c r="AG12" s="62">
        <f ca="1"/>
        <v>1.3919182994479813</v>
      </c>
      <c r="AH12" s="62">
        <f ca="1"/>
        <v>1.224494458051794</v>
      </c>
      <c r="AI12" s="37"/>
      <c r="AJ12" s="61">
        <f t="shared" ca="1" si="2"/>
        <v>-1.0286611698287582</v>
      </c>
      <c r="AK12" s="61">
        <f t="shared" ca="1" si="3"/>
        <v>-0.36029780402069872</v>
      </c>
      <c r="AL12" s="61">
        <f t="shared" ca="1" si="3"/>
        <v>1.6080151255668262</v>
      </c>
      <c r="AM12" s="61">
        <f t="shared" ca="1" si="3"/>
        <v>1.505225718675637</v>
      </c>
      <c r="AN12" s="37"/>
      <c r="AO12" s="62">
        <f t="array" aca="1" ref="AO12:AR12" ca="1">TRANSPOSE($B$17:$B$20 + MMULT($D$17:$G$20,TRANSPOSE(AO11:AR11)) + MMULT($N$17:$Q$20,TRANSPOSE(AJ12:AM12)))</f>
        <v>0.21621491115434677</v>
      </c>
      <c r="AP12" s="62">
        <f ca="1"/>
        <v>0.24306811830930974</v>
      </c>
      <c r="AQ12" s="62">
        <f ca="1"/>
        <v>1.0080887568784855</v>
      </c>
      <c r="AR12" s="62">
        <f ca="1"/>
        <v>1.2745964651441635</v>
      </c>
    </row>
    <row r="13" spans="2:47" x14ac:dyDescent="0.15">
      <c r="N13" s="48"/>
      <c r="O13" s="48"/>
      <c r="P13" s="48"/>
      <c r="Q13" s="48"/>
      <c r="R13" s="48"/>
      <c r="S13" s="48"/>
      <c r="T13" s="48"/>
      <c r="U13" s="48"/>
      <c r="V13" s="48"/>
      <c r="W13" s="48"/>
      <c r="Y13" s="8">
        <f t="shared" si="4"/>
        <v>10</v>
      </c>
      <c r="Z13" s="61">
        <f t="shared" ca="1" si="0"/>
        <v>-0.79996854545554175</v>
      </c>
      <c r="AA13" s="61">
        <f t="shared" ca="1" si="1"/>
        <v>-0.34401055878968628</v>
      </c>
      <c r="AB13" s="61">
        <f t="shared" ca="1" si="1"/>
        <v>1.0725377372873062</v>
      </c>
      <c r="AC13" s="61">
        <f t="shared" ca="1" si="1"/>
        <v>0.32393819081860747</v>
      </c>
      <c r="AD13" s="37"/>
      <c r="AE13" s="62">
        <f t="array" aca="1" ref="AE13:AH13" ca="1">TRANSPOSE($B$9:$B$12 + MMULT($D$9:$G$12,TRANSPOSE(AO13:AR13)) + MMULT($N$9:$Q$12, TRANSPOSE(Z13:AC13)))</f>
        <v>0.36039950224669365</v>
      </c>
      <c r="AF13" s="62">
        <f ca="1"/>
        <v>0.69642360723617291</v>
      </c>
      <c r="AG13" s="62">
        <f ca="1"/>
        <v>1.7866675734545525</v>
      </c>
      <c r="AH13" s="62">
        <f ca="1"/>
        <v>0.26642954947360098</v>
      </c>
      <c r="AI13" s="37"/>
      <c r="AJ13" s="61">
        <f t="shared" ca="1" si="2"/>
        <v>1.2267022465263757</v>
      </c>
      <c r="AK13" s="61">
        <f t="shared" ca="1" si="3"/>
        <v>2.3733415590751209E-2</v>
      </c>
      <c r="AL13" s="61">
        <f t="shared" ca="1" si="3"/>
        <v>-1.6039651555286427</v>
      </c>
      <c r="AM13" s="61">
        <f t="shared" ca="1" si="3"/>
        <v>0.76984194729727462</v>
      </c>
      <c r="AN13" s="37"/>
      <c r="AO13" s="62">
        <f t="array" aca="1" ref="AO13:AR13" ca="1">TRANSPOSE($B$17:$B$20 + MMULT($D$17:$G$20,TRANSPOSE(AO12:AR12)) + MMULT($N$17:$Q$20,TRANSPOSE(AJ13:AM13)))</f>
        <v>0.97175824681989598</v>
      </c>
      <c r="AP13" s="62">
        <f ca="1"/>
        <v>0.47445554513146898</v>
      </c>
      <c r="AQ13" s="62">
        <f ca="1"/>
        <v>8.0629767667920349E-2</v>
      </c>
      <c r="AR13" s="62">
        <f ca="1"/>
        <v>1.0393042103829384</v>
      </c>
    </row>
    <row r="14" spans="2:47" x14ac:dyDescent="0.15">
      <c r="B14" s="119">
        <v>0.3</v>
      </c>
      <c r="N14" s="48"/>
      <c r="O14" s="48"/>
      <c r="P14" s="48"/>
      <c r="Q14" s="48"/>
      <c r="R14" s="48"/>
      <c r="S14" s="48"/>
      <c r="T14" s="48"/>
      <c r="U14" s="48"/>
      <c r="V14" s="48"/>
      <c r="W14" s="48"/>
      <c r="Y14" s="8">
        <f t="shared" si="4"/>
        <v>11</v>
      </c>
      <c r="Z14" s="61">
        <f t="shared" ca="1" si="0"/>
        <v>1.0311714860906611</v>
      </c>
      <c r="AA14" s="61">
        <f t="shared" ca="1" si="1"/>
        <v>0.3553800004261618</v>
      </c>
      <c r="AB14" s="61">
        <f t="shared" ca="1" si="1"/>
        <v>-0.90469101141104047</v>
      </c>
      <c r="AC14" s="61">
        <f t="shared" ca="1" si="1"/>
        <v>8.421022181469924E-2</v>
      </c>
      <c r="AD14" s="37"/>
      <c r="AE14" s="62">
        <f t="array" aca="1" ref="AE14:AH14" ca="1">TRANSPOSE($B$9:$B$12 + MMULT($D$9:$G$12,TRANSPOSE(AO14:AR14)) + MMULT($N$9:$Q$12, TRANSPOSE(Z14:AC14)))</f>
        <v>1.7861323596874155</v>
      </c>
      <c r="AF14" s="62">
        <f ca="1"/>
        <v>1.2569168344023427</v>
      </c>
      <c r="AG14" s="62">
        <f ca="1"/>
        <v>0.81411968501975074</v>
      </c>
      <c r="AH14" s="62">
        <f ca="1"/>
        <v>1.251943968442639</v>
      </c>
      <c r="AI14" s="37"/>
      <c r="AJ14" s="61">
        <f t="shared" ca="1" si="2"/>
        <v>1.5815666822424499</v>
      </c>
      <c r="AK14" s="61">
        <f t="shared" ca="1" si="3"/>
        <v>-0.38882673627998993</v>
      </c>
      <c r="AL14" s="61">
        <f t="shared" ca="1" si="3"/>
        <v>0.51987818024779509</v>
      </c>
      <c r="AM14" s="61">
        <f t="shared" ca="1" si="3"/>
        <v>1.7698805155342392</v>
      </c>
      <c r="AN14" s="37"/>
      <c r="AO14" s="62">
        <f t="array" aca="1" ref="AO14:AR14" ca="1">TRANSPOSE($B$17:$B$20 + MMULT($D$17:$G$20,TRANSPOSE(AO13:AR13)) + MMULT($N$17:$Q$20,TRANSPOSE(AJ14:AM14)))</f>
        <v>1.1564780259892518</v>
      </c>
      <c r="AP14" s="62">
        <f ca="1"/>
        <v>0.5183983667257368</v>
      </c>
      <c r="AQ14" s="62">
        <f ca="1"/>
        <v>1.0629711407857152</v>
      </c>
      <c r="AR14" s="62">
        <f ca="1"/>
        <v>1.3236794654708717</v>
      </c>
    </row>
    <row r="15" spans="2:47" x14ac:dyDescent="0.15">
      <c r="N15" s="48"/>
      <c r="O15" s="48"/>
      <c r="P15" s="48"/>
      <c r="Q15" s="48"/>
      <c r="R15" s="48"/>
      <c r="S15" s="142" t="s">
        <v>39</v>
      </c>
      <c r="T15" s="143"/>
      <c r="U15" s="143"/>
      <c r="V15" s="143"/>
      <c r="W15" s="143"/>
      <c r="Y15" s="8">
        <f t="shared" si="4"/>
        <v>12</v>
      </c>
      <c r="Z15" s="61">
        <f t="shared" ca="1" si="0"/>
        <v>0.33185774894801368</v>
      </c>
      <c r="AA15" s="61">
        <f t="shared" ca="1" si="1"/>
        <v>-0.32403590374207092</v>
      </c>
      <c r="AB15" s="61">
        <f t="shared" ca="1" si="1"/>
        <v>0.28132396963766337</v>
      </c>
      <c r="AC15" s="61">
        <f t="shared" ca="1" si="1"/>
        <v>0.58221544423930194</v>
      </c>
      <c r="AD15" s="37"/>
      <c r="AE15" s="62">
        <f t="array" aca="1" ref="AE15:AH15" ca="1">TRANSPOSE($B$9:$B$12 + MMULT($D$9:$G$12,TRANSPOSE(AO15:AR15)) + MMULT($N$9:$Q$12, TRANSPOSE(Z15:AC15)))</f>
        <v>1.3766430115517199</v>
      </c>
      <c r="AF15" s="62">
        <f ca="1"/>
        <v>0.77585859058273587</v>
      </c>
      <c r="AG15" s="62">
        <f ca="1"/>
        <v>1.0557552290881302</v>
      </c>
      <c r="AH15" s="62">
        <f ca="1"/>
        <v>1.349425389364286</v>
      </c>
      <c r="AI15" s="37"/>
      <c r="AJ15" s="61">
        <f t="shared" ca="1" si="2"/>
        <v>1.4668940813743684E-2</v>
      </c>
      <c r="AK15" s="61">
        <f t="shared" ca="1" si="3"/>
        <v>-0.49113505945168406</v>
      </c>
      <c r="AL15" s="61">
        <f t="shared" ca="1" si="3"/>
        <v>0.55094434151305849</v>
      </c>
      <c r="AM15" s="61">
        <f t="shared" ca="1" si="3"/>
        <v>-0.49523474409905421</v>
      </c>
      <c r="AN15" s="37"/>
      <c r="AO15" s="62">
        <f t="array" aca="1" ref="AO15:AR15" ca="1">TRANSPOSE($B$17:$B$20 + MMULT($D$17:$G$20,TRANSPOSE(AO14:AR14)) + MMULT($N$17:$Q$20,TRANSPOSE(AJ15:AM15)))</f>
        <v>0.83980356916531129</v>
      </c>
      <c r="AP15" s="62">
        <f ca="1"/>
        <v>0.6423580242722251</v>
      </c>
      <c r="AQ15" s="62">
        <f ca="1"/>
        <v>1.1242011744370859</v>
      </c>
      <c r="AR15" s="62">
        <f ca="1"/>
        <v>1.0709009611428317</v>
      </c>
    </row>
    <row r="16" spans="2:47" x14ac:dyDescent="0.15">
      <c r="B16" s="17" t="s">
        <v>1</v>
      </c>
      <c r="D16" s="133" t="s">
        <v>27</v>
      </c>
      <c r="E16" s="133"/>
      <c r="F16" s="133"/>
      <c r="G16" s="95">
        <f ca="1">INDEX(MEigen($D$17:$G$20), 1, 1)</f>
        <v>0.75991157832299872</v>
      </c>
      <c r="I16" s="133" t="s">
        <v>11</v>
      </c>
      <c r="J16" s="133"/>
      <c r="K16" s="133"/>
      <c r="L16" s="133"/>
      <c r="N16" s="139" t="s">
        <v>19</v>
      </c>
      <c r="O16" s="139"/>
      <c r="P16" s="139"/>
      <c r="Q16" s="139"/>
      <c r="R16" s="48"/>
      <c r="S16" s="90" t="s">
        <v>9</v>
      </c>
      <c r="T16" s="141" t="s">
        <v>8</v>
      </c>
      <c r="U16" s="141"/>
      <c r="V16" s="141"/>
      <c r="W16" s="141"/>
      <c r="Y16" s="8">
        <f t="shared" si="4"/>
        <v>13</v>
      </c>
      <c r="Z16" s="61">
        <f t="shared" ca="1" si="0"/>
        <v>-1.2716191821198624</v>
      </c>
      <c r="AA16" s="61">
        <f t="shared" ca="1" si="1"/>
        <v>-1.0075167894059378</v>
      </c>
      <c r="AB16" s="61">
        <f t="shared" ca="1" si="1"/>
        <v>-0.18790445491530941</v>
      </c>
      <c r="AC16" s="61">
        <f t="shared" ca="1" si="1"/>
        <v>2.195124603040369</v>
      </c>
      <c r="AD16" s="37"/>
      <c r="AE16" s="62">
        <f t="array" aca="1" ref="AE16:AH16" ca="1">TRANSPOSE($B$9:$B$12 + MMULT($D$9:$G$12,TRANSPOSE(AO16:AR16)) + MMULT($N$9:$Q$12, TRANSPOSE(Z16:AC16)))</f>
        <v>0.42897493993145053</v>
      </c>
      <c r="AF16" s="62">
        <f ca="1"/>
        <v>0.54196377934630391</v>
      </c>
      <c r="AG16" s="62">
        <f ca="1"/>
        <v>0.77325147533120586</v>
      </c>
      <c r="AH16" s="62">
        <f ca="1"/>
        <v>1.0114882500259172</v>
      </c>
      <c r="AI16" s="37"/>
      <c r="AJ16" s="61">
        <f t="shared" ca="1" si="2"/>
        <v>0.39333578435554434</v>
      </c>
      <c r="AK16" s="61">
        <f t="shared" ca="1" si="3"/>
        <v>0.44683279347031968</v>
      </c>
      <c r="AL16" s="61">
        <f t="shared" ca="1" si="3"/>
        <v>-0.8874341149812186</v>
      </c>
      <c r="AM16" s="61">
        <f t="shared" ca="1" si="3"/>
        <v>-0.91399595936544376</v>
      </c>
      <c r="AN16" s="37"/>
      <c r="AO16" s="62">
        <f t="array" aca="1" ref="AO16:AR16" ca="1">TRANSPOSE($B$17:$B$20 + MMULT($D$17:$G$20,TRANSPOSE(AO15:AR15)) + MMULT($N$17:$Q$20,TRANSPOSE(AJ16:AM16)))</f>
        <v>0.89024740531416913</v>
      </c>
      <c r="AP16" s="62">
        <f ca="1"/>
        <v>0.93490224129785759</v>
      </c>
      <c r="AQ16" s="62">
        <f ca="1"/>
        <v>0.4403038082908039</v>
      </c>
      <c r="AR16" s="62">
        <f ca="1"/>
        <v>0.63050638928510661</v>
      </c>
    </row>
    <row r="17" spans="2:44" x14ac:dyDescent="0.15">
      <c r="B17" s="25">
        <f ca="1">RAND() *$B$14</f>
        <v>0.27400645918704497</v>
      </c>
      <c r="D17" s="27">
        <f t="array" aca="1" ref="D17:G20" ca="1">MTransition(E4:E5, 4)</f>
        <v>0.26128229037081513</v>
      </c>
      <c r="E17" s="28">
        <f ca="1"/>
        <v>7.1830888835937315E-2</v>
      </c>
      <c r="F17" s="28">
        <f ca="1"/>
        <v>0.14810254403161449</v>
      </c>
      <c r="G17" s="29">
        <f ca="1"/>
        <v>4.8370714892905911E-2</v>
      </c>
      <c r="I17" s="27">
        <f t="array" aca="1" ref="I17:L20" ca="1">MMULT(MMULT(T17:W20, MDiag(S17:S20)), TRANSPOSE(T17:W20))</f>
        <v>0.11326511711382221</v>
      </c>
      <c r="J17" s="28">
        <f ca="1"/>
        <v>4.1441967745564781E-3</v>
      </c>
      <c r="K17" s="28">
        <f ca="1"/>
        <v>6.0917467087954001E-2</v>
      </c>
      <c r="L17" s="29">
        <f ca="1"/>
        <v>3.3951568823517832E-2</v>
      </c>
      <c r="N17" s="49">
        <f t="array" aca="1" ref="N17:Q20" ca="1">MCholesky(I17:L20)</f>
        <v>0.33654883317851841</v>
      </c>
      <c r="O17" s="50">
        <f ca="1"/>
        <v>0</v>
      </c>
      <c r="P17" s="50">
        <f ca="1"/>
        <v>0</v>
      </c>
      <c r="Q17" s="51">
        <f ca="1"/>
        <v>0</v>
      </c>
      <c r="R17" s="48"/>
      <c r="S17" s="52">
        <f ca="1">E6</f>
        <v>0.34523971417380106</v>
      </c>
      <c r="T17" s="49">
        <f t="array" ref="T17:W20">MRndOrth(4)</f>
        <v>0.25470121222736153</v>
      </c>
      <c r="U17" s="50">
        <v>0.38963390647852875</v>
      </c>
      <c r="V17" s="50">
        <v>0.84561288932874057</v>
      </c>
      <c r="W17" s="51">
        <v>-0.26124998146085643</v>
      </c>
      <c r="Y17" s="8">
        <f t="shared" si="4"/>
        <v>14</v>
      </c>
      <c r="Z17" s="61">
        <f t="shared" ca="1" si="0"/>
        <v>2.2385831606936435</v>
      </c>
      <c r="AA17" s="61">
        <f t="shared" ca="1" si="1"/>
        <v>-1.8038377250466853</v>
      </c>
      <c r="AB17" s="61">
        <f t="shared" ca="1" si="1"/>
        <v>-1.9371067797829169</v>
      </c>
      <c r="AC17" s="61">
        <f t="shared" ca="1" si="1"/>
        <v>0.82669520163045696</v>
      </c>
      <c r="AD17" s="37"/>
      <c r="AE17" s="62">
        <f t="array" aca="1" ref="AE17:AH17" ca="1">TRANSPOSE($B$9:$B$12 + MMULT($D$9:$G$12,TRANSPOSE(AO17:AR17)) + MMULT($N$9:$Q$12, TRANSPOSE(Z17:AC17)))</f>
        <v>2.4051182221854068</v>
      </c>
      <c r="AF17" s="62">
        <f ca="1"/>
        <v>0.80787306835649331</v>
      </c>
      <c r="AG17" s="62">
        <f ca="1"/>
        <v>-0.89709470862726615</v>
      </c>
      <c r="AH17" s="62">
        <f ca="1"/>
        <v>1.7058089478881551</v>
      </c>
      <c r="AI17" s="37"/>
      <c r="AJ17" s="61">
        <f t="shared" ca="1" si="2"/>
        <v>0.57550306783927185</v>
      </c>
      <c r="AK17" s="61">
        <f t="shared" ca="1" si="3"/>
        <v>0.74672316326867505</v>
      </c>
      <c r="AL17" s="61">
        <f t="shared" ca="1" si="3"/>
        <v>1.1627549135110673</v>
      </c>
      <c r="AM17" s="61">
        <f t="shared" ca="1" si="3"/>
        <v>-1.1951856265002485</v>
      </c>
      <c r="AN17" s="37"/>
      <c r="AO17" s="62">
        <f t="array" aca="1" ref="AO17:AR17" ca="1">TRANSPOSE($B$17:$B$20 + MMULT($D$17:$G$20,TRANSPOSE(AO16:AR16)) + MMULT($N$17:$Q$20,TRANSPOSE(AJ17:AM17)))</f>
        <v>0.8631602441322479</v>
      </c>
      <c r="AP17" s="62">
        <f ca="1"/>
        <v>1.0425584551096623</v>
      </c>
      <c r="AQ17" s="62">
        <f ca="1"/>
        <v>1.2413151107384714</v>
      </c>
      <c r="AR17" s="62">
        <f ca="1"/>
        <v>0.45411584887903755</v>
      </c>
    </row>
    <row r="18" spans="2:44" x14ac:dyDescent="0.15">
      <c r="B18" s="33">
        <f ca="1">RAND() *$B$14</f>
        <v>5.1860005538947852E-2</v>
      </c>
      <c r="D18" s="34">
        <f ca="1"/>
        <v>0.33669856851824054</v>
      </c>
      <c r="E18" s="26">
        <f ca="1"/>
        <v>0.26128229037081513</v>
      </c>
      <c r="F18" s="26">
        <f ca="1"/>
        <v>7.1830888835937315E-2</v>
      </c>
      <c r="G18" s="35">
        <f ca="1"/>
        <v>0.14810254403161449</v>
      </c>
      <c r="I18" s="34">
        <f ca="1"/>
        <v>4.1441967745564781E-3</v>
      </c>
      <c r="J18" s="26">
        <f ca="1"/>
        <v>0.17763618909628656</v>
      </c>
      <c r="K18" s="26">
        <f ca="1"/>
        <v>-4.6585670234923937E-2</v>
      </c>
      <c r="L18" s="35">
        <f ca="1"/>
        <v>-7.8137858398433069E-2</v>
      </c>
      <c r="N18" s="53">
        <f ca="1"/>
        <v>1.2313805207454804E-2</v>
      </c>
      <c r="O18" s="54">
        <f ca="1"/>
        <v>0.4212891635178852</v>
      </c>
      <c r="P18" s="54">
        <f ca="1"/>
        <v>0</v>
      </c>
      <c r="Q18" s="55">
        <f ca="1"/>
        <v>0</v>
      </c>
      <c r="R18" s="48"/>
      <c r="S18" s="56">
        <f ca="1">S17/2</f>
        <v>0.17261985708690053</v>
      </c>
      <c r="T18" s="53">
        <v>-0.41570581681066632</v>
      </c>
      <c r="U18" s="54">
        <v>0.79472939928337638</v>
      </c>
      <c r="V18" s="54">
        <v>-0.10851837996327665</v>
      </c>
      <c r="W18" s="55">
        <v>0.4287395677968151</v>
      </c>
      <c r="Y18" s="8">
        <f t="shared" si="4"/>
        <v>15</v>
      </c>
      <c r="Z18" s="61">
        <f t="shared" ca="1" si="0"/>
        <v>-1.9206297817722267</v>
      </c>
      <c r="AA18" s="61">
        <f t="shared" ca="1" si="1"/>
        <v>2.706584991242786</v>
      </c>
      <c r="AB18" s="61">
        <f t="shared" ca="1" si="1"/>
        <v>0.62167015763227174</v>
      </c>
      <c r="AC18" s="61">
        <f t="shared" ca="1" si="1"/>
        <v>0.32718226985707238</v>
      </c>
      <c r="AD18" s="37"/>
      <c r="AE18" s="62">
        <f t="array" aca="1" ref="AE18:AH18" ca="1">TRANSPOSE($B$9:$B$12 + MMULT($D$9:$G$12,TRANSPOSE(AO18:AR18)) + MMULT($N$9:$Q$12, TRANSPOSE(Z18:AC18)))</f>
        <v>-8.2061464431564812E-2</v>
      </c>
      <c r="AF18" s="62">
        <f ca="1"/>
        <v>1.4959220384602001</v>
      </c>
      <c r="AG18" s="62">
        <f ca="1"/>
        <v>1.3687053855671272</v>
      </c>
      <c r="AH18" s="62">
        <f ca="1"/>
        <v>0.54906787243388822</v>
      </c>
      <c r="AI18" s="37"/>
      <c r="AJ18" s="61">
        <f t="shared" ca="1" si="2"/>
        <v>-0.6344790030034011</v>
      </c>
      <c r="AK18" s="61">
        <f t="shared" ca="1" si="3"/>
        <v>-0.27090346638461205</v>
      </c>
      <c r="AL18" s="61">
        <f t="shared" ca="1" si="3"/>
        <v>-0.83948116216224655</v>
      </c>
      <c r="AM18" s="61">
        <f t="shared" ca="1" si="3"/>
        <v>9.3956744104715349E-3</v>
      </c>
      <c r="AN18" s="37"/>
      <c r="AO18" s="62">
        <f t="array" aca="1" ref="AO18:AR18" ca="1">TRANSPOSE($B$17:$B$20 + MMULT($D$17:$G$20,TRANSPOSE(AO17:AR17)) + MMULT($N$17:$Q$20,TRANSPOSE(AJ18:AM18)))</f>
        <v>0.56669751118756573</v>
      </c>
      <c r="AP18" s="62">
        <f ca="1"/>
        <v>0.6493658197720551</v>
      </c>
      <c r="AQ18" s="62">
        <f ca="1"/>
        <v>0.48314579207743846</v>
      </c>
      <c r="AR18" s="62">
        <f ca="1"/>
        <v>0.82536333895676695</v>
      </c>
    </row>
    <row r="19" spans="2:44" x14ac:dyDescent="0.15">
      <c r="B19" s="33">
        <f ca="1">RAND() *$B$14</f>
        <v>0.10222605853315613</v>
      </c>
      <c r="D19" s="34">
        <f ca="1"/>
        <v>0.14810254403161449</v>
      </c>
      <c r="E19" s="26">
        <f ca="1"/>
        <v>0.33669856851824054</v>
      </c>
      <c r="F19" s="26">
        <f ca="1"/>
        <v>0.26128229037081513</v>
      </c>
      <c r="G19" s="35">
        <f ca="1"/>
        <v>7.1830888835937315E-2</v>
      </c>
      <c r="I19" s="34">
        <f ca="1"/>
        <v>6.0917467087954015E-2</v>
      </c>
      <c r="J19" s="26">
        <f ca="1"/>
        <v>-4.6585670234923937E-2</v>
      </c>
      <c r="K19" s="26">
        <f ca="1"/>
        <v>0.24196569617497049</v>
      </c>
      <c r="L19" s="35">
        <f ca="1"/>
        <v>8.9317348163522492E-2</v>
      </c>
      <c r="N19" s="53">
        <f ca="1"/>
        <v>0.1810063238449591</v>
      </c>
      <c r="O19" s="54">
        <f ca="1"/>
        <v>-0.11586945754894998</v>
      </c>
      <c r="P19" s="54">
        <f ca="1"/>
        <v>0.44246658146171486</v>
      </c>
      <c r="Q19" s="55">
        <f ca="1"/>
        <v>0</v>
      </c>
      <c r="R19" s="48"/>
      <c r="S19" s="56">
        <f ca="1">S18/2</f>
        <v>8.6309928543450265E-2</v>
      </c>
      <c r="T19" s="53">
        <v>0.73937443161825078</v>
      </c>
      <c r="U19" s="54">
        <v>0.42775702784935454</v>
      </c>
      <c r="V19" s="54">
        <v>-0.48088758285040289</v>
      </c>
      <c r="W19" s="55">
        <v>-0.19772836836168006</v>
      </c>
      <c r="Y19" s="8">
        <f t="shared" si="4"/>
        <v>16</v>
      </c>
      <c r="Z19" s="61">
        <f t="shared" ca="1" si="0"/>
        <v>-1.2214178994459932</v>
      </c>
      <c r="AA19" s="61">
        <f t="shared" ca="1" si="1"/>
        <v>8.8731216087052311E-2</v>
      </c>
      <c r="AB19" s="61">
        <f t="shared" ca="1" si="1"/>
        <v>-0.98055429349945233</v>
      </c>
      <c r="AC19" s="61">
        <f t="shared" ca="1" si="1"/>
        <v>2.5051048558314677</v>
      </c>
      <c r="AD19" s="37"/>
      <c r="AE19" s="62">
        <f t="array" aca="1" ref="AE19:AH19" ca="1">TRANSPOSE($B$9:$B$12 + MMULT($D$9:$G$12,TRANSPOSE(AO19:AR19)) + MMULT($N$9:$Q$12, TRANSPOSE(Z19:AC19)))</f>
        <v>0.46031103582941935</v>
      </c>
      <c r="AF19" s="62">
        <f ca="1"/>
        <v>0.67621945689720586</v>
      </c>
      <c r="AG19" s="62">
        <f ca="1"/>
        <v>0.57430643679067828</v>
      </c>
      <c r="AH19" s="62">
        <f ca="1"/>
        <v>1.4317915131188816</v>
      </c>
      <c r="AI19" s="37"/>
      <c r="AJ19" s="61">
        <f t="shared" ca="1" si="2"/>
        <v>0.34671286517322103</v>
      </c>
      <c r="AK19" s="61">
        <f t="shared" ca="1" si="3"/>
        <v>0.34720370594313682</v>
      </c>
      <c r="AL19" s="61">
        <f t="shared" ca="1" si="3"/>
        <v>0.296988135402039</v>
      </c>
      <c r="AM19" s="61">
        <f t="shared" ca="1" si="3"/>
        <v>0.52635489585037976</v>
      </c>
      <c r="AN19" s="37"/>
      <c r="AO19" s="62">
        <f t="array" aca="1" ref="AO19:AR19" ca="1">TRANSPOSE($B$17:$B$20 + MMULT($D$17:$G$20,TRANSPOSE(AO18:AR18)) + MMULT($N$17:$Q$20,TRANSPOSE(AJ19:AM19)))</f>
        <v>0.69688335279007774</v>
      </c>
      <c r="AP19" s="62">
        <f ca="1"/>
        <v>0.71981975048116109</v>
      </c>
      <c r="AQ19" s="62">
        <f ca="1"/>
        <v>0.74425420607939041</v>
      </c>
      <c r="AR19" s="62">
        <f ca="1"/>
        <v>0.82624064318961543</v>
      </c>
    </row>
    <row r="20" spans="2:44" x14ac:dyDescent="0.15">
      <c r="B20" s="39">
        <f ca="1">RAND() *$B$14</f>
        <v>0.1967294153152041</v>
      </c>
      <c r="D20" s="40">
        <f ca="1"/>
        <v>4.8370714892905911E-2</v>
      </c>
      <c r="E20" s="41">
        <f ca="1"/>
        <v>0.14810254403161449</v>
      </c>
      <c r="F20" s="41">
        <f ca="1"/>
        <v>0.33669856851824054</v>
      </c>
      <c r="G20" s="42">
        <f ca="1"/>
        <v>0.26128229037081513</v>
      </c>
      <c r="I20" s="40">
        <f ca="1"/>
        <v>3.3951568823517832E-2</v>
      </c>
      <c r="J20" s="41">
        <f ca="1"/>
        <v>-7.8137858398433069E-2</v>
      </c>
      <c r="K20" s="41">
        <f ca="1"/>
        <v>8.9317348163522478E-2</v>
      </c>
      <c r="L20" s="42">
        <f ca="1"/>
        <v>0.11445746169079866</v>
      </c>
      <c r="N20" s="57">
        <f ca="1"/>
        <v>0.10088155262005802</v>
      </c>
      <c r="O20" s="58">
        <f ca="1"/>
        <v>-0.18842187518799569</v>
      </c>
      <c r="P20" s="58">
        <f ca="1"/>
        <v>0.11125090746737948</v>
      </c>
      <c r="Q20" s="59">
        <f ca="1"/>
        <v>0.23748853987106214</v>
      </c>
      <c r="R20" s="48"/>
      <c r="S20" s="60">
        <f ca="1">S19/2</f>
        <v>4.3154964271725132E-2</v>
      </c>
      <c r="T20" s="57">
        <v>0.46437206658979979</v>
      </c>
      <c r="U20" s="58">
        <v>-0.18334264632771546</v>
      </c>
      <c r="V20" s="58">
        <v>0.2047186734803223</v>
      </c>
      <c r="W20" s="59">
        <v>0.84192299085909728</v>
      </c>
      <c r="Y20" s="8">
        <f t="shared" si="4"/>
        <v>17</v>
      </c>
      <c r="Z20" s="61">
        <f t="shared" ca="1" si="0"/>
        <v>-1.8731708923988362</v>
      </c>
      <c r="AA20" s="61">
        <f t="shared" ca="1" si="1"/>
        <v>-0.49537053580153778</v>
      </c>
      <c r="AB20" s="61">
        <f t="shared" ca="1" si="1"/>
        <v>-1.4423223845403956</v>
      </c>
      <c r="AC20" s="61">
        <f t="shared" ca="1" si="1"/>
        <v>0.69500393650222658</v>
      </c>
      <c r="AD20" s="37"/>
      <c r="AE20" s="62">
        <f t="array" aca="1" ref="AE20:AH20" ca="1">TRANSPOSE($B$9:$B$12 + MMULT($D$9:$G$12,TRANSPOSE(AO20:AR20)) + MMULT($N$9:$Q$12, TRANSPOSE(Z20:AC20)))</f>
        <v>-0.53787389181752343</v>
      </c>
      <c r="AF20" s="62">
        <f ca="1"/>
        <v>0.19723170967549108</v>
      </c>
      <c r="AG20" s="62">
        <f ca="1"/>
        <v>0.13172573680836125</v>
      </c>
      <c r="AH20" s="62">
        <f ca="1"/>
        <v>0.5102134804218218</v>
      </c>
      <c r="AI20" s="37"/>
      <c r="AJ20" s="61">
        <f t="shared" ca="1" si="2"/>
        <v>-1.2810882827689969</v>
      </c>
      <c r="AK20" s="61">
        <f t="shared" ca="1" si="3"/>
        <v>-3.9136705626019088E-3</v>
      </c>
      <c r="AL20" s="61">
        <f t="shared" ca="1" si="3"/>
        <v>-1.1624758672584499</v>
      </c>
      <c r="AM20" s="61">
        <f t="shared" ca="1" si="3"/>
        <v>-0.3373335176691637</v>
      </c>
      <c r="AN20" s="37"/>
      <c r="AO20" s="62">
        <f t="array" aca="1" ref="AO20:AR20" ca="1">TRANSPOSE($B$17:$B$20 + MMULT($D$17:$G$20,TRANSPOSE(AO19:AR19)) + MMULT($N$17:$Q$20,TRANSPOSE(AJ20:AM20)))</f>
        <v>0.22683805535071916</v>
      </c>
      <c r="AP20" s="62">
        <f ca="1"/>
        <v>0.63298070972351905</v>
      </c>
      <c r="AQ20" s="62">
        <f ca="1"/>
        <v>-4.4179749789307943E-2</v>
      </c>
      <c r="AR20" s="62">
        <f ca="1"/>
        <v>0.46557657746265857</v>
      </c>
    </row>
    <row r="21" spans="2:44" x14ac:dyDescent="0.15">
      <c r="Y21" s="8">
        <f t="shared" si="4"/>
        <v>18</v>
      </c>
      <c r="Z21" s="61">
        <f t="shared" ca="1" si="0"/>
        <v>1.3967276931423609</v>
      </c>
      <c r="AA21" s="61">
        <f t="shared" ca="1" si="1"/>
        <v>0.38099319180759372</v>
      </c>
      <c r="AB21" s="61">
        <f t="shared" ca="1" si="1"/>
        <v>0.34715927343124925</v>
      </c>
      <c r="AC21" s="61">
        <f t="shared" ca="1" si="1"/>
        <v>-0.14319676017381583</v>
      </c>
      <c r="AD21" s="37"/>
      <c r="AE21" s="62">
        <f t="array" aca="1" ref="AE21:AH21" ca="1">TRANSPOSE($B$9:$B$12 + MMULT($D$9:$G$12,TRANSPOSE(AO21:AR21)) + MMULT($N$9:$Q$12, TRANSPOSE(Z21:AC21)))</f>
        <v>1.6717325210662333</v>
      </c>
      <c r="AF21" s="62">
        <f ca="1"/>
        <v>1.2892244180411574</v>
      </c>
      <c r="AG21" s="62">
        <f ca="1"/>
        <v>0.32474209656609548</v>
      </c>
      <c r="AH21" s="62">
        <f ca="1"/>
        <v>1.040466840797571</v>
      </c>
      <c r="AI21" s="37"/>
      <c r="AJ21" s="61">
        <f t="shared" ca="1" si="2"/>
        <v>0.68761693589347128</v>
      </c>
      <c r="AK21" s="61">
        <f t="shared" ca="1" si="3"/>
        <v>1.059609466021957</v>
      </c>
      <c r="AL21" s="61">
        <f t="shared" ca="1" si="3"/>
        <v>1.2564956039179682</v>
      </c>
      <c r="AM21" s="61">
        <f t="shared" ca="1" si="3"/>
        <v>0.6156128143912899</v>
      </c>
      <c r="AN21" s="37"/>
      <c r="AO21" s="62">
        <f t="array" aca="1" ref="AO21:AR21" ca="1">TRANSPOSE($B$17:$B$20 + MMULT($D$17:$G$20,TRANSPOSE(AO20:AR20)) + MMULT($N$17:$Q$20,TRANSPOSE(AJ21:AM21)))</f>
        <v>0.62613660882730571</v>
      </c>
      <c r="AP21" s="62">
        <f ca="1"/>
        <v>0.81427147512790043</v>
      </c>
      <c r="AQ21" s="62">
        <f ca="1"/>
        <v>0.92848839786989878</v>
      </c>
      <c r="AR21" s="62">
        <f ca="1"/>
        <v>0.56392096976764161</v>
      </c>
    </row>
    <row r="22" spans="2:44" x14ac:dyDescent="0.15">
      <c r="Y22" s="8">
        <f t="shared" si="4"/>
        <v>19</v>
      </c>
      <c r="Z22" s="61">
        <f t="shared" ca="1" si="0"/>
        <v>1.4202795943418935</v>
      </c>
      <c r="AA22" s="61">
        <f t="shared" ca="1" si="1"/>
        <v>1.5373063783701288</v>
      </c>
      <c r="AB22" s="61">
        <f t="shared" ca="1" si="1"/>
        <v>-0.16474876425305893</v>
      </c>
      <c r="AC22" s="61">
        <f t="shared" ca="1" si="1"/>
        <v>-0.99462828358401156</v>
      </c>
      <c r="AD22" s="37"/>
      <c r="AE22" s="62">
        <f t="array" aca="1" ref="AE22:AH22" ca="1">TRANSPOSE($B$9:$B$12 + MMULT($D$9:$G$12,TRANSPOSE(AO22:AR22)) + MMULT($N$9:$Q$12, TRANSPOSE(Z22:AC22)))</f>
        <v>2.009943471571324</v>
      </c>
      <c r="AF22" s="62">
        <f ca="1"/>
        <v>2.2605371273334502</v>
      </c>
      <c r="AG22" s="62">
        <f ca="1"/>
        <v>0.33901896230853179</v>
      </c>
      <c r="AH22" s="62">
        <f ca="1"/>
        <v>0.71273245940472008</v>
      </c>
      <c r="AI22" s="37"/>
      <c r="AJ22" s="61">
        <f t="shared" ca="1" si="2"/>
        <v>1.6367566898571366</v>
      </c>
      <c r="AK22" s="61">
        <f t="shared" ca="1" si="3"/>
        <v>1.1170628824933269</v>
      </c>
      <c r="AL22" s="61">
        <f t="shared" ca="1" si="3"/>
        <v>-0.10125338734456082</v>
      </c>
      <c r="AM22" s="61">
        <f t="shared" ca="1" si="3"/>
        <v>-0.19732246411427254</v>
      </c>
      <c r="AN22" s="37"/>
      <c r="AO22" s="62">
        <f t="array" aca="1" ref="AO22:AR22" ca="1">TRANSPOSE($B$17:$B$20 + MMULT($D$17:$G$20,TRANSPOSE(AO21:AR21)) + MMULT($N$17:$Q$20,TRANSPOSE(AJ22:AM22)))</f>
        <v>1.2117320186863305</v>
      </c>
      <c r="AP22" s="62">
        <f ca="1"/>
        <v>1.1164074889946112</v>
      </c>
      <c r="AQ22" s="62">
        <f ca="1"/>
        <v>0.87425564399976663</v>
      </c>
      <c r="AR22" s="62">
        <f ca="1"/>
        <v>0.70408816272049546</v>
      </c>
    </row>
    <row r="23" spans="2:44" x14ac:dyDescent="0.15">
      <c r="Y23" s="8">
        <f t="shared" si="4"/>
        <v>20</v>
      </c>
      <c r="Z23" s="61">
        <f t="shared" ca="1" si="0"/>
        <v>-0.52055391384957694</v>
      </c>
      <c r="AA23" s="61">
        <f t="shared" ca="1" si="1"/>
        <v>1.0114934907673303</v>
      </c>
      <c r="AB23" s="61">
        <f t="shared" ca="1" si="1"/>
        <v>-0.88276717010546291</v>
      </c>
      <c r="AC23" s="61">
        <f t="shared" ca="1" si="1"/>
        <v>1.5942540069747786</v>
      </c>
      <c r="AD23" s="37"/>
      <c r="AE23" s="62">
        <f t="array" aca="1" ref="AE23:AH23" ca="1">TRANSPOSE($B$9:$B$12 + MMULT($D$9:$G$12,TRANSPOSE(AO23:AR23)) + MMULT($N$9:$Q$12, TRANSPOSE(Z23:AC23)))</f>
        <v>1.3034396706076956</v>
      </c>
      <c r="AF23" s="62">
        <f ca="1"/>
        <v>1.0731350025129083</v>
      </c>
      <c r="AG23" s="62">
        <f ca="1"/>
        <v>0.64742200397253269</v>
      </c>
      <c r="AH23" s="62">
        <f ca="1"/>
        <v>1.2368755309095831</v>
      </c>
      <c r="AI23" s="37"/>
      <c r="AJ23" s="61">
        <f t="shared" ca="1" si="2"/>
        <v>0.87505418711096428</v>
      </c>
      <c r="AK23" s="61">
        <f t="shared" ca="1" si="3"/>
        <v>-0.94650547350644965</v>
      </c>
      <c r="AL23" s="61">
        <f t="shared" ca="1" si="3"/>
        <v>-0.24669478133905196</v>
      </c>
      <c r="AM23" s="61">
        <f t="shared" ca="1" si="3"/>
        <v>-1.5036761363001634</v>
      </c>
      <c r="AN23" s="37"/>
      <c r="AO23" s="62">
        <f t="array" aca="1" ref="AO23:AR23" ca="1">TRANSPOSE($B$17:$B$20 + MMULT($D$17:$G$20,TRANSPOSE(AO22:AR22)) + MMULT($N$17:$Q$20,TRANSPOSE(AJ23:AM23)))</f>
        <v>1.1288383170115983</v>
      </c>
      <c r="AP23" s="62">
        <f ca="1"/>
        <v>0.53064450307720468</v>
      </c>
      <c r="AQ23" s="62">
        <f ca="1"/>
        <v>1.0954894729865041</v>
      </c>
      <c r="AR23" s="62">
        <f ca="1"/>
        <v>0.78107923312194028</v>
      </c>
    </row>
    <row r="24" spans="2:44" x14ac:dyDescent="0.15">
      <c r="Y24" s="8">
        <f t="shared" si="4"/>
        <v>21</v>
      </c>
      <c r="Z24" s="61">
        <f t="shared" ca="1" si="0"/>
        <v>2.2926837899216004</v>
      </c>
      <c r="AA24" s="61">
        <f t="shared" ca="1" si="1"/>
        <v>-0.97920923705662366</v>
      </c>
      <c r="AB24" s="61">
        <f t="shared" ca="1" si="1"/>
        <v>-1.3985720953501637</v>
      </c>
      <c r="AC24" s="61">
        <f t="shared" ca="1" si="1"/>
        <v>7.7513036051600856E-2</v>
      </c>
      <c r="AD24" s="37"/>
      <c r="AE24" s="62">
        <f t="array" aca="1" ref="AE24:AH24" ca="1">TRANSPOSE($B$9:$B$12 + MMULT($D$9:$G$12,TRANSPOSE(AO24:AR24)) + MMULT($N$9:$Q$12, TRANSPOSE(Z24:AC24)))</f>
        <v>1.5432311324764676</v>
      </c>
      <c r="AF24" s="62">
        <f ca="1"/>
        <v>1.482910789115093</v>
      </c>
      <c r="AG24" s="62">
        <f ca="1"/>
        <v>-0.17173772654809083</v>
      </c>
      <c r="AH24" s="62">
        <f ca="1"/>
        <v>1.0398571931760809</v>
      </c>
      <c r="AI24" s="37"/>
      <c r="AJ24" s="61">
        <f t="shared" ca="1" si="2"/>
        <v>-0.15296571182424715</v>
      </c>
      <c r="AK24" s="61">
        <f t="shared" ca="1" si="3"/>
        <v>0.70750248678283512</v>
      </c>
      <c r="AL24" s="61">
        <f t="shared" ca="1" si="3"/>
        <v>-1.0320628850824012</v>
      </c>
      <c r="AM24" s="61">
        <f t="shared" ca="1" si="3"/>
        <v>1.5775588583563007</v>
      </c>
      <c r="AN24" s="37"/>
      <c r="AO24" s="62">
        <f t="array" aca="1" ref="AO24:AR24" ca="1">TRANSPOSE($B$17:$B$20 + MMULT($D$17:$G$20,TRANSPOSE(AO23:AR23)) + MMULT($N$17:$Q$20,TRANSPOSE(AJ24:AM24)))</f>
        <v>0.75561429339860442</v>
      </c>
      <c r="AP24" s="62">
        <f ca="1"/>
        <v>1.0611356070373836</v>
      </c>
      <c r="AQ24" s="62">
        <f ca="1"/>
        <v>0.22409571666096084</v>
      </c>
      <c r="AR24" s="62">
        <f ca="1"/>
        <v>1.0139476944988484</v>
      </c>
    </row>
    <row r="25" spans="2:44" x14ac:dyDescent="0.15">
      <c r="Y25" s="8">
        <f t="shared" si="4"/>
        <v>22</v>
      </c>
      <c r="Z25" s="61">
        <f t="shared" ca="1" si="0"/>
        <v>-0.44670155699279129</v>
      </c>
      <c r="AA25" s="61">
        <f t="shared" ca="1" si="1"/>
        <v>-0.85484819774907228</v>
      </c>
      <c r="AB25" s="61">
        <f t="shared" ca="1" si="1"/>
        <v>1.3203411746297948</v>
      </c>
      <c r="AC25" s="61">
        <f t="shared" ca="1" si="1"/>
        <v>0.98991885875306673</v>
      </c>
      <c r="AD25" s="37"/>
      <c r="AE25" s="62">
        <f t="array" aca="1" ref="AE25:AH25" ca="1">TRANSPOSE($B$9:$B$12 + MMULT($D$9:$G$12,TRANSPOSE(AO25:AR25)) + MMULT($N$9:$Q$12, TRANSPOSE(Z25:AC25)))</f>
        <v>0.16429546688581051</v>
      </c>
      <c r="AF25" s="62">
        <f ca="1"/>
        <v>0.53811300745860002</v>
      </c>
      <c r="AG25" s="62">
        <f ca="1"/>
        <v>1.2838465393423348</v>
      </c>
      <c r="AH25" s="62">
        <f ca="1"/>
        <v>0.77428911764015496</v>
      </c>
      <c r="AI25" s="37"/>
      <c r="AJ25" s="61">
        <f t="shared" ca="1" si="2"/>
        <v>-0.82178403489878826</v>
      </c>
      <c r="AK25" s="61">
        <f t="shared" ca="1" si="3"/>
        <v>7.471521571543481E-2</v>
      </c>
      <c r="AL25" s="61">
        <f t="shared" ca="1" si="3"/>
        <v>-0.8515376245644628</v>
      </c>
      <c r="AM25" s="61">
        <f t="shared" ca="1" si="3"/>
        <v>1.2028747946526492</v>
      </c>
      <c r="AN25" s="37"/>
      <c r="AO25" s="62">
        <f t="array" aca="1" ref="AO25:AR25" ca="1">TRANSPOSE($B$17:$B$20 + MMULT($D$17:$G$20,TRANSPOSE(AO24:AR24)) + MMULT($N$17:$Q$20,TRANSPOSE(AJ25:AM25)))</f>
        <v>0.35332146875319176</v>
      </c>
      <c r="AP25" s="62">
        <f ca="1"/>
        <v>0.7711528480637595</v>
      </c>
      <c r="AQ25" s="62">
        <f ca="1"/>
        <v>0.16862004343165382</v>
      </c>
      <c r="AR25" s="62">
        <f ca="1"/>
        <v>0.8247689995258467</v>
      </c>
    </row>
    <row r="26" spans="2:44" x14ac:dyDescent="0.15">
      <c r="Y26" s="8">
        <f t="shared" si="4"/>
        <v>23</v>
      </c>
      <c r="Z26" s="61">
        <f t="shared" ca="1" si="0"/>
        <v>1.0441097079852311</v>
      </c>
      <c r="AA26" s="61">
        <f t="shared" ca="1" si="1"/>
        <v>-1.1678808758426311</v>
      </c>
      <c r="AB26" s="61">
        <f t="shared" ca="1" si="1"/>
        <v>-0.48467610947000694</v>
      </c>
      <c r="AC26" s="61">
        <f t="shared" ca="1" si="1"/>
        <v>0.19975708240339807</v>
      </c>
      <c r="AD26" s="37"/>
      <c r="AE26" s="62">
        <f t="array" aca="1" ref="AE26:AH26" ca="1">TRANSPOSE($B$9:$B$12 + MMULT($D$9:$G$12,TRANSPOSE(AO26:AR26)) + MMULT($N$9:$Q$12, TRANSPOSE(Z26:AC26)))</f>
        <v>0.371174699345794</v>
      </c>
      <c r="AF26" s="62">
        <f ca="1"/>
        <v>0.42983733235935484</v>
      </c>
      <c r="AG26" s="62">
        <f ca="1"/>
        <v>0.11707137226742981</v>
      </c>
      <c r="AH26" s="62">
        <f ca="1"/>
        <v>0.82723857400671852</v>
      </c>
      <c r="AI26" s="37"/>
      <c r="AJ26" s="61">
        <f t="shared" ca="1" si="2"/>
        <v>-1.6737486948343401</v>
      </c>
      <c r="AK26" s="61">
        <f t="shared" ca="1" si="3"/>
        <v>0.1990514622901865</v>
      </c>
      <c r="AL26" s="61">
        <f t="shared" ca="1" si="3"/>
        <v>-0.51100887971939368</v>
      </c>
      <c r="AM26" s="61">
        <f t="shared" ca="1" si="3"/>
        <v>1.7450273746375051</v>
      </c>
      <c r="AN26" s="37"/>
      <c r="AO26" s="62">
        <f t="array" aca="1" ref="AO26:AR26" ca="1">TRANSPOSE($B$17:$B$20 + MMULT($D$17:$G$20,TRANSPOSE(AO25:AR25)) + MMULT($N$17:$Q$20,TRANSPOSE(AJ26:AM26)))</f>
        <v>-7.6714750460200376E-2</v>
      </c>
      <c r="AP26" s="62">
        <f ca="1"/>
        <v>0.56982194397724628</v>
      </c>
      <c r="AQ26" s="62">
        <f ca="1"/>
        <v>-3.4626186919332613E-2</v>
      </c>
      <c r="AR26" s="62">
        <f ca="1"/>
        <v>0.75151897128186473</v>
      </c>
    </row>
    <row r="27" spans="2:44" x14ac:dyDescent="0.15">
      <c r="Y27" s="8">
        <f t="shared" si="4"/>
        <v>24</v>
      </c>
      <c r="Z27" s="61">
        <f t="shared" ca="1" si="0"/>
        <v>5.3957373090956606E-2</v>
      </c>
      <c r="AA27" s="61">
        <f t="shared" ca="1" si="1"/>
        <v>1.3097442936536123</v>
      </c>
      <c r="AB27" s="61">
        <f t="shared" ca="1" si="1"/>
        <v>0.52813726710695941</v>
      </c>
      <c r="AC27" s="61">
        <f t="shared" ca="1" si="1"/>
        <v>-0.52226175051574808</v>
      </c>
      <c r="AD27" s="37"/>
      <c r="AE27" s="62">
        <f t="array" aca="1" ref="AE27:AH27" ca="1">TRANSPOSE($B$9:$B$12 + MMULT($D$9:$G$12,TRANSPOSE(AO27:AR27)) + MMULT($N$9:$Q$12, TRANSPOSE(Z27:AC27)))</f>
        <v>0.48794751627070143</v>
      </c>
      <c r="AF27" s="62">
        <f ca="1"/>
        <v>1.0237962138334231</v>
      </c>
      <c r="AG27" s="62">
        <f ca="1"/>
        <v>0.29441718381509541</v>
      </c>
      <c r="AH27" s="62">
        <f ca="1"/>
        <v>0.34908747933980694</v>
      </c>
      <c r="AI27" s="37"/>
      <c r="AJ27" s="61">
        <f t="shared" ca="1" si="2"/>
        <v>-0.63103394784123479</v>
      </c>
      <c r="AK27" s="61">
        <f t="shared" ca="1" si="3"/>
        <v>0.63573780347095687</v>
      </c>
      <c r="AL27" s="61">
        <f t="shared" ca="1" si="3"/>
        <v>0.39698944531824559</v>
      </c>
      <c r="AM27" s="61">
        <f t="shared" ca="1" si="3"/>
        <v>-0.61024104039468197</v>
      </c>
      <c r="AN27" s="37"/>
      <c r="AO27" s="62">
        <f t="array" aca="1" ref="AO27:AR27" ca="1">TRANSPOSE($B$17:$B$20 + MMULT($D$17:$G$20,TRANSPOSE(AO26:AR26)) + MMULT($N$17:$Q$20,TRANSPOSE(AJ27:AM27)))</f>
        <v>0.11374261487730158</v>
      </c>
      <c r="AP27" s="62">
        <f ca="1"/>
        <v>0.54378830158010949</v>
      </c>
      <c r="AQ27" s="62">
        <f ca="1"/>
        <v>0.31542854112651642</v>
      </c>
      <c r="AR27" s="62">
        <f ca="1"/>
        <v>0.17790434696715568</v>
      </c>
    </row>
    <row r="28" spans="2:44" x14ac:dyDescent="0.15">
      <c r="Y28" s="8">
        <f t="shared" si="4"/>
        <v>25</v>
      </c>
      <c r="Z28" s="61">
        <f t="shared" ca="1" si="0"/>
        <v>0.70975834279309158</v>
      </c>
      <c r="AA28" s="61">
        <f t="shared" ca="1" si="1"/>
        <v>0.26277935063004798</v>
      </c>
      <c r="AB28" s="61">
        <f t="shared" ca="1" si="1"/>
        <v>-0.8886005880004848</v>
      </c>
      <c r="AC28" s="61">
        <f t="shared" ca="1" si="1"/>
        <v>0.45892555822203485</v>
      </c>
      <c r="AD28" s="37"/>
      <c r="AE28" s="62">
        <f t="array" aca="1" ref="AE28:AH28" ca="1">TRANSPOSE($B$9:$B$12 + MMULT($D$9:$G$12,TRANSPOSE(AO28:AR28)) + MMULT($N$9:$Q$12, TRANSPOSE(Z28:AC28)))</f>
        <v>0.65630513230315568</v>
      </c>
      <c r="AF28" s="62">
        <f ca="1"/>
        <v>0.17750102977401253</v>
      </c>
      <c r="AG28" s="62">
        <f ca="1"/>
        <v>0.45504328752014933</v>
      </c>
      <c r="AH28" s="62">
        <f ca="1"/>
        <v>0.77402116679614841</v>
      </c>
      <c r="AI28" s="37"/>
      <c r="AJ28" s="61">
        <f t="shared" ca="1" si="2"/>
        <v>-0.71934936529887827</v>
      </c>
      <c r="AK28" s="61">
        <f t="shared" ca="1" si="3"/>
        <v>-1.3141682958406955</v>
      </c>
      <c r="AL28" s="61">
        <f t="shared" ca="1" si="3"/>
        <v>-0.19792085481991964</v>
      </c>
      <c r="AM28" s="61">
        <f t="shared" ca="1" si="3"/>
        <v>1.0164143443266338</v>
      </c>
      <c r="AN28" s="37"/>
      <c r="AO28" s="62">
        <f t="array" aca="1" ref="AO28:AR28" ca="1">TRANSPOSE($B$17:$B$20 + MMULT($D$17:$G$20,TRANSPOSE(AO27:AR27)) + MMULT($N$17:$Q$20,TRANSPOSE(AJ28:AM28)))</f>
        <v>0.15601112746336529</v>
      </c>
      <c r="AP28" s="62">
        <f ca="1"/>
        <v>-0.281257957122025</v>
      </c>
      <c r="AQ28" s="62">
        <f ca="1"/>
        <v>0.33185111028655434</v>
      </c>
      <c r="AR28" s="62">
        <f ca="1"/>
        <v>0.82987210889886243</v>
      </c>
    </row>
    <row r="29" spans="2:44" x14ac:dyDescent="0.15">
      <c r="Y29" s="8">
        <f t="shared" si="4"/>
        <v>26</v>
      </c>
      <c r="Z29" s="61">
        <f t="shared" ca="1" si="0"/>
        <v>0.35166315255969344</v>
      </c>
      <c r="AA29" s="61">
        <f t="shared" ca="1" si="1"/>
        <v>0.68347799782932606</v>
      </c>
      <c r="AB29" s="61">
        <f t="shared" ca="1" si="1"/>
        <v>-0.45902262415457701</v>
      </c>
      <c r="AC29" s="61">
        <f t="shared" ca="1" si="1"/>
        <v>1.173361009292366E-2</v>
      </c>
      <c r="AD29" s="37"/>
      <c r="AE29" s="62">
        <f t="array" aca="1" ref="AE29:AH29" ca="1">TRANSPOSE($B$9:$B$12 + MMULT($D$9:$G$12,TRANSPOSE(AO29:AR29)) + MMULT($N$9:$Q$12, TRANSPOSE(Z29:AC29)))</f>
        <v>1.3292564396203512</v>
      </c>
      <c r="AF29" s="62">
        <f ca="1"/>
        <v>-0.26514264741211857</v>
      </c>
      <c r="AG29" s="62">
        <f ca="1"/>
        <v>1.0566220755947016</v>
      </c>
      <c r="AH29" s="62">
        <f ca="1"/>
        <v>0.91731713444657526</v>
      </c>
      <c r="AI29" s="37"/>
      <c r="AJ29" s="61">
        <f t="shared" ca="1" si="2"/>
        <v>0.47187099044672137</v>
      </c>
      <c r="AK29" s="61">
        <f t="shared" ca="1" si="3"/>
        <v>-2.3952645034163567</v>
      </c>
      <c r="AL29" s="61">
        <f t="shared" ca="1" si="3"/>
        <v>1.4529039419111935</v>
      </c>
      <c r="AM29" s="61">
        <f t="shared" ca="1" si="3"/>
        <v>-0.96075862853666683</v>
      </c>
      <c r="AN29" s="37"/>
      <c r="AO29" s="62">
        <f t="array" aca="1" ref="AO29:AR29" ca="1">TRANSPOSE($B$17:$B$20 + MMULT($D$17:$G$20,TRANSPOSE(AO28:AR28)) + MMULT($N$17:$Q$20,TRANSPOSE(AJ29:AM29)))</f>
        <v>0.54266352693766318</v>
      </c>
      <c r="AP29" s="62">
        <f ca="1"/>
        <v>-0.8256441152201508</v>
      </c>
      <c r="AQ29" s="62">
        <f ca="1"/>
        <v>1.1827608935971434</v>
      </c>
      <c r="AR29" s="62">
        <f ca="1"/>
        <v>0.9235764708240124</v>
      </c>
    </row>
    <row r="30" spans="2:44" x14ac:dyDescent="0.15">
      <c r="Y30" s="8">
        <f t="shared" si="4"/>
        <v>27</v>
      </c>
      <c r="Z30" s="61">
        <f t="shared" ca="1" si="0"/>
        <v>-0.70762300357521035</v>
      </c>
      <c r="AA30" s="61">
        <f t="shared" ca="1" si="1"/>
        <v>3.2932311419148416E-2</v>
      </c>
      <c r="AB30" s="61">
        <f t="shared" ca="1" si="1"/>
        <v>0.97578323321504645</v>
      </c>
      <c r="AC30" s="61">
        <f t="shared" ca="1" si="1"/>
        <v>1.2167763650624148</v>
      </c>
      <c r="AD30" s="37"/>
      <c r="AE30" s="62">
        <f t="array" aca="1" ref="AE30:AH30" ca="1">TRANSPOSE($B$9:$B$12 + MMULT($D$9:$G$12,TRANSPOSE(AO30:AR30)) + MMULT($N$9:$Q$12, TRANSPOSE(Z30:AC30)))</f>
        <v>-0.33124752958535247</v>
      </c>
      <c r="AF30" s="62">
        <f ca="1"/>
        <v>6.3423010350533104E-2</v>
      </c>
      <c r="AG30" s="62">
        <f ca="1"/>
        <v>1.1838867879558657</v>
      </c>
      <c r="AH30" s="62">
        <f ca="1"/>
        <v>0.51594276280832696</v>
      </c>
      <c r="AI30" s="37"/>
      <c r="AJ30" s="61">
        <f t="shared" ca="1" si="2"/>
        <v>-1.9527244774320716</v>
      </c>
      <c r="AK30" s="61">
        <f t="shared" ca="1" si="3"/>
        <v>-0.41317084314391744</v>
      </c>
      <c r="AL30" s="61">
        <f t="shared" ca="1" si="3"/>
        <v>-0.14163908379338322</v>
      </c>
      <c r="AM30" s="61">
        <f t="shared" ca="1" si="3"/>
        <v>0.22907580624015977</v>
      </c>
      <c r="AN30" s="37"/>
      <c r="AO30" s="62">
        <f t="array" aca="1" ref="AO30:AR30" ca="1">TRANSPOSE($B$17:$B$20 + MMULT($D$17:$G$20,TRANSPOSE(AO29:AR29)) + MMULT($N$17:$Q$20,TRANSPOSE(AJ30:AM30)))</f>
        <v>-8.0855115176431069E-2</v>
      </c>
      <c r="AP30" s="62">
        <f ca="1"/>
        <v>4.2480776257251357E-2</v>
      </c>
      <c r="AQ30" s="62">
        <f ca="1"/>
        <v>-8.8273649106348606E-2</v>
      </c>
      <c r="AR30" s="62">
        <f ca="1"/>
        <v>0.65974846958819744</v>
      </c>
    </row>
    <row r="31" spans="2:44" x14ac:dyDescent="0.15">
      <c r="Y31" s="8">
        <f t="shared" si="4"/>
        <v>28</v>
      </c>
      <c r="Z31" s="61">
        <f t="shared" ca="1" si="0"/>
        <v>0.51964959749907536</v>
      </c>
      <c r="AA31" s="61">
        <f t="shared" ca="1" si="1"/>
        <v>1.5538138725589237</v>
      </c>
      <c r="AB31" s="61">
        <f t="shared" ca="1" si="1"/>
        <v>0.54679992610149131</v>
      </c>
      <c r="AC31" s="61">
        <f t="shared" ca="1" si="1"/>
        <v>2.3139554360054762</v>
      </c>
      <c r="AD31" s="37"/>
      <c r="AE31" s="62">
        <f t="array" aca="1" ref="AE31:AH31" ca="1">TRANSPOSE($B$9:$B$12 + MMULT($D$9:$G$12,TRANSPOSE(AO31:AR31)) + MMULT($N$9:$Q$12, TRANSPOSE(Z31:AC31)))</f>
        <v>1.493672845834112</v>
      </c>
      <c r="AF31" s="62">
        <f ca="1"/>
        <v>1.0945651118524082</v>
      </c>
      <c r="AG31" s="62">
        <f ca="1"/>
        <v>0.83849925222998289</v>
      </c>
      <c r="AH31" s="62">
        <f ca="1"/>
        <v>0.98916399901480823</v>
      </c>
      <c r="AI31" s="37"/>
      <c r="AJ31" s="61">
        <f t="shared" ca="1" si="2"/>
        <v>1.8304268185957675</v>
      </c>
      <c r="AK31" s="61">
        <f t="shared" ca="1" si="3"/>
        <v>2.6215525715168119E-2</v>
      </c>
      <c r="AL31" s="61">
        <f t="shared" ca="1" si="3"/>
        <v>0.79991909604417621</v>
      </c>
      <c r="AM31" s="61">
        <f t="shared" ca="1" si="3"/>
        <v>-0.68142939455853546</v>
      </c>
      <c r="AN31" s="37"/>
      <c r="AO31" s="62">
        <f t="array" aca="1" ref="AO31:AR31" ca="1">TRANSPOSE($B$17:$B$20 + MMULT($D$17:$G$20,TRANSPOSE(AO30:AR30)) + MMULT($N$17:$Q$20,TRANSPOSE(AJ31:AM31)))</f>
        <v>0.89079884455950054</v>
      </c>
      <c r="AP31" s="62">
        <f ca="1"/>
        <v>0.16068916680018072</v>
      </c>
      <c r="AQ31" s="62">
        <f ca="1"/>
        <v>0.81109912322356936</v>
      </c>
      <c r="AR31" s="62">
        <f ca="1"/>
        <v>0.44864566083767909</v>
      </c>
    </row>
    <row r="32" spans="2:44" x14ac:dyDescent="0.15">
      <c r="Y32" s="8">
        <f t="shared" si="4"/>
        <v>29</v>
      </c>
      <c r="Z32" s="61">
        <f t="shared" ca="1" si="0"/>
        <v>1.8151140698451178</v>
      </c>
      <c r="AA32" s="61">
        <f t="shared" ca="1" si="1"/>
        <v>0.30170647391155719</v>
      </c>
      <c r="AB32" s="61">
        <f t="shared" ca="1" si="1"/>
        <v>0.66945713523689743</v>
      </c>
      <c r="AC32" s="61">
        <f t="shared" ca="1" si="1"/>
        <v>-0.20259319949076629</v>
      </c>
      <c r="AD32" s="37"/>
      <c r="AE32" s="62">
        <f t="array" aca="1" ref="AE32:AH32" ca="1">TRANSPOSE($B$9:$B$12 + MMULT($D$9:$G$12,TRANSPOSE(AO32:AR32)) + MMULT($N$9:$Q$12, TRANSPOSE(Z32:AC32)))</f>
        <v>1.567256070393789</v>
      </c>
      <c r="AF32" s="62">
        <f ca="1"/>
        <v>0.83260429992134277</v>
      </c>
      <c r="AG32" s="62">
        <f ca="1"/>
        <v>0.8447583259837631</v>
      </c>
      <c r="AH32" s="62">
        <f ca="1"/>
        <v>0.74122742055929214</v>
      </c>
      <c r="AI32" s="37"/>
      <c r="AJ32" s="61">
        <f t="shared" ca="1" si="2"/>
        <v>-0.32043278868150982</v>
      </c>
      <c r="AK32" s="61">
        <f t="shared" ca="1" si="3"/>
        <v>-0.95038325701412996</v>
      </c>
      <c r="AL32" s="61">
        <f t="shared" ca="1" si="3"/>
        <v>9.3870940723961932E-2</v>
      </c>
      <c r="AM32" s="61">
        <f t="shared" ca="1" si="3"/>
        <v>-2.999395892161541E-2</v>
      </c>
      <c r="AN32" s="37"/>
      <c r="AO32" s="62">
        <f t="array" aca="1" ref="AO32:AR32" ca="1">TRANSPOSE($B$17:$B$20 + MMULT($D$17:$G$20,TRANSPOSE(AO31:AR31)) + MMULT($N$17:$Q$20,TRANSPOSE(AJ32:AM32)))</f>
        <v>0.55228474104743064</v>
      </c>
      <c r="AP32" s="62">
        <f ca="1"/>
        <v>0.1141515552623753</v>
      </c>
      <c r="AQ32" s="62">
        <f ca="1"/>
        <v>0.62606668487075123</v>
      </c>
      <c r="AR32" s="62">
        <f ca="1"/>
        <v>0.80400279023054333</v>
      </c>
    </row>
    <row r="33" spans="25:44" x14ac:dyDescent="0.15">
      <c r="Y33" s="8">
        <f t="shared" si="4"/>
        <v>30</v>
      </c>
      <c r="Z33" s="61">
        <f t="shared" ca="1" si="0"/>
        <v>-2.2691030276011706</v>
      </c>
      <c r="AA33" s="61">
        <f t="shared" ca="1" si="1"/>
        <v>0.52031664768497266</v>
      </c>
      <c r="AB33" s="61">
        <f t="shared" ca="1" si="1"/>
        <v>-0.87456543306235024</v>
      </c>
      <c r="AC33" s="61">
        <f t="shared" ca="1" si="1"/>
        <v>-4.1440460938171969E-2</v>
      </c>
      <c r="AD33" s="37"/>
      <c r="AE33" s="62">
        <f t="array" aca="1" ref="AE33:AH33" ca="1">TRANSPOSE($B$9:$B$12 + MMULT($D$9:$G$12,TRANSPOSE(AO33:AR33)) + MMULT($N$9:$Q$12, TRANSPOSE(Z33:AC33)))</f>
        <v>-0.34225061977652038</v>
      </c>
      <c r="AF33" s="62">
        <f ca="1"/>
        <v>9.9401779167644588E-2</v>
      </c>
      <c r="AG33" s="62">
        <f ca="1"/>
        <v>0.48592313341338672</v>
      </c>
      <c r="AH33" s="62">
        <f ca="1"/>
        <v>0.8391283482386267</v>
      </c>
      <c r="AI33" s="37"/>
      <c r="AJ33" s="61">
        <f t="shared" ca="1" si="2"/>
        <v>-1.4129291985929746</v>
      </c>
      <c r="AK33" s="61">
        <f t="shared" ca="1" si="3"/>
        <v>2.4968189158534361E-2</v>
      </c>
      <c r="AL33" s="61">
        <f t="shared" ca="1" si="3"/>
        <v>1.1930272306236003</v>
      </c>
      <c r="AM33" s="61">
        <f t="shared" ca="1" si="3"/>
        <v>-0.30071655946831038</v>
      </c>
      <c r="AN33" s="37"/>
      <c r="AO33" s="62">
        <f t="array" aca="1" ref="AO33:AR33" ca="1">TRANSPOSE($B$17:$B$20 + MMULT($D$17:$G$20,TRANSPOSE(AO32:AR32)) + MMULT($N$17:$Q$20,TRANSPOSE(AJ33:AM33)))</f>
        <v>8.2600874293086268E-2</v>
      </c>
      <c r="AP33" s="62">
        <f ca="1"/>
        <v>0.42480534476067988</v>
      </c>
      <c r="AQ33" s="62">
        <f ca="1"/>
        <v>0.71302038106028531</v>
      </c>
      <c r="AR33" s="62">
        <f ca="1"/>
        <v>0.57528298699195823</v>
      </c>
    </row>
    <row r="34" spans="25:44" x14ac:dyDescent="0.15">
      <c r="Y34" s="8">
        <f t="shared" si="4"/>
        <v>31</v>
      </c>
      <c r="Z34" s="61">
        <f t="shared" ca="1" si="0"/>
        <v>0.44086007275795641</v>
      </c>
      <c r="AA34" s="61">
        <f t="shared" ca="1" si="1"/>
        <v>-1.4749286179841794</v>
      </c>
      <c r="AB34" s="61">
        <f t="shared" ca="1" si="1"/>
        <v>-1.1912490055583937</v>
      </c>
      <c r="AC34" s="61">
        <f t="shared" ca="1" si="1"/>
        <v>-0.64087501739319153</v>
      </c>
      <c r="AD34" s="37"/>
      <c r="AE34" s="62">
        <f t="array" aca="1" ref="AE34:AH34" ca="1">TRANSPOSE($B$9:$B$12 + MMULT($D$9:$G$12,TRANSPOSE(AO34:AR34)) + MMULT($N$9:$Q$12, TRANSPOSE(Z34:AC34)))</f>
        <v>0.1878761770855559</v>
      </c>
      <c r="AF34" s="62">
        <f ca="1"/>
        <v>0.22909346896629423</v>
      </c>
      <c r="AG34" s="62">
        <f ca="1"/>
        <v>2.0242392266684339E-2</v>
      </c>
      <c r="AH34" s="62">
        <f ca="1"/>
        <v>0.3136089855776808</v>
      </c>
      <c r="AI34" s="37"/>
      <c r="AJ34" s="61">
        <f t="shared" ca="1" si="2"/>
        <v>-0.84709594810899336</v>
      </c>
      <c r="AK34" s="61">
        <f t="shared" ca="1" si="3"/>
        <v>0.35241955906927347</v>
      </c>
      <c r="AL34" s="61">
        <f t="shared" ca="1" si="3"/>
        <v>-1.259094754663362</v>
      </c>
      <c r="AM34" s="61">
        <f t="shared" ca="1" si="3"/>
        <v>1.2478624758164645</v>
      </c>
      <c r="AN34" s="37"/>
      <c r="AO34" s="62">
        <f t="array" aca="1" ref="AO34:AR34" ca="1">TRANSPOSE($B$17:$B$20 + MMULT($D$17:$G$20,TRANSPOSE(AO33:AR33)) + MMULT($N$17:$Q$20,TRANSPOSE(AJ34:AM34)))</f>
        <v>0.174440579107005</v>
      </c>
      <c r="AP34" s="62">
        <f ca="1"/>
        <v>0.46512304350453132</v>
      </c>
      <c r="AQ34" s="62">
        <f ca="1"/>
        <v>-0.26615824231509594</v>
      </c>
      <c r="AR34" s="62">
        <f ca="1"/>
        <v>0.65844152367444442</v>
      </c>
    </row>
    <row r="35" spans="25:44" x14ac:dyDescent="0.15">
      <c r="Y35" s="8">
        <f t="shared" si="4"/>
        <v>32</v>
      </c>
      <c r="Z35" s="61">
        <f t="shared" ca="1" si="0"/>
        <v>-0.10996060867314594</v>
      </c>
      <c r="AA35" s="61">
        <f t="shared" ca="1" si="1"/>
        <v>1.5906058038677684</v>
      </c>
      <c r="AB35" s="61">
        <f t="shared" ca="1" si="1"/>
        <v>1.1965597105999217</v>
      </c>
      <c r="AC35" s="61">
        <f t="shared" ca="1" si="1"/>
        <v>-1.6887574812644541</v>
      </c>
      <c r="AD35" s="37"/>
      <c r="AE35" s="62">
        <f t="array" aca="1" ref="AE35:AH35" ca="1">TRANSPOSE($B$9:$B$12 + MMULT($D$9:$G$12,TRANSPOSE(AO35:AR35)) + MMULT($N$9:$Q$12, TRANSPOSE(Z35:AC35)))</f>
        <v>0.55797465092231013</v>
      </c>
      <c r="AF35" s="62">
        <f ca="1"/>
        <v>1.3244012862407264</v>
      </c>
      <c r="AG35" s="62">
        <f ca="1"/>
        <v>0.79808387985508733</v>
      </c>
      <c r="AH35" s="62">
        <f ca="1"/>
        <v>-0.31057540058569022</v>
      </c>
      <c r="AI35" s="37"/>
      <c r="AJ35" s="61">
        <f t="shared" ca="1" si="2"/>
        <v>0.52572423144588165</v>
      </c>
      <c r="AK35" s="61">
        <f t="shared" ca="1" si="3"/>
        <v>0.5691078132812688</v>
      </c>
      <c r="AL35" s="61">
        <f t="shared" ca="1" si="3"/>
        <v>-0.46965718242517984</v>
      </c>
      <c r="AM35" s="61">
        <f t="shared" ca="1" si="3"/>
        <v>-0.20021045085105096</v>
      </c>
      <c r="AN35" s="37"/>
      <c r="AO35" s="62">
        <f t="array" aca="1" ref="AO35:AR35" ca="1">TRANSPOSE($B$17:$B$20 + MMULT($D$17:$G$20,TRANSPOSE(AO34:AR34)) + MMULT($N$17:$Q$20,TRANSPOSE(AJ35:AM35)))</f>
        <v>0.52235734594298466</v>
      </c>
      <c r="AP35" s="62">
        <f ca="1"/>
        <v>0.55675341495023323</v>
      </c>
      <c r="AQ35" s="62">
        <f ca="1"/>
        <v>8.3831008664795648E-2</v>
      </c>
      <c r="AR35" s="62">
        <f ca="1"/>
        <v>0.20248318703050905</v>
      </c>
    </row>
    <row r="36" spans="25:44" x14ac:dyDescent="0.15">
      <c r="Y36" s="8">
        <f t="shared" si="4"/>
        <v>33</v>
      </c>
      <c r="Z36" s="61">
        <f t="shared" ref="Z36:Z67" ca="1" si="5">NORMSINV(RAND())</f>
        <v>2.5010441944851042E-2</v>
      </c>
      <c r="AA36" s="61">
        <f t="shared" ca="1" si="1"/>
        <v>-0.1641139337437994</v>
      </c>
      <c r="AB36" s="61">
        <f t="shared" ca="1" si="1"/>
        <v>-1.5470782485660999</v>
      </c>
      <c r="AC36" s="61">
        <f t="shared" ca="1" si="1"/>
        <v>-2.094682661706801E-3</v>
      </c>
      <c r="AD36" s="37"/>
      <c r="AE36" s="62">
        <f t="array" aca="1" ref="AE36:AH36" ca="1">TRANSPOSE($B$9:$B$12 + MMULT($D$9:$G$12,TRANSPOSE(AO36:AR36)) + MMULT($N$9:$Q$12, TRANSPOSE(Z36:AC36)))</f>
        <v>0.75270139377243384</v>
      </c>
      <c r="AF36" s="62">
        <f ca="1"/>
        <v>0.32024176974465102</v>
      </c>
      <c r="AG36" s="62">
        <f ca="1"/>
        <v>-0.57170588839912995</v>
      </c>
      <c r="AH36" s="62">
        <f ca="1"/>
        <v>0.68757587982663471</v>
      </c>
      <c r="AI36" s="37"/>
      <c r="AJ36" s="61">
        <f t="shared" ref="AJ36:AJ67" ca="1" si="6">NORMSINV(RAND())</f>
        <v>-0.661892363600457</v>
      </c>
      <c r="AK36" s="61">
        <f t="shared" ca="1" si="3"/>
        <v>5.9963984280662269E-2</v>
      </c>
      <c r="AL36" s="61">
        <f t="shared" ca="1" si="3"/>
        <v>0.59477067836560171</v>
      </c>
      <c r="AM36" s="61">
        <f t="shared" ca="1" si="3"/>
        <v>-1.2716320116943223</v>
      </c>
      <c r="AN36" s="37"/>
      <c r="AO36" s="62">
        <f t="array" aca="1" ref="AO36:AR36" ca="1">TRANSPOSE($B$17:$B$20 + MMULT($D$17:$G$20,TRANSPOSE(AO35:AR35)) + MMULT($N$17:$Q$20,TRANSPOSE(AJ36:AM36)))</f>
        <v>0.24993201508831367</v>
      </c>
      <c r="AP36" s="62">
        <f ca="1"/>
        <v>0.42632847773528293</v>
      </c>
      <c r="AQ36" s="62">
        <f ca="1"/>
        <v>0.53990614440171714</v>
      </c>
      <c r="AR36" s="62">
        <f ca="1"/>
        <v>7.1683354527532439E-2</v>
      </c>
    </row>
    <row r="37" spans="25:44" x14ac:dyDescent="0.15">
      <c r="Y37" s="8">
        <f t="shared" si="4"/>
        <v>34</v>
      </c>
      <c r="Z37" s="61">
        <f t="shared" ca="1" si="5"/>
        <v>-0.25765944007250519</v>
      </c>
      <c r="AA37" s="61">
        <f t="shared" ca="1" si="1"/>
        <v>-0.81980332853293469</v>
      </c>
      <c r="AB37" s="61">
        <f t="shared" ca="1" si="1"/>
        <v>0.65459909366874913</v>
      </c>
      <c r="AC37" s="61">
        <f t="shared" ca="1" si="1"/>
        <v>-1.442043980593027</v>
      </c>
      <c r="AD37" s="37"/>
      <c r="AE37" s="62">
        <f t="array" aca="1" ref="AE37:AH37" ca="1">TRANSPOSE($B$9:$B$12 + MMULT($D$9:$G$12,TRANSPOSE(AO37:AR37)) + MMULT($N$9:$Q$12, TRANSPOSE(Z37:AC37)))</f>
        <v>0.73388252943975929</v>
      </c>
      <c r="AF37" s="62">
        <f ca="1"/>
        <v>0.10920336095263516</v>
      </c>
      <c r="AG37" s="62">
        <f ca="1"/>
        <v>1.1189471414607319</v>
      </c>
      <c r="AH37" s="62">
        <f ca="1"/>
        <v>8.8188186338976737E-2</v>
      </c>
      <c r="AI37" s="37"/>
      <c r="AJ37" s="61">
        <f t="shared" ca="1" si="6"/>
        <v>0.69933983283101764</v>
      </c>
      <c r="AK37" s="61">
        <f t="shared" ca="1" si="3"/>
        <v>-0.25484419059753782</v>
      </c>
      <c r="AL37" s="61">
        <f t="shared" ca="1" si="3"/>
        <v>-0.36654013531399371</v>
      </c>
      <c r="AM37" s="61">
        <f t="shared" ca="1" si="3"/>
        <v>0.26990187667831617</v>
      </c>
      <c r="AN37" s="37"/>
      <c r="AO37" s="62">
        <f t="array" aca="1" ref="AO37:AR37" ca="1">TRANSPOSE($B$17:$B$20 + MMULT($D$17:$G$20,TRANSPOSE(AO36:AR36)) + MMULT($N$17:$Q$20,TRANSPOSE(AJ37:AM37)))</f>
        <v>0.68872367538126222</v>
      </c>
      <c r="AP37" s="62">
        <f ca="1"/>
        <v>0.19805070236071309</v>
      </c>
      <c r="AQ37" s="62">
        <f ca="1"/>
        <v>0.42293463678195609</v>
      </c>
      <c r="AR37" s="62">
        <f ca="1"/>
        <v>0.61436374305414354</v>
      </c>
    </row>
    <row r="38" spans="25:44" x14ac:dyDescent="0.15">
      <c r="Y38" s="8">
        <f t="shared" si="4"/>
        <v>35</v>
      </c>
      <c r="Z38" s="61">
        <f t="shared" ca="1" si="5"/>
        <v>0.10239374299734531</v>
      </c>
      <c r="AA38" s="61">
        <f t="shared" ca="1" si="1"/>
        <v>2.0447056993297048</v>
      </c>
      <c r="AB38" s="61">
        <f t="shared" ca="1" si="1"/>
        <v>0.68567715856271394</v>
      </c>
      <c r="AC38" s="61">
        <f t="shared" ca="1" si="1"/>
        <v>2.342938821236666</v>
      </c>
      <c r="AD38" s="37"/>
      <c r="AE38" s="62">
        <f t="array" aca="1" ref="AE38:AH38" ca="1">TRANSPOSE($B$9:$B$12 + MMULT($D$9:$G$12,TRANSPOSE(AO38:AR38)) + MMULT($N$9:$Q$12, TRANSPOSE(Z38:AC38)))</f>
        <v>1.1325433094929434</v>
      </c>
      <c r="AF38" s="62">
        <f ca="1"/>
        <v>1.5052980965903457</v>
      </c>
      <c r="AG38" s="62">
        <f ca="1"/>
        <v>0.30120739151650888</v>
      </c>
      <c r="AH38" s="62">
        <f ca="1"/>
        <v>1.3244523229318577</v>
      </c>
      <c r="AI38" s="37"/>
      <c r="AJ38" s="61">
        <f t="shared" ca="1" si="6"/>
        <v>-0.37632270121354472</v>
      </c>
      <c r="AK38" s="61">
        <f t="shared" ca="1" si="3"/>
        <v>0.85964641342792525</v>
      </c>
      <c r="AL38" s="61">
        <f t="shared" ca="1" si="3"/>
        <v>1.5758672559655453</v>
      </c>
      <c r="AM38" s="61">
        <f t="shared" ca="1" si="3"/>
        <v>-1.5624375594886772</v>
      </c>
      <c r="AN38" s="37"/>
      <c r="AO38" s="62">
        <f t="array" aca="1" ref="AO38:AR38" ca="1">TRANSPOSE($B$17:$B$20 + MMULT($D$17:$G$20,TRANSPOSE(AO37:AR37)) + MMULT($N$17:$Q$20,TRANSPOSE(AJ38:AM38)))</f>
        <v>0.43388785963871696</v>
      </c>
      <c r="AP38" s="62">
        <f ca="1"/>
        <v>0.81439378044976585</v>
      </c>
      <c r="AQ38" s="62">
        <f ca="1"/>
        <v>0.95509184452916518</v>
      </c>
      <c r="AR38" s="62">
        <f ca="1"/>
        <v>0.16661457744147845</v>
      </c>
    </row>
    <row r="39" spans="25:44" x14ac:dyDescent="0.15">
      <c r="Y39" s="8">
        <f t="shared" si="4"/>
        <v>36</v>
      </c>
      <c r="Z39" s="61">
        <f t="shared" ca="1" si="5"/>
        <v>6.9648251500561933E-2</v>
      </c>
      <c r="AA39" s="61">
        <f t="shared" ca="1" si="1"/>
        <v>-0.55324970605187507</v>
      </c>
      <c r="AB39" s="61">
        <f t="shared" ca="1" si="1"/>
        <v>0.27289895671992614</v>
      </c>
      <c r="AC39" s="61">
        <f t="shared" ca="1" si="1"/>
        <v>2.3214745400824417</v>
      </c>
      <c r="AD39" s="37"/>
      <c r="AE39" s="62">
        <f t="array" aca="1" ref="AE39:AH39" ca="1">TRANSPOSE($B$9:$B$12 + MMULT($D$9:$G$12,TRANSPOSE(AO39:AR39)) + MMULT($N$9:$Q$12, TRANSPOSE(Z39:AC39)))</f>
        <v>1.1069742509271592</v>
      </c>
      <c r="AF39" s="62">
        <f ca="1"/>
        <v>-0.33967044222064757</v>
      </c>
      <c r="AG39" s="62">
        <f ca="1"/>
        <v>1.8394032753809126</v>
      </c>
      <c r="AH39" s="62">
        <f ca="1"/>
        <v>1.2752942033648109</v>
      </c>
      <c r="AI39" s="37"/>
      <c r="AJ39" s="61">
        <f t="shared" ca="1" si="6"/>
        <v>0.7366158754819182</v>
      </c>
      <c r="AK39" s="61">
        <f t="shared" ca="1" si="3"/>
        <v>-2.6636737361121323</v>
      </c>
      <c r="AL39" s="61">
        <f t="shared" ca="1" si="3"/>
        <v>-0.57774567166262392</v>
      </c>
      <c r="AM39" s="61">
        <f t="shared" ca="1" si="3"/>
        <v>0.59093376239645479</v>
      </c>
      <c r="AN39" s="37"/>
      <c r="AO39" s="62">
        <f t="array" aca="1" ref="AO39:AR39" ca="1">TRANSPOSE($B$17:$B$20 + MMULT($D$17:$G$20,TRANSPOSE(AO38:AR38)) + MMULT($N$17:$Q$20,TRANSPOSE(AJ39:AM39)))</f>
        <v>0.84329031360495832</v>
      </c>
      <c r="AP39" s="62">
        <f ca="1"/>
        <v>-0.60908909786710841</v>
      </c>
      <c r="AQ39" s="62">
        <f ca="1"/>
        <v>0.88854524260404122</v>
      </c>
      <c r="AR39" s="62">
        <f ca="1"/>
        <v>1.3557127868415981</v>
      </c>
    </row>
    <row r="40" spans="25:44" x14ac:dyDescent="0.15">
      <c r="Y40" s="8">
        <f t="shared" si="4"/>
        <v>37</v>
      </c>
      <c r="Z40" s="61">
        <f t="shared" ca="1" si="5"/>
        <v>1.6779860260748621E-2</v>
      </c>
      <c r="AA40" s="61">
        <f t="shared" ca="1" si="1"/>
        <v>-0.93777212735684845</v>
      </c>
      <c r="AB40" s="61">
        <f t="shared" ca="1" si="1"/>
        <v>-1.5919556970896502</v>
      </c>
      <c r="AC40" s="61">
        <f t="shared" ca="1" si="1"/>
        <v>-0.96601034396791929</v>
      </c>
      <c r="AD40" s="37"/>
      <c r="AE40" s="62">
        <f t="array" aca="1" ref="AE40:AH40" ca="1">TRANSPOSE($B$9:$B$12 + MMULT($D$9:$G$12,TRANSPOSE(AO40:AR40)) + MMULT($N$9:$Q$12, TRANSPOSE(Z40:AC40)))</f>
        <v>0.17358588067631883</v>
      </c>
      <c r="AF40" s="62">
        <f ca="1"/>
        <v>-3.4460322915058295E-2</v>
      </c>
      <c r="AG40" s="62">
        <f ca="1"/>
        <v>0.66171691277493849</v>
      </c>
      <c r="AH40" s="62">
        <f ca="1"/>
        <v>0.31650897922523968</v>
      </c>
      <c r="AI40" s="37"/>
      <c r="AJ40" s="61">
        <f t="shared" ca="1" si="6"/>
        <v>-0.77360776056551539</v>
      </c>
      <c r="AK40" s="61">
        <f t="shared" ca="1" si="3"/>
        <v>-1.3211015519324074</v>
      </c>
      <c r="AL40" s="61">
        <f t="shared" ca="1" si="3"/>
        <v>-0.97785752803842529</v>
      </c>
      <c r="AM40" s="61">
        <f t="shared" ca="1" si="3"/>
        <v>1.3569265798189838</v>
      </c>
      <c r="AN40" s="37"/>
      <c r="AO40" s="62">
        <f t="array" aca="1" ref="AO40:AR40" ca="1">TRANSPOSE($B$17:$B$20 + MMULT($D$17:$G$20,TRANSPOSE(AO39:AR39)) + MMULT($N$17:$Q$20,TRANSPOSE(AJ40:AM40)))</f>
        <v>0.38740769094285549</v>
      </c>
      <c r="AP40" s="62">
        <f ca="1"/>
        <v>-0.12483186330731671</v>
      </c>
      <c r="AQ40" s="62">
        <f ca="1"/>
        <v>-6.8038591682076655E-2</v>
      </c>
      <c r="AR40" s="62">
        <f ca="1"/>
        <v>1.1850566334994075</v>
      </c>
    </row>
    <row r="41" spans="25:44" x14ac:dyDescent="0.15">
      <c r="Y41" s="8">
        <f t="shared" si="4"/>
        <v>38</v>
      </c>
      <c r="Z41" s="61">
        <f t="shared" ca="1" si="5"/>
        <v>-0.58600341363938002</v>
      </c>
      <c r="AA41" s="61">
        <f t="shared" ca="1" si="1"/>
        <v>0.92959284896200489</v>
      </c>
      <c r="AB41" s="61">
        <f t="shared" ca="1" si="1"/>
        <v>-1.3784118021667251</v>
      </c>
      <c r="AC41" s="61">
        <f t="shared" ca="1" si="1"/>
        <v>0.65963934443035155</v>
      </c>
      <c r="AD41" s="37"/>
      <c r="AE41" s="62">
        <f t="array" aca="1" ref="AE41:AH41" ca="1">TRANSPOSE($B$9:$B$12 + MMULT($D$9:$G$12,TRANSPOSE(AO41:AR41)) + MMULT($N$9:$Q$12, TRANSPOSE(Z41:AC41)))</f>
        <v>8.0504187396803734E-2</v>
      </c>
      <c r="AF41" s="62">
        <f ca="1"/>
        <v>1.1971458077155346</v>
      </c>
      <c r="AG41" s="62">
        <f ca="1"/>
        <v>-0.55820237505506887</v>
      </c>
      <c r="AH41" s="62">
        <f ca="1"/>
        <v>0.17669252860645082</v>
      </c>
      <c r="AI41" s="37"/>
      <c r="AJ41" s="61">
        <f t="shared" ca="1" si="6"/>
        <v>-0.19671200349226586</v>
      </c>
      <c r="AK41" s="61">
        <f t="shared" ca="1" si="3"/>
        <v>1.2665495063075227</v>
      </c>
      <c r="AL41" s="61">
        <f t="shared" ca="1" si="3"/>
        <v>-0.59770799357687965</v>
      </c>
      <c r="AM41" s="61">
        <f t="shared" ca="1" si="3"/>
        <v>-0.98223583056921082</v>
      </c>
      <c r="AN41" s="37"/>
      <c r="AO41" s="62">
        <f t="array" aca="1" ref="AO41:AR41" ca="1">TRANSPOSE($B$17:$B$20 + MMULT($D$17:$G$20,TRANSPOSE(AO40:AR40)) + MMULT($N$17:$Q$20,TRANSPOSE(AJ41:AM41)))</f>
        <v>0.3473045970704246</v>
      </c>
      <c r="AP41" s="62">
        <f ca="1"/>
        <v>0.85146720385662067</v>
      </c>
      <c r="AQ41" s="62">
        <f ca="1"/>
        <v>-0.26190852779830082</v>
      </c>
      <c r="AR41" s="62">
        <f ca="1"/>
        <v>-7.4549054479451926E-2</v>
      </c>
    </row>
    <row r="42" spans="25:44" x14ac:dyDescent="0.15">
      <c r="Y42" s="8">
        <f t="shared" si="4"/>
        <v>39</v>
      </c>
      <c r="Z42" s="61">
        <f t="shared" ca="1" si="5"/>
        <v>-0.39884897791095614</v>
      </c>
      <c r="AA42" s="61">
        <f t="shared" ca="1" si="1"/>
        <v>-1.3352416269377037</v>
      </c>
      <c r="AB42" s="61">
        <f t="shared" ca="1" si="1"/>
        <v>-2.3802550872066517</v>
      </c>
      <c r="AC42" s="61">
        <f t="shared" ca="1" si="1"/>
        <v>-0.6443105745506994</v>
      </c>
      <c r="AD42" s="37"/>
      <c r="AE42" s="62">
        <f t="array" aca="1" ref="AE42:AH42" ca="1">TRANSPOSE($B$9:$B$12 + MMULT($D$9:$G$12,TRANSPOSE(AO42:AR42)) + MMULT($N$9:$Q$12, TRANSPOSE(Z42:AC42)))</f>
        <v>-0.35238600638732187</v>
      </c>
      <c r="AF42" s="62">
        <f ca="1"/>
        <v>0.28991474194870415</v>
      </c>
      <c r="AG42" s="62">
        <f ca="1"/>
        <v>-1.7082447249602646</v>
      </c>
      <c r="AH42" s="62">
        <f ca="1"/>
        <v>-0.59071323605094528</v>
      </c>
      <c r="AI42" s="37"/>
      <c r="AJ42" s="61">
        <f t="shared" ca="1" si="6"/>
        <v>-1.2038473856193386</v>
      </c>
      <c r="AK42" s="61">
        <f t="shared" ca="1" si="3"/>
        <v>1.2657275729650292</v>
      </c>
      <c r="AL42" s="61">
        <f t="shared" ca="1" si="3"/>
        <v>-2.2093527314936203</v>
      </c>
      <c r="AM42" s="61">
        <f t="shared" ca="1" si="3"/>
        <v>-1.8425382725252346</v>
      </c>
      <c r="AN42" s="37"/>
      <c r="AO42" s="62">
        <f t="array" aca="1" ref="AO42:AR42" ca="1">TRANSPOSE($B$17:$B$20 + MMULT($D$17:$G$20,TRANSPOSE(AO41:AR41)) + MMULT($N$17:$Q$20,TRANSPOSE(AJ42:AM42)))</f>
        <v>-2.1636097451872838E-2</v>
      </c>
      <c r="AP42" s="62">
        <f ca="1"/>
        <v>0.87982960869257365</v>
      </c>
      <c r="AQ42" s="62">
        <f ca="1"/>
        <v>-0.97556435063662483</v>
      </c>
      <c r="AR42" s="62">
        <f ca="1"/>
        <v>-0.81134030452689754</v>
      </c>
    </row>
    <row r="43" spans="25:44" x14ac:dyDescent="0.15">
      <c r="Y43" s="8">
        <f t="shared" si="4"/>
        <v>40</v>
      </c>
      <c r="Z43" s="61">
        <f t="shared" ca="1" si="5"/>
        <v>0.26394827734529835</v>
      </c>
      <c r="AA43" s="61">
        <f t="shared" ca="1" si="1"/>
        <v>-1.1213270262545147</v>
      </c>
      <c r="AB43" s="61">
        <f t="shared" ca="1" si="1"/>
        <v>-0.94536936268820637</v>
      </c>
      <c r="AC43" s="61">
        <f t="shared" ca="1" si="1"/>
        <v>-1.1209677595503751</v>
      </c>
      <c r="AD43" s="37"/>
      <c r="AE43" s="62">
        <f t="array" aca="1" ref="AE43:AH43" ca="1">TRANSPOSE($B$9:$B$12 + MMULT($D$9:$G$12,TRANSPOSE(AO43:AR43)) + MMULT($N$9:$Q$12, TRANSPOSE(Z43:AC43)))</f>
        <v>0.50749630218868791</v>
      </c>
      <c r="AF43" s="62">
        <f ca="1"/>
        <v>1.9470373476143832E-2</v>
      </c>
      <c r="AG43" s="62">
        <f ca="1"/>
        <v>-0.69385792709802485</v>
      </c>
      <c r="AH43" s="62">
        <f ca="1"/>
        <v>-0.64077602948831824</v>
      </c>
      <c r="AI43" s="37"/>
      <c r="AJ43" s="61">
        <f t="shared" ca="1" si="6"/>
        <v>0.67508997491126843</v>
      </c>
      <c r="AK43" s="61">
        <f t="shared" ca="1" si="3"/>
        <v>0.37511702404686431</v>
      </c>
      <c r="AL43" s="61">
        <f t="shared" ca="1" si="3"/>
        <v>-1.3615653116947923</v>
      </c>
      <c r="AM43" s="61">
        <f t="shared" ca="1" si="3"/>
        <v>-0.84216521096560937</v>
      </c>
      <c r="AN43" s="37"/>
      <c r="AO43" s="62">
        <f t="array" aca="1" ref="AO43:AR43" ca="1">TRANSPOSE($B$17:$B$20 + MMULT($D$17:$G$20,TRANSPOSE(AO42:AR42)) + MMULT($N$17:$Q$20,TRANSPOSE(AJ43:AM43)))</f>
        <v>0.37502434350637048</v>
      </c>
      <c r="AP43" s="62">
        <f ca="1"/>
        <v>0.25056750392571847</v>
      </c>
      <c r="AQ43" s="62">
        <f ca="1"/>
        <v>-0.44163411628953159</v>
      </c>
      <c r="AR43" s="62">
        <f ca="1"/>
        <v>-0.56852819926119091</v>
      </c>
    </row>
    <row r="44" spans="25:44" x14ac:dyDescent="0.15">
      <c r="Y44" s="8">
        <f t="shared" si="4"/>
        <v>41</v>
      </c>
      <c r="Z44" s="61">
        <f t="shared" ca="1" si="5"/>
        <v>0.80719852616858445</v>
      </c>
      <c r="AA44" s="61">
        <f t="shared" ca="1" si="1"/>
        <v>0.29081900295605073</v>
      </c>
      <c r="AB44" s="61">
        <f t="shared" ca="1" si="1"/>
        <v>-1.5540344313228023E-2</v>
      </c>
      <c r="AC44" s="61">
        <f t="shared" ca="1" si="1"/>
        <v>-0.11298165159124562</v>
      </c>
      <c r="AD44" s="37"/>
      <c r="AE44" s="62">
        <f t="array" aca="1" ref="AE44:AH44" ca="1">TRANSPOSE($B$9:$B$12 + MMULT($D$9:$G$12,TRANSPOSE(AO44:AR44)) + MMULT($N$9:$Q$12, TRANSPOSE(Z44:AC44)))</f>
        <v>0.56367021174752696</v>
      </c>
      <c r="AF44" s="62">
        <f ca="1"/>
        <v>0.38813241146763133</v>
      </c>
      <c r="AG44" s="62">
        <f ca="1"/>
        <v>-0.29816640989665838</v>
      </c>
      <c r="AH44" s="62">
        <f ca="1"/>
        <v>-0.19719566422178827</v>
      </c>
      <c r="AI44" s="37"/>
      <c r="AJ44" s="61">
        <f t="shared" ca="1" si="6"/>
        <v>-0.71248462371658972</v>
      </c>
      <c r="AK44" s="61">
        <f t="shared" ca="1" si="3"/>
        <v>-0.14473798752806991</v>
      </c>
      <c r="AL44" s="61">
        <f t="shared" ca="1" si="3"/>
        <v>-0.54004621564720312</v>
      </c>
      <c r="AM44" s="61">
        <f t="shared" ca="1" si="3"/>
        <v>-0.8440204145672332</v>
      </c>
      <c r="AN44" s="37"/>
      <c r="AO44" s="62">
        <f t="array" aca="1" ref="AO44:AR44" ca="1">TRANSPOSE($B$17:$B$20 + MMULT($D$17:$G$20,TRANSPOSE(AO43:AR43)) + MMULT($N$17:$Q$20,TRANSPOSE(AJ44:AM44)))</f>
        <v>5.729904476545955E-2</v>
      </c>
      <c r="AP44" s="62">
        <f ca="1"/>
        <v>5.792563013288439E-2</v>
      </c>
      <c r="AQ44" s="62">
        <f ca="1"/>
        <v>-0.26524113482418099</v>
      </c>
      <c r="AR44" s="62">
        <f ca="1"/>
        <v>-0.35039518859045005</v>
      </c>
    </row>
    <row r="45" spans="25:44" x14ac:dyDescent="0.15">
      <c r="Y45" s="8">
        <f t="shared" si="4"/>
        <v>42</v>
      </c>
      <c r="Z45" s="61">
        <f t="shared" ca="1" si="5"/>
        <v>1.4487151231443169</v>
      </c>
      <c r="AA45" s="61">
        <f t="shared" ca="1" si="1"/>
        <v>-2.6928988351349076E-2</v>
      </c>
      <c r="AB45" s="61">
        <f t="shared" ca="1" si="1"/>
        <v>-1.2856745709324213</v>
      </c>
      <c r="AC45" s="61">
        <f t="shared" ca="1" si="1"/>
        <v>0.28430351402387383</v>
      </c>
      <c r="AD45" s="37"/>
      <c r="AE45" s="62">
        <f t="array" aca="1" ref="AE45:AH45" ca="1">TRANSPOSE($B$9:$B$12 + MMULT($D$9:$G$12,TRANSPOSE(AO45:AR45)) + MMULT($N$9:$Q$12, TRANSPOSE(Z45:AC45)))</f>
        <v>1.4774335368775842</v>
      </c>
      <c r="AF45" s="62">
        <f ca="1"/>
        <v>0.5201850595456563</v>
      </c>
      <c r="AG45" s="62">
        <f ca="1"/>
        <v>-0.46149879997733506</v>
      </c>
      <c r="AH45" s="62">
        <f ca="1"/>
        <v>0.40922900995803302</v>
      </c>
      <c r="AI45" s="37"/>
      <c r="AJ45" s="61">
        <f t="shared" ca="1" si="6"/>
        <v>1.0580578256255733</v>
      </c>
      <c r="AK45" s="61">
        <f t="shared" ca="1" si="3"/>
        <v>6.3274826534223269E-2</v>
      </c>
      <c r="AL45" s="61">
        <f t="shared" ca="1" si="3"/>
        <v>0.25621944962009308</v>
      </c>
      <c r="AM45" s="61">
        <f t="shared" ca="1" si="3"/>
        <v>-0.42525796383619713</v>
      </c>
      <c r="AN45" s="37"/>
      <c r="AO45" s="62">
        <f t="array" aca="1" ref="AO45:AR45" ca="1">TRANSPOSE($B$17:$B$20 + MMULT($D$17:$G$20,TRANSPOSE(AO44:AR44)) + MMULT($N$17:$Q$20,TRANSPOSE(AJ45:AM45)))</f>
        <v>0.5929949083714896</v>
      </c>
      <c r="AP45" s="62">
        <f ca="1"/>
        <v>5.5026244589595506E-2</v>
      </c>
      <c r="AQ45" s="62">
        <f ca="1"/>
        <v>0.33329574211431329</v>
      </c>
      <c r="AR45" s="62">
        <f ca="1"/>
        <v>4.9548484567388085E-2</v>
      </c>
    </row>
    <row r="46" spans="25:44" x14ac:dyDescent="0.15">
      <c r="Y46" s="8">
        <f t="shared" si="4"/>
        <v>43</v>
      </c>
      <c r="Z46" s="61">
        <f t="shared" ca="1" si="5"/>
        <v>-0.50392202177485401</v>
      </c>
      <c r="AA46" s="61">
        <f t="shared" ca="1" si="1"/>
        <v>1.338007759808103</v>
      </c>
      <c r="AB46" s="61">
        <f t="shared" ca="1" si="1"/>
        <v>-1.1501072265902099</v>
      </c>
      <c r="AC46" s="61">
        <f t="shared" ca="1" si="1"/>
        <v>-0.5820386646896879</v>
      </c>
      <c r="AD46" s="37"/>
      <c r="AE46" s="62">
        <f t="array" aca="1" ref="AE46:AH46" ca="1">TRANSPOSE($B$9:$B$12 + MMULT($D$9:$G$12,TRANSPOSE(AO46:AR46)) + MMULT($N$9:$Q$12, TRANSPOSE(Z46:AC46)))</f>
        <v>0.55454859952316027</v>
      </c>
      <c r="AF46" s="62">
        <f ca="1"/>
        <v>1.5224225635494606</v>
      </c>
      <c r="AG46" s="62">
        <f ca="1"/>
        <v>-0.32333800267740453</v>
      </c>
      <c r="AH46" s="62">
        <f ca="1"/>
        <v>-0.37920664132443266</v>
      </c>
      <c r="AI46" s="37"/>
      <c r="AJ46" s="61">
        <f t="shared" ca="1" si="6"/>
        <v>1.2288853464173677</v>
      </c>
      <c r="AK46" s="61">
        <f t="shared" ca="1" si="3"/>
        <v>1.2022528413786759</v>
      </c>
      <c r="AL46" s="61">
        <f t="shared" ca="1" si="3"/>
        <v>-1.377492784889915</v>
      </c>
      <c r="AM46" s="61">
        <f t="shared" ca="1" si="3"/>
        <v>-1.078221827774184</v>
      </c>
      <c r="AN46" s="37"/>
      <c r="AO46" s="62">
        <f t="array" aca="1" ref="AO46:AR46" ca="1">TRANSPOSE($B$17:$B$20 + MMULT($D$17:$G$20,TRANSPOSE(AO45:AR45)) + MMULT($N$17:$Q$20,TRANSPOSE(AJ46:AM46)))</f>
        <v>0.8982366834721176</v>
      </c>
      <c r="AP46" s="62">
        <f ca="1"/>
        <v>0.81880546022125589</v>
      </c>
      <c r="AQ46" s="62">
        <f ca="1"/>
        <v>-0.22714213170126546</v>
      </c>
      <c r="AR46" s="62">
        <f ca="1"/>
        <v>-0.15314265239951841</v>
      </c>
    </row>
    <row r="47" spans="25:44" x14ac:dyDescent="0.15">
      <c r="Y47" s="8">
        <f t="shared" si="4"/>
        <v>44</v>
      </c>
      <c r="Z47" s="61">
        <f t="shared" ca="1" si="5"/>
        <v>-0.32566525393708795</v>
      </c>
      <c r="AA47" s="61">
        <f t="shared" ca="1" si="1"/>
        <v>-1.2021039394704789</v>
      </c>
      <c r="AB47" s="61">
        <f t="shared" ca="1" si="1"/>
        <v>3.7324588342801682E-2</v>
      </c>
      <c r="AC47" s="61">
        <f t="shared" ca="1" si="1"/>
        <v>2.5578608028724887</v>
      </c>
      <c r="AD47" s="37"/>
      <c r="AE47" s="62">
        <f t="array" aca="1" ref="AE47:AH47" ca="1">TRANSPOSE($B$9:$B$12 + MMULT($D$9:$G$12,TRANSPOSE(AO47:AR47)) + MMULT($N$9:$Q$12, TRANSPOSE(Z47:AC47)))</f>
        <v>1.2263048598881667</v>
      </c>
      <c r="AF47" s="62">
        <f ca="1"/>
        <v>-0.26757096206644354</v>
      </c>
      <c r="AG47" s="62">
        <f ca="1"/>
        <v>1.247188188097843</v>
      </c>
      <c r="AH47" s="62">
        <f ca="1"/>
        <v>1.1883041118971152</v>
      </c>
      <c r="AI47" s="37"/>
      <c r="AJ47" s="61">
        <f t="shared" ca="1" si="6"/>
        <v>1.5228287253900106</v>
      </c>
      <c r="AK47" s="61">
        <f t="shared" ca="1" si="3"/>
        <v>-1.5377677516188664</v>
      </c>
      <c r="AL47" s="61">
        <f t="shared" ca="1" si="3"/>
        <v>4.0108621412671623E-2</v>
      </c>
      <c r="AM47" s="61">
        <f t="shared" ca="1" si="3"/>
        <v>0.51615754040373163</v>
      </c>
      <c r="AN47" s="37"/>
      <c r="AO47" s="62">
        <f t="array" aca="1" ref="AO47:AR47" ca="1">TRANSPOSE($B$17:$B$20 + MMULT($D$17:$G$20,TRANSPOSE(AO46:AR46)) + MMULT($N$17:$Q$20,TRANSPOSE(AJ47:AM47)))</f>
        <v>1.0389736046529929</v>
      </c>
      <c r="AP47" s="62">
        <f ca="1"/>
        <v>-9.9855334038510435E-2</v>
      </c>
      <c r="AQ47" s="62">
        <f ca="1"/>
        <v>0.91216790284645044</v>
      </c>
      <c r="AR47" s="62">
        <f ca="1"/>
        <v>0.8153710746958921</v>
      </c>
    </row>
    <row r="48" spans="25:44" x14ac:dyDescent="0.15">
      <c r="Y48" s="8">
        <f t="shared" si="4"/>
        <v>45</v>
      </c>
      <c r="Z48" s="61">
        <f t="shared" ca="1" si="5"/>
        <v>1.6274546671687173</v>
      </c>
      <c r="AA48" s="61">
        <f t="shared" ca="1" si="1"/>
        <v>0.41190375608546309</v>
      </c>
      <c r="AB48" s="61">
        <f t="shared" ca="1" si="1"/>
        <v>0.62523448191885722</v>
      </c>
      <c r="AC48" s="61">
        <f t="shared" ca="1" si="1"/>
        <v>-0.79021699464616635</v>
      </c>
      <c r="AD48" s="37"/>
      <c r="AE48" s="62">
        <f t="array" aca="1" ref="AE48:AH48" ca="1">TRANSPOSE($B$9:$B$12 + MMULT($D$9:$G$12,TRANSPOSE(AO48:AR48)) + MMULT($N$9:$Q$12, TRANSPOSE(Z48:AC48)))</f>
        <v>1.7625701391085413</v>
      </c>
      <c r="AF48" s="62">
        <f ca="1"/>
        <v>1.5472689705080187</v>
      </c>
      <c r="AG48" s="62">
        <f ca="1"/>
        <v>0.35179837288363275</v>
      </c>
      <c r="AH48" s="62">
        <f ca="1"/>
        <v>0.51545743807554534</v>
      </c>
      <c r="AI48" s="37"/>
      <c r="AJ48" s="61">
        <f t="shared" ca="1" si="6"/>
        <v>0.41155881427620994</v>
      </c>
      <c r="AK48" s="61">
        <f t="shared" ca="1" si="3"/>
        <v>0.75980238579807835</v>
      </c>
      <c r="AL48" s="61">
        <f t="shared" ca="1" si="3"/>
        <v>0.22040550403882736</v>
      </c>
      <c r="AM48" s="61">
        <f t="shared" ca="1" si="3"/>
        <v>-1.1438997792231254</v>
      </c>
      <c r="AN48" s="37"/>
      <c r="AO48" s="62">
        <f t="array" aca="1" ref="AO48:AR48" ca="1">TRANSPOSE($B$17:$B$20 + MMULT($D$17:$G$20,TRANSPOSE(AO47:AR47)) + MMULT($N$17:$Q$20,TRANSPOSE(AJ48:AM48)))</f>
        <v>0.85134327235717733</v>
      </c>
      <c r="AP48" s="62">
        <f ca="1"/>
        <v>0.88703522891402309</v>
      </c>
      <c r="AQ48" s="62">
        <f ca="1"/>
        <v>0.60336062005797908</v>
      </c>
      <c r="AR48" s="62">
        <f ca="1"/>
        <v>0.40357665723910152</v>
      </c>
    </row>
    <row r="49" spans="25:44" x14ac:dyDescent="0.15">
      <c r="Y49" s="8">
        <f t="shared" si="4"/>
        <v>46</v>
      </c>
      <c r="Z49" s="61">
        <f t="shared" ca="1" si="5"/>
        <v>2.275053328611933</v>
      </c>
      <c r="AA49" s="61">
        <f t="shared" ca="1" si="1"/>
        <v>0.43010189984945757</v>
      </c>
      <c r="AB49" s="61">
        <f t="shared" ca="1" si="1"/>
        <v>-1.2259285193731153</v>
      </c>
      <c r="AC49" s="61">
        <f t="shared" ca="1" si="1"/>
        <v>0.70308188719926623</v>
      </c>
      <c r="AD49" s="37"/>
      <c r="AE49" s="62">
        <f t="array" aca="1" ref="AE49:AH49" ca="1">TRANSPOSE($B$9:$B$12 + MMULT($D$9:$G$12,TRANSPOSE(AO49:AR49)) + MMULT($N$9:$Q$12, TRANSPOSE(Z49:AC49)))</f>
        <v>1.8637698608097768</v>
      </c>
      <c r="AF49" s="62">
        <f ca="1"/>
        <v>0.9033992311445771</v>
      </c>
      <c r="AG49" s="62">
        <f ca="1"/>
        <v>0.29485956214091424</v>
      </c>
      <c r="AH49" s="62">
        <f ca="1"/>
        <v>1.1676099486006861</v>
      </c>
      <c r="AI49" s="37"/>
      <c r="AJ49" s="61">
        <f t="shared" ca="1" si="6"/>
        <v>0.1037886772684626</v>
      </c>
      <c r="AK49" s="61">
        <f t="shared" ca="1" si="3"/>
        <v>-1.7522888576797693</v>
      </c>
      <c r="AL49" s="61">
        <f t="shared" ca="1" si="3"/>
        <v>-0.4834107650488203</v>
      </c>
      <c r="AM49" s="61">
        <f t="shared" ca="1" si="3"/>
        <v>0.37501522098983647</v>
      </c>
      <c r="AN49" s="37"/>
      <c r="AO49" s="62">
        <f t="array" aca="1" ref="AO49:AR49" ca="1">TRANSPOSE($B$17:$B$20 + MMULT($D$17:$G$20,TRANSPOSE(AO48:AR48)) + MMULT($N$17:$Q$20,TRANSPOSE(AJ49:AM49)))</f>
        <v>0.70397440065766281</v>
      </c>
      <c r="AP49" s="62">
        <f ca="1"/>
        <v>-6.3558951353244408E-2</v>
      </c>
      <c r="AQ49" s="62">
        <f ca="1"/>
        <v>0.72154242722985584</v>
      </c>
      <c r="AR49" s="62">
        <f ca="1"/>
        <v>1.0538016087970445</v>
      </c>
    </row>
    <row r="50" spans="25:44" x14ac:dyDescent="0.15">
      <c r="Y50" s="8">
        <f t="shared" si="4"/>
        <v>47</v>
      </c>
      <c r="Z50" s="61">
        <f t="shared" ca="1" si="5"/>
        <v>-0.71340480452999244</v>
      </c>
      <c r="AA50" s="61">
        <f t="shared" ca="1" si="1"/>
        <v>1.6109435009552682</v>
      </c>
      <c r="AB50" s="61">
        <f t="shared" ca="1" si="1"/>
        <v>0.12975013779799421</v>
      </c>
      <c r="AC50" s="61">
        <f t="shared" ca="1" si="1"/>
        <v>1.3949165386836735</v>
      </c>
      <c r="AD50" s="37"/>
      <c r="AE50" s="62">
        <f t="array" aca="1" ref="AE50:AH50" ca="1">TRANSPOSE($B$9:$B$12 + MMULT($D$9:$G$12,TRANSPOSE(AO50:AR50)) + MMULT($N$9:$Q$12, TRANSPOSE(Z50:AC50)))</f>
        <v>0.28109475139690304</v>
      </c>
      <c r="AF50" s="62">
        <f ca="1"/>
        <v>1.3196394755316494</v>
      </c>
      <c r="AG50" s="62">
        <f ca="1"/>
        <v>0.70374166311091046</v>
      </c>
      <c r="AH50" s="62">
        <f ca="1"/>
        <v>1.0019980314195363</v>
      </c>
      <c r="AI50" s="37"/>
      <c r="AJ50" s="61">
        <f t="shared" ca="1" si="6"/>
        <v>-0.76024721642564708</v>
      </c>
      <c r="AK50" s="61">
        <f t="shared" ca="1" si="3"/>
        <v>0.67978211115499054</v>
      </c>
      <c r="AL50" s="61">
        <f t="shared" ca="1" si="3"/>
        <v>0.51749034622728451</v>
      </c>
      <c r="AM50" s="61">
        <f t="shared" ca="1" si="3"/>
        <v>0.42146124786855993</v>
      </c>
      <c r="AN50" s="37"/>
      <c r="AO50" s="62">
        <f t="array" aca="1" ref="AO50:AR50" ca="1">TRANSPOSE($B$17:$B$20 + MMULT($D$17:$G$20,TRANSPOSE(AO49:AR49)) + MMULT($N$17:$Q$20,TRANSPOSE(AJ50:AM50)))</f>
        <v>0.35535209964114445</v>
      </c>
      <c r="AP50" s="62">
        <f ca="1"/>
        <v>0.75720338402926979</v>
      </c>
      <c r="AQ50" s="62">
        <f ca="1"/>
        <v>0.46190466057454316</v>
      </c>
      <c r="AR50" s="62">
        <f ca="1"/>
        <v>0.69253266558709337</v>
      </c>
    </row>
    <row r="51" spans="25:44" x14ac:dyDescent="0.15">
      <c r="Y51" s="8">
        <f t="shared" si="4"/>
        <v>48</v>
      </c>
      <c r="Z51" s="61">
        <f t="shared" ca="1" si="5"/>
        <v>0.53352873605362205</v>
      </c>
      <c r="AA51" s="61">
        <f t="shared" ca="1" si="1"/>
        <v>6.6390097748555019E-2</v>
      </c>
      <c r="AB51" s="61">
        <f t="shared" ca="1" si="1"/>
        <v>1.3846953871306038</v>
      </c>
      <c r="AC51" s="61">
        <f t="shared" ca="1" si="1"/>
        <v>0.47655762927435813</v>
      </c>
      <c r="AD51" s="37"/>
      <c r="AE51" s="62">
        <f t="array" aca="1" ref="AE51:AH51" ca="1">TRANSPOSE($B$9:$B$12 + MMULT($D$9:$G$12,TRANSPOSE(AO51:AR51)) + MMULT($N$9:$Q$12, TRANSPOSE(Z51:AC51)))</f>
        <v>1.3124775242465021</v>
      </c>
      <c r="AF51" s="62">
        <f ca="1"/>
        <v>0.71808110262858571</v>
      </c>
      <c r="AG51" s="62">
        <f ca="1"/>
        <v>1.6297421048138958</v>
      </c>
      <c r="AH51" s="62">
        <f ca="1"/>
        <v>0.63546500761199265</v>
      </c>
      <c r="AI51" s="37"/>
      <c r="AJ51" s="61">
        <f t="shared" ca="1" si="6"/>
        <v>1.3438893019023814</v>
      </c>
      <c r="AK51" s="61">
        <f t="shared" ca="1" si="3"/>
        <v>-0.79355494848173014</v>
      </c>
      <c r="AL51" s="61">
        <f t="shared" ca="1" si="3"/>
        <v>-0.62070550440627836</v>
      </c>
      <c r="AM51" s="61">
        <f t="shared" ca="1" si="3"/>
        <v>0.22845188740834757</v>
      </c>
      <c r="AN51" s="37"/>
      <c r="AO51" s="62">
        <f t="array" aca="1" ref="AO51:AR51" ca="1">TRANSPOSE($B$17:$B$20 + MMULT($D$17:$G$20,TRANSPOSE(AO50:AR50)) + MMULT($N$17:$Q$20,TRANSPOSE(AJ51:AM51)))</f>
        <v>0.9754361937023901</v>
      </c>
      <c r="AP51" s="62">
        <f ca="1"/>
        <v>0.18732754582140887</v>
      </c>
      <c r="AQ51" s="62">
        <f ca="1"/>
        <v>0.64079644954038661</v>
      </c>
      <c r="AR51" s="62">
        <f ca="1"/>
        <v>0.93282836228541766</v>
      </c>
    </row>
    <row r="52" spans="25:44" x14ac:dyDescent="0.15">
      <c r="Y52" s="8">
        <f t="shared" si="4"/>
        <v>49</v>
      </c>
      <c r="Z52" s="61">
        <f t="shared" ca="1" si="5"/>
        <v>0.5440453412086792</v>
      </c>
      <c r="AA52" s="61">
        <f t="shared" ca="1" si="1"/>
        <v>-1.1894941296187738</v>
      </c>
      <c r="AB52" s="61">
        <f t="shared" ca="1" si="1"/>
        <v>0.61181856431633719</v>
      </c>
      <c r="AC52" s="61">
        <f t="shared" ca="1" si="1"/>
        <v>-0.50885836110899685</v>
      </c>
      <c r="AD52" s="37"/>
      <c r="AE52" s="62">
        <f t="array" aca="1" ref="AE52:AH52" ca="1">TRANSPOSE($B$9:$B$12 + MMULT($D$9:$G$12,TRANSPOSE(AO52:AR52)) + MMULT($N$9:$Q$12, TRANSPOSE(Z52:AC52)))</f>
        <v>0.6999611287497951</v>
      </c>
      <c r="AF52" s="62">
        <f ca="1"/>
        <v>9.7093298691816377E-2</v>
      </c>
      <c r="AG52" s="62">
        <f ca="1"/>
        <v>0.69750502209724363</v>
      </c>
      <c r="AH52" s="62">
        <f ca="1"/>
        <v>-0.12121154094493285</v>
      </c>
      <c r="AI52" s="37"/>
      <c r="AJ52" s="61">
        <f t="shared" ca="1" si="6"/>
        <v>-0.43069078115308912</v>
      </c>
      <c r="AK52" s="61">
        <f t="shared" ca="1" si="3"/>
        <v>-1.1299305514273588</v>
      </c>
      <c r="AL52" s="61">
        <f t="shared" ca="1" si="3"/>
        <v>-1.637233625212664</v>
      </c>
      <c r="AM52" s="61">
        <f t="shared" ca="1" si="3"/>
        <v>-1.7927383063693105</v>
      </c>
      <c r="AN52" s="37"/>
      <c r="AO52" s="62">
        <f t="array" aca="1" ref="AO52:AR52" ca="1">TRANSPOSE($B$17:$B$20 + MMULT($D$17:$G$20,TRANSPOSE(AO51:AR51)) + MMULT($N$17:$Q$20,TRANSPOSE(AJ52:AM52)))</f>
        <v>0.53740324538966699</v>
      </c>
      <c r="AP52" s="62">
        <f ca="1"/>
        <v>0.1320856387659986</v>
      </c>
      <c r="AQ52" s="62">
        <f ca="1"/>
        <v>-0.12725626887574815</v>
      </c>
      <c r="AR52" s="62">
        <f ca="1"/>
        <v>0.29269877507165776</v>
      </c>
    </row>
    <row r="53" spans="25:44" x14ac:dyDescent="0.15">
      <c r="Y53" s="8">
        <f t="shared" si="4"/>
        <v>50</v>
      </c>
      <c r="Z53" s="61">
        <f t="shared" ca="1" si="5"/>
        <v>0.14755101309991039</v>
      </c>
      <c r="AA53" s="61">
        <f t="shared" ca="1" si="1"/>
        <v>0.74403328412055225</v>
      </c>
      <c r="AB53" s="61">
        <f t="shared" ca="1" si="1"/>
        <v>-1.2187468027098285</v>
      </c>
      <c r="AC53" s="61">
        <f t="shared" ca="1" si="1"/>
        <v>-0.61434702376279215</v>
      </c>
      <c r="AD53" s="37"/>
      <c r="AE53" s="62">
        <f t="array" aca="1" ref="AE53:AH53" ca="1">TRANSPOSE($B$9:$B$12 + MMULT($D$9:$G$12,TRANSPOSE(AO53:AR53)) + MMULT($N$9:$Q$12, TRANSPOSE(Z53:AC53)))</f>
        <v>0.71327398271863574</v>
      </c>
      <c r="AF53" s="62">
        <f ca="1"/>
        <v>1.4035649706208995</v>
      </c>
      <c r="AG53" s="62">
        <f ca="1"/>
        <v>-0.17998908497951627</v>
      </c>
      <c r="AH53" s="62">
        <f ca="1"/>
        <v>0.45721521611630739</v>
      </c>
      <c r="AI53" s="37"/>
      <c r="AJ53" s="61">
        <f t="shared" ca="1" si="6"/>
        <v>0.47908486730492467</v>
      </c>
      <c r="AK53" s="61">
        <f t="shared" ca="1" si="3"/>
        <v>1.4664024039003825</v>
      </c>
      <c r="AL53" s="61">
        <f t="shared" ca="1" si="3"/>
        <v>0.23937128732114482</v>
      </c>
      <c r="AM53" s="61">
        <f t="shared" ca="1" si="3"/>
        <v>1.5711024788018193</v>
      </c>
      <c r="AN53" s="37"/>
      <c r="AO53" s="62">
        <f t="array" aca="1" ref="AO53:AR53" ca="1">TRANSPOSE($B$17:$B$20 + MMULT($D$17:$G$20,TRANSPOSE(AO52:AR52)) + MMULT($N$17:$Q$20,TRANSPOSE(AJ53:AM53)))</f>
        <v>0.58045476374917282</v>
      </c>
      <c r="AP53" s="62">
        <f ca="1"/>
        <v>0.92520184937397798</v>
      </c>
      <c r="AQ53" s="62">
        <f ca="1"/>
        <v>0.23678483037250625</v>
      </c>
      <c r="AR53" s="62">
        <f ca="1"/>
        <v>0.44769385752773655</v>
      </c>
    </row>
    <row r="54" spans="25:44" x14ac:dyDescent="0.15">
      <c r="Y54" s="8">
        <f t="shared" si="4"/>
        <v>51</v>
      </c>
      <c r="Z54" s="61">
        <f t="shared" ca="1" si="5"/>
        <v>-0.97136191234272939</v>
      </c>
      <c r="AA54" s="61">
        <f t="shared" ca="1" si="1"/>
        <v>-1.2119757686201953</v>
      </c>
      <c r="AB54" s="61">
        <f t="shared" ca="1" si="1"/>
        <v>1.147451751624526</v>
      </c>
      <c r="AC54" s="61">
        <f t="shared" ca="1" si="1"/>
        <v>-0.54408295444533861</v>
      </c>
      <c r="AD54" s="37"/>
      <c r="AE54" s="62">
        <f t="array" aca="1" ref="AE54:AH54" ca="1">TRANSPOSE($B$9:$B$12 + MMULT($D$9:$G$12,TRANSPOSE(AO54:AR54)) + MMULT($N$9:$Q$12, TRANSPOSE(Z54:AC54)))</f>
        <v>-0.22222461924614234</v>
      </c>
      <c r="AF54" s="62">
        <f ca="1"/>
        <v>-0.22519165408006325</v>
      </c>
      <c r="AG54" s="62">
        <f ca="1"/>
        <v>1.0676490664947424</v>
      </c>
      <c r="AH54" s="62">
        <f ca="1"/>
        <v>2.2876079645529623E-2</v>
      </c>
      <c r="AI54" s="37"/>
      <c r="AJ54" s="61">
        <f t="shared" ca="1" si="6"/>
        <v>-1.2504791602486263</v>
      </c>
      <c r="AK54" s="61">
        <f t="shared" ca="1" si="3"/>
        <v>-0.61430570203329016</v>
      </c>
      <c r="AL54" s="61">
        <f t="shared" ca="1" si="3"/>
        <v>-1.171373071601673</v>
      </c>
      <c r="AM54" s="61">
        <f t="shared" ca="1" si="3"/>
        <v>-0.10716181965481671</v>
      </c>
      <c r="AN54" s="37"/>
      <c r="AO54" s="62">
        <f t="array" aca="1" ref="AO54:AR54" ca="1">TRANSPOSE($B$17:$B$20 + MMULT($D$17:$G$20,TRANSPOSE(AO53:AR53)) + MMULT($N$17:$Q$20,TRANSPOSE(AJ54:AM54)))</f>
        <v>0.12800348592157823</v>
      </c>
      <c r="AP54" s="62">
        <f ca="1"/>
        <v>0.29815172376918819</v>
      </c>
      <c r="AQ54" s="62">
        <f ca="1"/>
        <v>-7.9725851453686158E-2</v>
      </c>
      <c r="AR54" s="62">
        <f ca="1"/>
        <v>0.39236309658143148</v>
      </c>
    </row>
    <row r="55" spans="25:44" x14ac:dyDescent="0.15">
      <c r="Y55" s="8">
        <f t="shared" si="4"/>
        <v>52</v>
      </c>
      <c r="Z55" s="61">
        <f t="shared" ca="1" si="5"/>
        <v>0.7052521445887493</v>
      </c>
      <c r="AA55" s="61">
        <f t="shared" ca="1" si="1"/>
        <v>0.81978272154800869</v>
      </c>
      <c r="AB55" s="61">
        <f t="shared" ca="1" si="1"/>
        <v>1.1880298963728799</v>
      </c>
      <c r="AC55" s="61">
        <f t="shared" ca="1" si="1"/>
        <v>0.26041128830036836</v>
      </c>
      <c r="AD55" s="37"/>
      <c r="AE55" s="62">
        <f t="array" aca="1" ref="AE55:AH55" ca="1">TRANSPOSE($B$9:$B$12 + MMULT($D$9:$G$12,TRANSPOSE(AO55:AR55)) + MMULT($N$9:$Q$12, TRANSPOSE(Z55:AC55)))</f>
        <v>0.93649368262470611</v>
      </c>
      <c r="AF55" s="62">
        <f ca="1"/>
        <v>0.88764187459374422</v>
      </c>
      <c r="AG55" s="62">
        <f ca="1"/>
        <v>0.15750906545880083</v>
      </c>
      <c r="AH55" s="62">
        <f ca="1"/>
        <v>0.24143583251465259</v>
      </c>
      <c r="AI55" s="37"/>
      <c r="AJ55" s="61">
        <f t="shared" ca="1" si="6"/>
        <v>-0.30873534491769239</v>
      </c>
      <c r="AK55" s="61">
        <f t="shared" ca="1" si="3"/>
        <v>0.61943412029880374</v>
      </c>
      <c r="AL55" s="61">
        <f t="shared" ca="1" si="3"/>
        <v>0.37823382986482984</v>
      </c>
      <c r="AM55" s="61">
        <f t="shared" ca="1" si="3"/>
        <v>-1.9835108763615881</v>
      </c>
      <c r="AN55" s="37"/>
      <c r="AO55" s="62">
        <f t="array" aca="1" ref="AO55:AR55" ca="1">TRANSPOSE($B$17:$B$20 + MMULT($D$17:$G$20,TRANSPOSE(AO54:AR54)) + MMULT($N$17:$Q$20,TRANSPOSE(AJ55:AM55)))</f>
        <v>0.23213476845123476</v>
      </c>
      <c r="AP55" s="62">
        <f ca="1"/>
        <v>0.48240273079036727</v>
      </c>
      <c r="AQ55" s="62">
        <f ca="1"/>
        <v>0.26862308030424353</v>
      </c>
      <c r="AR55" s="62">
        <f ca="1"/>
        <v>-0.25409087177520212</v>
      </c>
    </row>
    <row r="56" spans="25:44" x14ac:dyDescent="0.15">
      <c r="Y56" s="8">
        <f t="shared" si="4"/>
        <v>53</v>
      </c>
      <c r="Z56" s="61">
        <f t="shared" ca="1" si="5"/>
        <v>0.27139523733591525</v>
      </c>
      <c r="AA56" s="61">
        <f t="shared" ca="1" si="1"/>
        <v>1.3762337021619673</v>
      </c>
      <c r="AB56" s="61">
        <f t="shared" ca="1" si="1"/>
        <v>0.56097746806153215</v>
      </c>
      <c r="AC56" s="61">
        <f t="shared" ca="1" si="1"/>
        <v>-0.25995148099031085</v>
      </c>
      <c r="AD56" s="37"/>
      <c r="AE56" s="62">
        <f t="array" aca="1" ref="AE56:AH56" ca="1">TRANSPOSE($B$9:$B$12 + MMULT($D$9:$G$12,TRANSPOSE(AO56:AR56)) + MMULT($N$9:$Q$12, TRANSPOSE(Z56:AC56)))</f>
        <v>0.58168103293503304</v>
      </c>
      <c r="AF56" s="62">
        <f ca="1"/>
        <v>0.72376788878367559</v>
      </c>
      <c r="AG56" s="62">
        <f ca="1"/>
        <v>0.39586027922866673</v>
      </c>
      <c r="AH56" s="62">
        <f ca="1"/>
        <v>-0.13635211713538689</v>
      </c>
      <c r="AI56" s="37"/>
      <c r="AJ56" s="61">
        <f t="shared" ca="1" si="6"/>
        <v>-0.3510321448146782</v>
      </c>
      <c r="AK56" s="61">
        <f t="shared" ca="1" si="3"/>
        <v>-0.54976035007296964</v>
      </c>
      <c r="AL56" s="61">
        <f t="shared" ca="1" si="3"/>
        <v>-0.79132226303015551</v>
      </c>
      <c r="AM56" s="61">
        <f t="shared" ca="1" si="3"/>
        <v>-1.2987053300250613</v>
      </c>
      <c r="AN56" s="37"/>
      <c r="AO56" s="62">
        <f t="array" aca="1" ref="AO56:AR56" ca="1">TRANSPOSE($B$17:$B$20 + MMULT($D$17:$G$20,TRANSPOSE(AO55:AR55)) + MMULT($N$17:$Q$20,TRANSPOSE(AJ56:AM56)))</f>
        <v>0.27866432580984413</v>
      </c>
      <c r="AP56" s="62">
        <f ca="1"/>
        <v>1.7960507864735742E-3</v>
      </c>
      <c r="AQ56" s="62">
        <f ca="1"/>
        <v>9.9273661208454378E-4</v>
      </c>
      <c r="AR56" s="62">
        <f ca="1"/>
        <v>-2.4830170771160454E-2</v>
      </c>
    </row>
    <row r="57" spans="25:44" x14ac:dyDescent="0.15">
      <c r="Y57" s="8">
        <f t="shared" si="4"/>
        <v>54</v>
      </c>
      <c r="Z57" s="61">
        <f t="shared" ca="1" si="5"/>
        <v>-0.30018218794123247</v>
      </c>
      <c r="AA57" s="61">
        <f t="shared" ca="1" si="1"/>
        <v>0.41826894262740838</v>
      </c>
      <c r="AB57" s="61">
        <f t="shared" ca="1" si="1"/>
        <v>0.63636697555345401</v>
      </c>
      <c r="AC57" s="61">
        <f t="shared" ca="1" si="1"/>
        <v>1.0038336688997056</v>
      </c>
      <c r="AD57" s="37"/>
      <c r="AE57" s="62">
        <f t="array" aca="1" ref="AE57:AH57" ca="1">TRANSPOSE($B$9:$B$12 + MMULT($D$9:$G$12,TRANSPOSE(AO57:AR57)) + MMULT($N$9:$Q$12, TRANSPOSE(Z57:AC57)))</f>
        <v>5.6297876189863247E-2</v>
      </c>
      <c r="AF57" s="62">
        <f ca="1"/>
        <v>0.46786589124014399</v>
      </c>
      <c r="AG57" s="62">
        <f ca="1"/>
        <v>0.10515408181660024</v>
      </c>
      <c r="AH57" s="62">
        <f ca="1"/>
        <v>9.6639917301029027E-2</v>
      </c>
      <c r="AI57" s="37"/>
      <c r="AJ57" s="61">
        <f t="shared" ca="1" si="6"/>
        <v>-1.0376594624815549</v>
      </c>
      <c r="AK57" s="61">
        <f t="shared" ca="1" si="3"/>
        <v>0.58945460501028901</v>
      </c>
      <c r="AL57" s="61">
        <f t="shared" ca="1" si="3"/>
        <v>-0.22991701925028005</v>
      </c>
      <c r="AM57" s="61">
        <f t="shared" ca="1" si="3"/>
        <v>-0.96449785844529479</v>
      </c>
      <c r="AN57" s="37"/>
      <c r="AO57" s="62">
        <f t="array" aca="1" ref="AO57:AR57" ca="1">TRANSPOSE($B$17:$B$20 + MMULT($D$17:$G$20,TRANSPOSE(AO56:AR56)) + MMULT($N$17:$Q$20,TRANSPOSE(AJ57:AM57)))</f>
        <v>-3.3315832244599219E-3</v>
      </c>
      <c r="AP57" s="62">
        <f ca="1"/>
        <v>0.37810236007649273</v>
      </c>
      <c r="AQ57" s="62">
        <f ca="1"/>
        <v>-0.2152758144619937</v>
      </c>
      <c r="AR57" s="62">
        <f ca="1"/>
        <v>-0.26606132805772031</v>
      </c>
    </row>
    <row r="58" spans="25:44" x14ac:dyDescent="0.15">
      <c r="Y58" s="8">
        <f t="shared" si="4"/>
        <v>55</v>
      </c>
      <c r="Z58" s="61">
        <f t="shared" ca="1" si="5"/>
        <v>-0.14571442114338987</v>
      </c>
      <c r="AA58" s="61">
        <f t="shared" ca="1" si="1"/>
        <v>-0.1162205354232476</v>
      </c>
      <c r="AB58" s="61">
        <f t="shared" ca="1" si="1"/>
        <v>1.2768257413091324</v>
      </c>
      <c r="AC58" s="61">
        <f t="shared" ca="1" si="1"/>
        <v>5.3394276433995871E-2</v>
      </c>
      <c r="AD58" s="37"/>
      <c r="AE58" s="62">
        <f t="array" aca="1" ref="AE58:AH58" ca="1">TRANSPOSE($B$9:$B$12 + MMULT($D$9:$G$12,TRANSPOSE(AO58:AR58)) + MMULT($N$9:$Q$12, TRANSPOSE(Z58:AC58)))</f>
        <v>0.50387917285358852</v>
      </c>
      <c r="AF58" s="62">
        <f ca="1"/>
        <v>-0.23794235693513421</v>
      </c>
      <c r="AG58" s="62">
        <f ca="1"/>
        <v>0.98969562119000876</v>
      </c>
      <c r="AH58" s="62">
        <f ca="1"/>
        <v>0.37344618992861273</v>
      </c>
      <c r="AI58" s="37"/>
      <c r="AJ58" s="61">
        <f t="shared" ca="1" si="6"/>
        <v>-0.46199348115558736</v>
      </c>
      <c r="AK58" s="61">
        <f t="shared" ca="1" si="3"/>
        <v>-0.6825204309694739</v>
      </c>
      <c r="AL58" s="61">
        <f t="shared" ca="1" si="3"/>
        <v>0.71606235003456598</v>
      </c>
      <c r="AM58" s="61">
        <f t="shared" ca="1" si="3"/>
        <v>8.704979604349454E-3</v>
      </c>
      <c r="AN58" s="37"/>
      <c r="AO58" s="62">
        <f t="array" aca="1" ref="AO58:AR58" ca="1">TRANSPOSE($B$17:$B$20 + MMULT($D$17:$G$20,TRANSPOSE(AO57:AR57)) + MMULT($N$17:$Q$20,TRANSPOSE(AJ58:AM58)))</f>
        <v>0.10005956463405544</v>
      </c>
      <c r="AP58" s="62">
        <f ca="1"/>
        <v>-0.19856545496075423</v>
      </c>
      <c r="AQ58" s="62">
        <f ca="1"/>
        <v>0.46597317700119217</v>
      </c>
      <c r="AR58" s="62">
        <f ca="1"/>
        <v>0.27429109286310449</v>
      </c>
    </row>
    <row r="59" spans="25:44" x14ac:dyDescent="0.15">
      <c r="Y59" s="8">
        <f t="shared" si="4"/>
        <v>56</v>
      </c>
      <c r="Z59" s="61">
        <f t="shared" ca="1" si="5"/>
        <v>0.4111808023746289</v>
      </c>
      <c r="AA59" s="61">
        <f t="shared" ca="1" si="1"/>
        <v>-2.3622019879867653E-3</v>
      </c>
      <c r="AB59" s="61">
        <f t="shared" ca="1" si="1"/>
        <v>-2.0308528832900574</v>
      </c>
      <c r="AC59" s="61">
        <f t="shared" ca="1" si="1"/>
        <v>1.2444278887910838</v>
      </c>
      <c r="AD59" s="37"/>
      <c r="AE59" s="62">
        <f t="array" aca="1" ref="AE59:AH59" ca="1">TRANSPOSE($B$9:$B$12 + MMULT($D$9:$G$12,TRANSPOSE(AO59:AR59)) + MMULT($N$9:$Q$12, TRANSPOSE(Z59:AC59)))</f>
        <v>0.74371553273478641</v>
      </c>
      <c r="AF59" s="62">
        <f ca="1"/>
        <v>0.22602346754689409</v>
      </c>
      <c r="AG59" s="62">
        <f ca="1"/>
        <v>-0.67485591677076728</v>
      </c>
      <c r="AH59" s="62">
        <f ca="1"/>
        <v>1.1148200301145528</v>
      </c>
      <c r="AI59" s="37"/>
      <c r="AJ59" s="61">
        <f t="shared" ca="1" si="6"/>
        <v>-0.90115888793690635</v>
      </c>
      <c r="AK59" s="61">
        <f t="shared" ca="1" si="3"/>
        <v>0.23059580367226476</v>
      </c>
      <c r="AL59" s="61">
        <f t="shared" ca="1" si="3"/>
        <v>1.2361507151438542</v>
      </c>
      <c r="AM59" s="61">
        <f t="shared" ca="1" si="3"/>
        <v>-0.61165981130973579</v>
      </c>
      <c r="AN59" s="37"/>
      <c r="AO59" s="62">
        <f t="array" aca="1" ref="AO59:AR59" ca="1">TRANSPOSE($B$17:$B$20 + MMULT($D$17:$G$20,TRANSPOSE(AO58:AR58)) + MMULT($N$17:$Q$20,TRANSPOSE(AJ59:AM59)))</f>
        <v>6.4882615257492393E-2</v>
      </c>
      <c r="AP59" s="62">
        <f ca="1"/>
        <v>0.1938135752258639</v>
      </c>
      <c r="AQ59" s="62">
        <f ca="1"/>
        <v>0.5487624550169854</v>
      </c>
      <c r="AR59" s="62">
        <f ca="1"/>
        <v>0.25862231741732195</v>
      </c>
    </row>
    <row r="60" spans="25:44" x14ac:dyDescent="0.15">
      <c r="Y60" s="8">
        <f t="shared" si="4"/>
        <v>57</v>
      </c>
      <c r="Z60" s="61">
        <f t="shared" ca="1" si="5"/>
        <v>-0.23735759235104401</v>
      </c>
      <c r="AA60" s="61">
        <f t="shared" ca="1" si="1"/>
        <v>-0.79660869735133299</v>
      </c>
      <c r="AB60" s="61">
        <f t="shared" ca="1" si="1"/>
        <v>1.6359541651390637</v>
      </c>
      <c r="AC60" s="61">
        <f t="shared" ca="1" si="1"/>
        <v>1.4550984854915625</v>
      </c>
      <c r="AD60" s="37"/>
      <c r="AE60" s="62">
        <f t="array" aca="1" ref="AE60:AH60" ca="1">TRANSPOSE($B$9:$B$12 + MMULT($D$9:$G$12,TRANSPOSE(AO60:AR60)) + MMULT($N$9:$Q$12, TRANSPOSE(Z60:AC60)))</f>
        <v>0.3142058115592537</v>
      </c>
      <c r="AF60" s="62">
        <f ca="1"/>
        <v>-0.23966571476548743</v>
      </c>
      <c r="AG60" s="62">
        <f ca="1"/>
        <v>1.5123285981610661</v>
      </c>
      <c r="AH60" s="62">
        <f ca="1"/>
        <v>0.65165140227676477</v>
      </c>
      <c r="AI60" s="37"/>
      <c r="AJ60" s="61">
        <f t="shared" ca="1" si="6"/>
        <v>-0.48534526029309621</v>
      </c>
      <c r="AK60" s="61">
        <f t="shared" ca="1" si="3"/>
        <v>-0.66579489109157008</v>
      </c>
      <c r="AL60" s="61">
        <f t="shared" ca="1" si="3"/>
        <v>-0.15660293274222464</v>
      </c>
      <c r="AM60" s="61">
        <f t="shared" ca="1" si="3"/>
        <v>0.52660778902198102</v>
      </c>
      <c r="AN60" s="37"/>
      <c r="AO60" s="62">
        <f t="array" aca="1" ref="AO60:AR60" ca="1">TRANSPOSE($B$17:$B$20 + MMULT($D$17:$G$20,TRANSPOSE(AO59:AR59)) + MMULT($N$17:$Q$20,TRANSPOSE(AJ60:AM60)))</f>
        <v>0.23532141988113561</v>
      </c>
      <c r="AP60" s="62">
        <f ca="1"/>
        <v>-8.4401957621706186E-2</v>
      </c>
      <c r="AQ60" s="62">
        <f ca="1"/>
        <v>0.25905424151449469</v>
      </c>
      <c r="AR60" s="62">
        <f ca="1"/>
        <v>0.66504211682956405</v>
      </c>
    </row>
    <row r="61" spans="25:44" x14ac:dyDescent="0.15">
      <c r="Y61" s="8">
        <f t="shared" si="4"/>
        <v>58</v>
      </c>
      <c r="Z61" s="61">
        <f t="shared" ca="1" si="5"/>
        <v>0.83416915941036063</v>
      </c>
      <c r="AA61" s="61">
        <f t="shared" ca="1" si="1"/>
        <v>-0.46484491671715078</v>
      </c>
      <c r="AB61" s="61">
        <f t="shared" ca="1" si="1"/>
        <v>1.0760951105145233</v>
      </c>
      <c r="AC61" s="61">
        <f t="shared" ca="1" si="1"/>
        <v>0.90598243775075227</v>
      </c>
      <c r="AD61" s="37"/>
      <c r="AE61" s="62">
        <f t="array" aca="1" ref="AE61:AH61" ca="1">TRANSPOSE($B$9:$B$12 + MMULT($D$9:$G$12,TRANSPOSE(AO61:AR61)) + MMULT($N$9:$Q$12, TRANSPOSE(Z61:AC61)))</f>
        <v>0.5167372722071486</v>
      </c>
      <c r="AF61" s="62">
        <f ca="1"/>
        <v>0.63637508077101446</v>
      </c>
      <c r="AG61" s="62">
        <f ca="1"/>
        <v>0.61243282633159901</v>
      </c>
      <c r="AH61" s="62">
        <f ca="1"/>
        <v>0.71220665799530791</v>
      </c>
      <c r="AI61" s="37"/>
      <c r="AJ61" s="61">
        <f t="shared" ca="1" si="6"/>
        <v>-1.0271441321026777</v>
      </c>
      <c r="AK61" s="61">
        <f t="shared" ca="1" si="3"/>
        <v>0.871177275887005</v>
      </c>
      <c r="AL61" s="61">
        <f t="shared" ca="1" si="3"/>
        <v>0.27827351820039992</v>
      </c>
      <c r="AM61" s="61">
        <f t="shared" ca="1" si="3"/>
        <v>1.0811095676318847</v>
      </c>
      <c r="AN61" s="37"/>
      <c r="AO61" s="62">
        <f t="array" aca="1" ref="AO61:AR61" ca="1">TRANSPOSE($B$17:$B$20 + MMULT($D$17:$G$20,TRANSPOSE(AO60:AR60)) + MMULT($N$17:$Q$20,TRANSPOSE(AJ61:AM61)))</f>
        <v>5.428010678153633E-2</v>
      </c>
      <c r="AP61" s="62">
        <f ca="1"/>
        <v>0.58051167284229421</v>
      </c>
      <c r="AQ61" s="62">
        <f ca="1"/>
        <v>6.0380903602330005E-2</v>
      </c>
      <c r="AR61" s="62">
        <f ca="1"/>
        <v>0.47653941907080466</v>
      </c>
    </row>
    <row r="62" spans="25:44" x14ac:dyDescent="0.15">
      <c r="Y62" s="8">
        <f t="shared" si="4"/>
        <v>59</v>
      </c>
      <c r="Z62" s="61">
        <f t="shared" ca="1" si="5"/>
        <v>0.95555784356398488</v>
      </c>
      <c r="AA62" s="61">
        <f t="shared" ca="1" si="1"/>
        <v>0.36280271382934032</v>
      </c>
      <c r="AB62" s="61">
        <f t="shared" ca="1" si="1"/>
        <v>-0.44317175794735381</v>
      </c>
      <c r="AC62" s="61">
        <f t="shared" ca="1" si="1"/>
        <v>-0.7901369020572645</v>
      </c>
      <c r="AD62" s="37"/>
      <c r="AE62" s="62">
        <f t="array" aca="1" ref="AE62:AH62" ca="1">TRANSPOSE($B$9:$B$12 + MMULT($D$9:$G$12,TRANSPOSE(AO62:AR62)) + MMULT($N$9:$Q$12, TRANSPOSE(Z62:AC62)))</f>
        <v>0.80070547187677743</v>
      </c>
      <c r="AF62" s="62">
        <f ca="1"/>
        <v>-0.16212881455617917</v>
      </c>
      <c r="AG62" s="62">
        <f ca="1"/>
        <v>0.70982480522467339</v>
      </c>
      <c r="AH62" s="62">
        <f ca="1"/>
        <v>0.54908085339002577</v>
      </c>
      <c r="AI62" s="37"/>
      <c r="AJ62" s="61">
        <f t="shared" ca="1" si="6"/>
        <v>-0.93744704164734272</v>
      </c>
      <c r="AK62" s="61">
        <f t="shared" ca="1" si="3"/>
        <v>-2.2990216797336842</v>
      </c>
      <c r="AL62" s="61">
        <f t="shared" ca="1" si="3"/>
        <v>0.11189368918512721</v>
      </c>
      <c r="AM62" s="61">
        <f t="shared" ca="1" si="3"/>
        <v>0.31785390891809578</v>
      </c>
      <c r="AN62" s="37"/>
      <c r="AO62" s="62">
        <f t="array" aca="1" ref="AO62:AR62" ca="1">TRANSPOSE($B$17:$B$20 + MMULT($D$17:$G$20,TRANSPOSE(AO61:AR61)) + MMULT($N$17:$Q$20,TRANSPOSE(AJ62:AM62)))</f>
        <v>4.6383969024866523E-2</v>
      </c>
      <c r="AP62" s="62">
        <f ca="1"/>
        <v>-0.68336908709889466</v>
      </c>
      <c r="AQ62" s="62">
        <f ca="1"/>
        <v>0.50194101077401521</v>
      </c>
      <c r="AR62" s="62">
        <f ca="1"/>
        <v>0.85672151126402107</v>
      </c>
    </row>
    <row r="63" spans="25:44" x14ac:dyDescent="0.15">
      <c r="Y63" s="8">
        <f t="shared" si="4"/>
        <v>60</v>
      </c>
      <c r="Z63" s="61">
        <f t="shared" ca="1" si="5"/>
        <v>-0.89548940867658811</v>
      </c>
      <c r="AA63" s="61">
        <f t="shared" ca="1" si="1"/>
        <v>-0.97033770235885997</v>
      </c>
      <c r="AB63" s="61">
        <f t="shared" ca="1" si="1"/>
        <v>-0.99490016776436507</v>
      </c>
      <c r="AC63" s="61">
        <f t="shared" ca="1" si="1"/>
        <v>0.29190847823428795</v>
      </c>
      <c r="AD63" s="37"/>
      <c r="AE63" s="62">
        <f t="array" aca="1" ref="AE63:AH63" ca="1">TRANSPOSE($B$9:$B$12 + MMULT($D$9:$G$12,TRANSPOSE(AO63:AR63)) + MMULT($N$9:$Q$12, TRANSPOSE(Z63:AC63)))</f>
        <v>0.47266774547680074</v>
      </c>
      <c r="AF63" s="62">
        <f ca="1"/>
        <v>-0.50647749952482346</v>
      </c>
      <c r="AG63" s="62">
        <f ca="1"/>
        <v>0.4084928826671731</v>
      </c>
      <c r="AH63" s="62">
        <f ca="1"/>
        <v>0.70822797210584743</v>
      </c>
      <c r="AI63" s="37"/>
      <c r="AJ63" s="61">
        <f t="shared" ca="1" si="6"/>
        <v>0.14049852002964039</v>
      </c>
      <c r="AK63" s="61">
        <f t="shared" ca="1" si="3"/>
        <v>-0.28326289114325381</v>
      </c>
      <c r="AL63" s="61">
        <f t="shared" ca="1" si="3"/>
        <v>1.2114186915373695</v>
      </c>
      <c r="AM63" s="61">
        <f t="shared" ca="1" si="3"/>
        <v>-0.90309296194137789</v>
      </c>
      <c r="AN63" s="37"/>
      <c r="AO63" s="62">
        <f t="array" aca="1" ref="AO63:AR63" ca="1">TRANSPOSE($B$17:$B$20 + MMULT($D$17:$G$20,TRANSPOSE(AO62:AR62)) + MMULT($N$17:$Q$20,TRANSPOSE(AJ63:AM63)))</f>
        <v>0.40010234551372165</v>
      </c>
      <c r="AP63" s="62">
        <f ca="1"/>
        <v>-6.5742829499898653E-2</v>
      </c>
      <c r="AQ63" s="62">
        <f ca="1"/>
        <v>0.66595853883734868</v>
      </c>
      <c r="AR63" s="62">
        <f ca="1"/>
        <v>0.47845715304480096</v>
      </c>
    </row>
    <row r="64" spans="25:44" x14ac:dyDescent="0.15">
      <c r="Y64" s="8">
        <f t="shared" si="4"/>
        <v>61</v>
      </c>
      <c r="Z64" s="61">
        <f t="shared" ca="1" si="5"/>
        <v>1.3341896387283232</v>
      </c>
      <c r="AA64" s="61">
        <f t="shared" ca="1" si="1"/>
        <v>-0.75529346081710591</v>
      </c>
      <c r="AB64" s="61">
        <f t="shared" ca="1" si="1"/>
        <v>-1.0717465337708891</v>
      </c>
      <c r="AC64" s="61">
        <f t="shared" ca="1" si="1"/>
        <v>-1.4969748102839184</v>
      </c>
      <c r="AD64" s="37"/>
      <c r="AE64" s="62">
        <f t="array" aca="1" ref="AE64:AH64" ca="1">TRANSPOSE($B$9:$B$12 + MMULT($D$9:$G$12,TRANSPOSE(AO64:AR64)) + MMULT($N$9:$Q$12, TRANSPOSE(Z64:AC64)))</f>
        <v>1.0622469533112437</v>
      </c>
      <c r="AF64" s="62">
        <f ca="1"/>
        <v>0.7662424214231478</v>
      </c>
      <c r="AG64" s="62">
        <f ca="1"/>
        <v>0.60041424188281578</v>
      </c>
      <c r="AH64" s="62">
        <f ca="1"/>
        <v>0.18086862587499569</v>
      </c>
      <c r="AI64" s="37"/>
      <c r="AJ64" s="61">
        <f t="shared" ca="1" si="6"/>
        <v>0.99721901984742323</v>
      </c>
      <c r="AK64" s="61">
        <f t="shared" ca="1" si="3"/>
        <v>-0.14257052596129391</v>
      </c>
      <c r="AL64" s="61">
        <f t="shared" ca="1" si="3"/>
        <v>-1.2734193592959646</v>
      </c>
      <c r="AM64" s="61">
        <f t="shared" ca="1" si="3"/>
        <v>2.4421892089116515</v>
      </c>
      <c r="AN64" s="37"/>
      <c r="AO64" s="62">
        <f t="array" aca="1" ref="AO64:AR64" ca="1">TRANSPOSE($B$17:$B$20 + MMULT($D$17:$G$20,TRANSPOSE(AO63:AR63)) + MMULT($N$17:$Q$20,TRANSPOSE(AJ64:AM64)))</f>
        <v>0.83121011644090392</v>
      </c>
      <c r="AP64" s="62">
        <f ca="1"/>
        <v>0.24030971395067602</v>
      </c>
      <c r="AQ64" s="62">
        <f ca="1"/>
        <v>-1.8705100232049965E-2</v>
      </c>
      <c r="AR64" s="62">
        <f ca="1"/>
        <v>1.121372937885853</v>
      </c>
    </row>
    <row r="65" spans="25:44" x14ac:dyDescent="0.15">
      <c r="Y65" s="8">
        <f t="shared" si="4"/>
        <v>62</v>
      </c>
      <c r="Z65" s="61">
        <f t="shared" ca="1" si="5"/>
        <v>0.78723592215568305</v>
      </c>
      <c r="AA65" s="61">
        <f t="shared" ca="1" si="1"/>
        <v>-1.6785170817207484</v>
      </c>
      <c r="AB65" s="61">
        <f t="shared" ca="1" si="1"/>
        <v>-1.9173992404626614</v>
      </c>
      <c r="AC65" s="61">
        <f t="shared" ca="1" si="1"/>
        <v>0.95463789647877173</v>
      </c>
      <c r="AD65" s="37"/>
      <c r="AE65" s="62">
        <f t="array" aca="1" ref="AE65:AH65" ca="1">TRANSPOSE($B$9:$B$12 + MMULT($D$9:$G$12,TRANSPOSE(AO65:AR65)) + MMULT($N$9:$Q$12, TRANSPOSE(Z65:AC65)))</f>
        <v>1.5867751841993423</v>
      </c>
      <c r="AF65" s="62">
        <f ca="1"/>
        <v>0.56989076656424531</v>
      </c>
      <c r="AG65" s="62">
        <f ca="1"/>
        <v>-0.37607097199910933</v>
      </c>
      <c r="AH65" s="62">
        <f ca="1"/>
        <v>0.78877574660650684</v>
      </c>
      <c r="AI65" s="37"/>
      <c r="AJ65" s="61">
        <f t="shared" ca="1" si="6"/>
        <v>1.8159976510462266</v>
      </c>
      <c r="AK65" s="61">
        <f t="shared" ca="1" si="3"/>
        <v>0.34136294030304143</v>
      </c>
      <c r="AL65" s="61">
        <f t="shared" ca="1" si="3"/>
        <v>-0.43470755764422558</v>
      </c>
      <c r="AM65" s="61">
        <f t="shared" ca="1" si="3"/>
        <v>-1.1185707699649794</v>
      </c>
      <c r="AN65" s="37"/>
      <c r="AO65" s="62">
        <f t="array" aca="1" ref="AO65:AR65" ca="1">TRANSPOSE($B$17:$B$20 + MMULT($D$17:$G$20,TRANSPOSE(AO64:AR64)) + MMULT($N$17:$Q$20,TRANSPOSE(AJ65:AM65)))</f>
        <v>1.1710918307900049</v>
      </c>
      <c r="AP65" s="62">
        <f ca="1"/>
        <v>0.72542486418398822</v>
      </c>
      <c r="AQ65" s="62">
        <f ca="1"/>
        <v>0.47871418474606897</v>
      </c>
      <c r="AR65" s="62">
        <f ca="1"/>
        <v>0.36409410005186876</v>
      </c>
    </row>
    <row r="66" spans="25:44" x14ac:dyDescent="0.15">
      <c r="Y66" s="8">
        <f t="shared" si="4"/>
        <v>63</v>
      </c>
      <c r="Z66" s="61">
        <f t="shared" ca="1" si="5"/>
        <v>0.36386688687142471</v>
      </c>
      <c r="AA66" s="61">
        <f t="shared" ca="1" si="1"/>
        <v>1.5222410564536177</v>
      </c>
      <c r="AB66" s="61">
        <f t="shared" ca="1" si="1"/>
        <v>-0.29715733389583687</v>
      </c>
      <c r="AC66" s="61">
        <f t="shared" ca="1" si="1"/>
        <v>0.20846268693657372</v>
      </c>
      <c r="AD66" s="37"/>
      <c r="AE66" s="62">
        <f t="array" aca="1" ref="AE66:AH66" ca="1">TRANSPOSE($B$9:$B$12 + MMULT($D$9:$G$12,TRANSPOSE(AO66:AR66)) + MMULT($N$9:$Q$12, TRANSPOSE(Z66:AC66)))</f>
        <v>1.0333802322951873</v>
      </c>
      <c r="AF66" s="62">
        <f ca="1"/>
        <v>1.4313505301052625</v>
      </c>
      <c r="AG66" s="62">
        <f ca="1"/>
        <v>7.7528596483753542E-3</v>
      </c>
      <c r="AH66" s="62">
        <f ca="1"/>
        <v>1.0124424454936993</v>
      </c>
      <c r="AI66" s="37"/>
      <c r="AJ66" s="61">
        <f t="shared" ca="1" si="6"/>
        <v>-1.0618080974840252</v>
      </c>
      <c r="AK66" s="61">
        <f t="shared" ca="1" si="3"/>
        <v>0.29602313679294745</v>
      </c>
      <c r="AL66" s="61">
        <f t="shared" ca="1" si="3"/>
        <v>0.82817135122939711</v>
      </c>
      <c r="AM66" s="61">
        <f t="shared" ca="1" si="3"/>
        <v>-0.66178101935278399</v>
      </c>
      <c r="AN66" s="37"/>
      <c r="AO66" s="62">
        <f t="array" aca="1" ref="AO66:AR66" ca="1">TRANSPOSE($B$17:$B$20 + MMULT($D$17:$G$20,TRANSPOSE(AO65:AR65)) + MMULT($N$17:$Q$20,TRANSPOSE(AJ66:AM66)))</f>
        <v>0.36325993201339357</v>
      </c>
      <c r="AP66" s="62">
        <f ca="1"/>
        <v>0.83565178804986706</v>
      </c>
      <c r="AQ66" s="62">
        <f ca="1"/>
        <v>0.81109411876265147</v>
      </c>
      <c r="AR66" s="62">
        <f ca="1"/>
        <v>0.38920227574060912</v>
      </c>
    </row>
    <row r="67" spans="25:44" x14ac:dyDescent="0.15">
      <c r="Y67" s="8">
        <f t="shared" si="4"/>
        <v>64</v>
      </c>
      <c r="Z67" s="61">
        <f t="shared" ca="1" si="5"/>
        <v>-0.34266134464050374</v>
      </c>
      <c r="AA67" s="61">
        <f t="shared" ca="1" si="1"/>
        <v>3.3078314619992805E-2</v>
      </c>
      <c r="AB67" s="61">
        <f t="shared" ca="1" si="1"/>
        <v>-2.0235895089452183</v>
      </c>
      <c r="AC67" s="61">
        <f t="shared" ca="1" si="1"/>
        <v>-0.19494887123777202</v>
      </c>
      <c r="AD67" s="37"/>
      <c r="AE67" s="62">
        <f t="array" aca="1" ref="AE67:AH67" ca="1">TRANSPOSE($B$9:$B$12 + MMULT($D$9:$G$12,TRANSPOSE(AO67:AR67)) + MMULT($N$9:$Q$12, TRANSPOSE(Z67:AC67)))</f>
        <v>0.74642638125469851</v>
      </c>
      <c r="AF67" s="62">
        <f ca="1"/>
        <v>0.23502912488809408</v>
      </c>
      <c r="AG67" s="62">
        <f ca="1"/>
        <v>0.60583643878951554</v>
      </c>
      <c r="AH67" s="62">
        <f ca="1"/>
        <v>0.94291271576160485</v>
      </c>
      <c r="AI67" s="37"/>
      <c r="AJ67" s="61">
        <f t="shared" ca="1" si="6"/>
        <v>0.37584961625774382</v>
      </c>
      <c r="AK67" s="61">
        <f t="shared" ca="1" si="3"/>
        <v>-1.3625283665735484</v>
      </c>
      <c r="AL67" s="61">
        <f t="shared" ca="1" si="3"/>
        <v>-0.35744954693123832</v>
      </c>
      <c r="AM67" s="61">
        <f t="shared" ca="1" si="3"/>
        <v>1.1054990090818362</v>
      </c>
      <c r="AN67" s="37"/>
      <c r="AO67" s="62">
        <f t="array" aca="1" ref="AO67:AR67" ca="1">TRANSPOSE($B$17:$B$20 + MMULT($D$17:$G$20,TRANSPOSE(AO66:AR66)) + MMULT($N$17:$Q$20,TRANSPOSE(AJ67:AM67)))</f>
        <v>0.69438830147189923</v>
      </c>
      <c r="AP67" s="62">
        <f ca="1"/>
        <v>-6.0976720418838393E-2</v>
      </c>
      <c r="AQ67" s="62">
        <f ca="1"/>
        <v>0.74501691489679334</v>
      </c>
      <c r="AR67" s="62">
        <f ca="1"/>
        <v>1.2302718060895881</v>
      </c>
    </row>
    <row r="68" spans="25:44" x14ac:dyDescent="0.15">
      <c r="Y68" s="8">
        <f t="shared" si="4"/>
        <v>65</v>
      </c>
      <c r="Z68" s="61">
        <f t="shared" ref="Z68:Z99" ca="1" si="7">NORMSINV(RAND())</f>
        <v>2.2860514708470605</v>
      </c>
      <c r="AA68" s="61">
        <f t="shared" ca="1" si="1"/>
        <v>-0.6753990716599455</v>
      </c>
      <c r="AB68" s="61">
        <f t="shared" ca="1" si="1"/>
        <v>-0.28469502994755441</v>
      </c>
      <c r="AC68" s="61">
        <f t="shared" ca="1" si="1"/>
        <v>0.14533128027866443</v>
      </c>
      <c r="AD68" s="37"/>
      <c r="AE68" s="62">
        <f t="array" aca="1" ref="AE68:AH68" ca="1">TRANSPOSE($B$9:$B$12 + MMULT($D$9:$G$12,TRANSPOSE(AO68:AR68)) + MMULT($N$9:$Q$12, TRANSPOSE(Z68:AC68)))</f>
        <v>1.4501233036927941</v>
      </c>
      <c r="AF68" s="62">
        <f ca="1"/>
        <v>0.68191439197536674</v>
      </c>
      <c r="AG68" s="62">
        <f ca="1"/>
        <v>0.88476625572029111</v>
      </c>
      <c r="AH68" s="62">
        <f ca="1"/>
        <v>0.50520641234097463</v>
      </c>
      <c r="AI68" s="37"/>
      <c r="AJ68" s="61">
        <f t="shared" ref="AJ68:AJ99" ca="1" si="8">NORMSINV(RAND())</f>
        <v>0.48490675822585871</v>
      </c>
      <c r="AK68" s="61">
        <f t="shared" ca="1" si="3"/>
        <v>-1.4423993795072423</v>
      </c>
      <c r="AL68" s="61">
        <f t="shared" ca="1" si="3"/>
        <v>-1.5889390419429423</v>
      </c>
      <c r="AM68" s="61">
        <f t="shared" ca="1" si="3"/>
        <v>0.94374232591877993</v>
      </c>
      <c r="AN68" s="37"/>
      <c r="AO68" s="62">
        <f t="array" aca="1" ref="AO68:AR68" ca="1">TRANSPOSE($B$17:$B$20 + MMULT($D$17:$G$20,TRANSPOSE(AO67:AR67)) + MMULT($N$17:$Q$20,TRANSPOSE(AJ68:AM68)))</f>
        <v>0.78410064387356782</v>
      </c>
      <c r="AP68" s="62">
        <f ca="1"/>
        <v>-9.624715368965564E-2</v>
      </c>
      <c r="AQ68" s="62">
        <f ca="1"/>
        <v>1.9415998626357234E-2</v>
      </c>
      <c r="AR68" s="62">
        <f ca="1"/>
        <v>1.1616358496642991</v>
      </c>
    </row>
    <row r="69" spans="25:44" x14ac:dyDescent="0.15">
      <c r="Y69" s="8">
        <f t="shared" ref="Y69:Y132" si="9">Y68+1</f>
        <v>66</v>
      </c>
      <c r="Z69" s="61">
        <f t="shared" ca="1" si="7"/>
        <v>-0.28400485495908606</v>
      </c>
      <c r="AA69" s="61">
        <f t="shared" ca="1" si="1"/>
        <v>-3.3036930829582718</v>
      </c>
      <c r="AB69" s="61">
        <f t="shared" ca="1" si="1"/>
        <v>0.35669012757785484</v>
      </c>
      <c r="AC69" s="61">
        <f t="shared" ca="1" si="1"/>
        <v>-0.69252722904257813</v>
      </c>
      <c r="AD69" s="37"/>
      <c r="AE69" s="62">
        <f t="array" aca="1" ref="AE69:AH69" ca="1">TRANSPOSE($B$9:$B$12 + MMULT($D$9:$G$12,TRANSPOSE(AO69:AR69)) + MMULT($N$9:$Q$12, TRANSPOSE(Z69:AC69)))</f>
        <v>0.441920384106681</v>
      </c>
      <c r="AF69" s="62">
        <f ca="1"/>
        <v>-0.43949873390298844</v>
      </c>
      <c r="AG69" s="62">
        <f ca="1"/>
        <v>0.60674140368706375</v>
      </c>
      <c r="AH69" s="62">
        <f ca="1"/>
        <v>0.52636974714497364</v>
      </c>
      <c r="AI69" s="37"/>
      <c r="AJ69" s="61">
        <f t="shared" ca="1" si="8"/>
        <v>-0.36718500212141503</v>
      </c>
      <c r="AK69" s="61">
        <f t="shared" ca="1" si="3"/>
        <v>0.75526934199638618</v>
      </c>
      <c r="AL69" s="61">
        <f t="shared" ca="1" si="3"/>
        <v>0.41134673336844108</v>
      </c>
      <c r="AM69" s="61">
        <f t="shared" ca="1" si="3"/>
        <v>0.50954455535219734</v>
      </c>
      <c r="AN69" s="37"/>
      <c r="AO69" s="62">
        <f t="array" aca="1" ref="AO69:AR69" ca="1">TRANSPOSE($B$17:$B$20 + MMULT($D$17:$G$20,TRANSPOSE(AO68:AR68)) + MMULT($N$17:$Q$20,TRANSPOSE(AJ69:AM69)))</f>
        <v>0.40745358396245868</v>
      </c>
      <c r="AP69" s="62">
        <f ca="1"/>
        <v>0.77781913088942023</v>
      </c>
      <c r="AQ69" s="62">
        <f ca="1"/>
        <v>0.3024931985159065</v>
      </c>
      <c r="AR69" s="62">
        <f ca="1"/>
        <v>0.51787692102815297</v>
      </c>
    </row>
    <row r="70" spans="25:44" x14ac:dyDescent="0.15">
      <c r="Y70" s="8">
        <f t="shared" si="9"/>
        <v>67</v>
      </c>
      <c r="Z70" s="61">
        <f t="shared" ca="1" si="7"/>
        <v>-0.79770293361559796</v>
      </c>
      <c r="AA70" s="61">
        <f t="shared" ca="1" si="1"/>
        <v>-1.7443493253258719</v>
      </c>
      <c r="AB70" s="61">
        <f t="shared" ca="1" si="1"/>
        <v>-4.8839218115486888E-3</v>
      </c>
      <c r="AC70" s="61">
        <f t="shared" ca="1" si="1"/>
        <v>0.95092493318246796</v>
      </c>
      <c r="AD70" s="37"/>
      <c r="AE70" s="62">
        <f t="array" aca="1" ref="AE70:AH70" ca="1">TRANSPOSE($B$9:$B$12 + MMULT($D$9:$G$12,TRANSPOSE(AO70:AR70)) + MMULT($N$9:$Q$12, TRANSPOSE(Z70:AC70)))</f>
        <v>-0.40700447470615519</v>
      </c>
      <c r="AF70" s="62">
        <f ca="1"/>
        <v>-6.496796258145443E-2</v>
      </c>
      <c r="AG70" s="62">
        <f ca="1"/>
        <v>0.78418442716027648</v>
      </c>
      <c r="AH70" s="62">
        <f ca="1"/>
        <v>0.20885803856999044</v>
      </c>
      <c r="AI70" s="37"/>
      <c r="AJ70" s="61">
        <f t="shared" ca="1" si="8"/>
        <v>-0.70555575471027565</v>
      </c>
      <c r="AK70" s="61">
        <f t="shared" ca="1" si="3"/>
        <v>-0.11330498406614058</v>
      </c>
      <c r="AL70" s="61">
        <f t="shared" ca="1" si="3"/>
        <v>-2.16419271502355</v>
      </c>
      <c r="AM70" s="61">
        <f t="shared" ca="1" si="3"/>
        <v>1.4022462659501886</v>
      </c>
      <c r="AN70" s="37"/>
      <c r="AO70" s="62">
        <f t="array" aca="1" ref="AO70:AR70" ca="1">TRANSPOSE($B$17:$B$20 + MMULT($D$17:$G$20,TRANSPOSE(AO69:AR69)) + MMULT($N$17:$Q$20,TRANSPOSE(AJ70:AM70)))</f>
        <v>0.26873442750893917</v>
      </c>
      <c r="AP70" s="62">
        <f ca="1"/>
        <v>0.4342844147393784</v>
      </c>
      <c r="AQ70" s="62">
        <f ca="1"/>
        <v>-0.53146718452297859</v>
      </c>
      <c r="AR70" s="62">
        <f ca="1"/>
        <v>0.61121691585175497</v>
      </c>
    </row>
    <row r="71" spans="25:44" x14ac:dyDescent="0.15">
      <c r="Y71" s="8">
        <f t="shared" si="9"/>
        <v>68</v>
      </c>
      <c r="Z71" s="61">
        <f t="shared" ca="1" si="7"/>
        <v>0.80613039150992838</v>
      </c>
      <c r="AA71" s="61">
        <f t="shared" ca="1" si="1"/>
        <v>-0.65960174477585576</v>
      </c>
      <c r="AB71" s="61">
        <f t="shared" ca="1" si="1"/>
        <v>-1.5034804822058974</v>
      </c>
      <c r="AC71" s="61">
        <f t="shared" ca="1" si="1"/>
        <v>-0.52417010501282324</v>
      </c>
      <c r="AD71" s="37"/>
      <c r="AE71" s="62">
        <f t="array" aca="1" ref="AE71:AH71" ca="1">TRANSPOSE($B$9:$B$12 + MMULT($D$9:$G$12,TRANSPOSE(AO71:AR71)) + MMULT($N$9:$Q$12, TRANSPOSE(Z71:AC71)))</f>
        <v>1.1372617591034373</v>
      </c>
      <c r="AF71" s="62">
        <f ca="1"/>
        <v>0.13813047649882806</v>
      </c>
      <c r="AG71" s="62">
        <f ca="1"/>
        <v>-0.39504657191018638</v>
      </c>
      <c r="AH71" s="62">
        <f ca="1"/>
        <v>0.90950625415799968</v>
      </c>
      <c r="AI71" s="37"/>
      <c r="AJ71" s="61">
        <f t="shared" ca="1" si="8"/>
        <v>-0.25318624490297675</v>
      </c>
      <c r="AK71" s="61">
        <f t="shared" ca="1" si="3"/>
        <v>-0.12590777606141809</v>
      </c>
      <c r="AL71" s="61">
        <f t="shared" ca="1" si="3"/>
        <v>1.392712664682271</v>
      </c>
      <c r="AM71" s="61">
        <f t="shared" ca="1" si="3"/>
        <v>-7.2367610163694987E-2</v>
      </c>
      <c r="AN71" s="37"/>
      <c r="AO71" s="62">
        <f t="array" aca="1" ref="AO71:AR71" ca="1">TRANSPOSE($B$17:$B$20 + MMULT($D$17:$G$20,TRANSPOSE(AO70:AR70)) + MMULT($N$17:$Q$20,TRANSPOSE(AJ71:AM71)))</f>
        <v>0.24106086320466119</v>
      </c>
      <c r="AP71" s="62">
        <f ca="1"/>
        <v>0.25199908133135956</v>
      </c>
      <c r="AQ71" s="62">
        <f ca="1"/>
        <v>0.77827990877257336</v>
      </c>
      <c r="AR71" s="62">
        <f ca="1"/>
        <v>0.39073886128402457</v>
      </c>
    </row>
    <row r="72" spans="25:44" x14ac:dyDescent="0.15">
      <c r="Y72" s="8">
        <f t="shared" si="9"/>
        <v>69</v>
      </c>
      <c r="Z72" s="61">
        <f t="shared" ca="1" si="7"/>
        <v>-1.1779312365642738</v>
      </c>
      <c r="AA72" s="61">
        <f t="shared" ca="1" si="1"/>
        <v>-0.45142007318259475</v>
      </c>
      <c r="AB72" s="61">
        <f t="shared" ca="1" si="1"/>
        <v>0.4075479140809235</v>
      </c>
      <c r="AC72" s="61">
        <f t="shared" ca="1" si="1"/>
        <v>1.0860770707051657</v>
      </c>
      <c r="AD72" s="37"/>
      <c r="AE72" s="62">
        <f t="array" aca="1" ref="AE72:AH72" ca="1">TRANSPOSE($B$9:$B$12 + MMULT($D$9:$G$12,TRANSPOSE(AO72:AR72)) + MMULT($N$9:$Q$12, TRANSPOSE(Z72:AC72)))</f>
        <v>0.58571205335208176</v>
      </c>
      <c r="AF72" s="62">
        <f ca="1"/>
        <v>6.3911818025157441E-3</v>
      </c>
      <c r="AG72" s="62">
        <f ca="1"/>
        <v>0.91115291201958315</v>
      </c>
      <c r="AH72" s="62">
        <f ca="1"/>
        <v>0.55162448161388511</v>
      </c>
      <c r="AI72" s="37"/>
      <c r="AJ72" s="61">
        <f t="shared" ca="1" si="8"/>
        <v>0.71477291286507061</v>
      </c>
      <c r="AK72" s="61">
        <f t="shared" ca="1" si="3"/>
        <v>-0.18821334981275162</v>
      </c>
      <c r="AL72" s="61">
        <f t="shared" ca="1" si="3"/>
        <v>-1.0428625724524606E-2</v>
      </c>
      <c r="AM72" s="61">
        <f t="shared" ca="1" si="3"/>
        <v>-1.7558581335580168</v>
      </c>
      <c r="AN72" s="37"/>
      <c r="AO72" s="62">
        <f t="array" aca="1" ref="AO72:AR72" ca="1">TRANSPOSE($B$17:$B$20 + MMULT($D$17:$G$20,TRANSPOSE(AO71:AR71)) + MMULT($N$17:$Q$20,TRANSPOSE(AJ72:AM72)))</f>
        <v>0.72981425396880528</v>
      </c>
      <c r="AP72" s="62">
        <f ca="1"/>
        <v>0.2421510369768663</v>
      </c>
      <c r="AQ72" s="62">
        <f ca="1"/>
        <v>0.60076567012912441</v>
      </c>
      <c r="AR72" s="62">
        <f ca="1"/>
        <v>0.29926481753613488</v>
      </c>
    </row>
    <row r="73" spans="25:44" x14ac:dyDescent="0.15">
      <c r="Y73" s="8">
        <f t="shared" si="9"/>
        <v>70</v>
      </c>
      <c r="Z73" s="61">
        <f t="shared" ca="1" si="7"/>
        <v>5.5245199131323114E-2</v>
      </c>
      <c r="AA73" s="61">
        <f t="shared" ca="1" si="1"/>
        <v>-2.2491037938935549E-2</v>
      </c>
      <c r="AB73" s="61">
        <f t="shared" ca="1" si="1"/>
        <v>2.298314142182281</v>
      </c>
      <c r="AC73" s="61">
        <f t="shared" ca="1" si="1"/>
        <v>0.7199862874741435</v>
      </c>
      <c r="AD73" s="37"/>
      <c r="AE73" s="62">
        <f t="array" aca="1" ref="AE73:AH73" ca="1">TRANSPOSE($B$9:$B$12 + MMULT($D$9:$G$12,TRANSPOSE(AO73:AR73)) + MMULT($N$9:$Q$12, TRANSPOSE(Z73:AC73)))</f>
        <v>0.2806432636570298</v>
      </c>
      <c r="AF73" s="62">
        <f ca="1"/>
        <v>1.134717102116003</v>
      </c>
      <c r="AG73" s="62">
        <f ca="1"/>
        <v>1.0188430741801537</v>
      </c>
      <c r="AH73" s="62">
        <f ca="1"/>
        <v>0.23486384094856322</v>
      </c>
      <c r="AI73" s="37"/>
      <c r="AJ73" s="61">
        <f t="shared" ca="1" si="8"/>
        <v>-0.79302505679460633</v>
      </c>
      <c r="AK73" s="61">
        <f t="shared" ca="1" si="3"/>
        <v>1.3703541669936719</v>
      </c>
      <c r="AL73" s="61">
        <f t="shared" ca="1" si="3"/>
        <v>-0.78816746510834568</v>
      </c>
      <c r="AM73" s="61">
        <f t="shared" ca="1" si="3"/>
        <v>0.43770231890035904</v>
      </c>
      <c r="AN73" s="37"/>
      <c r="AO73" s="62">
        <f t="array" aca="1" ref="AO73:AR73" ca="1">TRANSPOSE($B$17:$B$20 + MMULT($D$17:$G$20,TRANSPOSE(AO72:AR72)) + MMULT($N$17:$Q$20,TRANSPOSE(AJ73:AM73)))</f>
        <v>0.31864684296182028</v>
      </c>
      <c r="AP73" s="62">
        <f ca="1"/>
        <v>1.0158828152371997</v>
      </c>
      <c r="AQ73" s="62">
        <f ca="1"/>
        <v>-0.18075130629243685</v>
      </c>
      <c r="AR73" s="62">
        <f ca="1"/>
        <v>0.22642241330707424</v>
      </c>
    </row>
    <row r="74" spans="25:44" x14ac:dyDescent="0.15">
      <c r="Y74" s="8">
        <f t="shared" si="9"/>
        <v>71</v>
      </c>
      <c r="Z74" s="61">
        <f t="shared" ca="1" si="7"/>
        <v>3.3547388696216658E-3</v>
      </c>
      <c r="AA74" s="61">
        <f t="shared" ca="1" si="1"/>
        <v>-2.0039760739736248</v>
      </c>
      <c r="AB74" s="61">
        <f t="shared" ca="1" si="1"/>
        <v>-0.29101657610532206</v>
      </c>
      <c r="AC74" s="61">
        <f t="shared" ca="1" si="1"/>
        <v>-1.6172628518094507</v>
      </c>
      <c r="AD74" s="37"/>
      <c r="AE74" s="62">
        <f t="array" aca="1" ref="AE74:AH74" ca="1">TRANSPOSE($B$9:$B$12 + MMULT($D$9:$G$12,TRANSPOSE(AO74:AR74)) + MMULT($N$9:$Q$12, TRANSPOSE(Z74:AC74)))</f>
        <v>0.67970834476361153</v>
      </c>
      <c r="AF74" s="62">
        <f ca="1"/>
        <v>-0.51612739507864813</v>
      </c>
      <c r="AG74" s="62">
        <f ca="1"/>
        <v>0.28123899262073682</v>
      </c>
      <c r="AH74" s="62">
        <f ca="1"/>
        <v>0.21969363292288491</v>
      </c>
      <c r="AI74" s="37"/>
      <c r="AJ74" s="61">
        <f t="shared" ca="1" si="8"/>
        <v>-0.27792969044237714</v>
      </c>
      <c r="AK74" s="61">
        <f t="shared" ca="1" si="3"/>
        <v>-0.63638259832239885</v>
      </c>
      <c r="AL74" s="61">
        <f t="shared" ca="1" si="3"/>
        <v>-9.8614209953401089E-2</v>
      </c>
      <c r="AM74" s="61">
        <f t="shared" ca="1" si="3"/>
        <v>-0.59743954329015769</v>
      </c>
      <c r="AN74" s="37"/>
      <c r="AO74" s="62">
        <f t="array" aca="1" ref="AO74:AR74" ca="1">TRANSPOSE($B$17:$B$20 + MMULT($D$17:$G$20,TRANSPOSE(AO73:AR73)) + MMULT($N$17:$Q$20,TRANSPOSE(AJ74:AM74)))</f>
        <v>0.32088057438362505</v>
      </c>
      <c r="AP74" s="62">
        <f ca="1"/>
        <v>0.17360687399383196</v>
      </c>
      <c r="AQ74" s="62">
        <f ca="1"/>
        <v>0.44029854674594621</v>
      </c>
      <c r="AR74" s="62">
        <f ca="1"/>
        <v>0.29991333961412492</v>
      </c>
    </row>
    <row r="75" spans="25:44" x14ac:dyDescent="0.15">
      <c r="Y75" s="8">
        <f t="shared" si="9"/>
        <v>72</v>
      </c>
      <c r="Z75" s="61">
        <f t="shared" ca="1" si="7"/>
        <v>-1.0279051636326897</v>
      </c>
      <c r="AA75" s="61">
        <f t="shared" ca="1" si="1"/>
        <v>-0.17435319358492968</v>
      </c>
      <c r="AB75" s="61">
        <f t="shared" ca="1" si="1"/>
        <v>-0.74064536969637795</v>
      </c>
      <c r="AC75" s="61">
        <f t="shared" ca="1" si="1"/>
        <v>-0.78150897271740305</v>
      </c>
      <c r="AD75" s="37"/>
      <c r="AE75" s="62">
        <f t="array" aca="1" ref="AE75:AH75" ca="1">TRANSPOSE($B$9:$B$12 + MMULT($D$9:$G$12,TRANSPOSE(AO75:AR75)) + MMULT($N$9:$Q$12, TRANSPOSE(Z75:AC75)))</f>
        <v>7.3749926332286941E-2</v>
      </c>
      <c r="AF75" s="62">
        <f ca="1"/>
        <v>0.22806529822966382</v>
      </c>
      <c r="AG75" s="62">
        <f ca="1"/>
        <v>0.60569280106894907</v>
      </c>
      <c r="AH75" s="62">
        <f ca="1"/>
        <v>0.1219288296543328</v>
      </c>
      <c r="AI75" s="37"/>
      <c r="AJ75" s="61">
        <f t="shared" ca="1" si="8"/>
        <v>9.9520430591037282E-2</v>
      </c>
      <c r="AK75" s="61">
        <f t="shared" ca="1" si="3"/>
        <v>-0.12068958019002943</v>
      </c>
      <c r="AL75" s="61">
        <f t="shared" ca="1" si="3"/>
        <v>-0.61001087398243015</v>
      </c>
      <c r="AM75" s="61">
        <f t="shared" ca="1" si="3"/>
        <v>0.6926482207766762</v>
      </c>
      <c r="AN75" s="37"/>
      <c r="AO75" s="62">
        <f t="array" aca="1" ref="AO75:AR75" ca="1">TRANSPOSE($B$17:$B$20 + MMULT($D$17:$G$20,TRANSPOSE(AO74:AR74)) + MMULT($N$17:$Q$20,TRANSPOSE(AJ75:AM75)))</f>
        <v>0.48352704900689553</v>
      </c>
      <c r="AP75" s="62">
        <f ca="1"/>
        <v>0.23168566472513127</v>
      </c>
      <c r="AQ75" s="62">
        <f ca="1"/>
        <v>0.10687636579900711</v>
      </c>
      <c r="AR75" s="62">
        <f ca="1"/>
        <v>0.59398427636193429</v>
      </c>
    </row>
    <row r="76" spans="25:44" x14ac:dyDescent="0.15">
      <c r="Y76" s="8">
        <f t="shared" si="9"/>
        <v>73</v>
      </c>
      <c r="Z76" s="61">
        <f t="shared" ca="1" si="7"/>
        <v>-1.1716647094430348</v>
      </c>
      <c r="AA76" s="61">
        <f t="shared" ca="1" si="1"/>
        <v>-1.2072392218084311</v>
      </c>
      <c r="AB76" s="61">
        <f t="shared" ca="1" si="1"/>
        <v>0.4432599238109442</v>
      </c>
      <c r="AC76" s="61">
        <f t="shared" ca="1" si="1"/>
        <v>0.95553960832651763</v>
      </c>
      <c r="AD76" s="37"/>
      <c r="AE76" s="62">
        <f t="array" aca="1" ref="AE76:AH76" ca="1">TRANSPOSE($B$9:$B$12 + MMULT($D$9:$G$12,TRANSPOSE(AO76:AR76)) + MMULT($N$9:$Q$12, TRANSPOSE(Z76:AC76)))</f>
        <v>0.88191875341174875</v>
      </c>
      <c r="AF76" s="62">
        <f ca="1"/>
        <v>-5.1473259171631369E-2</v>
      </c>
      <c r="AG76" s="62">
        <f ca="1"/>
        <v>1.3909561476646823</v>
      </c>
      <c r="AH76" s="62">
        <f ca="1"/>
        <v>1.0283226318088334</v>
      </c>
      <c r="AI76" s="37"/>
      <c r="AJ76" s="61">
        <f t="shared" ca="1" si="8"/>
        <v>1.5662497983893984</v>
      </c>
      <c r="AK76" s="61">
        <f t="shared" ca="1" si="3"/>
        <v>2.2486527944596223E-2</v>
      </c>
      <c r="AL76" s="61">
        <f t="shared" ca="1" si="3"/>
        <v>0.97158851443550776</v>
      </c>
      <c r="AM76" s="61">
        <f t="shared" ca="1" si="3"/>
        <v>0.62362412138830636</v>
      </c>
      <c r="AN76" s="37"/>
      <c r="AO76" s="62">
        <f t="array" aca="1" ref="AO76:AR76" ca="1">TRANSPOSE($B$17:$B$20 + MMULT($D$17:$G$20,TRANSPOSE(AO75:AR75)) + MMULT($N$17:$Q$20,TRANSPOSE(AJ76:AM76)))</f>
        <v>0.98866534910405945</v>
      </c>
      <c r="AP76" s="62">
        <f ca="1"/>
        <v>0.39960566417154619</v>
      </c>
      <c r="AQ76" s="62">
        <f ca="1"/>
        <v>1.0332282614304664</v>
      </c>
      <c r="AR76" s="62">
        <f ca="1"/>
        <v>0.85557633587553084</v>
      </c>
    </row>
    <row r="77" spans="25:44" x14ac:dyDescent="0.15">
      <c r="Y77" s="8">
        <f t="shared" si="9"/>
        <v>74</v>
      </c>
      <c r="Z77" s="61">
        <f t="shared" ca="1" si="7"/>
        <v>-1.1048047861163393</v>
      </c>
      <c r="AA77" s="61">
        <f t="shared" ca="1" si="1"/>
        <v>8.0756947248465591E-2</v>
      </c>
      <c r="AB77" s="61">
        <f t="shared" ca="1" si="1"/>
        <v>0.62830380219799808</v>
      </c>
      <c r="AC77" s="61">
        <f t="shared" ca="1" si="1"/>
        <v>0.18794646421182645</v>
      </c>
      <c r="AD77" s="37"/>
      <c r="AE77" s="62">
        <f t="array" aca="1" ref="AE77:AH77" ca="1">TRANSPOSE($B$9:$B$12 + MMULT($D$9:$G$12,TRANSPOSE(AO77:AR77)) + MMULT($N$9:$Q$12, TRANSPOSE(Z77:AC77)))</f>
        <v>0.49646513249192847</v>
      </c>
      <c r="AF77" s="62">
        <f ca="1"/>
        <v>0.16237736899760266</v>
      </c>
      <c r="AG77" s="62">
        <f ca="1"/>
        <v>1.1604941057225</v>
      </c>
      <c r="AH77" s="62">
        <f ca="1"/>
        <v>0.55308417082714556</v>
      </c>
      <c r="AI77" s="37"/>
      <c r="AJ77" s="61">
        <f t="shared" ca="1" si="8"/>
        <v>-0.49830594879412632</v>
      </c>
      <c r="AK77" s="61">
        <f t="shared" ca="1" si="3"/>
        <v>-1.1603526968475006</v>
      </c>
      <c r="AL77" s="61">
        <f t="shared" ca="1" si="3"/>
        <v>-0.16552213144263797</v>
      </c>
      <c r="AM77" s="61">
        <f t="shared" ca="1" si="3"/>
        <v>-1.9592930396296631</v>
      </c>
      <c r="AN77" s="37"/>
      <c r="AO77" s="62">
        <f t="array" aca="1" ref="AO77:AR77" ca="1">TRANSPOSE($B$17:$B$20 + MMULT($D$17:$G$20,TRANSPOSE(AO76:AR76)) + MMULT($N$17:$Q$20,TRANSPOSE(AJ77:AM77)))</f>
        <v>0.5877355235149212</v>
      </c>
      <c r="AP77" s="62">
        <f ca="1"/>
        <v>0.19510277342336479</v>
      </c>
      <c r="AQ77" s="62">
        <f ca="1"/>
        <v>0.68563252027725452</v>
      </c>
      <c r="AR77" s="62">
        <f ca="1"/>
        <v>0.55980972445049704</v>
      </c>
    </row>
    <row r="78" spans="25:44" x14ac:dyDescent="0.15">
      <c r="Y78" s="8">
        <f t="shared" si="9"/>
        <v>75</v>
      </c>
      <c r="Z78" s="61">
        <f t="shared" ca="1" si="7"/>
        <v>-0.33835614760995419</v>
      </c>
      <c r="AA78" s="61">
        <f t="shared" ca="1" si="1"/>
        <v>-1.1331260763297022</v>
      </c>
      <c r="AB78" s="61">
        <f t="shared" ca="1" si="1"/>
        <v>0.30121605974074994</v>
      </c>
      <c r="AC78" s="61">
        <f t="shared" ca="1" si="1"/>
        <v>0.56874467330402212</v>
      </c>
      <c r="AD78" s="37"/>
      <c r="AE78" s="62">
        <f t="array" aca="1" ref="AE78:AH78" ca="1">TRANSPOSE($B$9:$B$12 + MMULT($D$9:$G$12,TRANSPOSE(AO78:AR78)) + MMULT($N$9:$Q$12, TRANSPOSE(Z78:AC78)))</f>
        <v>-1.2412176230491678E-2</v>
      </c>
      <c r="AF78" s="62">
        <f ca="1"/>
        <v>0.21701471611341927</v>
      </c>
      <c r="AG78" s="62">
        <f ca="1"/>
        <v>0.782048990177173</v>
      </c>
      <c r="AH78" s="62">
        <f ca="1"/>
        <v>0.93411995111173907</v>
      </c>
      <c r="AI78" s="37"/>
      <c r="AJ78" s="61">
        <f t="shared" ca="1" si="8"/>
        <v>-1.6451797491071822</v>
      </c>
      <c r="AK78" s="61">
        <f t="shared" ca="1" si="3"/>
        <v>0.55322256344551324</v>
      </c>
      <c r="AL78" s="61">
        <f t="shared" ca="1" si="3"/>
        <v>0.20696851104378022</v>
      </c>
      <c r="AM78" s="61">
        <f t="shared" ca="1" si="3"/>
        <v>1.9955008515360302</v>
      </c>
      <c r="AN78" s="37"/>
      <c r="AO78" s="62">
        <f t="array" aca="1" ref="AO78:AR78" ca="1">TRANSPOSE($B$17:$B$20 + MMULT($D$17:$G$20,TRANSPOSE(AO77:AR77)) + MMULT($N$17:$Q$20,TRANSPOSE(AJ78:AM78)))</f>
        <v>1.6524740701260754E-2</v>
      </c>
      <c r="AP78" s="62">
        <f ca="1"/>
        <v>0.64569370021401551</v>
      </c>
      <c r="AQ78" s="62">
        <f ca="1"/>
        <v>0.20400438741751836</v>
      </c>
      <c r="AR78" s="62">
        <f ca="1"/>
        <v>0.85790017291420928</v>
      </c>
    </row>
    <row r="79" spans="25:44" x14ac:dyDescent="0.15">
      <c r="Y79" s="8">
        <f t="shared" si="9"/>
        <v>76</v>
      </c>
      <c r="Z79" s="61">
        <f t="shared" ca="1" si="7"/>
        <v>-2.309317296057392</v>
      </c>
      <c r="AA79" s="61">
        <f t="shared" ca="1" si="1"/>
        <v>-1.307304658197715</v>
      </c>
      <c r="AB79" s="61">
        <f t="shared" ca="1" si="1"/>
        <v>-0.77573279767642778</v>
      </c>
      <c r="AC79" s="61">
        <f t="shared" ca="1" si="1"/>
        <v>-7.5913979493022823E-2</v>
      </c>
      <c r="AD79" s="37"/>
      <c r="AE79" s="62">
        <f t="array" aca="1" ref="AE79:AH79" ca="1">TRANSPOSE($B$9:$B$12 + MMULT($D$9:$G$12,TRANSPOSE(AO79:AR79)) + MMULT($N$9:$Q$12, TRANSPOSE(Z79:AC79)))</f>
        <v>-0.42864480536947158</v>
      </c>
      <c r="AF79" s="62">
        <f ca="1"/>
        <v>-0.68159752432922582</v>
      </c>
      <c r="AG79" s="62">
        <f ca="1"/>
        <v>0.94928915486944199</v>
      </c>
      <c r="AH79" s="62">
        <f ca="1"/>
        <v>0.22294288661217332</v>
      </c>
      <c r="AI79" s="37"/>
      <c r="AJ79" s="61">
        <f t="shared" ca="1" si="8"/>
        <v>0.19336008259427681</v>
      </c>
      <c r="AK79" s="61">
        <f t="shared" ca="1" si="3"/>
        <v>-0.85320456664108324</v>
      </c>
      <c r="AL79" s="61">
        <f t="shared" ca="1" si="3"/>
        <v>-0.89931455138860927</v>
      </c>
      <c r="AM79" s="61">
        <f t="shared" ca="1" si="3"/>
        <v>-9.5374688460611257E-2</v>
      </c>
      <c r="AN79" s="37"/>
      <c r="AO79" s="62">
        <f t="array" aca="1" ref="AO79:AR79" ca="1">TRANSPOSE($B$17:$B$20 + MMULT($D$17:$G$20,TRANSPOSE(AO78:AR78)) + MMULT($N$17:$Q$20,TRANSPOSE(AJ79:AM79)))</f>
        <v>0.46149075730855144</v>
      </c>
      <c r="AP79" s="62">
        <f ca="1"/>
        <v>1.0778365758611186E-2</v>
      </c>
      <c r="AQ79" s="62">
        <f ca="1"/>
        <v>0.17294713760890018</v>
      </c>
      <c r="AR79" s="62">
        <f ca="1"/>
        <v>0.64356863007524567</v>
      </c>
    </row>
    <row r="80" spans="25:44" x14ac:dyDescent="0.15">
      <c r="Y80" s="8">
        <f t="shared" si="9"/>
        <v>77</v>
      </c>
      <c r="Z80" s="61">
        <f t="shared" ca="1" si="7"/>
        <v>3.7088185785198513E-2</v>
      </c>
      <c r="AA80" s="61">
        <f t="shared" ca="1" si="1"/>
        <v>1.308902653286665</v>
      </c>
      <c r="AB80" s="61">
        <f t="shared" ca="1" si="1"/>
        <v>-0.17813983502151154</v>
      </c>
      <c r="AC80" s="61">
        <f t="shared" ca="1" si="1"/>
        <v>0.72613116153219781</v>
      </c>
      <c r="AD80" s="37"/>
      <c r="AE80" s="62">
        <f t="array" aca="1" ref="AE80:AH80" ca="1">TRANSPOSE($B$9:$B$12 + MMULT($D$9:$G$12,TRANSPOSE(AO80:AR80)) + MMULT($N$9:$Q$12, TRANSPOSE(Z80:AC80)))</f>
        <v>0.83165818014091508</v>
      </c>
      <c r="AF80" s="62">
        <f ca="1"/>
        <v>0.88145044768683334</v>
      </c>
      <c r="AG80" s="62">
        <f ca="1"/>
        <v>0.77789654531706653</v>
      </c>
      <c r="AH80" s="62">
        <f ca="1"/>
        <v>0.61283938645305647</v>
      </c>
      <c r="AI80" s="37"/>
      <c r="AJ80" s="61">
        <f t="shared" ca="1" si="8"/>
        <v>0.55202138479546203</v>
      </c>
      <c r="AK80" s="61">
        <f t="shared" ca="1" si="3"/>
        <v>-0.54908397499695294</v>
      </c>
      <c r="AL80" s="61">
        <f t="shared" ca="1" si="3"/>
        <v>7.1914277904042131E-2</v>
      </c>
      <c r="AM80" s="61">
        <f t="shared" ca="1" si="3"/>
        <v>0.24745851949182909</v>
      </c>
      <c r="AN80" s="37"/>
      <c r="AO80" s="62">
        <f t="array" aca="1" ref="AO80:AR80" ca="1">TRANSPOSE($B$17:$B$20 + MMULT($D$17:$G$20,TRANSPOSE(AO79:AR79)) + MMULT($N$17:$Q$20,TRANSPOSE(AJ80:AM80)))</f>
        <v>0.63788597955897941</v>
      </c>
      <c r="AP80" s="62">
        <f ca="1"/>
        <v>9.3270932265342638E-2</v>
      </c>
      <c r="AQ80" s="62">
        <f ca="1"/>
        <v>0.4609802935921184</v>
      </c>
      <c r="AR80" s="62">
        <f ca="1"/>
        <v>0.67294979362285312</v>
      </c>
    </row>
    <row r="81" spans="25:44" x14ac:dyDescent="0.15">
      <c r="Y81" s="8">
        <f t="shared" si="9"/>
        <v>78</v>
      </c>
      <c r="Z81" s="61">
        <f t="shared" ca="1" si="7"/>
        <v>-1.3359193921256651</v>
      </c>
      <c r="AA81" s="61">
        <f t="shared" ca="1" si="1"/>
        <v>-0.92124986211736604</v>
      </c>
      <c r="AB81" s="61">
        <f t="shared" ca="1" si="1"/>
        <v>-0.78083824587489337</v>
      </c>
      <c r="AC81" s="61">
        <f t="shared" ca="1" si="1"/>
        <v>-0.26472764092213341</v>
      </c>
      <c r="AD81" s="37"/>
      <c r="AE81" s="62">
        <f t="array" aca="1" ref="AE81:AH81" ca="1">TRANSPOSE($B$9:$B$12 + MMULT($D$9:$G$12,TRANSPOSE(AO81:AR81)) + MMULT($N$9:$Q$12, TRANSPOSE(Z81:AC81)))</f>
        <v>0.33680135580750581</v>
      </c>
      <c r="AF81" s="62">
        <f ca="1"/>
        <v>-0.37807570525506495</v>
      </c>
      <c r="AG81" s="62">
        <f ca="1"/>
        <v>0.47434704399655225</v>
      </c>
      <c r="AH81" s="62">
        <f ca="1"/>
        <v>0.35323523880457613</v>
      </c>
      <c r="AI81" s="37"/>
      <c r="AJ81" s="61">
        <f t="shared" ca="1" si="8"/>
        <v>-2.2004499682667174E-3</v>
      </c>
      <c r="AK81" s="61">
        <f t="shared" ca="1" si="3"/>
        <v>-0.78857105939110195</v>
      </c>
      <c r="AL81" s="61">
        <f t="shared" ca="1" si="3"/>
        <v>7.4713912927008894E-2</v>
      </c>
      <c r="AM81" s="61">
        <f t="shared" ca="1" si="3"/>
        <v>-1.650409391918519</v>
      </c>
      <c r="AN81" s="37"/>
      <c r="AO81" s="62">
        <f t="array" aca="1" ref="AO81:AR81" ca="1">TRANSPOSE($B$17:$B$20 + MMULT($D$17:$G$20,TRANSPOSE(AO80:AR80)) + MMULT($N$17:$Q$20,TRANSPOSE(AJ81:AM81)))</f>
        <v>0.54745736085353847</v>
      </c>
      <c r="AP81" s="62">
        <f ca="1"/>
        <v>9.1540007309721505E-2</v>
      </c>
      <c r="AQ81" s="62">
        <f ca="1"/>
        <v>0.52091876820082061</v>
      </c>
      <c r="AR81" s="62">
        <f ca="1"/>
        <v>0.33716007372680823</v>
      </c>
    </row>
    <row r="82" spans="25:44" x14ac:dyDescent="0.15">
      <c r="Y82" s="8">
        <f t="shared" si="9"/>
        <v>79</v>
      </c>
      <c r="Z82" s="61">
        <f t="shared" ca="1" si="7"/>
        <v>-0.70519671938408712</v>
      </c>
      <c r="AA82" s="61">
        <f t="shared" ca="1" si="1"/>
        <v>-0.29324995208734389</v>
      </c>
      <c r="AB82" s="61">
        <f t="shared" ca="1" si="1"/>
        <v>0.68045700600119152</v>
      </c>
      <c r="AC82" s="61">
        <f t="shared" ca="1" si="1"/>
        <v>-1.244636596114076</v>
      </c>
      <c r="AD82" s="37"/>
      <c r="AE82" s="62">
        <f t="array" aca="1" ref="AE82:AH82" ca="1">TRANSPOSE($B$9:$B$12 + MMULT($D$9:$G$12,TRANSPOSE(AO82:AR82)) + MMULT($N$9:$Q$12, TRANSPOSE(Z82:AC82)))</f>
        <v>0.24369001728608652</v>
      </c>
      <c r="AF82" s="62">
        <f ca="1"/>
        <v>0.25341736197699033</v>
      </c>
      <c r="AG82" s="62">
        <f ca="1"/>
        <v>1.0595483573516569</v>
      </c>
      <c r="AH82" s="62">
        <f ca="1"/>
        <v>4.5945751619068997E-2</v>
      </c>
      <c r="AI82" s="37"/>
      <c r="AJ82" s="61">
        <f t="shared" ca="1" si="8"/>
        <v>-0.24131998808670768</v>
      </c>
      <c r="AK82" s="61">
        <f t="shared" ca="1" si="3"/>
        <v>-0.1201895465341746</v>
      </c>
      <c r="AL82" s="61">
        <f t="shared" ca="1" si="3"/>
        <v>-0.29978861921526934</v>
      </c>
      <c r="AM82" s="61">
        <f t="shared" ca="1" si="3"/>
        <v>0.42515408259559462</v>
      </c>
      <c r="AN82" s="37"/>
      <c r="AO82" s="62">
        <f t="array" aca="1" ref="AO82:AR82" ca="1">TRANSPOSE($B$17:$B$20 + MMULT($D$17:$G$20,TRANSPOSE(AO81:AR81)) + MMULT($N$17:$Q$20,TRANSPOSE(AJ82:AM82)))</f>
        <v>0.43586488059095641</v>
      </c>
      <c r="AP82" s="62">
        <f ca="1"/>
        <v>0.2938520999806255</v>
      </c>
      <c r="AQ82" s="62">
        <f ca="1"/>
        <v>0.21205204061694904</v>
      </c>
      <c r="AR82" s="62">
        <f ca="1"/>
        <v>0.56617325806803087</v>
      </c>
    </row>
    <row r="83" spans="25:44" x14ac:dyDescent="0.15">
      <c r="Y83" s="8">
        <f t="shared" si="9"/>
        <v>80</v>
      </c>
      <c r="Z83" s="61">
        <f t="shared" ca="1" si="7"/>
        <v>-0.18496156092134813</v>
      </c>
      <c r="AA83" s="61">
        <f t="shared" ca="1" si="1"/>
        <v>6.911296814253555E-2</v>
      </c>
      <c r="AB83" s="61">
        <f t="shared" ca="1" si="1"/>
        <v>-0.3808350711012779</v>
      </c>
      <c r="AC83" s="61">
        <f t="shared" ca="1" si="1"/>
        <v>-2.4596011674120928</v>
      </c>
      <c r="AD83" s="37"/>
      <c r="AE83" s="62">
        <f t="array" aca="1" ref="AE83:AH83" ca="1">TRANSPOSE($B$9:$B$12 + MMULT($D$9:$G$12,TRANSPOSE(AO83:AR83)) + MMULT($N$9:$Q$12, TRANSPOSE(Z83:AC83)))</f>
        <v>0.79616638614379209</v>
      </c>
      <c r="AF83" s="62">
        <f ca="1"/>
        <v>0.333748310118966</v>
      </c>
      <c r="AG83" s="62">
        <f ca="1"/>
        <v>0.67310682702604319</v>
      </c>
      <c r="AH83" s="62">
        <f ca="1"/>
        <v>8.6598263773794981E-3</v>
      </c>
      <c r="AI83" s="37"/>
      <c r="AJ83" s="61">
        <f t="shared" ca="1" si="8"/>
        <v>0.4722332566081226</v>
      </c>
      <c r="AK83" s="61">
        <f t="shared" ca="1" si="3"/>
        <v>-0.65276257888534672</v>
      </c>
      <c r="AL83" s="61">
        <f t="shared" ca="1" si="3"/>
        <v>2.8508353064509322E-2</v>
      </c>
      <c r="AM83" s="61">
        <f t="shared" ca="1" si="3"/>
        <v>-0.17270618929884421</v>
      </c>
      <c r="AN83" s="37"/>
      <c r="AO83" s="62">
        <f t="array" aca="1" ref="AO83:AR83" ca="1">TRANSPOSE($B$17:$B$20 + MMULT($D$17:$G$20,TRANSPOSE(AO82:AR82)) + MMULT($N$17:$Q$20,TRANSPOSE(AJ83:AM83)))</f>
        <v>0.62671909443598428</v>
      </c>
      <c r="AP83" s="62">
        <f ca="1"/>
        <v>0.10529021055401044</v>
      </c>
      <c r="AQ83" s="62">
        <f ca="1"/>
        <v>0.53551895405786021</v>
      </c>
      <c r="AR83" s="62">
        <f ca="1"/>
        <v>0.61345163162121497</v>
      </c>
    </row>
    <row r="84" spans="25:44" x14ac:dyDescent="0.15">
      <c r="Y84" s="8">
        <f t="shared" si="9"/>
        <v>81</v>
      </c>
      <c r="Z84" s="61">
        <f t="shared" ca="1" si="7"/>
        <v>0.97832670815584166</v>
      </c>
      <c r="AA84" s="61">
        <f t="shared" ca="1" si="1"/>
        <v>2.0818152293686669</v>
      </c>
      <c r="AB84" s="61">
        <f t="shared" ca="1" si="1"/>
        <v>0.59950176173810776</v>
      </c>
      <c r="AC84" s="61">
        <f t="shared" ca="1" si="1"/>
        <v>1.4775283202461977</v>
      </c>
      <c r="AD84" s="37"/>
      <c r="AE84" s="62">
        <f t="array" aca="1" ref="AE84:AH84" ca="1">TRANSPOSE($B$9:$B$12 + MMULT($D$9:$G$12,TRANSPOSE(AO84:AR84)) + MMULT($N$9:$Q$12, TRANSPOSE(Z84:AC84)))</f>
        <v>1.8017935900258106</v>
      </c>
      <c r="AF84" s="62">
        <f ca="1"/>
        <v>1.4655475861797638</v>
      </c>
      <c r="AG84" s="62">
        <f ca="1"/>
        <v>0.98144329599974411</v>
      </c>
      <c r="AH84" s="62">
        <f ca="1"/>
        <v>1.8876846585018046</v>
      </c>
      <c r="AI84" s="37"/>
      <c r="AJ84" s="61">
        <f t="shared" ca="1" si="8"/>
        <v>0.15684579044003205</v>
      </c>
      <c r="AK84" s="61">
        <f t="shared" ca="1" si="3"/>
        <v>9.8485349618608387E-2</v>
      </c>
      <c r="AL84" s="61">
        <f t="shared" ca="1" si="3"/>
        <v>2.678229471104161</v>
      </c>
      <c r="AM84" s="61">
        <f t="shared" ca="1" si="3"/>
        <v>0.75813036019275859</v>
      </c>
      <c r="AN84" s="37"/>
      <c r="AO84" s="62">
        <f t="array" aca="1" ref="AO84:AR84" ca="1">TRANSPOSE($B$17:$B$20 + MMULT($D$17:$G$20,TRANSPOSE(AO83:AR83)) + MMULT($N$17:$Q$20,TRANSPOSE(AJ84:AM84)))</f>
        <v>0.60709123021863087</v>
      </c>
      <c r="AP84" s="62">
        <f ca="1"/>
        <v>0.46312862367836122</v>
      </c>
      <c r="AQ84" s="62">
        <f ca="1"/>
        <v>1.6164878831460183</v>
      </c>
      <c r="AR84" s="62">
        <f ca="1"/>
        <v>1.0584993105302976</v>
      </c>
    </row>
    <row r="85" spans="25:44" x14ac:dyDescent="0.15">
      <c r="Y85" s="8">
        <f t="shared" si="9"/>
        <v>82</v>
      </c>
      <c r="Z85" s="61">
        <f t="shared" ca="1" si="7"/>
        <v>-0.96844460136449306</v>
      </c>
      <c r="AA85" s="61">
        <f t="shared" ca="1" si="1"/>
        <v>0.80437630369805901</v>
      </c>
      <c r="AB85" s="61">
        <f t="shared" ca="1" si="1"/>
        <v>0.81121761950415439</v>
      </c>
      <c r="AC85" s="61">
        <f t="shared" ca="1" si="1"/>
        <v>0.51431965068146934</v>
      </c>
      <c r="AD85" s="37"/>
      <c r="AE85" s="62">
        <f t="array" aca="1" ref="AE85:AH85" ca="1">TRANSPOSE($B$9:$B$12 + MMULT($D$9:$G$12,TRANSPOSE(AO85:AR85)) + MMULT($N$9:$Q$12, TRANSPOSE(Z85:AC85)))</f>
        <v>1.2025454111256879</v>
      </c>
      <c r="AF85" s="62">
        <f ca="1"/>
        <v>1.5509594994802824</v>
      </c>
      <c r="AG85" s="62">
        <f ca="1"/>
        <v>0.62380455509618149</v>
      </c>
      <c r="AH85" s="62">
        <f ca="1"/>
        <v>1.3264089573857374</v>
      </c>
      <c r="AI85" s="37"/>
      <c r="AJ85" s="61">
        <f t="shared" ca="1" si="8"/>
        <v>0.42161325118251591</v>
      </c>
      <c r="AK85" s="61">
        <f t="shared" ca="1" si="3"/>
        <v>2.1216310604748712</v>
      </c>
      <c r="AL85" s="61">
        <f t="shared" ca="1" si="3"/>
        <v>1.6452269152663586</v>
      </c>
      <c r="AM85" s="61">
        <f t="shared" ca="1" si="3"/>
        <v>-2.2317316577199353</v>
      </c>
      <c r="AN85" s="37"/>
      <c r="AO85" s="62">
        <f t="array" aca="1" ref="AO85:AR85" ca="1">TRANSPOSE($B$17:$B$20 + MMULT($D$17:$G$20,TRANSPOSE(AO84:AR84)) + MMULT($N$17:$Q$20,TRANSPOSE(AJ85:AM85)))</f>
        <v>0.89839537095906596</v>
      </c>
      <c r="AP85" s="62">
        <f ca="1"/>
        <v>1.5491661016376175</v>
      </c>
      <c r="AQ85" s="62">
        <f ca="1"/>
        <v>1.4049055151041752</v>
      </c>
      <c r="AR85" s="62">
        <f ca="1"/>
        <v>0.41131525105026756</v>
      </c>
    </row>
    <row r="86" spans="25:44" x14ac:dyDescent="0.15">
      <c r="Y86" s="8">
        <f t="shared" si="9"/>
        <v>83</v>
      </c>
      <c r="Z86" s="61">
        <f t="shared" ca="1" si="7"/>
        <v>1.9033670995340071</v>
      </c>
      <c r="AA86" s="61">
        <f t="shared" ca="1" si="1"/>
        <v>-0.41653452145950437</v>
      </c>
      <c r="AB86" s="61">
        <f t="shared" ca="1" si="1"/>
        <v>0.50900600698358722</v>
      </c>
      <c r="AC86" s="61">
        <f t="shared" ca="1" si="1"/>
        <v>9.4619064725870311E-2</v>
      </c>
      <c r="AD86" s="37"/>
      <c r="AE86" s="62">
        <f t="array" aca="1" ref="AE86:AH86" ca="1">TRANSPOSE($B$9:$B$12 + MMULT($D$9:$G$12,TRANSPOSE(AO86:AR86)) + MMULT($N$9:$Q$12, TRANSPOSE(Z86:AC86)))</f>
        <v>2.2938316262731355</v>
      </c>
      <c r="AF86" s="62">
        <f ca="1"/>
        <v>1.1571253957258845</v>
      </c>
      <c r="AG86" s="62">
        <f ca="1"/>
        <v>1.65392546734816</v>
      </c>
      <c r="AH86" s="62">
        <f ca="1"/>
        <v>1.2818142189387076</v>
      </c>
      <c r="AI86" s="37"/>
      <c r="AJ86" s="61">
        <f t="shared" ca="1" si="8"/>
        <v>1.6736373070302899</v>
      </c>
      <c r="AK86" s="61">
        <f t="shared" ca="1" si="3"/>
        <v>-1.3339627398372216</v>
      </c>
      <c r="AL86" s="61">
        <f t="shared" ca="1" si="3"/>
        <v>-1.0490804574237176</v>
      </c>
      <c r="AM86" s="61">
        <f t="shared" ca="1" si="3"/>
        <v>1.2576694508646045</v>
      </c>
      <c r="AN86" s="37"/>
      <c r="AO86" s="62">
        <f t="array" aca="1" ref="AO86:AR86" ca="1">TRANSPOSE($B$17:$B$20 + MMULT($D$17:$G$20,TRANSPOSE(AO85:AR85)) + MMULT($N$17:$Q$20,TRANSPOSE(AJ86:AM86)))</f>
        <v>1.4112456139006144</v>
      </c>
      <c r="AP86" s="62">
        <f ca="1"/>
        <v>0.37957535202162374</v>
      </c>
      <c r="AQ86" s="62">
        <f ca="1"/>
        <v>1.1468262099287301</v>
      </c>
      <c r="AR86" s="62">
        <f ca="1"/>
        <v>1.6522777687015666</v>
      </c>
    </row>
    <row r="87" spans="25:44" x14ac:dyDescent="0.15">
      <c r="Y87" s="8">
        <f t="shared" si="9"/>
        <v>84</v>
      </c>
      <c r="Z87" s="61">
        <f t="shared" ca="1" si="7"/>
        <v>-0.94835397368394825</v>
      </c>
      <c r="AA87" s="61">
        <f t="shared" ca="1" si="1"/>
        <v>-1.0917472469861278</v>
      </c>
      <c r="AB87" s="61">
        <f t="shared" ca="1" si="1"/>
        <v>-1.2534122245123074</v>
      </c>
      <c r="AC87" s="61">
        <f t="shared" ca="1" si="1"/>
        <v>-0.38830992159832756</v>
      </c>
      <c r="AD87" s="37"/>
      <c r="AE87" s="62">
        <f t="array" aca="1" ref="AE87:AH87" ca="1">TRANSPOSE($B$9:$B$12 + MMULT($D$9:$G$12,TRANSPOSE(AO87:AR87)) + MMULT($N$9:$Q$12, TRANSPOSE(Z87:AC87)))</f>
        <v>0.65400059746451411</v>
      </c>
      <c r="AF87" s="62">
        <f ca="1"/>
        <v>0.46306054023655885</v>
      </c>
      <c r="AG87" s="62">
        <f ca="1"/>
        <v>0.70265435124573461</v>
      </c>
      <c r="AH87" s="62">
        <f ca="1"/>
        <v>0.91558701253161823</v>
      </c>
      <c r="AI87" s="37"/>
      <c r="AJ87" s="61">
        <f t="shared" ca="1" si="8"/>
        <v>2.2074568896081059E-2</v>
      </c>
      <c r="AK87" s="61">
        <f t="shared" ca="1" si="3"/>
        <v>-0.4315421900226139</v>
      </c>
      <c r="AL87" s="61">
        <f t="shared" ca="1" si="3"/>
        <v>-0.39543836693008699</v>
      </c>
      <c r="AM87" s="61">
        <f t="shared" ca="1" si="3"/>
        <v>-0.36639030227654945</v>
      </c>
      <c r="AN87" s="37"/>
      <c r="AO87" s="62">
        <f t="array" aca="1" ref="AO87:AR87" ca="1">TRANSPOSE($B$17:$B$20 + MMULT($D$17:$G$20,TRANSPOSE(AO86:AR86)) + MMULT($N$17:$Q$20,TRANSPOSE(AJ87:AM87)))</f>
        <v>0.92720408690991596</v>
      </c>
      <c r="AP87" s="62">
        <f ca="1"/>
        <v>0.77175256158668171</v>
      </c>
      <c r="AQ87" s="62">
        <f ca="1"/>
        <v>0.73639749503232454</v>
      </c>
      <c r="AR87" s="62">
        <f ca="1"/>
        <v>1.0915866431639656</v>
      </c>
    </row>
    <row r="88" spans="25:44" x14ac:dyDescent="0.15">
      <c r="Y88" s="8">
        <f t="shared" si="9"/>
        <v>85</v>
      </c>
      <c r="Z88" s="61">
        <f t="shared" ca="1" si="7"/>
        <v>-1.0274949797711912</v>
      </c>
      <c r="AA88" s="61">
        <f t="shared" ca="1" si="1"/>
        <v>0.48271412819638737</v>
      </c>
      <c r="AB88" s="61">
        <f t="shared" ca="1" si="1"/>
        <v>-0.52986676573272695</v>
      </c>
      <c r="AC88" s="61">
        <f t="shared" ca="1" si="1"/>
        <v>-0.69059675817398569</v>
      </c>
      <c r="AD88" s="37"/>
      <c r="AE88" s="62">
        <f t="array" aca="1" ref="AE88:AH88" ca="1">TRANSPOSE($B$9:$B$12 + MMULT($D$9:$G$12,TRANSPOSE(AO88:AR88)) + MMULT($N$9:$Q$12, TRANSPOSE(Z88:AC88)))</f>
        <v>0.55131826107998705</v>
      </c>
      <c r="AF88" s="62">
        <f ca="1"/>
        <v>-0.10081535961944926</v>
      </c>
      <c r="AG88" s="62">
        <f ca="1"/>
        <v>1.7193727340587328</v>
      </c>
      <c r="AH88" s="62">
        <f ca="1"/>
        <v>1.006396007501503</v>
      </c>
      <c r="AI88" s="37"/>
      <c r="AJ88" s="61">
        <f t="shared" ca="1" si="8"/>
        <v>-0.39305460708751938</v>
      </c>
      <c r="AK88" s="61">
        <f t="shared" ca="1" si="3"/>
        <v>-2.824490543313408</v>
      </c>
      <c r="AL88" s="61">
        <f t="shared" ca="1" si="3"/>
        <v>0.20207209783283217</v>
      </c>
      <c r="AM88" s="61">
        <f t="shared" ca="1" si="3"/>
        <v>0.77509687918390802</v>
      </c>
      <c r="AN88" s="37"/>
      <c r="AO88" s="62">
        <f t="array" aca="1" ref="AO88:AR88" ca="1">TRANSPOSE($B$17:$B$20 + MMULT($D$17:$G$20,TRANSPOSE(AO87:AR87)) + MMULT($N$17:$Q$20,TRANSPOSE(AJ88:AM88)))</f>
        <v>0.60128523845566906</v>
      </c>
      <c r="AP88" s="62">
        <f ca="1"/>
        <v>-0.41451083951931744</v>
      </c>
      <c r="AQ88" s="62">
        <f ca="1"/>
        <v>1.1157495562663446</v>
      </c>
      <c r="AR88" s="62">
        <f ca="1"/>
        <v>1.5881348742345964</v>
      </c>
    </row>
    <row r="89" spans="25:44" x14ac:dyDescent="0.15">
      <c r="Y89" s="8">
        <f t="shared" si="9"/>
        <v>86</v>
      </c>
      <c r="Z89" s="61">
        <f t="shared" ca="1" si="7"/>
        <v>-0.6904993858086782</v>
      </c>
      <c r="AA89" s="61">
        <f t="shared" ref="AA89:AC108" ca="1" si="10">NORMSINV(RAND())</f>
        <v>1.0001799440070545</v>
      </c>
      <c r="AB89" s="61">
        <f t="shared" ca="1" si="10"/>
        <v>0.22938760305312245</v>
      </c>
      <c r="AC89" s="61">
        <f t="shared" ca="1" si="10"/>
        <v>-8.3769718907304433E-2</v>
      </c>
      <c r="AD89" s="37"/>
      <c r="AE89" s="62">
        <f t="array" aca="1" ref="AE89:AH89" ca="1">TRANSPOSE($B$9:$B$12 + MMULT($D$9:$G$12,TRANSPOSE(AO89:AR89)) + MMULT($N$9:$Q$12, TRANSPOSE(Z89:AC89)))</f>
        <v>0.40482254166626097</v>
      </c>
      <c r="AF89" s="62">
        <f ca="1"/>
        <v>0.44098003143831643</v>
      </c>
      <c r="AG89" s="62">
        <f ca="1"/>
        <v>1.6242634897110151</v>
      </c>
      <c r="AH89" s="62">
        <f ca="1"/>
        <v>0.28277399468870801</v>
      </c>
      <c r="AI89" s="37"/>
      <c r="AJ89" s="61">
        <f t="shared" ca="1" si="8"/>
        <v>0.24536971053739423</v>
      </c>
      <c r="AK89" s="61">
        <f t="shared" ref="AK89:AM108" ca="1" si="11">NORMSINV(RAND())</f>
        <v>-1.759061374539971</v>
      </c>
      <c r="AL89" s="61">
        <f t="shared" ca="1" si="11"/>
        <v>-0.87885483746950122</v>
      </c>
      <c r="AM89" s="61">
        <f t="shared" ca="1" si="11"/>
        <v>-0.51576535011801317</v>
      </c>
      <c r="AN89" s="37"/>
      <c r="AO89" s="62">
        <f t="array" aca="1" ref="AO89:AR89" ca="1">TRANSPOSE($B$17:$B$20 + MMULT($D$17:$G$20,TRANSPOSE(AO88:AR88)) + MMULT($N$17:$Q$20,TRANSPOSE(AJ89:AM89)))</f>
        <v>0.72598041819908488</v>
      </c>
      <c r="AP89" s="62">
        <f ca="1"/>
        <v>-0.27669241968782876</v>
      </c>
      <c r="AQ89" s="62">
        <f ca="1"/>
        <v>0.31668652589907115</v>
      </c>
      <c r="AR89" s="62">
        <f ca="1"/>
        <v>1.0909838600802357</v>
      </c>
    </row>
    <row r="90" spans="25:44" x14ac:dyDescent="0.15">
      <c r="Y90" s="8">
        <f t="shared" si="9"/>
        <v>87</v>
      </c>
      <c r="Z90" s="61">
        <f t="shared" ca="1" si="7"/>
        <v>1.8966712870577678</v>
      </c>
      <c r="AA90" s="61">
        <f t="shared" ca="1" si="10"/>
        <v>-1.2308646302153257</v>
      </c>
      <c r="AB90" s="61">
        <f t="shared" ca="1" si="10"/>
        <v>-2.3382833375256415E-2</v>
      </c>
      <c r="AC90" s="61">
        <f t="shared" ca="1" si="10"/>
        <v>-0.76063953517656402</v>
      </c>
      <c r="AD90" s="37"/>
      <c r="AE90" s="62">
        <f t="array" aca="1" ref="AE90:AH90" ca="1">TRANSPOSE($B$9:$B$12 + MMULT($D$9:$G$12,TRANSPOSE(AO90:AR90)) + MMULT($N$9:$Q$12, TRANSPOSE(Z90:AC90)))</f>
        <v>2.4103721376760467</v>
      </c>
      <c r="AF90" s="62">
        <f ca="1"/>
        <v>0.26410796216767879</v>
      </c>
      <c r="AG90" s="62">
        <f ca="1"/>
        <v>0.36312759488093949</v>
      </c>
      <c r="AH90" s="62">
        <f ca="1"/>
        <v>1.0323018510208306</v>
      </c>
      <c r="AI90" s="37"/>
      <c r="AJ90" s="61">
        <f t="shared" ca="1" si="8"/>
        <v>1.1440614780559069</v>
      </c>
      <c r="AK90" s="61">
        <f t="shared" ca="1" si="11"/>
        <v>-0.4432819147812247</v>
      </c>
      <c r="AL90" s="61">
        <f t="shared" ca="1" si="11"/>
        <v>1.8914131808973045</v>
      </c>
      <c r="AM90" s="61">
        <f t="shared" ca="1" si="11"/>
        <v>-1.8548373620453091</v>
      </c>
      <c r="AN90" s="37"/>
      <c r="AO90" s="62">
        <f t="array" aca="1" ref="AO90:AR90" ca="1">TRANSPOSE($B$17:$B$20 + MMULT($D$17:$G$20,TRANSPOSE(AO89:AR89)) + MMULT($N$17:$Q$20,TRANSPOSE(AJ90:AM90)))</f>
        <v>0.92852352809721705</v>
      </c>
      <c r="AP90" s="62">
        <f ca="1"/>
        <v>0.23566498689292856</v>
      </c>
      <c r="AQ90" s="62">
        <f ca="1"/>
        <v>1.3730269066342957</v>
      </c>
      <c r="AR90" s="62">
        <f ca="1"/>
        <v>0.55140694130953971</v>
      </c>
    </row>
    <row r="91" spans="25:44" x14ac:dyDescent="0.15">
      <c r="Y91" s="8">
        <f t="shared" si="9"/>
        <v>88</v>
      </c>
      <c r="Z91" s="61">
        <f t="shared" ca="1" si="7"/>
        <v>-0.4060728127434281</v>
      </c>
      <c r="AA91" s="61">
        <f t="shared" ca="1" si="10"/>
        <v>-0.91889590305343449</v>
      </c>
      <c r="AB91" s="61">
        <f t="shared" ca="1" si="10"/>
        <v>-0.54766757664250154</v>
      </c>
      <c r="AC91" s="61">
        <f t="shared" ca="1" si="10"/>
        <v>-0.36018289033946832</v>
      </c>
      <c r="AD91" s="37"/>
      <c r="AE91" s="62">
        <f t="array" aca="1" ref="AE91:AH91" ca="1">TRANSPOSE($B$9:$B$12 + MMULT($D$9:$G$12,TRANSPOSE(AO91:AR91)) + MMULT($N$9:$Q$12, TRANSPOSE(Z91:AC91)))</f>
        <v>0.43980881686290374</v>
      </c>
      <c r="AF91" s="62">
        <f ca="1"/>
        <v>0.78146169567958479</v>
      </c>
      <c r="AG91" s="62">
        <f ca="1"/>
        <v>0.31727020124561545</v>
      </c>
      <c r="AH91" s="62">
        <f ca="1"/>
        <v>0.14751764617051283</v>
      </c>
      <c r="AI91" s="37"/>
      <c r="AJ91" s="61">
        <f t="shared" ca="1" si="8"/>
        <v>6.008257245139046E-2</v>
      </c>
      <c r="AK91" s="61">
        <f t="shared" ca="1" si="11"/>
        <v>0.702782819502074</v>
      </c>
      <c r="AL91" s="61">
        <f t="shared" ca="1" si="11"/>
        <v>-1.6193223080861388</v>
      </c>
      <c r="AM91" s="61">
        <f t="shared" ca="1" si="11"/>
        <v>-0.57363025465206274</v>
      </c>
      <c r="AN91" s="37"/>
      <c r="AO91" s="62">
        <f t="array" aca="1" ref="AO91:AR91" ca="1">TRANSPOSE($B$17:$B$20 + MMULT($D$17:$G$20,TRANSPOSE(AO90:AR90)) + MMULT($N$17:$Q$20,TRANSPOSE(AJ91:AM91)))</f>
        <v>0.78378268424483388</v>
      </c>
      <c r="AP91" s="62">
        <f ca="1"/>
        <v>0.90317278098051146</v>
      </c>
      <c r="AQ91" s="62">
        <f ca="1"/>
        <v>-6.9605259862402846E-2</v>
      </c>
      <c r="AR91" s="62">
        <f ca="1"/>
        <v>0.44017428744856457</v>
      </c>
    </row>
    <row r="92" spans="25:44" x14ac:dyDescent="0.15">
      <c r="Y92" s="8">
        <f t="shared" si="9"/>
        <v>89</v>
      </c>
      <c r="Z92" s="61">
        <f t="shared" ca="1" si="7"/>
        <v>-0.90562280105498782</v>
      </c>
      <c r="AA92" s="61">
        <f t="shared" ca="1" si="10"/>
        <v>-1.9948408257262473E-2</v>
      </c>
      <c r="AB92" s="61">
        <f t="shared" ca="1" si="10"/>
        <v>-1.3125858405093525</v>
      </c>
      <c r="AC92" s="61">
        <f t="shared" ca="1" si="10"/>
        <v>-0.35116091128016169</v>
      </c>
      <c r="AD92" s="37"/>
      <c r="AE92" s="62">
        <f t="array" aca="1" ref="AE92:AH92" ca="1">TRANSPOSE($B$9:$B$12 + MMULT($D$9:$G$12,TRANSPOSE(AO92:AR92)) + MMULT($N$9:$Q$12, TRANSPOSE(Z92:AC92)))</f>
        <v>0.81465291310024524</v>
      </c>
      <c r="AF92" s="62">
        <f ca="1"/>
        <v>4.4136039274119243E-2</v>
      </c>
      <c r="AG92" s="62">
        <f ca="1"/>
        <v>0.64709423086291273</v>
      </c>
      <c r="AH92" s="62">
        <f ca="1"/>
        <v>1.1399286218361113</v>
      </c>
      <c r="AI92" s="37"/>
      <c r="AJ92" s="61">
        <f t="shared" ca="1" si="8"/>
        <v>0.13844902139493298</v>
      </c>
      <c r="AK92" s="61">
        <f t="shared" ca="1" si="11"/>
        <v>-1.1851412143329605</v>
      </c>
      <c r="AL92" s="61">
        <f t="shared" ca="1" si="11"/>
        <v>1.1792017479444756</v>
      </c>
      <c r="AM92" s="61">
        <f t="shared" ca="1" si="11"/>
        <v>0.60691843453499894</v>
      </c>
      <c r="AN92" s="37"/>
      <c r="AO92" s="62">
        <f t="array" aca="1" ref="AO92:AR92" ca="1">TRANSPOSE($B$17:$B$20 + MMULT($D$17:$G$20,TRANSPOSE(AO91:AR91)) + MMULT($N$17:$Q$20,TRANSPOSE(AJ92:AM92)))</f>
        <v>0.60124838321270746</v>
      </c>
      <c r="AP92" s="62">
        <f ca="1"/>
        <v>0.11435037371731333</v>
      </c>
      <c r="AQ92" s="62">
        <f ca="1"/>
        <v>1.2199739234029354</v>
      </c>
      <c r="AR92" s="62">
        <f ca="1"/>
        <v>0.97257440485475466</v>
      </c>
    </row>
    <row r="93" spans="25:44" x14ac:dyDescent="0.15">
      <c r="Y93" s="8">
        <f t="shared" si="9"/>
        <v>90</v>
      </c>
      <c r="Z93" s="61">
        <f t="shared" ca="1" si="7"/>
        <v>0.4684992144843162</v>
      </c>
      <c r="AA93" s="61">
        <f t="shared" ca="1" si="10"/>
        <v>0.89985899494596566</v>
      </c>
      <c r="AB93" s="61">
        <f t="shared" ca="1" si="10"/>
        <v>0.73294284710939661</v>
      </c>
      <c r="AC93" s="61">
        <f t="shared" ca="1" si="10"/>
        <v>-1.2531893500371416</v>
      </c>
      <c r="AD93" s="37"/>
      <c r="AE93" s="62">
        <f t="array" aca="1" ref="AE93:AH93" ca="1">TRANSPOSE($B$9:$B$12 + MMULT($D$9:$G$12,TRANSPOSE(AO93:AR93)) + MMULT($N$9:$Q$12, TRANSPOSE(Z93:AC93)))</f>
        <v>0.64996845355775057</v>
      </c>
      <c r="AF93" s="62">
        <f ca="1"/>
        <v>0.75708331274853202</v>
      </c>
      <c r="AG93" s="62">
        <f ca="1"/>
        <v>1.112083135714111</v>
      </c>
      <c r="AH93" s="62">
        <f ca="1"/>
        <v>0.40140826214579323</v>
      </c>
      <c r="AI93" s="37"/>
      <c r="AJ93" s="61">
        <f t="shared" ca="1" si="8"/>
        <v>-1.182166922084853</v>
      </c>
      <c r="AK93" s="61">
        <f t="shared" ca="1" si="11"/>
        <v>-0.90291551528271397</v>
      </c>
      <c r="AL93" s="61">
        <f t="shared" ca="1" si="11"/>
        <v>-0.2162075236940787</v>
      </c>
      <c r="AM93" s="61">
        <f t="shared" ca="1" si="11"/>
        <v>-0.16321647132465963</v>
      </c>
      <c r="AN93" s="37"/>
      <c r="AO93" s="62">
        <f t="array" aca="1" ref="AO93:AR93" ca="1">TRANSPOSE($B$17:$B$20 + MMULT($D$17:$G$20,TRANSPOSE(AO92:AR92)) + MMULT($N$17:$Q$20,TRANSPOSE(AJ93:AM93)))</f>
        <v>0.26918436552512093</v>
      </c>
      <c r="AP93" s="62">
        <f ca="1"/>
        <v>0.1209042625718883</v>
      </c>
      <c r="AQ93" s="62">
        <f ca="1"/>
        <v>0.41336858401661408</v>
      </c>
      <c r="AR93" s="62">
        <f ca="1"/>
        <v>0.89568262769360685</v>
      </c>
    </row>
    <row r="94" spans="25:44" x14ac:dyDescent="0.15">
      <c r="Y94" s="8">
        <f t="shared" si="9"/>
        <v>91</v>
      </c>
      <c r="Z94" s="61">
        <f t="shared" ca="1" si="7"/>
        <v>0.37135010121999101</v>
      </c>
      <c r="AA94" s="61">
        <f t="shared" ca="1" si="10"/>
        <v>0.27437205317055535</v>
      </c>
      <c r="AB94" s="61">
        <f t="shared" ca="1" si="10"/>
        <v>-0.37307407741332432</v>
      </c>
      <c r="AC94" s="61">
        <f t="shared" ca="1" si="10"/>
        <v>-0.6649372078243222</v>
      </c>
      <c r="AD94" s="37"/>
      <c r="AE94" s="62">
        <f t="array" aca="1" ref="AE94:AH94" ca="1">TRANSPOSE($B$9:$B$12 + MMULT($D$9:$G$12,TRANSPOSE(AO94:AR94)) + MMULT($N$9:$Q$12, TRANSPOSE(Z94:AC94)))</f>
        <v>1.2926993724815254</v>
      </c>
      <c r="AF94" s="62">
        <f ca="1"/>
        <v>1.0218726728214962</v>
      </c>
      <c r="AG94" s="62">
        <f ca="1"/>
        <v>0.54611553267432833</v>
      </c>
      <c r="AH94" s="62">
        <f ca="1"/>
        <v>0.6750481351040456</v>
      </c>
      <c r="AI94" s="37"/>
      <c r="AJ94" s="61">
        <f t="shared" ca="1" si="8"/>
        <v>1.2588900703051829</v>
      </c>
      <c r="AK94" s="61">
        <f t="shared" ca="1" si="11"/>
        <v>0.60228965454252259</v>
      </c>
      <c r="AL94" s="61">
        <f t="shared" ca="1" si="11"/>
        <v>0.55825090323642335</v>
      </c>
      <c r="AM94" s="61">
        <f t="shared" ca="1" si="11"/>
        <v>0.18451694063400823</v>
      </c>
      <c r="AN94" s="37"/>
      <c r="AO94" s="62">
        <f t="array" aca="1" ref="AO94:AR94" ca="1">TRANSPOSE($B$17:$B$20 + MMULT($D$17:$G$20,TRANSPOSE(AO93:AR93)) + MMULT($N$17:$Q$20,TRANSPOSE(AJ94:AM94)))</f>
        <v>0.88124795958359092</v>
      </c>
      <c r="AP94" s="62">
        <f ca="1"/>
        <v>0.60566947919326752</v>
      </c>
      <c r="AQ94" s="62">
        <f ca="1"/>
        <v>0.76023226662262366</v>
      </c>
      <c r="AR94" s="62">
        <f ca="1"/>
        <v>0.72030372045006319</v>
      </c>
    </row>
    <row r="95" spans="25:44" x14ac:dyDescent="0.15">
      <c r="Y95" s="8">
        <f t="shared" si="9"/>
        <v>92</v>
      </c>
      <c r="Z95" s="61">
        <f t="shared" ca="1" si="7"/>
        <v>-0.50351950202484852</v>
      </c>
      <c r="AA95" s="61">
        <f t="shared" ca="1" si="10"/>
        <v>-0.22990602881687264</v>
      </c>
      <c r="AB95" s="61">
        <f t="shared" ca="1" si="10"/>
        <v>-1.3132990079142917</v>
      </c>
      <c r="AC95" s="61">
        <f t="shared" ca="1" si="10"/>
        <v>-1.7055649794906553</v>
      </c>
      <c r="AD95" s="37"/>
      <c r="AE95" s="62">
        <f t="array" aca="1" ref="AE95:AH95" ca="1">TRANSPOSE($B$9:$B$12 + MMULT($D$9:$G$12,TRANSPOSE(AO95:AR95)) + MMULT($N$9:$Q$12, TRANSPOSE(Z95:AC95)))</f>
        <v>0.61653172512987386</v>
      </c>
      <c r="AF95" s="62">
        <f ca="1"/>
        <v>0.56260112930486206</v>
      </c>
      <c r="AG95" s="62">
        <f ca="1"/>
        <v>0.40977606815504547</v>
      </c>
      <c r="AH95" s="62">
        <f ca="1"/>
        <v>0.74290358254202993</v>
      </c>
      <c r="AI95" s="37"/>
      <c r="AJ95" s="61">
        <f t="shared" ca="1" si="8"/>
        <v>-0.47317310538668783</v>
      </c>
      <c r="AK95" s="61">
        <f t="shared" ca="1" si="11"/>
        <v>-0.14956645334014534</v>
      </c>
      <c r="AL95" s="61">
        <f t="shared" ca="1" si="11"/>
        <v>0.33360662025315646</v>
      </c>
      <c r="AM95" s="61">
        <f t="shared" ca="1" si="11"/>
        <v>0.79961441949425749</v>
      </c>
      <c r="AN95" s="37"/>
      <c r="AO95" s="62">
        <f t="array" aca="1" ref="AO95:AR95" ca="1">TRANSPOSE($B$17:$B$20 + MMULT($D$17:$G$20,TRANSPOSE(AO94:AR94)) + MMULT($N$17:$Q$20,TRANSPOSE(AJ95:AM95)))</f>
        <v>0.53595480361347936</v>
      </c>
      <c r="AP95" s="62">
        <f ca="1"/>
        <v>0.59927532621188773</v>
      </c>
      <c r="AQ95" s="62">
        <f ca="1"/>
        <v>0.7663370945025384</v>
      </c>
      <c r="AR95" s="62">
        <f ca="1"/>
        <v>0.98068937584396143</v>
      </c>
    </row>
    <row r="96" spans="25:44" x14ac:dyDescent="0.15">
      <c r="Y96" s="8">
        <f t="shared" si="9"/>
        <v>93</v>
      </c>
      <c r="Z96" s="61">
        <f t="shared" ca="1" si="7"/>
        <v>0.55039297541982091</v>
      </c>
      <c r="AA96" s="61">
        <f t="shared" ca="1" si="10"/>
        <v>1.0490837175805647</v>
      </c>
      <c r="AB96" s="61">
        <f t="shared" ca="1" si="10"/>
        <v>-0.19815257679894388</v>
      </c>
      <c r="AC96" s="61">
        <f t="shared" ca="1" si="10"/>
        <v>0.31460164575618799</v>
      </c>
      <c r="AD96" s="37"/>
      <c r="AE96" s="62">
        <f t="array" aca="1" ref="AE96:AH96" ca="1">TRANSPOSE($B$9:$B$12 + MMULT($D$9:$G$12,TRANSPOSE(AO96:AR96)) + MMULT($N$9:$Q$12, TRANSPOSE(Z96:AC96)))</f>
        <v>0.74201916952412095</v>
      </c>
      <c r="AF96" s="62">
        <f ca="1"/>
        <v>1.3318142599402545</v>
      </c>
      <c r="AG96" s="62">
        <f ca="1"/>
        <v>0.17680867739813816</v>
      </c>
      <c r="AH96" s="62">
        <f ca="1"/>
        <v>0.97906845387612729</v>
      </c>
      <c r="AI96" s="37"/>
      <c r="AJ96" s="61">
        <f t="shared" ca="1" si="8"/>
        <v>-1.1992351970262829</v>
      </c>
      <c r="AK96" s="61">
        <f t="shared" ca="1" si="11"/>
        <v>0.55354954416793012</v>
      </c>
      <c r="AL96" s="61">
        <f t="shared" ca="1" si="11"/>
        <v>0.27392225387997288</v>
      </c>
      <c r="AM96" s="61">
        <f t="shared" ca="1" si="11"/>
        <v>-0.10960560076463324</v>
      </c>
      <c r="AN96" s="37"/>
      <c r="AO96" s="62">
        <f t="array" aca="1" ref="AO96:AR96" ca="1">TRANSPOSE($B$17:$B$20 + MMULT($D$17:$G$20,TRANSPOSE(AO95:AR95)) + MMULT($N$17:$Q$20,TRANSPOSE(AJ96:AM96)))</f>
        <v>0.21442035036292711</v>
      </c>
      <c r="AP96" s="62">
        <f ca="1"/>
        <v>0.80762179242888288</v>
      </c>
      <c r="AQ96" s="62">
        <f ca="1"/>
        <v>0.49404437711683263</v>
      </c>
      <c r="AR96" s="62">
        <f ca="1"/>
        <v>0.60483197516605824</v>
      </c>
    </row>
    <row r="97" spans="25:44" x14ac:dyDescent="0.15">
      <c r="Y97" s="8">
        <f t="shared" si="9"/>
        <v>94</v>
      </c>
      <c r="Z97" s="61">
        <f t="shared" ca="1" si="7"/>
        <v>0.51450201388953365</v>
      </c>
      <c r="AA97" s="61">
        <f t="shared" ca="1" si="10"/>
        <v>1.0134080447462617</v>
      </c>
      <c r="AB97" s="61">
        <f t="shared" ca="1" si="10"/>
        <v>8.5154424653669496E-3</v>
      </c>
      <c r="AC97" s="61">
        <f t="shared" ca="1" si="10"/>
        <v>-0.80916913308229688</v>
      </c>
      <c r="AD97" s="37"/>
      <c r="AE97" s="62">
        <f t="array" aca="1" ref="AE97:AH97" ca="1">TRANSPOSE($B$9:$B$12 + MMULT($D$9:$G$12,TRANSPOSE(AO97:AR97)) + MMULT($N$9:$Q$12, TRANSPOSE(Z97:AC97)))</f>
        <v>1.8758887262013264</v>
      </c>
      <c r="AF97" s="62">
        <f ca="1"/>
        <v>1.1827188002103444</v>
      </c>
      <c r="AG97" s="62">
        <f ca="1"/>
        <v>0.49423115182259653</v>
      </c>
      <c r="AH97" s="62">
        <f ca="1"/>
        <v>0.93745680385574537</v>
      </c>
      <c r="AI97" s="37"/>
      <c r="AJ97" s="61">
        <f t="shared" ca="1" si="8"/>
        <v>1.4502298775374749</v>
      </c>
      <c r="AK97" s="61">
        <f t="shared" ca="1" si="11"/>
        <v>0.32770017687139852</v>
      </c>
      <c r="AL97" s="61">
        <f t="shared" ca="1" si="11"/>
        <v>1.3322026840381154</v>
      </c>
      <c r="AM97" s="61">
        <f t="shared" ca="1" si="11"/>
        <v>-1.4773324355676765</v>
      </c>
      <c r="AN97" s="37"/>
      <c r="AO97" s="62">
        <f t="array" aca="1" ref="AO97:AR97" ca="1">TRANSPOSE($B$17:$B$20 + MMULT($D$17:$G$20,TRANSPOSE(AO96:AR96)) + MMULT($N$17:$Q$20,TRANSPOSE(AJ97:AM97)))</f>
        <v>0.97854144789567343</v>
      </c>
      <c r="AP97" s="62">
        <f ca="1"/>
        <v>0.6160514848298273</v>
      </c>
      <c r="AQ97" s="62">
        <f ca="1"/>
        <v>1.3924235286503444</v>
      </c>
      <c r="AR97" s="62">
        <f ca="1"/>
        <v>0.53300263572357309</v>
      </c>
    </row>
    <row r="98" spans="25:44" x14ac:dyDescent="0.15">
      <c r="Y98" s="8">
        <f t="shared" si="9"/>
        <v>95</v>
      </c>
      <c r="Z98" s="61">
        <f t="shared" ca="1" si="7"/>
        <v>1.1266091102262317</v>
      </c>
      <c r="AA98" s="61">
        <f t="shared" ca="1" si="10"/>
        <v>0.39203965366857924</v>
      </c>
      <c r="AB98" s="61">
        <f t="shared" ca="1" si="10"/>
        <v>-0.59370649511530393</v>
      </c>
      <c r="AC98" s="61">
        <f t="shared" ca="1" si="10"/>
        <v>-1.0888480160137239</v>
      </c>
      <c r="AD98" s="37"/>
      <c r="AE98" s="62">
        <f t="array" aca="1" ref="AE98:AH98" ca="1">TRANSPOSE($B$9:$B$12 + MMULT($D$9:$G$12,TRANSPOSE(AO98:AR98)) + MMULT($N$9:$Q$12, TRANSPOSE(Z98:AC98)))</f>
        <v>1.525430935263616</v>
      </c>
      <c r="AF98" s="62">
        <f ca="1"/>
        <v>1.3507234415774345</v>
      </c>
      <c r="AG98" s="62">
        <f ca="1"/>
        <v>0.51673483298525891</v>
      </c>
      <c r="AH98" s="62">
        <f ca="1"/>
        <v>0.39794251973151928</v>
      </c>
      <c r="AI98" s="37"/>
      <c r="AJ98" s="61">
        <f t="shared" ca="1" si="8"/>
        <v>0.78270739205633932</v>
      </c>
      <c r="AK98" s="61">
        <f t="shared" ca="1" si="11"/>
        <v>-0.40013966336266943</v>
      </c>
      <c r="AL98" s="61">
        <f t="shared" ca="1" si="11"/>
        <v>-1.294318208322752</v>
      </c>
      <c r="AM98" s="61">
        <f t="shared" ca="1" si="11"/>
        <v>-0.52374899404024144</v>
      </c>
      <c r="AN98" s="37"/>
      <c r="AO98" s="62">
        <f t="array" aca="1" ref="AO98:AR98" ca="1">TRANSPOSE($B$17:$B$20 + MMULT($D$17:$G$20,TRANSPOSE(AO97:AR97)) + MMULT($N$17:$Q$20,TRANSPOSE(AJ98:AM98)))</f>
        <v>1.0693559806491337</v>
      </c>
      <c r="AP98" s="62">
        <f ca="1"/>
        <v>0.56231852154093942</v>
      </c>
      <c r="AQ98" s="62">
        <f ca="1"/>
        <v>0.4720222517503454</v>
      </c>
      <c r="AR98" s="62">
        <f ca="1"/>
        <v>0.82936945874794676</v>
      </c>
    </row>
    <row r="99" spans="25:44" x14ac:dyDescent="0.15">
      <c r="Y99" s="8">
        <f t="shared" si="9"/>
        <v>96</v>
      </c>
      <c r="Z99" s="61">
        <f t="shared" ca="1" si="7"/>
        <v>0.17809639030067223</v>
      </c>
      <c r="AA99" s="61">
        <f t="shared" ca="1" si="10"/>
        <v>0.21333018863302361</v>
      </c>
      <c r="AB99" s="61">
        <f t="shared" ca="1" si="10"/>
        <v>0.33515437228274481</v>
      </c>
      <c r="AC99" s="61">
        <f t="shared" ca="1" si="10"/>
        <v>0.53582720000708584</v>
      </c>
      <c r="AD99" s="37"/>
      <c r="AE99" s="62">
        <f t="array" aca="1" ref="AE99:AH99" ca="1">TRANSPOSE($B$9:$B$12 + MMULT($D$9:$G$12,TRANSPOSE(AO99:AR99)) + MMULT($N$9:$Q$12, TRANSPOSE(Z99:AC99)))</f>
        <v>1.0830346759571887</v>
      </c>
      <c r="AF99" s="62">
        <f ca="1"/>
        <v>1.0805767370383081</v>
      </c>
      <c r="AG99" s="62">
        <f ca="1"/>
        <v>0.77318576881033141</v>
      </c>
      <c r="AH99" s="62">
        <f ca="1"/>
        <v>0.79103676493294395</v>
      </c>
      <c r="AI99" s="37"/>
      <c r="AJ99" s="61">
        <f t="shared" ca="1" si="8"/>
        <v>0.36090752921353281</v>
      </c>
      <c r="AK99" s="61">
        <f t="shared" ca="1" si="11"/>
        <v>3.9640286381329062E-2</v>
      </c>
      <c r="AL99" s="61">
        <f t="shared" ca="1" si="11"/>
        <v>-0.20280034290700716</v>
      </c>
      <c r="AM99" s="61">
        <f t="shared" ca="1" si="11"/>
        <v>-0.21153533572852423</v>
      </c>
      <c r="AN99" s="37"/>
      <c r="AO99" s="62">
        <f t="array" aca="1" ref="AO99:AR99" ca="1">TRANSPOSE($B$17:$B$20 + MMULT($D$17:$G$20,TRANSPOSE(AO98:AR98)) + MMULT($N$17:$Q$20,TRANSPOSE(AJ99:AM99)))</f>
        <v>0.82528997603986998</v>
      </c>
      <c r="AP99" s="62">
        <f ca="1"/>
        <v>0.73671617746617846</v>
      </c>
      <c r="AQ99" s="62">
        <f ca="1"/>
        <v>0.60383871362089969</v>
      </c>
      <c r="AR99" s="62">
        <f ca="1"/>
        <v>0.66350537499884965</v>
      </c>
    </row>
    <row r="100" spans="25:44" x14ac:dyDescent="0.15">
      <c r="Y100" s="8">
        <f t="shared" si="9"/>
        <v>97</v>
      </c>
      <c r="Z100" s="61">
        <f t="shared" ref="Z100:Z131" ca="1" si="12">NORMSINV(RAND())</f>
        <v>0.27214337281029544</v>
      </c>
      <c r="AA100" s="61">
        <f t="shared" ca="1" si="10"/>
        <v>6.5509434982643555E-2</v>
      </c>
      <c r="AB100" s="61">
        <f t="shared" ca="1" si="10"/>
        <v>1.4095837214589133</v>
      </c>
      <c r="AC100" s="61">
        <f t="shared" ca="1" si="10"/>
        <v>-0.2233883274811759</v>
      </c>
      <c r="AD100" s="37"/>
      <c r="AE100" s="62">
        <f t="array" aca="1" ref="AE100:AH100" ca="1">TRANSPOSE($B$9:$B$12 + MMULT($D$9:$G$12,TRANSPOSE(AO100:AR100)) + MMULT($N$9:$Q$12, TRANSPOSE(Z100:AC100)))</f>
        <v>0.80097461577254703</v>
      </c>
      <c r="AF100" s="62">
        <f ca="1"/>
        <v>0.69611863381722605</v>
      </c>
      <c r="AG100" s="62">
        <f ca="1"/>
        <v>1.3986039214626245</v>
      </c>
      <c r="AH100" s="62">
        <f ca="1"/>
        <v>0.21343890749012792</v>
      </c>
      <c r="AI100" s="37"/>
      <c r="AJ100" s="61">
        <f t="shared" ref="AJ100:AJ131" ca="1" si="13">NORMSINV(RAND())</f>
        <v>0.10090105497152914</v>
      </c>
      <c r="AK100" s="61">
        <f t="shared" ca="1" si="11"/>
        <v>-0.93469475075615116</v>
      </c>
      <c r="AL100" s="61">
        <f t="shared" ca="1" si="11"/>
        <v>-1.3166852989929547</v>
      </c>
      <c r="AM100" s="61">
        <f t="shared" ca="1" si="11"/>
        <v>-0.24630811734327629</v>
      </c>
      <c r="AN100" s="37"/>
      <c r="AO100" s="62">
        <f t="array" aca="1" ref="AO100:AR100" ca="1">TRANSPOSE($B$17:$B$20 + MMULT($D$17:$G$20,TRANSPOSE(AO99:AR99)) + MMULT($N$17:$Q$20,TRANSPOSE(AJ100:AM100)))</f>
        <v>0.69804150350718952</v>
      </c>
      <c r="AP100" s="62">
        <f ca="1"/>
        <v>0.27133166106006745</v>
      </c>
      <c r="AQ100" s="62">
        <f ca="1"/>
        <v>0.22191448851870044</v>
      </c>
      <c r="AR100" s="62">
        <f ca="1"/>
        <v>0.70375085935149895</v>
      </c>
    </row>
    <row r="101" spans="25:44" x14ac:dyDescent="0.15">
      <c r="Y101" s="8">
        <f t="shared" si="9"/>
        <v>98</v>
      </c>
      <c r="Z101" s="61">
        <f t="shared" ca="1" si="12"/>
        <v>-0.92729157670385731</v>
      </c>
      <c r="AA101" s="61">
        <f t="shared" ca="1" si="10"/>
        <v>0.25691282208626953</v>
      </c>
      <c r="AB101" s="61">
        <f t="shared" ca="1" si="10"/>
        <v>0.92786262570344347</v>
      </c>
      <c r="AC101" s="61">
        <f t="shared" ca="1" si="10"/>
        <v>0.3605482371837333</v>
      </c>
      <c r="AD101" s="37"/>
      <c r="AE101" s="62">
        <f t="array" aca="1" ref="AE101:AH101" ca="1">TRANSPOSE($B$9:$B$12 + MMULT($D$9:$G$12,TRANSPOSE(AO101:AR101)) + MMULT($N$9:$Q$12, TRANSPOSE(Z101:AC101)))</f>
        <v>1.0073988256183968</v>
      </c>
      <c r="AF101" s="62">
        <f ca="1"/>
        <v>5.8563252784842201E-2</v>
      </c>
      <c r="AG101" s="62">
        <f ca="1"/>
        <v>2.3020256905152818</v>
      </c>
      <c r="AH101" s="62">
        <f ca="1"/>
        <v>0.94546436113888654</v>
      </c>
      <c r="AI101" s="37"/>
      <c r="AJ101" s="61">
        <f t="shared" ca="1" si="13"/>
        <v>1.5483772945704368</v>
      </c>
      <c r="AK101" s="61">
        <f t="shared" ca="1" si="11"/>
        <v>-1.8815005836887404</v>
      </c>
      <c r="AL101" s="61">
        <f t="shared" ca="1" si="11"/>
        <v>0.64102523513746457</v>
      </c>
      <c r="AM101" s="61">
        <f t="shared" ca="1" si="11"/>
        <v>1.3458374249356666</v>
      </c>
      <c r="AN101" s="37"/>
      <c r="AO101" s="62">
        <f t="array" aca="1" ref="AO101:AR101" ca="1">TRANSPOSE($B$17:$B$20 + MMULT($D$17:$G$20,TRANSPOSE(AO100:AR100)) + MMULT($N$17:$Q$20,TRANSPOSE(AJ101:AM101)))</f>
        <v>1.0638939406687813</v>
      </c>
      <c r="AP101" s="62">
        <f ca="1"/>
        <v>-0.29563804468936228</v>
      </c>
      <c r="AQ101" s="62">
        <f ca="1"/>
        <v>1.1874049169349432</v>
      </c>
      <c r="AR101" s="62">
        <f ca="1"/>
        <v>1.430929195877765</v>
      </c>
    </row>
    <row r="102" spans="25:44" x14ac:dyDescent="0.15">
      <c r="Y102" s="8">
        <f t="shared" si="9"/>
        <v>99</v>
      </c>
      <c r="Z102" s="61">
        <f t="shared" ca="1" si="12"/>
        <v>-1.0814728467231367</v>
      </c>
      <c r="AA102" s="61">
        <f t="shared" ca="1" si="10"/>
        <v>1.1461716998550162</v>
      </c>
      <c r="AB102" s="61">
        <f t="shared" ca="1" si="10"/>
        <v>1.1155069702040177</v>
      </c>
      <c r="AC102" s="61">
        <f t="shared" ca="1" si="10"/>
        <v>-0.43599833746170197</v>
      </c>
      <c r="AD102" s="37"/>
      <c r="AE102" s="62">
        <f t="array" aca="1" ref="AE102:AH102" ca="1">TRANSPOSE($B$9:$B$12 + MMULT($D$9:$G$12,TRANSPOSE(AO102:AR102)) + MMULT($N$9:$Q$12, TRANSPOSE(Z102:AC102)))</f>
        <v>0.880037428207471</v>
      </c>
      <c r="AF102" s="62">
        <f ca="1"/>
        <v>1.0926339113852319</v>
      </c>
      <c r="AG102" s="62">
        <f ca="1"/>
        <v>1.525711640975786</v>
      </c>
      <c r="AH102" s="62">
        <f ca="1"/>
        <v>0.96255272874634623</v>
      </c>
      <c r="AI102" s="37"/>
      <c r="AJ102" s="61">
        <f t="shared" ca="1" si="13"/>
        <v>0.17773316447299634</v>
      </c>
      <c r="AK102" s="61">
        <f t="shared" ca="1" si="11"/>
        <v>0.2743333672345627</v>
      </c>
      <c r="AL102" s="61">
        <f t="shared" ca="1" si="11"/>
        <v>1.4591662989882521</v>
      </c>
      <c r="AM102" s="61">
        <f t="shared" ca="1" si="11"/>
        <v>-0.62334917489633734</v>
      </c>
      <c r="AN102" s="37"/>
      <c r="AO102" s="62">
        <f t="array" aca="1" ref="AO102:AR102" ca="1">TRANSPOSE($B$17:$B$20 + MMULT($D$17:$G$20,TRANSPOSE(AO101:AR101)) + MMULT($N$17:$Q$20,TRANSPOSE(AJ102:AM102)))</f>
        <v>0.83563580747282484</v>
      </c>
      <c r="AP102" s="62">
        <f ca="1"/>
        <v>0.747805438183898</v>
      </c>
      <c r="AQ102" s="62">
        <f ca="1"/>
        <v>1.2192996359501218</v>
      </c>
      <c r="AR102" s="62">
        <f ca="1"/>
        <v>0.95861485234092081</v>
      </c>
    </row>
    <row r="103" spans="25:44" x14ac:dyDescent="0.15">
      <c r="Y103" s="8">
        <f t="shared" si="9"/>
        <v>100</v>
      </c>
      <c r="Z103" s="61">
        <f t="shared" ca="1" si="12"/>
        <v>1.911174314617468</v>
      </c>
      <c r="AA103" s="61">
        <f t="shared" ca="1" si="10"/>
        <v>-1.4498197784328848</v>
      </c>
      <c r="AB103" s="61">
        <f t="shared" ca="1" si="10"/>
        <v>-1.0000970373043314</v>
      </c>
      <c r="AC103" s="61">
        <f t="shared" ca="1" si="10"/>
        <v>-0.55494766398916262</v>
      </c>
      <c r="AD103" s="37"/>
      <c r="AE103" s="62">
        <f t="array" aca="1" ref="AE103:AH103" ca="1">TRANSPOSE($B$9:$B$12 + MMULT($D$9:$G$12,TRANSPOSE(AO103:AR103)) + MMULT($N$9:$Q$12, TRANSPOSE(Z103:AC103)))</f>
        <v>1.7147384042243883</v>
      </c>
      <c r="AF103" s="62">
        <f ca="1"/>
        <v>1.2235400205510307</v>
      </c>
      <c r="AG103" s="62">
        <f ca="1"/>
        <v>-0.29434721372977118</v>
      </c>
      <c r="AH103" s="62">
        <f ca="1"/>
        <v>1.2532960062397867</v>
      </c>
      <c r="AI103" s="37"/>
      <c r="AJ103" s="61">
        <f t="shared" ca="1" si="13"/>
        <v>-0.29520612283960168</v>
      </c>
      <c r="AK103" s="61">
        <f t="shared" ca="1" si="11"/>
        <v>1.3012303343184957</v>
      </c>
      <c r="AL103" s="61">
        <f t="shared" ca="1" si="11"/>
        <v>0.20319751778733094</v>
      </c>
      <c r="AM103" s="61">
        <f t="shared" ca="1" si="11"/>
        <v>0.12762582194768457</v>
      </c>
      <c r="AN103" s="37"/>
      <c r="AO103" s="62">
        <f t="array" aca="1" ref="AO103:AR103" ca="1">TRANSPOSE($B$17:$B$20 + MMULT($D$17:$G$20,TRANSPOSE(AO102:AR102)) + MMULT($N$17:$Q$20,TRANSPOSE(AJ103:AM103)))</f>
        <v>0.67365781372740707</v>
      </c>
      <c r="AP103" s="62">
        <f ca="1"/>
        <v>1.3027215067403271</v>
      </c>
      <c r="AQ103" s="62">
        <f ca="1"/>
        <v>0.75091150949621976</v>
      </c>
      <c r="AR103" s="62">
        <f ca="1"/>
        <v>0.78686159746518047</v>
      </c>
    </row>
    <row r="104" spans="25:44" x14ac:dyDescent="0.15">
      <c r="Y104" s="8">
        <f t="shared" si="9"/>
        <v>101</v>
      </c>
      <c r="Z104" s="61">
        <f t="shared" ca="1" si="12"/>
        <v>0.40755483620617078</v>
      </c>
      <c r="AA104" s="61">
        <f t="shared" ca="1" si="10"/>
        <v>2.6062116230395476</v>
      </c>
      <c r="AB104" s="61">
        <f t="shared" ca="1" si="10"/>
        <v>-2.9312540776269187</v>
      </c>
      <c r="AC104" s="61">
        <f t="shared" ca="1" si="10"/>
        <v>-9.580662120665924E-2</v>
      </c>
      <c r="AD104" s="37"/>
      <c r="AE104" s="62">
        <f t="array" aca="1" ref="AE104:AH104" ca="1">TRANSPOSE($B$9:$B$12 + MMULT($D$9:$G$12,TRANSPOSE(AO104:AR104)) + MMULT($N$9:$Q$12, TRANSPOSE(Z104:AC104)))</f>
        <v>1.4151772699338121</v>
      </c>
      <c r="AF104" s="62">
        <f ca="1"/>
        <v>1.5187143949671214</v>
      </c>
      <c r="AG104" s="62">
        <f ca="1"/>
        <v>-0.38279393822116425</v>
      </c>
      <c r="AH104" s="62">
        <f ca="1"/>
        <v>1.4912209820010736</v>
      </c>
      <c r="AI104" s="37"/>
      <c r="AJ104" s="61">
        <f t="shared" ca="1" si="13"/>
        <v>-0.2523614963059731</v>
      </c>
      <c r="AK104" s="61">
        <f t="shared" ca="1" si="11"/>
        <v>-1.0050124070167601</v>
      </c>
      <c r="AL104" s="61">
        <f t="shared" ca="1" si="11"/>
        <v>0.8272196113595055</v>
      </c>
      <c r="AM104" s="61">
        <f t="shared" ca="1" si="11"/>
        <v>-0.68421101982642829</v>
      </c>
      <c r="AN104" s="37"/>
      <c r="AO104" s="62">
        <f t="array" aca="1" ref="AO104:AR104" ca="1">TRANSPOSE($B$17:$B$20 + MMULT($D$17:$G$20,TRANSPOSE(AO103:AR103)) + MMULT($N$17:$Q$20,TRANSPOSE(AJ104:AM104)))</f>
        <v>0.60793795518800164</v>
      </c>
      <c r="AP104" s="62">
        <f ca="1"/>
        <v>0.3630241650535867</v>
      </c>
      <c r="AQ104" s="62">
        <f ca="1"/>
        <v>1.3301300573150898</v>
      </c>
      <c r="AR104" s="62">
        <f ca="1"/>
        <v>0.97411928451784102</v>
      </c>
    </row>
    <row r="105" spans="25:44" x14ac:dyDescent="0.15">
      <c r="Y105" s="8">
        <f t="shared" si="9"/>
        <v>102</v>
      </c>
      <c r="Z105" s="61">
        <f t="shared" ca="1" si="12"/>
        <v>-1.3331879281922325</v>
      </c>
      <c r="AA105" s="61">
        <f t="shared" ca="1" si="10"/>
        <v>-0.67039235658758611</v>
      </c>
      <c r="AB105" s="61">
        <f t="shared" ca="1" si="10"/>
        <v>-0.3695451817441085</v>
      </c>
      <c r="AC105" s="61">
        <f t="shared" ca="1" si="10"/>
        <v>-3.2055299794142691E-2</v>
      </c>
      <c r="AD105" s="37"/>
      <c r="AE105" s="62">
        <f t="array" aca="1" ref="AE105:AH105" ca="1">TRANSPOSE($B$9:$B$12 + MMULT($D$9:$G$12,TRANSPOSE(AO105:AR105)) + MMULT($N$9:$Q$12, TRANSPOSE(Z105:AC105)))</f>
        <v>0.72591832539361056</v>
      </c>
      <c r="AF105" s="62">
        <f ca="1"/>
        <v>0.92169741340354905</v>
      </c>
      <c r="AG105" s="62">
        <f ca="1"/>
        <v>0.54265596175884123</v>
      </c>
      <c r="AH105" s="62">
        <f ca="1"/>
        <v>1.1921837704846592</v>
      </c>
      <c r="AI105" s="37"/>
      <c r="AJ105" s="61">
        <f t="shared" ca="1" si="13"/>
        <v>0.46065570918915089</v>
      </c>
      <c r="AK105" s="61">
        <f t="shared" ca="1" si="11"/>
        <v>1.9331263782019492</v>
      </c>
      <c r="AL105" s="61">
        <f t="shared" ca="1" si="11"/>
        <v>1.0788169854976568</v>
      </c>
      <c r="AM105" s="61">
        <f t="shared" ca="1" si="11"/>
        <v>-0.21696434592906289</v>
      </c>
      <c r="AN105" s="37"/>
      <c r="AO105" s="62">
        <f t="array" aca="1" ref="AO105:AR105" ca="1">TRANSPOSE($B$17:$B$20 + MMULT($D$17:$G$20,TRANSPOSE(AO104:AR104)) + MMULT($N$17:$Q$20,TRANSPOSE(AJ105:AM105)))</f>
        <v>0.85807386195564683</v>
      </c>
      <c r="AP105" s="62">
        <f ca="1"/>
        <v>1.4112952181332112</v>
      </c>
      <c r="AQ105" s="62">
        <f ca="1"/>
        <v>1.0687359701851182</v>
      </c>
      <c r="AR105" s="62">
        <f ca="1"/>
        <v>0.73299480412101503</v>
      </c>
    </row>
    <row r="106" spans="25:44" x14ac:dyDescent="0.15">
      <c r="Y106" s="8">
        <f t="shared" si="9"/>
        <v>103</v>
      </c>
      <c r="Z106" s="61">
        <f t="shared" ca="1" si="12"/>
        <v>0.64190398214660482</v>
      </c>
      <c r="AA106" s="61">
        <f t="shared" ca="1" si="10"/>
        <v>0.57161596092717459</v>
      </c>
      <c r="AB106" s="61">
        <f t="shared" ca="1" si="10"/>
        <v>0.28471871322809283</v>
      </c>
      <c r="AC106" s="61">
        <f t="shared" ca="1" si="10"/>
        <v>0.25270045120904033</v>
      </c>
      <c r="AD106" s="37"/>
      <c r="AE106" s="62">
        <f t="array" aca="1" ref="AE106:AH106" ca="1">TRANSPOSE($B$9:$B$12 + MMULT($D$9:$G$12,TRANSPOSE(AO106:AR106)) + MMULT($N$9:$Q$12, TRANSPOSE(Z106:AC106)))</f>
        <v>1.8971635880476962</v>
      </c>
      <c r="AF106" s="62">
        <f ca="1"/>
        <v>0.82242367235773228</v>
      </c>
      <c r="AG106" s="62">
        <f ca="1"/>
        <v>1.0037541169848738</v>
      </c>
      <c r="AH106" s="62">
        <f ca="1"/>
        <v>2.0364356454739041</v>
      </c>
      <c r="AI106" s="37"/>
      <c r="AJ106" s="61">
        <f t="shared" ca="1" si="13"/>
        <v>-0.43385855356920383</v>
      </c>
      <c r="AK106" s="61">
        <f t="shared" ca="1" si="11"/>
        <v>-0.83870776091174082</v>
      </c>
      <c r="AL106" s="61">
        <f t="shared" ca="1" si="11"/>
        <v>2.1739535574471791</v>
      </c>
      <c r="AM106" s="61">
        <f t="shared" ca="1" si="11"/>
        <v>-0.56582865713924424</v>
      </c>
      <c r="AN106" s="37"/>
      <c r="AO106" s="62">
        <f t="array" aca="1" ref="AO106:AR106" ca="1">TRANSPOSE($B$17:$B$20 + MMULT($D$17:$G$20,TRANSPOSE(AO105:AR105)) + MMULT($N$17:$Q$20,TRANSPOSE(AJ106:AM106)))</f>
        <v>0.64730396187695916</v>
      </c>
      <c r="AP106" s="62">
        <f ca="1"/>
        <v>0.53616440270046417</v>
      </c>
      <c r="AQ106" s="62">
        <f ca="1"/>
        <v>2.0169347808105611</v>
      </c>
      <c r="AR106" s="62">
        <f ca="1"/>
        <v>1.2203509551709195</v>
      </c>
    </row>
    <row r="107" spans="25:44" x14ac:dyDescent="0.15">
      <c r="Y107" s="8">
        <f t="shared" si="9"/>
        <v>104</v>
      </c>
      <c r="Z107" s="61">
        <f t="shared" ca="1" si="12"/>
        <v>-0.56875946306988956</v>
      </c>
      <c r="AA107" s="61">
        <f t="shared" ca="1" si="10"/>
        <v>-1.2340416491150465</v>
      </c>
      <c r="AB107" s="61">
        <f t="shared" ca="1" si="10"/>
        <v>2.7491551261782088</v>
      </c>
      <c r="AC107" s="61">
        <f t="shared" ca="1" si="10"/>
        <v>-1.4452745997849452</v>
      </c>
      <c r="AD107" s="37"/>
      <c r="AE107" s="62">
        <f t="array" aca="1" ref="AE107:AH107" ca="1">TRANSPOSE($B$9:$B$12 + MMULT($D$9:$G$12,TRANSPOSE(AO107:AR107)) + MMULT($N$9:$Q$12, TRANSPOSE(Z107:AC107)))</f>
        <v>0.76656073765948862</v>
      </c>
      <c r="AF107" s="62">
        <f ca="1"/>
        <v>0.55838223610908577</v>
      </c>
      <c r="AG107" s="62">
        <f ca="1"/>
        <v>2.3008728006661237</v>
      </c>
      <c r="AH107" s="62">
        <f ca="1"/>
        <v>0.85408748263650147</v>
      </c>
      <c r="AI107" s="37"/>
      <c r="AJ107" s="61">
        <f t="shared" ca="1" si="13"/>
        <v>-0.33400503486838662</v>
      </c>
      <c r="AK107" s="61">
        <f t="shared" ca="1" si="11"/>
        <v>0.56312750564523584</v>
      </c>
      <c r="AL107" s="61">
        <f t="shared" ca="1" si="11"/>
        <v>0.31975469227175035</v>
      </c>
      <c r="AM107" s="61">
        <f t="shared" ca="1" si="11"/>
        <v>0.47194955637193176</v>
      </c>
      <c r="AN107" s="37"/>
      <c r="AO107" s="62">
        <f t="array" aca="1" ref="AO107:AR107" ca="1">TRANSPOSE($B$17:$B$20 + MMULT($D$17:$G$20,TRANSPOSE(AO106:AR106)) + MMULT($N$17:$Q$20,TRANSPOSE(AJ107:AM107)))</f>
        <v>0.72698210206556635</v>
      </c>
      <c r="AP107" s="62">
        <f ca="1"/>
        <v>0.96863852802346218</v>
      </c>
      <c r="AQ107" s="62">
        <f ca="1"/>
        <v>1.0090419052675974</v>
      </c>
      <c r="AR107" s="62">
        <f ca="1"/>
        <v>1.3132575525138668</v>
      </c>
    </row>
    <row r="108" spans="25:44" x14ac:dyDescent="0.15">
      <c r="Y108" s="8">
        <f t="shared" si="9"/>
        <v>105</v>
      </c>
      <c r="Z108" s="61">
        <f t="shared" ca="1" si="12"/>
        <v>-0.7350061078025486</v>
      </c>
      <c r="AA108" s="61">
        <f t="shared" ca="1" si="10"/>
        <v>0.23975801666520688</v>
      </c>
      <c r="AB108" s="61">
        <f t="shared" ca="1" si="10"/>
        <v>0.62979478865101346</v>
      </c>
      <c r="AC108" s="61">
        <f t="shared" ca="1" si="10"/>
        <v>-1.1712445591313463</v>
      </c>
      <c r="AD108" s="37"/>
      <c r="AE108" s="62">
        <f t="array" aca="1" ref="AE108:AH108" ca="1">TRANSPOSE($B$9:$B$12 + MMULT($D$9:$G$12,TRANSPOSE(AO108:AR108)) + MMULT($N$9:$Q$12, TRANSPOSE(Z108:AC108)))</f>
        <v>0.7342193387149224</v>
      </c>
      <c r="AF108" s="62">
        <f ca="1"/>
        <v>0.68147775226240004</v>
      </c>
      <c r="AG108" s="62">
        <f ca="1"/>
        <v>1.6195890810367453</v>
      </c>
      <c r="AH108" s="62">
        <f ca="1"/>
        <v>1.4094161875096964</v>
      </c>
      <c r="AI108" s="37"/>
      <c r="AJ108" s="61">
        <f t="shared" ca="1" si="13"/>
        <v>-0.76078634097981612</v>
      </c>
      <c r="AK108" s="61">
        <f t="shared" ca="1" si="11"/>
        <v>-0.33722583619799473</v>
      </c>
      <c r="AL108" s="61">
        <f t="shared" ca="1" si="11"/>
        <v>1.37655651945224</v>
      </c>
      <c r="AM108" s="61">
        <f t="shared" ca="1" si="11"/>
        <v>1.408928568325357</v>
      </c>
      <c r="AN108" s="37"/>
      <c r="AO108" s="62">
        <f t="array" aca="1" ref="AO108:AR108" ca="1">TRANSPOSE($B$17:$B$20 + MMULT($D$17:$G$20,TRANSPOSE(AO107:AR107)) + MMULT($N$17:$Q$20,TRANSPOSE(AJ108:AM108)))</f>
        <v>0.49045529880531569</v>
      </c>
      <c r="AP108" s="62">
        <f ca="1"/>
        <v>0.66526132795451487</v>
      </c>
      <c r="AQ108" s="62">
        <f ca="1"/>
        <v>1.4044576937180682</v>
      </c>
      <c r="AR108" s="62">
        <f ca="1"/>
        <v>1.5327647633713919</v>
      </c>
    </row>
    <row r="109" spans="25:44" x14ac:dyDescent="0.15">
      <c r="Y109" s="8">
        <f t="shared" si="9"/>
        <v>106</v>
      </c>
      <c r="Z109" s="61">
        <f t="shared" ca="1" si="12"/>
        <v>-1.0305189545911611</v>
      </c>
      <c r="AA109" s="61">
        <f t="shared" ref="AA109:AC131" ca="1" si="14">NORMSINV(RAND())</f>
        <v>-0.38218914499929718</v>
      </c>
      <c r="AB109" s="61">
        <f t="shared" ca="1" si="14"/>
        <v>8.8762185951265699E-2</v>
      </c>
      <c r="AC109" s="61">
        <f t="shared" ca="1" si="14"/>
        <v>-0.38826365030263327</v>
      </c>
      <c r="AD109" s="37"/>
      <c r="AE109" s="62">
        <f t="array" aca="1" ref="AE109:AH109" ca="1">TRANSPOSE($B$9:$B$12 + MMULT($D$9:$G$12,TRANSPOSE(AO109:AR109)) + MMULT($N$9:$Q$12, TRANSPOSE(Z109:AC109)))</f>
        <v>0.90218290154509173</v>
      </c>
      <c r="AF109" s="62">
        <f ca="1"/>
        <v>0.44009982755264243</v>
      </c>
      <c r="AG109" s="62">
        <f ca="1"/>
        <v>1.2895604578784079</v>
      </c>
      <c r="AH109" s="62">
        <f ca="1"/>
        <v>1.3989953257572432</v>
      </c>
      <c r="AI109" s="37"/>
      <c r="AJ109" s="61">
        <f t="shared" ca="1" si="13"/>
        <v>6.4653292766239226E-2</v>
      </c>
      <c r="AK109" s="61">
        <f t="shared" ref="AK109:AM131" ca="1" si="15">NORMSINV(RAND())</f>
        <v>-5.3165597916522214E-2</v>
      </c>
      <c r="AL109" s="61">
        <f t="shared" ca="1" si="15"/>
        <v>1.2159298750621921</v>
      </c>
      <c r="AM109" s="61">
        <f t="shared" ca="1" si="15"/>
        <v>-0.46725770802596323</v>
      </c>
      <c r="AN109" s="37"/>
      <c r="AO109" s="62">
        <f t="array" aca="1" ref="AO109:AR109" ca="1">TRANSPOSE($B$17:$B$20 + MMULT($D$17:$G$20,TRANSPOSE(AO108:AR108)) + MMULT($N$17:$Q$20,TRANSPOSE(AJ109:AM109)))</f>
        <v>0.75384373051152609</v>
      </c>
      <c r="AP109" s="62">
        <f ca="1"/>
        <v>0.69710444914049163</v>
      </c>
      <c r="AQ109" s="62">
        <f ca="1"/>
        <v>1.4317873100606597</v>
      </c>
      <c r="AR109" s="62">
        <f ca="1"/>
        <v>1.2331880042559664</v>
      </c>
    </row>
    <row r="110" spans="25:44" x14ac:dyDescent="0.15">
      <c r="Y110" s="8">
        <f t="shared" si="9"/>
        <v>107</v>
      </c>
      <c r="Z110" s="61">
        <f t="shared" ca="1" si="12"/>
        <v>0.12621435913052209</v>
      </c>
      <c r="AA110" s="61">
        <f t="shared" ca="1" si="14"/>
        <v>-4.2526949675577096E-2</v>
      </c>
      <c r="AB110" s="61">
        <f t="shared" ca="1" si="14"/>
        <v>-2.0547656496140969</v>
      </c>
      <c r="AC110" s="61">
        <f t="shared" ca="1" si="14"/>
        <v>-0.71054173628983552</v>
      </c>
      <c r="AD110" s="37"/>
      <c r="AE110" s="62">
        <f t="array" aca="1" ref="AE110:AH110" ca="1">TRANSPOSE($B$9:$B$12 + MMULT($D$9:$G$12,TRANSPOSE(AO110:AR110)) + MMULT($N$9:$Q$12, TRANSPOSE(Z110:AC110)))</f>
        <v>0.73617516247022063</v>
      </c>
      <c r="AF110" s="62">
        <f ca="1"/>
        <v>1.2724040764885149</v>
      </c>
      <c r="AG110" s="62">
        <f ca="1"/>
        <v>0.14566295671388474</v>
      </c>
      <c r="AH110" s="62">
        <f ca="1"/>
        <v>0.58759445847303593</v>
      </c>
      <c r="AI110" s="37"/>
      <c r="AJ110" s="61">
        <f t="shared" ca="1" si="13"/>
        <v>0.31441100946101663</v>
      </c>
      <c r="AK110" s="61">
        <f t="shared" ca="1" si="15"/>
        <v>0.15452556965470365</v>
      </c>
      <c r="AL110" s="61">
        <f t="shared" ca="1" si="15"/>
        <v>-1.708421820298432</v>
      </c>
      <c r="AM110" s="61">
        <f t="shared" ca="1" si="15"/>
        <v>0.43700956384349215</v>
      </c>
      <c r="AN110" s="37"/>
      <c r="AO110" s="62">
        <f t="array" aca="1" ref="AO110:AR110" ca="1">TRANSPOSE($B$17:$B$20 + MMULT($D$17:$G$20,TRANSPOSE(AO109:AR109)) + MMULT($N$17:$Q$20,TRANSPOSE(AJ110:AM110)))</f>
        <v>0.89856229473799198</v>
      </c>
      <c r="AP110" s="62">
        <f ca="1"/>
        <v>0.84227553730053006</v>
      </c>
      <c r="AQ110" s="62">
        <f ca="1"/>
        <v>0.19435398564507633</v>
      </c>
      <c r="AR110" s="62">
        <f ca="1"/>
        <v>1.0570508003589079</v>
      </c>
    </row>
    <row r="111" spans="25:44" x14ac:dyDescent="0.15">
      <c r="Y111" s="8">
        <f t="shared" si="9"/>
        <v>108</v>
      </c>
      <c r="Z111" s="61">
        <f t="shared" ca="1" si="12"/>
        <v>1.2554558240108258</v>
      </c>
      <c r="AA111" s="61">
        <f t="shared" ca="1" si="14"/>
        <v>1.4004735529431203</v>
      </c>
      <c r="AB111" s="61">
        <f t="shared" ca="1" si="14"/>
        <v>-1.2086106617957595</v>
      </c>
      <c r="AC111" s="61">
        <f t="shared" ca="1" si="14"/>
        <v>0.49427182944889675</v>
      </c>
      <c r="AD111" s="37"/>
      <c r="AE111" s="62">
        <f t="array" aca="1" ref="AE111:AH111" ca="1">TRANSPOSE($B$9:$B$12 + MMULT($D$9:$G$12,TRANSPOSE(AO111:AR111)) + MMULT($N$9:$Q$12, TRANSPOSE(Z111:AC111)))</f>
        <v>2.0708430488831242</v>
      </c>
      <c r="AF111" s="62">
        <f ca="1"/>
        <v>1.4777813520052618</v>
      </c>
      <c r="AG111" s="62">
        <f ca="1"/>
        <v>-0.20707952076175828</v>
      </c>
      <c r="AH111" s="62">
        <f ca="1"/>
        <v>1.6088336916230217</v>
      </c>
      <c r="AI111" s="37"/>
      <c r="AJ111" s="61">
        <f t="shared" ca="1" si="13"/>
        <v>0.33967141537964374</v>
      </c>
      <c r="AK111" s="61">
        <f t="shared" ca="1" si="15"/>
        <v>-8.6618017903628081E-2</v>
      </c>
      <c r="AL111" s="61">
        <f t="shared" ca="1" si="15"/>
        <v>1.7968174019561487</v>
      </c>
      <c r="AM111" s="61">
        <f t="shared" ca="1" si="15"/>
        <v>-1.3925396462254278</v>
      </c>
      <c r="AN111" s="37"/>
      <c r="AO111" s="62">
        <f t="array" aca="1" ref="AO111:AR111" ca="1">TRANSPOSE($B$17:$B$20 + MMULT($D$17:$G$20,TRANSPOSE(AO110:AR110)) + MMULT($N$17:$Q$20,TRANSPOSE(AJ111:AM111)))</f>
        <v>0.76351691520442011</v>
      </c>
      <c r="AP111" s="62">
        <f ca="1"/>
        <v>0.71268027298771663</v>
      </c>
      <c r="AQ111" s="62">
        <f ca="1"/>
        <v>1.512159251424319</v>
      </c>
      <c r="AR111" s="62">
        <f ca="1"/>
        <v>0.62633669699466354</v>
      </c>
    </row>
    <row r="112" spans="25:44" x14ac:dyDescent="0.15">
      <c r="Y112" s="8">
        <f t="shared" si="9"/>
        <v>109</v>
      </c>
      <c r="Z112" s="61">
        <f t="shared" ca="1" si="12"/>
        <v>2.1536930388000641</v>
      </c>
      <c r="AA112" s="61">
        <f t="shared" ca="1" si="14"/>
        <v>-0.96394115451518725</v>
      </c>
      <c r="AB112" s="61">
        <f t="shared" ca="1" si="14"/>
        <v>0.54674258567661094</v>
      </c>
      <c r="AC112" s="61">
        <f t="shared" ca="1" si="14"/>
        <v>-0.64717833198302466</v>
      </c>
      <c r="AD112" s="37"/>
      <c r="AE112" s="62">
        <f t="array" aca="1" ref="AE112:AH112" ca="1">TRANSPOSE($B$9:$B$12 + MMULT($D$9:$G$12,TRANSPOSE(AO112:AR112)) + MMULT($N$9:$Q$12, TRANSPOSE(Z112:AC112)))</f>
        <v>2.1473346653597134</v>
      </c>
      <c r="AF112" s="62">
        <f ca="1"/>
        <v>1.5898507003075499</v>
      </c>
      <c r="AG112" s="62">
        <f ca="1"/>
        <v>0.45454469395780384</v>
      </c>
      <c r="AH112" s="62">
        <f ca="1"/>
        <v>1.2195831622861928</v>
      </c>
      <c r="AI112" s="37"/>
      <c r="AJ112" s="61">
        <f t="shared" ca="1" si="13"/>
        <v>0.57503030881412331</v>
      </c>
      <c r="AK112" s="61">
        <f t="shared" ca="1" si="15"/>
        <v>1.5836375504859483</v>
      </c>
      <c r="AL112" s="61">
        <f t="shared" ca="1" si="15"/>
        <v>0.39381795051335983</v>
      </c>
      <c r="AM112" s="61">
        <f t="shared" ca="1" si="15"/>
        <v>0.31409147986626534</v>
      </c>
      <c r="AN112" s="37"/>
      <c r="AO112" s="62">
        <f t="array" aca="1" ref="AO112:AR112" ca="1">TRANSPOSE($B$17:$B$20 + MMULT($D$17:$G$20,TRANSPOSE(AO111:AR111)) + MMULT($N$17:$Q$20,TRANSPOSE(AJ112:AM112)))</f>
        <v>0.97246913038091443</v>
      </c>
      <c r="AP112" s="62">
        <f ca="1"/>
        <v>1.3707777434634876</v>
      </c>
      <c r="AQ112" s="62">
        <f ca="1"/>
        <v>0.99019421873633595</v>
      </c>
      <c r="AR112" s="62">
        <f ca="1"/>
        <v>0.8900273026943426</v>
      </c>
    </row>
    <row r="113" spans="25:44" x14ac:dyDescent="0.15">
      <c r="Y113" s="8">
        <f t="shared" si="9"/>
        <v>110</v>
      </c>
      <c r="Z113" s="61">
        <f t="shared" ca="1" si="12"/>
        <v>-0.35260246183233612</v>
      </c>
      <c r="AA113" s="61">
        <f t="shared" ca="1" si="14"/>
        <v>-1.4423809165262402</v>
      </c>
      <c r="AB113" s="61">
        <f t="shared" ca="1" si="14"/>
        <v>0.13637572216862312</v>
      </c>
      <c r="AC113" s="61">
        <f t="shared" ca="1" si="14"/>
        <v>7.023320673183571E-2</v>
      </c>
      <c r="AD113" s="37"/>
      <c r="AE113" s="62">
        <f t="array" aca="1" ref="AE113:AH113" ca="1">TRANSPOSE($B$9:$B$12 + MMULT($D$9:$G$12,TRANSPOSE(AO113:AR113)) + MMULT($N$9:$Q$12, TRANSPOSE(Z113:AC113)))</f>
        <v>0.80794121433229582</v>
      </c>
      <c r="AF113" s="62">
        <f ca="1"/>
        <v>0.56068251603918995</v>
      </c>
      <c r="AG113" s="62">
        <f ca="1"/>
        <v>0.63771546124690337</v>
      </c>
      <c r="AH113" s="62">
        <f ca="1"/>
        <v>1.3675417750431731</v>
      </c>
      <c r="AI113" s="37"/>
      <c r="AJ113" s="61">
        <f t="shared" ca="1" si="13"/>
        <v>-0.89062513227012363</v>
      </c>
      <c r="AK113" s="61">
        <f t="shared" ca="1" si="15"/>
        <v>0.63333731947036587</v>
      </c>
      <c r="AL113" s="61">
        <f t="shared" ca="1" si="15"/>
        <v>0.44313030792613384</v>
      </c>
      <c r="AM113" s="61">
        <f t="shared" ca="1" si="15"/>
        <v>7.1379727794914249E-2</v>
      </c>
      <c r="AN113" s="37"/>
      <c r="AO113" s="62">
        <f t="array" aca="1" ref="AO113:AR113" ca="1">TRANSPOSE($B$17:$B$20 + MMULT($D$17:$G$20,TRANSPOSE(AO112:AR112)) + MMULT($N$17:$Q$20,TRANSPOSE(AJ113:AM113)))</f>
        <v>0.51652229531819271</v>
      </c>
      <c r="AP113" s="62">
        <f ca="1"/>
        <v>1.1962419218592153</v>
      </c>
      <c r="AQ113" s="62">
        <f ca="1"/>
        <v>0.99191890006122851</v>
      </c>
      <c r="AR113" s="62">
        <f ca="1"/>
        <v>0.86979772632245844</v>
      </c>
    </row>
    <row r="114" spans="25:44" x14ac:dyDescent="0.15">
      <c r="Y114" s="8">
        <f t="shared" si="9"/>
        <v>111</v>
      </c>
      <c r="Z114" s="61">
        <f t="shared" ca="1" si="12"/>
        <v>-0.39324589283512318</v>
      </c>
      <c r="AA114" s="61">
        <f t="shared" ca="1" si="14"/>
        <v>-1.6978565611667651</v>
      </c>
      <c r="AB114" s="61">
        <f t="shared" ca="1" si="14"/>
        <v>-0.57980453099080143</v>
      </c>
      <c r="AC114" s="61">
        <f t="shared" ca="1" si="14"/>
        <v>0.24310240475321535</v>
      </c>
      <c r="AD114" s="37"/>
      <c r="AE114" s="62">
        <f t="array" aca="1" ref="AE114:AH114" ca="1">TRANSPOSE($B$9:$B$12 + MMULT($D$9:$G$12,TRANSPOSE(AO114:AR114)) + MMULT($N$9:$Q$12, TRANSPOSE(Z114:AC114)))</f>
        <v>1.7761407346667886</v>
      </c>
      <c r="AF114" s="62">
        <f ca="1"/>
        <v>-0.10064952237803115</v>
      </c>
      <c r="AG114" s="62">
        <f ca="1"/>
        <v>0.97464420293812315</v>
      </c>
      <c r="AH114" s="62">
        <f ca="1"/>
        <v>1.8387868538435732</v>
      </c>
      <c r="AI114" s="37"/>
      <c r="AJ114" s="61">
        <f t="shared" ca="1" si="13"/>
        <v>1.2076825983711976</v>
      </c>
      <c r="AK114" s="61">
        <f t="shared" ca="1" si="15"/>
        <v>-0.51288787383022472</v>
      </c>
      <c r="AL114" s="61">
        <f t="shared" ca="1" si="15"/>
        <v>1.7858644727865713</v>
      </c>
      <c r="AM114" s="61">
        <f t="shared" ca="1" si="15"/>
        <v>-0.90089869243832699</v>
      </c>
      <c r="AN114" s="37"/>
      <c r="AO114" s="62">
        <f t="array" aca="1" ref="AO114:AR114" ca="1">TRANSPOSE($B$17:$B$20 + MMULT($D$17:$G$20,TRANSPOSE(AO113:AR113)) + MMULT($N$17:$Q$20,TRANSPOSE(AJ114:AM114)))</f>
        <v>1.0903143277837082</v>
      </c>
      <c r="AP114" s="62">
        <f ca="1"/>
        <v>0.53719588939150786</v>
      </c>
      <c r="AQ114" s="62">
        <f ca="1"/>
        <v>1.9713580285242962</v>
      </c>
      <c r="AR114" s="62">
        <f ca="1"/>
        <v>1.1633189744486692</v>
      </c>
    </row>
    <row r="115" spans="25:44" x14ac:dyDescent="0.15">
      <c r="Y115" s="8">
        <f t="shared" si="9"/>
        <v>112</v>
      </c>
      <c r="Z115" s="61">
        <f t="shared" ca="1" si="12"/>
        <v>0.36910245781493356</v>
      </c>
      <c r="AA115" s="61">
        <f t="shared" ca="1" si="14"/>
        <v>-0.64112124091425249</v>
      </c>
      <c r="AB115" s="61">
        <f t="shared" ca="1" si="14"/>
        <v>0.36348197567764479</v>
      </c>
      <c r="AC115" s="61">
        <f t="shared" ca="1" si="14"/>
        <v>-0.12505147413660045</v>
      </c>
      <c r="AD115" s="37"/>
      <c r="AE115" s="62">
        <f t="array" aca="1" ref="AE115:AH115" ca="1">TRANSPOSE($B$9:$B$12 + MMULT($D$9:$G$12,TRANSPOSE(AO115:AR115)) + MMULT($N$9:$Q$12, TRANSPOSE(Z115:AC115)))</f>
        <v>1.8448683284867442</v>
      </c>
      <c r="AF115" s="62">
        <f ca="1"/>
        <v>0.46760026903054486</v>
      </c>
      <c r="AG115" s="62">
        <f ca="1"/>
        <v>1.9345283862493119</v>
      </c>
      <c r="AH115" s="62">
        <f ca="1"/>
        <v>1.7935460524077018</v>
      </c>
      <c r="AI115" s="37"/>
      <c r="AJ115" s="61">
        <f t="shared" ca="1" si="13"/>
        <v>0.62735100219768081</v>
      </c>
      <c r="AK115" s="61">
        <f t="shared" ca="1" si="15"/>
        <v>-1.3644247627657256</v>
      </c>
      <c r="AL115" s="61">
        <f t="shared" ca="1" si="15"/>
        <v>1.1132790484253601</v>
      </c>
      <c r="AM115" s="61">
        <f t="shared" ca="1" si="15"/>
        <v>0.52816740665339379</v>
      </c>
      <c r="AN115" s="37"/>
      <c r="AO115" s="62">
        <f t="array" aca="1" ref="AO115:AR115" ca="1">TRANSPOSE($B$17:$B$20 + MMULT($D$17:$G$20,TRANSPOSE(AO114:AR114)) + MMULT($N$17:$Q$20,TRANSPOSE(AJ115:AM115)))</f>
        <v>1.156841499635656</v>
      </c>
      <c r="AP115" s="62">
        <f ca="1"/>
        <v>0.30612966138461051</v>
      </c>
      <c r="AQ115" s="62">
        <f ca="1"/>
        <v>1.8074590785781208</v>
      </c>
      <c r="AR115" s="62">
        <f ca="1"/>
        <v>1.8663994750951836</v>
      </c>
    </row>
    <row r="116" spans="25:44" x14ac:dyDescent="0.15">
      <c r="Y116" s="8">
        <f t="shared" si="9"/>
        <v>113</v>
      </c>
      <c r="Z116" s="61">
        <f t="shared" ca="1" si="12"/>
        <v>0.13041422099091829</v>
      </c>
      <c r="AA116" s="61">
        <f t="shared" ca="1" si="14"/>
        <v>1.322380210983769</v>
      </c>
      <c r="AB116" s="61">
        <f t="shared" ca="1" si="14"/>
        <v>-1.868880034888482</v>
      </c>
      <c r="AC116" s="61">
        <f t="shared" ca="1" si="14"/>
        <v>0.78373959682884475</v>
      </c>
      <c r="AD116" s="37"/>
      <c r="AE116" s="62">
        <f t="array" aca="1" ref="AE116:AH116" ca="1">TRANSPOSE($B$9:$B$12 + MMULT($D$9:$G$12,TRANSPOSE(AO116:AR116)) + MMULT($N$9:$Q$12, TRANSPOSE(Z116:AC116)))</f>
        <v>0.52341676929365444</v>
      </c>
      <c r="AF116" s="62">
        <f ca="1"/>
        <v>1.7954210448741041</v>
      </c>
      <c r="AG116" s="62">
        <f ca="1"/>
        <v>-0.1305947031705702</v>
      </c>
      <c r="AH116" s="62">
        <f ca="1"/>
        <v>0.97847021162122594</v>
      </c>
      <c r="AI116" s="37"/>
      <c r="AJ116" s="61">
        <f t="shared" ca="1" si="13"/>
        <v>-1.2073797286624841</v>
      </c>
      <c r="AK116" s="61">
        <f t="shared" ca="1" si="15"/>
        <v>0.26355584415717087</v>
      </c>
      <c r="AL116" s="61">
        <f t="shared" ca="1" si="15"/>
        <v>-1.2388672011767983</v>
      </c>
      <c r="AM116" s="61">
        <f t="shared" ca="1" si="15"/>
        <v>-0.85899389179665442</v>
      </c>
      <c r="AN116" s="37"/>
      <c r="AO116" s="62">
        <f t="array" aca="1" ref="AO116:AR116" ca="1">TRANSPOSE($B$17:$B$20 + MMULT($D$17:$G$20,TRANSPOSE(AO115:AR115)) + MMULT($N$17:$Q$20,TRANSPOSE(AJ116:AM116)))</f>
        <v>0.54988434725595947</v>
      </c>
      <c r="AP116" s="62">
        <f ca="1"/>
        <v>1.0237688264705433</v>
      </c>
      <c r="AQ116" s="62">
        <f ca="1"/>
        <v>0.18571405320493739</v>
      </c>
      <c r="AR116" s="62">
        <f ca="1"/>
        <v>0.88096292785152275</v>
      </c>
    </row>
    <row r="117" spans="25:44" x14ac:dyDescent="0.15">
      <c r="Y117" s="8">
        <f t="shared" si="9"/>
        <v>114</v>
      </c>
      <c r="Z117" s="61">
        <f t="shared" ca="1" si="12"/>
        <v>1.0100713161999166</v>
      </c>
      <c r="AA117" s="61">
        <f t="shared" ca="1" si="14"/>
        <v>0.24571533327575695</v>
      </c>
      <c r="AB117" s="61">
        <f t="shared" ca="1" si="14"/>
        <v>-0.92647584291372476</v>
      </c>
      <c r="AC117" s="61">
        <f t="shared" ca="1" si="14"/>
        <v>2.070044599117538</v>
      </c>
      <c r="AD117" s="37"/>
      <c r="AE117" s="62">
        <f t="array" aca="1" ref="AE117:AH117" ca="1">TRANSPOSE($B$9:$B$12 + MMULT($D$9:$G$12,TRANSPOSE(AO117:AR117)) + MMULT($N$9:$Q$12, TRANSPOSE(Z117:AC117)))</f>
        <v>0.93701824754562324</v>
      </c>
      <c r="AF117" s="62">
        <f ca="1"/>
        <v>1.0203688891019058</v>
      </c>
      <c r="AG117" s="62">
        <f ca="1"/>
        <v>0.4437120337068361</v>
      </c>
      <c r="AH117" s="62">
        <f ca="1"/>
        <v>1.3974522891984522</v>
      </c>
      <c r="AI117" s="37"/>
      <c r="AJ117" s="61">
        <f t="shared" ca="1" si="13"/>
        <v>-0.27029133894759033</v>
      </c>
      <c r="AK117" s="61">
        <f t="shared" ca="1" si="15"/>
        <v>-0.46285497192973973</v>
      </c>
      <c r="AL117" s="61">
        <f t="shared" ca="1" si="15"/>
        <v>-0.53707304795998423</v>
      </c>
      <c r="AM117" s="61">
        <f t="shared" ca="1" si="15"/>
        <v>1.8170232124878227</v>
      </c>
      <c r="AN117" s="37"/>
      <c r="AO117" s="62">
        <f t="array" aca="1" ref="AO117:AR117" ca="1">TRANSPOSE($B$17:$B$20 + MMULT($D$17:$G$20,TRANSPOSE(AO116:AR116)) + MMULT($N$17:$Q$20,TRANSPOSE(AJ117:AM117)))</f>
        <v>0.47037102126037483</v>
      </c>
      <c r="AP117" s="62">
        <f ca="1"/>
        <v>0.44998669937302999</v>
      </c>
      <c r="AQ117" s="62">
        <f ca="1"/>
        <v>0.40724040833089686</v>
      </c>
      <c r="AR117" s="62">
        <f ca="1"/>
        <v>1.0993770668916309</v>
      </c>
    </row>
    <row r="118" spans="25:44" x14ac:dyDescent="0.15">
      <c r="Y118" s="8">
        <f t="shared" si="9"/>
        <v>115</v>
      </c>
      <c r="Z118" s="61">
        <f t="shared" ca="1" si="12"/>
        <v>0.25315851933593631</v>
      </c>
      <c r="AA118" s="61">
        <f t="shared" ca="1" si="14"/>
        <v>0.86734748071043499</v>
      </c>
      <c r="AB118" s="61">
        <f t="shared" ca="1" si="14"/>
        <v>4.6646145210860281E-2</v>
      </c>
      <c r="AC118" s="61">
        <f t="shared" ca="1" si="14"/>
        <v>-0.18169713478310731</v>
      </c>
      <c r="AD118" s="37"/>
      <c r="AE118" s="62">
        <f t="array" aca="1" ref="AE118:AH118" ca="1">TRANSPOSE($B$9:$B$12 + MMULT($D$9:$G$12,TRANSPOSE(AO118:AR118)) + MMULT($N$9:$Q$12, TRANSPOSE(Z118:AC118)))</f>
        <v>1.0670332955015955</v>
      </c>
      <c r="AF118" s="62">
        <f ca="1"/>
        <v>1.2553417832749116</v>
      </c>
      <c r="AG118" s="62">
        <f ca="1"/>
        <v>1.0213887904138854</v>
      </c>
      <c r="AH118" s="62">
        <f ca="1"/>
        <v>0.88922808533904263</v>
      </c>
      <c r="AI118" s="37"/>
      <c r="AJ118" s="61">
        <f t="shared" ca="1" si="13"/>
        <v>0.75280645207371755</v>
      </c>
      <c r="AK118" s="61">
        <f t="shared" ca="1" si="15"/>
        <v>0.13878788546073084</v>
      </c>
      <c r="AL118" s="61">
        <f t="shared" ca="1" si="15"/>
        <v>0.24764736376069385</v>
      </c>
      <c r="AM118" s="61">
        <f t="shared" ca="1" si="15"/>
        <v>1.2455962994886585</v>
      </c>
      <c r="AN118" s="37"/>
      <c r="AO118" s="62">
        <f t="array" aca="1" ref="AO118:AR118" ca="1">TRANSPOSE($B$17:$B$20 + MMULT($D$17:$G$20,TRANSPOSE(AO117:AR117)) + MMULT($N$17:$Q$20,TRANSPOSE(AJ118:AM118)))</f>
        <v>0.79607614974969299</v>
      </c>
      <c r="AP118" s="62">
        <f ca="1"/>
        <v>0.58761953565726932</v>
      </c>
      <c r="AQ118" s="62">
        <f ca="1"/>
        <v>0.73853015335775685</v>
      </c>
      <c r="AR118" s="62">
        <f ca="1"/>
        <v>1.0836502438427482</v>
      </c>
    </row>
    <row r="119" spans="25:44" x14ac:dyDescent="0.15">
      <c r="Y119" s="8">
        <f t="shared" si="9"/>
        <v>116</v>
      </c>
      <c r="Z119" s="61">
        <f t="shared" ca="1" si="12"/>
        <v>-0.36101408945166208</v>
      </c>
      <c r="AA119" s="61">
        <f t="shared" ca="1" si="14"/>
        <v>8.1951764191919138E-4</v>
      </c>
      <c r="AB119" s="61">
        <f t="shared" ca="1" si="14"/>
        <v>-0.221334559996818</v>
      </c>
      <c r="AC119" s="61">
        <f t="shared" ca="1" si="14"/>
        <v>-0.28204310972740476</v>
      </c>
      <c r="AD119" s="37"/>
      <c r="AE119" s="62">
        <f t="array" aca="1" ref="AE119:AH119" ca="1">TRANSPOSE($B$9:$B$12 + MMULT($D$9:$G$12,TRANSPOSE(AO119:AR119)) + MMULT($N$9:$Q$12, TRANSPOSE(Z119:AC119)))</f>
        <v>0.45297230897068341</v>
      </c>
      <c r="AF119" s="62">
        <f ca="1"/>
        <v>1.1844050195548281</v>
      </c>
      <c r="AG119" s="62">
        <f ca="1"/>
        <v>1.0356258780639751</v>
      </c>
      <c r="AH119" s="62">
        <f ca="1"/>
        <v>1.5410151069509439</v>
      </c>
      <c r="AI119" s="37"/>
      <c r="AJ119" s="61">
        <f t="shared" ca="1" si="13"/>
        <v>-0.90347879568736056</v>
      </c>
      <c r="AK119" s="61">
        <f t="shared" ca="1" si="15"/>
        <v>1.1255269017831053</v>
      </c>
      <c r="AL119" s="61">
        <f t="shared" ca="1" si="15"/>
        <v>1.1272456706364062</v>
      </c>
      <c r="AM119" s="61">
        <f t="shared" ca="1" si="15"/>
        <v>3.7040984266232058</v>
      </c>
      <c r="AN119" s="37"/>
      <c r="AO119" s="62">
        <f t="array" aca="1" ref="AO119:AR119" ca="1">TRANSPOSE($B$17:$B$20 + MMULT($D$17:$G$20,TRANSPOSE(AO118:AR118)) + MMULT($N$17:$Q$20,TRANSPOSE(AJ119:AM119)))</f>
        <v>0.38194668950162075</v>
      </c>
      <c r="AP119" s="62">
        <f ca="1"/>
        <v>1.1500199441056886</v>
      </c>
      <c r="AQ119" s="62">
        <f ca="1"/>
        <v>0.89360099953127303</v>
      </c>
      <c r="AR119" s="62">
        <f ca="1"/>
        <v>1.5559345966542151</v>
      </c>
    </row>
    <row r="120" spans="25:44" x14ac:dyDescent="0.15">
      <c r="Y120" s="8">
        <f t="shared" si="9"/>
        <v>117</v>
      </c>
      <c r="Z120" s="61">
        <f t="shared" ca="1" si="12"/>
        <v>-0.94967666923488114</v>
      </c>
      <c r="AA120" s="61">
        <f t="shared" ca="1" si="14"/>
        <v>-0.33108323480560098</v>
      </c>
      <c r="AB120" s="61">
        <f t="shared" ca="1" si="14"/>
        <v>0.56782436750354592</v>
      </c>
      <c r="AC120" s="61">
        <f t="shared" ca="1" si="14"/>
        <v>-0.51622031619881392</v>
      </c>
      <c r="AD120" s="37"/>
      <c r="AE120" s="62">
        <f t="array" aca="1" ref="AE120:AH120" ca="1">TRANSPOSE($B$9:$B$12 + MMULT($D$9:$G$12,TRANSPOSE(AO120:AR120)) + MMULT($N$9:$Q$12, TRANSPOSE(Z120:AC120)))</f>
        <v>0.46158553224961685</v>
      </c>
      <c r="AF120" s="62">
        <f ca="1"/>
        <v>1.4034543957352779</v>
      </c>
      <c r="AG120" s="62">
        <f ca="1"/>
        <v>0.79795951125050379</v>
      </c>
      <c r="AH120" s="62">
        <f ca="1"/>
        <v>0.48743809471306965</v>
      </c>
      <c r="AI120" s="37"/>
      <c r="AJ120" s="61">
        <f t="shared" ca="1" si="13"/>
        <v>0.64008100337119711</v>
      </c>
      <c r="AK120" s="61">
        <f t="shared" ca="1" si="15"/>
        <v>1.7616607695568602</v>
      </c>
      <c r="AL120" s="61">
        <f t="shared" ca="1" si="15"/>
        <v>-1.0432038832941468</v>
      </c>
      <c r="AM120" s="61">
        <f t="shared" ca="1" si="15"/>
        <v>-0.36784541166476237</v>
      </c>
      <c r="AN120" s="37"/>
      <c r="AO120" s="62">
        <f t="array" aca="1" ref="AO120:AR120" ca="1">TRANSPOSE($B$17:$B$20 + MMULT($D$17:$G$20,TRANSPOSE(AO119:AR119)) + MMULT($N$17:$Q$20,TRANSPOSE(AJ120:AM120)))</f>
        <v>0.87943408475460205</v>
      </c>
      <c r="AP120" s="62">
        <f ca="1"/>
        <v>1.5256172050861707</v>
      </c>
      <c r="AQ120" s="62">
        <f ca="1"/>
        <v>0.34140286038469747</v>
      </c>
      <c r="AR120" s="62">
        <f ca="1"/>
        <v>0.62215815296933363</v>
      </c>
    </row>
    <row r="121" spans="25:44" x14ac:dyDescent="0.15">
      <c r="Y121" s="8">
        <f t="shared" si="9"/>
        <v>118</v>
      </c>
      <c r="Z121" s="61">
        <f t="shared" ca="1" si="12"/>
        <v>0.98798476260734791</v>
      </c>
      <c r="AA121" s="61">
        <f t="shared" ca="1" si="14"/>
        <v>-1.5000643430798126</v>
      </c>
      <c r="AB121" s="61">
        <f t="shared" ca="1" si="14"/>
        <v>-1.64350298549645</v>
      </c>
      <c r="AC121" s="61">
        <f t="shared" ca="1" si="14"/>
        <v>-0.90644851269874371</v>
      </c>
      <c r="AD121" s="37"/>
      <c r="AE121" s="62">
        <f t="array" aca="1" ref="AE121:AH121" ca="1">TRANSPOSE($B$9:$B$12 + MMULT($D$9:$G$12,TRANSPOSE(AO121:AR121)) + MMULT($N$9:$Q$12, TRANSPOSE(Z121:AC121)))</f>
        <v>1.7587600276709261</v>
      </c>
      <c r="AF121" s="62">
        <f ca="1"/>
        <v>0.6627501112190568</v>
      </c>
      <c r="AG121" s="62">
        <f ca="1"/>
        <v>-0.45217222985303079</v>
      </c>
      <c r="AH121" s="62">
        <f ca="1"/>
        <v>0.75217111952598281</v>
      </c>
      <c r="AI121" s="37"/>
      <c r="AJ121" s="61">
        <f t="shared" ca="1" si="13"/>
        <v>0.91811193909025024</v>
      </c>
      <c r="AK121" s="61">
        <f t="shared" ca="1" si="15"/>
        <v>5.3390798431163632E-3</v>
      </c>
      <c r="AL121" s="61">
        <f t="shared" ca="1" si="15"/>
        <v>-0.50310861807837792</v>
      </c>
      <c r="AM121" s="61">
        <f t="shared" ca="1" si="15"/>
        <v>-1.7273574988562856</v>
      </c>
      <c r="AN121" s="37"/>
      <c r="AO121" s="62">
        <f t="array" aca="1" ref="AO121:AR121" ca="1">TRANSPOSE($B$17:$B$20 + MMULT($D$17:$G$20,TRANSPOSE(AO120:AR120)) + MMULT($N$17:$Q$20,TRANSPOSE(AJ121:AM121)))</f>
        <v>1.0030198195729381</v>
      </c>
      <c r="AP121" s="62">
        <f ca="1"/>
        <v>0.87680218477099825</v>
      </c>
      <c r="AQ121" s="62">
        <f ca="1"/>
        <v>0.82299498762010703</v>
      </c>
      <c r="AR121" s="62">
        <f ca="1"/>
        <v>0.36814047945192985</v>
      </c>
    </row>
    <row r="122" spans="25:44" x14ac:dyDescent="0.15">
      <c r="Y122" s="8">
        <f t="shared" si="9"/>
        <v>119</v>
      </c>
      <c r="Z122" s="61">
        <f t="shared" ca="1" si="12"/>
        <v>1.240989419778431</v>
      </c>
      <c r="AA122" s="61">
        <f t="shared" ca="1" si="14"/>
        <v>-0.24280057366447957</v>
      </c>
      <c r="AB122" s="61">
        <f t="shared" ca="1" si="14"/>
        <v>0.77841299995013769</v>
      </c>
      <c r="AC122" s="61">
        <f t="shared" ca="1" si="14"/>
        <v>0.94977755685286835</v>
      </c>
      <c r="AD122" s="37"/>
      <c r="AE122" s="62">
        <f t="array" aca="1" ref="AE122:AH122" ca="1">TRANSPOSE($B$9:$B$12 + MMULT($D$9:$G$12,TRANSPOSE(AO122:AR122)) + MMULT($N$9:$Q$12, TRANSPOSE(Z122:AC122)))</f>
        <v>1.6237754728586498</v>
      </c>
      <c r="AF122" s="62">
        <f ca="1"/>
        <v>1.4610678096578034</v>
      </c>
      <c r="AG122" s="62">
        <f ca="1"/>
        <v>0.52048402674909444</v>
      </c>
      <c r="AH122" s="62">
        <f ca="1"/>
        <v>0.94028415561984058</v>
      </c>
      <c r="AI122" s="37"/>
      <c r="AJ122" s="61">
        <f t="shared" ca="1" si="13"/>
        <v>0.58249137657976446</v>
      </c>
      <c r="AK122" s="61">
        <f t="shared" ca="1" si="15"/>
        <v>0.88351109954641294</v>
      </c>
      <c r="AL122" s="61">
        <f t="shared" ca="1" si="15"/>
        <v>-0.42166048357994035</v>
      </c>
      <c r="AM122" s="61">
        <f t="shared" ca="1" si="15"/>
        <v>-0.38288460453836487</v>
      </c>
      <c r="AN122" s="37"/>
      <c r="AO122" s="62">
        <f t="array" aca="1" ref="AO122:AR122" ca="1">TRANSPOSE($B$17:$B$20 + MMULT($D$17:$G$20,TRANSPOSE(AO121:AR121)) + MMULT($N$17:$Q$20,TRANSPOSE(AJ122:AM122)))</f>
        <v>0.93479091788615709</v>
      </c>
      <c r="AP122" s="62">
        <f ca="1"/>
        <v>1.1116935664927043</v>
      </c>
      <c r="AQ122" s="62">
        <f ca="1"/>
        <v>0.60396375739276653</v>
      </c>
      <c r="AR122" s="62">
        <f ca="1"/>
        <v>0.50284165631444133</v>
      </c>
    </row>
    <row r="123" spans="25:44" x14ac:dyDescent="0.15">
      <c r="Y123" s="8">
        <f t="shared" si="9"/>
        <v>120</v>
      </c>
      <c r="Z123" s="61">
        <f t="shared" ca="1" si="12"/>
        <v>0.60464063695286097</v>
      </c>
      <c r="AA123" s="61">
        <f t="shared" ca="1" si="14"/>
        <v>-0.984633080018679</v>
      </c>
      <c r="AB123" s="61">
        <f t="shared" ca="1" si="14"/>
        <v>1.0303716391998667</v>
      </c>
      <c r="AC123" s="61">
        <f t="shared" ca="1" si="14"/>
        <v>9.6100379503290395E-2</v>
      </c>
      <c r="AD123" s="37"/>
      <c r="AE123" s="62">
        <f t="array" aca="1" ref="AE123:AH123" ca="1">TRANSPOSE($B$9:$B$12 + MMULT($D$9:$G$12,TRANSPOSE(AO123:AR123)) + MMULT($N$9:$Q$12, TRANSPOSE(Z123:AC123)))</f>
        <v>1.062567731096034</v>
      </c>
      <c r="AF123" s="62">
        <f ca="1"/>
        <v>0.75715311365831972</v>
      </c>
      <c r="AG123" s="62">
        <f ca="1"/>
        <v>1.0919371194682008</v>
      </c>
      <c r="AH123" s="62">
        <f ca="1"/>
        <v>1.1767603267271161</v>
      </c>
      <c r="AI123" s="37"/>
      <c r="AJ123" s="61">
        <f t="shared" ca="1" si="13"/>
        <v>-0.51488048023741273</v>
      </c>
      <c r="AK123" s="61">
        <f t="shared" ca="1" si="15"/>
        <v>0.2874712587730488</v>
      </c>
      <c r="AL123" s="61">
        <f t="shared" ca="1" si="15"/>
        <v>0.24242396857546045</v>
      </c>
      <c r="AM123" s="61">
        <f t="shared" ca="1" si="15"/>
        <v>1.4949178983629028</v>
      </c>
      <c r="AN123" s="37"/>
      <c r="AO123" s="62">
        <f t="array" aca="1" ref="AO123:AR123" ca="1">TRANSPOSE($B$17:$B$20 + MMULT($D$17:$G$20,TRANSPOSE(AO122:AR122)) + MMULT($N$17:$Q$20,TRANSPOSE(AJ123:AM123)))</f>
        <v>0.53859366274086828</v>
      </c>
      <c r="AP123" s="62">
        <f ca="1"/>
        <v>0.88969238096740433</v>
      </c>
      <c r="AQ123" s="62">
        <f ca="1"/>
        <v>0.78965994390583971</v>
      </c>
      <c r="AR123" s="62">
        <f ca="1"/>
        <v>1.0172158573810388</v>
      </c>
    </row>
    <row r="124" spans="25:44" x14ac:dyDescent="0.15">
      <c r="Y124" s="8">
        <f t="shared" si="9"/>
        <v>121</v>
      </c>
      <c r="Z124" s="61">
        <f t="shared" ca="1" si="12"/>
        <v>-0.88644554700036193</v>
      </c>
      <c r="AA124" s="61">
        <f t="shared" ca="1" si="14"/>
        <v>0.53178528864888563</v>
      </c>
      <c r="AB124" s="61">
        <f t="shared" ca="1" si="14"/>
        <v>-1.2735567971965098</v>
      </c>
      <c r="AC124" s="61">
        <f t="shared" ca="1" si="14"/>
        <v>-0.56634087424347979</v>
      </c>
      <c r="AD124" s="37"/>
      <c r="AE124" s="62">
        <f t="array" aca="1" ref="AE124:AH124" ca="1">TRANSPOSE($B$9:$B$12 + MMULT($D$9:$G$12,TRANSPOSE(AO124:AR124)) + MMULT($N$9:$Q$12, TRANSPOSE(Z124:AC124)))</f>
        <v>0.81534976712062202</v>
      </c>
      <c r="AF124" s="62">
        <f ca="1"/>
        <v>1.419308119241308</v>
      </c>
      <c r="AG124" s="62">
        <f ca="1"/>
        <v>0.22057163403663044</v>
      </c>
      <c r="AH124" s="62">
        <f ca="1"/>
        <v>1.2259774644053141</v>
      </c>
      <c r="AI124" s="37"/>
      <c r="AJ124" s="61">
        <f t="shared" ca="1" si="13"/>
        <v>0.42371321832085002</v>
      </c>
      <c r="AK124" s="61">
        <f t="shared" ca="1" si="15"/>
        <v>1.5640970760277724</v>
      </c>
      <c r="AL124" s="61">
        <f t="shared" ca="1" si="15"/>
        <v>0.9336132199960272</v>
      </c>
      <c r="AM124" s="61">
        <f t="shared" ca="1" si="15"/>
        <v>0.68753340176878119</v>
      </c>
      <c r="AN124" s="37"/>
      <c r="AO124" s="62">
        <f t="array" aca="1" ref="AO124:AR124" ca="1">TRANSPOSE($B$17:$B$20 + MMULT($D$17:$G$20,TRANSPOSE(AO123:AR123)) + MMULT($N$17:$Q$20,TRANSPOSE(AJ124:AM124)))</f>
        <v>0.78739313354507035</v>
      </c>
      <c r="AP124" s="62">
        <f ca="1"/>
        <v>1.3371934866324833</v>
      </c>
      <c r="AQ124" s="62">
        <f ca="1"/>
        <v>1.0694993213278343</v>
      </c>
      <c r="AR124" s="62">
        <f ca="1"/>
        <v>0.90138650752829341</v>
      </c>
    </row>
    <row r="125" spans="25:44" x14ac:dyDescent="0.15">
      <c r="Y125" s="8">
        <f t="shared" si="9"/>
        <v>122</v>
      </c>
      <c r="Z125" s="61">
        <f t="shared" ca="1" si="12"/>
        <v>1.1241420143102574</v>
      </c>
      <c r="AA125" s="61">
        <f t="shared" ca="1" si="14"/>
        <v>0.61193074737872311</v>
      </c>
      <c r="AB125" s="61">
        <f t="shared" ca="1" si="14"/>
        <v>0.75268793765796937</v>
      </c>
      <c r="AC125" s="61">
        <f t="shared" ca="1" si="14"/>
        <v>4.4913335024027369E-2</v>
      </c>
      <c r="AD125" s="37"/>
      <c r="AE125" s="62">
        <f t="array" aca="1" ref="AE125:AH125" ca="1">TRANSPOSE($B$9:$B$12 + MMULT($D$9:$G$12,TRANSPOSE(AO125:AR125)) + MMULT($N$9:$Q$12, TRANSPOSE(Z125:AC125)))</f>
        <v>1.2443109645317803</v>
      </c>
      <c r="AF125" s="62">
        <f ca="1"/>
        <v>1.1818617878596656</v>
      </c>
      <c r="AG125" s="62">
        <f ca="1"/>
        <v>1.502987692150725</v>
      </c>
      <c r="AH125" s="62">
        <f ca="1"/>
        <v>0.8997712097237186</v>
      </c>
      <c r="AI125" s="37"/>
      <c r="AJ125" s="61">
        <f t="shared" ca="1" si="13"/>
        <v>-1.3749864340425298E-2</v>
      </c>
      <c r="AK125" s="61">
        <f t="shared" ca="1" si="15"/>
        <v>-1.3481307213361131</v>
      </c>
      <c r="AL125" s="61">
        <f t="shared" ca="1" si="15"/>
        <v>-1.3094340348129403</v>
      </c>
      <c r="AM125" s="61">
        <f t="shared" ca="1" si="15"/>
        <v>1.0085267233427528</v>
      </c>
      <c r="AN125" s="37"/>
      <c r="AO125" s="62">
        <f t="array" aca="1" ref="AO125:AR125" ca="1">TRANSPOSE($B$17:$B$20 + MMULT($D$17:$G$20,TRANSPOSE(AO124:AR124)) + MMULT($N$17:$Q$20,TRANSPOSE(AJ125:AM125)))</f>
        <v>0.77315891652495905</v>
      </c>
      <c r="AP125" s="62">
        <f ca="1"/>
        <v>0.30855766804648721</v>
      </c>
      <c r="AQ125" s="62">
        <f ca="1"/>
        <v>0.58759830574768634</v>
      </c>
      <c r="AR125" s="62">
        <f ca="1"/>
        <v>1.3749411881936977</v>
      </c>
    </row>
    <row r="126" spans="25:44" x14ac:dyDescent="0.15">
      <c r="Y126" s="8">
        <f t="shared" si="9"/>
        <v>123</v>
      </c>
      <c r="Z126" s="61">
        <f t="shared" ca="1" si="12"/>
        <v>0.61172536123446564</v>
      </c>
      <c r="AA126" s="61">
        <f t="shared" ca="1" si="14"/>
        <v>0.18675103240733726</v>
      </c>
      <c r="AB126" s="61">
        <f t="shared" ca="1" si="14"/>
        <v>-0.88771950718028436</v>
      </c>
      <c r="AC126" s="61">
        <f t="shared" ca="1" si="14"/>
        <v>-1.2313915030096727</v>
      </c>
      <c r="AD126" s="37"/>
      <c r="AE126" s="62">
        <f t="array" aca="1" ref="AE126:AH126" ca="1">TRANSPOSE($B$9:$B$12 + MMULT($D$9:$G$12,TRANSPOSE(AO126:AR126)) + MMULT($N$9:$Q$12, TRANSPOSE(Z126:AC126)))</f>
        <v>0.8937645503513636</v>
      </c>
      <c r="AF126" s="62">
        <f ca="1"/>
        <v>1.3704790238586364</v>
      </c>
      <c r="AG126" s="62">
        <f ca="1"/>
        <v>0.48652237862101239</v>
      </c>
      <c r="AH126" s="62">
        <f ca="1"/>
        <v>0.74280962994893407</v>
      </c>
      <c r="AI126" s="37"/>
      <c r="AJ126" s="61">
        <f t="shared" ca="1" si="13"/>
        <v>5.0194234814234621E-2</v>
      </c>
      <c r="AK126" s="61">
        <f t="shared" ca="1" si="15"/>
        <v>0.58234715459180753</v>
      </c>
      <c r="AL126" s="61">
        <f t="shared" ca="1" si="15"/>
        <v>-0.18712257234334786</v>
      </c>
      <c r="AM126" s="61">
        <f t="shared" ca="1" si="15"/>
        <v>1.8405242332392358</v>
      </c>
      <c r="AN126" s="37"/>
      <c r="AO126" s="62">
        <f t="array" aca="1" ref="AO126:AR126" ca="1">TRANSPOSE($B$17:$B$20 + MMULT($D$17:$G$20,TRANSPOSE(AO125:AR125)) + MMULT($N$17:$Q$20,TRANSPOSE(AJ126:AM126)))</f>
        <v>0.66860766658777604</v>
      </c>
      <c r="AP126" s="62">
        <f ca="1"/>
        <v>0.88459678429940691</v>
      </c>
      <c r="AQ126" s="62">
        <f ca="1"/>
        <v>0.43172980505179137</v>
      </c>
      <c r="AR126" s="62">
        <f ca="1"/>
        <v>1.1485397178674153</v>
      </c>
    </row>
    <row r="127" spans="25:44" x14ac:dyDescent="0.15">
      <c r="Y127" s="8">
        <f t="shared" si="9"/>
        <v>124</v>
      </c>
      <c r="Z127" s="61">
        <f t="shared" ca="1" si="12"/>
        <v>0.40909525434684141</v>
      </c>
      <c r="AA127" s="61">
        <f t="shared" ca="1" si="14"/>
        <v>2.6266577534007598</v>
      </c>
      <c r="AB127" s="61">
        <f t="shared" ca="1" si="14"/>
        <v>-0.31693640562208242</v>
      </c>
      <c r="AC127" s="61">
        <f t="shared" ca="1" si="14"/>
        <v>-1.4055850479069338</v>
      </c>
      <c r="AD127" s="37"/>
      <c r="AE127" s="62">
        <f t="array" aca="1" ref="AE127:AH127" ca="1">TRANSPOSE($B$9:$B$12 + MMULT($D$9:$G$12,TRANSPOSE(AO127:AR127)) + MMULT($N$9:$Q$12, TRANSPOSE(Z127:AC127)))</f>
        <v>1.224400492550358</v>
      </c>
      <c r="AF127" s="62">
        <f ca="1"/>
        <v>2.1862787136944073</v>
      </c>
      <c r="AG127" s="62">
        <f ca="1"/>
        <v>0.7309794012259242</v>
      </c>
      <c r="AH127" s="62">
        <f ca="1"/>
        <v>0.71159574864597419</v>
      </c>
      <c r="AI127" s="37"/>
      <c r="AJ127" s="61">
        <f t="shared" ca="1" si="13"/>
        <v>0.67376312582714903</v>
      </c>
      <c r="AK127" s="61">
        <f t="shared" ca="1" si="15"/>
        <v>0.30652295570267168</v>
      </c>
      <c r="AL127" s="61">
        <f t="shared" ca="1" si="15"/>
        <v>9.7348525036406744E-2</v>
      </c>
      <c r="AM127" s="61">
        <f t="shared" ca="1" si="15"/>
        <v>0.96225541757180444</v>
      </c>
      <c r="AN127" s="37"/>
      <c r="AO127" s="62">
        <f t="array" aca="1" ref="AO127:AR127" ca="1">TRANSPOSE($B$17:$B$20 + MMULT($D$17:$G$20,TRANSPOSE(AO126:AR126)) + MMULT($N$17:$Q$20,TRANSPOSE(AJ127:AM127)))</f>
        <v>0.85849333848464859</v>
      </c>
      <c r="AP127" s="62">
        <f ca="1"/>
        <v>0.84665330090154289</v>
      </c>
      <c r="AQ127" s="62">
        <f ca="1"/>
        <v>0.82390721401425759</v>
      </c>
      <c r="AR127" s="62">
        <f ca="1"/>
        <v>1.0551067617246854</v>
      </c>
    </row>
    <row r="128" spans="25:44" x14ac:dyDescent="0.15">
      <c r="Y128" s="8">
        <f t="shared" si="9"/>
        <v>125</v>
      </c>
      <c r="Z128" s="61">
        <f t="shared" ca="1" si="12"/>
        <v>-0.57587285128525401</v>
      </c>
      <c r="AA128" s="61">
        <f t="shared" ca="1" si="14"/>
        <v>0.66472919931983654</v>
      </c>
      <c r="AB128" s="61">
        <f t="shared" ca="1" si="14"/>
        <v>-0.82395736380263085</v>
      </c>
      <c r="AC128" s="61">
        <f t="shared" ca="1" si="14"/>
        <v>0.48554461619350692</v>
      </c>
      <c r="AD128" s="37"/>
      <c r="AE128" s="62">
        <f t="array" aca="1" ref="AE128:AH128" ca="1">TRANSPOSE($B$9:$B$12 + MMULT($D$9:$G$12,TRANSPOSE(AO128:AR128)) + MMULT($N$9:$Q$12, TRANSPOSE(Z128:AC128)))</f>
        <v>0.80422109012689602</v>
      </c>
      <c r="AF128" s="62">
        <f ca="1"/>
        <v>1.2166993030339419</v>
      </c>
      <c r="AG128" s="62">
        <f ca="1"/>
        <v>0.92317151307765355</v>
      </c>
      <c r="AH128" s="62">
        <f ca="1"/>
        <v>0.82810102613798353</v>
      </c>
      <c r="AI128" s="37"/>
      <c r="AJ128" s="61">
        <f t="shared" ca="1" si="13"/>
        <v>0.99151492324206314</v>
      </c>
      <c r="AK128" s="61">
        <f t="shared" ca="1" si="15"/>
        <v>-0.30156825244234264</v>
      </c>
      <c r="AL128" s="61">
        <f t="shared" ca="1" si="15"/>
        <v>-1.0159608810947462</v>
      </c>
      <c r="AM128" s="61">
        <f t="shared" ca="1" si="15"/>
        <v>0.58382868289811818</v>
      </c>
      <c r="AN128" s="37"/>
      <c r="AO128" s="62">
        <f t="array" aca="1" ref="AO128:AR128" ca="1">TRANSPOSE($B$17:$B$20 + MMULT($D$17:$G$20,TRANSPOSE(AO127:AR127)) + MMULT($N$17:$Q$20,TRANSPOSE(AJ128:AM128)))</f>
        <v>1.0658836373647176</v>
      </c>
      <c r="AP128" s="62">
        <f ca="1"/>
        <v>0.662736865246212</v>
      </c>
      <c r="AQ128" s="62">
        <f ca="1"/>
        <v>0.57038396404501113</v>
      </c>
      <c r="AR128" s="62">
        <f ca="1"/>
        <v>1.0992096224325389</v>
      </c>
    </row>
    <row r="129" spans="25:44" x14ac:dyDescent="0.15">
      <c r="Y129" s="8">
        <f t="shared" si="9"/>
        <v>126</v>
      </c>
      <c r="Z129" s="61">
        <f t="shared" ca="1" si="12"/>
        <v>0.65573259817400942</v>
      </c>
      <c r="AA129" s="61">
        <f t="shared" ca="1" si="14"/>
        <v>-0.696319611243438</v>
      </c>
      <c r="AB129" s="61">
        <f t="shared" ca="1" si="14"/>
        <v>-0.2258053592105792</v>
      </c>
      <c r="AC129" s="61">
        <f t="shared" ca="1" si="14"/>
        <v>0.55805286403233823</v>
      </c>
      <c r="AD129" s="37"/>
      <c r="AE129" s="62">
        <f t="array" aca="1" ref="AE129:AH129" ca="1">TRANSPOSE($B$9:$B$12 + MMULT($D$9:$G$12,TRANSPOSE(AO129:AR129)) + MMULT($N$9:$Q$12, TRANSPOSE(Z129:AC129)))</f>
        <v>0.93584553563149608</v>
      </c>
      <c r="AF129" s="62">
        <f ca="1"/>
        <v>0.32776528000179528</v>
      </c>
      <c r="AG129" s="62">
        <f ca="1"/>
        <v>0.56903852904609731</v>
      </c>
      <c r="AH129" s="62">
        <f ca="1"/>
        <v>0.70544624823690705</v>
      </c>
      <c r="AI129" s="37"/>
      <c r="AJ129" s="61">
        <f t="shared" ca="1" si="13"/>
        <v>-0.61618839969915351</v>
      </c>
      <c r="AK129" s="61">
        <f t="shared" ca="1" si="15"/>
        <v>-1.3505993906891398</v>
      </c>
      <c r="AL129" s="61">
        <f t="shared" ca="1" si="15"/>
        <v>-0.90172481401846938</v>
      </c>
      <c r="AM129" s="61">
        <f t="shared" ca="1" si="15"/>
        <v>-1.0199806713899759</v>
      </c>
      <c r="AN129" s="37"/>
      <c r="AO129" s="62">
        <f t="array" aca="1" ref="AO129:AR129" ca="1">TRANSPOSE($B$17:$B$20 + MMULT($D$17:$G$20,TRANSPOSE(AO128:AR128)) + MMULT($N$17:$Q$20,TRANSPOSE(AJ129:AM129)))</f>
        <v>0.53037533978868956</v>
      </c>
      <c r="AP129" s="62">
        <f ca="1"/>
        <v>0.21108932365659427</v>
      </c>
      <c r="AQ129" s="62">
        <f ca="1"/>
        <v>0.35719324927570489</v>
      </c>
      <c r="AR129" s="62">
        <f ca="1"/>
        <v>0.67546045972298807</v>
      </c>
    </row>
    <row r="130" spans="25:44" x14ac:dyDescent="0.15">
      <c r="Y130" s="8">
        <f t="shared" si="9"/>
        <v>127</v>
      </c>
      <c r="Z130" s="61">
        <f t="shared" ca="1" si="12"/>
        <v>0.692220523213114</v>
      </c>
      <c r="AA130" s="61">
        <f t="shared" ca="1" si="14"/>
        <v>-0.89108097990549129</v>
      </c>
      <c r="AB130" s="61">
        <f t="shared" ca="1" si="14"/>
        <v>6.5171606325907697E-2</v>
      </c>
      <c r="AC130" s="61">
        <f t="shared" ca="1" si="14"/>
        <v>-0.64548290131143027</v>
      </c>
      <c r="AD130" s="37"/>
      <c r="AE130" s="62">
        <f t="array" aca="1" ref="AE130:AH130" ca="1">TRANSPOSE($B$9:$B$12 + MMULT($D$9:$G$12,TRANSPOSE(AO130:AR130)) + MMULT($N$9:$Q$12, TRANSPOSE(Z130:AC130)))</f>
        <v>1.1955637237952288</v>
      </c>
      <c r="AF130" s="62">
        <f ca="1"/>
        <v>0.651128489122344</v>
      </c>
      <c r="AG130" s="62">
        <f ca="1"/>
        <v>0.15154596730062422</v>
      </c>
      <c r="AH130" s="62">
        <f ca="1"/>
        <v>0.7239273490056557</v>
      </c>
      <c r="AI130" s="37"/>
      <c r="AJ130" s="61">
        <f t="shared" ca="1" si="13"/>
        <v>3.8789731915852897E-3</v>
      </c>
      <c r="AK130" s="61">
        <f t="shared" ca="1" si="15"/>
        <v>0.99146092744418424</v>
      </c>
      <c r="AL130" s="61">
        <f t="shared" ca="1" si="15"/>
        <v>0.88499837505183654</v>
      </c>
      <c r="AM130" s="61">
        <f t="shared" ca="1" si="15"/>
        <v>-0.42274282044779454</v>
      </c>
      <c r="AN130" s="37"/>
      <c r="AO130" s="62">
        <f t="array" aca="1" ref="AO130:AR130" ca="1">TRANSPOSE($B$17:$B$20 + MMULT($D$17:$G$20,TRANSPOSE(AO129:AR129)) + MMULT($N$17:$Q$20,TRANSPOSE(AJ130:AM130)))</f>
        <v>0.51462607461416432</v>
      </c>
      <c r="AP130" s="62">
        <f ca="1"/>
        <v>0.82902495594431835</v>
      </c>
      <c r="AQ130" s="62">
        <f ca="1"/>
        <v>0.67110094866545889</v>
      </c>
      <c r="AR130" s="62">
        <f ca="1"/>
        <v>0.36203791407668828</v>
      </c>
    </row>
    <row r="131" spans="25:44" x14ac:dyDescent="0.15">
      <c r="Y131" s="8">
        <f t="shared" si="9"/>
        <v>128</v>
      </c>
      <c r="Z131" s="61">
        <f t="shared" ca="1" si="12"/>
        <v>-1.6672751075899719</v>
      </c>
      <c r="AA131" s="61">
        <f t="shared" ca="1" si="14"/>
        <v>1.1291278836033305</v>
      </c>
      <c r="AB131" s="61">
        <f t="shared" ca="1" si="14"/>
        <v>-0.14326217163437505</v>
      </c>
      <c r="AC131" s="61">
        <f t="shared" ca="1" si="14"/>
        <v>-0.24182878395589003</v>
      </c>
      <c r="AD131" s="37"/>
      <c r="AE131" s="62">
        <f t="array" aca="1" ref="AE131:AH131" ca="1">TRANSPOSE($B$9:$B$12 + MMULT($D$9:$G$12,TRANSPOSE(AO131:AR131)) + MMULT($N$9:$Q$12, TRANSPOSE(Z131:AC131)))</f>
        <v>0.1387390725458838</v>
      </c>
      <c r="AF131" s="62">
        <f ca="1"/>
        <v>-8.7667776757351046E-2</v>
      </c>
      <c r="AG131" s="62">
        <f ca="1"/>
        <v>1.2939109002498492</v>
      </c>
      <c r="AH131" s="62">
        <f ca="1"/>
        <v>0.99022480482486996</v>
      </c>
      <c r="AI131" s="37"/>
      <c r="AJ131" s="61">
        <f t="shared" ca="1" si="13"/>
        <v>-1.1816831377039656</v>
      </c>
      <c r="AK131" s="61">
        <f t="shared" ca="1" si="15"/>
        <v>-1.8035973090114346</v>
      </c>
      <c r="AL131" s="61">
        <f t="shared" ca="1" si="15"/>
        <v>1.0194016744971093</v>
      </c>
      <c r="AM131" s="61">
        <f t="shared" ca="1" si="15"/>
        <v>6.872590566590174E-2</v>
      </c>
      <c r="AN131" s="37"/>
      <c r="AO131" s="62">
        <f t="array" aca="1" ref="AO131:AR131" ca="1">TRANSPOSE($B$17:$B$20 + MMULT($D$17:$G$20,TRANSPOSE(AO130:AR130)) + MMULT($N$17:$Q$20,TRANSPOSE(AJ131:AM131)))</f>
        <v>0.18722844744004008</v>
      </c>
      <c r="AP131" s="62">
        <f ca="1"/>
        <v>-0.23081909641182552</v>
      </c>
      <c r="AQ131" s="62">
        <f ca="1"/>
        <v>1.1050681986162552</v>
      </c>
      <c r="AR131" s="62">
        <f ca="1"/>
        <v>1.015313909386715</v>
      </c>
    </row>
    <row r="132" spans="25:44" x14ac:dyDescent="0.15">
      <c r="Y132" s="8">
        <f t="shared" si="9"/>
        <v>129</v>
      </c>
      <c r="Z132" s="61">
        <f t="shared" ref="Z132:AC195" ca="1" si="16">NORMSINV(RAND())</f>
        <v>0.67509700623637903</v>
      </c>
      <c r="AA132" s="61">
        <f t="shared" ca="1" si="16"/>
        <v>-1.4355264663117338</v>
      </c>
      <c r="AB132" s="61">
        <f t="shared" ca="1" si="16"/>
        <v>-0.10823776879874616</v>
      </c>
      <c r="AC132" s="61">
        <f t="shared" ca="1" si="16"/>
        <v>-0.79231134143341153</v>
      </c>
      <c r="AD132" s="37"/>
      <c r="AE132" s="62">
        <f t="array" aca="1" ref="AE132:AH132" ca="1">TRANSPOSE($B$9:$B$12 + MMULT($D$9:$G$12,TRANSPOSE(AO132:AR132)) + MMULT($N$9:$Q$12, TRANSPOSE(Z132:AC132)))</f>
        <v>1.247905399576541</v>
      </c>
      <c r="AF132" s="62">
        <f ca="1"/>
        <v>0.41335974046591051</v>
      </c>
      <c r="AG132" s="62">
        <f ca="1"/>
        <v>0.91525704493439308</v>
      </c>
      <c r="AH132" s="62">
        <f ca="1"/>
        <v>1.1217276127849656</v>
      </c>
      <c r="AI132" s="37"/>
      <c r="AJ132" s="61">
        <f t="shared" ref="AJ132:AM195" ca="1" si="17">NORMSINV(RAND())</f>
        <v>0.50798011278194866</v>
      </c>
      <c r="AK132" s="61">
        <f t="shared" ca="1" si="17"/>
        <v>0.7600345729007425</v>
      </c>
      <c r="AL132" s="61">
        <f t="shared" ca="1" si="17"/>
        <v>1.1487490439419985</v>
      </c>
      <c r="AM132" s="61">
        <f t="shared" ca="1" si="17"/>
        <v>1.5184326187077677</v>
      </c>
      <c r="AN132" s="37"/>
      <c r="AO132" s="62">
        <f t="array" aca="1" ref="AO132:AR132" ca="1">TRANSPOSE($B$17:$B$20 + MMULT($D$17:$G$20,TRANSPOSE(AO131:AR131)) + MMULT($N$17:$Q$20,TRANSPOSE(AJ132:AM132)))</f>
        <v>0.6900809813170854</v>
      </c>
      <c r="AP132" s="62">
        <f ca="1"/>
        <v>0.61078871512797339</v>
      </c>
      <c r="AQ132" s="62">
        <f ca="1"/>
        <v>0.92607014062570481</v>
      </c>
      <c r="AR132" s="62">
        <f ca="1"/>
        <v>1.2054077201997515</v>
      </c>
    </row>
    <row r="133" spans="25:44" x14ac:dyDescent="0.15">
      <c r="Y133" s="8">
        <f t="shared" ref="Y133:Y196" si="18">Y132+1</f>
        <v>130</v>
      </c>
      <c r="Z133" s="61">
        <f t="shared" ca="1" si="16"/>
        <v>1.3627366294055423</v>
      </c>
      <c r="AA133" s="61">
        <f t="shared" ca="1" si="16"/>
        <v>-9.624179569698672E-3</v>
      </c>
      <c r="AB133" s="61">
        <f t="shared" ca="1" si="16"/>
        <v>0.97302484014056301</v>
      </c>
      <c r="AC133" s="61">
        <f t="shared" ca="1" si="16"/>
        <v>-0.23629024314148275</v>
      </c>
      <c r="AD133" s="37"/>
      <c r="AE133" s="62">
        <f t="array" aca="1" ref="AE133:AH133" ca="1">TRANSPOSE($B$9:$B$12 + MMULT($D$9:$G$12,TRANSPOSE(AO133:AR133)) + MMULT($N$9:$Q$12, TRANSPOSE(Z133:AC133)))</f>
        <v>2.0619622072001591</v>
      </c>
      <c r="AF133" s="62">
        <f ca="1"/>
        <v>1.4546677215750117</v>
      </c>
      <c r="AG133" s="62">
        <f ca="1"/>
        <v>1.6664062265916411</v>
      </c>
      <c r="AH133" s="62">
        <f ca="1"/>
        <v>1.4419826811681209</v>
      </c>
      <c r="AI133" s="37"/>
      <c r="AJ133" s="61">
        <f t="shared" ca="1" si="17"/>
        <v>1.6334094149590981</v>
      </c>
      <c r="AK133" s="61">
        <f t="shared" ca="1" si="17"/>
        <v>0.23247645958219829</v>
      </c>
      <c r="AL133" s="61">
        <f t="shared" ca="1" si="17"/>
        <v>0.74135065550314971</v>
      </c>
      <c r="AM133" s="61">
        <f t="shared" ca="1" si="17"/>
        <v>1.9188491107321042</v>
      </c>
      <c r="AN133" s="37"/>
      <c r="AO133" s="62">
        <f t="array" aca="1" ref="AO133:AR133" ca="1">TRANSPOSE($B$17:$B$20 + MMULT($D$17:$G$20,TRANSPOSE(AO132:AR132)) + MMULT($N$17:$Q$20,TRANSPOSE(AJ133:AM133)))</f>
        <v>1.2433677044746778</v>
      </c>
      <c r="AP133" s="62">
        <f ca="1"/>
        <v>0.80689524836866788</v>
      </c>
      <c r="AQ133" s="62">
        <f ca="1"/>
        <v>1.3353751313187716</v>
      </c>
      <c r="AR133" s="62">
        <f ca="1"/>
        <v>1.6064845030630437</v>
      </c>
    </row>
    <row r="134" spans="25:44" x14ac:dyDescent="0.15">
      <c r="Y134" s="8">
        <f t="shared" si="18"/>
        <v>131</v>
      </c>
      <c r="Z134" s="61">
        <f t="shared" ca="1" si="16"/>
        <v>0.2820384946633861</v>
      </c>
      <c r="AA134" s="61">
        <f t="shared" ca="1" si="16"/>
        <v>0.48049907023406813</v>
      </c>
      <c r="AB134" s="61">
        <f t="shared" ca="1" si="16"/>
        <v>-0.70784392146213704</v>
      </c>
      <c r="AC134" s="61">
        <f t="shared" ca="1" si="16"/>
        <v>-3.5751853796763433E-2</v>
      </c>
      <c r="AD134" s="37"/>
      <c r="AE134" s="62">
        <f t="array" aca="1" ref="AE134:AH134" ca="1">TRANSPOSE($B$9:$B$12 + MMULT($D$9:$G$12,TRANSPOSE(AO134:AR134)) + MMULT($N$9:$Q$12, TRANSPOSE(Z134:AC134)))</f>
        <v>1.0181549567681809</v>
      </c>
      <c r="AF134" s="62">
        <f ca="1"/>
        <v>2.0381686722733123</v>
      </c>
      <c r="AG134" s="62">
        <f ca="1"/>
        <v>6.7219057702923524E-2</v>
      </c>
      <c r="AH134" s="62">
        <f ca="1"/>
        <v>0.67675425860791494</v>
      </c>
      <c r="AI134" s="37"/>
      <c r="AJ134" s="61">
        <f t="shared" ca="1" si="17"/>
        <v>0.17702992874267531</v>
      </c>
      <c r="AK134" s="61">
        <f t="shared" ca="1" si="17"/>
        <v>1.2449485956689552</v>
      </c>
      <c r="AL134" s="61">
        <f t="shared" ca="1" si="17"/>
        <v>-1.3942656053128613</v>
      </c>
      <c r="AM134" s="61">
        <f t="shared" ca="1" si="17"/>
        <v>-1.0859912030633798</v>
      </c>
      <c r="AN134" s="37"/>
      <c r="AO134" s="62">
        <f t="array" aca="1" ref="AO134:AR134" ca="1">TRANSPOSE($B$17:$B$20 + MMULT($D$17:$G$20,TRANSPOSE(AO133:AR133)) + MMULT($N$17:$Q$20,TRANSPOSE(AJ134:AM134)))</f>
        <v>0.99189489769152661</v>
      </c>
      <c r="AP134" s="62">
        <f ca="1"/>
        <v>1.5418364593740774</v>
      </c>
      <c r="AQ134" s="62">
        <f ca="1"/>
        <v>0.29323361849720653</v>
      </c>
      <c r="AR134" s="62">
        <f ca="1"/>
        <v>0.6159998108544591</v>
      </c>
    </row>
    <row r="135" spans="25:44" x14ac:dyDescent="0.15">
      <c r="Y135" s="8">
        <f t="shared" si="18"/>
        <v>132</v>
      </c>
      <c r="Z135" s="61">
        <f t="shared" ca="1" si="16"/>
        <v>0.74809951726653812</v>
      </c>
      <c r="AA135" s="61">
        <f t="shared" ca="1" si="16"/>
        <v>-2.3968954719192959</v>
      </c>
      <c r="AB135" s="61">
        <f t="shared" ca="1" si="16"/>
        <v>0.58258865349056643</v>
      </c>
      <c r="AC135" s="61">
        <f t="shared" ca="1" si="16"/>
        <v>0.42146205957810268</v>
      </c>
      <c r="AD135" s="37"/>
      <c r="AE135" s="62">
        <f t="array" aca="1" ref="AE135:AH135" ca="1">TRANSPOSE($B$9:$B$12 + MMULT($D$9:$G$12,TRANSPOSE(AO135:AR135)) + MMULT($N$9:$Q$12, TRANSPOSE(Z135:AC135)))</f>
        <v>1.3906190558231455</v>
      </c>
      <c r="AF135" s="62">
        <f ca="1"/>
        <v>0.59293964751629724</v>
      </c>
      <c r="AG135" s="62">
        <f ca="1"/>
        <v>0.91020510149533851</v>
      </c>
      <c r="AH135" s="62">
        <f ca="1"/>
        <v>0.988714674247403</v>
      </c>
      <c r="AI135" s="37"/>
      <c r="AJ135" s="61">
        <f t="shared" ca="1" si="17"/>
        <v>0.92648604250535671</v>
      </c>
      <c r="AK135" s="61">
        <f t="shared" ca="1" si="17"/>
        <v>0.35495681151904152</v>
      </c>
      <c r="AL135" s="61">
        <f t="shared" ca="1" si="17"/>
        <v>-0.90328942987317185</v>
      </c>
      <c r="AM135" s="61">
        <f t="shared" ca="1" si="17"/>
        <v>0.94795428018349548</v>
      </c>
      <c r="AN135" s="37"/>
      <c r="AO135" s="62">
        <f t="array" aca="1" ref="AO135:AR135" ca="1">TRANSPOSE($B$17:$B$20 + MMULT($D$17:$G$20,TRANSPOSE(AO134:AR134)) + MMULT($N$17:$Q$20,TRANSPOSE(AJ135:AM135)))</f>
        <v>1.0289553058608252</v>
      </c>
      <c r="AP135" s="62">
        <f ca="1"/>
        <v>1.0619265566231593</v>
      </c>
      <c r="AQ135" s="62">
        <f ca="1"/>
        <v>0.61602270378190949</v>
      </c>
      <c r="AR135" s="62">
        <f ca="1"/>
        <v>0.88395939526444578</v>
      </c>
    </row>
    <row r="136" spans="25:44" x14ac:dyDescent="0.15">
      <c r="Y136" s="8">
        <f t="shared" si="18"/>
        <v>133</v>
      </c>
      <c r="Z136" s="61">
        <f t="shared" ca="1" si="16"/>
        <v>-0.96054837941360349</v>
      </c>
      <c r="AA136" s="61">
        <f t="shared" ca="1" si="16"/>
        <v>0.35560847581287169</v>
      </c>
      <c r="AB136" s="61">
        <f t="shared" ca="1" si="16"/>
        <v>0.42704848559235864</v>
      </c>
      <c r="AC136" s="61">
        <f t="shared" ca="1" si="16"/>
        <v>6.0176652910183835E-2</v>
      </c>
      <c r="AD136" s="37"/>
      <c r="AE136" s="62">
        <f t="array" aca="1" ref="AE136:AH136" ca="1">TRANSPOSE($B$9:$B$12 + MMULT($D$9:$G$12,TRANSPOSE(AO136:AR136)) + MMULT($N$9:$Q$12, TRANSPOSE(Z136:AC136)))</f>
        <v>1.0083099865728633</v>
      </c>
      <c r="AF136" s="62">
        <f ca="1"/>
        <v>1.6323309181969889</v>
      </c>
      <c r="AG136" s="62">
        <f ca="1"/>
        <v>1.0345056020965084</v>
      </c>
      <c r="AH136" s="62">
        <f ca="1"/>
        <v>0.74177339344779536</v>
      </c>
      <c r="AI136" s="37"/>
      <c r="AJ136" s="61">
        <f t="shared" ca="1" si="17"/>
        <v>1.6567890984272091</v>
      </c>
      <c r="AK136" s="61">
        <f t="shared" ca="1" si="17"/>
        <v>1.2539508367742842</v>
      </c>
      <c r="AL136" s="61">
        <f t="shared" ca="1" si="17"/>
        <v>-0.48461223983920537</v>
      </c>
      <c r="AM136" s="61">
        <f t="shared" ca="1" si="17"/>
        <v>0.19779445739023574</v>
      </c>
      <c r="AN136" s="37"/>
      <c r="AO136" s="62">
        <f t="array" aca="1" ref="AO136:AR136" ca="1">TRANSPOSE($B$17:$B$20 + MMULT($D$17:$G$20,TRANSPOSE(AO135:AR135)) + MMULT($N$17:$Q$20,TRANSPOSE(AJ136:AM136)))</f>
        <v>1.3107161020274352</v>
      </c>
      <c r="AP136" s="62">
        <f ca="1"/>
        <v>1.3996137579717698</v>
      </c>
      <c r="AQ136" s="62">
        <f ca="1"/>
        <v>0.77678750028024401</v>
      </c>
      <c r="AR136" s="62">
        <f ca="1"/>
        <v>0.76607969557380451</v>
      </c>
    </row>
    <row r="137" spans="25:44" x14ac:dyDescent="0.15">
      <c r="Y137" s="8">
        <f t="shared" si="18"/>
        <v>134</v>
      </c>
      <c r="Z137" s="61">
        <f t="shared" ca="1" si="16"/>
        <v>-1.3377475327679214</v>
      </c>
      <c r="AA137" s="61">
        <f t="shared" ca="1" si="16"/>
        <v>0.19470068872386112</v>
      </c>
      <c r="AB137" s="61">
        <f t="shared" ca="1" si="16"/>
        <v>-0.48522669656322565</v>
      </c>
      <c r="AC137" s="61">
        <f t="shared" ca="1" si="16"/>
        <v>-1.4663839529705633</v>
      </c>
      <c r="AD137" s="37"/>
      <c r="AE137" s="62">
        <f t="array" aca="1" ref="AE137:AH137" ca="1">TRANSPOSE($B$9:$B$12 + MMULT($D$9:$G$12,TRANSPOSE(AO137:AR137)) + MMULT($N$9:$Q$12, TRANSPOSE(Z137:AC137)))</f>
        <v>0.77051908701399197</v>
      </c>
      <c r="AF137" s="62">
        <f ca="1"/>
        <v>0.9617368470983032</v>
      </c>
      <c r="AG137" s="62">
        <f ca="1"/>
        <v>1.1877669554849852</v>
      </c>
      <c r="AH137" s="62">
        <f ca="1"/>
        <v>1.0890563803831981</v>
      </c>
      <c r="AI137" s="37"/>
      <c r="AJ137" s="61">
        <f t="shared" ca="1" si="17"/>
        <v>0.24474050332647707</v>
      </c>
      <c r="AK137" s="61">
        <f t="shared" ca="1" si="17"/>
        <v>-0.17128197212273544</v>
      </c>
      <c r="AL137" s="61">
        <f t="shared" ca="1" si="17"/>
        <v>0.40577269815722899</v>
      </c>
      <c r="AM137" s="61">
        <f t="shared" ca="1" si="17"/>
        <v>1.2888054368652337</v>
      </c>
      <c r="AN137" s="37"/>
      <c r="AO137" s="62">
        <f t="array" aca="1" ref="AO137:AR137" ca="1">TRANSPOSE($B$17:$B$20 + MMULT($D$17:$G$20,TRANSPOSE(AO136:AR136)) + MMULT($N$17:$Q$20,TRANSPOSE(AJ137:AM137)))</f>
        <v>0.95147602294215528</v>
      </c>
      <c r="AP137" s="62">
        <f ca="1"/>
        <v>0.95898066569303786</v>
      </c>
      <c r="AQ137" s="62">
        <f ca="1"/>
        <v>1.2692701857960151</v>
      </c>
      <c r="AR137" s="62">
        <f ca="1"/>
        <v>1.3373045198748454</v>
      </c>
    </row>
    <row r="138" spans="25:44" x14ac:dyDescent="0.15">
      <c r="Y138" s="8">
        <f t="shared" si="18"/>
        <v>135</v>
      </c>
      <c r="Z138" s="61">
        <f t="shared" ca="1" si="16"/>
        <v>0.34178906901496037</v>
      </c>
      <c r="AA138" s="61">
        <f t="shared" ca="1" si="16"/>
        <v>-0.39153472530574385</v>
      </c>
      <c r="AB138" s="61">
        <f t="shared" ca="1" si="16"/>
        <v>-1.0027040536335461</v>
      </c>
      <c r="AC138" s="61">
        <f t="shared" ca="1" si="16"/>
        <v>-0.80000042127092352</v>
      </c>
      <c r="AD138" s="37"/>
      <c r="AE138" s="62">
        <f t="array" aca="1" ref="AE138:AH138" ca="1">TRANSPOSE($B$9:$B$12 + MMULT($D$9:$G$12,TRANSPOSE(AO138:AR138)) + MMULT($N$9:$Q$12, TRANSPOSE(Z138:AC138)))</f>
        <v>1.0986979334726732</v>
      </c>
      <c r="AF138" s="62">
        <f ca="1"/>
        <v>1.6148153088836168</v>
      </c>
      <c r="AG138" s="62">
        <f ca="1"/>
        <v>0.25905670816040682</v>
      </c>
      <c r="AH138" s="62">
        <f ca="1"/>
        <v>0.29058990559033981</v>
      </c>
      <c r="AI138" s="37"/>
      <c r="AJ138" s="61">
        <f t="shared" ca="1" si="17"/>
        <v>1.1930641099356196</v>
      </c>
      <c r="AK138" s="61">
        <f t="shared" ca="1" si="17"/>
        <v>0.75100409982005067</v>
      </c>
      <c r="AL138" s="61">
        <f t="shared" ca="1" si="17"/>
        <v>-2.260154894998375</v>
      </c>
      <c r="AM138" s="61">
        <f t="shared" ca="1" si="17"/>
        <v>-0.66231535960501198</v>
      </c>
      <c r="AN138" s="37"/>
      <c r="AO138" s="62">
        <f t="array" aca="1" ref="AO138:AR138" ca="1">TRANSPOSE($B$17:$B$20 + MMULT($D$17:$G$20,TRANSPOSE(AO137:AR137)) + MMULT($N$17:$Q$20,TRANSPOSE(AJ138:AM138)))</f>
        <v>1.245687580629226</v>
      </c>
      <c r="AP138" s="62">
        <f ca="1"/>
        <v>1.2430973404151746</v>
      </c>
      <c r="AQ138" s="62">
        <f ca="1"/>
        <v>0.12261779006631246</v>
      </c>
      <c r="AR138" s="62">
        <f ca="1"/>
        <v>0.73167187776261311</v>
      </c>
    </row>
    <row r="139" spans="25:44" x14ac:dyDescent="0.15">
      <c r="Y139" s="8">
        <f t="shared" si="18"/>
        <v>136</v>
      </c>
      <c r="Z139" s="61">
        <f t="shared" ca="1" si="16"/>
        <v>-0.17108370846106949</v>
      </c>
      <c r="AA139" s="61">
        <f t="shared" ca="1" si="16"/>
        <v>-0.53168923949091518</v>
      </c>
      <c r="AB139" s="61">
        <f t="shared" ca="1" si="16"/>
        <v>-0.55103743936906024</v>
      </c>
      <c r="AC139" s="61">
        <f t="shared" ca="1" si="16"/>
        <v>-1.209343645463079</v>
      </c>
      <c r="AD139" s="37"/>
      <c r="AE139" s="62">
        <f t="array" aca="1" ref="AE139:AH139" ca="1">TRANSPOSE($B$9:$B$12 + MMULT($D$9:$G$12,TRANSPOSE(AO139:AR139)) + MMULT($N$9:$Q$12, TRANSPOSE(Z139:AC139)))</f>
        <v>1.192778959788672</v>
      </c>
      <c r="AF139" s="62">
        <f ca="1"/>
        <v>0.65366025505667469</v>
      </c>
      <c r="AG139" s="62">
        <f ca="1"/>
        <v>0.20197206212502222</v>
      </c>
      <c r="AH139" s="62">
        <f ca="1"/>
        <v>0.42765332338982009</v>
      </c>
      <c r="AI139" s="37"/>
      <c r="AJ139" s="61">
        <f t="shared" ca="1" si="17"/>
        <v>0.47441212534314986</v>
      </c>
      <c r="AK139" s="61">
        <f t="shared" ca="1" si="17"/>
        <v>-0.40149561081528978</v>
      </c>
      <c r="AL139" s="61">
        <f t="shared" ca="1" si="17"/>
        <v>-0.35238150345169439</v>
      </c>
      <c r="AM139" s="61">
        <f t="shared" ca="1" si="17"/>
        <v>-1.813050972009812</v>
      </c>
      <c r="AN139" s="37"/>
      <c r="AO139" s="62">
        <f t="array" aca="1" ref="AO139:AR139" ca="1">TRANSPOSE($B$17:$B$20 + MMULT($D$17:$G$20,TRANSPOSE(AO138:AR138)) + MMULT($N$17:$Q$20,TRANSPOSE(AJ139:AM139)))</f>
        <v>0.90198969588868616</v>
      </c>
      <c r="AP139" s="62">
        <f ca="1"/>
        <v>0.74994683081895186</v>
      </c>
      <c r="AQ139" s="62">
        <f ca="1"/>
        <v>0.76633478591091309</v>
      </c>
      <c r="AR139" s="62">
        <f ca="1"/>
        <v>0.32727662869762797</v>
      </c>
    </row>
    <row r="140" spans="25:44" x14ac:dyDescent="0.15">
      <c r="Y140" s="8">
        <f t="shared" si="18"/>
        <v>137</v>
      </c>
      <c r="Z140" s="61">
        <f t="shared" ca="1" si="16"/>
        <v>-3.3789536796580123E-2</v>
      </c>
      <c r="AA140" s="61">
        <f t="shared" ca="1" si="16"/>
        <v>-1.122738553125096</v>
      </c>
      <c r="AB140" s="61">
        <f t="shared" ca="1" si="16"/>
        <v>0.27576130592588916</v>
      </c>
      <c r="AC140" s="61">
        <f t="shared" ca="1" si="16"/>
        <v>0.95264470629354248</v>
      </c>
      <c r="AD140" s="37"/>
      <c r="AE140" s="62">
        <f t="array" aca="1" ref="AE140:AH140" ca="1">TRANSPOSE($B$9:$B$12 + MMULT($D$9:$G$12,TRANSPOSE(AO140:AR140)) + MMULT($N$9:$Q$12, TRANSPOSE(Z140:AC140)))</f>
        <v>0.43691183940343492</v>
      </c>
      <c r="AF140" s="62">
        <f ca="1"/>
        <v>0.33974901210947711</v>
      </c>
      <c r="AG140" s="62">
        <f ca="1"/>
        <v>1.0461442748265997</v>
      </c>
      <c r="AH140" s="62">
        <f ca="1"/>
        <v>0.7168092988611906</v>
      </c>
      <c r="AI140" s="37"/>
      <c r="AJ140" s="61">
        <f t="shared" ca="1" si="17"/>
        <v>-0.44314053288937438</v>
      </c>
      <c r="AK140" s="61">
        <f t="shared" ca="1" si="17"/>
        <v>-0.4714062174630963</v>
      </c>
      <c r="AL140" s="61">
        <f t="shared" ca="1" si="17"/>
        <v>-1.2566679610481803</v>
      </c>
      <c r="AM140" s="61">
        <f t="shared" ca="1" si="17"/>
        <v>1.332806587503679</v>
      </c>
      <c r="AN140" s="37"/>
      <c r="AO140" s="62">
        <f t="array" aca="1" ref="AO140:AR140" ca="1">TRANSPOSE($B$17:$B$20 + MMULT($D$17:$G$20,TRANSPOSE(AO139:AR139)) + MMULT($N$17:$Q$20,TRANSPOSE(AJ140:AM140)))</f>
        <v>0.54373804685028304</v>
      </c>
      <c r="AP140" s="62">
        <f ca="1"/>
        <v>0.45096840347198336</v>
      </c>
      <c r="AQ140" s="62">
        <f ca="1"/>
        <v>0.13043409791451388</v>
      </c>
      <c r="AR140" s="62">
        <f ca="1"/>
        <v>0.91580312564490696</v>
      </c>
    </row>
    <row r="141" spans="25:44" x14ac:dyDescent="0.15">
      <c r="Y141" s="8">
        <f t="shared" si="18"/>
        <v>138</v>
      </c>
      <c r="Z141" s="61">
        <f t="shared" ca="1" si="16"/>
        <v>-0.76854961917958464</v>
      </c>
      <c r="AA141" s="61">
        <f t="shared" ca="1" si="16"/>
        <v>1.6989663479248056</v>
      </c>
      <c r="AB141" s="61">
        <f t="shared" ca="1" si="16"/>
        <v>1.7865245604441677</v>
      </c>
      <c r="AC141" s="61">
        <f t="shared" ca="1" si="16"/>
        <v>1.4188556945350603</v>
      </c>
      <c r="AD141" s="37"/>
      <c r="AE141" s="62">
        <f t="array" aca="1" ref="AE141:AH141" ca="1">TRANSPOSE($B$9:$B$12 + MMULT($D$9:$G$12,TRANSPOSE(AO141:AR141)) + MMULT($N$9:$Q$12, TRANSPOSE(Z141:AC141)))</f>
        <v>0.38062207800424674</v>
      </c>
      <c r="AF141" s="62">
        <f ca="1"/>
        <v>1.5838247752027952</v>
      </c>
      <c r="AG141" s="62">
        <f ca="1"/>
        <v>0.91224841082765051</v>
      </c>
      <c r="AH141" s="62">
        <f ca="1"/>
        <v>0.86347195604717375</v>
      </c>
      <c r="AI141" s="37"/>
      <c r="AJ141" s="61">
        <f t="shared" ca="1" si="17"/>
        <v>-0.49382097568580086</v>
      </c>
      <c r="AK141" s="61">
        <f t="shared" ca="1" si="17"/>
        <v>1.5516168340949381</v>
      </c>
      <c r="AL141" s="61">
        <f t="shared" ca="1" si="17"/>
        <v>0.79770230882879112</v>
      </c>
      <c r="AM141" s="61">
        <f t="shared" ca="1" si="17"/>
        <v>-0.11298241505351174</v>
      </c>
      <c r="AN141" s="37"/>
      <c r="AO141" s="62">
        <f t="array" aca="1" ref="AO141:AR141" ca="1">TRANSPOSE($B$17:$B$20 + MMULT($D$17:$G$20,TRANSPOSE(AO140:AR140)) + MMULT($N$17:$Q$20,TRANSPOSE(AJ141:AM141)))</f>
        <v>0.34588984314023297</v>
      </c>
      <c r="AP141" s="62">
        <f ca="1"/>
        <v>1.1453663976683757</v>
      </c>
      <c r="AQ141" s="62">
        <f ca="1"/>
        <v>0.51824542808857099</v>
      </c>
      <c r="AR141" s="62">
        <f ca="1"/>
        <v>0.29275719020583546</v>
      </c>
    </row>
    <row r="142" spans="25:44" x14ac:dyDescent="0.15">
      <c r="Y142" s="8">
        <f t="shared" si="18"/>
        <v>139</v>
      </c>
      <c r="Z142" s="61">
        <f t="shared" ca="1" si="16"/>
        <v>-1.0963938943958267</v>
      </c>
      <c r="AA142" s="61">
        <f t="shared" ca="1" si="16"/>
        <v>0.25908303207838035</v>
      </c>
      <c r="AB142" s="61">
        <f t="shared" ca="1" si="16"/>
        <v>0.99839438890414223</v>
      </c>
      <c r="AC142" s="61">
        <f t="shared" ca="1" si="16"/>
        <v>1.0364170395177141</v>
      </c>
      <c r="AD142" s="37"/>
      <c r="AE142" s="62">
        <f t="array" aca="1" ref="AE142:AH142" ca="1">TRANSPOSE($B$9:$B$12 + MMULT($D$9:$G$12,TRANSPOSE(AO142:AR142)) + MMULT($N$9:$Q$12, TRANSPOSE(Z142:AC142)))</f>
        <v>-0.25725368985832642</v>
      </c>
      <c r="AF142" s="62">
        <f ca="1"/>
        <v>0.3970671250330281</v>
      </c>
      <c r="AG142" s="62">
        <f ca="1"/>
        <v>1.2750611924503237</v>
      </c>
      <c r="AH142" s="62">
        <f ca="1"/>
        <v>0.56117735060017215</v>
      </c>
      <c r="AI142" s="37"/>
      <c r="AJ142" s="61">
        <f t="shared" ca="1" si="17"/>
        <v>-1.1370044118103639</v>
      </c>
      <c r="AK142" s="61">
        <f t="shared" ca="1" si="17"/>
        <v>-0.43709098285954945</v>
      </c>
      <c r="AL142" s="61">
        <f t="shared" ca="1" si="17"/>
        <v>-1.0740389110447703</v>
      </c>
      <c r="AM142" s="61">
        <f t="shared" ca="1" si="17"/>
        <v>0.98813455582113452</v>
      </c>
      <c r="AN142" s="37"/>
      <c r="AO142" s="62">
        <f t="array" aca="1" ref="AO142:AR142" ca="1">TRANSPOSE($B$17:$B$20 + MMULT($D$17:$G$20,TRANSPOSE(AO141:AR141)) + MMULT($N$17:$Q$20,TRANSPOSE(AJ142:AM142)))</f>
        <v>0.15491086880542165</v>
      </c>
      <c r="AP142" s="62">
        <f ca="1"/>
        <v>0.35002614527646103</v>
      </c>
      <c r="AQ142" s="62">
        <f ca="1"/>
        <v>6.5147993370875734E-2</v>
      </c>
      <c r="AR142" s="62">
        <f ca="1"/>
        <v>0.71691435617112431</v>
      </c>
    </row>
    <row r="143" spans="25:44" x14ac:dyDescent="0.15">
      <c r="Y143" s="8">
        <f t="shared" si="18"/>
        <v>140</v>
      </c>
      <c r="Z143" s="61">
        <f t="shared" ca="1" si="16"/>
        <v>0.37757345957024691</v>
      </c>
      <c r="AA143" s="61">
        <f t="shared" ca="1" si="16"/>
        <v>-3.7368741783960255E-2</v>
      </c>
      <c r="AB143" s="61">
        <f t="shared" ca="1" si="16"/>
        <v>-1.017972118174197</v>
      </c>
      <c r="AC143" s="61">
        <f t="shared" ca="1" si="16"/>
        <v>-1.9432171446778983</v>
      </c>
      <c r="AD143" s="37"/>
      <c r="AE143" s="62">
        <f t="array" aca="1" ref="AE143:AH143" ca="1">TRANSPOSE($B$9:$B$12 + MMULT($D$9:$G$12,TRANSPOSE(AO143:AR143)) + MMULT($N$9:$Q$12, TRANSPOSE(Z143:AC143)))</f>
        <v>1.2194542965550987</v>
      </c>
      <c r="AF143" s="62">
        <f ca="1"/>
        <v>-0.1218322074936634</v>
      </c>
      <c r="AG143" s="62">
        <f ca="1"/>
        <v>0.65620534003696462</v>
      </c>
      <c r="AH143" s="62">
        <f ca="1"/>
        <v>0.99783937399620826</v>
      </c>
      <c r="AI143" s="37"/>
      <c r="AJ143" s="61">
        <f t="shared" ca="1" si="17"/>
        <v>-8.9219356277328646E-2</v>
      </c>
      <c r="AK143" s="61">
        <f t="shared" ca="1" si="17"/>
        <v>-1.3500150054531252</v>
      </c>
      <c r="AL143" s="61">
        <f t="shared" ca="1" si="17"/>
        <v>1.9732603629680221</v>
      </c>
      <c r="AM143" s="61">
        <f t="shared" ca="1" si="17"/>
        <v>0.65303152883901827</v>
      </c>
      <c r="AN143" s="37"/>
      <c r="AO143" s="62">
        <f t="array" aca="1" ref="AO143:AR143" ca="1">TRANSPOSE($B$17:$B$20 + MMULT($D$17:$G$20,TRANSPOSE(AO142:AR142)) + MMULT($N$17:$Q$20,TRANSPOSE(AJ143:AM143)))</f>
        <v>0.35392418815257609</v>
      </c>
      <c r="AP143" s="62">
        <f ca="1"/>
        <v>-0.26351493764528389</v>
      </c>
      <c r="AQ143" s="62">
        <f ca="1"/>
        <v>1.3249186725095363</v>
      </c>
      <c r="AR143" s="62">
        <f ca="1"/>
        <v>1.0853008704646863</v>
      </c>
    </row>
    <row r="144" spans="25:44" x14ac:dyDescent="0.15">
      <c r="Y144" s="8">
        <f t="shared" si="18"/>
        <v>141</v>
      </c>
      <c r="Z144" s="61">
        <f t="shared" ca="1" si="16"/>
        <v>-0.98246012163238539</v>
      </c>
      <c r="AA144" s="61">
        <f t="shared" ca="1" si="16"/>
        <v>0.48685698224622492</v>
      </c>
      <c r="AB144" s="61">
        <f t="shared" ca="1" si="16"/>
        <v>-0.25690134732032444</v>
      </c>
      <c r="AC144" s="61">
        <f t="shared" ca="1" si="16"/>
        <v>0.30027011673773601</v>
      </c>
      <c r="AD144" s="37"/>
      <c r="AE144" s="62">
        <f t="array" aca="1" ref="AE144:AH144" ca="1">TRANSPOSE($B$9:$B$12 + MMULT($D$9:$G$12,TRANSPOSE(AO144:AR144)) + MMULT($N$9:$Q$12, TRANSPOSE(Z144:AC144)))</f>
        <v>0.29418542387596369</v>
      </c>
      <c r="AF144" s="62">
        <f ca="1"/>
        <v>0.86346971815579887</v>
      </c>
      <c r="AG144" s="62">
        <f ca="1"/>
        <v>0.65237353143173904</v>
      </c>
      <c r="AH144" s="62">
        <f ca="1"/>
        <v>0.7025517857272664</v>
      </c>
      <c r="AI144" s="37"/>
      <c r="AJ144" s="61">
        <f t="shared" ca="1" si="17"/>
        <v>-0.20483400307934038</v>
      </c>
      <c r="AK144" s="61">
        <f t="shared" ca="1" si="17"/>
        <v>0.87353223763286214</v>
      </c>
      <c r="AL144" s="61">
        <f t="shared" ca="1" si="17"/>
        <v>0.21414644857198578</v>
      </c>
      <c r="AM144" s="61">
        <f t="shared" ca="1" si="17"/>
        <v>-0.33941878546460436</v>
      </c>
      <c r="AN144" s="37"/>
      <c r="AO144" s="62">
        <f t="array" aca="1" ref="AO144:AR144" ca="1">TRANSPOSE($B$17:$B$20 + MMULT($D$17:$G$20,TRANSPOSE(AO143:AR143)) + MMULT($N$17:$Q$20,TRANSPOSE(AJ144:AM144)))</f>
        <v>0.52733602977285865</v>
      </c>
      <c r="AP144" s="62">
        <f ca="1"/>
        <v>0.72356727212072713</v>
      </c>
      <c r="AQ144" s="62">
        <f ca="1"/>
        <v>0.44651463100271727</v>
      </c>
      <c r="AR144" s="62">
        <f ca="1"/>
        <v>0.66244922672971418</v>
      </c>
    </row>
    <row r="145" spans="25:44" x14ac:dyDescent="0.15">
      <c r="Y145" s="8">
        <f t="shared" si="18"/>
        <v>142</v>
      </c>
      <c r="Z145" s="61">
        <f t="shared" ca="1" si="16"/>
        <v>0.64447564731173257</v>
      </c>
      <c r="AA145" s="61">
        <f t="shared" ca="1" si="16"/>
        <v>0.99129483035870614</v>
      </c>
      <c r="AB145" s="61">
        <f t="shared" ca="1" si="16"/>
        <v>-0.70099551443864205</v>
      </c>
      <c r="AC145" s="61">
        <f t="shared" ca="1" si="16"/>
        <v>1.08259588397847</v>
      </c>
      <c r="AD145" s="37"/>
      <c r="AE145" s="62">
        <f t="array" aca="1" ref="AE145:AH145" ca="1">TRANSPOSE($B$9:$B$12 + MMULT($D$9:$G$12,TRANSPOSE(AO145:AR145)) + MMULT($N$9:$Q$12, TRANSPOSE(Z145:AC145)))</f>
        <v>0.62570664788957897</v>
      </c>
      <c r="AF145" s="62">
        <f ca="1"/>
        <v>1.4087897281244066</v>
      </c>
      <c r="AG145" s="62">
        <f ca="1"/>
        <v>0.14615937336891194</v>
      </c>
      <c r="AH145" s="62">
        <f ca="1"/>
        <v>0.35001869144127074</v>
      </c>
      <c r="AI145" s="37"/>
      <c r="AJ145" s="61">
        <f t="shared" ca="1" si="17"/>
        <v>7.4482859408674287E-2</v>
      </c>
      <c r="AK145" s="61">
        <f t="shared" ca="1" si="17"/>
        <v>8.515748220588917E-3</v>
      </c>
      <c r="AL145" s="61">
        <f t="shared" ca="1" si="17"/>
        <v>-1.9245959020944952</v>
      </c>
      <c r="AM145" s="61">
        <f t="shared" ca="1" si="17"/>
        <v>0.10077405224939492</v>
      </c>
      <c r="AN145" s="37"/>
      <c r="AO145" s="62">
        <f t="array" aca="1" ref="AO145:AR145" ca="1">TRANSPOSE($B$17:$B$20 + MMULT($D$17:$G$20,TRANSPOSE(AO144:AR144)) + MMULT($N$17:$Q$20,TRANSPOSE(AJ145:AM145)))</f>
        <v>0.58700472003197424</v>
      </c>
      <c r="AP145" s="62">
        <f ca="1"/>
        <v>0.55315732444888377</v>
      </c>
      <c r="AQ145" s="62">
        <f ca="1"/>
        <v>-0.25087360296200578</v>
      </c>
      <c r="AR145" s="62">
        <f ca="1"/>
        <v>0.46855531330054251</v>
      </c>
    </row>
    <row r="146" spans="25:44" x14ac:dyDescent="0.15">
      <c r="Y146" s="8">
        <f t="shared" si="18"/>
        <v>143</v>
      </c>
      <c r="Z146" s="61">
        <f t="shared" ca="1" si="16"/>
        <v>-1.4194756268294511</v>
      </c>
      <c r="AA146" s="61">
        <f t="shared" ca="1" si="16"/>
        <v>0.75849465830626039</v>
      </c>
      <c r="AB146" s="61">
        <f t="shared" ca="1" si="16"/>
        <v>-0.51809194685830096</v>
      </c>
      <c r="AC146" s="61">
        <f t="shared" ca="1" si="16"/>
        <v>1.78269739214975</v>
      </c>
      <c r="AD146" s="37"/>
      <c r="AE146" s="62">
        <f t="array" aca="1" ref="AE146:AH146" ca="1">TRANSPOSE($B$9:$B$12 + MMULT($D$9:$G$12,TRANSPOSE(AO146:AR146)) + MMULT($N$9:$Q$12, TRANSPOSE(Z146:AC146)))</f>
        <v>-0.46663911441059758</v>
      </c>
      <c r="AF146" s="62">
        <f ca="1"/>
        <v>0.8304367995187939</v>
      </c>
      <c r="AG146" s="62">
        <f ca="1"/>
        <v>-0.29257733389742524</v>
      </c>
      <c r="AH146" s="62">
        <f ca="1"/>
        <v>0.53242968069014551</v>
      </c>
      <c r="AI146" s="37"/>
      <c r="AJ146" s="61">
        <f t="shared" ca="1" si="17"/>
        <v>-1.5025124389008639</v>
      </c>
      <c r="AK146" s="61">
        <f t="shared" ca="1" si="17"/>
        <v>1.172352892765139</v>
      </c>
      <c r="AL146" s="61">
        <f t="shared" ca="1" si="17"/>
        <v>-0.21773068645737567</v>
      </c>
      <c r="AM146" s="61">
        <f t="shared" ca="1" si="17"/>
        <v>-0.40464099160135902</v>
      </c>
      <c r="AN146" s="37"/>
      <c r="AO146" s="62">
        <f t="array" aca="1" ref="AO146:AR146" ca="1">TRANSPOSE($B$17:$B$20 + MMULT($D$17:$G$20,TRANSPOSE(AO145:AR145)) + MMULT($N$17:$Q$20,TRANSPOSE(AJ146:AM146)))</f>
        <v>-5.3045292329378602E-2</v>
      </c>
      <c r="AP146" s="62">
        <f ca="1"/>
        <v>0.92080555123406149</v>
      </c>
      <c r="AQ146" s="62">
        <f ca="1"/>
        <v>-0.16062455407005172</v>
      </c>
      <c r="AR146" s="62">
        <f ca="1"/>
        <v>-0.14778937012589044</v>
      </c>
    </row>
    <row r="147" spans="25:44" x14ac:dyDescent="0.15">
      <c r="Y147" s="8">
        <f t="shared" si="18"/>
        <v>144</v>
      </c>
      <c r="Z147" s="61">
        <f t="shared" ca="1" si="16"/>
        <v>1.025201140084939</v>
      </c>
      <c r="AA147" s="61">
        <f t="shared" ca="1" si="16"/>
        <v>1.1511482968746654</v>
      </c>
      <c r="AB147" s="61">
        <f t="shared" ca="1" si="16"/>
        <v>-0.22203734603627936</v>
      </c>
      <c r="AC147" s="61">
        <f t="shared" ca="1" si="16"/>
        <v>-0.97286230304971633</v>
      </c>
      <c r="AD147" s="37"/>
      <c r="AE147" s="62">
        <f t="array" aca="1" ref="AE147:AH147" ca="1">TRANSPOSE($B$9:$B$12 + MMULT($D$9:$G$12,TRANSPOSE(AO147:AR147)) + MMULT($N$9:$Q$12, TRANSPOSE(Z147:AC147)))</f>
        <v>0.62110354050004313</v>
      </c>
      <c r="AF147" s="62">
        <f ca="1"/>
        <v>0.79563554386191881</v>
      </c>
      <c r="AG147" s="62">
        <f ca="1"/>
        <v>7.3761504416874846E-2</v>
      </c>
      <c r="AH147" s="62">
        <f ca="1"/>
        <v>-0.15444804376083826</v>
      </c>
      <c r="AI147" s="37"/>
      <c r="AJ147" s="61">
        <f t="shared" ca="1" si="17"/>
        <v>-0.46112155333536042</v>
      </c>
      <c r="AK147" s="61">
        <f t="shared" ca="1" si="17"/>
        <v>-0.64411697101305532</v>
      </c>
      <c r="AL147" s="61">
        <f t="shared" ca="1" si="17"/>
        <v>-1.1829056402932385</v>
      </c>
      <c r="AM147" s="61">
        <f t="shared" ca="1" si="17"/>
        <v>-1.2796101506895852E-2</v>
      </c>
      <c r="AN147" s="37"/>
      <c r="AO147" s="62">
        <f t="array" aca="1" ref="AO147:AR147" ca="1">TRANSPOSE($B$17:$B$20 + MMULT($D$17:$G$20,TRANSPOSE(AO146:AR146)) + MMULT($N$17:$Q$20,TRANSPOSE(AJ147:AM147)))</f>
        <v>0.14016144159728197</v>
      </c>
      <c r="AP147" s="62">
        <f ca="1"/>
        <v>-3.5873532137085745E-2</v>
      </c>
      <c r="AQ147" s="62">
        <f ca="1"/>
        <v>-0.18040901445731322</v>
      </c>
      <c r="AR147" s="62">
        <f ca="1"/>
        <v>0.17804923463433536</v>
      </c>
    </row>
    <row r="148" spans="25:44" x14ac:dyDescent="0.15">
      <c r="Y148" s="8">
        <f t="shared" si="18"/>
        <v>145</v>
      </c>
      <c r="Z148" s="61">
        <f t="shared" ca="1" si="16"/>
        <v>0.20396343663967037</v>
      </c>
      <c r="AA148" s="61">
        <f t="shared" ca="1" si="16"/>
        <v>-0.78866820490655654</v>
      </c>
      <c r="AB148" s="61">
        <f t="shared" ca="1" si="16"/>
        <v>0.40367286441426425</v>
      </c>
      <c r="AC148" s="61">
        <f t="shared" ca="1" si="16"/>
        <v>-0.48541112854424268</v>
      </c>
      <c r="AD148" s="37"/>
      <c r="AE148" s="62">
        <f t="array" aca="1" ref="AE148:AH148" ca="1">TRANSPOSE($B$9:$B$12 + MMULT($D$9:$G$12,TRANSPOSE(AO148:AR148)) + MMULT($N$9:$Q$12, TRANSPOSE(Z148:AC148)))</f>
        <v>1.1261387031682046</v>
      </c>
      <c r="AF148" s="62">
        <f ca="1"/>
        <v>-0.18650499088853448</v>
      </c>
      <c r="AG148" s="62">
        <f ca="1"/>
        <v>1.7607165662427355</v>
      </c>
      <c r="AH148" s="62">
        <f ca="1"/>
        <v>0.56722907397765965</v>
      </c>
      <c r="AI148" s="37"/>
      <c r="AJ148" s="61">
        <f t="shared" ca="1" si="17"/>
        <v>1.8371401559057674</v>
      </c>
      <c r="AK148" s="61">
        <f t="shared" ca="1" si="17"/>
        <v>-1.2807438177562032</v>
      </c>
      <c r="AL148" s="61">
        <f t="shared" ca="1" si="17"/>
        <v>0.40378597930295257</v>
      </c>
      <c r="AM148" s="61">
        <f t="shared" ca="1" si="17"/>
        <v>2.580704090255169</v>
      </c>
      <c r="AN148" s="37"/>
      <c r="AO148" s="62">
        <f t="array" aca="1" ref="AO148:AR148" ca="1">TRANSPOSE($B$17:$B$20 + MMULT($D$17:$G$20,TRANSPOSE(AO147:AR147)) + MMULT($N$17:$Q$20,TRANSPOSE(AJ148:AM148)))</f>
        <v>0.90823204458368711</v>
      </c>
      <c r="AP148" s="62">
        <f ca="1"/>
        <v>-0.41385165724911732</v>
      </c>
      <c r="AQ148" s="62">
        <f ca="1"/>
        <v>0.73615239130538523</v>
      </c>
      <c r="AR148" s="62">
        <f ca="1"/>
        <v>1.2684367239207699</v>
      </c>
    </row>
    <row r="149" spans="25:44" x14ac:dyDescent="0.15">
      <c r="Y149" s="8">
        <f t="shared" si="18"/>
        <v>146</v>
      </c>
      <c r="Z149" s="61">
        <f t="shared" ca="1" si="16"/>
        <v>0.48884360358920276</v>
      </c>
      <c r="AA149" s="61">
        <f t="shared" ca="1" si="16"/>
        <v>-0.91709922583567871</v>
      </c>
      <c r="AB149" s="61">
        <f t="shared" ca="1" si="16"/>
        <v>-0.90729137488203226</v>
      </c>
      <c r="AC149" s="61">
        <f t="shared" ca="1" si="16"/>
        <v>1.0311631087644941</v>
      </c>
      <c r="AD149" s="37"/>
      <c r="AE149" s="62">
        <f t="array" aca="1" ref="AE149:AH149" ca="1">TRANSPOSE($B$9:$B$12 + MMULT($D$9:$G$12,TRANSPOSE(AO149:AR149)) + MMULT($N$9:$Q$12, TRANSPOSE(Z149:AC149)))</f>
        <v>0.9817109030777873</v>
      </c>
      <c r="AF149" s="62">
        <f ca="1"/>
        <v>1.2588038263284425</v>
      </c>
      <c r="AG149" s="62">
        <f ca="1"/>
        <v>0.25970279675954444</v>
      </c>
      <c r="AH149" s="62">
        <f ca="1"/>
        <v>0.75479314696438427</v>
      </c>
      <c r="AI149" s="37"/>
      <c r="AJ149" s="61">
        <f t="shared" ca="1" si="17"/>
        <v>1.1016980421999705</v>
      </c>
      <c r="AK149" s="61">
        <f t="shared" ca="1" si="17"/>
        <v>1.4445579161068862</v>
      </c>
      <c r="AL149" s="61">
        <f t="shared" ca="1" si="17"/>
        <v>-0.71742703098742266</v>
      </c>
      <c r="AM149" s="61">
        <f t="shared" ca="1" si="17"/>
        <v>1.0122389407814212</v>
      </c>
      <c r="AN149" s="37"/>
      <c r="AO149" s="62">
        <f t="array" aca="1" ref="AO149:AR149" ca="1">TRANSPOSE($B$17:$B$20 + MMULT($D$17:$G$20,TRANSPOSE(AO148:AR148)) + MMULT($N$17:$Q$20,TRANSPOSE(AJ149:AM149)))</f>
        <v>1.0227404992948146</v>
      </c>
      <c r="AP149" s="62">
        <f ca="1"/>
        <v>1.1124082035137168</v>
      </c>
      <c r="AQ149" s="62">
        <f ca="1"/>
        <v>9.5447479125178591E-2</v>
      </c>
      <c r="AR149" s="62">
        <f ca="1"/>
        <v>0.75818571154326364</v>
      </c>
    </row>
    <row r="150" spans="25:44" x14ac:dyDescent="0.15">
      <c r="Y150" s="8">
        <f t="shared" si="18"/>
        <v>147</v>
      </c>
      <c r="Z150" s="61">
        <f t="shared" ca="1" si="16"/>
        <v>-4.178140855859689E-2</v>
      </c>
      <c r="AA150" s="61">
        <f t="shared" ca="1" si="16"/>
        <v>-0.62426231443400271</v>
      </c>
      <c r="AB150" s="61">
        <f t="shared" ca="1" si="16"/>
        <v>0.89231323901277892</v>
      </c>
      <c r="AC150" s="61">
        <f t="shared" ca="1" si="16"/>
        <v>0.86496978449214579</v>
      </c>
      <c r="AD150" s="37"/>
      <c r="AE150" s="62">
        <f t="array" aca="1" ref="AE150:AH150" ca="1">TRANSPOSE($B$9:$B$12 + MMULT($D$9:$G$12,TRANSPOSE(AO150:AR150)) + MMULT($N$9:$Q$12, TRANSPOSE(Z150:AC150)))</f>
        <v>1.1757559113973621</v>
      </c>
      <c r="AF150" s="62">
        <f ca="1"/>
        <v>-0.20904314736537508</v>
      </c>
      <c r="AG150" s="62">
        <f ca="1"/>
        <v>1.5688698288742051</v>
      </c>
      <c r="AH150" s="62">
        <f ca="1"/>
        <v>1.8240133163739403</v>
      </c>
      <c r="AI150" s="37"/>
      <c r="AJ150" s="61">
        <f t="shared" ca="1" si="17"/>
        <v>-0.90023597060679994</v>
      </c>
      <c r="AK150" s="61">
        <f t="shared" ca="1" si="17"/>
        <v>-1.8127818835588947</v>
      </c>
      <c r="AL150" s="61">
        <f t="shared" ca="1" si="17"/>
        <v>1.9705411270586191</v>
      </c>
      <c r="AM150" s="61">
        <f t="shared" ca="1" si="17"/>
        <v>0.75693677274634952</v>
      </c>
      <c r="AN150" s="37"/>
      <c r="AO150" s="62">
        <f t="array" aca="1" ref="AO150:AR150" ca="1">TRANSPOSE($B$17:$B$20 + MMULT($D$17:$G$20,TRANSPOSE(AO149:AR149)) + MMULT($N$17:$Q$20,TRANSPOSE(AJ150:AM150)))</f>
        <v>0.36897234318029171</v>
      </c>
      <c r="AP150" s="62">
        <f ca="1"/>
        <v>3.1222447101479367E-2</v>
      </c>
      <c r="AQ150" s="62">
        <f ca="1"/>
        <v>1.6266389136020445</v>
      </c>
      <c r="AR150" s="62">
        <f ca="1"/>
        <v>1.2909269750756769</v>
      </c>
    </row>
    <row r="151" spans="25:44" x14ac:dyDescent="0.15">
      <c r="Y151" s="8">
        <f t="shared" si="18"/>
        <v>148</v>
      </c>
      <c r="Z151" s="61">
        <f t="shared" ca="1" si="16"/>
        <v>1.1170063878504883</v>
      </c>
      <c r="AA151" s="61">
        <f t="shared" ca="1" si="16"/>
        <v>-0.12560942378425621</v>
      </c>
      <c r="AB151" s="61">
        <f t="shared" ca="1" si="16"/>
        <v>0.87204859357862563</v>
      </c>
      <c r="AC151" s="61">
        <f t="shared" ca="1" si="16"/>
        <v>0.38681938778739006</v>
      </c>
      <c r="AD151" s="37"/>
      <c r="AE151" s="62">
        <f t="array" aca="1" ref="AE151:AH151" ca="1">TRANSPOSE($B$9:$B$12 + MMULT($D$9:$G$12,TRANSPOSE(AO151:AR151)) + MMULT($N$9:$Q$12, TRANSPOSE(Z151:AC151)))</f>
        <v>0.69998058558154508</v>
      </c>
      <c r="AF151" s="62">
        <f ca="1"/>
        <v>0.73654150518726758</v>
      </c>
      <c r="AG151" s="62">
        <f ca="1"/>
        <v>1.0112590009903151</v>
      </c>
      <c r="AH151" s="62">
        <f ca="1"/>
        <v>0.79152983034774516</v>
      </c>
      <c r="AI151" s="37"/>
      <c r="AJ151" s="61">
        <f t="shared" ca="1" si="17"/>
        <v>-1.4020087931513783</v>
      </c>
      <c r="AK151" s="61">
        <f t="shared" ca="1" si="17"/>
        <v>-0.30917539367531621</v>
      </c>
      <c r="AL151" s="61">
        <f t="shared" ca="1" si="17"/>
        <v>-0.61841347505449118</v>
      </c>
      <c r="AM151" s="61">
        <f t="shared" ca="1" si="17"/>
        <v>3.0352249945115491E-2</v>
      </c>
      <c r="AN151" s="37"/>
      <c r="AO151" s="62">
        <f t="array" aca="1" ref="AO151:AR151" ca="1">TRANSPOSE($B$17:$B$20 + MMULT($D$17:$G$20,TRANSPOSE(AO150:AR150)) + MMULT($N$17:$Q$20,TRANSPOSE(AJ151:AM151)))</f>
        <v>0.20416313276672243</v>
      </c>
      <c r="AP151" s="62">
        <f ca="1"/>
        <v>0.34476651978734024</v>
      </c>
      <c r="AQ151" s="62">
        <f ca="1"/>
        <v>0.19354895874316136</v>
      </c>
      <c r="AR151" s="62">
        <f ca="1"/>
        <v>0.9594121804618867</v>
      </c>
    </row>
    <row r="152" spans="25:44" x14ac:dyDescent="0.15">
      <c r="Y152" s="8">
        <f t="shared" si="18"/>
        <v>149</v>
      </c>
      <c r="Z152" s="61">
        <f t="shared" ca="1" si="16"/>
        <v>-9.1378502318902016E-2</v>
      </c>
      <c r="AA152" s="61">
        <f t="shared" ca="1" si="16"/>
        <v>0.55878394732085779</v>
      </c>
      <c r="AB152" s="61">
        <f t="shared" ca="1" si="16"/>
        <v>0.85596350488055806</v>
      </c>
      <c r="AC152" s="61">
        <f t="shared" ca="1" si="16"/>
        <v>0.39642443645696507</v>
      </c>
      <c r="AD152" s="37"/>
      <c r="AE152" s="62">
        <f t="array" aca="1" ref="AE152:AH152" ca="1">TRANSPOSE($B$9:$B$12 + MMULT($D$9:$G$12,TRANSPOSE(AO152:AR152)) + MMULT($N$9:$Q$12, TRANSPOSE(Z152:AC152)))</f>
        <v>0.51798294252385135</v>
      </c>
      <c r="AF152" s="62">
        <f ca="1"/>
        <v>0.22000500767983586</v>
      </c>
      <c r="AG152" s="62">
        <f ca="1"/>
        <v>1.3690163849038628</v>
      </c>
      <c r="AH152" s="62">
        <f ca="1"/>
        <v>0.85104867539183005</v>
      </c>
      <c r="AI152" s="37"/>
      <c r="AJ152" s="61">
        <f t="shared" ca="1" si="17"/>
        <v>-0.6538084481746933</v>
      </c>
      <c r="AK152" s="61">
        <f t="shared" ca="1" si="17"/>
        <v>-1.1624287979097783</v>
      </c>
      <c r="AL152" s="61">
        <f t="shared" ca="1" si="17"/>
        <v>0.58123336835211947</v>
      </c>
      <c r="AM152" s="61">
        <f t="shared" ca="1" si="17"/>
        <v>0.6790655826124965</v>
      </c>
      <c r="AN152" s="37"/>
      <c r="AO152" s="62">
        <f t="array" aca="1" ref="AO152:AR152" ca="1">TRANSPOSE($B$17:$B$20 + MMULT($D$17:$G$20,TRANSPOSE(AO151:AR151)) + MMULT($N$17:$Q$20,TRANSPOSE(AJ152:AM152)))</f>
        <v>0.20714963155779689</v>
      </c>
      <c r="AP152" s="62">
        <f ca="1"/>
        <v>-0.13109252133429344</v>
      </c>
      <c r="AQ152" s="62">
        <f ca="1"/>
        <v>0.64155474857713202</v>
      </c>
      <c r="AR152" s="62">
        <f ca="1"/>
        <v>0.95251363582463788</v>
      </c>
    </row>
    <row r="153" spans="25:44" x14ac:dyDescent="0.15">
      <c r="Y153" s="8">
        <f t="shared" si="18"/>
        <v>150</v>
      </c>
      <c r="Z153" s="61">
        <f t="shared" ca="1" si="16"/>
        <v>-1.0743653690773556</v>
      </c>
      <c r="AA153" s="61">
        <f t="shared" ca="1" si="16"/>
        <v>-1.374696387000143</v>
      </c>
      <c r="AB153" s="61">
        <f t="shared" ca="1" si="16"/>
        <v>1.3346695409437024</v>
      </c>
      <c r="AC153" s="61">
        <f t="shared" ca="1" si="16"/>
        <v>4.619085361270996E-3</v>
      </c>
      <c r="AD153" s="37"/>
      <c r="AE153" s="62">
        <f t="array" aca="1" ref="AE153:AH153" ca="1">TRANSPOSE($B$9:$B$12 + MMULT($D$9:$G$12,TRANSPOSE(AO153:AR153)) + MMULT($N$9:$Q$12, TRANSPOSE(Z153:AC153)))</f>
        <v>-0.76937487000189175</v>
      </c>
      <c r="AF153" s="62">
        <f ca="1"/>
        <v>0.75513834199512375</v>
      </c>
      <c r="AG153" s="62">
        <f ca="1"/>
        <v>0.2165588275003224</v>
      </c>
      <c r="AH153" s="62">
        <f ca="1"/>
        <v>-0.49441596228330015</v>
      </c>
      <c r="AI153" s="37"/>
      <c r="AJ153" s="61">
        <f t="shared" ca="1" si="17"/>
        <v>-1.1552358902980027</v>
      </c>
      <c r="AK153" s="61">
        <f t="shared" ca="1" si="17"/>
        <v>2.7618921591848751</v>
      </c>
      <c r="AL153" s="61">
        <f t="shared" ca="1" si="17"/>
        <v>-1.8665087273762389</v>
      </c>
      <c r="AM153" s="61">
        <f t="shared" ca="1" si="17"/>
        <v>-0.50071967866238154</v>
      </c>
      <c r="AN153" s="37"/>
      <c r="AO153" s="62">
        <f t="array" aca="1" ref="AO153:AR153" ca="1">TRANSPOSE($B$17:$B$20 + MMULT($D$17:$G$20,TRANSPOSE(AO152:AR152)) + MMULT($N$17:$Q$20,TRANSPOSE(AJ153:AM153)))</f>
        <v>7.1010862026925359E-2</v>
      </c>
      <c r="AP153" s="62">
        <f ca="1"/>
        <v>1.423837863994285</v>
      </c>
      <c r="AQ153" s="62">
        <f ca="1"/>
        <v>-1.0301781069591565</v>
      </c>
      <c r="AR153" s="62">
        <f ca="1"/>
        <v>-0.31128910002291732</v>
      </c>
    </row>
    <row r="154" spans="25:44" x14ac:dyDescent="0.15">
      <c r="Y154" s="8">
        <f t="shared" si="18"/>
        <v>151</v>
      </c>
      <c r="Z154" s="61">
        <f t="shared" ca="1" si="16"/>
        <v>-1.2675731306253324</v>
      </c>
      <c r="AA154" s="61">
        <f t="shared" ca="1" si="16"/>
        <v>-0.4310907032403003</v>
      </c>
      <c r="AB154" s="61">
        <f t="shared" ca="1" si="16"/>
        <v>-0.4528053756070804</v>
      </c>
      <c r="AC154" s="61">
        <f t="shared" ca="1" si="16"/>
        <v>-0.66511833046749047</v>
      </c>
      <c r="AD154" s="37"/>
      <c r="AE154" s="62">
        <f t="array" aca="1" ref="AE154:AH154" ca="1">TRANSPOSE($B$9:$B$12 + MMULT($D$9:$G$12,TRANSPOSE(AO154:AR154)) + MMULT($N$9:$Q$12, TRANSPOSE(Z154:AC154)))</f>
        <v>0.94887921961475163</v>
      </c>
      <c r="AF154" s="62">
        <f ca="1"/>
        <v>-0.97321428040527891</v>
      </c>
      <c r="AG154" s="62">
        <f ca="1"/>
        <v>0.93554672541721529</v>
      </c>
      <c r="AH154" s="62">
        <f ca="1"/>
        <v>0.63778335925656371</v>
      </c>
      <c r="AI154" s="37"/>
      <c r="AJ154" s="61">
        <f t="shared" ca="1" si="17"/>
        <v>1.1626765423112149</v>
      </c>
      <c r="AK154" s="61">
        <f t="shared" ca="1" si="17"/>
        <v>-2.3288722570440736</v>
      </c>
      <c r="AL154" s="61">
        <f t="shared" ca="1" si="17"/>
        <v>1.3046444842679661</v>
      </c>
      <c r="AM154" s="61">
        <f t="shared" ca="1" si="17"/>
        <v>-0.89703496033267649</v>
      </c>
      <c r="AN154" s="37"/>
      <c r="AO154" s="62">
        <f t="array" aca="1" ref="AO154:AR154" ca="1">TRANSPOSE($B$17:$B$20 + MMULT($D$17:$G$20,TRANSPOSE(AO153:AR153)) + MMULT($N$17:$Q$20,TRANSPOSE(AJ154:AM154)))</f>
        <v>0.61850403811369004</v>
      </c>
      <c r="AP154" s="62">
        <f ca="1"/>
        <v>-0.63912011001993907</v>
      </c>
      <c r="AQ154" s="62">
        <f ca="1"/>
        <v>1.3581782072923683</v>
      </c>
      <c r="AR154" s="62">
        <f ca="1"/>
        <v>0.47105490085250429</v>
      </c>
    </row>
    <row r="155" spans="25:44" x14ac:dyDescent="0.15">
      <c r="Y155" s="8">
        <f t="shared" si="18"/>
        <v>152</v>
      </c>
      <c r="Z155" s="61">
        <f t="shared" ca="1" si="16"/>
        <v>-1.7336573777756674</v>
      </c>
      <c r="AA155" s="61">
        <f t="shared" ca="1" si="16"/>
        <v>-0.3856616142408224</v>
      </c>
      <c r="AB155" s="61">
        <f t="shared" ca="1" si="16"/>
        <v>-3.231692690676085E-2</v>
      </c>
      <c r="AC155" s="61">
        <f t="shared" ca="1" si="16"/>
        <v>0.87905450453242839</v>
      </c>
      <c r="AD155" s="37"/>
      <c r="AE155" s="62">
        <f t="array" aca="1" ref="AE155:AH155" ca="1">TRANSPOSE($B$9:$B$12 + MMULT($D$9:$G$12,TRANSPOSE(AO155:AR155)) + MMULT($N$9:$Q$12, TRANSPOSE(Z155:AC155)))</f>
        <v>-0.50199493985240096</v>
      </c>
      <c r="AF155" s="62">
        <f ca="1"/>
        <v>-0.62802273802119846</v>
      </c>
      <c r="AG155" s="62">
        <f ca="1"/>
        <v>1.2160964033792612</v>
      </c>
      <c r="AH155" s="62">
        <f ca="1"/>
        <v>0.50650256254850101</v>
      </c>
      <c r="AI155" s="37"/>
      <c r="AJ155" s="61">
        <f t="shared" ca="1" si="17"/>
        <v>-1.6562505032712933</v>
      </c>
      <c r="AK155" s="61">
        <f t="shared" ca="1" si="17"/>
        <v>-1.3490411244749252</v>
      </c>
      <c r="AL155" s="61">
        <f t="shared" ca="1" si="17"/>
        <v>-0.13201392754838603</v>
      </c>
      <c r="AM155" s="61">
        <f t="shared" ca="1" si="17"/>
        <v>-0.10500743713819967</v>
      </c>
      <c r="AN155" s="37"/>
      <c r="AO155" s="62">
        <f t="array" aca="1" ref="AO155:AR155" ca="1">TRANSPOSE($B$17:$B$20 + MMULT($D$17:$G$20,TRANSPOSE(AO154:AR154)) + MMULT($N$17:$Q$20,TRANSPOSE(AJ155:AM155)))</f>
        <v>5.6227781022385681E-2</v>
      </c>
      <c r="AP155" s="62">
        <f ca="1"/>
        <v>-0.32828891230455215</v>
      </c>
      <c r="AQ155" s="62">
        <f ca="1"/>
        <v>0.16545055598148983</v>
      </c>
      <c r="AR155" s="62">
        <f ca="1"/>
        <v>0.75984554906222723</v>
      </c>
    </row>
    <row r="156" spans="25:44" x14ac:dyDescent="0.15">
      <c r="Y156" s="8">
        <f t="shared" si="18"/>
        <v>153</v>
      </c>
      <c r="Z156" s="61">
        <f t="shared" ca="1" si="16"/>
        <v>-1.8631200982192622</v>
      </c>
      <c r="AA156" s="61">
        <f t="shared" ca="1" si="16"/>
        <v>0.59807560499835777</v>
      </c>
      <c r="AB156" s="61">
        <f t="shared" ca="1" si="16"/>
        <v>-0.20329465094744342</v>
      </c>
      <c r="AC156" s="61">
        <f t="shared" ca="1" si="16"/>
        <v>0.38679996083347512</v>
      </c>
      <c r="AD156" s="37"/>
      <c r="AE156" s="62">
        <f t="array" aca="1" ref="AE156:AH156" ca="1">TRANSPOSE($B$9:$B$12 + MMULT($D$9:$G$12,TRANSPOSE(AO156:AR156)) + MMULT($N$9:$Q$12, TRANSPOSE(Z156:AC156)))</f>
        <v>2.2460988609851684E-2</v>
      </c>
      <c r="AF156" s="62">
        <f ca="1"/>
        <v>0.68584822579450322</v>
      </c>
      <c r="AG156" s="62">
        <f ca="1"/>
        <v>0.58452138895854988</v>
      </c>
      <c r="AH156" s="62">
        <f ca="1"/>
        <v>0.33311464625559906</v>
      </c>
      <c r="AI156" s="37"/>
      <c r="AJ156" s="61">
        <f t="shared" ca="1" si="17"/>
        <v>0.86493450015676565</v>
      </c>
      <c r="AK156" s="61">
        <f t="shared" ca="1" si="17"/>
        <v>1.3501392078731596</v>
      </c>
      <c r="AL156" s="61">
        <f t="shared" ca="1" si="17"/>
        <v>0.48581833557505472</v>
      </c>
      <c r="AM156" s="61">
        <f t="shared" ca="1" si="17"/>
        <v>-4.7922614041427343E-2</v>
      </c>
      <c r="AN156" s="37"/>
      <c r="AO156" s="62">
        <f t="array" aca="1" ref="AO156:AR156" ca="1">TRANSPOSE($B$17:$B$20 + MMULT($D$17:$G$20,TRANSPOSE(AO155:AR155)) + MMULT($N$17:$Q$20,TRANSPOSE(AJ156:AM156)))</f>
        <v>0.61746711570146429</v>
      </c>
      <c r="AP156" s="62">
        <f ca="1"/>
        <v>0.68888491186135159</v>
      </c>
      <c r="AQ156" s="62">
        <f ca="1"/>
        <v>0.3129059052531461</v>
      </c>
      <c r="AR156" s="62">
        <f ca="1"/>
        <v>0.280596753976672</v>
      </c>
    </row>
    <row r="157" spans="25:44" x14ac:dyDescent="0.15">
      <c r="Y157" s="8">
        <f t="shared" si="18"/>
        <v>154</v>
      </c>
      <c r="Z157" s="61">
        <f t="shared" ca="1" si="16"/>
        <v>0.19592191637490239</v>
      </c>
      <c r="AA157" s="61">
        <f t="shared" ca="1" si="16"/>
        <v>-2.853299836560166E-2</v>
      </c>
      <c r="AB157" s="61">
        <f t="shared" ca="1" si="16"/>
        <v>0.68311311777516026</v>
      </c>
      <c r="AC157" s="61">
        <f t="shared" ca="1" si="16"/>
        <v>0.80950355849413524</v>
      </c>
      <c r="AD157" s="37"/>
      <c r="AE157" s="62">
        <f t="array" aca="1" ref="AE157:AH157" ca="1">TRANSPOSE($B$9:$B$12 + MMULT($D$9:$G$12,TRANSPOSE(AO157:AR157)) + MMULT($N$9:$Q$12, TRANSPOSE(Z157:AC157)))</f>
        <v>0.84184225548111191</v>
      </c>
      <c r="AF157" s="62">
        <f ca="1"/>
        <v>0.44370472601855154</v>
      </c>
      <c r="AG157" s="62">
        <f ca="1"/>
        <v>0.5664749270755467</v>
      </c>
      <c r="AH157" s="62">
        <f ca="1"/>
        <v>0.80627193579262735</v>
      </c>
      <c r="AI157" s="37"/>
      <c r="AJ157" s="61">
        <f t="shared" ca="1" si="17"/>
        <v>-0.66274318652792363</v>
      </c>
      <c r="AK157" s="61">
        <f t="shared" ca="1" si="17"/>
        <v>-0.233069454453223</v>
      </c>
      <c r="AL157" s="61">
        <f t="shared" ca="1" si="17"/>
        <v>0.37333480875210034</v>
      </c>
      <c r="AM157" s="61">
        <f t="shared" ca="1" si="17"/>
        <v>-0.84675099011673527</v>
      </c>
      <c r="AN157" s="37"/>
      <c r="AO157" s="62">
        <f t="array" aca="1" ref="AO157:AR157" ca="1">TRANSPOSE($B$17:$B$20 + MMULT($D$17:$G$20,TRANSPOSE(AO156:AR156)) + MMULT($N$17:$Q$20,TRANSPOSE(AJ157:AM157)))</f>
        <v>0.32169227700485276</v>
      </c>
      <c r="AP157" s="62">
        <f ca="1"/>
        <v>0.39743660347341314</v>
      </c>
      <c r="AQ157" s="62">
        <f ca="1"/>
        <v>0.5997664587408722</v>
      </c>
      <c r="AR157" s="62">
        <f ca="1"/>
        <v>0.32478928404293472</v>
      </c>
    </row>
    <row r="158" spans="25:44" x14ac:dyDescent="0.15">
      <c r="Y158" s="8">
        <f t="shared" si="18"/>
        <v>155</v>
      </c>
      <c r="Z158" s="61">
        <f t="shared" ca="1" si="16"/>
        <v>1.7697716504736545</v>
      </c>
      <c r="AA158" s="61">
        <f t="shared" ca="1" si="16"/>
        <v>1.0733254108759924</v>
      </c>
      <c r="AB158" s="61">
        <f t="shared" ca="1" si="16"/>
        <v>0.9138535313897711</v>
      </c>
      <c r="AC158" s="61">
        <f t="shared" ca="1" si="16"/>
        <v>-0.86368579688887093</v>
      </c>
      <c r="AD158" s="37"/>
      <c r="AE158" s="62">
        <f t="array" aca="1" ref="AE158:AH158" ca="1">TRANSPOSE($B$9:$B$12 + MMULT($D$9:$G$12,TRANSPOSE(AO158:AR158)) + MMULT($N$9:$Q$12, TRANSPOSE(Z158:AC158)))</f>
        <v>1.6993405519755069</v>
      </c>
      <c r="AF158" s="62">
        <f ca="1"/>
        <v>0.97606176625663899</v>
      </c>
      <c r="AG158" s="62">
        <f ca="1"/>
        <v>0.57486556105450082</v>
      </c>
      <c r="AH158" s="62">
        <f ca="1"/>
        <v>0.1814215850552871</v>
      </c>
      <c r="AI158" s="37"/>
      <c r="AJ158" s="61">
        <f t="shared" ca="1" si="17"/>
        <v>0.4035853640726017</v>
      </c>
      <c r="AK158" s="61">
        <f t="shared" ca="1" si="17"/>
        <v>-0.82916444342072726</v>
      </c>
      <c r="AL158" s="61">
        <f t="shared" ca="1" si="17"/>
        <v>-0.24097244955052605</v>
      </c>
      <c r="AM158" s="61">
        <f t="shared" ca="1" si="17"/>
        <v>-1.9792496364197985</v>
      </c>
      <c r="AN158" s="37"/>
      <c r="AO158" s="62">
        <f t="array" aca="1" ref="AO158:AR158" ca="1">TRANSPOSE($B$17:$B$20 + MMULT($D$17:$G$20,TRANSPOSE(AO157:AR157)) + MMULT($N$17:$Q$20,TRANSPOSE(AJ158:AM158)))</f>
        <v>0.6269705901905358</v>
      </c>
      <c r="AP158" s="62">
        <f ca="1"/>
        <v>1.0852034579169278E-2</v>
      </c>
      <c r="AQ158" s="62">
        <f ca="1"/>
        <v>0.52622817701111824</v>
      </c>
      <c r="AR158" s="62">
        <f ca="1"/>
        <v>0.25804299645121109</v>
      </c>
    </row>
    <row r="159" spans="25:44" x14ac:dyDescent="0.15">
      <c r="Y159" s="8">
        <f t="shared" si="18"/>
        <v>156</v>
      </c>
      <c r="Z159" s="61">
        <f t="shared" ca="1" si="16"/>
        <v>1.5384913615981215</v>
      </c>
      <c r="AA159" s="61">
        <f t="shared" ca="1" si="16"/>
        <v>0.62223149851256032</v>
      </c>
      <c r="AB159" s="61">
        <f t="shared" ca="1" si="16"/>
        <v>-2.2335180934491352</v>
      </c>
      <c r="AC159" s="61">
        <f t="shared" ca="1" si="16"/>
        <v>-0.14657813784103374</v>
      </c>
      <c r="AD159" s="37"/>
      <c r="AE159" s="62">
        <f t="array" aca="1" ref="AE159:AH159" ca="1">TRANSPOSE($B$9:$B$12 + MMULT($D$9:$G$12,TRANSPOSE(AO159:AR159)) + MMULT($N$9:$Q$12, TRANSPOSE(Z159:AC159)))</f>
        <v>0.66260692484721229</v>
      </c>
      <c r="AF159" s="62">
        <f ca="1"/>
        <v>1.2898552705705217</v>
      </c>
      <c r="AG159" s="62">
        <f ca="1"/>
        <v>-1.078925291062526</v>
      </c>
      <c r="AH159" s="62">
        <f ca="1"/>
        <v>0.23849032023738714</v>
      </c>
      <c r="AI159" s="37"/>
      <c r="AJ159" s="61">
        <f t="shared" ca="1" si="17"/>
        <v>-1.1202301275782511</v>
      </c>
      <c r="AK159" s="61">
        <f t="shared" ca="1" si="17"/>
        <v>0.58015366820972192</v>
      </c>
      <c r="AL159" s="61">
        <f t="shared" ca="1" si="17"/>
        <v>-1.1348632551304974</v>
      </c>
      <c r="AM159" s="61">
        <f t="shared" ca="1" si="17"/>
        <v>0.14761870825471513</v>
      </c>
      <c r="AN159" s="37"/>
      <c r="AO159" s="62">
        <f t="array" aca="1" ref="AO159:AR159" ca="1">TRANSPOSE($B$17:$B$20 + MMULT($D$17:$G$20,TRANSPOSE(AO158:AR158)) + MMULT($N$17:$Q$20,TRANSPOSE(AJ159:AM159)))</f>
        <v>0.15200759591670471</v>
      </c>
      <c r="AP159" s="62">
        <f ca="1"/>
        <v>0.5724299701517408</v>
      </c>
      <c r="AQ159" s="62">
        <f ca="1"/>
        <v>-0.41736446938611105</v>
      </c>
      <c r="AR159" s="62">
        <f ca="1"/>
        <v>0.15974497182245168</v>
      </c>
    </row>
    <row r="160" spans="25:44" x14ac:dyDescent="0.15">
      <c r="Y160" s="8">
        <f t="shared" si="18"/>
        <v>157</v>
      </c>
      <c r="Z160" s="61">
        <f t="shared" ca="1" si="16"/>
        <v>-0.98898741040799609</v>
      </c>
      <c r="AA160" s="61">
        <f t="shared" ca="1" si="16"/>
        <v>-0.2615700179206441</v>
      </c>
      <c r="AB160" s="61">
        <f t="shared" ca="1" si="16"/>
        <v>-1.0238107790772077</v>
      </c>
      <c r="AC160" s="61">
        <f t="shared" ca="1" si="16"/>
        <v>-1.6478556254466141</v>
      </c>
      <c r="AD160" s="37"/>
      <c r="AE160" s="62">
        <f t="array" aca="1" ref="AE160:AH160" ca="1">TRANSPOSE($B$9:$B$12 + MMULT($D$9:$G$12,TRANSPOSE(AO160:AR160)) + MMULT($N$9:$Q$12, TRANSPOSE(Z160:AC160)))</f>
        <v>-6.0314002039604964E-2</v>
      </c>
      <c r="AF160" s="62">
        <f ca="1"/>
        <v>5.2091872955516538E-2</v>
      </c>
      <c r="AG160" s="62">
        <f ca="1"/>
        <v>-7.2372587172948893E-2</v>
      </c>
      <c r="AH160" s="62">
        <f ca="1"/>
        <v>-0.12585214730639177</v>
      </c>
      <c r="AI160" s="37"/>
      <c r="AJ160" s="61">
        <f t="shared" ca="1" si="17"/>
        <v>-0.45547697485881017</v>
      </c>
      <c r="AK160" s="61">
        <f t="shared" ca="1" si="17"/>
        <v>0.11909256272151543</v>
      </c>
      <c r="AL160" s="61">
        <f t="shared" ca="1" si="17"/>
        <v>-0.19859937959856572</v>
      </c>
      <c r="AM160" s="61">
        <f t="shared" ca="1" si="17"/>
        <v>2.8121766369327936E-2</v>
      </c>
      <c r="AN160" s="37"/>
      <c r="AO160" s="62">
        <f t="array" aca="1" ref="AO160:AR160" ca="1">TRANSPOSE($B$17:$B$20 + MMULT($D$17:$G$20,TRANSPOSE(AO159:AR159)) + MMULT($N$17:$Q$20,TRANSPOSE(AJ160:AM160)))</f>
        <v>0.1474654999089488</v>
      </c>
      <c r="AP160" s="62">
        <f ca="1"/>
        <v>0.29084928647002195</v>
      </c>
      <c r="AQ160" s="62">
        <f ca="1"/>
        <v>3.5782808532788257E-2</v>
      </c>
      <c r="AR160" s="62">
        <f ca="1"/>
        <v>0.10626834661404591</v>
      </c>
    </row>
    <row r="161" spans="25:44" x14ac:dyDescent="0.15">
      <c r="Y161" s="8">
        <f t="shared" si="18"/>
        <v>158</v>
      </c>
      <c r="Z161" s="61">
        <f t="shared" ca="1" si="16"/>
        <v>-0.40023233038388906</v>
      </c>
      <c r="AA161" s="61">
        <f t="shared" ca="1" si="16"/>
        <v>-1.6082956620416693</v>
      </c>
      <c r="AB161" s="61">
        <f t="shared" ca="1" si="16"/>
        <v>-0.82291041529232145</v>
      </c>
      <c r="AC161" s="61">
        <f t="shared" ca="1" si="16"/>
        <v>1.5576963070128995</v>
      </c>
      <c r="AD161" s="37"/>
      <c r="AE161" s="62">
        <f t="array" aca="1" ref="AE161:AH161" ca="1">TRANSPOSE($B$9:$B$12 + MMULT($D$9:$G$12,TRANSPOSE(AO161:AR161)) + MMULT($N$9:$Q$12, TRANSPOSE(Z161:AC161)))</f>
        <v>0.34862789620843637</v>
      </c>
      <c r="AF161" s="62">
        <f ca="1"/>
        <v>-0.37101466366069719</v>
      </c>
      <c r="AG161" s="62">
        <f ca="1"/>
        <v>0.39286603243580054</v>
      </c>
      <c r="AH161" s="62">
        <f ca="1"/>
        <v>0.97922526494245299</v>
      </c>
      <c r="AI161" s="37"/>
      <c r="AJ161" s="61">
        <f t="shared" ca="1" si="17"/>
        <v>-0.15458274630661839</v>
      </c>
      <c r="AK161" s="61">
        <f t="shared" ca="1" si="17"/>
        <v>-3.847895760833242E-2</v>
      </c>
      <c r="AL161" s="61">
        <f t="shared" ca="1" si="17"/>
        <v>0.31085277443980702</v>
      </c>
      <c r="AM161" s="61">
        <f t="shared" ca="1" si="17"/>
        <v>1.2597443934606516</v>
      </c>
      <c r="AN161" s="37"/>
      <c r="AO161" s="62">
        <f t="array" aca="1" ref="AO161:AR161" ca="1">TRANSPOSE($B$17:$B$20 + MMULT($D$17:$G$20,TRANSPOSE(AO160:AR160)) + MMULT($N$17:$Q$20,TRANSPOSE(AJ161:AM161)))</f>
        <v>0.29184370349185945</v>
      </c>
      <c r="AP161" s="62">
        <f ca="1"/>
        <v>0.17769984972094463</v>
      </c>
      <c r="AQ161" s="62">
        <f ca="1"/>
        <v>0.35299742234791154</v>
      </c>
      <c r="AR161" s="62">
        <f ca="1"/>
        <v>0.61216524338268474</v>
      </c>
    </row>
    <row r="162" spans="25:44" x14ac:dyDescent="0.15">
      <c r="Y162" s="8">
        <f t="shared" si="18"/>
        <v>159</v>
      </c>
      <c r="Z162" s="61">
        <f t="shared" ca="1" si="16"/>
        <v>0.44196032521340661</v>
      </c>
      <c r="AA162" s="61">
        <f t="shared" ca="1" si="16"/>
        <v>-1.1586177050976014</v>
      </c>
      <c r="AB162" s="61">
        <f t="shared" ca="1" si="16"/>
        <v>-7.1404973971955554E-2</v>
      </c>
      <c r="AC162" s="61">
        <f t="shared" ca="1" si="16"/>
        <v>-2.5002272860444843</v>
      </c>
      <c r="AD162" s="37"/>
      <c r="AE162" s="62">
        <f t="array" aca="1" ref="AE162:AH162" ca="1">TRANSPOSE($B$9:$B$12 + MMULT($D$9:$G$12,TRANSPOSE(AO162:AR162)) + MMULT($N$9:$Q$12, TRANSPOSE(Z162:AC162)))</f>
        <v>1.1075998694123474</v>
      </c>
      <c r="AF162" s="62">
        <f ca="1"/>
        <v>8.9664002506185059E-2</v>
      </c>
      <c r="AG162" s="62">
        <f ca="1"/>
        <v>0.12578656722866327</v>
      </c>
      <c r="AH162" s="62">
        <f ca="1"/>
        <v>0.36265830950800343</v>
      </c>
      <c r="AI162" s="37"/>
      <c r="AJ162" s="61">
        <f t="shared" ca="1" si="17"/>
        <v>-0.27509759676805345</v>
      </c>
      <c r="AK162" s="61">
        <f t="shared" ca="1" si="17"/>
        <v>0.43235359960489905</v>
      </c>
      <c r="AL162" s="61">
        <f t="shared" ca="1" si="17"/>
        <v>1.2876470402490483</v>
      </c>
      <c r="AM162" s="61">
        <f t="shared" ca="1" si="17"/>
        <v>-1.1439885443591686</v>
      </c>
      <c r="AN162" s="37"/>
      <c r="AO162" s="62">
        <f t="array" aca="1" ref="AO162:AR162" ca="1">TRANSPOSE($B$17:$B$20 + MMULT($D$17:$G$20,TRANSPOSE(AO161:AR161)) + MMULT($N$17:$Q$20,TRANSPOSE(AJ162:AM162)))</f>
        <v>0.35233130015600223</v>
      </c>
      <c r="AP162" s="62">
        <f ca="1"/>
        <v>0.491330923087964</v>
      </c>
      <c r="AQ162" s="62">
        <f ca="1"/>
        <v>0.81133428934272733</v>
      </c>
      <c r="AR162" s="62">
        <f ca="1"/>
        <v>0.27831615140988042</v>
      </c>
    </row>
    <row r="163" spans="25:44" x14ac:dyDescent="0.15">
      <c r="Y163" s="8">
        <f t="shared" si="18"/>
        <v>160</v>
      </c>
      <c r="Z163" s="61">
        <f t="shared" ca="1" si="16"/>
        <v>-2.1569167223972685</v>
      </c>
      <c r="AA163" s="61">
        <f t="shared" ca="1" si="16"/>
        <v>1.6504492664316144</v>
      </c>
      <c r="AB163" s="61">
        <f t="shared" ca="1" si="16"/>
        <v>0.86885365447372409</v>
      </c>
      <c r="AC163" s="61">
        <f t="shared" ca="1" si="16"/>
        <v>-0.85509079445101932</v>
      </c>
      <c r="AD163" s="37"/>
      <c r="AE163" s="62">
        <f t="array" aca="1" ref="AE163:AH163" ca="1">TRANSPOSE($B$9:$B$12 + MMULT($D$9:$G$12,TRANSPOSE(AO163:AR163)) + MMULT($N$9:$Q$12, TRANSPOSE(Z163:AC163)))</f>
        <v>-0.47301707622449335</v>
      </c>
      <c r="AF163" s="62">
        <f ca="1"/>
        <v>0.49733830858824729</v>
      </c>
      <c r="AG163" s="62">
        <f ca="1"/>
        <v>0.76561837387702258</v>
      </c>
      <c r="AH163" s="62">
        <f ca="1"/>
        <v>0.37668958427805455</v>
      </c>
      <c r="AI163" s="37"/>
      <c r="AJ163" s="61">
        <f t="shared" ca="1" si="17"/>
        <v>-2.1038079156558069</v>
      </c>
      <c r="AK163" s="61">
        <f t="shared" ca="1" si="17"/>
        <v>0.31077042646309122</v>
      </c>
      <c r="AL163" s="61">
        <f t="shared" ca="1" si="17"/>
        <v>0.97231053475759632</v>
      </c>
      <c r="AM163" s="61">
        <f t="shared" ca="1" si="17"/>
        <v>-1.0987878958816806</v>
      </c>
      <c r="AN163" s="37"/>
      <c r="AO163" s="62">
        <f t="array" aca="1" ref="AO163:AR163" ca="1">TRANSPOSE($B$17:$B$20 + MMULT($D$17:$G$20,TRANSPOSE(AO162:AR162)) + MMULT($N$17:$Q$20,TRANSPOSE(AJ163:AM163)))</f>
        <v>-0.17305395054489225</v>
      </c>
      <c r="AP163" s="62">
        <f ca="1"/>
        <v>0.50338204421897237</v>
      </c>
      <c r="AQ163" s="62">
        <f ca="1"/>
        <v>0.56522019761779196</v>
      </c>
      <c r="AR163" s="62">
        <f ca="1"/>
        <v>0.20886300801071433</v>
      </c>
    </row>
    <row r="164" spans="25:44" x14ac:dyDescent="0.15">
      <c r="Y164" s="8">
        <f t="shared" si="18"/>
        <v>161</v>
      </c>
      <c r="Z164" s="61">
        <f t="shared" ca="1" si="16"/>
        <v>-1.4073098006255278</v>
      </c>
      <c r="AA164" s="61">
        <f t="shared" ca="1" si="16"/>
        <v>0.42875029221103061</v>
      </c>
      <c r="AB164" s="61">
        <f t="shared" ca="1" si="16"/>
        <v>-0.86753781375779637</v>
      </c>
      <c r="AC164" s="61">
        <f t="shared" ca="1" si="16"/>
        <v>0.72157462598314026</v>
      </c>
      <c r="AD164" s="37"/>
      <c r="AE164" s="62">
        <f t="array" aca="1" ref="AE164:AH164" ca="1">TRANSPOSE($B$9:$B$12 + MMULT($D$9:$G$12,TRANSPOSE(AO164:AR164)) + MMULT($N$9:$Q$12, TRANSPOSE(Z164:AC164)))</f>
        <v>-8.3969712439054323E-2</v>
      </c>
      <c r="AF164" s="62">
        <f ca="1"/>
        <v>0.4164293468727096</v>
      </c>
      <c r="AG164" s="62">
        <f ca="1"/>
        <v>0.24460278873788033</v>
      </c>
      <c r="AH164" s="62">
        <f ca="1"/>
        <v>0.50951117479882335</v>
      </c>
      <c r="AI164" s="37"/>
      <c r="AJ164" s="61">
        <f t="shared" ca="1" si="17"/>
        <v>-0.17317587283568084</v>
      </c>
      <c r="AK164" s="61">
        <f t="shared" ca="1" si="17"/>
        <v>0.58032240782727729</v>
      </c>
      <c r="AL164" s="61">
        <f t="shared" ca="1" si="17"/>
        <v>-0.22901202915518246</v>
      </c>
      <c r="AM164" s="61">
        <f t="shared" ca="1" si="17"/>
        <v>-0.10900320959707774</v>
      </c>
      <c r="AN164" s="37"/>
      <c r="AO164" s="62">
        <f t="array" aca="1" ref="AO164:AR164" ca="1">TRANSPOSE($B$17:$B$20 + MMULT($D$17:$G$20,TRANSPOSE(AO163:AR163)) + MMULT($N$17:$Q$20,TRANSPOSE(AJ164:AM164)))</f>
        <v>0.30048017057114568</v>
      </c>
      <c r="AP164" s="62">
        <f ca="1"/>
        <v>0.43900230138203383</v>
      </c>
      <c r="AQ164" s="62">
        <f ca="1"/>
        <v>0.2088514448438486</v>
      </c>
      <c r="AR164" s="62">
        <f ca="1"/>
        <v>0.32961137354590059</v>
      </c>
    </row>
    <row r="165" spans="25:44" x14ac:dyDescent="0.15">
      <c r="Y165" s="8">
        <f t="shared" si="18"/>
        <v>162</v>
      </c>
      <c r="Z165" s="61">
        <f t="shared" ca="1" si="16"/>
        <v>-1.0957637226803931</v>
      </c>
      <c r="AA165" s="61">
        <f t="shared" ca="1" si="16"/>
        <v>-0.20171392933371851</v>
      </c>
      <c r="AB165" s="61">
        <f t="shared" ca="1" si="16"/>
        <v>1.1328542470895868</v>
      </c>
      <c r="AC165" s="61">
        <f t="shared" ca="1" si="16"/>
        <v>-1.20746851679008</v>
      </c>
      <c r="AD165" s="37"/>
      <c r="AE165" s="62">
        <f t="array" aca="1" ref="AE165:AH165" ca="1">TRANSPOSE($B$9:$B$12 + MMULT($D$9:$G$12,TRANSPOSE(AO165:AR165)) + MMULT($N$9:$Q$12, TRANSPOSE(Z165:AC165)))</f>
        <v>1.3291991552225073</v>
      </c>
      <c r="AF165" s="62">
        <f ca="1"/>
        <v>-2.5248120735111679E-2</v>
      </c>
      <c r="AG165" s="62">
        <f ca="1"/>
        <v>1.9071967002276589</v>
      </c>
      <c r="AH165" s="62">
        <f ca="1"/>
        <v>0.36391354125299202</v>
      </c>
      <c r="AI165" s="37"/>
      <c r="AJ165" s="61">
        <f t="shared" ca="1" si="17"/>
        <v>2.5732060669693664</v>
      </c>
      <c r="AK165" s="61">
        <f t="shared" ca="1" si="17"/>
        <v>-1.055451671895369</v>
      </c>
      <c r="AL165" s="61">
        <f t="shared" ca="1" si="17"/>
        <v>0.72864711339113086</v>
      </c>
      <c r="AM165" s="61">
        <f t="shared" ca="1" si="17"/>
        <v>-0.65462879663946405</v>
      </c>
      <c r="AN165" s="37"/>
      <c r="AO165" s="62">
        <f t="array" aca="1" ref="AO165:AR165" ca="1">TRANSPOSE($B$17:$B$20 + MMULT($D$17:$G$20,TRANSPOSE(AO164:AR164)) + MMULT($N$17:$Q$20,TRANSPOSE(AJ165:AM165)))</f>
        <v>1.2969349993219057</v>
      </c>
      <c r="AP165" s="62">
        <f ca="1"/>
        <v>-8.1411350215819633E-2</v>
      </c>
      <c r="AQ165" s="62">
        <f ca="1"/>
        <v>1.2832480251890708</v>
      </c>
      <c r="AR165" s="62">
        <f ca="1"/>
        <v>0.8167778327243651</v>
      </c>
    </row>
    <row r="166" spans="25:44" x14ac:dyDescent="0.15">
      <c r="Y166" s="8">
        <f t="shared" si="18"/>
        <v>163</v>
      </c>
      <c r="Z166" s="61">
        <f t="shared" ca="1" si="16"/>
        <v>1.4250730558322662</v>
      </c>
      <c r="AA166" s="61">
        <f t="shared" ca="1" si="16"/>
        <v>-0.6328058930018049</v>
      </c>
      <c r="AB166" s="61">
        <f t="shared" ca="1" si="16"/>
        <v>-0.50666128420044998</v>
      </c>
      <c r="AC166" s="61">
        <f t="shared" ca="1" si="16"/>
        <v>0.81969822987194074</v>
      </c>
      <c r="AD166" s="37"/>
      <c r="AE166" s="62">
        <f t="array" aca="1" ref="AE166:AH166" ca="1">TRANSPOSE($B$9:$B$12 + MMULT($D$9:$G$12,TRANSPOSE(AO166:AR166)) + MMULT($N$9:$Q$12, TRANSPOSE(Z166:AC166)))</f>
        <v>1.5836100488158367</v>
      </c>
      <c r="AF166" s="62">
        <f ca="1"/>
        <v>0.79068917298367158</v>
      </c>
      <c r="AG166" s="62">
        <f ca="1"/>
        <v>0.43601056950239525</v>
      </c>
      <c r="AH166" s="62">
        <f ca="1"/>
        <v>1.3019011015334108</v>
      </c>
      <c r="AI166" s="37"/>
      <c r="AJ166" s="61">
        <f t="shared" ca="1" si="17"/>
        <v>-0.36191896974770771</v>
      </c>
      <c r="AK166" s="61">
        <f t="shared" ca="1" si="17"/>
        <v>-0.35206169588211561</v>
      </c>
      <c r="AL166" s="61">
        <f t="shared" ca="1" si="17"/>
        <v>0.40915829140676174</v>
      </c>
      <c r="AM166" s="61">
        <f t="shared" ca="1" si="17"/>
        <v>-0.10957492554040184</v>
      </c>
      <c r="AN166" s="37"/>
      <c r="AO166" s="62">
        <f t="array" aca="1" ref="AO166:AR166" ca="1">TRANSPOSE($B$17:$B$20 + MMULT($D$17:$G$20,TRANSPOSE(AO165:AR165)) + MMULT($N$17:$Q$20,TRANSPOSE(AJ166:AM166)))</f>
        <v>0.71478177448244784</v>
      </c>
      <c r="AP166" s="62">
        <f ca="1"/>
        <v>0.52763216334744756</v>
      </c>
      <c r="AQ166" s="62">
        <f ca="1"/>
        <v>0.81717665309617715</v>
      </c>
      <c r="AR166" s="62">
        <f ca="1"/>
        <v>0.94220483578828318</v>
      </c>
    </row>
    <row r="167" spans="25:44" x14ac:dyDescent="0.15">
      <c r="Y167" s="8">
        <f t="shared" si="18"/>
        <v>164</v>
      </c>
      <c r="Z167" s="61">
        <f t="shared" ca="1" si="16"/>
        <v>-1.620049454141485E-2</v>
      </c>
      <c r="AA167" s="61">
        <f t="shared" ca="1" si="16"/>
        <v>-0.20619997753122099</v>
      </c>
      <c r="AB167" s="61">
        <f t="shared" ca="1" si="16"/>
        <v>-1.1544736512961513</v>
      </c>
      <c r="AC167" s="61">
        <f t="shared" ca="1" si="16"/>
        <v>-1.4233913636110287</v>
      </c>
      <c r="AD167" s="37"/>
      <c r="AE167" s="62">
        <f t="array" aca="1" ref="AE167:AH167" ca="1">TRANSPOSE($B$9:$B$12 + MMULT($D$9:$G$12,TRANSPOSE(AO167:AR167)) + MMULT($N$9:$Q$12, TRANSPOSE(Z167:AC167)))</f>
        <v>0.95470345167483661</v>
      </c>
      <c r="AF167" s="62">
        <f ca="1"/>
        <v>0.27480413002461979</v>
      </c>
      <c r="AG167" s="62">
        <f ca="1"/>
        <v>0.74275217043753461</v>
      </c>
      <c r="AH167" s="62">
        <f ca="1"/>
        <v>-3.1531859063553158E-2</v>
      </c>
      <c r="AI167" s="37"/>
      <c r="AJ167" s="61">
        <f t="shared" ca="1" si="17"/>
        <v>1.0334384958783442</v>
      </c>
      <c r="AK167" s="61">
        <f t="shared" ca="1" si="17"/>
        <v>-1.8900586566258528</v>
      </c>
      <c r="AL167" s="61">
        <f t="shared" ca="1" si="17"/>
        <v>-1.7439048666855459</v>
      </c>
      <c r="AM167" s="61">
        <f t="shared" ca="1" si="17"/>
        <v>-1.2660312610354338</v>
      </c>
      <c r="AN167" s="37"/>
      <c r="AO167" s="62">
        <f t="array" aca="1" ref="AO167:AR167" ca="1">TRANSPOSE($B$17:$B$20 + MMULT($D$17:$G$20,TRANSPOSE(AO166:AR166)) + MMULT($N$17:$Q$20,TRANSPOSE(AJ167:AM167)))</f>
        <v>1.0130701482898461</v>
      </c>
      <c r="AP167" s="62">
        <f ca="1"/>
        <v>-0.15490726568765822</v>
      </c>
      <c r="AQ167" s="62">
        <f ca="1"/>
        <v>0.30137259982435999</v>
      </c>
      <c r="AR167" s="62">
        <f ca="1"/>
        <v>0.79647559498955234</v>
      </c>
    </row>
    <row r="168" spans="25:44" x14ac:dyDescent="0.15">
      <c r="Y168" s="8">
        <f t="shared" si="18"/>
        <v>165</v>
      </c>
      <c r="Z168" s="61">
        <f t="shared" ca="1" si="16"/>
        <v>1.3430502044160562</v>
      </c>
      <c r="AA168" s="61">
        <f t="shared" ca="1" si="16"/>
        <v>9.7077482831442593E-4</v>
      </c>
      <c r="AB168" s="61">
        <f t="shared" ca="1" si="16"/>
        <v>1.2590927287941429</v>
      </c>
      <c r="AC168" s="61">
        <f t="shared" ca="1" si="16"/>
        <v>1.073844539952296</v>
      </c>
      <c r="AD168" s="37"/>
      <c r="AE168" s="62">
        <f t="array" aca="1" ref="AE168:AH168" ca="1">TRANSPOSE($B$9:$B$12 + MMULT($D$9:$G$12,TRANSPOSE(AO168:AR168)) + MMULT($N$9:$Q$12, TRANSPOSE(Z168:AC168)))</f>
        <v>1.4751942751690317</v>
      </c>
      <c r="AF168" s="62">
        <f ca="1"/>
        <v>0.30456659764873983</v>
      </c>
      <c r="AG168" s="62">
        <f ca="1"/>
        <v>1.2212257605381687</v>
      </c>
      <c r="AH168" s="62">
        <f ca="1"/>
        <v>0.33020779370051995</v>
      </c>
      <c r="AI168" s="37"/>
      <c r="AJ168" s="61">
        <f t="shared" ca="1" si="17"/>
        <v>0.55852688409151052</v>
      </c>
      <c r="AK168" s="61">
        <f t="shared" ca="1" si="17"/>
        <v>-2.0564673929783495</v>
      </c>
      <c r="AL168" s="61">
        <f t="shared" ca="1" si="17"/>
        <v>-0.78837587060640069</v>
      </c>
      <c r="AM168" s="61">
        <f t="shared" ca="1" si="17"/>
        <v>-1.6942893756710968</v>
      </c>
      <c r="AN168" s="37"/>
      <c r="AO168" s="62">
        <f t="array" aca="1" ref="AO168:AR168" ca="1">TRANSPOSE($B$17:$B$20 + MMULT($D$17:$G$20,TRANSPOSE(AO167:AR167)) + MMULT($N$17:$Q$20,TRANSPOSE(AJ168:AM168)))</f>
        <v>0.79870833505666605</v>
      </c>
      <c r="AP168" s="62">
        <f ca="1"/>
        <v>-0.36739716383984877</v>
      </c>
      <c r="AQ168" s="62">
        <f ca="1"/>
        <v>0.32661082620397669</v>
      </c>
      <c r="AR168" s="62">
        <f ca="1"/>
        <v>0.48611353383974776</v>
      </c>
    </row>
    <row r="169" spans="25:44" x14ac:dyDescent="0.15">
      <c r="Y169" s="8">
        <f t="shared" si="18"/>
        <v>166</v>
      </c>
      <c r="Z169" s="61">
        <f t="shared" ca="1" si="16"/>
        <v>0.14800447895459731</v>
      </c>
      <c r="AA169" s="61">
        <f t="shared" ca="1" si="16"/>
        <v>1.4011479106870783</v>
      </c>
      <c r="AB169" s="61">
        <f t="shared" ca="1" si="16"/>
        <v>-1.1151523313771445</v>
      </c>
      <c r="AC169" s="61">
        <f t="shared" ca="1" si="16"/>
        <v>-1.513350231280256</v>
      </c>
      <c r="AD169" s="37"/>
      <c r="AE169" s="62">
        <f t="array" aca="1" ref="AE169:AH169" ca="1">TRANSPOSE($B$9:$B$12 + MMULT($D$9:$G$12,TRANSPOSE(AO169:AR169)) + MMULT($N$9:$Q$12, TRANSPOSE(Z169:AC169)))</f>
        <v>1.0989038038796906</v>
      </c>
      <c r="AF169" s="62">
        <f ca="1"/>
        <v>0.62502741290700925</v>
      </c>
      <c r="AG169" s="62">
        <f ca="1"/>
        <v>0.78748706494054066</v>
      </c>
      <c r="AH169" s="62">
        <f ca="1"/>
        <v>0.24609841573410929</v>
      </c>
      <c r="AI169" s="37"/>
      <c r="AJ169" s="61">
        <f t="shared" ca="1" si="17"/>
        <v>0.89021423153241397</v>
      </c>
      <c r="AK169" s="61">
        <f t="shared" ca="1" si="17"/>
        <v>-1.599297518545387</v>
      </c>
      <c r="AL169" s="61">
        <f t="shared" ca="1" si="17"/>
        <v>0.2337593444772309</v>
      </c>
      <c r="AM169" s="61">
        <f t="shared" ca="1" si="17"/>
        <v>0.32815362021211525</v>
      </c>
      <c r="AN169" s="37"/>
      <c r="AO169" s="62">
        <f t="array" aca="1" ref="AO169:AR169" ca="1">TRANSPOSE($B$17:$B$20 + MMULT($D$17:$G$20,TRANSPOSE(AO168:AR168)) + MMULT($N$17:$Q$20,TRANSPOSE(AJ169:AM169)))</f>
        <v>0.82779045179565958</v>
      </c>
      <c r="AP169" s="62">
        <f ca="1"/>
        <v>-0.34255980599238767</v>
      </c>
      <c r="AQ169" s="62">
        <f ca="1"/>
        <v>0.66694512714608689</v>
      </c>
      <c r="AR169" s="62">
        <f ca="1"/>
        <v>0.91302080357441684</v>
      </c>
    </row>
    <row r="170" spans="25:44" x14ac:dyDescent="0.15">
      <c r="Y170" s="8">
        <f t="shared" si="18"/>
        <v>167</v>
      </c>
      <c r="Z170" s="61">
        <f t="shared" ca="1" si="16"/>
        <v>0.27320836705657719</v>
      </c>
      <c r="AA170" s="61">
        <f t="shared" ca="1" si="16"/>
        <v>1.1147099974513091</v>
      </c>
      <c r="AB170" s="61">
        <f t="shared" ca="1" si="16"/>
        <v>-0.83407482291352331</v>
      </c>
      <c r="AC170" s="61">
        <f t="shared" ca="1" si="16"/>
        <v>-0.19707188803730102</v>
      </c>
      <c r="AD170" s="37"/>
      <c r="AE170" s="62">
        <f t="array" aca="1" ref="AE170:AH170" ca="1">TRANSPOSE($B$9:$B$12 + MMULT($D$9:$G$12,TRANSPOSE(AO170:AR170)) + MMULT($N$9:$Q$12, TRANSPOSE(Z170:AC170)))</f>
        <v>0.62692546132774352</v>
      </c>
      <c r="AF170" s="62">
        <f ca="1"/>
        <v>1.5025714012436537</v>
      </c>
      <c r="AG170" s="62">
        <f ca="1"/>
        <v>4.4205617060183056E-2</v>
      </c>
      <c r="AH170" s="62">
        <f ca="1"/>
        <v>0.9992775137858313</v>
      </c>
      <c r="AI170" s="37"/>
      <c r="AJ170" s="61">
        <f t="shared" ca="1" si="17"/>
        <v>-0.99902166451635677</v>
      </c>
      <c r="AK170" s="61">
        <f t="shared" ca="1" si="17"/>
        <v>1.3637656015320332</v>
      </c>
      <c r="AL170" s="61">
        <f t="shared" ca="1" si="17"/>
        <v>1.1266996034337837</v>
      </c>
      <c r="AM170" s="61">
        <f t="shared" ca="1" si="17"/>
        <v>1.4250480080272814</v>
      </c>
      <c r="AN170" s="37"/>
      <c r="AO170" s="62">
        <f t="array" aca="1" ref="AO170:AR170" ca="1">TRANSPOSE($B$17:$B$20 + MMULT($D$17:$G$20,TRANSPOSE(AO169:AR169)) + MMULT($N$17:$Q$20,TRANSPOSE(AJ170:AM170)))</f>
        <v>0.27240723256318022</v>
      </c>
      <c r="AP170" s="62">
        <f ca="1"/>
        <v>0.98643693137281585</v>
      </c>
      <c r="AQ170" s="62">
        <f ca="1"/>
        <v>0.50900748273509011</v>
      </c>
      <c r="AR170" s="62">
        <f ca="1"/>
        <v>0.75518468422673624</v>
      </c>
    </row>
    <row r="171" spans="25:44" x14ac:dyDescent="0.15">
      <c r="Y171" s="8">
        <f t="shared" si="18"/>
        <v>168</v>
      </c>
      <c r="Z171" s="61">
        <f t="shared" ca="1" si="16"/>
        <v>1.0269295686023885</v>
      </c>
      <c r="AA171" s="61">
        <f t="shared" ca="1" si="16"/>
        <v>2.0248949952941619</v>
      </c>
      <c r="AB171" s="61">
        <f t="shared" ca="1" si="16"/>
        <v>-3.8191481433272265E-2</v>
      </c>
      <c r="AC171" s="61">
        <f t="shared" ca="1" si="16"/>
        <v>1.7156010728961386</v>
      </c>
      <c r="AD171" s="37"/>
      <c r="AE171" s="62">
        <f t="array" aca="1" ref="AE171:AH171" ca="1">TRANSPOSE($B$9:$B$12 + MMULT($D$9:$G$12,TRANSPOSE(AO171:AR171)) + MMULT($N$9:$Q$12, TRANSPOSE(Z171:AC171)))</f>
        <v>0.96401313708966052</v>
      </c>
      <c r="AF171" s="62">
        <f ca="1"/>
        <v>1.8716610999005878</v>
      </c>
      <c r="AG171" s="62">
        <f ca="1"/>
        <v>0.41187397996589353</v>
      </c>
      <c r="AH171" s="62">
        <f ca="1"/>
        <v>1.1092825518763698</v>
      </c>
      <c r="AI171" s="37"/>
      <c r="AJ171" s="61">
        <f t="shared" ca="1" si="17"/>
        <v>-0.28700844649861151</v>
      </c>
      <c r="AK171" s="61">
        <f t="shared" ca="1" si="17"/>
        <v>0.39879638932495931</v>
      </c>
      <c r="AL171" s="61">
        <f t="shared" ca="1" si="17"/>
        <v>-0.47694062606322335</v>
      </c>
      <c r="AM171" s="61">
        <f t="shared" ca="1" si="17"/>
        <v>0.80856997607083492</v>
      </c>
      <c r="AN171" s="37"/>
      <c r="AO171" s="62">
        <f t="array" aca="1" ref="AO171:AR171" ca="1">TRANSPOSE($B$17:$B$20 + MMULT($D$17:$G$20,TRANSPOSE(AO170:AR170)) + MMULT($N$17:$Q$20,TRANSPOSE(AJ171:AM171)))</f>
        <v>0.4313600547807605</v>
      </c>
      <c r="AP171" s="62">
        <f ca="1"/>
        <v>0.71419929555871642</v>
      </c>
      <c r="AQ171" s="62">
        <f ca="1"/>
        <v>0.35275343993219471</v>
      </c>
      <c r="AR171" s="62">
        <f ca="1"/>
        <v>0.75956844605942353</v>
      </c>
    </row>
    <row r="172" spans="25:44" x14ac:dyDescent="0.15">
      <c r="Y172" s="8">
        <f t="shared" si="18"/>
        <v>169</v>
      </c>
      <c r="Z172" s="61">
        <f t="shared" ca="1" si="16"/>
        <v>0.49918936316528933</v>
      </c>
      <c r="AA172" s="61">
        <f t="shared" ca="1" si="16"/>
        <v>-7.8405403539892421E-2</v>
      </c>
      <c r="AB172" s="61">
        <f t="shared" ca="1" si="16"/>
        <v>0.37381976572779735</v>
      </c>
      <c r="AC172" s="61">
        <f t="shared" ca="1" si="16"/>
        <v>-1.585195099154884</v>
      </c>
      <c r="AD172" s="37"/>
      <c r="AE172" s="62">
        <f t="array" aca="1" ref="AE172:AH172" ca="1">TRANSPOSE($B$9:$B$12 + MMULT($D$9:$G$12,TRANSPOSE(AO172:AR172)) + MMULT($N$9:$Q$12, TRANSPOSE(Z172:AC172)))</f>
        <v>1.134626693887955</v>
      </c>
      <c r="AF172" s="62">
        <f ca="1"/>
        <v>0.33033776733940912</v>
      </c>
      <c r="AG172" s="62">
        <f ca="1"/>
        <v>1.0080647085438719</v>
      </c>
      <c r="AH172" s="62">
        <f ca="1"/>
        <v>0.47487206490338019</v>
      </c>
      <c r="AI172" s="37"/>
      <c r="AJ172" s="61">
        <f t="shared" ca="1" si="17"/>
        <v>0.12236330921323428</v>
      </c>
      <c r="AK172" s="61">
        <f t="shared" ca="1" si="17"/>
        <v>-1.1157472819061831</v>
      </c>
      <c r="AL172" s="61">
        <f t="shared" ca="1" si="17"/>
        <v>0.17598643453641988</v>
      </c>
      <c r="AM172" s="61">
        <f t="shared" ca="1" si="17"/>
        <v>-0.23743572545056893</v>
      </c>
      <c r="AN172" s="37"/>
      <c r="AO172" s="62">
        <f t="array" aca="1" ref="AO172:AR172" ca="1">TRANSPOSE($B$17:$B$20 + MMULT($D$17:$G$20,TRANSPOSE(AO171:AR171)) + MMULT($N$17:$Q$20,TRANSPOSE(AJ172:AM172)))</f>
        <v>0.56818055203605078</v>
      </c>
      <c r="AP172" s="62">
        <f ca="1"/>
        <v>5.2993077444770054E-2</v>
      </c>
      <c r="AQ172" s="62">
        <f ca="1"/>
        <v>0.78260784498834857</v>
      </c>
      <c r="AR172" s="62">
        <f ca="1"/>
        <v>0.82636848620736258</v>
      </c>
    </row>
    <row r="173" spans="25:44" x14ac:dyDescent="0.15">
      <c r="Y173" s="8">
        <f t="shared" si="18"/>
        <v>170</v>
      </c>
      <c r="Z173" s="61">
        <f t="shared" ca="1" si="16"/>
        <v>-0.71001153567895492</v>
      </c>
      <c r="AA173" s="61">
        <f t="shared" ca="1" si="16"/>
        <v>0.47311166895197349</v>
      </c>
      <c r="AB173" s="61">
        <f t="shared" ca="1" si="16"/>
        <v>-0.38051496710855448</v>
      </c>
      <c r="AC173" s="61">
        <f t="shared" ca="1" si="16"/>
        <v>0.24822006281039469</v>
      </c>
      <c r="AD173" s="37"/>
      <c r="AE173" s="62">
        <f t="array" aca="1" ref="AE173:AH173" ca="1">TRANSPOSE($B$9:$B$12 + MMULT($D$9:$G$12,TRANSPOSE(AO173:AR173)) + MMULT($N$9:$Q$12, TRANSPOSE(Z173:AC173)))</f>
        <v>0.53559059429722211</v>
      </c>
      <c r="AF173" s="62">
        <f ca="1"/>
        <v>0.32219211947220422</v>
      </c>
      <c r="AG173" s="62">
        <f ca="1"/>
        <v>1.0329428114882258</v>
      </c>
      <c r="AH173" s="62">
        <f ca="1"/>
        <v>0.44051456407163431</v>
      </c>
      <c r="AI173" s="37"/>
      <c r="AJ173" s="61">
        <f t="shared" ca="1" si="17"/>
        <v>0.3942003071624603</v>
      </c>
      <c r="AK173" s="61">
        <f t="shared" ca="1" si="17"/>
        <v>-1.211389915903764</v>
      </c>
      <c r="AL173" s="61">
        <f t="shared" ca="1" si="17"/>
        <v>-0.56155018837145465</v>
      </c>
      <c r="AM173" s="61">
        <f t="shared" ca="1" si="17"/>
        <v>-0.52356814539682528</v>
      </c>
      <c r="AN173" s="37"/>
      <c r="AO173" s="62">
        <f t="array" aca="1" ref="AO173:AR173" ca="1">TRANSPOSE($B$17:$B$20 + MMULT($D$17:$G$20,TRANSPOSE(AO172:AR172)) + MMULT($N$17:$Q$20,TRANSPOSE(AJ173:AM173)))</f>
        <v>0.71481441570101989</v>
      </c>
      <c r="AP173" s="62">
        <f ca="1"/>
        <v>-6.9876909621668204E-2</v>
      </c>
      <c r="AQ173" s="62">
        <f ca="1"/>
        <v>0.43130673887318749</v>
      </c>
      <c r="AR173" s="62">
        <f ca="1"/>
        <v>0.79268501242648781</v>
      </c>
    </row>
    <row r="174" spans="25:44" x14ac:dyDescent="0.15">
      <c r="Y174" s="8">
        <f t="shared" si="18"/>
        <v>171</v>
      </c>
      <c r="Z174" s="61">
        <f t="shared" ca="1" si="16"/>
        <v>-0.81213051707588302</v>
      </c>
      <c r="AA174" s="61">
        <f t="shared" ca="1" si="16"/>
        <v>0.3607750234047627</v>
      </c>
      <c r="AB174" s="61">
        <f t="shared" ca="1" si="16"/>
        <v>1.3976207141831853</v>
      </c>
      <c r="AC174" s="61">
        <f t="shared" ca="1" si="16"/>
        <v>-0.88001236807191574</v>
      </c>
      <c r="AD174" s="37"/>
      <c r="AE174" s="62">
        <f t="array" aca="1" ref="AE174:AH174" ca="1">TRANSPOSE($B$9:$B$12 + MMULT($D$9:$G$12,TRANSPOSE(AO174:AR174)) + MMULT($N$9:$Q$12, TRANSPOSE(Z174:AC174)))</f>
        <v>0.55466987503064491</v>
      </c>
      <c r="AF174" s="62">
        <f ca="1"/>
        <v>0.57723052550675236</v>
      </c>
      <c r="AG174" s="62">
        <f ca="1"/>
        <v>1.0540432659562993</v>
      </c>
      <c r="AH174" s="62">
        <f ca="1"/>
        <v>0.54086313380461482</v>
      </c>
      <c r="AI174" s="37"/>
      <c r="AJ174" s="61">
        <f t="shared" ca="1" si="17"/>
        <v>-0.54678365111025184</v>
      </c>
      <c r="AK174" s="61">
        <f t="shared" ca="1" si="17"/>
        <v>0.51672057838618324</v>
      </c>
      <c r="AL174" s="61">
        <f t="shared" ca="1" si="17"/>
        <v>1.3819785859384679</v>
      </c>
      <c r="AM174" s="61">
        <f t="shared" ca="1" si="17"/>
        <v>-0.61158651705249834</v>
      </c>
      <c r="AN174" s="37"/>
      <c r="AO174" s="62">
        <f t="array" aca="1" ref="AO174:AR174" ca="1">TRANSPOSE($B$17:$B$20 + MMULT($D$17:$G$20,TRANSPOSE(AO173:AR173)) + MMULT($N$17:$Q$20,TRANSPOSE(AJ174:AM174)))</f>
        <v>0.37395645262306465</v>
      </c>
      <c r="AP174" s="62">
        <f ca="1"/>
        <v>0.63361500331238563</v>
      </c>
      <c r="AQ174" s="62">
        <f ca="1"/>
        <v>0.80683242698703972</v>
      </c>
      <c r="AR174" s="62">
        <f ca="1"/>
        <v>0.42927120754216208</v>
      </c>
    </row>
    <row r="175" spans="25:44" x14ac:dyDescent="0.15">
      <c r="Y175" s="8">
        <f t="shared" si="18"/>
        <v>172</v>
      </c>
      <c r="Z175" s="61">
        <f t="shared" ca="1" si="16"/>
        <v>-0.90905763050667454</v>
      </c>
      <c r="AA175" s="61">
        <f t="shared" ca="1" si="16"/>
        <v>-0.69120052356344563</v>
      </c>
      <c r="AB175" s="61">
        <f t="shared" ca="1" si="16"/>
        <v>-0.58638995495080948</v>
      </c>
      <c r="AC175" s="61">
        <f t="shared" ca="1" si="16"/>
        <v>0.88944383391207449</v>
      </c>
      <c r="AD175" s="37"/>
      <c r="AE175" s="62">
        <f t="array" aca="1" ref="AE175:AH175" ca="1">TRANSPOSE($B$9:$B$12 + MMULT($D$9:$G$12,TRANSPOSE(AO175:AR175)) + MMULT($N$9:$Q$12, TRANSPOSE(Z175:AC175)))</f>
        <v>0.14333571406202122</v>
      </c>
      <c r="AF175" s="62">
        <f ca="1"/>
        <v>-0.55018072823196107</v>
      </c>
      <c r="AG175" s="62">
        <f ca="1"/>
        <v>1.1571442252875745</v>
      </c>
      <c r="AH175" s="62">
        <f ca="1"/>
        <v>0.93855482983506</v>
      </c>
      <c r="AI175" s="37"/>
      <c r="AJ175" s="61">
        <f t="shared" ca="1" si="17"/>
        <v>-0.84958028768513205</v>
      </c>
      <c r="AK175" s="61">
        <f t="shared" ca="1" si="17"/>
        <v>-1.9155365216891658</v>
      </c>
      <c r="AL175" s="61">
        <f t="shared" ca="1" si="17"/>
        <v>-0.29807572092287876</v>
      </c>
      <c r="AM175" s="61">
        <f t="shared" ca="1" si="17"/>
        <v>0.63411704392497037</v>
      </c>
      <c r="AN175" s="37"/>
      <c r="AO175" s="62">
        <f t="array" aca="1" ref="AO175:AR175" ca="1">TRANSPOSE($B$17:$B$20 + MMULT($D$17:$G$20,TRANSPOSE(AO174:AR174)) + MMULT($N$17:$Q$20,TRANSPOSE(AJ175:AM175)))</f>
        <v>0.2715606222188951</v>
      </c>
      <c r="AP175" s="62">
        <f ca="1"/>
        <v>-0.3526017096883185</v>
      </c>
      <c r="AQ175" s="62">
        <f ca="1"/>
        <v>0.54887740973349242</v>
      </c>
      <c r="AR175" s="62">
        <f ca="1"/>
        <v>1.0851345790251801</v>
      </c>
    </row>
    <row r="176" spans="25:44" x14ac:dyDescent="0.15">
      <c r="Y176" s="8">
        <f t="shared" si="18"/>
        <v>173</v>
      </c>
      <c r="Z176" s="61">
        <f t="shared" ca="1" si="16"/>
        <v>-1.6588831811626872</v>
      </c>
      <c r="AA176" s="61">
        <f t="shared" ca="1" si="16"/>
        <v>0.44796667946322971</v>
      </c>
      <c r="AB176" s="61">
        <f t="shared" ca="1" si="16"/>
        <v>0.18623110349410943</v>
      </c>
      <c r="AC176" s="61">
        <f t="shared" ca="1" si="16"/>
        <v>-0.55700061936999268</v>
      </c>
      <c r="AD176" s="37"/>
      <c r="AE176" s="62">
        <f t="array" aca="1" ref="AE176:AH176" ca="1">TRANSPOSE($B$9:$B$12 + MMULT($D$9:$G$12,TRANSPOSE(AO176:AR176)) + MMULT($N$9:$Q$12, TRANSPOSE(Z176:AC176)))</f>
        <v>-0.13973378334816533</v>
      </c>
      <c r="AF176" s="62">
        <f ca="1"/>
        <v>0.27671435807274247</v>
      </c>
      <c r="AG176" s="62">
        <f ca="1"/>
        <v>-1.8089989604785917E-5</v>
      </c>
      <c r="AH176" s="62">
        <f ca="1"/>
        <v>0.49811043932759203</v>
      </c>
      <c r="AI176" s="37"/>
      <c r="AJ176" s="61">
        <f t="shared" ca="1" si="17"/>
        <v>-1.7831251701173711</v>
      </c>
      <c r="AK176" s="61">
        <f t="shared" ca="1" si="17"/>
        <v>1.218663701100317</v>
      </c>
      <c r="AL176" s="61">
        <f t="shared" ca="1" si="17"/>
        <v>1.8379232094028437</v>
      </c>
      <c r="AM176" s="61">
        <f t="shared" ca="1" si="17"/>
        <v>-2.4336382665329994</v>
      </c>
      <c r="AN176" s="37"/>
      <c r="AO176" s="62">
        <f t="array" aca="1" ref="AO176:AR176" ca="1">TRANSPOSE($B$17:$B$20 + MMULT($D$17:$G$20,TRANSPOSE(AO175:AR175)) + MMULT($N$17:$Q$20,TRANSPOSE(AJ176:AM176)))</f>
        <v>-0.14669707300583634</v>
      </c>
      <c r="AP176" s="62">
        <f ca="1"/>
        <v>0.74275579522419888</v>
      </c>
      <c r="AQ176" s="62">
        <f ca="1"/>
        <v>0.59433928017356585</v>
      </c>
      <c r="AR176" s="62">
        <f ca="1"/>
        <v>-0.1570214362225566</v>
      </c>
    </row>
    <row r="177" spans="25:44" x14ac:dyDescent="0.15">
      <c r="Y177" s="8">
        <f t="shared" si="18"/>
        <v>174</v>
      </c>
      <c r="Z177" s="61">
        <f t="shared" ca="1" si="16"/>
        <v>0.93162846011608269</v>
      </c>
      <c r="AA177" s="61">
        <f t="shared" ca="1" si="16"/>
        <v>-0.69384646191977961</v>
      </c>
      <c r="AB177" s="61">
        <f t="shared" ca="1" si="16"/>
        <v>1.4382482695512737</v>
      </c>
      <c r="AC177" s="61">
        <f t="shared" ca="1" si="16"/>
        <v>0.81220773441856842</v>
      </c>
      <c r="AD177" s="37"/>
      <c r="AE177" s="62">
        <f t="array" aca="1" ref="AE177:AH177" ca="1">TRANSPOSE($B$9:$B$12 + MMULT($D$9:$G$12,TRANSPOSE(AO177:AR177)) + MMULT($N$9:$Q$12, TRANSPOSE(Z177:AC177)))</f>
        <v>1.227771731397038</v>
      </c>
      <c r="AF177" s="62">
        <f ca="1"/>
        <v>-0.22095885905824034</v>
      </c>
      <c r="AG177" s="62">
        <f ca="1"/>
        <v>0.84548999155424687</v>
      </c>
      <c r="AH177" s="62">
        <f ca="1"/>
        <v>0.90289389788467234</v>
      </c>
      <c r="AI177" s="37"/>
      <c r="AJ177" s="61">
        <f t="shared" ca="1" si="17"/>
        <v>-0.56092687519549556</v>
      </c>
      <c r="AK177" s="61">
        <f t="shared" ca="1" si="17"/>
        <v>-0.76371970343565077</v>
      </c>
      <c r="AL177" s="61">
        <f t="shared" ca="1" si="17"/>
        <v>0.85783737630076684</v>
      </c>
      <c r="AM177" s="61">
        <f t="shared" ca="1" si="17"/>
        <v>-1.3939873797173341</v>
      </c>
      <c r="AN177" s="37"/>
      <c r="AO177" s="62">
        <f t="array" aca="1" ref="AO177:AR177" ca="1">TRANSPOSE($B$17:$B$20 + MMULT($D$17:$G$20,TRANSPOSE(AO176:AR176)) + MMULT($N$17:$Q$20,TRANSPOSE(AJ177:AM177)))</f>
        <v>0.1806785558628943</v>
      </c>
      <c r="AP177" s="62">
        <f ca="1"/>
        <v>-0.11268108829195464</v>
      </c>
      <c r="AQ177" s="62">
        <f ca="1"/>
        <v>0.84112084835398859</v>
      </c>
      <c r="AR177" s="62">
        <f ca="1"/>
        <v>0.31041734397166532</v>
      </c>
    </row>
    <row r="178" spans="25:44" x14ac:dyDescent="0.15">
      <c r="Y178" s="8">
        <f t="shared" si="18"/>
        <v>175</v>
      </c>
      <c r="Z178" s="61">
        <f t="shared" ca="1" si="16"/>
        <v>-4.0625306720285415E-2</v>
      </c>
      <c r="AA178" s="61">
        <f t="shared" ca="1" si="16"/>
        <v>-0.11379551165818234</v>
      </c>
      <c r="AB178" s="61">
        <f t="shared" ca="1" si="16"/>
        <v>0.1962362893221429</v>
      </c>
      <c r="AC178" s="61">
        <f t="shared" ca="1" si="16"/>
        <v>-0.52324755739244844</v>
      </c>
      <c r="AD178" s="37"/>
      <c r="AE178" s="62">
        <f t="array" aca="1" ref="AE178:AH178" ca="1">TRANSPOSE($B$9:$B$12 + MMULT($D$9:$G$12,TRANSPOSE(AO178:AR178)) + MMULT($N$9:$Q$12, TRANSPOSE(Z178:AC178)))</f>
        <v>6.6576696157678472E-2</v>
      </c>
      <c r="AF178" s="62">
        <f ca="1"/>
        <v>-0.68961515342494628</v>
      </c>
      <c r="AG178" s="62">
        <f ca="1"/>
        <v>1.2886762460838392</v>
      </c>
      <c r="AH178" s="62">
        <f ca="1"/>
        <v>5.3125088968885265E-2</v>
      </c>
      <c r="AI178" s="37"/>
      <c r="AJ178" s="61">
        <f t="shared" ca="1" si="17"/>
        <v>-1.3216449727994661</v>
      </c>
      <c r="AK178" s="61">
        <f t="shared" ca="1" si="17"/>
        <v>-2.7064861974703867</v>
      </c>
      <c r="AL178" s="61">
        <f t="shared" ca="1" si="17"/>
        <v>-0.91868509961487388</v>
      </c>
      <c r="AM178" s="61">
        <f t="shared" ca="1" si="17"/>
        <v>3.3014078587318543E-2</v>
      </c>
      <c r="AN178" s="37"/>
      <c r="AO178" s="62">
        <f t="array" aca="1" ref="AO178:AR178" ca="1">TRANSPOSE($B$17:$B$20 + MMULT($D$17:$G$20,TRANSPOSE(AO177:AR177)) + MMULT($N$17:$Q$20,TRANSPOSE(AJ178:AM178)))</f>
        <v>7.9097562071884786E-3</v>
      </c>
      <c r="AP178" s="62">
        <f ca="1"/>
        <v>-0.9668430846144912</v>
      </c>
      <c r="AQ178" s="62">
        <f ca="1"/>
        <v>9.9852078918255538E-4</v>
      </c>
      <c r="AR178" s="62">
        <f ca="1"/>
        <v>0.83535887252246832</v>
      </c>
    </row>
    <row r="179" spans="25:44" x14ac:dyDescent="0.15">
      <c r="Y179" s="8">
        <f t="shared" si="18"/>
        <v>176</v>
      </c>
      <c r="Z179" s="61">
        <f t="shared" ca="1" si="16"/>
        <v>-0.13536283069525223</v>
      </c>
      <c r="AA179" s="61">
        <f t="shared" ca="1" si="16"/>
        <v>0.39344628824245642</v>
      </c>
      <c r="AB179" s="61">
        <f t="shared" ca="1" si="16"/>
        <v>-0.58909068997552816</v>
      </c>
      <c r="AC179" s="61">
        <f t="shared" ca="1" si="16"/>
        <v>-2.1510227764089999E-2</v>
      </c>
      <c r="AD179" s="37"/>
      <c r="AE179" s="62">
        <f t="array" aca="1" ref="AE179:AH179" ca="1">TRANSPOSE($B$9:$B$12 + MMULT($D$9:$G$12,TRANSPOSE(AO179:AR179)) + MMULT($N$9:$Q$12, TRANSPOSE(Z179:AC179)))</f>
        <v>0.6649318807169442</v>
      </c>
      <c r="AF179" s="62">
        <f ca="1"/>
        <v>0.86631783795792516</v>
      </c>
      <c r="AG179" s="62">
        <f ca="1"/>
        <v>0.25467633594072098</v>
      </c>
      <c r="AH179" s="62">
        <f ca="1"/>
        <v>-0.22905800185149164</v>
      </c>
      <c r="AI179" s="37"/>
      <c r="AJ179" s="61">
        <f t="shared" ca="1" si="17"/>
        <v>1.8978211175370592</v>
      </c>
      <c r="AK179" s="61">
        <f t="shared" ca="1" si="17"/>
        <v>0.9440690619202301</v>
      </c>
      <c r="AL179" s="61">
        <f t="shared" ca="1" si="17"/>
        <v>-0.58604896997426115</v>
      </c>
      <c r="AM179" s="61">
        <f t="shared" ca="1" si="17"/>
        <v>-0.3507650805345312</v>
      </c>
      <c r="AN179" s="37"/>
      <c r="AO179" s="62">
        <f t="array" aca="1" ref="AO179:AR179" ca="1">TRANSPOSE($B$17:$B$20 + MMULT($D$17:$G$20,TRANSPOSE(AO178:AR178)) + MMULT($N$17:$Q$20,TRANSPOSE(AJ179:AM179)))</f>
        <v>0.88588821228623482</v>
      </c>
      <c r="AP179" s="62">
        <f ca="1"/>
        <v>0.34679019734917904</v>
      </c>
      <c r="AQ179" s="62">
        <f ca="1"/>
        <v>-0.18704993351869137</v>
      </c>
      <c r="AR179" s="62">
        <f ca="1"/>
        <v>0.13759148681582997</v>
      </c>
    </row>
    <row r="180" spans="25:44" x14ac:dyDescent="0.15">
      <c r="Y180" s="8">
        <f t="shared" si="18"/>
        <v>177</v>
      </c>
      <c r="Z180" s="61">
        <f t="shared" ca="1" si="16"/>
        <v>-0.63041502202055288</v>
      </c>
      <c r="AA180" s="61">
        <f t="shared" ca="1" si="16"/>
        <v>-1.3118949620568985</v>
      </c>
      <c r="AB180" s="61">
        <f t="shared" ca="1" si="16"/>
        <v>0.23328510106631228</v>
      </c>
      <c r="AC180" s="61">
        <f t="shared" ca="1" si="16"/>
        <v>-1.0600754632902487</v>
      </c>
      <c r="AD180" s="37"/>
      <c r="AE180" s="62">
        <f t="array" aca="1" ref="AE180:AH180" ca="1">TRANSPOSE($B$9:$B$12 + MMULT($D$9:$G$12,TRANSPOSE(AO180:AR180)) + MMULT($N$9:$Q$12, TRANSPOSE(Z180:AC180)))</f>
        <v>0.20766861290756344</v>
      </c>
      <c r="AF180" s="62">
        <f ca="1"/>
        <v>-0.33583293775697304</v>
      </c>
      <c r="AG180" s="62">
        <f ca="1"/>
        <v>0.55514529485712716</v>
      </c>
      <c r="AH180" s="62">
        <f ca="1"/>
        <v>0.15546511448984718</v>
      </c>
      <c r="AI180" s="37"/>
      <c r="AJ180" s="61">
        <f t="shared" ca="1" si="17"/>
        <v>-0.94041472250027058</v>
      </c>
      <c r="AK180" s="61">
        <f t="shared" ca="1" si="17"/>
        <v>-0.49580503446467938</v>
      </c>
      <c r="AL180" s="61">
        <f t="shared" ca="1" si="17"/>
        <v>0.11552753484490388</v>
      </c>
      <c r="AM180" s="61">
        <f t="shared" ca="1" si="17"/>
        <v>4.4246474342459034E-2</v>
      </c>
      <c r="AN180" s="37"/>
      <c r="AO180" s="62">
        <f t="array" aca="1" ref="AO180:AR180" ca="1">TRANSPOSE($B$17:$B$20 + MMULT($D$17:$G$20,TRANSPOSE(AO179:AR179)) + MMULT($N$17:$Q$20,TRANSPOSE(AJ180:AM180)))</f>
        <v>0.19284095842491172</v>
      </c>
      <c r="AP180" s="62">
        <f ca="1"/>
        <v>0.22723174983294098</v>
      </c>
      <c r="AQ180" s="62">
        <f ca="1"/>
        <v>0.24954732526629331</v>
      </c>
      <c r="AR180" s="62">
        <f ca="1"/>
        <v>0.28582233656881045</v>
      </c>
    </row>
    <row r="181" spans="25:44" x14ac:dyDescent="0.15">
      <c r="Y181" s="8">
        <f t="shared" si="18"/>
        <v>178</v>
      </c>
      <c r="Z181" s="61">
        <f t="shared" ca="1" si="16"/>
        <v>-1.1696820963860213</v>
      </c>
      <c r="AA181" s="61">
        <f t="shared" ca="1" si="16"/>
        <v>1.5290280123033833</v>
      </c>
      <c r="AB181" s="61">
        <f t="shared" ca="1" si="16"/>
        <v>-1.5216134395166261</v>
      </c>
      <c r="AC181" s="61">
        <f t="shared" ca="1" si="16"/>
        <v>0.36709401698566069</v>
      </c>
      <c r="AD181" s="37"/>
      <c r="AE181" s="62">
        <f t="array" aca="1" ref="AE181:AH181" ca="1">TRANSPOSE($B$9:$B$12 + MMULT($D$9:$G$12,TRANSPOSE(AO181:AR181)) + MMULT($N$9:$Q$12, TRANSPOSE(Z181:AC181)))</f>
        <v>-0.1868238157782805</v>
      </c>
      <c r="AF181" s="62">
        <f ca="1"/>
        <v>0.78538345840961898</v>
      </c>
      <c r="AG181" s="62">
        <f ca="1"/>
        <v>0.14080098137004704</v>
      </c>
      <c r="AH181" s="62">
        <f ca="1"/>
        <v>0.49017047558781157</v>
      </c>
      <c r="AI181" s="37"/>
      <c r="AJ181" s="61">
        <f t="shared" ca="1" si="17"/>
        <v>-0.59334755270134731</v>
      </c>
      <c r="AK181" s="61">
        <f t="shared" ca="1" si="17"/>
        <v>0.1307273481774219</v>
      </c>
      <c r="AL181" s="61">
        <f t="shared" ca="1" si="17"/>
        <v>-0.14969313503093332</v>
      </c>
      <c r="AM181" s="61">
        <f t="shared" ca="1" si="17"/>
        <v>1.0894111189037421</v>
      </c>
      <c r="AN181" s="37"/>
      <c r="AO181" s="62">
        <f t="array" aca="1" ref="AO181:AR181" ca="1">TRANSPOSE($B$17:$B$20 + MMULT($D$17:$G$20,TRANSPOSE(AO180:AR180)) + MMULT($N$17:$Q$20,TRANSPOSE(AJ181:AM181)))</f>
        <v>0.19180824299330357</v>
      </c>
      <c r="AP181" s="62">
        <f ca="1"/>
        <v>0.28418478257932284</v>
      </c>
      <c r="AQ181" s="62">
        <f ca="1"/>
        <v>0.104246893223988</v>
      </c>
      <c r="AR181" s="62">
        <f ca="1"/>
        <v>0.55599285689457167</v>
      </c>
    </row>
    <row r="182" spans="25:44" x14ac:dyDescent="0.15">
      <c r="Y182" s="8">
        <f t="shared" si="18"/>
        <v>179</v>
      </c>
      <c r="Z182" s="61">
        <f t="shared" ca="1" si="16"/>
        <v>1.3559522548853711</v>
      </c>
      <c r="AA182" s="61">
        <f t="shared" ca="1" si="16"/>
        <v>-6.7789974915894946E-2</v>
      </c>
      <c r="AB182" s="61">
        <f t="shared" ca="1" si="16"/>
        <v>-0.73936486980295102</v>
      </c>
      <c r="AC182" s="61">
        <f t="shared" ca="1" si="16"/>
        <v>1.5081316714985882</v>
      </c>
      <c r="AD182" s="37"/>
      <c r="AE182" s="62">
        <f t="array" aca="1" ref="AE182:AH182" ca="1">TRANSPOSE($B$9:$B$12 + MMULT($D$9:$G$12,TRANSPOSE(AO182:AR182)) + MMULT($N$9:$Q$12, TRANSPOSE(Z182:AC182)))</f>
        <v>0.95815322320384511</v>
      </c>
      <c r="AF182" s="62">
        <f ca="1"/>
        <v>0.67061008337936856</v>
      </c>
      <c r="AG182" s="62">
        <f ca="1"/>
        <v>0.21134260881161349</v>
      </c>
      <c r="AH182" s="62">
        <f ca="1"/>
        <v>1.0864542099579655</v>
      </c>
      <c r="AI182" s="37"/>
      <c r="AJ182" s="61">
        <f t="shared" ca="1" si="17"/>
        <v>-0.33497178889981666</v>
      </c>
      <c r="AK182" s="61">
        <f t="shared" ca="1" si="17"/>
        <v>-0.12982714471793277</v>
      </c>
      <c r="AL182" s="61">
        <f t="shared" ca="1" si="17"/>
        <v>6.2385639885825579E-2</v>
      </c>
      <c r="AM182" s="61">
        <f t="shared" ca="1" si="17"/>
        <v>1.4859205163553153</v>
      </c>
      <c r="AN182" s="37"/>
      <c r="AO182" s="62">
        <f t="array" aca="1" ref="AO182:AR182" ca="1">TRANSPOSE($B$17:$B$20 + MMULT($D$17:$G$20,TRANSPOSE(AO181:AR181)) + MMULT($N$17:$Q$20,TRANSPOSE(AJ182:AM182)))</f>
        <v>0.27413443910990754</v>
      </c>
      <c r="AP182" s="62">
        <f ca="1"/>
        <v>0.2217065742751668</v>
      </c>
      <c r="AQ182" s="62">
        <f ca="1"/>
        <v>0.27550783444425175</v>
      </c>
      <c r="AR182" s="62">
        <f ca="1"/>
        <v>0.77896602598026266</v>
      </c>
    </row>
    <row r="183" spans="25:44" x14ac:dyDescent="0.15">
      <c r="Y183" s="8">
        <f t="shared" si="18"/>
        <v>180</v>
      </c>
      <c r="Z183" s="61">
        <f t="shared" ca="1" si="16"/>
        <v>2.0262069503383637</v>
      </c>
      <c r="AA183" s="61">
        <f t="shared" ca="1" si="16"/>
        <v>-0.13443259017447121</v>
      </c>
      <c r="AB183" s="61">
        <f t="shared" ca="1" si="16"/>
        <v>0.57524423380684397</v>
      </c>
      <c r="AC183" s="61">
        <f t="shared" ca="1" si="16"/>
        <v>-1.0573047717247164</v>
      </c>
      <c r="AD183" s="37"/>
      <c r="AE183" s="62">
        <f t="array" aca="1" ref="AE183:AH183" ca="1">TRANSPOSE($B$9:$B$12 + MMULT($D$9:$G$12,TRANSPOSE(AO183:AR183)) + MMULT($N$9:$Q$12, TRANSPOSE(Z183:AC183)))</f>
        <v>1.0897733182560883</v>
      </c>
      <c r="AF183" s="62">
        <f ca="1"/>
        <v>0.93312415451526987</v>
      </c>
      <c r="AG183" s="62">
        <f ca="1"/>
        <v>0.11329944094132721</v>
      </c>
      <c r="AH183" s="62">
        <f ca="1"/>
        <v>-7.2735677143214036E-2</v>
      </c>
      <c r="AI183" s="37"/>
      <c r="AJ183" s="61">
        <f t="shared" ca="1" si="17"/>
        <v>-0.47462357710468495</v>
      </c>
      <c r="AK183" s="61">
        <f t="shared" ca="1" si="17"/>
        <v>0.12188087042601839</v>
      </c>
      <c r="AL183" s="61">
        <f t="shared" ca="1" si="17"/>
        <v>-1.0361087829790885</v>
      </c>
      <c r="AM183" s="61">
        <f t="shared" ca="1" si="17"/>
        <v>-0.74089808094645015</v>
      </c>
      <c r="AN183" s="37"/>
      <c r="AO183" s="62">
        <f t="array" aca="1" ref="AO183:AR183" ca="1">TRANSPOSE($B$17:$B$20 + MMULT($D$17:$G$20,TRANSPOSE(AO182:AR182)) + MMULT($N$17:$Q$20,TRANSPOSE(AJ183:AM183)))</f>
        <v>0.28030685726034588</v>
      </c>
      <c r="AP183" s="62">
        <f ca="1"/>
        <v>0.38274817075223233</v>
      </c>
      <c r="AQ183" s="62">
        <f ca="1"/>
        <v>-0.21306215789153282</v>
      </c>
      <c r="AR183" s="62">
        <f ca="1"/>
        <v>0.17704929135030523</v>
      </c>
    </row>
    <row r="184" spans="25:44" x14ac:dyDescent="0.15">
      <c r="Y184" s="8">
        <f t="shared" si="18"/>
        <v>181</v>
      </c>
      <c r="Z184" s="61">
        <f t="shared" ca="1" si="16"/>
        <v>-0.4022379472158279</v>
      </c>
      <c r="AA184" s="61">
        <f t="shared" ca="1" si="16"/>
        <v>1.1812879320283285</v>
      </c>
      <c r="AB184" s="61">
        <f t="shared" ca="1" si="16"/>
        <v>1.4629094257267561</v>
      </c>
      <c r="AC184" s="61">
        <f t="shared" ca="1" si="16"/>
        <v>0.32451757796006764</v>
      </c>
      <c r="AD184" s="37"/>
      <c r="AE184" s="62">
        <f t="array" aca="1" ref="AE184:AH184" ca="1">TRANSPOSE($B$9:$B$12 + MMULT($D$9:$G$12,TRANSPOSE(AO184:AR184)) + MMULT($N$9:$Q$12, TRANSPOSE(Z184:AC184)))</f>
        <v>0.1483215739567057</v>
      </c>
      <c r="AF184" s="62">
        <f ca="1"/>
        <v>0.92667997102154054</v>
      </c>
      <c r="AG184" s="62">
        <f ca="1"/>
        <v>0.53136620489099451</v>
      </c>
      <c r="AH184" s="62">
        <f ca="1"/>
        <v>-0.38252134419030326</v>
      </c>
      <c r="AI184" s="37"/>
      <c r="AJ184" s="61">
        <f t="shared" ca="1" si="17"/>
        <v>-0.17530435566124106</v>
      </c>
      <c r="AK184" s="61">
        <f t="shared" ca="1" si="17"/>
        <v>0.43022681611018382</v>
      </c>
      <c r="AL184" s="61">
        <f t="shared" ca="1" si="17"/>
        <v>-1.1360899366220742</v>
      </c>
      <c r="AM184" s="61">
        <f t="shared" ca="1" si="17"/>
        <v>-1.3937743685358517</v>
      </c>
      <c r="AN184" s="37"/>
      <c r="AO184" s="62">
        <f t="array" aca="1" ref="AO184:AR184" ca="1">TRANSPOSE($B$17:$B$20 + MMULT($D$17:$G$20,TRANSPOSE(AO183:AR183)) + MMULT($N$17:$Q$20,TRANSPOSE(AJ184:AM184)))</f>
        <v>0.29274929498852764</v>
      </c>
      <c r="AP184" s="62">
        <f ca="1"/>
        <v>0.43625247989745075</v>
      </c>
      <c r="AQ184" s="62">
        <f ca="1"/>
        <v>-0.35460395750978579</v>
      </c>
      <c r="AR184" s="62">
        <f ca="1"/>
        <v>-0.31464943814768687</v>
      </c>
    </row>
    <row r="185" spans="25:44" x14ac:dyDescent="0.15">
      <c r="Y185" s="8">
        <f t="shared" si="18"/>
        <v>182</v>
      </c>
      <c r="Z185" s="61">
        <f t="shared" ca="1" si="16"/>
        <v>-0.83694123061173942</v>
      </c>
      <c r="AA185" s="61">
        <f t="shared" ca="1" si="16"/>
        <v>-2.0614707728531725</v>
      </c>
      <c r="AB185" s="61">
        <f t="shared" ca="1" si="16"/>
        <v>-0.89996240982187825</v>
      </c>
      <c r="AC185" s="61">
        <f t="shared" ca="1" si="16"/>
        <v>1.2154267512930157</v>
      </c>
      <c r="AD185" s="37"/>
      <c r="AE185" s="62">
        <f t="array" aca="1" ref="AE185:AH185" ca="1">TRANSPOSE($B$9:$B$12 + MMULT($D$9:$G$12,TRANSPOSE(AO185:AR185)) + MMULT($N$9:$Q$12, TRANSPOSE(Z185:AC185)))</f>
        <v>0.712471954878237</v>
      </c>
      <c r="AF185" s="62">
        <f ca="1"/>
        <v>-0.47488286965604831</v>
      </c>
      <c r="AG185" s="62">
        <f ca="1"/>
        <v>-2.253211166510169E-2</v>
      </c>
      <c r="AH185" s="62">
        <f ca="1"/>
        <v>0.78680346114394362</v>
      </c>
      <c r="AI185" s="37"/>
      <c r="AJ185" s="61">
        <f t="shared" ca="1" si="17"/>
        <v>0.86960002086203247</v>
      </c>
      <c r="AK185" s="61">
        <f t="shared" ca="1" si="17"/>
        <v>0.54960730289789017</v>
      </c>
      <c r="AL185" s="61">
        <f t="shared" ca="1" si="17"/>
        <v>0.79872378079551765</v>
      </c>
      <c r="AM185" s="61">
        <f t="shared" ca="1" si="17"/>
        <v>-0.39429400655476776</v>
      </c>
      <c r="AN185" s="37"/>
      <c r="AO185" s="62">
        <f t="array" aca="1" ref="AO185:AR185" ca="1">TRANSPOSE($B$17:$B$20 + MMULT($D$17:$G$20,TRANSPOSE(AO184:AR184)) + MMULT($N$17:$Q$20,TRANSPOSE(AJ185:AM185)))</f>
        <v>0.60675837473240435</v>
      </c>
      <c r="AP185" s="62">
        <f ca="1"/>
        <v>0.43459310766987058</v>
      </c>
      <c r="AQ185" s="62">
        <f ca="1"/>
        <v>0.62434426013261923</v>
      </c>
      <c r="AR185" s="62">
        <f ca="1"/>
        <v>5.3280038530175267E-2</v>
      </c>
    </row>
    <row r="186" spans="25:44" x14ac:dyDescent="0.15">
      <c r="Y186" s="8">
        <f t="shared" si="18"/>
        <v>183</v>
      </c>
      <c r="Z186" s="61">
        <f t="shared" ca="1" si="16"/>
        <v>-0.79362214498098149</v>
      </c>
      <c r="AA186" s="61">
        <f t="shared" ca="1" si="16"/>
        <v>1.32570612933095</v>
      </c>
      <c r="AB186" s="61">
        <f t="shared" ca="1" si="16"/>
        <v>1.7970105561020089</v>
      </c>
      <c r="AC186" s="61">
        <f t="shared" ca="1" si="16"/>
        <v>1.1685643086711219</v>
      </c>
      <c r="AD186" s="37"/>
      <c r="AE186" s="62">
        <f t="array" aca="1" ref="AE186:AH186" ca="1">TRANSPOSE($B$9:$B$12 + MMULT($D$9:$G$12,TRANSPOSE(AO186:AR186)) + MMULT($N$9:$Q$12, TRANSPOSE(Z186:AC186)))</f>
        <v>1.3799325742807558</v>
      </c>
      <c r="AF186" s="62">
        <f ca="1"/>
        <v>1.330480674161088</v>
      </c>
      <c r="AG186" s="62">
        <f ca="1"/>
        <v>1.4394291537762718</v>
      </c>
      <c r="AH186" s="62">
        <f ca="1"/>
        <v>1.0468965529636496</v>
      </c>
      <c r="AI186" s="37"/>
      <c r="AJ186" s="61">
        <f t="shared" ca="1" si="17"/>
        <v>1.6892365221258603</v>
      </c>
      <c r="AK186" s="61">
        <f t="shared" ca="1" si="17"/>
        <v>1.0222413265354284</v>
      </c>
      <c r="AL186" s="61">
        <f t="shared" ca="1" si="17"/>
        <v>1.379727947058133</v>
      </c>
      <c r="AM186" s="61">
        <f t="shared" ca="1" si="17"/>
        <v>-0.55374894636786054</v>
      </c>
      <c r="AN186" s="37"/>
      <c r="AO186" s="62">
        <f t="array" aca="1" ref="AO186:AR186" ca="1">TRANSPOSE($B$17:$B$20 + MMULT($D$17:$G$20,TRANSPOSE(AO185:AR185)) + MMULT($N$17:$Q$20,TRANSPOSE(AJ186:AM186)))</f>
        <v>1.1273136335590999</v>
      </c>
      <c r="AP186" s="62">
        <f ca="1"/>
        <v>0.87390439954881993</v>
      </c>
      <c r="AQ186" s="62">
        <f ca="1"/>
        <v>1.3031720985428787</v>
      </c>
      <c r="AR186" s="62">
        <f ca="1"/>
        <v>0.51436717857459735</v>
      </c>
    </row>
    <row r="187" spans="25:44" x14ac:dyDescent="0.15">
      <c r="Y187" s="8">
        <f t="shared" si="18"/>
        <v>184</v>
      </c>
      <c r="Z187" s="61">
        <f t="shared" ca="1" si="16"/>
        <v>-1.0320555641919338</v>
      </c>
      <c r="AA187" s="61">
        <f t="shared" ca="1" si="16"/>
        <v>-1.1493618080056958</v>
      </c>
      <c r="AB187" s="61">
        <f t="shared" ca="1" si="16"/>
        <v>-1.8709096593369463</v>
      </c>
      <c r="AC187" s="61">
        <f t="shared" ca="1" si="16"/>
        <v>0.22302405430839278</v>
      </c>
      <c r="AD187" s="37"/>
      <c r="AE187" s="62">
        <f t="array" aca="1" ref="AE187:AH187" ca="1">TRANSPOSE($B$9:$B$12 + MMULT($D$9:$G$12,TRANSPOSE(AO187:AR187)) + MMULT($N$9:$Q$12, TRANSPOSE(Z187:AC187)))</f>
        <v>0.6996054367847846</v>
      </c>
      <c r="AF187" s="62">
        <f ca="1"/>
        <v>0.54301167807882511</v>
      </c>
      <c r="AG187" s="62">
        <f ca="1"/>
        <v>4.8475179436108462E-2</v>
      </c>
      <c r="AH187" s="62">
        <f ca="1"/>
        <v>0.93986330564159415</v>
      </c>
      <c r="AI187" s="37"/>
      <c r="AJ187" s="61">
        <f t="shared" ca="1" si="17"/>
        <v>0.25772756227577531</v>
      </c>
      <c r="AK187" s="61">
        <f t="shared" ca="1" si="17"/>
        <v>0.35657601365473901</v>
      </c>
      <c r="AL187" s="61">
        <f t="shared" ca="1" si="17"/>
        <v>-0.58563619815329981</v>
      </c>
      <c r="AM187" s="61">
        <f t="shared" ca="1" si="17"/>
        <v>-0.69394670279323956</v>
      </c>
      <c r="AN187" s="37"/>
      <c r="AO187" s="62">
        <f t="array" aca="1" ref="AO187:AR187" ca="1">TRANSPOSE($B$17:$B$20 + MMULT($D$17:$G$20,TRANSPOSE(AO186:AR186)) + MMULT($N$17:$Q$20,TRANSPOSE(AJ187:AM187)))</f>
        <v>0.93594819871901469</v>
      </c>
      <c r="AP187" s="62">
        <f ca="1"/>
        <v>0.98294295068803428</v>
      </c>
      <c r="AQ187" s="62">
        <f ca="1"/>
        <v>0.68707928096112703</v>
      </c>
      <c r="AR187" s="62">
        <f ca="1"/>
        <v>0.6827133489248931</v>
      </c>
    </row>
    <row r="188" spans="25:44" x14ac:dyDescent="0.15">
      <c r="Y188" s="8">
        <f t="shared" si="18"/>
        <v>185</v>
      </c>
      <c r="Z188" s="61">
        <f t="shared" ca="1" si="16"/>
        <v>-0.71032785585279401</v>
      </c>
      <c r="AA188" s="61">
        <f t="shared" ca="1" si="16"/>
        <v>-6.9245334950394352E-2</v>
      </c>
      <c r="AB188" s="61">
        <f t="shared" ca="1" si="16"/>
        <v>-0.18754565642793508</v>
      </c>
      <c r="AC188" s="61">
        <f t="shared" ca="1" si="16"/>
        <v>-0.62083518132494631</v>
      </c>
      <c r="AD188" s="37"/>
      <c r="AE188" s="62">
        <f t="array" aca="1" ref="AE188:AH188" ca="1">TRANSPOSE($B$9:$B$12 + MMULT($D$9:$G$12,TRANSPOSE(AO188:AR188)) + MMULT($N$9:$Q$12, TRANSPOSE(Z188:AC188)))</f>
        <v>1.2215409818917744</v>
      </c>
      <c r="AF188" s="62">
        <f ca="1"/>
        <v>0.19073682390967231</v>
      </c>
      <c r="AG188" s="62">
        <f ca="1"/>
        <v>1.3804420737231233</v>
      </c>
      <c r="AH188" s="62">
        <f ca="1"/>
        <v>1.1638205886047435</v>
      </c>
      <c r="AI188" s="37"/>
      <c r="AJ188" s="61">
        <f t="shared" ca="1" si="17"/>
        <v>0.61235432240494359</v>
      </c>
      <c r="AK188" s="61">
        <f t="shared" ca="1" si="17"/>
        <v>-1.5295528116792292</v>
      </c>
      <c r="AL188" s="61">
        <f t="shared" ca="1" si="17"/>
        <v>0.87942558683131744</v>
      </c>
      <c r="AM188" s="61">
        <f t="shared" ca="1" si="17"/>
        <v>-9.483011574627298E-2</v>
      </c>
      <c r="AN188" s="37"/>
      <c r="AO188" s="62">
        <f t="array" aca="1" ref="AO188:AR188" ca="1">TRANSPOSE($B$17:$B$20 + MMULT($D$17:$G$20,TRANSPOSE(AO187:AR187)) + MMULT($N$17:$Q$20,TRANSPOSE(AJ188:AM188)))</f>
        <v>0.93002746895311672</v>
      </c>
      <c r="AP188" s="62">
        <f ca="1"/>
        <v>0.13743949624206264</v>
      </c>
      <c r="AQ188" s="62">
        <f ca="1"/>
        <v>1.4775442995723453</v>
      </c>
      <c r="AR188" s="62">
        <f ca="1"/>
        <v>1.2225900608909055</v>
      </c>
    </row>
    <row r="189" spans="25:44" x14ac:dyDescent="0.15">
      <c r="Y189" s="8">
        <f t="shared" si="18"/>
        <v>186</v>
      </c>
      <c r="Z189" s="61">
        <f t="shared" ca="1" si="16"/>
        <v>1.8397934755937204</v>
      </c>
      <c r="AA189" s="61">
        <f t="shared" ca="1" si="16"/>
        <v>-0.4095995123013414</v>
      </c>
      <c r="AB189" s="61">
        <f t="shared" ca="1" si="16"/>
        <v>6.5902888687586897E-2</v>
      </c>
      <c r="AC189" s="61">
        <f t="shared" ca="1" si="16"/>
        <v>1.1330392921921115</v>
      </c>
      <c r="AD189" s="37"/>
      <c r="AE189" s="62">
        <f t="array" aca="1" ref="AE189:AH189" ca="1">TRANSPOSE($B$9:$B$12 + MMULT($D$9:$G$12,TRANSPOSE(AO189:AR189)) + MMULT($N$9:$Q$12, TRANSPOSE(Z189:AC189)))</f>
        <v>1.8905227676870262</v>
      </c>
      <c r="AF189" s="62">
        <f ca="1"/>
        <v>1.095387782787629</v>
      </c>
      <c r="AG189" s="62">
        <f ca="1"/>
        <v>1.1397994760787207</v>
      </c>
      <c r="AH189" s="62">
        <f ca="1"/>
        <v>1.3872665664907227</v>
      </c>
      <c r="AI189" s="37"/>
      <c r="AJ189" s="61">
        <f t="shared" ca="1" si="17"/>
        <v>0.74504318377948042</v>
      </c>
      <c r="AK189" s="61">
        <f t="shared" ca="1" si="17"/>
        <v>-0.60986013807506911</v>
      </c>
      <c r="AL189" s="61">
        <f t="shared" ca="1" si="17"/>
        <v>-0.26883928104078075</v>
      </c>
      <c r="AM189" s="61">
        <f t="shared" ca="1" si="17"/>
        <v>0.68327869255999141</v>
      </c>
      <c r="AN189" s="37"/>
      <c r="AO189" s="62">
        <f t="array" aca="1" ref="AO189:AR189" ca="1">TRANSPOSE($B$17:$B$20 + MMULT($D$17:$G$20,TRANSPOSE(AO188:AR188)) + MMULT($N$17:$Q$20,TRANSPOSE(AJ189:AM189)))</f>
        <v>1.0555876066800396</v>
      </c>
      <c r="AP189" s="62">
        <f ca="1"/>
        <v>0.44035829724576003</v>
      </c>
      <c r="AQ189" s="62">
        <f ca="1"/>
        <v>0.84668635735576181</v>
      </c>
      <c r="AR189" s="62">
        <f ca="1"/>
        <v>1.4014331787944403</v>
      </c>
    </row>
    <row r="190" spans="25:44" x14ac:dyDescent="0.15">
      <c r="Y190" s="8">
        <f t="shared" si="18"/>
        <v>187</v>
      </c>
      <c r="Z190" s="61">
        <f t="shared" ca="1" si="16"/>
        <v>1.5417589899668094</v>
      </c>
      <c r="AA190" s="61">
        <f t="shared" ca="1" si="16"/>
        <v>-1.3275607413295369</v>
      </c>
      <c r="AB190" s="61">
        <f t="shared" ca="1" si="16"/>
        <v>0.44500161878130529</v>
      </c>
      <c r="AC190" s="61">
        <f t="shared" ca="1" si="16"/>
        <v>0.46843670202211307</v>
      </c>
      <c r="AD190" s="37"/>
      <c r="AE190" s="62">
        <f t="array" aca="1" ref="AE190:AH190" ca="1">TRANSPOSE($B$9:$B$12 + MMULT($D$9:$G$12,TRANSPOSE(AO190:AR190)) + MMULT($N$9:$Q$12, TRANSPOSE(Z190:AC190)))</f>
        <v>1.7850026292765961</v>
      </c>
      <c r="AF190" s="62">
        <f ca="1"/>
        <v>0.91720570240118526</v>
      </c>
      <c r="AG190" s="62">
        <f ca="1"/>
        <v>0.55516239108516663</v>
      </c>
      <c r="AH190" s="62">
        <f ca="1"/>
        <v>1.9446849626459577</v>
      </c>
      <c r="AI190" s="37"/>
      <c r="AJ190" s="61">
        <f t="shared" ca="1" si="17"/>
        <v>-0.75311849459901492</v>
      </c>
      <c r="AK190" s="61">
        <f t="shared" ca="1" si="17"/>
        <v>0.92545166288482816</v>
      </c>
      <c r="AL190" s="61">
        <f t="shared" ca="1" si="17"/>
        <v>2.0516813194302137</v>
      </c>
      <c r="AM190" s="61">
        <f t="shared" ca="1" si="17"/>
        <v>0.59325531988554248</v>
      </c>
      <c r="AN190" s="37"/>
      <c r="AO190" s="62">
        <f t="array" aca="1" ref="AO190:AR190" ca="1">TRANSPOSE($B$17:$B$20 + MMULT($D$17:$G$20,TRANSPOSE(AO189:AR189)) + MMULT($N$17:$Q$20,TRANSPOSE(AJ190:AM190)))</f>
        <v>0.52116771229660863</v>
      </c>
      <c r="AP190" s="62">
        <f ca="1"/>
        <v>1.1713157213181338</v>
      </c>
      <c r="AQ190" s="62">
        <f ca="1"/>
        <v>1.3929692457649954</v>
      </c>
      <c r="AR190" s="62">
        <f ca="1"/>
        <v>1.0830465294048095</v>
      </c>
    </row>
    <row r="191" spans="25:44" x14ac:dyDescent="0.15">
      <c r="Y191" s="8">
        <f t="shared" si="18"/>
        <v>188</v>
      </c>
      <c r="Z191" s="61">
        <f t="shared" ca="1" si="16"/>
        <v>0.37826966664595962</v>
      </c>
      <c r="AA191" s="61">
        <f t="shared" ca="1" si="16"/>
        <v>0.24043633589349866</v>
      </c>
      <c r="AB191" s="61">
        <f t="shared" ca="1" si="16"/>
        <v>-0.25653742762456244</v>
      </c>
      <c r="AC191" s="61">
        <f t="shared" ca="1" si="16"/>
        <v>-0.14755754575310279</v>
      </c>
      <c r="AD191" s="37"/>
      <c r="AE191" s="62">
        <f t="array" aca="1" ref="AE191:AH191" ca="1">TRANSPOSE($B$9:$B$12 + MMULT($D$9:$G$12,TRANSPOSE(AO191:AR191)) + MMULT($N$9:$Q$12, TRANSPOSE(Z191:AC191)))</f>
        <v>1.3774147203547384</v>
      </c>
      <c r="AF191" s="62">
        <f ca="1"/>
        <v>0.86739435225907346</v>
      </c>
      <c r="AG191" s="62">
        <f ca="1"/>
        <v>0.98288790961972172</v>
      </c>
      <c r="AH191" s="62">
        <f ca="1"/>
        <v>1.2784291510834302</v>
      </c>
      <c r="AI191" s="37"/>
      <c r="AJ191" s="61">
        <f t="shared" ca="1" si="17"/>
        <v>0.17764277519104377</v>
      </c>
      <c r="AK191" s="61">
        <f t="shared" ca="1" si="17"/>
        <v>-0.74531074072229486</v>
      </c>
      <c r="AL191" s="61">
        <f t="shared" ca="1" si="17"/>
        <v>9.0054539335268399E-2</v>
      </c>
      <c r="AM191" s="61">
        <f t="shared" ca="1" si="17"/>
        <v>-0.45251184698650404</v>
      </c>
      <c r="AN191" s="37"/>
      <c r="AO191" s="62">
        <f t="array" aca="1" ref="AO191:AR191" ca="1">TRANSPOSE($B$17:$B$20 + MMULT($D$17:$G$20,TRANSPOSE(AO190:AR190)) + MMULT($N$17:$Q$20,TRANSPOSE(AJ191:AM191)))</f>
        <v>0.81279049475133536</v>
      </c>
      <c r="AP191" s="62">
        <f ca="1"/>
        <v>0.48203676800479867</v>
      </c>
      <c r="AQ191" s="62">
        <f ca="1"/>
        <v>1.1739063801421872</v>
      </c>
      <c r="AR191" s="62">
        <f ca="1"/>
        <v>1.2083111348946711</v>
      </c>
    </row>
    <row r="192" spans="25:44" x14ac:dyDescent="0.15">
      <c r="Y192" s="8">
        <f t="shared" si="18"/>
        <v>189</v>
      </c>
      <c r="Z192" s="61">
        <f t="shared" ca="1" si="16"/>
        <v>-0.55098748416201637</v>
      </c>
      <c r="AA192" s="61">
        <f t="shared" ca="1" si="16"/>
        <v>-1.4700520267210453</v>
      </c>
      <c r="AB192" s="61">
        <f t="shared" ca="1" si="16"/>
        <v>2.3568543513993641</v>
      </c>
      <c r="AC192" s="61">
        <f t="shared" ca="1" si="16"/>
        <v>0.16393188008049833</v>
      </c>
      <c r="AD192" s="37"/>
      <c r="AE192" s="62">
        <f t="array" aca="1" ref="AE192:AH192" ca="1">TRANSPOSE($B$9:$B$12 + MMULT($D$9:$G$12,TRANSPOSE(AO192:AR192)) + MMULT($N$9:$Q$12, TRANSPOSE(Z192:AC192)))</f>
        <v>0.64130254114752427</v>
      </c>
      <c r="AF192" s="62">
        <f ca="1"/>
        <v>0.39301641832110468</v>
      </c>
      <c r="AG192" s="62">
        <f ca="1"/>
        <v>2.0413494582927116</v>
      </c>
      <c r="AH192" s="62">
        <f ca="1"/>
        <v>0.96294148264496959</v>
      </c>
      <c r="AI192" s="37"/>
      <c r="AJ192" s="61">
        <f t="shared" ca="1" si="17"/>
        <v>-0.18702557310338133</v>
      </c>
      <c r="AK192" s="61">
        <f t="shared" ca="1" si="17"/>
        <v>0.34800405834923398</v>
      </c>
      <c r="AL192" s="61">
        <f t="shared" ca="1" si="17"/>
        <v>0.11517002822331013</v>
      </c>
      <c r="AM192" s="61">
        <f t="shared" ca="1" si="17"/>
        <v>0.81383862544468977</v>
      </c>
      <c r="AN192" s="37"/>
      <c r="AO192" s="62">
        <f t="array" aca="1" ref="AO192:AR192" ca="1">TRANSPOSE($B$17:$B$20 + MMULT($D$17:$G$20,TRANSPOSE(AO191:AR191)) + MMULT($N$17:$Q$20,TRANSPOSE(AJ192:AM192)))</f>
        <v>0.69036150710411748</v>
      </c>
      <c r="AP192" s="62">
        <f ca="1"/>
        <v>0.85905710633638366</v>
      </c>
      <c r="AQ192" s="62">
        <f ca="1"/>
        <v>0.75520153458184491</v>
      </c>
      <c r="AR192" s="62">
        <f ca="1"/>
        <v>1.1400495523958132</v>
      </c>
    </row>
    <row r="193" spans="25:44" x14ac:dyDescent="0.15">
      <c r="Y193" s="8">
        <f t="shared" si="18"/>
        <v>190</v>
      </c>
      <c r="Z193" s="61">
        <f t="shared" ca="1" si="16"/>
        <v>-0.62884406033744356</v>
      </c>
      <c r="AA193" s="61">
        <f t="shared" ca="1" si="16"/>
        <v>-0.36295174120158286</v>
      </c>
      <c r="AB193" s="61">
        <f t="shared" ca="1" si="16"/>
        <v>0.90709223594160926</v>
      </c>
      <c r="AC193" s="61">
        <f t="shared" ca="1" si="16"/>
        <v>-5.4999630632972668E-2</v>
      </c>
      <c r="AD193" s="37"/>
      <c r="AE193" s="62">
        <f t="array" aca="1" ref="AE193:AH193" ca="1">TRANSPOSE($B$9:$B$12 + MMULT($D$9:$G$12,TRANSPOSE(AO193:AR193)) + MMULT($N$9:$Q$12, TRANSPOSE(Z193:AC193)))</f>
        <v>0.77869595577277506</v>
      </c>
      <c r="AF193" s="62">
        <f ca="1"/>
        <v>1.7478113741425956</v>
      </c>
      <c r="AG193" s="62">
        <f ca="1"/>
        <v>0.78344282907114571</v>
      </c>
      <c r="AH193" s="62">
        <f ca="1"/>
        <v>0.75186632695560307</v>
      </c>
      <c r="AI193" s="37"/>
      <c r="AJ193" s="61">
        <f t="shared" ca="1" si="17"/>
        <v>0.96634463100036661</v>
      </c>
      <c r="AK193" s="61">
        <f t="shared" ca="1" si="17"/>
        <v>2.638097818905599</v>
      </c>
      <c r="AL193" s="61">
        <f t="shared" ca="1" si="17"/>
        <v>-0.28987899774919162</v>
      </c>
      <c r="AM193" s="61">
        <f t="shared" ca="1" si="17"/>
        <v>0.59466850835165286</v>
      </c>
      <c r="AN193" s="37"/>
      <c r="AO193" s="62">
        <f t="array" aca="1" ref="AO193:AR193" ca="1">TRANSPOSE($B$17:$B$20 + MMULT($D$17:$G$20,TRANSPOSE(AO192:AR192)) + MMULT($N$17:$Q$20,TRANSPOSE(AJ193:AM193)))</f>
        <v>1.0083069688584001</v>
      </c>
      <c r="AP193" s="62">
        <f ca="1"/>
        <v>1.8551525845096011</v>
      </c>
      <c r="AQ193" s="62">
        <f ca="1"/>
        <v>0.51390296814375735</v>
      </c>
      <c r="AR193" s="62">
        <f ca="1"/>
        <v>0.61888993466214037</v>
      </c>
    </row>
    <row r="194" spans="25:44" x14ac:dyDescent="0.15">
      <c r="Y194" s="8">
        <f t="shared" si="18"/>
        <v>191</v>
      </c>
      <c r="Z194" s="61">
        <f t="shared" ca="1" si="16"/>
        <v>-2.4081418942896939</v>
      </c>
      <c r="AA194" s="61">
        <f t="shared" ca="1" si="16"/>
        <v>-0.47650895900537693</v>
      </c>
      <c r="AB194" s="61">
        <f t="shared" ca="1" si="16"/>
        <v>-1.4128791889088221</v>
      </c>
      <c r="AC194" s="61">
        <f t="shared" ca="1" si="16"/>
        <v>-0.25775519915097006</v>
      </c>
      <c r="AD194" s="37"/>
      <c r="AE194" s="62">
        <f t="array" aca="1" ref="AE194:AH194" ca="1">TRANSPOSE($B$9:$B$12 + MMULT($D$9:$G$12,TRANSPOSE(AO194:AR194)) + MMULT($N$9:$Q$12, TRANSPOSE(Z194:AC194)))</f>
        <v>-0.30967414406414395</v>
      </c>
      <c r="AF194" s="62">
        <f ca="1"/>
        <v>0.58434464279973808</v>
      </c>
      <c r="AG194" s="62">
        <f ca="1"/>
        <v>0.24267564826848625</v>
      </c>
      <c r="AH194" s="62">
        <f ca="1"/>
        <v>0.77351319819663722</v>
      </c>
      <c r="AI194" s="37"/>
      <c r="AJ194" s="61">
        <f t="shared" ca="1" si="17"/>
        <v>-0.82966236639900515</v>
      </c>
      <c r="AK194" s="61">
        <f t="shared" ca="1" si="17"/>
        <v>0.47582126026445509</v>
      </c>
      <c r="AL194" s="61">
        <f t="shared" ca="1" si="17"/>
        <v>-0.82373395391814219</v>
      </c>
      <c r="AM194" s="61">
        <f t="shared" ca="1" si="17"/>
        <v>0.254338410072664</v>
      </c>
      <c r="AN194" s="37"/>
      <c r="AO194" s="62">
        <f t="array" aca="1" ref="AO194:AR194" ca="1">TRANSPOSE($B$17:$B$20 + MMULT($D$17:$G$20,TRANSPOSE(AO193:AR193)) + MMULT($N$17:$Q$20,TRANSPOSE(AJ194:AM194)))</f>
        <v>0.49754105668223914</v>
      </c>
      <c r="AP194" s="62">
        <f ca="1"/>
        <v>1.1948893555778031</v>
      </c>
      <c r="AQ194" s="62">
        <f ca="1"/>
        <v>0.48513323110094986</v>
      </c>
      <c r="AR194" s="62">
        <f ca="1"/>
        <v>0.6503986808804183</v>
      </c>
    </row>
    <row r="195" spans="25:44" x14ac:dyDescent="0.15">
      <c r="Y195" s="8">
        <f t="shared" si="18"/>
        <v>192</v>
      </c>
      <c r="Z195" s="61">
        <f t="shared" ca="1" si="16"/>
        <v>0.25733193933960319</v>
      </c>
      <c r="AA195" s="61">
        <f t="shared" ca="1" si="16"/>
        <v>6.4703264997092155E-2</v>
      </c>
      <c r="AB195" s="61">
        <f t="shared" ca="1" si="16"/>
        <v>-3.5010649733153966E-2</v>
      </c>
      <c r="AC195" s="61">
        <f ca="1">NORMSINV(RAND())</f>
        <v>-1.6353353195987776E-2</v>
      </c>
      <c r="AD195" s="37"/>
      <c r="AE195" s="62">
        <f t="array" aca="1" ref="AE195:AH195" ca="1">TRANSPOSE($B$9:$B$12 + MMULT($D$9:$G$12,TRANSPOSE(AO195:AR195)) + MMULT($N$9:$Q$12, TRANSPOSE(Z195:AC195)))</f>
        <v>1.4700710662952734</v>
      </c>
      <c r="AF195" s="62">
        <f ca="1"/>
        <v>0.62308054582223471</v>
      </c>
      <c r="AG195" s="62">
        <f ca="1"/>
        <v>1.3966192355601899</v>
      </c>
      <c r="AH195" s="62">
        <f ca="1"/>
        <v>1.3114368630935509</v>
      </c>
      <c r="AI195" s="37"/>
      <c r="AJ195" s="61">
        <f t="shared" ca="1" si="17"/>
        <v>1.0963509737713069</v>
      </c>
      <c r="AK195" s="61">
        <f t="shared" ca="1" si="17"/>
        <v>-1.04240345773731</v>
      </c>
      <c r="AL195" s="61">
        <f t="shared" ca="1" si="17"/>
        <v>0.50462200856236894</v>
      </c>
      <c r="AM195" s="61">
        <f ca="1">NORMSINV(RAND())</f>
        <v>1.2801728130069348</v>
      </c>
      <c r="AN195" s="37"/>
      <c r="AO195" s="62">
        <f t="array" aca="1" ref="AO195:AR195" ca="1">TRANSPOSE($B$17:$B$20 + MMULT($D$17:$G$20,TRANSPOSE(AO194:AR194)) + MMULT($N$17:$Q$20,TRANSPOSE(AJ195:AM195)))</f>
        <v>0.96212044635903238</v>
      </c>
      <c r="AP195" s="62">
        <f ca="1"/>
        <v>0.23710501670673456</v>
      </c>
      <c r="AQ195" s="62">
        <f ca="1"/>
        <v>1.2942136851114072</v>
      </c>
      <c r="AR195" s="62">
        <f ca="1"/>
        <v>1.3982225379438751</v>
      </c>
    </row>
    <row r="196" spans="25:44" x14ac:dyDescent="0.15">
      <c r="Y196" s="8">
        <f t="shared" si="18"/>
        <v>193</v>
      </c>
      <c r="Z196" s="61">
        <f t="shared" ref="Z196:AC259" ca="1" si="19">NORMSINV(RAND())</f>
        <v>1.1662117041623079</v>
      </c>
      <c r="AA196" s="61">
        <f t="shared" ca="1" si="19"/>
        <v>1.5476035003492176E-2</v>
      </c>
      <c r="AB196" s="61">
        <f t="shared" ca="1" si="19"/>
        <v>0.21236797723308468</v>
      </c>
      <c r="AC196" s="61">
        <f t="shared" ca="1" si="19"/>
        <v>-1.6580898238803248</v>
      </c>
      <c r="AD196" s="37"/>
      <c r="AE196" s="62">
        <f t="array" aca="1" ref="AE196:AH196" ca="1">TRANSPOSE($B$9:$B$12 + MMULT($D$9:$G$12,TRANSPOSE(AO196:AR196)) + MMULT($N$9:$Q$12, TRANSPOSE(Z196:AC196)))</f>
        <v>2.0471994806395091</v>
      </c>
      <c r="AF196" s="62">
        <f ca="1"/>
        <v>1.5652268174541732</v>
      </c>
      <c r="AG196" s="62">
        <f ca="1"/>
        <v>1.0551006647433785</v>
      </c>
      <c r="AH196" s="62">
        <f ca="1"/>
        <v>0.80605851159485098</v>
      </c>
      <c r="AI196" s="37"/>
      <c r="AJ196" s="61">
        <f t="shared" ref="AJ196:AM259" ca="1" si="20">NORMSINV(RAND())</f>
        <v>1.7269984020697819</v>
      </c>
      <c r="AK196" s="61">
        <f t="shared" ca="1" si="20"/>
        <v>0.42549827688308756</v>
      </c>
      <c r="AL196" s="61">
        <f t="shared" ca="1" si="20"/>
        <v>0.16843938843593989</v>
      </c>
      <c r="AM196" s="61">
        <f t="shared" ca="1" si="20"/>
        <v>-6.4078838435007404E-2</v>
      </c>
      <c r="AN196" s="37"/>
      <c r="AO196" s="62">
        <f t="array" aca="1" ref="AO196:AR196" ca="1">TRANSPOSE($B$17:$B$20 + MMULT($D$17:$G$20,TRANSPOSE(AO195:AR195)) + MMULT($N$17:$Q$20,TRANSPOSE(AJ196:AM196)))</f>
        <v>1.382951617264828</v>
      </c>
      <c r="AP196" s="62">
        <f ca="1"/>
        <v>0.93832449379377592</v>
      </c>
      <c r="AQ196" s="62">
        <f ca="1"/>
        <v>1.1009663254825881</v>
      </c>
      <c r="AR196" s="62">
        <f ca="1"/>
        <v>1.1770445495851671</v>
      </c>
    </row>
    <row r="197" spans="25:44" x14ac:dyDescent="0.15">
      <c r="Y197" s="8">
        <f t="shared" ref="Y197:Y260" si="21">Y196+1</f>
        <v>194</v>
      </c>
      <c r="Z197" s="61">
        <f t="shared" ca="1" si="19"/>
        <v>-0.36964436937548595</v>
      </c>
      <c r="AA197" s="61">
        <f t="shared" ca="1" si="19"/>
        <v>-0.82613205290171698</v>
      </c>
      <c r="AB197" s="61">
        <f t="shared" ca="1" si="19"/>
        <v>6.0337268646927678E-2</v>
      </c>
      <c r="AC197" s="61">
        <f t="shared" ca="1" si="19"/>
        <v>0.1149019013657724</v>
      </c>
      <c r="AD197" s="37"/>
      <c r="AE197" s="62">
        <f t="array" aca="1" ref="AE197:AH197" ca="1">TRANSPOSE($B$9:$B$12 + MMULT($D$9:$G$12,TRANSPOSE(AO197:AR197)) + MMULT($N$9:$Q$12, TRANSPOSE(Z197:AC197)))</f>
        <v>0.60335303033973164</v>
      </c>
      <c r="AF197" s="62">
        <f ca="1"/>
        <v>1.0367564880781521</v>
      </c>
      <c r="AG197" s="62">
        <f ca="1"/>
        <v>0.54875146636533312</v>
      </c>
      <c r="AH197" s="62">
        <f ca="1"/>
        <v>0.80847047708378672</v>
      </c>
      <c r="AI197" s="37"/>
      <c r="AJ197" s="61">
        <f t="shared" ca="1" si="20"/>
        <v>-0.69052909599707857</v>
      </c>
      <c r="AK197" s="61">
        <f t="shared" ca="1" si="20"/>
        <v>0.62577193356257854</v>
      </c>
      <c r="AL197" s="61">
        <f t="shared" ca="1" si="20"/>
        <v>-0.87517035967839762</v>
      </c>
      <c r="AM197" s="61">
        <f t="shared" ca="1" si="20"/>
        <v>-0.4563112054983669</v>
      </c>
      <c r="AN197" s="37"/>
      <c r="AO197" s="62">
        <f t="array" aca="1" ref="AO197:AR197" ca="1">TRANSPOSE($B$17:$B$20 + MMULT($D$17:$G$20,TRANSPOSE(AO196:AR196)) + MMULT($N$17:$Q$20,TRANSPOSE(AJ197:AM197)))</f>
        <v>0.69034154611146881</v>
      </c>
      <c r="AP197" s="62">
        <f ca="1"/>
        <v>1.2711999838867942</v>
      </c>
      <c r="AQ197" s="62">
        <f ca="1"/>
        <v>0.41045675961892114</v>
      </c>
      <c r="AR197" s="62">
        <f ca="1"/>
        <v>0.68752375280473577</v>
      </c>
    </row>
    <row r="198" spans="25:44" x14ac:dyDescent="0.15">
      <c r="Y198" s="8">
        <f t="shared" si="21"/>
        <v>195</v>
      </c>
      <c r="Z198" s="61">
        <f t="shared" ca="1" si="19"/>
        <v>-3.51573095122448E-2</v>
      </c>
      <c r="AA198" s="61">
        <f t="shared" ca="1" si="19"/>
        <v>-1.3226703669582642</v>
      </c>
      <c r="AB198" s="61">
        <f t="shared" ca="1" si="19"/>
        <v>-1.3702630361651287</v>
      </c>
      <c r="AC198" s="61">
        <f t="shared" ca="1" si="19"/>
        <v>-0.1416390351479388</v>
      </c>
      <c r="AD198" s="37"/>
      <c r="AE198" s="62">
        <f t="array" aca="1" ref="AE198:AH198" ca="1">TRANSPOSE($B$9:$B$12 + MMULT($D$9:$G$12,TRANSPOSE(AO198:AR198)) + MMULT($N$9:$Q$12, TRANSPOSE(Z198:AC198)))</f>
        <v>1.1125326618339022</v>
      </c>
      <c r="AF198" s="62">
        <f ca="1"/>
        <v>0.72934322841304233</v>
      </c>
      <c r="AG198" s="62">
        <f ca="1"/>
        <v>-0.13282531689249089</v>
      </c>
      <c r="AH198" s="62">
        <f ca="1"/>
        <v>1.1858073777705864</v>
      </c>
      <c r="AI198" s="37"/>
      <c r="AJ198" s="61">
        <f t="shared" ca="1" si="20"/>
        <v>0.33780115048545373</v>
      </c>
      <c r="AK198" s="61">
        <f t="shared" ca="1" si="20"/>
        <v>1.0255797378368507</v>
      </c>
      <c r="AL198" s="61">
        <f t="shared" ca="1" si="20"/>
        <v>0.37503761972495592</v>
      </c>
      <c r="AM198" s="61">
        <f t="shared" ca="1" si="20"/>
        <v>0.10614904713400394</v>
      </c>
      <c r="AN198" s="37"/>
      <c r="AO198" s="62">
        <f t="array" aca="1" ref="AO198:AR198" ca="1">TRANSPOSE($B$17:$B$20 + MMULT($D$17:$G$20,TRANSPOSE(AO197:AR197)) + MMULT($N$17:$Q$20,TRANSPOSE(AJ198:AM198)))</f>
        <v>0.75342419300979102</v>
      </c>
      <c r="AP198" s="62">
        <f ca="1"/>
        <v>1.183971797397434</v>
      </c>
      <c r="AQ198" s="62">
        <f ca="1"/>
        <v>0.89736152721213447</v>
      </c>
      <c r="AR198" s="62">
        <f ca="1"/>
        <v>0.64399637014810573</v>
      </c>
    </row>
    <row r="199" spans="25:44" x14ac:dyDescent="0.15">
      <c r="Y199" s="8">
        <f t="shared" si="21"/>
        <v>196</v>
      </c>
      <c r="Z199" s="61">
        <f t="shared" ca="1" si="19"/>
        <v>-0.83343454526084737</v>
      </c>
      <c r="AA199" s="61">
        <f t="shared" ca="1" si="19"/>
        <v>-0.60032237509036368</v>
      </c>
      <c r="AB199" s="61">
        <f t="shared" ca="1" si="19"/>
        <v>0.68081241429847439</v>
      </c>
      <c r="AC199" s="61">
        <f t="shared" ca="1" si="19"/>
        <v>-0.58029463425064132</v>
      </c>
      <c r="AD199" s="37"/>
      <c r="AE199" s="62">
        <f t="array" aca="1" ref="AE199:AH199" ca="1">TRANSPOSE($B$9:$B$12 + MMULT($D$9:$G$12,TRANSPOSE(AO199:AR199)) + MMULT($N$9:$Q$12, TRANSPOSE(Z199:AC199)))</f>
        <v>0.24536894893957228</v>
      </c>
      <c r="AF199" s="62">
        <f ca="1"/>
        <v>6.8370575367136421E-2</v>
      </c>
      <c r="AG199" s="62">
        <f ca="1"/>
        <v>1.5730846181747382</v>
      </c>
      <c r="AH199" s="62">
        <f ca="1"/>
        <v>0.31564166535906396</v>
      </c>
      <c r="AI199" s="37"/>
      <c r="AJ199" s="61">
        <f t="shared" ca="1" si="20"/>
        <v>-0.38274538398724001</v>
      </c>
      <c r="AK199" s="61">
        <f t="shared" ca="1" si="20"/>
        <v>-1.5675964898552317</v>
      </c>
      <c r="AL199" s="61">
        <f t="shared" ca="1" si="20"/>
        <v>-1.5858607647540577</v>
      </c>
      <c r="AM199" s="61">
        <f t="shared" ca="1" si="20"/>
        <v>0.19380649286709775</v>
      </c>
      <c r="AN199" s="37"/>
      <c r="AO199" s="62">
        <f t="array" aca="1" ref="AO199:AR199" ca="1">TRANSPOSE($B$17:$B$20 + MMULT($D$17:$G$20,TRANSPOSE(AO198:AR198)) + MMULT($N$17:$Q$20,TRANSPOSE(AJ199:AM199)))</f>
        <v>0.59114818204450903</v>
      </c>
      <c r="AP199" s="62">
        <f ca="1"/>
        <v>0.10959902659653387</v>
      </c>
      <c r="AQ199" s="62">
        <f ca="1"/>
        <v>0.30384204315406893</v>
      </c>
      <c r="AR199" s="62">
        <f ca="1"/>
        <v>1.0052833990179846</v>
      </c>
    </row>
    <row r="200" spans="25:44" x14ac:dyDescent="0.15">
      <c r="Y200" s="8">
        <f t="shared" si="21"/>
        <v>197</v>
      </c>
      <c r="Z200" s="61">
        <f t="shared" ca="1" si="19"/>
        <v>-1.4335733321392545</v>
      </c>
      <c r="AA200" s="61">
        <f t="shared" ca="1" si="19"/>
        <v>0.22949284131414821</v>
      </c>
      <c r="AB200" s="61">
        <f t="shared" ca="1" si="19"/>
        <v>-1.8440912016845636</v>
      </c>
      <c r="AC200" s="61">
        <f t="shared" ca="1" si="19"/>
        <v>0.55345035479556637</v>
      </c>
      <c r="AD200" s="37"/>
      <c r="AE200" s="62">
        <f t="array" aca="1" ref="AE200:AH200" ca="1">TRANSPOSE($B$9:$B$12 + MMULT($D$9:$G$12,TRANSPOSE(AO200:AR200)) + MMULT($N$9:$Q$12, TRANSPOSE(Z200:AC200)))</f>
        <v>0.84471731468893141</v>
      </c>
      <c r="AF200" s="62">
        <f ca="1"/>
        <v>0.74428354148179177</v>
      </c>
      <c r="AG200" s="62">
        <f ca="1"/>
        <v>0.43019149177076904</v>
      </c>
      <c r="AH200" s="62">
        <f ca="1"/>
        <v>1.4201533451366486</v>
      </c>
      <c r="AI200" s="37"/>
      <c r="AJ200" s="61">
        <f t="shared" ca="1" si="20"/>
        <v>1.2829291900997708</v>
      </c>
      <c r="AK200" s="61">
        <f t="shared" ca="1" si="20"/>
        <v>0.76638303645180572</v>
      </c>
      <c r="AL200" s="61">
        <f t="shared" ca="1" si="20"/>
        <v>1.696660940982708</v>
      </c>
      <c r="AM200" s="61">
        <f t="shared" ca="1" si="20"/>
        <v>0.93616648201252284</v>
      </c>
      <c r="AN200" s="37"/>
      <c r="AO200" s="62">
        <f t="array" aca="1" ref="AO200:AR200" ca="1">TRANSPOSE($B$17:$B$20 + MMULT($D$17:$G$20,TRANSPOSE(AO199:AR199)) + MMULT($N$17:$Q$20,TRANSPOSE(AJ200:AM200)))</f>
        <v>0.96172998387025144</v>
      </c>
      <c r="AP200" s="62">
        <f ca="1"/>
        <v>0.78891191830276908</v>
      </c>
      <c r="AQ200" s="62">
        <f ca="1"/>
        <v>1.2724110647905722</v>
      </c>
      <c r="AR200" s="62">
        <f ca="1"/>
        <v>1.0026259400999897</v>
      </c>
    </row>
    <row r="201" spans="25:44" x14ac:dyDescent="0.15">
      <c r="Y201" s="8">
        <f t="shared" si="21"/>
        <v>198</v>
      </c>
      <c r="Z201" s="61">
        <f t="shared" ca="1" si="19"/>
        <v>0.41579844540235178</v>
      </c>
      <c r="AA201" s="61">
        <f t="shared" ca="1" si="19"/>
        <v>7.7954853766179902E-2</v>
      </c>
      <c r="AB201" s="61">
        <f t="shared" ca="1" si="19"/>
        <v>0.81908038920329551</v>
      </c>
      <c r="AC201" s="61">
        <f t="shared" ca="1" si="19"/>
        <v>-0.16016329750754565</v>
      </c>
      <c r="AD201" s="37"/>
      <c r="AE201" s="62">
        <f t="array" aca="1" ref="AE201:AH201" ca="1">TRANSPOSE($B$9:$B$12 + MMULT($D$9:$G$12,TRANSPOSE(AO201:AR201)) + MMULT($N$9:$Q$12, TRANSPOSE(Z201:AC201)))</f>
        <v>1.0597115377617432</v>
      </c>
      <c r="AF201" s="62">
        <f ca="1"/>
        <v>0.7676877941938528</v>
      </c>
      <c r="AG201" s="62">
        <f ca="1"/>
        <v>1.4746333205288737</v>
      </c>
      <c r="AH201" s="62">
        <f ca="1"/>
        <v>0.73724845692946051</v>
      </c>
      <c r="AI201" s="37"/>
      <c r="AJ201" s="61">
        <f t="shared" ca="1" si="20"/>
        <v>-9.8348920602679149E-2</v>
      </c>
      <c r="AK201" s="61">
        <f t="shared" ca="1" si="20"/>
        <v>-1.2373008961884115</v>
      </c>
      <c r="AL201" s="61">
        <f t="shared" ca="1" si="20"/>
        <v>-0.91729594119243529</v>
      </c>
      <c r="AM201" s="61">
        <f t="shared" ca="1" si="20"/>
        <v>-0.13538527095107655</v>
      </c>
      <c r="AN201" s="37"/>
      <c r="AO201" s="62">
        <f t="array" aca="1" ref="AO201:AR201" ca="1">TRANSPOSE($B$17:$B$20 + MMULT($D$17:$G$20,TRANSPOSE(AO200:AR200)) + MMULT($N$17:$Q$20,TRANSPOSE(AJ201:AM201)))</f>
        <v>0.78580355116497269</v>
      </c>
      <c r="AP201" s="62">
        <f ca="1"/>
        <v>0.29921918848778839</v>
      </c>
      <c r="AQ201" s="62">
        <f ca="1"/>
        <v>0.63445502694999034</v>
      </c>
      <c r="AR201" s="62">
        <f ca="1"/>
        <v>1.1394867374134066</v>
      </c>
    </row>
    <row r="202" spans="25:44" x14ac:dyDescent="0.15">
      <c r="Y202" s="8">
        <f t="shared" si="21"/>
        <v>199</v>
      </c>
      <c r="Z202" s="61">
        <f t="shared" ca="1" si="19"/>
        <v>0.41936512092268768</v>
      </c>
      <c r="AA202" s="61">
        <f t="shared" ca="1" si="19"/>
        <v>1.3779194287580299</v>
      </c>
      <c r="AB202" s="61">
        <f t="shared" ca="1" si="19"/>
        <v>-1.1299629048069062</v>
      </c>
      <c r="AC202" s="61">
        <f t="shared" ca="1" si="19"/>
        <v>0.78696638138143893</v>
      </c>
      <c r="AD202" s="37"/>
      <c r="AE202" s="62">
        <f t="array" aca="1" ref="AE202:AH202" ca="1">TRANSPOSE($B$9:$B$12 + MMULT($D$9:$G$12,TRANSPOSE(AO202:AR202)) + MMULT($N$9:$Q$12, TRANSPOSE(Z202:AC202)))</f>
        <v>0.53749527119106089</v>
      </c>
      <c r="AF202" s="62">
        <f ca="1"/>
        <v>1.2649796141209797</v>
      </c>
      <c r="AG202" s="62">
        <f ca="1"/>
        <v>5.9512043286628069E-3</v>
      </c>
      <c r="AH202" s="62">
        <f ca="1"/>
        <v>0.42105809009785228</v>
      </c>
      <c r="AI202" s="37"/>
      <c r="AJ202" s="61">
        <f t="shared" ca="1" si="20"/>
        <v>-0.62814626310603239</v>
      </c>
      <c r="AK202" s="61">
        <f t="shared" ca="1" si="20"/>
        <v>-0.52417295636611339</v>
      </c>
      <c r="AL202" s="61">
        <f t="shared" ca="1" si="20"/>
        <v>-1.365730386810829</v>
      </c>
      <c r="AM202" s="61">
        <f t="shared" ca="1" si="20"/>
        <v>-0.85229827954198933</v>
      </c>
      <c r="AN202" s="37"/>
      <c r="AO202" s="62">
        <f t="array" aca="1" ref="AO202:AR202" ca="1">TRANSPOSE($B$17:$B$20 + MMULT($D$17:$G$20,TRANSPOSE(AO201:AR201)) + MMULT($N$17:$Q$20,TRANSPOSE(AJ202:AM202)))</f>
        <v>0.43849649083362446</v>
      </c>
      <c r="AP202" s="62">
        <f ca="1"/>
        <v>0.3803907074053311</v>
      </c>
      <c r="AQ202" s="62">
        <f ca="1"/>
        <v>-9.0278421505641915E-2</v>
      </c>
      <c r="AR202" s="62">
        <f ca="1"/>
        <v>0.47144968408554977</v>
      </c>
    </row>
    <row r="203" spans="25:44" x14ac:dyDescent="0.15">
      <c r="Y203" s="8">
        <f t="shared" si="21"/>
        <v>200</v>
      </c>
      <c r="Z203" s="61">
        <f t="shared" ca="1" si="19"/>
        <v>-8.7087770890922386E-2</v>
      </c>
      <c r="AA203" s="61">
        <f t="shared" ca="1" si="19"/>
        <v>-0.4872032306685895</v>
      </c>
      <c r="AB203" s="61">
        <f t="shared" ca="1" si="19"/>
        <v>-0.50076847308404016</v>
      </c>
      <c r="AC203" s="61">
        <f t="shared" ca="1" si="19"/>
        <v>1.2666124316534693</v>
      </c>
      <c r="AD203" s="37"/>
      <c r="AE203" s="62">
        <f t="array" aca="1" ref="AE203:AH203" ca="1">TRANSPOSE($B$9:$B$12 + MMULT($D$9:$G$12,TRANSPOSE(AO203:AR203)) + MMULT($N$9:$Q$12, TRANSPOSE(Z203:AC203)))</f>
        <v>0.50737721205830089</v>
      </c>
      <c r="AF203" s="62">
        <f ca="1"/>
        <v>-0.11366908330969458</v>
      </c>
      <c r="AG203" s="62">
        <f ca="1"/>
        <v>0.56385189765630639</v>
      </c>
      <c r="AH203" s="62">
        <f ca="1"/>
        <v>0.6625458200056239</v>
      </c>
      <c r="AI203" s="37"/>
      <c r="AJ203" s="61">
        <f t="shared" ca="1" si="20"/>
        <v>-0.19135403379988347</v>
      </c>
      <c r="AK203" s="61">
        <f t="shared" ca="1" si="20"/>
        <v>-1.1782457547590519</v>
      </c>
      <c r="AL203" s="61">
        <f t="shared" ca="1" si="20"/>
        <v>-0.3170359132669377</v>
      </c>
      <c r="AM203" s="61">
        <f t="shared" ca="1" si="20"/>
        <v>5.0955018295976588E-2</v>
      </c>
      <c r="AN203" s="37"/>
      <c r="AO203" s="62">
        <f t="array" aca="1" ref="AO203:AR203" ca="1">TRANSPOSE($B$17:$B$20 + MMULT($D$17:$G$20,TRANSPOSE(AO202:AR202)) + MMULT($N$17:$Q$20,TRANSPOSE(AJ203:AM203)))</f>
        <v>0.36093554680923057</v>
      </c>
      <c r="AP203" s="62">
        <f ca="1"/>
        <v>-0.13650984483275708</v>
      </c>
      <c r="AQ203" s="62">
        <f ca="1"/>
        <v>0.26713061765124713</v>
      </c>
      <c r="AR203" s="62">
        <f ca="1"/>
        <v>0.54659535586867691</v>
      </c>
    </row>
    <row r="204" spans="25:44" x14ac:dyDescent="0.15">
      <c r="Y204" s="8">
        <f t="shared" si="21"/>
        <v>201</v>
      </c>
      <c r="Z204" s="61">
        <f t="shared" ca="1" si="19"/>
        <v>-0.48096784115327368</v>
      </c>
      <c r="AA204" s="61">
        <f t="shared" ca="1" si="19"/>
        <v>-0.41021526638874745</v>
      </c>
      <c r="AB204" s="61">
        <f t="shared" ca="1" si="19"/>
        <v>-2.4099577465910538</v>
      </c>
      <c r="AC204" s="61">
        <f t="shared" ca="1" si="19"/>
        <v>1.391428470379876</v>
      </c>
      <c r="AD204" s="37"/>
      <c r="AE204" s="62">
        <f t="array" aca="1" ref="AE204:AH204" ca="1">TRANSPOSE($B$9:$B$12 + MMULT($D$9:$G$12,TRANSPOSE(AO204:AR204)) + MMULT($N$9:$Q$12, TRANSPOSE(Z204:AC204)))</f>
        <v>0.34424920587972258</v>
      </c>
      <c r="AF204" s="62">
        <f ca="1"/>
        <v>0.59313121648939371</v>
      </c>
      <c r="AG204" s="62">
        <f ca="1"/>
        <v>-1.178506977468504</v>
      </c>
      <c r="AH204" s="62">
        <f ca="1"/>
        <v>1.1188166873615353</v>
      </c>
      <c r="AI204" s="37"/>
      <c r="AJ204" s="61">
        <f t="shared" ca="1" si="20"/>
        <v>-0.95371312516060858</v>
      </c>
      <c r="AK204" s="61">
        <f t="shared" ca="1" si="20"/>
        <v>1.8607697548343585</v>
      </c>
      <c r="AL204" s="61">
        <f t="shared" ca="1" si="20"/>
        <v>1.2745936329271399</v>
      </c>
      <c r="AM204" s="61">
        <f t="shared" ca="1" si="20"/>
        <v>-0.61816664486075024</v>
      </c>
      <c r="AN204" s="37"/>
      <c r="AO204" s="62">
        <f t="array" aca="1" ref="AO204:AR204" ca="1">TRANSPOSE($B$17:$B$20 + MMULT($D$17:$G$20,TRANSPOSE(AO203:AR203)) + MMULT($N$17:$Q$20,TRANSPOSE(AJ204:AM204)))</f>
        <v>0.10353779476796576</v>
      </c>
      <c r="AP204" s="62">
        <f ca="1"/>
        <v>1.010037570888622</v>
      </c>
      <c r="AQ204" s="62">
        <f ca="1"/>
        <v>0.39450839036691998</v>
      </c>
      <c r="AR204" s="62">
        <f ca="1"/>
        <v>-2.5100729391488275E-2</v>
      </c>
    </row>
    <row r="205" spans="25:44" x14ac:dyDescent="0.15">
      <c r="Y205" s="8">
        <f t="shared" si="21"/>
        <v>202</v>
      </c>
      <c r="Z205" s="61">
        <f t="shared" ca="1" si="19"/>
        <v>0.22028206942616554</v>
      </c>
      <c r="AA205" s="61">
        <f t="shared" ca="1" si="19"/>
        <v>0.93129781842702963</v>
      </c>
      <c r="AB205" s="61">
        <f t="shared" ca="1" si="19"/>
        <v>0.50654867962300998</v>
      </c>
      <c r="AC205" s="61">
        <f t="shared" ca="1" si="19"/>
        <v>-1.4816086762980647</v>
      </c>
      <c r="AD205" s="37"/>
      <c r="AE205" s="62">
        <f t="array" aca="1" ref="AE205:AH205" ca="1">TRANSPOSE($B$9:$B$12 + MMULT($D$9:$G$12,TRANSPOSE(AO205:AR205)) + MMULT($N$9:$Q$12, TRANSPOSE(Z205:AC205)))</f>
        <v>1.172404967357314</v>
      </c>
      <c r="AF205" s="62">
        <f ca="1"/>
        <v>1.0823542499052408</v>
      </c>
      <c r="AG205" s="62">
        <f ca="1"/>
        <v>0.95192531100225852</v>
      </c>
      <c r="AH205" s="62">
        <f ca="1"/>
        <v>0.45194792238571091</v>
      </c>
      <c r="AI205" s="37"/>
      <c r="AJ205" s="61">
        <f t="shared" ca="1" si="20"/>
        <v>0.980946816439208</v>
      </c>
      <c r="AK205" s="61">
        <f t="shared" ca="1" si="20"/>
        <v>0.21975714376061994</v>
      </c>
      <c r="AL205" s="61">
        <f t="shared" ca="1" si="20"/>
        <v>0.20483702268507303</v>
      </c>
      <c r="AM205" s="61">
        <f t="shared" ca="1" si="20"/>
        <v>0.76077949822727553</v>
      </c>
      <c r="AN205" s="37"/>
      <c r="AO205" s="62">
        <f t="array" aca="1" ref="AO205:AR205" ca="1">TRANSPOSE($B$17:$B$20 + MMULT($D$17:$G$20,TRANSPOSE(AO204:AR204)) + MMULT($N$17:$Q$20,TRANSPOSE(AJ205:AM205)))</f>
        <v>0.7609610103315394</v>
      </c>
      <c r="AP205" s="62">
        <f ca="1"/>
        <v>0.47990686044906983</v>
      </c>
      <c r="AQ205" s="62">
        <f ca="1"/>
        <v>0.80164149498779369</v>
      </c>
      <c r="AR205" s="62">
        <f ca="1"/>
        <v>0.73861588214349561</v>
      </c>
    </row>
    <row r="206" spans="25:44" x14ac:dyDescent="0.15">
      <c r="Y206" s="8">
        <f t="shared" si="21"/>
        <v>203</v>
      </c>
      <c r="Z206" s="61">
        <f t="shared" ca="1" si="19"/>
        <v>-2.7294047047794128E-2</v>
      </c>
      <c r="AA206" s="61">
        <f t="shared" ca="1" si="19"/>
        <v>-0.22285718331629548</v>
      </c>
      <c r="AB206" s="61">
        <f t="shared" ca="1" si="19"/>
        <v>-0.53098500483101108</v>
      </c>
      <c r="AC206" s="61">
        <f t="shared" ca="1" si="19"/>
        <v>0.55210449091984282</v>
      </c>
      <c r="AD206" s="37"/>
      <c r="AE206" s="62">
        <f t="array" aca="1" ref="AE206:AH206" ca="1">TRANSPOSE($B$9:$B$12 + MMULT($D$9:$G$12,TRANSPOSE(AO206:AR206)) + MMULT($N$9:$Q$12, TRANSPOSE(Z206:AC206)))</f>
        <v>1.8507164216576162</v>
      </c>
      <c r="AF206" s="62">
        <f ca="1"/>
        <v>1.0871553847853739</v>
      </c>
      <c r="AG206" s="62">
        <f ca="1"/>
        <v>0.97481805034001079</v>
      </c>
      <c r="AH206" s="62">
        <f ca="1"/>
        <v>1.7661212217076263</v>
      </c>
      <c r="AI206" s="37"/>
      <c r="AJ206" s="61">
        <f t="shared" ca="1" si="20"/>
        <v>1.925178745318217</v>
      </c>
      <c r="AK206" s="61">
        <f t="shared" ca="1" si="20"/>
        <v>0.79708580188961708</v>
      </c>
      <c r="AL206" s="61">
        <f t="shared" ca="1" si="20"/>
        <v>1.8099649875260382</v>
      </c>
      <c r="AM206" s="61">
        <f t="shared" ca="1" si="20"/>
        <v>1.1526186767411508</v>
      </c>
      <c r="AN206" s="37"/>
      <c r="AO206" s="62">
        <f t="array" aca="1" ref="AO206:AR206" ca="1">TRANSPOSE($B$17:$B$20 + MMULT($D$17:$G$20,TRANSPOSE(AO205:AR205)) + MMULT($N$17:$Q$20,TRANSPOSE(AJ206:AM206)))</f>
        <v>1.3096734146503441</v>
      </c>
      <c r="AP206" s="62">
        <f ca="1"/>
        <v>0.95994905118836127</v>
      </c>
      <c r="AQ206" s="62">
        <f ca="1"/>
        <v>1.6959810827424349</v>
      </c>
      <c r="AR206" s="62">
        <f ca="1"/>
        <v>1.2866324568741216</v>
      </c>
    </row>
    <row r="207" spans="25:44" x14ac:dyDescent="0.15">
      <c r="Y207" s="8">
        <f t="shared" si="21"/>
        <v>204</v>
      </c>
      <c r="Z207" s="61">
        <f t="shared" ca="1" si="19"/>
        <v>1.4604952161111904</v>
      </c>
      <c r="AA207" s="61">
        <f t="shared" ca="1" si="19"/>
        <v>0.79943135307970659</v>
      </c>
      <c r="AB207" s="61">
        <f t="shared" ca="1" si="19"/>
        <v>1.3711662301509608</v>
      </c>
      <c r="AC207" s="61">
        <f t="shared" ca="1" si="19"/>
        <v>-0.9825313826955574</v>
      </c>
      <c r="AD207" s="37"/>
      <c r="AE207" s="62">
        <f t="array" aca="1" ref="AE207:AH207" ca="1">TRANSPOSE($B$9:$B$12 + MMULT($D$9:$G$12,TRANSPOSE(AO207:AR207)) + MMULT($N$9:$Q$12, TRANSPOSE(Z207:AC207)))</f>
        <v>2.3529928441659869</v>
      </c>
      <c r="AF207" s="62">
        <f ca="1"/>
        <v>1.6716939023178692</v>
      </c>
      <c r="AG207" s="62">
        <f ca="1"/>
        <v>2.1906652977022181</v>
      </c>
      <c r="AH207" s="62">
        <f ca="1"/>
        <v>1.2206126702399449</v>
      </c>
      <c r="AI207" s="37"/>
      <c r="AJ207" s="61">
        <f t="shared" ca="1" si="20"/>
        <v>1.5863478296024276</v>
      </c>
      <c r="AK207" s="61">
        <f t="shared" ca="1" si="20"/>
        <v>-1.2571791328242241</v>
      </c>
      <c r="AL207" s="61">
        <f t="shared" ca="1" si="20"/>
        <v>-0.24310482564003777</v>
      </c>
      <c r="AM207" s="61">
        <f t="shared" ca="1" si="20"/>
        <v>0.6093982177191849</v>
      </c>
      <c r="AN207" s="37"/>
      <c r="AO207" s="62">
        <f t="array" aca="1" ref="AO207:AR207" ca="1">TRANSPOSE($B$17:$B$20 + MMULT($D$17:$G$20,TRANSPOSE(AO206:AR206)) + MMULT($N$17:$Q$20,TRANSPOSE(AJ207:AM207)))</f>
        <v>1.5324528779837641</v>
      </c>
      <c r="AP207" s="62">
        <f ca="1"/>
        <v>0.54591825783626435</v>
      </c>
      <c r="AQ207" s="62">
        <f ca="1"/>
        <v>1.4801971611861335</v>
      </c>
      <c r="AR207" s="62">
        <f ca="1"/>
        <v>1.8240515714344125</v>
      </c>
    </row>
    <row r="208" spans="25:44" x14ac:dyDescent="0.15">
      <c r="Y208" s="8">
        <f t="shared" si="21"/>
        <v>205</v>
      </c>
      <c r="Z208" s="61">
        <f t="shared" ca="1" si="19"/>
        <v>1.0928741524482573</v>
      </c>
      <c r="AA208" s="61">
        <f t="shared" ca="1" si="19"/>
        <v>1.0124725444313343</v>
      </c>
      <c r="AB208" s="61">
        <f t="shared" ca="1" si="19"/>
        <v>-0.41261255192658119</v>
      </c>
      <c r="AC208" s="61">
        <f t="shared" ca="1" si="19"/>
        <v>-6.9441904206836894E-2</v>
      </c>
      <c r="AD208" s="37"/>
      <c r="AE208" s="62">
        <f t="array" aca="1" ref="AE208:AH208" ca="1">TRANSPOSE($B$9:$B$12 + MMULT($D$9:$G$12,TRANSPOSE(AO208:AR208)) + MMULT($N$9:$Q$12, TRANSPOSE(Z208:AC208)))</f>
        <v>1.800583514540095</v>
      </c>
      <c r="AF208" s="62">
        <f ca="1"/>
        <v>1.7551975470619172</v>
      </c>
      <c r="AG208" s="62">
        <f ca="1"/>
        <v>0.38436365801243561</v>
      </c>
      <c r="AH208" s="62">
        <f ca="1"/>
        <v>1.7360260041500444</v>
      </c>
      <c r="AI208" s="37"/>
      <c r="AJ208" s="61">
        <f t="shared" ca="1" si="20"/>
        <v>-0.84223404601842</v>
      </c>
      <c r="AK208" s="61">
        <f t="shared" ca="1" si="20"/>
        <v>0.13300643014209165</v>
      </c>
      <c r="AL208" s="61">
        <f t="shared" ca="1" si="20"/>
        <v>1.3662976178345605</v>
      </c>
      <c r="AM208" s="61">
        <f t="shared" ca="1" si="20"/>
        <v>-1.1384119281575926</v>
      </c>
      <c r="AN208" s="37"/>
      <c r="AO208" s="62">
        <f t="array" aca="1" ref="AO208:AR208" ca="1">TRANSPOSE($B$17:$B$20 + MMULT($D$17:$G$20,TRANSPOSE(AO207:AR207)) + MMULT($N$17:$Q$20,TRANSPOSE(AJ208:AM208)))</f>
        <v>0.73762180902526464</v>
      </c>
      <c r="AP208" s="62">
        <f ca="1"/>
        <v>1.1326070862704798</v>
      </c>
      <c r="AQ208" s="62">
        <f ca="1"/>
        <v>1.4674486392709722</v>
      </c>
      <c r="AR208" s="62">
        <f ca="1"/>
        <v>1.0982946410702508</v>
      </c>
    </row>
    <row r="209" spans="25:44" x14ac:dyDescent="0.15">
      <c r="Y209" s="8">
        <f t="shared" si="21"/>
        <v>206</v>
      </c>
      <c r="Z209" s="61">
        <f t="shared" ca="1" si="19"/>
        <v>-0.21673814021639448</v>
      </c>
      <c r="AA209" s="61">
        <f t="shared" ca="1" si="19"/>
        <v>-1.0676294813560097</v>
      </c>
      <c r="AB209" s="61">
        <f t="shared" ca="1" si="19"/>
        <v>0.10028282396978569</v>
      </c>
      <c r="AC209" s="61">
        <f t="shared" ca="1" si="19"/>
        <v>2.5675608892087785</v>
      </c>
      <c r="AD209" s="37"/>
      <c r="AE209" s="62">
        <f t="array" aca="1" ref="AE209:AH209" ca="1">TRANSPOSE($B$9:$B$12 + MMULT($D$9:$G$12,TRANSPOSE(AO209:AR209)) + MMULT($N$9:$Q$12, TRANSPOSE(Z209:AC209)))</f>
        <v>0.82283062090379422</v>
      </c>
      <c r="AF209" s="62">
        <f ca="1"/>
        <v>0.55716123208917723</v>
      </c>
      <c r="AG209" s="62">
        <f ca="1"/>
        <v>1.4633134933773424</v>
      </c>
      <c r="AH209" s="62">
        <f ca="1"/>
        <v>1.9456483236512032</v>
      </c>
      <c r="AI209" s="37"/>
      <c r="AJ209" s="61">
        <f t="shared" ca="1" si="20"/>
        <v>-0.23974797851578616</v>
      </c>
      <c r="AK209" s="61">
        <f t="shared" ca="1" si="20"/>
        <v>-0.31392735130797272</v>
      </c>
      <c r="AL209" s="61">
        <f t="shared" ca="1" si="20"/>
        <v>-0.19526695968033925</v>
      </c>
      <c r="AM209" s="61">
        <f t="shared" ca="1" si="20"/>
        <v>1.6653172063219777</v>
      </c>
      <c r="AN209" s="37"/>
      <c r="AO209" s="62">
        <f t="array" aca="1" ref="AO209:AR209" ca="1">TRANSPOSE($B$17:$B$20 + MMULT($D$17:$G$20,TRANSPOSE(AO208:AR208)) + MMULT($N$17:$Q$20,TRANSPOSE(AJ209:AM209)))</f>
        <v>0.73786141982230102</v>
      </c>
      <c r="AP209" s="62">
        <f ca="1"/>
        <v>0.72900835571102407</v>
      </c>
      <c r="AQ209" s="62">
        <f ca="1"/>
        <v>0.96170631890921232</v>
      </c>
      <c r="AR209" s="62">
        <f ca="1"/>
        <v>1.5899382531254358</v>
      </c>
    </row>
    <row r="210" spans="25:44" x14ac:dyDescent="0.15">
      <c r="Y210" s="8">
        <f t="shared" si="21"/>
        <v>207</v>
      </c>
      <c r="Z210" s="61">
        <f t="shared" ca="1" si="19"/>
        <v>0.7157580492015313</v>
      </c>
      <c r="AA210" s="61">
        <f t="shared" ca="1" si="19"/>
        <v>-0.11994560317817644</v>
      </c>
      <c r="AB210" s="61">
        <f t="shared" ca="1" si="19"/>
        <v>0.49686309201397444</v>
      </c>
      <c r="AC210" s="61">
        <f t="shared" ca="1" si="19"/>
        <v>-1.4616757760026569</v>
      </c>
      <c r="AD210" s="37"/>
      <c r="AE210" s="62">
        <f t="array" aca="1" ref="AE210:AH210" ca="1">TRANSPOSE($B$9:$B$12 + MMULT($D$9:$G$12,TRANSPOSE(AO210:AR210)) + MMULT($N$9:$Q$12, TRANSPOSE(Z210:AC210)))</f>
        <v>1.1219495831004673</v>
      </c>
      <c r="AF210" s="62">
        <f ca="1"/>
        <v>0.80974434531510731</v>
      </c>
      <c r="AG210" s="62">
        <f ca="1"/>
        <v>1.2025886474394243</v>
      </c>
      <c r="AH210" s="62">
        <f ca="1"/>
        <v>0.63004571906267126</v>
      </c>
      <c r="AI210" s="37"/>
      <c r="AJ210" s="61">
        <f t="shared" ca="1" si="20"/>
        <v>-0.1748488602603214</v>
      </c>
      <c r="AK210" s="61">
        <f t="shared" ca="1" si="20"/>
        <v>-0.89184411114092532</v>
      </c>
      <c r="AL210" s="61">
        <f t="shared" ca="1" si="20"/>
        <v>-0.50125600267179282</v>
      </c>
      <c r="AM210" s="61">
        <f t="shared" ca="1" si="20"/>
        <v>-0.10437961601782346</v>
      </c>
      <c r="AN210" s="37"/>
      <c r="AO210" s="62">
        <f t="array" aca="1" ref="AO210:AR210" ca="1">TRANSPOSE($B$17:$B$20 + MMULT($D$17:$G$20,TRANSPOSE(AO209:AR209)) + MMULT($N$17:$Q$20,TRANSPOSE(AJ210:AM210)))</f>
        <v>0.67965432157180916</v>
      </c>
      <c r="AP210" s="62">
        <f ca="1"/>
        <v>0.41745066768813227</v>
      </c>
      <c r="AQ210" s="62">
        <f ca="1"/>
        <v>0.67234450335486862</v>
      </c>
      <c r="AR210" s="62">
        <f ca="1"/>
        <v>1.1494659085500278</v>
      </c>
    </row>
    <row r="211" spans="25:44" x14ac:dyDescent="0.15">
      <c r="Y211" s="8">
        <f t="shared" si="21"/>
        <v>208</v>
      </c>
      <c r="Z211" s="61">
        <f t="shared" ca="1" si="19"/>
        <v>-0.82654608522272777</v>
      </c>
      <c r="AA211" s="61">
        <f t="shared" ca="1" si="19"/>
        <v>0.68788329819512839</v>
      </c>
      <c r="AB211" s="61">
        <f t="shared" ca="1" si="19"/>
        <v>0.87154110200173507</v>
      </c>
      <c r="AC211" s="61">
        <f t="shared" ca="1" si="19"/>
        <v>5.6670005896426713E-2</v>
      </c>
      <c r="AD211" s="37"/>
      <c r="AE211" s="62">
        <f t="array" aca="1" ref="AE211:AH211" ca="1">TRANSPOSE($B$9:$B$12 + MMULT($D$9:$G$12,TRANSPOSE(AO211:AR211)) + MMULT($N$9:$Q$12, TRANSPOSE(Z211:AC211)))</f>
        <v>0.63988302758797166</v>
      </c>
      <c r="AF211" s="62">
        <f ca="1"/>
        <v>0.84638582031802523</v>
      </c>
      <c r="AG211" s="62">
        <f ca="1"/>
        <v>0.85988277867439233</v>
      </c>
      <c r="AH211" s="62">
        <f ca="1"/>
        <v>0.51898400878971884</v>
      </c>
      <c r="AI211" s="37"/>
      <c r="AJ211" s="61">
        <f t="shared" ca="1" si="20"/>
        <v>-6.5571803072133478E-2</v>
      </c>
      <c r="AK211" s="61">
        <f t="shared" ca="1" si="20"/>
        <v>0.15039184895019209</v>
      </c>
      <c r="AL211" s="61">
        <f t="shared" ca="1" si="20"/>
        <v>0.16191702185488305</v>
      </c>
      <c r="AM211" s="61">
        <f t="shared" ca="1" si="20"/>
        <v>-1.927898783723653</v>
      </c>
      <c r="AN211" s="37"/>
      <c r="AO211" s="62">
        <f t="array" aca="1" ref="AO211:AR211" ca="1">TRANSPOSE($B$17:$B$20 + MMULT($D$17:$G$20,TRANSPOSE(AO210:AR210)) + MMULT($N$17:$Q$20,TRANSPOSE(AJ211:AM211)))</f>
        <v>0.61468225483372252</v>
      </c>
      <c r="AP211" s="62">
        <f ca="1"/>
        <v>0.67085605571760321</v>
      </c>
      <c r="AQ211" s="62">
        <f ca="1"/>
        <v>0.64402664267112197</v>
      </c>
      <c r="AR211" s="62">
        <f ca="1"/>
        <v>0.34335025269765262</v>
      </c>
    </row>
    <row r="212" spans="25:44" x14ac:dyDescent="0.15">
      <c r="Y212" s="8">
        <f t="shared" si="21"/>
        <v>209</v>
      </c>
      <c r="Z212" s="61">
        <f t="shared" ca="1" si="19"/>
        <v>0.12419558916117983</v>
      </c>
      <c r="AA212" s="61">
        <f t="shared" ca="1" si="19"/>
        <v>-0.23198254010979097</v>
      </c>
      <c r="AB212" s="61">
        <f t="shared" ca="1" si="19"/>
        <v>-0.91011904450149883</v>
      </c>
      <c r="AC212" s="61">
        <f t="shared" ca="1" si="19"/>
        <v>0.57111252953051195</v>
      </c>
      <c r="AD212" s="37"/>
      <c r="AE212" s="62">
        <f t="array" aca="1" ref="AE212:AH212" ca="1">TRANSPOSE($B$9:$B$12 + MMULT($D$9:$G$12,TRANSPOSE(AO212:AR212)) + MMULT($N$9:$Q$12, TRANSPOSE(Z212:AC212)))</f>
        <v>1.070376375774752</v>
      </c>
      <c r="AF212" s="62">
        <f ca="1"/>
        <v>1.4187774950249956</v>
      </c>
      <c r="AG212" s="62">
        <f ca="1"/>
        <v>4.0782984661252242E-2</v>
      </c>
      <c r="AH212" s="62">
        <f ca="1"/>
        <v>0.85090149425171901</v>
      </c>
      <c r="AI212" s="37"/>
      <c r="AJ212" s="61">
        <f t="shared" ca="1" si="20"/>
        <v>1.0913487643761419</v>
      </c>
      <c r="AK212" s="61">
        <f t="shared" ca="1" si="20"/>
        <v>1.695680159772045</v>
      </c>
      <c r="AL212" s="61">
        <f t="shared" ca="1" si="20"/>
        <v>-0.35065828274446564</v>
      </c>
      <c r="AM212" s="61">
        <f t="shared" ca="1" si="20"/>
        <v>0.70192840702032855</v>
      </c>
      <c r="AN212" s="37"/>
      <c r="AO212" s="62">
        <f t="array" aca="1" ref="AO212:AR212" ca="1">TRANSPOSE($B$17:$B$20 + MMULT($D$17:$G$20,TRANSPOSE(AO211:AR211)) + MMULT($N$17:$Q$20,TRANSPOSE(AJ212:AM212)))</f>
        <v>0.96208246797045005</v>
      </c>
      <c r="AP212" s="62">
        <f ca="1"/>
        <v>1.2590278318797274</v>
      </c>
      <c r="AQ212" s="62">
        <f ca="1"/>
        <v>0.45798316393326399</v>
      </c>
      <c r="AR212" s="62">
        <f ca="1"/>
        <v>0.55065433573142419</v>
      </c>
    </row>
    <row r="213" spans="25:44" x14ac:dyDescent="0.15">
      <c r="Y213" s="8">
        <f t="shared" si="21"/>
        <v>210</v>
      </c>
      <c r="Z213" s="61">
        <f t="shared" ca="1" si="19"/>
        <v>-1.2497045659124211</v>
      </c>
      <c r="AA213" s="61">
        <f t="shared" ca="1" si="19"/>
        <v>-0.56619558704076423</v>
      </c>
      <c r="AB213" s="61">
        <f t="shared" ca="1" si="19"/>
        <v>-4.0353626032452634E-2</v>
      </c>
      <c r="AC213" s="61">
        <f t="shared" ca="1" si="19"/>
        <v>-0.69882605578238988</v>
      </c>
      <c r="AD213" s="37"/>
      <c r="AE213" s="62">
        <f t="array" aca="1" ref="AE213:AH213" ca="1">TRANSPOSE($B$9:$B$12 + MMULT($D$9:$G$12,TRANSPOSE(AO213:AR213)) + MMULT($N$9:$Q$12, TRANSPOSE(Z213:AC213)))</f>
        <v>-9.4240661584439334E-2</v>
      </c>
      <c r="AF213" s="62">
        <f ca="1"/>
        <v>0.33531758801600814</v>
      </c>
      <c r="AG213" s="62">
        <f ca="1"/>
        <v>0.55791464973338156</v>
      </c>
      <c r="AH213" s="62">
        <f ca="1"/>
        <v>-0.17139218228925462</v>
      </c>
      <c r="AI213" s="37"/>
      <c r="AJ213" s="61">
        <f t="shared" ca="1" si="20"/>
        <v>-0.60561770623467714</v>
      </c>
      <c r="AK213" s="61">
        <f t="shared" ca="1" si="20"/>
        <v>-0.576811884621931</v>
      </c>
      <c r="AL213" s="61">
        <f t="shared" ca="1" si="20"/>
        <v>-2.1494989488432013</v>
      </c>
      <c r="AM213" s="61">
        <f t="shared" ca="1" si="20"/>
        <v>-1.2098471671572968</v>
      </c>
      <c r="AN213" s="37"/>
      <c r="AO213" s="62">
        <f t="array" aca="1" ref="AO213:AR213" ca="1">TRANSPOSE($B$17:$B$20 + MMULT($D$17:$G$20,TRANSPOSE(AO212:AR212)) + MMULT($N$17:$Q$20,TRANSPOSE(AJ213:AM213)))</f>
        <v>0.5064627413719146</v>
      </c>
      <c r="AP213" s="62">
        <f ca="1"/>
        <v>0.56874206175200737</v>
      </c>
      <c r="AQ213" s="62">
        <f ca="1"/>
        <v>-0.16602453750519641</v>
      </c>
      <c r="AR213" s="62">
        <f ca="1"/>
        <v>0.2489395353068945</v>
      </c>
    </row>
    <row r="214" spans="25:44" x14ac:dyDescent="0.15">
      <c r="Y214" s="8">
        <f t="shared" si="21"/>
        <v>211</v>
      </c>
      <c r="Z214" s="61">
        <f t="shared" ca="1" si="19"/>
        <v>-0.36838318849353008</v>
      </c>
      <c r="AA214" s="61">
        <f t="shared" ca="1" si="19"/>
        <v>0.7713465714316512</v>
      </c>
      <c r="AB214" s="61">
        <f t="shared" ca="1" si="19"/>
        <v>-0.7364576142746625</v>
      </c>
      <c r="AC214" s="61">
        <f t="shared" ca="1" si="19"/>
        <v>-0.7555895500112394</v>
      </c>
      <c r="AD214" s="37"/>
      <c r="AE214" s="62">
        <f t="array" aca="1" ref="AE214:AH214" ca="1">TRANSPOSE($B$9:$B$12 + MMULT($D$9:$G$12,TRANSPOSE(AO214:AR214)) + MMULT($N$9:$Q$12, TRANSPOSE(Z214:AC214)))</f>
        <v>0.32232119414127713</v>
      </c>
      <c r="AF214" s="62">
        <f ca="1"/>
        <v>1.0618176263974446</v>
      </c>
      <c r="AG214" s="62">
        <f ca="1"/>
        <v>0.2461927021832081</v>
      </c>
      <c r="AH214" s="62">
        <f ca="1"/>
        <v>0.27294373937482719</v>
      </c>
      <c r="AI214" s="37"/>
      <c r="AJ214" s="61">
        <f t="shared" ca="1" si="20"/>
        <v>2.9218799573562229E-2</v>
      </c>
      <c r="AK214" s="61">
        <f t="shared" ca="1" si="20"/>
        <v>0.60165260287391964</v>
      </c>
      <c r="AL214" s="61">
        <f t="shared" ca="1" si="20"/>
        <v>-0.35992890737546201</v>
      </c>
      <c r="AM214" s="61">
        <f t="shared" ca="1" si="20"/>
        <v>1.5172521851626524</v>
      </c>
      <c r="AN214" s="37"/>
      <c r="AO214" s="62">
        <f t="array" aca="1" ref="AO214:AR214" ca="1">TRANSPOSE($B$17:$B$20 + MMULT($D$17:$G$20,TRANSPOSE(AO213:AR213)) + MMULT($N$17:$Q$20,TRANSPOSE(AJ214:AM214)))</f>
        <v>0.44447573186928069</v>
      </c>
      <c r="AP214" s="62">
        <f ca="1"/>
        <v>0.64975991888236129</v>
      </c>
      <c r="AQ214" s="62">
        <f ca="1"/>
        <v>0.11955050726034977</v>
      </c>
      <c r="AR214" s="62">
        <f ca="1"/>
        <v>0.52447350897979872</v>
      </c>
    </row>
    <row r="215" spans="25:44" x14ac:dyDescent="0.15">
      <c r="Y215" s="8">
        <f t="shared" si="21"/>
        <v>212</v>
      </c>
      <c r="Z215" s="61">
        <f t="shared" ca="1" si="19"/>
        <v>0.37379721549481876</v>
      </c>
      <c r="AA215" s="61">
        <f t="shared" ca="1" si="19"/>
        <v>0.54246403072961968</v>
      </c>
      <c r="AB215" s="61">
        <f t="shared" ca="1" si="19"/>
        <v>0.68221058022593539</v>
      </c>
      <c r="AC215" s="61">
        <f t="shared" ca="1" si="19"/>
        <v>-1.0488417317913632</v>
      </c>
      <c r="AD215" s="37"/>
      <c r="AE215" s="62">
        <f t="array" aca="1" ref="AE215:AH215" ca="1">TRANSPOSE($B$9:$B$12 + MMULT($D$9:$G$12,TRANSPOSE(AO215:AR215)) + MMULT($N$9:$Q$12, TRANSPOSE(Z215:AC215)))</f>
        <v>0.68932449065137202</v>
      </c>
      <c r="AF215" s="62">
        <f ca="1"/>
        <v>0.36753875600339475</v>
      </c>
      <c r="AG215" s="62">
        <f ca="1"/>
        <v>0.35267404958661785</v>
      </c>
      <c r="AH215" s="62">
        <f ca="1"/>
        <v>0.44636928677091808</v>
      </c>
      <c r="AI215" s="37"/>
      <c r="AJ215" s="61">
        <f t="shared" ca="1" si="20"/>
        <v>-1.5756999968708154</v>
      </c>
      <c r="AK215" s="61">
        <f t="shared" ca="1" si="20"/>
        <v>-0.56571971709803515</v>
      </c>
      <c r="AL215" s="61">
        <f t="shared" ca="1" si="20"/>
        <v>0.79528255023605543</v>
      </c>
      <c r="AM215" s="61">
        <f t="shared" ca="1" si="20"/>
        <v>-1.412467062165611</v>
      </c>
      <c r="AN215" s="37"/>
      <c r="AO215" s="62">
        <f t="array" aca="1" ref="AO215:AR215" ca="1">TRANSPOSE($B$17:$B$20 + MMULT($D$17:$G$20,TRANSPOSE(AO214:AR214)) + MMULT($N$17:$Q$20,TRANSPOSE(AJ215:AM215)))</f>
        <v>-5.0412173621614986E-2</v>
      </c>
      <c r="AP215" s="62">
        <f ca="1"/>
        <v>0.19981393892290428</v>
      </c>
      <c r="AQ215" s="62">
        <f ca="1"/>
        <v>0.58796103255232512</v>
      </c>
      <c r="AR215" s="62">
        <f ca="1"/>
        <v>0.19241431851551033</v>
      </c>
    </row>
    <row r="216" spans="25:44" x14ac:dyDescent="0.15">
      <c r="Y216" s="8">
        <f t="shared" si="21"/>
        <v>213</v>
      </c>
      <c r="Z216" s="61">
        <f t="shared" ca="1" si="19"/>
        <v>-1.2955872160320083</v>
      </c>
      <c r="AA216" s="61">
        <f t="shared" ca="1" si="19"/>
        <v>0.13618246448759072</v>
      </c>
      <c r="AB216" s="61">
        <f t="shared" ca="1" si="19"/>
        <v>-1.3735613901239754</v>
      </c>
      <c r="AC216" s="61">
        <f t="shared" ca="1" si="19"/>
        <v>-1.4639751656026085</v>
      </c>
      <c r="AD216" s="37"/>
      <c r="AE216" s="62">
        <f t="array" aca="1" ref="AE216:AH216" ca="1">TRANSPOSE($B$9:$B$12 + MMULT($D$9:$G$12,TRANSPOSE(AO216:AR216)) + MMULT($N$9:$Q$12, TRANSPOSE(Z216:AC216)))</f>
        <v>0.20419058490607911</v>
      </c>
      <c r="AF216" s="62">
        <f ca="1"/>
        <v>0.22786953359658121</v>
      </c>
      <c r="AG216" s="62">
        <f ca="1"/>
        <v>0.6100351063826448</v>
      </c>
      <c r="AH216" s="62">
        <f ca="1"/>
        <v>0.73968957448258221</v>
      </c>
      <c r="AI216" s="37"/>
      <c r="AJ216" s="61">
        <f t="shared" ca="1" si="20"/>
        <v>2.6914254361874765E-2</v>
      </c>
      <c r="AK216" s="61">
        <f t="shared" ca="1" si="20"/>
        <v>0.35766986767496833</v>
      </c>
      <c r="AL216" s="61">
        <f t="shared" ca="1" si="20"/>
        <v>1.1330910318186456</v>
      </c>
      <c r="AM216" s="61">
        <f t="shared" ca="1" si="20"/>
        <v>2.0176902832451225</v>
      </c>
      <c r="AN216" s="37"/>
      <c r="AO216" s="62">
        <f t="array" aca="1" ref="AO216:AR216" ca="1">TRANSPOSE($B$17:$B$20 + MMULT($D$17:$G$20,TRANSPOSE(AO215:AR215)) + MMULT($N$17:$Q$20,TRANSPOSE(AJ216:AM216)))</f>
        <v>0.38063116759129972</v>
      </c>
      <c r="AP216" s="62">
        <f ca="1"/>
        <v>0.30883881235768929</v>
      </c>
      <c r="AQ216" s="62">
        <f ca="1"/>
        <v>0.79426560335844676</v>
      </c>
      <c r="AR216" s="62">
        <f ca="1"/>
        <v>1.0126820363869924</v>
      </c>
    </row>
    <row r="217" spans="25:44" x14ac:dyDescent="0.15">
      <c r="Y217" s="8">
        <f t="shared" si="21"/>
        <v>214</v>
      </c>
      <c r="Z217" s="61">
        <f t="shared" ca="1" si="19"/>
        <v>-0.87328700357550482</v>
      </c>
      <c r="AA217" s="61">
        <f t="shared" ca="1" si="19"/>
        <v>0.37741547306981466</v>
      </c>
      <c r="AB217" s="61">
        <f t="shared" ca="1" si="19"/>
        <v>-0.83467299445936194</v>
      </c>
      <c r="AC217" s="61">
        <f t="shared" ca="1" si="19"/>
        <v>0.71227911673396349</v>
      </c>
      <c r="AD217" s="37"/>
      <c r="AE217" s="62">
        <f t="array" aca="1" ref="AE217:AH217" ca="1">TRANSPOSE($B$9:$B$12 + MMULT($D$9:$G$12,TRANSPOSE(AO217:AR217)) + MMULT($N$9:$Q$12, TRANSPOSE(Z217:AC217)))</f>
        <v>0.65756213419330545</v>
      </c>
      <c r="AF217" s="62">
        <f ca="1"/>
        <v>-0.15675929476433134</v>
      </c>
      <c r="AG217" s="62">
        <f ca="1"/>
        <v>1.3947716201412601</v>
      </c>
      <c r="AH217" s="62">
        <f ca="1"/>
        <v>1.1784185475189335</v>
      </c>
      <c r="AI217" s="37"/>
      <c r="AJ217" s="61">
        <f t="shared" ca="1" si="20"/>
        <v>0.18411969663986344</v>
      </c>
      <c r="AK217" s="61">
        <f t="shared" ca="1" si="20"/>
        <v>-2.1721908854753238</v>
      </c>
      <c r="AL217" s="61">
        <f t="shared" ca="1" si="20"/>
        <v>0.50277087842577617</v>
      </c>
      <c r="AM217" s="61">
        <f t="shared" ca="1" si="20"/>
        <v>0.32716880625639821</v>
      </c>
      <c r="AN217" s="37"/>
      <c r="AO217" s="62">
        <f t="array" aca="1" ref="AO217:AR217" ca="1">TRANSPOSE($B$17:$B$20 + MMULT($D$17:$G$20,TRANSPOSE(AO216:AR216)) + MMULT($N$17:$Q$20,TRANSPOSE(AJ217:AM217)))</f>
        <v>0.62422498846326802</v>
      </c>
      <c r="AP217" s="62">
        <f ca="1"/>
        <v>-0.44510758987013127</v>
      </c>
      <c r="AQ217" s="62">
        <f ca="1"/>
        <v>1.0503301964695624</v>
      </c>
      <c r="AR217" s="62">
        <f ca="1"/>
        <v>1.3543997237013596</v>
      </c>
    </row>
    <row r="218" spans="25:44" x14ac:dyDescent="0.15">
      <c r="Y218" s="8">
        <f t="shared" si="21"/>
        <v>215</v>
      </c>
      <c r="Z218" s="61">
        <f t="shared" ca="1" si="19"/>
        <v>-0.59014120932953607</v>
      </c>
      <c r="AA218" s="61">
        <f t="shared" ca="1" si="19"/>
        <v>-0.85180166517454869</v>
      </c>
      <c r="AB218" s="61">
        <f t="shared" ca="1" si="19"/>
        <v>0.58334088895807767</v>
      </c>
      <c r="AC218" s="61">
        <f t="shared" ca="1" si="19"/>
        <v>0.87778463659652772</v>
      </c>
      <c r="AD218" s="37"/>
      <c r="AE218" s="62">
        <f t="array" aca="1" ref="AE218:AH218" ca="1">TRANSPOSE($B$9:$B$12 + MMULT($D$9:$G$12,TRANSPOSE(AO218:AR218)) + MMULT($N$9:$Q$12, TRANSPOSE(Z218:AC218)))</f>
        <v>-8.1937062917008613E-2</v>
      </c>
      <c r="AF218" s="62">
        <f ca="1"/>
        <v>0.56884356404907144</v>
      </c>
      <c r="AG218" s="62">
        <f ca="1"/>
        <v>0.89729501290848401</v>
      </c>
      <c r="AH218" s="62">
        <f ca="1"/>
        <v>0.1819971512542754</v>
      </c>
      <c r="AI218" s="37"/>
      <c r="AJ218" s="61">
        <f t="shared" ca="1" si="20"/>
        <v>-0.44730558267349979</v>
      </c>
      <c r="AK218" s="61">
        <f t="shared" ca="1" si="20"/>
        <v>0.63932284872067835</v>
      </c>
      <c r="AL218" s="61">
        <f t="shared" ca="1" si="20"/>
        <v>-1.4936507811489514</v>
      </c>
      <c r="AM218" s="61">
        <f t="shared" ca="1" si="20"/>
        <v>6.2012071118671655E-4</v>
      </c>
      <c r="AN218" s="37"/>
      <c r="AO218" s="62">
        <f t="array" aca="1" ref="AO218:AR218" ca="1">TRANSPOSE($B$17:$B$20 + MMULT($D$17:$G$20,TRANSPOSE(AO217:AR217)) + MMULT($N$17:$Q$20,TRANSPOSE(AJ218:AM218)))</f>
        <v>0.47566260520498294</v>
      </c>
      <c r="AP218" s="62">
        <f ca="1"/>
        <v>0.68560488568682199</v>
      </c>
      <c r="AQ218" s="62">
        <f ca="1"/>
        <v>-0.39940499146896241</v>
      </c>
      <c r="AR218" s="62">
        <f ca="1"/>
        <v>0.53691736838057436</v>
      </c>
    </row>
    <row r="219" spans="25:44" x14ac:dyDescent="0.15">
      <c r="Y219" s="8">
        <f t="shared" si="21"/>
        <v>216</v>
      </c>
      <c r="Z219" s="61">
        <f t="shared" ca="1" si="19"/>
        <v>-1.3778584371018838</v>
      </c>
      <c r="AA219" s="61">
        <f t="shared" ca="1" si="19"/>
        <v>0.78270948961366504</v>
      </c>
      <c r="AB219" s="61">
        <f t="shared" ca="1" si="19"/>
        <v>-0.1699815465886893</v>
      </c>
      <c r="AC219" s="61">
        <f t="shared" ca="1" si="19"/>
        <v>-1.5268098142740849</v>
      </c>
      <c r="AD219" s="37"/>
      <c r="AE219" s="62">
        <f t="array" aca="1" ref="AE219:AH219" ca="1">TRANSPOSE($B$9:$B$12 + MMULT($D$9:$G$12,TRANSPOSE(AO219:AR219)) + MMULT($N$9:$Q$12, TRANSPOSE(Z219:AC219)))</f>
        <v>0.2736968176825233</v>
      </c>
      <c r="AF219" s="62">
        <f ca="1"/>
        <v>0.27539890034093784</v>
      </c>
      <c r="AG219" s="62">
        <f ca="1"/>
        <v>0.99163667796807375</v>
      </c>
      <c r="AH219" s="62">
        <f ca="1"/>
        <v>0.28582174923000708</v>
      </c>
      <c r="AI219" s="37"/>
      <c r="AJ219" s="61">
        <f t="shared" ca="1" si="20"/>
        <v>0.18983752875627477</v>
      </c>
      <c r="AK219" s="61">
        <f t="shared" ca="1" si="20"/>
        <v>-0.82760659088330291</v>
      </c>
      <c r="AL219" s="61">
        <f t="shared" ca="1" si="20"/>
        <v>0.49973745997084362</v>
      </c>
      <c r="AM219" s="61">
        <f t="shared" ca="1" si="20"/>
        <v>0.59744681854038106</v>
      </c>
      <c r="AN219" s="37"/>
      <c r="AO219" s="62">
        <f t="array" aca="1" ref="AO219:AR219" ca="1">TRANSPOSE($B$17:$B$20 + MMULT($D$17:$G$20,TRANSPOSE(AO218:AR218)) + MMULT($N$17:$Q$20,TRANSPOSE(AJ219:AM219)))</f>
        <v>0.47824406285582249</v>
      </c>
      <c r="AP219" s="62">
        <f ca="1"/>
        <v>9.5656485235047439E-2</v>
      </c>
      <c r="AQ219" s="62">
        <f ca="1"/>
        <v>0.68909813038949597</v>
      </c>
      <c r="AR219" s="62">
        <f ca="1"/>
        <v>0.69965860313285155</v>
      </c>
    </row>
    <row r="220" spans="25:44" x14ac:dyDescent="0.15">
      <c r="Y220" s="8">
        <f t="shared" si="21"/>
        <v>217</v>
      </c>
      <c r="Z220" s="61">
        <f t="shared" ca="1" si="19"/>
        <v>0.7001300798613056</v>
      </c>
      <c r="AA220" s="61">
        <f t="shared" ca="1" si="19"/>
        <v>-0.21519911231249794</v>
      </c>
      <c r="AB220" s="61">
        <f t="shared" ca="1" si="19"/>
        <v>-0.39196189186217922</v>
      </c>
      <c r="AC220" s="61">
        <f t="shared" ca="1" si="19"/>
        <v>0.14816962215589183</v>
      </c>
      <c r="AD220" s="37"/>
      <c r="AE220" s="62">
        <f t="array" aca="1" ref="AE220:AH220" ca="1">TRANSPOSE($B$9:$B$12 + MMULT($D$9:$G$12,TRANSPOSE(AO220:AR220)) + MMULT($N$9:$Q$12, TRANSPOSE(Z220:AC220)))</f>
        <v>1.0898727765539775</v>
      </c>
      <c r="AF220" s="62">
        <f ca="1"/>
        <v>0.87802286541457075</v>
      </c>
      <c r="AG220" s="62">
        <f ca="1"/>
        <v>-0.1801430925219773</v>
      </c>
      <c r="AH220" s="62">
        <f ca="1"/>
        <v>0.48785700151146316</v>
      </c>
      <c r="AI220" s="37"/>
      <c r="AJ220" s="61">
        <f t="shared" ca="1" si="20"/>
        <v>5.0196743511857017E-2</v>
      </c>
      <c r="AK220" s="61">
        <f t="shared" ca="1" si="20"/>
        <v>0.80005210988491848</v>
      </c>
      <c r="AL220" s="61">
        <f t="shared" ca="1" si="20"/>
        <v>-7.0912049063097601E-2</v>
      </c>
      <c r="AM220" s="61">
        <f t="shared" ca="1" si="20"/>
        <v>-1.7037194751552371</v>
      </c>
      <c r="AN220" s="37"/>
      <c r="AO220" s="62">
        <f t="array" aca="1" ref="AO220:AR220" ca="1">TRANSPOSE($B$17:$B$20 + MMULT($D$17:$G$20,TRANSPOSE(AO219:AR219)) + MMULT($N$17:$Q$20,TRANSPOSE(AJ220:AM220)))</f>
        <v>0.55862808211451187</v>
      </c>
      <c r="AP220" s="62">
        <f ca="1"/>
        <v>0.72866858980031723</v>
      </c>
      <c r="AQ220" s="62">
        <f ca="1"/>
        <v>0.32057697179681954</v>
      </c>
      <c r="AR220" s="62">
        <f ca="1"/>
        <v>9.0669874036364506E-2</v>
      </c>
    </row>
    <row r="221" spans="25:44" x14ac:dyDescent="0.15">
      <c r="Y221" s="8">
        <f t="shared" si="21"/>
        <v>218</v>
      </c>
      <c r="Z221" s="61">
        <f t="shared" ca="1" si="19"/>
        <v>-1.0859006960735043</v>
      </c>
      <c r="AA221" s="61">
        <f t="shared" ca="1" si="19"/>
        <v>0.68765039318504839</v>
      </c>
      <c r="AB221" s="61">
        <f t="shared" ca="1" si="19"/>
        <v>-1.1325723575074234</v>
      </c>
      <c r="AC221" s="61">
        <f t="shared" ca="1" si="19"/>
        <v>0.52400705288787564</v>
      </c>
      <c r="AD221" s="37"/>
      <c r="AE221" s="62">
        <f t="array" aca="1" ref="AE221:AH221" ca="1">TRANSPOSE($B$9:$B$12 + MMULT($D$9:$G$12,TRANSPOSE(AO221:AR221)) + MMULT($N$9:$Q$12, TRANSPOSE(Z221:AC221)))</f>
        <v>0.23402470812681658</v>
      </c>
      <c r="AF221" s="62">
        <f ca="1"/>
        <v>0.29194639529889393</v>
      </c>
      <c r="AG221" s="62">
        <f ca="1"/>
        <v>-0.20997494283826895</v>
      </c>
      <c r="AH221" s="62">
        <f ca="1"/>
        <v>0.76363665130862135</v>
      </c>
      <c r="AI221" s="37"/>
      <c r="AJ221" s="61">
        <f t="shared" ca="1" si="20"/>
        <v>-1.2589995892702994</v>
      </c>
      <c r="AK221" s="61">
        <f t="shared" ca="1" si="20"/>
        <v>-0.21129895976371824</v>
      </c>
      <c r="AL221" s="61">
        <f t="shared" ca="1" si="20"/>
        <v>0.67237804933034351</v>
      </c>
      <c r="AM221" s="61">
        <f t="shared" ca="1" si="20"/>
        <v>-1.5013171367919347</v>
      </c>
      <c r="AN221" s="37"/>
      <c r="AO221" s="62">
        <f t="array" aca="1" ref="AO221:AR221" ca="1">TRANSPOSE($B$17:$B$20 + MMULT($D$17:$G$20,TRANSPOSE(AO220:AR220)) + MMULT($N$17:$Q$20,TRANSPOSE(AJ221:AM221)))</f>
        <v>0.10045618538586176</v>
      </c>
      <c r="AP221" s="62">
        <f ca="1"/>
        <v>0.36227220931200721</v>
      </c>
      <c r="AQ221" s="62">
        <f ca="1"/>
        <v>0.61467697825511891</v>
      </c>
      <c r="AR221" s="62">
        <f ca="1"/>
        <v>9.4357133130824444E-2</v>
      </c>
    </row>
    <row r="222" spans="25:44" x14ac:dyDescent="0.15">
      <c r="Y222" s="8">
        <f t="shared" si="21"/>
        <v>219</v>
      </c>
      <c r="Z222" s="61">
        <f t="shared" ca="1" si="19"/>
        <v>-0.27616766194927372</v>
      </c>
      <c r="AA222" s="61">
        <f t="shared" ca="1" si="19"/>
        <v>-1.4281240054679396</v>
      </c>
      <c r="AB222" s="61">
        <f t="shared" ca="1" si="19"/>
        <v>0.91442959786662747</v>
      </c>
      <c r="AC222" s="61">
        <f t="shared" ca="1" si="19"/>
        <v>1.4045919458923792</v>
      </c>
      <c r="AD222" s="37"/>
      <c r="AE222" s="62">
        <f t="array" aca="1" ref="AE222:AH222" ca="1">TRANSPOSE($B$9:$B$12 + MMULT($D$9:$G$12,TRANSPOSE(AO222:AR222)) + MMULT($N$9:$Q$12, TRANSPOSE(Z222:AC222)))</f>
        <v>0.20579165647905029</v>
      </c>
      <c r="AF222" s="62">
        <f ca="1"/>
        <v>-0.64379244019336901</v>
      </c>
      <c r="AG222" s="62">
        <f ca="1"/>
        <v>1.0153934519298506</v>
      </c>
      <c r="AH222" s="62">
        <f ca="1"/>
        <v>1.4307654118389523E-3</v>
      </c>
      <c r="AI222" s="37"/>
      <c r="AJ222" s="61">
        <f t="shared" ca="1" si="20"/>
        <v>-0.2031479198069607</v>
      </c>
      <c r="AK222" s="61">
        <f t="shared" ca="1" si="20"/>
        <v>-1.3979797673800514</v>
      </c>
      <c r="AL222" s="61">
        <f t="shared" ca="1" si="20"/>
        <v>-1.7817529392656295</v>
      </c>
      <c r="AM222" s="61">
        <f t="shared" ca="1" si="20"/>
        <v>-1.462074748198666</v>
      </c>
      <c r="AN222" s="37"/>
      <c r="AO222" s="62">
        <f t="array" aca="1" ref="AO222:AR222" ca="1">TRANSPOSE($B$17:$B$20 + MMULT($D$17:$G$20,TRANSPOSE(AO221:AR221)) + MMULT($N$17:$Q$20,TRANSPOSE(AJ222:AM222)))</f>
        <v>0.35350636703037402</v>
      </c>
      <c r="AP222" s="62">
        <f ca="1"/>
        <v>-0.35298915362410693</v>
      </c>
      <c r="AQ222" s="62">
        <f ca="1"/>
        <v>-0.25669165799718602</v>
      </c>
      <c r="AR222" s="62">
        <f ca="1"/>
        <v>0.18432515836059832</v>
      </c>
    </row>
    <row r="223" spans="25:44" x14ac:dyDescent="0.15">
      <c r="Y223" s="8">
        <f t="shared" si="21"/>
        <v>220</v>
      </c>
      <c r="Z223" s="61">
        <f t="shared" ca="1" si="19"/>
        <v>1.3838474739484807</v>
      </c>
      <c r="AA223" s="61">
        <f t="shared" ca="1" si="19"/>
        <v>-3.56644338927199E-2</v>
      </c>
      <c r="AB223" s="61">
        <f t="shared" ca="1" si="19"/>
        <v>0.15037567737269913</v>
      </c>
      <c r="AC223" s="61">
        <f t="shared" ca="1" si="19"/>
        <v>-0.62352205917295078</v>
      </c>
      <c r="AD223" s="37"/>
      <c r="AE223" s="62">
        <f t="array" aca="1" ref="AE223:AH223" ca="1">TRANSPOSE($B$9:$B$12 + MMULT($D$9:$G$12,TRANSPOSE(AO223:AR223)) + MMULT($N$9:$Q$12, TRANSPOSE(Z223:AC223)))</f>
        <v>1.3156135250520151</v>
      </c>
      <c r="AF223" s="62">
        <f ca="1"/>
        <v>-6.1996794684279821E-2</v>
      </c>
      <c r="AG223" s="62">
        <f ca="1"/>
        <v>0.44908439780762077</v>
      </c>
      <c r="AH223" s="62">
        <f ca="1"/>
        <v>0.41957919087343754</v>
      </c>
      <c r="AI223" s="37"/>
      <c r="AJ223" s="61">
        <f t="shared" ca="1" si="20"/>
        <v>-0.15591620933566688</v>
      </c>
      <c r="AK223" s="61">
        <f t="shared" ca="1" si="20"/>
        <v>-1.2633830527242775</v>
      </c>
      <c r="AL223" s="61">
        <f t="shared" ca="1" si="20"/>
        <v>1.1199254580427402</v>
      </c>
      <c r="AM223" s="61">
        <f t="shared" ca="1" si="20"/>
        <v>-0.43887309894122339</v>
      </c>
      <c r="AN223" s="37"/>
      <c r="AO223" s="62">
        <f t="array" aca="1" ref="AO223:AR223" ca="1">TRANSPOSE($B$17:$B$20 + MMULT($D$17:$G$20,TRANSPOSE(AO222:AR222)) + MMULT($N$17:$Q$20,TRANSPOSE(AJ223:AM223)))</f>
        <v>0.25944172154717982</v>
      </c>
      <c r="AP223" s="62">
        <f ca="1"/>
        <v>-0.44665359763860435</v>
      </c>
      <c r="AQ223" s="62">
        <f ca="1"/>
        <v>0.59559684176143091</v>
      </c>
      <c r="AR223" s="62">
        <f ca="1"/>
        <v>0.36596869173701752</v>
      </c>
    </row>
    <row r="224" spans="25:44" x14ac:dyDescent="0.15">
      <c r="Y224" s="8">
        <f t="shared" si="21"/>
        <v>221</v>
      </c>
      <c r="Z224" s="61">
        <f t="shared" ca="1" si="19"/>
        <v>-0.34814977732693497</v>
      </c>
      <c r="AA224" s="61">
        <f t="shared" ca="1" si="19"/>
        <v>-0.21144784957645266</v>
      </c>
      <c r="AB224" s="61">
        <f t="shared" ca="1" si="19"/>
        <v>2.1438343457967455</v>
      </c>
      <c r="AC224" s="61">
        <f t="shared" ca="1" si="19"/>
        <v>-0.2312229311888899</v>
      </c>
      <c r="AD224" s="37"/>
      <c r="AE224" s="62">
        <f t="array" aca="1" ref="AE224:AH224" ca="1">TRANSPOSE($B$9:$B$12 + MMULT($D$9:$G$12,TRANSPOSE(AO224:AR224)) + MMULT($N$9:$Q$12, TRANSPOSE(Z224:AC224)))</f>
        <v>0.87682551441827039</v>
      </c>
      <c r="AF224" s="62">
        <f ca="1"/>
        <v>0.37463637816320439</v>
      </c>
      <c r="AG224" s="62">
        <f ca="1"/>
        <v>1.9277405603458488</v>
      </c>
      <c r="AH224" s="62">
        <f ca="1"/>
        <v>0.32168135774392403</v>
      </c>
      <c r="AI224" s="37"/>
      <c r="AJ224" s="61">
        <f t="shared" ca="1" si="20"/>
        <v>1.2913466852679047</v>
      </c>
      <c r="AK224" s="61">
        <f t="shared" ca="1" si="20"/>
        <v>0.15854569765980878</v>
      </c>
      <c r="AL224" s="61">
        <f t="shared" ca="1" si="20"/>
        <v>0.46627523779424818</v>
      </c>
      <c r="AM224" s="61">
        <f t="shared" ca="1" si="20"/>
        <v>0.74608153510432773</v>
      </c>
      <c r="AN224" s="37"/>
      <c r="AO224" s="62">
        <f t="array" aca="1" ref="AO224:AR224" ca="1">TRANSPOSE($B$17:$B$20 + MMULT($D$17:$G$20,TRANSPOSE(AO223:AR223)) + MMULT($N$17:$Q$20,TRANSPOSE(AJ224:AM224)))</f>
        <v>0.85022325637615404</v>
      </c>
      <c r="AP224" s="62">
        <f ca="1"/>
        <v>0.20218910750232866</v>
      </c>
      <c r="AQ224" s="62">
        <f ca="1"/>
        <v>0.5938516967526648</v>
      </c>
      <c r="AR224" s="62">
        <f ca="1"/>
        <v>0.76874494341986166</v>
      </c>
    </row>
    <row r="225" spans="25:44" x14ac:dyDescent="0.15">
      <c r="Y225" s="8">
        <f t="shared" si="21"/>
        <v>222</v>
      </c>
      <c r="Z225" s="61">
        <f t="shared" ca="1" si="19"/>
        <v>-0.2983122291818886</v>
      </c>
      <c r="AA225" s="61">
        <f t="shared" ca="1" si="19"/>
        <v>0.14887582678117364</v>
      </c>
      <c r="AB225" s="61">
        <f t="shared" ca="1" si="19"/>
        <v>0.46291934077573982</v>
      </c>
      <c r="AC225" s="61">
        <f t="shared" ca="1" si="19"/>
        <v>-1.0204106209196042</v>
      </c>
      <c r="AD225" s="37"/>
      <c r="AE225" s="62">
        <f t="array" aca="1" ref="AE225:AH225" ca="1">TRANSPOSE($B$9:$B$12 + MMULT($D$9:$G$12,TRANSPOSE(AO225:AR225)) + MMULT($N$9:$Q$12, TRANSPOSE(Z225:AC225)))</f>
        <v>0.77716472429069405</v>
      </c>
      <c r="AF225" s="62">
        <f ca="1"/>
        <v>0.81483815422193007</v>
      </c>
      <c r="AG225" s="62">
        <f ca="1"/>
        <v>0.75684848363506263</v>
      </c>
      <c r="AH225" s="62">
        <f ca="1"/>
        <v>0.96631876145063089</v>
      </c>
      <c r="AI225" s="37"/>
      <c r="AJ225" s="61">
        <f t="shared" ca="1" si="20"/>
        <v>-0.75024706108160655</v>
      </c>
      <c r="AK225" s="61">
        <f t="shared" ca="1" si="20"/>
        <v>0.73776927373683576</v>
      </c>
      <c r="AL225" s="61">
        <f t="shared" ca="1" si="20"/>
        <v>1.5797067068900883</v>
      </c>
      <c r="AM225" s="61">
        <f t="shared" ca="1" si="20"/>
        <v>0.58709052860772193</v>
      </c>
      <c r="AN225" s="37"/>
      <c r="AO225" s="62">
        <f t="array" aca="1" ref="AO225:AR225" ca="1">TRANSPOSE($B$17:$B$20 + MMULT($D$17:$G$20,TRANSPOSE(AO224:AR224)) + MMULT($N$17:$Q$20,TRANSPOSE(AJ225:AM225)))</f>
        <v>0.38331907879183486</v>
      </c>
      <c r="AP225" s="62">
        <f ca="1"/>
        <v>0.84904317305851462</v>
      </c>
      <c r="AQ225" s="62">
        <f ca="1"/>
        <v>0.98428867116919938</v>
      </c>
      <c r="AR225" s="62">
        <f ca="1"/>
        <v>0.76908161767862193</v>
      </c>
    </row>
    <row r="226" spans="25:44" x14ac:dyDescent="0.15">
      <c r="Y226" s="8">
        <f t="shared" si="21"/>
        <v>223</v>
      </c>
      <c r="Z226" s="61">
        <f t="shared" ca="1" si="19"/>
        <v>1.7680245764709157</v>
      </c>
      <c r="AA226" s="61">
        <f t="shared" ca="1" si="19"/>
        <v>-0.69809923256514783</v>
      </c>
      <c r="AB226" s="61">
        <f t="shared" ca="1" si="19"/>
        <v>-0.88068521032547797</v>
      </c>
      <c r="AC226" s="61">
        <f t="shared" ca="1" si="19"/>
        <v>-0.12237058161307597</v>
      </c>
      <c r="AD226" s="37"/>
      <c r="AE226" s="62">
        <f t="array" aca="1" ref="AE226:AH226" ca="1">TRANSPOSE($B$9:$B$12 + MMULT($D$9:$G$12,TRANSPOSE(AO226:AR226)) + MMULT($N$9:$Q$12, TRANSPOSE(Z226:AC226)))</f>
        <v>2.1414666023260094</v>
      </c>
      <c r="AF226" s="62">
        <f ca="1"/>
        <v>0.47958335115409256</v>
      </c>
      <c r="AG226" s="62">
        <f ca="1"/>
        <v>0.60214754876790533</v>
      </c>
      <c r="AH226" s="62">
        <f ca="1"/>
        <v>1.9944988031197761</v>
      </c>
      <c r="AI226" s="37"/>
      <c r="AJ226" s="61">
        <f t="shared" ca="1" si="20"/>
        <v>0.11028935010542329</v>
      </c>
      <c r="AK226" s="61">
        <f t="shared" ca="1" si="20"/>
        <v>-0.67797417387616665</v>
      </c>
      <c r="AL226" s="61">
        <f t="shared" ca="1" si="20"/>
        <v>2.0006370744855935</v>
      </c>
      <c r="AM226" s="61">
        <f t="shared" ca="1" si="20"/>
        <v>0.83855820893369448</v>
      </c>
      <c r="AN226" s="37"/>
      <c r="AO226" s="62">
        <f t="array" aca="1" ref="AO226:AR226" ca="1">TRANSPOSE($B$17:$B$20 + MMULT($D$17:$G$20,TRANSPOSE(AO225:AR225)) + MMULT($N$17:$Q$20,TRANSPOSE(AJ226:AM226)))</f>
        <v>0.6552429078272447</v>
      </c>
      <c r="AP226" s="62">
        <f ca="1"/>
        <v>0.3031031187763385</v>
      </c>
      <c r="AQ226" s="62">
        <f ca="1"/>
        <v>1.7410238415057067</v>
      </c>
      <c r="AR226" s="62">
        <f ca="1"/>
        <v>1.4339642609844816</v>
      </c>
    </row>
    <row r="227" spans="25:44" x14ac:dyDescent="0.15">
      <c r="Y227" s="8">
        <f t="shared" si="21"/>
        <v>224</v>
      </c>
      <c r="Z227" s="61">
        <f t="shared" ca="1" si="19"/>
        <v>1.6224002619176694</v>
      </c>
      <c r="AA227" s="61">
        <f t="shared" ca="1" si="19"/>
        <v>0.87486356071872518</v>
      </c>
      <c r="AB227" s="61">
        <f t="shared" ca="1" si="19"/>
        <v>0.4400470352523651</v>
      </c>
      <c r="AC227" s="61">
        <f t="shared" ca="1" si="19"/>
        <v>1.1560937883060622</v>
      </c>
      <c r="AD227" s="37"/>
      <c r="AE227" s="62">
        <f t="array" aca="1" ref="AE227:AH227" ca="1">TRANSPOSE($B$9:$B$12 + MMULT($D$9:$G$12,TRANSPOSE(AO227:AR227)) + MMULT($N$9:$Q$12, TRANSPOSE(Z227:AC227)))</f>
        <v>1.3882404121867202</v>
      </c>
      <c r="AF227" s="62">
        <f ca="1"/>
        <v>1.2851278421283583</v>
      </c>
      <c r="AG227" s="62">
        <f ca="1"/>
        <v>0.97160650206329091</v>
      </c>
      <c r="AH227" s="62">
        <f ca="1"/>
        <v>1.0252739945640044</v>
      </c>
      <c r="AI227" s="37"/>
      <c r="AJ227" s="61">
        <f t="shared" ca="1" si="20"/>
        <v>-0.43138991055570075</v>
      </c>
      <c r="AK227" s="61">
        <f t="shared" ca="1" si="20"/>
        <v>-0.93812981477928992</v>
      </c>
      <c r="AL227" s="61">
        <f t="shared" ca="1" si="20"/>
        <v>-0.91965862802459075</v>
      </c>
      <c r="AM227" s="61">
        <f t="shared" ca="1" si="20"/>
        <v>-0.92354917313306095</v>
      </c>
      <c r="AN227" s="37"/>
      <c r="AO227" s="62">
        <f t="array" aca="1" ref="AO227:AR227" ca="1">TRANSPOSE($B$17:$B$20 + MMULT($D$17:$G$20,TRANSPOSE(AO226:AR226)) + MMULT($N$17:$Q$20,TRANSPOSE(AJ227:AM227)))</f>
        <v>0.64901015886290936</v>
      </c>
      <c r="AP227" s="62">
        <f ca="1"/>
        <v>0.28857190058405835</v>
      </c>
      <c r="AQ227" s="62">
        <f ca="1"/>
        <v>0.48292329231240927</v>
      </c>
      <c r="AR227" s="62">
        <f ca="1"/>
        <v>1.0457837211555805</v>
      </c>
    </row>
    <row r="228" spans="25:44" x14ac:dyDescent="0.15">
      <c r="Y228" s="8">
        <f t="shared" si="21"/>
        <v>225</v>
      </c>
      <c r="Z228" s="61">
        <f t="shared" ca="1" si="19"/>
        <v>0.25565888004718973</v>
      </c>
      <c r="AA228" s="61">
        <f t="shared" ca="1" si="19"/>
        <v>0.17829725066345031</v>
      </c>
      <c r="AB228" s="61">
        <f t="shared" ca="1" si="19"/>
        <v>0.5686952688453677</v>
      </c>
      <c r="AC228" s="61">
        <f t="shared" ca="1" si="19"/>
        <v>-0.51026457057660657</v>
      </c>
      <c r="AD228" s="37"/>
      <c r="AE228" s="62">
        <f t="array" aca="1" ref="AE228:AH228" ca="1">TRANSPOSE($B$9:$B$12 + MMULT($D$9:$G$12,TRANSPOSE(AO228:AR228)) + MMULT($N$9:$Q$12, TRANSPOSE(Z228:AC228)))</f>
        <v>0.91485949957364521</v>
      </c>
      <c r="AF228" s="62">
        <f ca="1"/>
        <v>0.7351447700514937</v>
      </c>
      <c r="AG228" s="62">
        <f ca="1"/>
        <v>1.0608467617157276</v>
      </c>
      <c r="AH228" s="62">
        <f ca="1"/>
        <v>0.42009751192052752</v>
      </c>
      <c r="AI228" s="37"/>
      <c r="AJ228" s="61">
        <f t="shared" ca="1" si="20"/>
        <v>0.32029477648218602</v>
      </c>
      <c r="AK228" s="61">
        <f t="shared" ca="1" si="20"/>
        <v>-0.51045440855810353</v>
      </c>
      <c r="AL228" s="61">
        <f t="shared" ca="1" si="20"/>
        <v>-0.37544480346366649</v>
      </c>
      <c r="AM228" s="61">
        <f t="shared" ca="1" si="20"/>
        <v>-0.11909087397453354</v>
      </c>
      <c r="AN228" s="37"/>
      <c r="AO228" s="62">
        <f t="array" aca="1" ref="AO228:AR228" ca="1">TRANSPOSE($B$17:$B$20 + MMULT($D$17:$G$20,TRANSPOSE(AO227:AR227)) + MMULT($N$17:$Q$20,TRANSPOSE(AJ228:AM228)))</f>
        <v>0.69421200375820491</v>
      </c>
      <c r="AP228" s="62">
        <f ca="1"/>
        <v>0.32424669973062148</v>
      </c>
      <c r="AQ228" s="62">
        <f ca="1"/>
        <v>0.44780641485866307</v>
      </c>
      <c r="AR228" s="62">
        <f ca="1"/>
        <v>0.76514639875113577</v>
      </c>
    </row>
    <row r="229" spans="25:44" x14ac:dyDescent="0.15">
      <c r="Y229" s="8">
        <f t="shared" si="21"/>
        <v>226</v>
      </c>
      <c r="Z229" s="61">
        <f t="shared" ca="1" si="19"/>
        <v>-0.69030292795236625</v>
      </c>
      <c r="AA229" s="61">
        <f t="shared" ca="1" si="19"/>
        <v>0.13845268545017184</v>
      </c>
      <c r="AB229" s="61">
        <f t="shared" ca="1" si="19"/>
        <v>0.26694762696810337</v>
      </c>
      <c r="AC229" s="61">
        <f t="shared" ca="1" si="19"/>
        <v>-0.19315568295727395</v>
      </c>
      <c r="AD229" s="37"/>
      <c r="AE229" s="62">
        <f t="array" aca="1" ref="AE229:AH229" ca="1">TRANSPOSE($B$9:$B$12 + MMULT($D$9:$G$12,TRANSPOSE(AO229:AR229)) + MMULT($N$9:$Q$12, TRANSPOSE(Z229:AC229)))</f>
        <v>0.48423635737363802</v>
      </c>
      <c r="AF229" s="62">
        <f ca="1"/>
        <v>0.12484398401249128</v>
      </c>
      <c r="AG229" s="62">
        <f ca="1"/>
        <v>1.2409119017090156</v>
      </c>
      <c r="AH229" s="62">
        <f ca="1"/>
        <v>0.22822136513456856</v>
      </c>
      <c r="AI229" s="37"/>
      <c r="AJ229" s="61">
        <f t="shared" ca="1" si="20"/>
        <v>0.22873200243872174</v>
      </c>
      <c r="AK229" s="61">
        <f t="shared" ca="1" si="20"/>
        <v>-1.5455328063924008</v>
      </c>
      <c r="AL229" s="61">
        <f t="shared" ca="1" si="20"/>
        <v>-0.78431024788746428</v>
      </c>
      <c r="AM229" s="61">
        <f t="shared" ca="1" si="20"/>
        <v>-0.60360242724584678</v>
      </c>
      <c r="AN229" s="37"/>
      <c r="AO229" s="62">
        <f t="array" aca="1" ref="AO229:AR229" ca="1">TRANSPOSE($B$17:$B$20 + MMULT($D$17:$G$20,TRANSPOSE(AO228:AR228)) + MMULT($N$17:$Q$20,TRANSPOSE(AJ229:AM229)))</f>
        <v>0.65899412628657883</v>
      </c>
      <c r="AP229" s="62">
        <f ca="1"/>
        <v>-0.13249308705104934</v>
      </c>
      <c r="AQ229" s="62">
        <f ca="1"/>
        <v>0.35962996628178706</v>
      </c>
      <c r="AR229" s="62">
        <f ca="1"/>
        <v>0.71270883290130416</v>
      </c>
    </row>
    <row r="230" spans="25:44" x14ac:dyDescent="0.15">
      <c r="Y230" s="8">
        <f t="shared" si="21"/>
        <v>227</v>
      </c>
      <c r="Z230" s="61">
        <f t="shared" ca="1" si="19"/>
        <v>0.84761370040307726</v>
      </c>
      <c r="AA230" s="61">
        <f t="shared" ca="1" si="19"/>
        <v>-0.46139737972158584</v>
      </c>
      <c r="AB230" s="61">
        <f t="shared" ca="1" si="19"/>
        <v>1.5963204721704005</v>
      </c>
      <c r="AC230" s="61">
        <f t="shared" ca="1" si="19"/>
        <v>0.16722187642000441</v>
      </c>
      <c r="AD230" s="37"/>
      <c r="AE230" s="62">
        <f t="array" aca="1" ref="AE230:AH230" ca="1">TRANSPOSE($B$9:$B$12 + MMULT($D$9:$G$12,TRANSPOSE(AO230:AR230)) + MMULT($N$9:$Q$12, TRANSPOSE(Z230:AC230)))</f>
        <v>0.43706921466615689</v>
      </c>
      <c r="AF230" s="62">
        <f ca="1"/>
        <v>0.70410533417124166</v>
      </c>
      <c r="AG230" s="62">
        <f ca="1"/>
        <v>0.75927411394577149</v>
      </c>
      <c r="AH230" s="62">
        <f ca="1"/>
        <v>-2.7396590439058642E-2</v>
      </c>
      <c r="AI230" s="37"/>
      <c r="AJ230" s="61">
        <f t="shared" ca="1" si="20"/>
        <v>-0.8608360688387886</v>
      </c>
      <c r="AK230" s="61">
        <f t="shared" ca="1" si="20"/>
        <v>0.33208535154092489</v>
      </c>
      <c r="AL230" s="61">
        <f t="shared" ca="1" si="20"/>
        <v>-1.1334476785752177</v>
      </c>
      <c r="AM230" s="61">
        <f t="shared" ca="1" si="20"/>
        <v>-6.3581077673636854E-2</v>
      </c>
      <c r="AN230" s="37"/>
      <c r="AO230" s="62">
        <f t="array" aca="1" ref="AO230:AR230" ca="1">TRANSPOSE($B$17:$B$20 + MMULT($D$17:$G$20,TRANSPOSE(AO229:AR229)) + MMULT($N$17:$Q$20,TRANSPOSE(AJ230:AM230)))</f>
        <v>0.23469583178520642</v>
      </c>
      <c r="AP230" s="62">
        <f ca="1"/>
        <v>0.49981461101510166</v>
      </c>
      <c r="AQ230" s="62">
        <f ca="1"/>
        <v>-0.39543405878750065</v>
      </c>
      <c r="AR230" s="62">
        <f ca="1"/>
        <v>0.22567647618231529</v>
      </c>
    </row>
    <row r="231" spans="25:44" x14ac:dyDescent="0.15">
      <c r="Y231" s="8">
        <f t="shared" si="21"/>
        <v>228</v>
      </c>
      <c r="Z231" s="61">
        <f t="shared" ca="1" si="19"/>
        <v>0.69979115391810154</v>
      </c>
      <c r="AA231" s="61">
        <f t="shared" ca="1" si="19"/>
        <v>0.68451135901922522</v>
      </c>
      <c r="AB231" s="61">
        <f t="shared" ca="1" si="19"/>
        <v>0.31981976783640587</v>
      </c>
      <c r="AC231" s="61">
        <f t="shared" ca="1" si="19"/>
        <v>-2.4744291727221186</v>
      </c>
      <c r="AD231" s="37"/>
      <c r="AE231" s="62">
        <f t="array" aca="1" ref="AE231:AH231" ca="1">TRANSPOSE($B$9:$B$12 + MMULT($D$9:$G$12,TRANSPOSE(AO231:AR231)) + MMULT($N$9:$Q$12, TRANSPOSE(Z231:AC231)))</f>
        <v>0.81840344536056731</v>
      </c>
      <c r="AF231" s="62">
        <f ca="1"/>
        <v>0.98889034897604911</v>
      </c>
      <c r="AG231" s="62">
        <f ca="1"/>
        <v>-0.27078163705358343</v>
      </c>
      <c r="AH231" s="62">
        <f ca="1"/>
        <v>-0.19007760686403641</v>
      </c>
      <c r="AI231" s="37"/>
      <c r="AJ231" s="61">
        <f t="shared" ca="1" si="20"/>
        <v>-0.53506034268378211</v>
      </c>
      <c r="AK231" s="61">
        <f t="shared" ca="1" si="20"/>
        <v>0.98291940652314214</v>
      </c>
      <c r="AL231" s="61">
        <f t="shared" ca="1" si="20"/>
        <v>0.48082931379680466</v>
      </c>
      <c r="AM231" s="61">
        <f t="shared" ca="1" si="20"/>
        <v>-0.99385886065017559</v>
      </c>
      <c r="AN231" s="37"/>
      <c r="AO231" s="62">
        <f t="array" aca="1" ref="AO231:AR231" ca="1">TRANSPOSE($B$17:$B$20 + MMULT($D$17:$G$20,TRANSPOSE(AO230:AR230)) + MMULT($N$17:$Q$20,TRANSPOSE(AJ231:AM231)))</f>
        <v>0.14350785979271977</v>
      </c>
      <c r="AP231" s="62">
        <f ca="1"/>
        <v>0.6739980085426196</v>
      </c>
      <c r="AQ231" s="62">
        <f ca="1"/>
        <v>0.22017385628002575</v>
      </c>
      <c r="AR231" s="62">
        <f ca="1"/>
        <v>-0.21378980704886938</v>
      </c>
    </row>
    <row r="232" spans="25:44" x14ac:dyDescent="0.15">
      <c r="Y232" s="8">
        <f t="shared" si="21"/>
        <v>229</v>
      </c>
      <c r="Z232" s="61">
        <f t="shared" ca="1" si="19"/>
        <v>4.6649225057686363E-3</v>
      </c>
      <c r="AA232" s="61">
        <f t="shared" ca="1" si="19"/>
        <v>-1.3998035486610785</v>
      </c>
      <c r="AB232" s="61">
        <f t="shared" ca="1" si="19"/>
        <v>0.84570748765878656</v>
      </c>
      <c r="AC232" s="61">
        <f t="shared" ca="1" si="19"/>
        <v>0.93556886027192021</v>
      </c>
      <c r="AD232" s="37"/>
      <c r="AE232" s="62">
        <f t="array" aca="1" ref="AE232:AH232" ca="1">TRANSPOSE($B$9:$B$12 + MMULT($D$9:$G$12,TRANSPOSE(AO232:AR232)) + MMULT($N$9:$Q$12, TRANSPOSE(Z232:AC232)))</f>
        <v>-0.29164323741309683</v>
      </c>
      <c r="AF232" s="62">
        <f ca="1"/>
        <v>0.3325881183045406</v>
      </c>
      <c r="AG232" s="62">
        <f ca="1"/>
        <v>-0.1470356320100577</v>
      </c>
      <c r="AH232" s="62">
        <f ca="1"/>
        <v>-0.52382227508322521</v>
      </c>
      <c r="AI232" s="37"/>
      <c r="AJ232" s="61">
        <f t="shared" ca="1" si="20"/>
        <v>-1.0282421116173597</v>
      </c>
      <c r="AK232" s="61">
        <f t="shared" ca="1" si="20"/>
        <v>1.1731703670233602</v>
      </c>
      <c r="AL232" s="61">
        <f t="shared" ca="1" si="20"/>
        <v>-2.6543463709670805</v>
      </c>
      <c r="AM232" s="61">
        <f t="shared" ca="1" si="20"/>
        <v>-1.0946469737865754</v>
      </c>
      <c r="AN232" s="37"/>
      <c r="AO232" s="62">
        <f t="array" aca="1" ref="AO232:AR232" ca="1">TRANSPOSE($B$17:$B$20 + MMULT($D$17:$G$20,TRANSPOSE(AO231:AR231)) + MMULT($N$17:$Q$20,TRANSPOSE(AJ232:AM232)))</f>
        <v>3.6129857057882964E-2</v>
      </c>
      <c r="AP232" s="62">
        <f ca="1"/>
        <v>0.74201749888140511</v>
      </c>
      <c r="AQ232" s="62">
        <f ca="1"/>
        <v>-1.1039275835613775</v>
      </c>
      <c r="AR232" s="62">
        <f ca="1"/>
        <v>-0.55828163052600588</v>
      </c>
    </row>
    <row r="233" spans="25:44" x14ac:dyDescent="0.15">
      <c r="Y233" s="8">
        <f t="shared" si="21"/>
        <v>230</v>
      </c>
      <c r="Z233" s="61">
        <f t="shared" ca="1" si="19"/>
        <v>1.1024087766118917</v>
      </c>
      <c r="AA233" s="61">
        <f t="shared" ca="1" si="19"/>
        <v>-1.7751386976994148</v>
      </c>
      <c r="AB233" s="61">
        <f t="shared" ca="1" si="19"/>
        <v>1.0365867330320646</v>
      </c>
      <c r="AC233" s="61">
        <f t="shared" ca="1" si="19"/>
        <v>-2.369051775354559</v>
      </c>
      <c r="AD233" s="37"/>
      <c r="AE233" s="62">
        <f t="array" aca="1" ref="AE233:AH233" ca="1">TRANSPOSE($B$9:$B$12 + MMULT($D$9:$G$12,TRANSPOSE(AO233:AR233)) + MMULT($N$9:$Q$12, TRANSPOSE(Z233:AC233)))</f>
        <v>0.68439020991364807</v>
      </c>
      <c r="AF233" s="62">
        <f ca="1"/>
        <v>-8.759309540788357E-2</v>
      </c>
      <c r="AG233" s="62">
        <f ca="1"/>
        <v>-7.6538022747864781E-2</v>
      </c>
      <c r="AH233" s="62">
        <f ca="1"/>
        <v>-0.8801419541053237</v>
      </c>
      <c r="AI233" s="37"/>
      <c r="AJ233" s="61">
        <f t="shared" ca="1" si="20"/>
        <v>0.11162025201986187</v>
      </c>
      <c r="AK233" s="61">
        <f t="shared" ca="1" si="20"/>
        <v>0.4352847228220269</v>
      </c>
      <c r="AL233" s="61">
        <f t="shared" ca="1" si="20"/>
        <v>-1.0548265429616905</v>
      </c>
      <c r="AM233" s="61">
        <f t="shared" ca="1" si="20"/>
        <v>-0.53971406304086389</v>
      </c>
      <c r="AN233" s="37"/>
      <c r="AO233" s="62">
        <f t="array" aca="1" ref="AO233:AR233" ca="1">TRANSPOSE($B$17:$B$20 + MMULT($D$17:$G$20,TRANSPOSE(AO232:AR232)) + MMULT($N$17:$Q$20,TRANSPOSE(AJ233:AM233)))</f>
        <v>0.18381302791051313</v>
      </c>
      <c r="AP233" s="62">
        <f ca="1"/>
        <v>0.28067708579970724</v>
      </c>
      <c r="AQ233" s="62">
        <f ca="1"/>
        <v>-0.46808310893742222</v>
      </c>
      <c r="AR233" s="62">
        <f ca="1"/>
        <v>-0.52547127289014739</v>
      </c>
    </row>
    <row r="234" spans="25:44" x14ac:dyDescent="0.15">
      <c r="Y234" s="8">
        <f t="shared" si="21"/>
        <v>231</v>
      </c>
      <c r="Z234" s="61">
        <f t="shared" ca="1" si="19"/>
        <v>0.24658428776155278</v>
      </c>
      <c r="AA234" s="61">
        <f t="shared" ca="1" si="19"/>
        <v>0.3691747639373929</v>
      </c>
      <c r="AB234" s="61">
        <f t="shared" ca="1" si="19"/>
        <v>-1.0005912163480308</v>
      </c>
      <c r="AC234" s="61">
        <f t="shared" ca="1" si="19"/>
        <v>-4.3073212316468074E-2</v>
      </c>
      <c r="AD234" s="37"/>
      <c r="AE234" s="62">
        <f t="array" aca="1" ref="AE234:AH234" ca="1">TRANSPOSE($B$9:$B$12 + MMULT($D$9:$G$12,TRANSPOSE(AO234:AR234)) + MMULT($N$9:$Q$12, TRANSPOSE(Z234:AC234)))</f>
        <v>0.13276403818025773</v>
      </c>
      <c r="AF234" s="62">
        <f ca="1"/>
        <v>0.66533047004745893</v>
      </c>
      <c r="AG234" s="62">
        <f ca="1"/>
        <v>-0.81079061363197713</v>
      </c>
      <c r="AH234" s="62">
        <f ca="1"/>
        <v>-0.56106130998855119</v>
      </c>
      <c r="AI234" s="37"/>
      <c r="AJ234" s="61">
        <f t="shared" ca="1" si="20"/>
        <v>-0.28794703144768086</v>
      </c>
      <c r="AK234" s="61">
        <f t="shared" ca="1" si="20"/>
        <v>0.63563527148077981</v>
      </c>
      <c r="AL234" s="61">
        <f t="shared" ca="1" si="20"/>
        <v>-1.5812392410212517</v>
      </c>
      <c r="AM234" s="61">
        <f t="shared" ca="1" si="20"/>
        <v>-0.84299094533024055</v>
      </c>
      <c r="AN234" s="37"/>
      <c r="AO234" s="62">
        <f t="array" aca="1" ref="AO234:AR234" ca="1">TRANSPOSE($B$17:$B$20 + MMULT($D$17:$G$20,TRANSPOSE(AO233:AR233)) + MMULT($N$17:$Q$20,TRANSPOSE(AJ234:AM234)))</f>
        <v>0.15054487484019563</v>
      </c>
      <c r="AP234" s="62">
        <f ca="1"/>
        <v>0.33987961081843882</v>
      </c>
      <c r="AQ234" s="62">
        <f ca="1"/>
        <v>-0.76151055595668293</v>
      </c>
      <c r="AR234" s="62">
        <f ca="1"/>
        <v>-0.57264079970188919</v>
      </c>
    </row>
    <row r="235" spans="25:44" x14ac:dyDescent="0.15">
      <c r="Y235" s="8">
        <f t="shared" si="21"/>
        <v>232</v>
      </c>
      <c r="Z235" s="61">
        <f t="shared" ca="1" si="19"/>
        <v>-1.0040837500844075</v>
      </c>
      <c r="AA235" s="61">
        <f t="shared" ca="1" si="19"/>
        <v>2.9089219420401852E-2</v>
      </c>
      <c r="AB235" s="61">
        <f t="shared" ca="1" si="19"/>
        <v>-0.36761949259824656</v>
      </c>
      <c r="AC235" s="61">
        <f t="shared" ca="1" si="19"/>
        <v>-0.83981844781864867</v>
      </c>
      <c r="AD235" s="37"/>
      <c r="AE235" s="62">
        <f t="array" aca="1" ref="AE235:AH235" ca="1">TRANSPOSE($B$9:$B$12 + MMULT($D$9:$G$12,TRANSPOSE(AO235:AR235)) + MMULT($N$9:$Q$12, TRANSPOSE(Z235:AC235)))</f>
        <v>-0.22015941231417727</v>
      </c>
      <c r="AF235" s="62">
        <f ca="1"/>
        <v>0.43058169187401413</v>
      </c>
      <c r="AG235" s="62">
        <f ca="1"/>
        <v>-0.27464869573725492</v>
      </c>
      <c r="AH235" s="62">
        <f ca="1"/>
        <v>-0.63498242838982133</v>
      </c>
      <c r="AI235" s="37"/>
      <c r="AJ235" s="61">
        <f t="shared" ca="1" si="20"/>
        <v>0.10111946856681971</v>
      </c>
      <c r="AK235" s="61">
        <f t="shared" ca="1" si="20"/>
        <v>1.1215082546078341</v>
      </c>
      <c r="AL235" s="61">
        <f t="shared" ca="1" si="20"/>
        <v>-0.95210670691730381</v>
      </c>
      <c r="AM235" s="61">
        <f t="shared" ca="1" si="20"/>
        <v>-8.1377173935007797E-3</v>
      </c>
      <c r="AN235" s="37"/>
      <c r="AO235" s="62">
        <f t="array" aca="1" ref="AO235:AR235" ca="1">TRANSPOSE($B$17:$B$20 + MMULT($D$17:$G$20,TRANSPOSE(AO234:AR234)) + MMULT($N$17:$Q$20,TRANSPOSE(AJ235:AM235)))</f>
        <v>0.23130596708643536</v>
      </c>
      <c r="AP235" s="62">
        <f ca="1"/>
        <v>0.52556767311666808</v>
      </c>
      <c r="AQ235" s="62">
        <f ca="1"/>
        <v>-0.53406409352932216</v>
      </c>
      <c r="AR235" s="62">
        <f ca="1"/>
        <v>-0.46064294940153871</v>
      </c>
    </row>
    <row r="236" spans="25:44" x14ac:dyDescent="0.15">
      <c r="Y236" s="8">
        <f t="shared" si="21"/>
        <v>233</v>
      </c>
      <c r="Z236" s="61">
        <f t="shared" ca="1" si="19"/>
        <v>-1.7327350955814833</v>
      </c>
      <c r="AA236" s="61">
        <f t="shared" ca="1" si="19"/>
        <v>0.11176385965413026</v>
      </c>
      <c r="AB236" s="61">
        <f t="shared" ca="1" si="19"/>
        <v>1.1745485609375617</v>
      </c>
      <c r="AC236" s="61">
        <f t="shared" ca="1" si="19"/>
        <v>-1.0020382794703258</v>
      </c>
      <c r="AD236" s="37"/>
      <c r="AE236" s="62">
        <f t="array" aca="1" ref="AE236:AH236" ca="1">TRANSPOSE($B$9:$B$12 + MMULT($D$9:$G$12,TRANSPOSE(AO236:AR236)) + MMULT($N$9:$Q$12, TRANSPOSE(Z236:AC236)))</f>
        <v>2.4304248357622682E-2</v>
      </c>
      <c r="AF236" s="62">
        <f ca="1"/>
        <v>-0.60400241275264888</v>
      </c>
      <c r="AG236" s="62">
        <f ca="1"/>
        <v>1.6255577787587252</v>
      </c>
      <c r="AH236" s="62">
        <f ca="1"/>
        <v>-7.158390582201174E-2</v>
      </c>
      <c r="AI236" s="37"/>
      <c r="AJ236" s="61">
        <f t="shared" ca="1" si="20"/>
        <v>0.27989278724535921</v>
      </c>
      <c r="AK236" s="61">
        <f t="shared" ca="1" si="20"/>
        <v>-1.5474517135765311</v>
      </c>
      <c r="AL236" s="61">
        <f t="shared" ca="1" si="20"/>
        <v>0.29999640425236529</v>
      </c>
      <c r="AM236" s="61">
        <f t="shared" ca="1" si="20"/>
        <v>0.56605621384957916</v>
      </c>
      <c r="AN236" s="37"/>
      <c r="AO236" s="62">
        <f t="array" aca="1" ref="AO236:AR236" ca="1">TRANSPOSE($B$17:$B$20 + MMULT($D$17:$G$20,TRANSPOSE(AO235:AR235)) + MMULT($N$17:$Q$20,TRANSPOSE(AJ236:AM236)))</f>
        <v>0.36501431640917992</v>
      </c>
      <c r="AP236" s="62">
        <f ca="1"/>
        <v>-0.48800086504256757</v>
      </c>
      <c r="AQ236" s="62">
        <f ca="1"/>
        <v>0.50351420041817829</v>
      </c>
      <c r="AR236" s="62">
        <f ca="1"/>
        <v>0.47319580760194768</v>
      </c>
    </row>
    <row r="237" spans="25:44" x14ac:dyDescent="0.15">
      <c r="Y237" s="8">
        <f t="shared" si="21"/>
        <v>234</v>
      </c>
      <c r="Z237" s="61">
        <f t="shared" ca="1" si="19"/>
        <v>-2.5258236806716083</v>
      </c>
      <c r="AA237" s="61">
        <f t="shared" ca="1" si="19"/>
        <v>-0.26399390773992126</v>
      </c>
      <c r="AB237" s="61">
        <f t="shared" ca="1" si="19"/>
        <v>0.96303737596988137</v>
      </c>
      <c r="AC237" s="61">
        <f t="shared" ca="1" si="19"/>
        <v>-0.56703605496615928</v>
      </c>
      <c r="AD237" s="37"/>
      <c r="AE237" s="62">
        <f t="array" aca="1" ref="AE237:AH237" ca="1">TRANSPOSE($B$9:$B$12 + MMULT($D$9:$G$12,TRANSPOSE(AO237:AR237)) + MMULT($N$9:$Q$12, TRANSPOSE(Z237:AC237)))</f>
        <v>-0.67729642996116213</v>
      </c>
      <c r="AF237" s="62">
        <f ca="1"/>
        <v>-0.26717268566028368</v>
      </c>
      <c r="AG237" s="62">
        <f ca="1"/>
        <v>1.5281232520353925</v>
      </c>
      <c r="AH237" s="62">
        <f ca="1"/>
        <v>-0.13289040142018654</v>
      </c>
      <c r="AI237" s="37"/>
      <c r="AJ237" s="61">
        <f t="shared" ca="1" si="20"/>
        <v>-0.31240332736012255</v>
      </c>
      <c r="AK237" s="61">
        <f t="shared" ca="1" si="20"/>
        <v>-7.1780472873845674E-2</v>
      </c>
      <c r="AL237" s="61">
        <f t="shared" ca="1" si="20"/>
        <v>-0.18530936001711321</v>
      </c>
      <c r="AM237" s="61">
        <f t="shared" ca="1" si="20"/>
        <v>0.5195802112992417</v>
      </c>
      <c r="AN237" s="37"/>
      <c r="AO237" s="62">
        <f t="array" aca="1" ref="AO237:AR237" ca="1">TRANSPOSE($B$17:$B$20 + MMULT($D$17:$G$20,TRANSPOSE(AO236:AR236)) + MMULT($N$17:$Q$20,TRANSPOSE(AJ237:AM237)))</f>
        <v>0.32664627813973163</v>
      </c>
      <c r="AP237" s="62">
        <f ca="1"/>
        <v>0.11941598603660464</v>
      </c>
      <c r="AQ237" s="62">
        <f ca="1"/>
        <v>2.7302821251279336E-2</v>
      </c>
      <c r="AR237" s="62">
        <f ca="1"/>
        <v>0.52006923391340154</v>
      </c>
    </row>
    <row r="238" spans="25:44" x14ac:dyDescent="0.15">
      <c r="Y238" s="8">
        <f t="shared" si="21"/>
        <v>235</v>
      </c>
      <c r="Z238" s="61">
        <f t="shared" ca="1" si="19"/>
        <v>0.51107510752102503</v>
      </c>
      <c r="AA238" s="61">
        <f t="shared" ca="1" si="19"/>
        <v>0.25251515871781471</v>
      </c>
      <c r="AB238" s="61">
        <f t="shared" ca="1" si="19"/>
        <v>-1.2250271539306747</v>
      </c>
      <c r="AC238" s="61">
        <f t="shared" ca="1" si="19"/>
        <v>-0.25695097324755156</v>
      </c>
      <c r="AD238" s="37"/>
      <c r="AE238" s="62">
        <f t="array" aca="1" ref="AE238:AH238" ca="1">TRANSPOSE($B$9:$B$12 + MMULT($D$9:$G$12,TRANSPOSE(AO238:AR238)) + MMULT($N$9:$Q$12, TRANSPOSE(Z238:AC238)))</f>
        <v>1.1949162522887979</v>
      </c>
      <c r="AF238" s="62">
        <f ca="1"/>
        <v>0.84641719408769656</v>
      </c>
      <c r="AG238" s="62">
        <f ca="1"/>
        <v>-0.12540235528636495</v>
      </c>
      <c r="AH238" s="62">
        <f ca="1"/>
        <v>0.62972985453844743</v>
      </c>
      <c r="AI238" s="37"/>
      <c r="AJ238" s="61">
        <f t="shared" ca="1" si="20"/>
        <v>0.84019262892527125</v>
      </c>
      <c r="AK238" s="61">
        <f t="shared" ca="1" si="20"/>
        <v>0.49073438641963674</v>
      </c>
      <c r="AL238" s="61">
        <f t="shared" ca="1" si="20"/>
        <v>0.57878635705930759</v>
      </c>
      <c r="AM238" s="61">
        <f t="shared" ca="1" si="20"/>
        <v>-0.16436245528267432</v>
      </c>
      <c r="AN238" s="37"/>
      <c r="AO238" s="62">
        <f t="array" aca="1" ref="AO238:AR238" ca="1">TRANSPOSE($B$17:$B$20 + MMULT($D$17:$G$20,TRANSPOSE(AO237:AR237)) + MMULT($N$17:$Q$20,TRANSPOSE(AJ238:AM238)))</f>
        <v>0.67989669013346954</v>
      </c>
      <c r="AP238" s="62">
        <f ca="1"/>
        <v>0.48911443220581213</v>
      </c>
      <c r="AQ238" s="62">
        <f ca="1"/>
        <v>0.58661384661221794</v>
      </c>
      <c r="AR238" s="62">
        <f ca="1"/>
        <v>0.39294419359147154</v>
      </c>
    </row>
    <row r="239" spans="25:44" x14ac:dyDescent="0.15">
      <c r="Y239" s="8">
        <f t="shared" si="21"/>
        <v>236</v>
      </c>
      <c r="Z239" s="61">
        <f t="shared" ca="1" si="19"/>
        <v>-0.82633204009464234</v>
      </c>
      <c r="AA239" s="61">
        <f t="shared" ca="1" si="19"/>
        <v>-0.6803896193029727</v>
      </c>
      <c r="AB239" s="61">
        <f t="shared" ca="1" si="19"/>
        <v>-1.6967111036496836</v>
      </c>
      <c r="AC239" s="61">
        <f t="shared" ca="1" si="19"/>
        <v>1.2061394545247497</v>
      </c>
      <c r="AD239" s="37"/>
      <c r="AE239" s="62">
        <f t="array" aca="1" ref="AE239:AH239" ca="1">TRANSPOSE($B$9:$B$12 + MMULT($D$9:$G$12,TRANSPOSE(AO239:AR239)) + MMULT($N$9:$Q$12, TRANSPOSE(Z239:AC239)))</f>
        <v>0.31182586649895289</v>
      </c>
      <c r="AF239" s="62">
        <f ca="1"/>
        <v>0.72388594570684928</v>
      </c>
      <c r="AG239" s="62">
        <f ca="1"/>
        <v>3.9594512543327465E-2</v>
      </c>
      <c r="AH239" s="62">
        <f ca="1"/>
        <v>0.87035624526916178</v>
      </c>
      <c r="AI239" s="37"/>
      <c r="AJ239" s="61">
        <f t="shared" ca="1" si="20"/>
        <v>0.27850086521863715</v>
      </c>
      <c r="AK239" s="61">
        <f t="shared" ca="1" si="20"/>
        <v>0.93218796844728591</v>
      </c>
      <c r="AL239" s="61">
        <f t="shared" ca="1" si="20"/>
        <v>-0.63896774766859143</v>
      </c>
      <c r="AM239" s="61">
        <f t="shared" ca="1" si="20"/>
        <v>1.1659205410041511</v>
      </c>
      <c r="AN239" s="37"/>
      <c r="AO239" s="62">
        <f t="array" aca="1" ref="AO239:AR239" ca="1">TRANSPOSE($B$17:$B$20 + MMULT($D$17:$G$20,TRANSPOSE(AO238:AR238)) + MMULT($N$17:$Q$20,TRANSPOSE(AJ239:AM239)))</f>
        <v>0.68640008384149942</v>
      </c>
      <c r="AP239" s="62">
        <f ca="1"/>
        <v>0.90506031055930791</v>
      </c>
      <c r="AQ239" s="62">
        <f ca="1"/>
        <v>0.20877838586858449</v>
      </c>
      <c r="AR239" s="62">
        <f ca="1"/>
        <v>0.66049501708434133</v>
      </c>
    </row>
    <row r="240" spans="25:44" x14ac:dyDescent="0.15">
      <c r="Y240" s="8">
        <f t="shared" si="21"/>
        <v>237</v>
      </c>
      <c r="Z240" s="61">
        <f t="shared" ca="1" si="19"/>
        <v>-1.2697132365374564</v>
      </c>
      <c r="AA240" s="61">
        <f t="shared" ca="1" si="19"/>
        <v>-2.511757287687922E-2</v>
      </c>
      <c r="AB240" s="61">
        <f t="shared" ca="1" si="19"/>
        <v>0.37445995081717409</v>
      </c>
      <c r="AC240" s="61">
        <f t="shared" ca="1" si="19"/>
        <v>0.89904061041476357</v>
      </c>
      <c r="AD240" s="37"/>
      <c r="AE240" s="62">
        <f t="array" aca="1" ref="AE240:AH240" ca="1">TRANSPOSE($B$9:$B$12 + MMULT($D$9:$G$12,TRANSPOSE(AO240:AR240)) + MMULT($N$9:$Q$12, TRANSPOSE(Z240:AC240)))</f>
        <v>0.60401480175490829</v>
      </c>
      <c r="AF240" s="62">
        <f ca="1"/>
        <v>0.57166423661885868</v>
      </c>
      <c r="AG240" s="62">
        <f ca="1"/>
        <v>1.0976791037455527</v>
      </c>
      <c r="AH240" s="62">
        <f ca="1"/>
        <v>0.43222042374548475</v>
      </c>
      <c r="AI240" s="37"/>
      <c r="AJ240" s="61">
        <f t="shared" ca="1" si="20"/>
        <v>1.3145634826959312</v>
      </c>
      <c r="AK240" s="61">
        <f t="shared" ca="1" si="20"/>
        <v>-0.31211718551057355</v>
      </c>
      <c r="AL240" s="61">
        <f t="shared" ca="1" si="20"/>
        <v>-0.94190370167239257</v>
      </c>
      <c r="AM240" s="61">
        <f t="shared" ca="1" si="20"/>
        <v>-0.84335493365192105</v>
      </c>
      <c r="AN240" s="37"/>
      <c r="AO240" s="62">
        <f t="array" aca="1" ref="AO240:AR240" ca="1">TRANSPOSE($B$17:$B$20 + MMULT($D$17:$G$20,TRANSPOSE(AO239:AR239)) + MMULT($N$17:$Q$20,TRANSPOSE(AJ240:AM240)))</f>
        <v>1.0236459642474043</v>
      </c>
      <c r="AP240" s="62">
        <f ca="1"/>
        <v>0.51695958209835147</v>
      </c>
      <c r="AQ240" s="62">
        <f ca="1"/>
        <v>0.46795844864544406</v>
      </c>
      <c r="AR240" s="62">
        <f ca="1"/>
        <v>0.49319398425116262</v>
      </c>
    </row>
    <row r="241" spans="25:44" x14ac:dyDescent="0.15">
      <c r="Y241" s="8">
        <f t="shared" si="21"/>
        <v>238</v>
      </c>
      <c r="Z241" s="61">
        <f t="shared" ca="1" si="19"/>
        <v>0.13813749392656852</v>
      </c>
      <c r="AA241" s="61">
        <f t="shared" ca="1" si="19"/>
        <v>-0.2133535680268808</v>
      </c>
      <c r="AB241" s="61">
        <f t="shared" ca="1" si="19"/>
        <v>-0.14443758879299184</v>
      </c>
      <c r="AC241" s="61">
        <f t="shared" ca="1" si="19"/>
        <v>-0.57301731817036328</v>
      </c>
      <c r="AD241" s="37"/>
      <c r="AE241" s="62">
        <f t="array" aca="1" ref="AE241:AH241" ca="1">TRANSPOSE($B$9:$B$12 + MMULT($D$9:$G$12,TRANSPOSE(AO241:AR241)) + MMULT($N$9:$Q$12, TRANSPOSE(Z241:AC241)))</f>
        <v>1.0815067132932392</v>
      </c>
      <c r="AF241" s="62">
        <f ca="1"/>
        <v>0.59164210200115674</v>
      </c>
      <c r="AG241" s="62">
        <f ca="1"/>
        <v>1.0153104637207335</v>
      </c>
      <c r="AH241" s="62">
        <f ca="1"/>
        <v>0.69824891702037273</v>
      </c>
      <c r="AI241" s="37"/>
      <c r="AJ241" s="61">
        <f t="shared" ca="1" si="20"/>
        <v>0.50948231750111161</v>
      </c>
      <c r="AK241" s="61">
        <f t="shared" ca="1" si="20"/>
        <v>-0.75816710205690241</v>
      </c>
      <c r="AL241" s="61">
        <f t="shared" ca="1" si="20"/>
        <v>-9.6337984524819884E-2</v>
      </c>
      <c r="AM241" s="61">
        <f t="shared" ca="1" si="20"/>
        <v>0.87090113472408426</v>
      </c>
      <c r="AN241" s="37"/>
      <c r="AO241" s="62">
        <f t="array" aca="1" ref="AO241:AR241" ca="1">TRANSPOSE($B$17:$B$20 + MMULT($D$17:$G$20,TRANSPOSE(AO240:AR240)) + MMULT($N$17:$Q$20,TRANSPOSE(AJ241:AM241)))</f>
        <v>0.84322834935350133</v>
      </c>
      <c r="AP241" s="62">
        <f ca="1"/>
        <v>0.32511575686551319</v>
      </c>
      <c r="AQ241" s="62">
        <f ca="1"/>
        <v>0.72302759234201841</v>
      </c>
      <c r="AR241" s="62">
        <f ca="1"/>
        <v>0.99959471021366109</v>
      </c>
    </row>
    <row r="242" spans="25:44" x14ac:dyDescent="0.15">
      <c r="Y242" s="8">
        <f t="shared" si="21"/>
        <v>239</v>
      </c>
      <c r="Z242" s="61">
        <f t="shared" ca="1" si="19"/>
        <v>8.6128439927637399E-2</v>
      </c>
      <c r="AA242" s="61">
        <f t="shared" ca="1" si="19"/>
        <v>-3.5087775142527484E-2</v>
      </c>
      <c r="AB242" s="61">
        <f t="shared" ca="1" si="19"/>
        <v>1.5849260317463663</v>
      </c>
      <c r="AC242" s="61">
        <f t="shared" ca="1" si="19"/>
        <v>-0.2630035778052448</v>
      </c>
      <c r="AD242" s="37"/>
      <c r="AE242" s="62">
        <f t="array" aca="1" ref="AE242:AH242" ca="1">TRANSPOSE($B$9:$B$12 + MMULT($D$9:$G$12,TRANSPOSE(AO242:AR242)) + MMULT($N$9:$Q$12, TRANSPOSE(Z242:AC242)))</f>
        <v>0.9870681477140385</v>
      </c>
      <c r="AF242" s="62">
        <f ca="1"/>
        <v>1.0700145609865392</v>
      </c>
      <c r="AG242" s="62">
        <f ca="1"/>
        <v>1.1668560310223619</v>
      </c>
      <c r="AH242" s="62">
        <f ca="1"/>
        <v>0.52400234806310542</v>
      </c>
      <c r="AI242" s="37"/>
      <c r="AJ242" s="61">
        <f t="shared" ca="1" si="20"/>
        <v>0.27773272197192511</v>
      </c>
      <c r="AK242" s="61">
        <f t="shared" ca="1" si="20"/>
        <v>0.61961245625035577</v>
      </c>
      <c r="AL242" s="61">
        <f t="shared" ca="1" si="20"/>
        <v>-4.9963084324054156E-2</v>
      </c>
      <c r="AM242" s="61">
        <f t="shared" ca="1" si="20"/>
        <v>-0.48605012786949781</v>
      </c>
      <c r="AN242" s="37"/>
      <c r="AO242" s="62">
        <f t="array" aca="1" ref="AO242:AR242" ca="1">TRANSPOSE($B$17:$B$20 + MMULT($D$17:$G$20,TRANSPOSE(AO241:AR241)) + MMULT($N$17:$Q$20,TRANSPOSE(AJ242:AM242)))</f>
        <v>0.76658440748420109</v>
      </c>
      <c r="AP242" s="62">
        <f ca="1"/>
        <v>0.88515496752082856</v>
      </c>
      <c r="AQ242" s="62">
        <f ca="1"/>
        <v>0.55366263874924182</v>
      </c>
      <c r="AR242" s="62">
        <f ca="1"/>
        <v>0.58056598842246898</v>
      </c>
    </row>
    <row r="243" spans="25:44" x14ac:dyDescent="0.15">
      <c r="Y243" s="8">
        <f t="shared" si="21"/>
        <v>240</v>
      </c>
      <c r="Z243" s="61">
        <f t="shared" ca="1" si="19"/>
        <v>-1.0940317573148051</v>
      </c>
      <c r="AA243" s="61">
        <f t="shared" ca="1" si="19"/>
        <v>-0.11126045976771423</v>
      </c>
      <c r="AB243" s="61">
        <f t="shared" ca="1" si="19"/>
        <v>-1.1752122323368348</v>
      </c>
      <c r="AC243" s="61">
        <f t="shared" ca="1" si="19"/>
        <v>0.68497608322510795</v>
      </c>
      <c r="AD243" s="37"/>
      <c r="AE243" s="62">
        <f t="array" aca="1" ref="AE243:AH243" ca="1">TRANSPOSE($B$9:$B$12 + MMULT($D$9:$G$12,TRANSPOSE(AO243:AR243)) + MMULT($N$9:$Q$12, TRANSPOSE(Z243:AC243)))</f>
        <v>0.85993029663514897</v>
      </c>
      <c r="AF243" s="62">
        <f ca="1"/>
        <v>0.68532426076308339</v>
      </c>
      <c r="AG243" s="62">
        <f ca="1"/>
        <v>0.88458397332650951</v>
      </c>
      <c r="AH243" s="62">
        <f ca="1"/>
        <v>1.1938469375208647</v>
      </c>
      <c r="AI243" s="37"/>
      <c r="AJ243" s="61">
        <f t="shared" ca="1" si="20"/>
        <v>1.2672878738848357</v>
      </c>
      <c r="AK243" s="61">
        <f t="shared" ca="1" si="20"/>
        <v>-0.11986318301071412</v>
      </c>
      <c r="AL243" s="61">
        <f t="shared" ca="1" si="20"/>
        <v>0.12147157572895544</v>
      </c>
      <c r="AM243" s="61">
        <f t="shared" ca="1" si="20"/>
        <v>1.1362066587786714</v>
      </c>
      <c r="AN243" s="37"/>
      <c r="AO243" s="62">
        <f t="array" aca="1" ref="AO243:AR243" ca="1">TRANSPOSE($B$17:$B$20 + MMULT($D$17:$G$20,TRANSPOSE(AO242:AR242)) + MMULT($N$17:$Q$20,TRANSPOSE(AJ243:AM243)))</f>
        <v>1.0744683495053853</v>
      </c>
      <c r="AP243" s="62">
        <f ca="1"/>
        <v>0.63210465066804611</v>
      </c>
      <c r="AQ243" s="62">
        <f ca="1"/>
        <v>0.99717709745734728</v>
      </c>
      <c r="AR243" s="62">
        <f ca="1"/>
        <v>1.1367930802177644</v>
      </c>
    </row>
    <row r="244" spans="25:44" x14ac:dyDescent="0.15">
      <c r="Y244" s="8">
        <f t="shared" si="21"/>
        <v>241</v>
      </c>
      <c r="Z244" s="61">
        <f t="shared" ca="1" si="19"/>
        <v>0.90640287232580263</v>
      </c>
      <c r="AA244" s="61">
        <f t="shared" ca="1" si="19"/>
        <v>-0.93201821659131612</v>
      </c>
      <c r="AB244" s="61">
        <f t="shared" ca="1" si="19"/>
        <v>-0.8114560730437691</v>
      </c>
      <c r="AC244" s="61">
        <f t="shared" ca="1" si="19"/>
        <v>0.49152360240445914</v>
      </c>
      <c r="AD244" s="37"/>
      <c r="AE244" s="62">
        <f t="array" aca="1" ref="AE244:AH244" ca="1">TRANSPOSE($B$9:$B$12 + MMULT($D$9:$G$12,TRANSPOSE(AO244:AR244)) + MMULT($N$9:$Q$12, TRANSPOSE(Z244:AC244)))</f>
        <v>1.6289136423471344</v>
      </c>
      <c r="AF244" s="62">
        <f ca="1"/>
        <v>1.6216533465934853</v>
      </c>
      <c r="AG244" s="62">
        <f ca="1"/>
        <v>0.26003932108765437</v>
      </c>
      <c r="AH244" s="62">
        <f ca="1"/>
        <v>1.4890583495941536</v>
      </c>
      <c r="AI244" s="37"/>
      <c r="AJ244" s="61">
        <f t="shared" ca="1" si="20"/>
        <v>0.92146817203910181</v>
      </c>
      <c r="AK244" s="61">
        <f t="shared" ca="1" si="20"/>
        <v>1.7554084708496798</v>
      </c>
      <c r="AL244" s="61">
        <f t="shared" ca="1" si="20"/>
        <v>0.31016110409106806</v>
      </c>
      <c r="AM244" s="61">
        <f t="shared" ca="1" si="20"/>
        <v>1.231556456867184</v>
      </c>
      <c r="AN244" s="37"/>
      <c r="AO244" s="62">
        <f t="array" aca="1" ref="AO244:AR244" ca="1">TRANSPOSE($B$17:$B$20 + MMULT($D$17:$G$20,TRANSPOSE(AO243:AR243)) + MMULT($N$17:$Q$20,TRANSPOSE(AJ244:AM244)))</f>
        <v>1.112941646441415</v>
      </c>
      <c r="AP244" s="62">
        <f ca="1"/>
        <v>1.5696611219629766</v>
      </c>
      <c r="AQ244" s="62">
        <f ca="1"/>
        <v>0.91701712140988345</v>
      </c>
      <c r="AR244" s="62">
        <f ca="1"/>
        <v>1.0642785584070513</v>
      </c>
    </row>
    <row r="245" spans="25:44" x14ac:dyDescent="0.15">
      <c r="Y245" s="8">
        <f t="shared" si="21"/>
        <v>242</v>
      </c>
      <c r="Z245" s="61">
        <f t="shared" ca="1" si="19"/>
        <v>-1.1180603787152825</v>
      </c>
      <c r="AA245" s="61">
        <f t="shared" ca="1" si="19"/>
        <v>-1.1106966806634524</v>
      </c>
      <c r="AB245" s="61">
        <f t="shared" ca="1" si="19"/>
        <v>0.97021781397566731</v>
      </c>
      <c r="AC245" s="61">
        <f t="shared" ca="1" si="19"/>
        <v>1.3388149757935668</v>
      </c>
      <c r="AD245" s="37"/>
      <c r="AE245" s="62">
        <f t="array" aca="1" ref="AE245:AH245" ca="1">TRANSPOSE($B$9:$B$12 + MMULT($D$9:$G$12,TRANSPOSE(AO245:AR245)) + MMULT($N$9:$Q$12, TRANSPOSE(Z245:AC245)))</f>
        <v>1.5124656462225636</v>
      </c>
      <c r="AF245" s="62">
        <f ca="1"/>
        <v>0.90958306358515606</v>
      </c>
      <c r="AG245" s="62">
        <f ca="1"/>
        <v>1.846182873399653</v>
      </c>
      <c r="AH245" s="62">
        <f ca="1"/>
        <v>1.8753858178934941</v>
      </c>
      <c r="AI245" s="37"/>
      <c r="AJ245" s="61">
        <f t="shared" ca="1" si="20"/>
        <v>1.8732452263749411</v>
      </c>
      <c r="AK245" s="61">
        <f t="shared" ca="1" si="20"/>
        <v>0.55106228247238032</v>
      </c>
      <c r="AL245" s="61">
        <f t="shared" ca="1" si="20"/>
        <v>0.81084778538605151</v>
      </c>
      <c r="AM245" s="61">
        <f t="shared" ca="1" si="20"/>
        <v>0.70362366092555906</v>
      </c>
      <c r="AN245" s="37"/>
      <c r="AO245" s="62">
        <f t="array" aca="1" ref="AO245:AR245" ca="1">TRANSPOSE($B$17:$B$20 + MMULT($D$17:$G$20,TRANSPOSE(AO244:AR244)) + MMULT($N$17:$Q$20,TRANSPOSE(AJ245:AM245)))</f>
        <v>1.4952795336905469</v>
      </c>
      <c r="AP245" s="62">
        <f ca="1"/>
        <v>1.3154263796120651</v>
      </c>
      <c r="AQ245" s="62">
        <f ca="1"/>
        <v>1.7455976011902214</v>
      </c>
      <c r="AR245" s="62">
        <f ca="1"/>
        <v>1.4123233012965162</v>
      </c>
    </row>
    <row r="246" spans="25:44" x14ac:dyDescent="0.15">
      <c r="Y246" s="8">
        <f t="shared" si="21"/>
        <v>243</v>
      </c>
      <c r="Z246" s="61">
        <f t="shared" ca="1" si="19"/>
        <v>1.7986868665556968</v>
      </c>
      <c r="AA246" s="61">
        <f t="shared" ca="1" si="19"/>
        <v>-0.34082207868167796</v>
      </c>
      <c r="AB246" s="61">
        <f t="shared" ca="1" si="19"/>
        <v>3.6194670735734846E-2</v>
      </c>
      <c r="AC246" s="61">
        <f t="shared" ca="1" si="19"/>
        <v>-0.45613193274102015</v>
      </c>
      <c r="AD246" s="37"/>
      <c r="AE246" s="62">
        <f t="array" aca="1" ref="AE246:AH246" ca="1">TRANSPOSE($B$9:$B$12 + MMULT($D$9:$G$12,TRANSPOSE(AO246:AR246)) + MMULT($N$9:$Q$12, TRANSPOSE(Z246:AC246)))</f>
        <v>2.0873314387903608</v>
      </c>
      <c r="AF246" s="62">
        <f ca="1"/>
        <v>1.6937555082718339</v>
      </c>
      <c r="AG246" s="62">
        <f ca="1"/>
        <v>0.6827228788421067</v>
      </c>
      <c r="AH246" s="62">
        <f ca="1"/>
        <v>1.6217772589964008</v>
      </c>
      <c r="AI246" s="37"/>
      <c r="AJ246" s="61">
        <f t="shared" ca="1" si="20"/>
        <v>-0.28822875811659265</v>
      </c>
      <c r="AK246" s="61">
        <f t="shared" ca="1" si="20"/>
        <v>0.12634129930606194</v>
      </c>
      <c r="AL246" s="61">
        <f t="shared" ca="1" si="20"/>
        <v>8.0782814155691648E-2</v>
      </c>
      <c r="AM246" s="61">
        <f t="shared" ca="1" si="20"/>
        <v>-0.22391780539306994</v>
      </c>
      <c r="AN246" s="37"/>
      <c r="AO246" s="62">
        <f t="array" aca="1" ref="AO246:AR246" ca="1">TRANSPOSE($B$17:$B$20 + MMULT($D$17:$G$20,TRANSPOSE(AO245:AR245)) + MMULT($N$17:$Q$20,TRANSPOSE(AJ246:AM246)))</f>
        <v>0.98902424764283348</v>
      </c>
      <c r="AP246" s="62">
        <f ca="1"/>
        <v>1.2832496300267022</v>
      </c>
      <c r="AQ246" s="62">
        <f ca="1"/>
        <v>1.2930584877488827</v>
      </c>
      <c r="AR246" s="62">
        <f ca="1"/>
        <v>1.3235572486390041</v>
      </c>
    </row>
    <row r="247" spans="25:44" x14ac:dyDescent="0.15">
      <c r="Y247" s="8">
        <f t="shared" si="21"/>
        <v>244</v>
      </c>
      <c r="Z247" s="61">
        <f t="shared" ca="1" si="19"/>
        <v>-0.39171212422211366</v>
      </c>
      <c r="AA247" s="61">
        <f t="shared" ca="1" si="19"/>
        <v>-4.4140801602139776E-2</v>
      </c>
      <c r="AB247" s="61">
        <f t="shared" ca="1" si="19"/>
        <v>2.4715791048642743</v>
      </c>
      <c r="AC247" s="61">
        <f t="shared" ca="1" si="19"/>
        <v>-0.61278838892237975</v>
      </c>
      <c r="AD247" s="37"/>
      <c r="AE247" s="62">
        <f t="array" aca="1" ref="AE247:AH247" ca="1">TRANSPOSE($B$9:$B$12 + MMULT($D$9:$G$12,TRANSPOSE(AO247:AR247)) + MMULT($N$9:$Q$12, TRANSPOSE(Z247:AC247)))</f>
        <v>0.26155793408709083</v>
      </c>
      <c r="AF247" s="62">
        <f ca="1"/>
        <v>0.92882218563034791</v>
      </c>
      <c r="AG247" s="62">
        <f ca="1"/>
        <v>1.7363171355812645</v>
      </c>
      <c r="AH247" s="62">
        <f ca="1"/>
        <v>0.7543884305300006</v>
      </c>
      <c r="AI247" s="37"/>
      <c r="AJ247" s="61">
        <f t="shared" ca="1" si="20"/>
        <v>-1.9283108169016352</v>
      </c>
      <c r="AK247" s="61">
        <f t="shared" ca="1" si="20"/>
        <v>-5.069796591839186E-2</v>
      </c>
      <c r="AL247" s="61">
        <f t="shared" ca="1" si="20"/>
        <v>-0.58002058821491465</v>
      </c>
      <c r="AM247" s="61">
        <f t="shared" ca="1" si="20"/>
        <v>0.10400165704836632</v>
      </c>
      <c r="AN247" s="37"/>
      <c r="AO247" s="62">
        <f t="array" aca="1" ref="AO247:AR247" ca="1">TRANSPOSE($B$17:$B$20 + MMULT($D$17:$G$20,TRANSPOSE(AO246:AR246)) + MMULT($N$17:$Q$20,TRANSPOSE(AJ247:AM247)))</f>
        <v>0.23115384786851945</v>
      </c>
      <c r="AP247" s="62">
        <f ca="1"/>
        <v>0.96395384515520099</v>
      </c>
      <c r="AQ247" s="62">
        <f ca="1"/>
        <v>0.51389512282410155</v>
      </c>
      <c r="AR247" s="62">
        <f ca="1"/>
        <v>0.99100777280277841</v>
      </c>
    </row>
    <row r="248" spans="25:44" x14ac:dyDescent="0.15">
      <c r="Y248" s="8">
        <f t="shared" si="21"/>
        <v>245</v>
      </c>
      <c r="Z248" s="61">
        <f t="shared" ca="1" si="19"/>
        <v>-2.2047641944773417</v>
      </c>
      <c r="AA248" s="61">
        <f t="shared" ca="1" si="19"/>
        <v>3.0020472657559769</v>
      </c>
      <c r="AB248" s="61">
        <f t="shared" ca="1" si="19"/>
        <v>-0.76843952107186608</v>
      </c>
      <c r="AC248" s="61">
        <f t="shared" ca="1" si="19"/>
        <v>-0.10767921091983361</v>
      </c>
      <c r="AD248" s="37"/>
      <c r="AE248" s="62">
        <f t="array" aca="1" ref="AE248:AH248" ca="1">TRANSPOSE($B$9:$B$12 + MMULT($D$9:$G$12,TRANSPOSE(AO248:AR248)) + MMULT($N$9:$Q$12, TRANSPOSE(Z248:AC248)))</f>
        <v>0.46498110470172793</v>
      </c>
      <c r="AF248" s="62">
        <f ca="1"/>
        <v>1.7610068918582145</v>
      </c>
      <c r="AG248" s="62">
        <f ca="1"/>
        <v>1.0175941197173102</v>
      </c>
      <c r="AH248" s="62">
        <f ca="1"/>
        <v>0.80587937349276828</v>
      </c>
      <c r="AI248" s="37"/>
      <c r="AJ248" s="61">
        <f t="shared" ca="1" si="20"/>
        <v>1.5915137011878422</v>
      </c>
      <c r="AK248" s="61">
        <f t="shared" ca="1" si="20"/>
        <v>0.54734955250881112</v>
      </c>
      <c r="AL248" s="61">
        <f t="shared" ca="1" si="20"/>
        <v>0.32018536397609099</v>
      </c>
      <c r="AM248" s="61">
        <f t="shared" ca="1" si="20"/>
        <v>0.2663970807923367</v>
      </c>
      <c r="AN248" s="37"/>
      <c r="AO248" s="62">
        <f t="array" aca="1" ref="AO248:AR248" ca="1">TRANSPOSE($B$17:$B$20 + MMULT($D$17:$G$20,TRANSPOSE(AO247:AR247)) + MMULT($N$17:$Q$20,TRANSPOSE(AJ248:AM248)))</f>
        <v>1.0633115360934551</v>
      </c>
      <c r="AP248" s="62">
        <f ca="1"/>
        <v>0.81542758427551898</v>
      </c>
      <c r="AQ248" s="62">
        <f ca="1"/>
        <v>1.0328033472068248</v>
      </c>
      <c r="AR248" s="62">
        <f ca="1"/>
        <v>0.9389439520282663</v>
      </c>
    </row>
    <row r="249" spans="25:44" x14ac:dyDescent="0.15">
      <c r="Y249" s="8">
        <f t="shared" si="21"/>
        <v>246</v>
      </c>
      <c r="Z249" s="61">
        <f t="shared" ca="1" si="19"/>
        <v>0.14067627667342777</v>
      </c>
      <c r="AA249" s="61">
        <f t="shared" ca="1" si="19"/>
        <v>0.46488343669296756</v>
      </c>
      <c r="AB249" s="61">
        <f t="shared" ca="1" si="19"/>
        <v>0.25068456842034487</v>
      </c>
      <c r="AC249" s="61">
        <f t="shared" ca="1" si="19"/>
        <v>-0.21215097027968965</v>
      </c>
      <c r="AD249" s="37"/>
      <c r="AE249" s="62">
        <f t="array" aca="1" ref="AE249:AH249" ca="1">TRANSPOSE($B$9:$B$12 + MMULT($D$9:$G$12,TRANSPOSE(AO249:AR249)) + MMULT($N$9:$Q$12, TRANSPOSE(Z249:AC249)))</f>
        <v>0.90387025847378366</v>
      </c>
      <c r="AF249" s="62">
        <f ca="1"/>
        <v>1.6429503871712421</v>
      </c>
      <c r="AG249" s="62">
        <f ca="1"/>
        <v>0.77331496088297003</v>
      </c>
      <c r="AH249" s="62">
        <f ca="1"/>
        <v>0.31823565578853419</v>
      </c>
      <c r="AI249" s="37"/>
      <c r="AJ249" s="61">
        <f t="shared" ca="1" si="20"/>
        <v>0.66582789067791681</v>
      </c>
      <c r="AK249" s="61">
        <f t="shared" ca="1" si="20"/>
        <v>0.49404604540766062</v>
      </c>
      <c r="AL249" s="61">
        <f t="shared" ca="1" si="20"/>
        <v>-1.7663906761530586</v>
      </c>
      <c r="AM249" s="61">
        <f t="shared" ca="1" si="20"/>
        <v>-0.18746633261389015</v>
      </c>
      <c r="AN249" s="37"/>
      <c r="AO249" s="62">
        <f t="array" aca="1" ref="AO249:AR249" ca="1">TRANSPOSE($B$17:$B$20 + MMULT($D$17:$G$20,TRANSPOSE(AO248:AR248)) + MMULT($N$17:$Q$20,TRANSPOSE(AJ249:AM249)))</f>
        <v>1.0328656139901464</v>
      </c>
      <c r="AP249" s="62">
        <f ca="1"/>
        <v>1.0525145550592867</v>
      </c>
      <c r="AQ249" s="62">
        <f ca="1"/>
        <v>0.15326227270094894</v>
      </c>
      <c r="AR249" s="62">
        <f ca="1"/>
        <v>0.69504928686883194</v>
      </c>
    </row>
    <row r="250" spans="25:44" x14ac:dyDescent="0.15">
      <c r="Y250" s="8">
        <f t="shared" si="21"/>
        <v>247</v>
      </c>
      <c r="Z250" s="61">
        <f t="shared" ca="1" si="19"/>
        <v>1.0291159450913756</v>
      </c>
      <c r="AA250" s="61">
        <f t="shared" ca="1" si="19"/>
        <v>1.8088373426480775</v>
      </c>
      <c r="AB250" s="61">
        <f t="shared" ca="1" si="19"/>
        <v>1.7964941389350739</v>
      </c>
      <c r="AC250" s="61">
        <f t="shared" ca="1" si="19"/>
        <v>-1.2718949549786784</v>
      </c>
      <c r="AD250" s="37"/>
      <c r="AE250" s="62">
        <f t="array" aca="1" ref="AE250:AH250" ca="1">TRANSPOSE($B$9:$B$12 + MMULT($D$9:$G$12,TRANSPOSE(AO250:AR250)) + MMULT($N$9:$Q$12, TRANSPOSE(Z250:AC250)))</f>
        <v>0.63883904011562886</v>
      </c>
      <c r="AF250" s="62">
        <f ca="1"/>
        <v>0.91331186311626789</v>
      </c>
      <c r="AG250" s="62">
        <f ca="1"/>
        <v>1.0125657223785296</v>
      </c>
      <c r="AH250" s="62">
        <f ca="1"/>
        <v>0.75406917593478484</v>
      </c>
      <c r="AI250" s="37"/>
      <c r="AJ250" s="61">
        <f t="shared" ca="1" si="20"/>
        <v>-3.126436038756621</v>
      </c>
      <c r="AK250" s="61">
        <f t="shared" ca="1" si="20"/>
        <v>-1.4052282909294547</v>
      </c>
      <c r="AL250" s="61">
        <f t="shared" ca="1" si="20"/>
        <v>0.88139758528110523</v>
      </c>
      <c r="AM250" s="61">
        <f t="shared" ca="1" si="20"/>
        <v>0.17271467944281951</v>
      </c>
      <c r="AN250" s="37"/>
      <c r="AO250" s="62">
        <f t="array" aca="1" ref="AO250:AR250" ca="1">TRANSPOSE($B$17:$B$20 + MMULT($D$17:$G$20,TRANSPOSE(AO249:AR249)) + MMULT($N$17:$Q$20,TRANSPOSE(AJ250:AM250)))</f>
        <v>-0.37640082900976424</v>
      </c>
      <c r="AP250" s="62">
        <f ca="1"/>
        <v>0.15806955010925894</v>
      </c>
      <c r="AQ250" s="62">
        <f ca="1"/>
        <v>0.6864542754989027</v>
      </c>
      <c r="AR250" s="62">
        <f ca="1"/>
        <v>0.72422727023107469</v>
      </c>
    </row>
    <row r="251" spans="25:44" x14ac:dyDescent="0.15">
      <c r="Y251" s="8">
        <f t="shared" si="21"/>
        <v>248</v>
      </c>
      <c r="Z251" s="61">
        <f t="shared" ca="1" si="19"/>
        <v>-0.27699158779458072</v>
      </c>
      <c r="AA251" s="61">
        <f t="shared" ca="1" si="19"/>
        <v>-0.56333427328590691</v>
      </c>
      <c r="AB251" s="61">
        <f t="shared" ca="1" si="19"/>
        <v>1.0262726264156865</v>
      </c>
      <c r="AC251" s="61">
        <f t="shared" ca="1" si="19"/>
        <v>0.93448772271077796</v>
      </c>
      <c r="AD251" s="37"/>
      <c r="AE251" s="62">
        <f t="array" aca="1" ref="AE251:AH251" ca="1">TRANSPOSE($B$9:$B$12 + MMULT($D$9:$G$12,TRANSPOSE(AO251:AR251)) + MMULT($N$9:$Q$12, TRANSPOSE(Z251:AC251)))</f>
        <v>0.90797841411835978</v>
      </c>
      <c r="AF251" s="62">
        <f ca="1"/>
        <v>-0.33030119002317199</v>
      </c>
      <c r="AG251" s="62">
        <f ca="1"/>
        <v>2.1055984972241846</v>
      </c>
      <c r="AH251" s="62">
        <f ca="1"/>
        <v>0.62602044303696669</v>
      </c>
      <c r="AI251" s="37"/>
      <c r="AJ251" s="61">
        <f t="shared" ca="1" si="20"/>
        <v>1.7440758123640914</v>
      </c>
      <c r="AK251" s="61">
        <f t="shared" ca="1" si="20"/>
        <v>-1.6977475874178904</v>
      </c>
      <c r="AL251" s="61">
        <f t="shared" ca="1" si="20"/>
        <v>-0.44146562557678976</v>
      </c>
      <c r="AM251" s="61">
        <f t="shared" ca="1" si="20"/>
        <v>0.46584702211023876</v>
      </c>
      <c r="AN251" s="37"/>
      <c r="AO251" s="62">
        <f t="array" aca="1" ref="AO251:AR251" ca="1">TRANSPOSE($B$17:$B$20 + MMULT($D$17:$G$20,TRANSPOSE(AO250:AR250)) + MMULT($N$17:$Q$20,TRANSPOSE(AJ251:AM251)))</f>
        <v>0.91067755976293774</v>
      </c>
      <c r="AP251" s="62">
        <f ca="1"/>
        <v>-0.57077076990198383</v>
      </c>
      <c r="AQ251" s="62">
        <f ca="1"/>
        <v>0.64815422043669035</v>
      </c>
      <c r="AR251" s="62">
        <f ca="1"/>
        <v>1.1796468099422421</v>
      </c>
    </row>
    <row r="252" spans="25:44" x14ac:dyDescent="0.15">
      <c r="Y252" s="8">
        <f t="shared" si="21"/>
        <v>249</v>
      </c>
      <c r="Z252" s="61">
        <f t="shared" ca="1" si="19"/>
        <v>-0.51175741076682579</v>
      </c>
      <c r="AA252" s="61">
        <f t="shared" ca="1" si="19"/>
        <v>-1.2572886621694814E-3</v>
      </c>
      <c r="AB252" s="61">
        <f t="shared" ca="1" si="19"/>
        <v>0.80441339119808974</v>
      </c>
      <c r="AC252" s="61">
        <f t="shared" ca="1" si="19"/>
        <v>-0.30219661991546304</v>
      </c>
      <c r="AD252" s="37"/>
      <c r="AE252" s="62">
        <f t="array" aca="1" ref="AE252:AH252" ca="1">TRANSPOSE($B$9:$B$12 + MMULT($D$9:$G$12,TRANSPOSE(AO252:AR252)) + MMULT($N$9:$Q$12, TRANSPOSE(Z252:AC252)))</f>
        <v>0.67622657764686744</v>
      </c>
      <c r="AF252" s="62">
        <f ca="1"/>
        <v>0.68046767135101893</v>
      </c>
      <c r="AG252" s="62">
        <f ca="1"/>
        <v>0.94293484792593496</v>
      </c>
      <c r="AH252" s="62">
        <f ca="1"/>
        <v>0.55686352173307607</v>
      </c>
      <c r="AI252" s="37"/>
      <c r="AJ252" s="61">
        <f t="shared" ca="1" si="20"/>
        <v>-7.541954825315314E-2</v>
      </c>
      <c r="AK252" s="61">
        <f t="shared" ca="1" si="20"/>
        <v>0.5465127650294227</v>
      </c>
      <c r="AL252" s="61">
        <f t="shared" ca="1" si="20"/>
        <v>0.86589318111493518</v>
      </c>
      <c r="AM252" s="61">
        <f t="shared" ca="1" si="20"/>
        <v>-0.52047314466696171</v>
      </c>
      <c r="AN252" s="37"/>
      <c r="AO252" s="62">
        <f t="array" aca="1" ref="AO252:AR252" ca="1">TRANSPOSE($B$17:$B$20 + MMULT($D$17:$G$20,TRANSPOSE(AO251:AR251)) + MMULT($N$17:$Q$20,TRANSPOSE(AJ252:AM252)))</f>
        <v>0.59862269359367259</v>
      </c>
      <c r="AP252" s="62">
        <f ca="1"/>
        <v>0.65992893362913407</v>
      </c>
      <c r="AQ252" s="62">
        <f ca="1"/>
        <v>0.60516156180438396</v>
      </c>
      <c r="AR252" s="62">
        <f ca="1"/>
        <v>0.54484194924001561</v>
      </c>
    </row>
    <row r="253" spans="25:44" x14ac:dyDescent="0.15">
      <c r="Y253" s="8">
        <f t="shared" si="21"/>
        <v>250</v>
      </c>
      <c r="Z253" s="61">
        <f t="shared" ca="1" si="19"/>
        <v>-0.58021319248155667</v>
      </c>
      <c r="AA253" s="61">
        <f t="shared" ca="1" si="19"/>
        <v>1.1790106904227629</v>
      </c>
      <c r="AB253" s="61">
        <f t="shared" ca="1" si="19"/>
        <v>-0.35322559101844181</v>
      </c>
      <c r="AC253" s="61">
        <f t="shared" ca="1" si="19"/>
        <v>-0.40621776252892589</v>
      </c>
      <c r="AD253" s="37"/>
      <c r="AE253" s="62">
        <f t="array" aca="1" ref="AE253:AH253" ca="1">TRANSPOSE($B$9:$B$12 + MMULT($D$9:$G$12,TRANSPOSE(AO253:AR253)) + MMULT($N$9:$Q$12, TRANSPOSE(Z253:AC253)))</f>
        <v>0.45412510787616156</v>
      </c>
      <c r="AF253" s="62">
        <f ca="1"/>
        <v>1.1270030642892213</v>
      </c>
      <c r="AG253" s="62">
        <f ca="1"/>
        <v>0.30009942935769279</v>
      </c>
      <c r="AH253" s="62">
        <f ca="1"/>
        <v>0.8027847152664187</v>
      </c>
      <c r="AI253" s="37"/>
      <c r="AJ253" s="61">
        <f t="shared" ca="1" si="20"/>
        <v>-0.88550156440344896</v>
      </c>
      <c r="AK253" s="61">
        <f t="shared" ca="1" si="20"/>
        <v>0.64135232927071595</v>
      </c>
      <c r="AL253" s="61">
        <f t="shared" ca="1" si="20"/>
        <v>0.63439515813868286</v>
      </c>
      <c r="AM253" s="61">
        <f t="shared" ca="1" si="20"/>
        <v>9.2717121577089084E-2</v>
      </c>
      <c r="AN253" s="37"/>
      <c r="AO253" s="62">
        <f t="array" aca="1" ref="AO253:AR253" ca="1">TRANSPOSE($B$17:$B$20 + MMULT($D$17:$G$20,TRANSPOSE(AO252:AR252)) + MMULT($N$17:$Q$20,TRANSPOSE(AJ253:AM253)))</f>
        <v>0.29578509267230424</v>
      </c>
      <c r="AP253" s="62">
        <f ca="1"/>
        <v>0.80929581701015008</v>
      </c>
      <c r="AQ253" s="62">
        <f ca="1"/>
        <v>0.65643933754328421</v>
      </c>
      <c r="AR253" s="62">
        <f ca="1"/>
        <v>0.55195767053366507</v>
      </c>
    </row>
    <row r="254" spans="25:44" x14ac:dyDescent="0.15">
      <c r="Y254" s="8">
        <f t="shared" si="21"/>
        <v>251</v>
      </c>
      <c r="Z254" s="61">
        <f t="shared" ca="1" si="19"/>
        <v>1.328733519033432</v>
      </c>
      <c r="AA254" s="61">
        <f t="shared" ca="1" si="19"/>
        <v>-0.42346072845982136</v>
      </c>
      <c r="AB254" s="61">
        <f t="shared" ca="1" si="19"/>
        <v>0.78827584968977993</v>
      </c>
      <c r="AC254" s="61">
        <f t="shared" ca="1" si="19"/>
        <v>0.72554199517155415</v>
      </c>
      <c r="AD254" s="37"/>
      <c r="AE254" s="62">
        <f t="array" aca="1" ref="AE254:AH254" ca="1">TRANSPOSE($B$9:$B$12 + MMULT($D$9:$G$12,TRANSPOSE(AO254:AR254)) + MMULT($N$9:$Q$12, TRANSPOSE(Z254:AC254)))</f>
        <v>1.0799793507417783</v>
      </c>
      <c r="AF254" s="62">
        <f ca="1"/>
        <v>0.82845790003427111</v>
      </c>
      <c r="AG254" s="62">
        <f ca="1"/>
        <v>0.81129512883089971</v>
      </c>
      <c r="AH254" s="62">
        <f ca="1"/>
        <v>0.61773475799118249</v>
      </c>
      <c r="AI254" s="37"/>
      <c r="AJ254" s="61">
        <f t="shared" ca="1" si="20"/>
        <v>5.2327855836703699E-2</v>
      </c>
      <c r="AK254" s="61">
        <f t="shared" ca="1" si="20"/>
        <v>-0.14092643096788193</v>
      </c>
      <c r="AL254" s="61">
        <f t="shared" ca="1" si="20"/>
        <v>-1.1458646575451781</v>
      </c>
      <c r="AM254" s="61">
        <f t="shared" ca="1" si="20"/>
        <v>0.35215671629559664</v>
      </c>
      <c r="AN254" s="37"/>
      <c r="AO254" s="62">
        <f t="array" aca="1" ref="AO254:AR254" ca="1">TRANSPOSE($B$17:$B$20 + MMULT($D$17:$G$20,TRANSPOSE(AO253:AR253)) + MMULT($N$17:$Q$20,TRANSPOSE(AJ254:AM254)))</f>
        <v>0.55095210535655448</v>
      </c>
      <c r="AP254" s="62">
        <f ca="1"/>
        <v>0.43307762057676435</v>
      </c>
      <c r="AQ254" s="62">
        <f ca="1"/>
        <v>0.14847883410516038</v>
      </c>
      <c r="AR254" s="62">
        <f ca="1"/>
        <v>0.68412170979117182</v>
      </c>
    </row>
    <row r="255" spans="25:44" x14ac:dyDescent="0.15">
      <c r="Y255" s="8">
        <f t="shared" si="21"/>
        <v>252</v>
      </c>
      <c r="Z255" s="61">
        <f t="shared" ca="1" si="19"/>
        <v>-3.2041663470987851E-2</v>
      </c>
      <c r="AA255" s="61">
        <f t="shared" ca="1" si="19"/>
        <v>9.9810802963776674E-2</v>
      </c>
      <c r="AB255" s="61">
        <f t="shared" ca="1" si="19"/>
        <v>0.20785057270193547</v>
      </c>
      <c r="AC255" s="61">
        <f t="shared" ca="1" si="19"/>
        <v>0.52740990559923917</v>
      </c>
      <c r="AD255" s="37"/>
      <c r="AE255" s="62">
        <f t="array" aca="1" ref="AE255:AH255" ca="1">TRANSPOSE($B$9:$B$12 + MMULT($D$9:$G$12,TRANSPOSE(AO255:AR255)) + MMULT($N$9:$Q$12, TRANSPOSE(Z255:AC255)))</f>
        <v>0.41188706727328689</v>
      </c>
      <c r="AF255" s="62">
        <f ca="1"/>
        <v>0.29560764905947434</v>
      </c>
      <c r="AG255" s="62">
        <f ca="1"/>
        <v>0.16138169030118316</v>
      </c>
      <c r="AH255" s="62">
        <f ca="1"/>
        <v>0.23448044565259082</v>
      </c>
      <c r="AI255" s="37"/>
      <c r="AJ255" s="61">
        <f t="shared" ca="1" si="20"/>
        <v>-1.0076538700763829</v>
      </c>
      <c r="AK255" s="61">
        <f t="shared" ca="1" si="20"/>
        <v>-0.54959628378197967</v>
      </c>
      <c r="AL255" s="61">
        <f t="shared" ca="1" si="20"/>
        <v>-0.52321644996742767</v>
      </c>
      <c r="AM255" s="61">
        <f t="shared" ca="1" si="20"/>
        <v>-2.1214878921696898</v>
      </c>
      <c r="AN255" s="37"/>
      <c r="AO255" s="62">
        <f t="array" aca="1" ref="AO255:AR255" ca="1">TRANSPOSE($B$17:$B$20 + MMULT($D$17:$G$20,TRANSPOSE(AO254:AR254)) + MMULT($N$17:$Q$20,TRANSPOSE(AJ255:AM255)))</f>
        <v>0.16502565260036339</v>
      </c>
      <c r="AP255" s="62">
        <f ca="1"/>
        <v>0.21855882348197123</v>
      </c>
      <c r="AQ255" s="62">
        <f ca="1"/>
        <v>6.7359948774806444E-2</v>
      </c>
      <c r="AR255" s="62">
        <f ca="1"/>
        <v>-4.3874333237885588E-2</v>
      </c>
    </row>
    <row r="256" spans="25:44" x14ac:dyDescent="0.15">
      <c r="Y256" s="8">
        <f t="shared" si="21"/>
        <v>253</v>
      </c>
      <c r="Z256" s="61">
        <f t="shared" ca="1" si="19"/>
        <v>1.2144577900085902</v>
      </c>
      <c r="AA256" s="61">
        <f t="shared" ca="1" si="19"/>
        <v>1.2915557272332943</v>
      </c>
      <c r="AB256" s="61">
        <f t="shared" ca="1" si="19"/>
        <v>-1.4059208347851018</v>
      </c>
      <c r="AC256" s="61">
        <f t="shared" ca="1" si="19"/>
        <v>0.37016532001018648</v>
      </c>
      <c r="AD256" s="37"/>
      <c r="AE256" s="62">
        <f t="array" aca="1" ref="AE256:AH256" ca="1">TRANSPOSE($B$9:$B$12 + MMULT($D$9:$G$12,TRANSPOSE(AO256:AR256)) + MMULT($N$9:$Q$12, TRANSPOSE(Z256:AC256)))</f>
        <v>1.6495427079885916</v>
      </c>
      <c r="AF256" s="62">
        <f ca="1"/>
        <v>1.4140459175266216</v>
      </c>
      <c r="AG256" s="62">
        <f ca="1"/>
        <v>-0.34708631003281626</v>
      </c>
      <c r="AH256" s="62">
        <f ca="1"/>
        <v>0.61989486285101836</v>
      </c>
      <c r="AI256" s="37"/>
      <c r="AJ256" s="61">
        <f t="shared" ca="1" si="20"/>
        <v>1.6119808712819961</v>
      </c>
      <c r="AK256" s="61">
        <f t="shared" ca="1" si="20"/>
        <v>0.63017218482952153</v>
      </c>
      <c r="AL256" s="61">
        <f t="shared" ca="1" si="20"/>
        <v>0.28156379982052959</v>
      </c>
      <c r="AM256" s="61">
        <f t="shared" ca="1" si="20"/>
        <v>-0.24517666552060063</v>
      </c>
      <c r="AN256" s="37"/>
      <c r="AO256" s="62">
        <f t="array" aca="1" ref="AO256:AR256" ca="1">TRANSPOSE($B$17:$B$20 + MMULT($D$17:$G$20,TRANSPOSE(AO255:AR255)) + MMULT($N$17:$Q$20,TRANSPOSE(AJ256:AM256)))</f>
        <v>0.88318824247332239</v>
      </c>
      <c r="AP256" s="62">
        <f ca="1"/>
        <v>0.44820441220679169</v>
      </c>
      <c r="AQ256" s="62">
        <f ca="1"/>
        <v>0.55804724422921403</v>
      </c>
      <c r="AR256" s="62">
        <f ca="1"/>
        <v>0.26527584220336198</v>
      </c>
    </row>
    <row r="257" spans="25:44" x14ac:dyDescent="0.15">
      <c r="Y257" s="8">
        <f t="shared" si="21"/>
        <v>254</v>
      </c>
      <c r="Z257" s="61">
        <f t="shared" ca="1" si="19"/>
        <v>0.62149899966675792</v>
      </c>
      <c r="AA257" s="61">
        <f t="shared" ca="1" si="19"/>
        <v>-1.6437129336479058E-2</v>
      </c>
      <c r="AB257" s="61">
        <f t="shared" ca="1" si="19"/>
        <v>-0.22132800866720867</v>
      </c>
      <c r="AC257" s="61">
        <f t="shared" ca="1" si="19"/>
        <v>-1.1737029157995322</v>
      </c>
      <c r="AD257" s="37"/>
      <c r="AE257" s="62">
        <f t="array" aca="1" ref="AE257:AH257" ca="1">TRANSPOSE($B$9:$B$12 + MMULT($D$9:$G$12,TRANSPOSE(AO257:AR257)) + MMULT($N$9:$Q$12, TRANSPOSE(Z257:AC257)))</f>
        <v>1.2154359684023601</v>
      </c>
      <c r="AF257" s="62">
        <f ca="1"/>
        <v>0.52692333777783518</v>
      </c>
      <c r="AG257" s="62">
        <f ca="1"/>
        <v>1.0510958964269985</v>
      </c>
      <c r="AH257" s="62">
        <f ca="1"/>
        <v>0.68247846731705097</v>
      </c>
      <c r="AI257" s="37"/>
      <c r="AJ257" s="61">
        <f t="shared" ca="1" si="20"/>
        <v>0.30880795788322596</v>
      </c>
      <c r="AK257" s="61">
        <f t="shared" ca="1" si="20"/>
        <v>-1.1128408327060906</v>
      </c>
      <c r="AL257" s="61">
        <f t="shared" ca="1" si="20"/>
        <v>0.1108192635867887</v>
      </c>
      <c r="AM257" s="61">
        <f t="shared" ca="1" si="20"/>
        <v>1.3502683799838051</v>
      </c>
      <c r="AN257" s="37"/>
      <c r="AO257" s="62">
        <f t="array" aca="1" ref="AO257:AR257" ca="1">TRANSPOSE($B$17:$B$20 + MMULT($D$17:$G$20,TRANSPOSE(AO256:AR256)) + MMULT($N$17:$Q$20,TRANSPOSE(AJ257:AM257)))</f>
        <v>0.73637158391126556</v>
      </c>
      <c r="AP257" s="62">
        <f ca="1"/>
        <v>8.0683972054018727E-2</v>
      </c>
      <c r="AQ257" s="62">
        <f ca="1"/>
        <v>0.78267540730919094</v>
      </c>
      <c r="AR257" s="62">
        <f ca="1"/>
        <v>1.1368742559833915</v>
      </c>
    </row>
    <row r="258" spans="25:44" x14ac:dyDescent="0.15">
      <c r="Y258" s="8">
        <f t="shared" si="21"/>
        <v>255</v>
      </c>
      <c r="Z258" s="61">
        <f t="shared" ca="1" si="19"/>
        <v>-0.19972753282237041</v>
      </c>
      <c r="AA258" s="61">
        <f t="shared" ca="1" si="19"/>
        <v>0.65773007152747842</v>
      </c>
      <c r="AB258" s="61">
        <f t="shared" ca="1" si="19"/>
        <v>-1.219860057068022</v>
      </c>
      <c r="AC258" s="61">
        <f t="shared" ca="1" si="19"/>
        <v>-0.40921198501768236</v>
      </c>
      <c r="AD258" s="37"/>
      <c r="AE258" s="62">
        <f t="array" aca="1" ref="AE258:AH258" ca="1">TRANSPOSE($B$9:$B$12 + MMULT($D$9:$G$12,TRANSPOSE(AO258:AR258)) + MMULT($N$9:$Q$12, TRANSPOSE(Z258:AC258)))</f>
        <v>0.396565198033768</v>
      </c>
      <c r="AF258" s="62">
        <f ca="1"/>
        <v>1.0047790012660203</v>
      </c>
      <c r="AG258" s="62">
        <f ca="1"/>
        <v>0.24654293123473503</v>
      </c>
      <c r="AH258" s="62">
        <f ca="1"/>
        <v>0.98424766269230157</v>
      </c>
      <c r="AI258" s="37"/>
      <c r="AJ258" s="61">
        <f t="shared" ca="1" si="20"/>
        <v>-1.1426236765397211</v>
      </c>
      <c r="AK258" s="61">
        <f t="shared" ca="1" si="20"/>
        <v>0.39354131018986876</v>
      </c>
      <c r="AL258" s="61">
        <f t="shared" ca="1" si="20"/>
        <v>0.59203540666071497</v>
      </c>
      <c r="AM258" s="61">
        <f t="shared" ca="1" si="20"/>
        <v>1.1631740142082381</v>
      </c>
      <c r="AN258" s="37"/>
      <c r="AO258" s="62">
        <f t="array" aca="1" ref="AO258:AR258" ca="1">TRANSPOSE($B$17:$B$20 + MMULT($D$17:$G$20,TRANSPOSE(AO257:AR257)) + MMULT($N$17:$Q$20,TRANSPOSE(AJ258:AM258)))</f>
        <v>0.25856188899995586</v>
      </c>
      <c r="AP258" s="62">
        <f ca="1"/>
        <v>0.69719544048739346</v>
      </c>
      <c r="AQ258" s="62">
        <f ca="1"/>
        <v>0.53414700582258878</v>
      </c>
      <c r="AR258" s="62">
        <f ca="1"/>
        <v>0.95755206781640012</v>
      </c>
    </row>
    <row r="259" spans="25:44" x14ac:dyDescent="0.15">
      <c r="Y259" s="8">
        <f t="shared" si="21"/>
        <v>256</v>
      </c>
      <c r="Z259" s="61">
        <f t="shared" ca="1" si="19"/>
        <v>-0.90801431592745496</v>
      </c>
      <c r="AA259" s="61">
        <f t="shared" ca="1" si="19"/>
        <v>1.1403376455200869</v>
      </c>
      <c r="AB259" s="61">
        <f t="shared" ca="1" si="19"/>
        <v>-0.79164352052969589</v>
      </c>
      <c r="AC259" s="61">
        <f ca="1">NORMSINV(RAND())</f>
        <v>0.67811667796189856</v>
      </c>
      <c r="AD259" s="37"/>
      <c r="AE259" s="62">
        <f t="array" aca="1" ref="AE259:AH259" ca="1">TRANSPOSE($B$9:$B$12 + MMULT($D$9:$G$12,TRANSPOSE(AO259:AR259)) + MMULT($N$9:$Q$12, TRANSPOSE(Z259:AC259)))</f>
        <v>0.42261680571788451</v>
      </c>
      <c r="AF259" s="62">
        <f ca="1"/>
        <v>0.98609301249197023</v>
      </c>
      <c r="AG259" s="62">
        <f ca="1"/>
        <v>0.57865360411502098</v>
      </c>
      <c r="AH259" s="62">
        <f ca="1"/>
        <v>0.40277755001875432</v>
      </c>
      <c r="AI259" s="37"/>
      <c r="AJ259" s="61">
        <f t="shared" ca="1" si="20"/>
        <v>0.8110294879163138</v>
      </c>
      <c r="AK259" s="61">
        <f t="shared" ca="1" si="20"/>
        <v>-0.25027334691680742</v>
      </c>
      <c r="AL259" s="61">
        <f t="shared" ca="1" si="20"/>
        <v>-1.1812642239953732</v>
      </c>
      <c r="AM259" s="61">
        <f ca="1">NORMSINV(RAND())</f>
        <v>-0.71900782716713685</v>
      </c>
      <c r="AN259" s="37"/>
      <c r="AO259" s="62">
        <f t="array" aca="1" ref="AO259:AR259" ca="1">TRANSPOSE($B$17:$B$20 + MMULT($D$17:$G$20,TRANSPOSE(AO258:AR258)) + MMULT($N$17:$Q$20,TRANSPOSE(AJ259:AM259)))</f>
        <v>0.7900213062783914</v>
      </c>
      <c r="AP259" s="62">
        <f ca="1"/>
        <v>0.40581580660717376</v>
      </c>
      <c r="AQ259" s="62">
        <f ca="1"/>
        <v>0.23673996817674392</v>
      </c>
      <c r="AR259" s="62">
        <f ca="1"/>
        <v>0.56933263821003188</v>
      </c>
    </row>
    <row r="260" spans="25:44" x14ac:dyDescent="0.15">
      <c r="Y260" s="8">
        <f t="shared" si="21"/>
        <v>257</v>
      </c>
      <c r="Z260" s="61">
        <f t="shared" ref="Z260:AC323" ca="1" si="22">NORMSINV(RAND())</f>
        <v>-0.24381888142180583</v>
      </c>
      <c r="AA260" s="61">
        <f t="shared" ca="1" si="22"/>
        <v>-0.65932936596090075</v>
      </c>
      <c r="AB260" s="61">
        <f t="shared" ca="1" si="22"/>
        <v>2.0764903852952332</v>
      </c>
      <c r="AC260" s="61">
        <f t="shared" ca="1" si="22"/>
        <v>-0.35470386528835662</v>
      </c>
      <c r="AD260" s="37"/>
      <c r="AE260" s="62">
        <f t="array" aca="1" ref="AE260:AH260" ca="1">TRANSPOSE($B$9:$B$12 + MMULT($D$9:$G$12,TRANSPOSE(AO260:AR260)) + MMULT($N$9:$Q$12, TRANSPOSE(Z260:AC260)))</f>
        <v>4.0607838227609827E-2</v>
      </c>
      <c r="AF260" s="62">
        <f ca="1"/>
        <v>8.9637902394516966E-2</v>
      </c>
      <c r="AG260" s="62">
        <f ca="1"/>
        <v>1.1678593400392321</v>
      </c>
      <c r="AH260" s="62">
        <f ca="1"/>
        <v>-8.3675306652682163E-2</v>
      </c>
      <c r="AI260" s="37"/>
      <c r="AJ260" s="61">
        <f t="shared" ref="AJ260:AM323" ca="1" si="23">NORMSINV(RAND())</f>
        <v>-1.4653208855572935</v>
      </c>
      <c r="AK260" s="61">
        <f t="shared" ca="1" si="23"/>
        <v>-0.54395596656527834</v>
      </c>
      <c r="AL260" s="61">
        <f t="shared" ca="1" si="23"/>
        <v>-0.93802046424795438</v>
      </c>
      <c r="AM260" s="61">
        <f t="shared" ca="1" si="23"/>
        <v>-0.63527472745258917</v>
      </c>
      <c r="AN260" s="37"/>
      <c r="AO260" s="62">
        <f t="array" aca="1" ref="AO260:AR260" ca="1">TRANSPOSE($B$17:$B$20 + MMULT($D$17:$G$20,TRANSPOSE(AO259:AR259)) + MMULT($N$17:$Q$20,TRANSPOSE(AJ260:AM260)))</f>
        <v>7.9023929642074719E-2</v>
      </c>
      <c r="AP260" s="62">
        <f ca="1"/>
        <v>0.27800995624104186</v>
      </c>
      <c r="AQ260" s="62">
        <f ca="1"/>
        <v>-0.15862771657611019</v>
      </c>
      <c r="AR260" s="62">
        <f ca="1"/>
        <v>0.22295547004587118</v>
      </c>
    </row>
    <row r="261" spans="25:44" x14ac:dyDescent="0.15">
      <c r="Y261" s="8">
        <f t="shared" ref="Y261:Y324" si="24">Y260+1</f>
        <v>258</v>
      </c>
      <c r="Z261" s="61">
        <f t="shared" ca="1" si="22"/>
        <v>-1.0772478503511167</v>
      </c>
      <c r="AA261" s="61">
        <f t="shared" ca="1" si="22"/>
        <v>-1.5220632258927513</v>
      </c>
      <c r="AB261" s="61">
        <f t="shared" ca="1" si="22"/>
        <v>-1.8428666917686467</v>
      </c>
      <c r="AC261" s="61">
        <f t="shared" ca="1" si="22"/>
        <v>-0.48730884227850224</v>
      </c>
      <c r="AD261" s="37"/>
      <c r="AE261" s="62">
        <f t="array" aca="1" ref="AE261:AH261" ca="1">TRANSPOSE($B$9:$B$12 + MMULT($D$9:$G$12,TRANSPOSE(AO261:AR261)) + MMULT($N$9:$Q$12, TRANSPOSE(Z261:AC261)))</f>
        <v>0.22151684159872798</v>
      </c>
      <c r="AF261" s="62">
        <f ca="1"/>
        <v>-0.95125630369907554</v>
      </c>
      <c r="AG261" s="62">
        <f ca="1"/>
        <v>0.60127006091460689</v>
      </c>
      <c r="AH261" s="62">
        <f ca="1"/>
        <v>0.2015890653116979</v>
      </c>
      <c r="AI261" s="37"/>
      <c r="AJ261" s="61">
        <f t="shared" ca="1" si="23"/>
        <v>0.83509387258117573</v>
      </c>
      <c r="AK261" s="61">
        <f t="shared" ca="1" si="23"/>
        <v>-1.7281042585258293</v>
      </c>
      <c r="AL261" s="61">
        <f t="shared" ca="1" si="23"/>
        <v>-0.61844053056918979</v>
      </c>
      <c r="AM261" s="61">
        <f t="shared" ca="1" si="23"/>
        <v>0.6428723494603944</v>
      </c>
      <c r="AN261" s="37"/>
      <c r="AO261" s="62">
        <f t="array" aca="1" ref="AO261:AR261" ca="1">TRANSPOSE($B$17:$B$20 + MMULT($D$17:$G$20,TRANSPOSE(AO260:AR260)) + MMULT($N$17:$Q$20,TRANSPOSE(AJ261:AM261)))</f>
        <v>0.5829649302883424</v>
      </c>
      <c r="AP261" s="62">
        <f ca="1"/>
        <v>-0.5450161841845873</v>
      </c>
      <c r="AQ261" s="62">
        <f ca="1"/>
        <v>0.25985624190009976</v>
      </c>
      <c r="AR261" s="62">
        <f ca="1"/>
        <v>0.74030138855452932</v>
      </c>
    </row>
    <row r="262" spans="25:44" x14ac:dyDescent="0.15">
      <c r="Y262" s="8">
        <f t="shared" si="24"/>
        <v>259</v>
      </c>
      <c r="Z262" s="61">
        <f t="shared" ca="1" si="22"/>
        <v>0.11078100633678081</v>
      </c>
      <c r="AA262" s="61">
        <f t="shared" ca="1" si="22"/>
        <v>1.5718399507053941E-2</v>
      </c>
      <c r="AB262" s="61">
        <f t="shared" ca="1" si="22"/>
        <v>-0.29464959273998936</v>
      </c>
      <c r="AC262" s="61">
        <f t="shared" ca="1" si="22"/>
        <v>0.58695101947250083</v>
      </c>
      <c r="AD262" s="37"/>
      <c r="AE262" s="62">
        <f t="array" aca="1" ref="AE262:AH262" ca="1">TRANSPOSE($B$9:$B$12 + MMULT($D$9:$G$12,TRANSPOSE(AO262:AR262)) + MMULT($N$9:$Q$12, TRANSPOSE(Z262:AC262)))</f>
        <v>0.72936436480919797</v>
      </c>
      <c r="AF262" s="62">
        <f ca="1"/>
        <v>0.87761034511826663</v>
      </c>
      <c r="AG262" s="62">
        <f ca="1"/>
        <v>0.3159760756760448</v>
      </c>
      <c r="AH262" s="62">
        <f ca="1"/>
        <v>0.34225487143974215</v>
      </c>
      <c r="AI262" s="37"/>
      <c r="AJ262" s="61">
        <f t="shared" ca="1" si="23"/>
        <v>0.70486723418232933</v>
      </c>
      <c r="AK262" s="61">
        <f t="shared" ca="1" si="23"/>
        <v>0.79772671169172527</v>
      </c>
      <c r="AL262" s="61">
        <f t="shared" ca="1" si="23"/>
        <v>-0.19172240531945475</v>
      </c>
      <c r="AM262" s="61">
        <f t="shared" ca="1" si="23"/>
        <v>7.13618033747455E-2</v>
      </c>
      <c r="AN262" s="37"/>
      <c r="AO262" s="62">
        <f t="array" aca="1" ref="AO262:AR262" ca="1">TRANSPOSE($B$17:$B$20 + MMULT($D$17:$G$20,TRANSPOSE(AO261:AR261)) + MMULT($N$17:$Q$20,TRANSPOSE(AJ262:AM262)))</f>
        <v>0.69869239755702117</v>
      </c>
      <c r="AP262" s="62">
        <f ca="1"/>
        <v>0.57879982689408938</v>
      </c>
      <c r="AQ262" s="62">
        <f ca="1"/>
        <v>7.6453327783772285E-2</v>
      </c>
      <c r="AR262" s="62">
        <f ca="1"/>
        <v>0.34154768635234634</v>
      </c>
    </row>
    <row r="263" spans="25:44" x14ac:dyDescent="0.15">
      <c r="Y263" s="8">
        <f t="shared" si="24"/>
        <v>260</v>
      </c>
      <c r="Z263" s="61">
        <f t="shared" ca="1" si="22"/>
        <v>1.8222069620223829</v>
      </c>
      <c r="AA263" s="61">
        <f t="shared" ca="1" si="22"/>
        <v>1.6164796223136435</v>
      </c>
      <c r="AB263" s="61">
        <f t="shared" ca="1" si="22"/>
        <v>0.2716792475019188</v>
      </c>
      <c r="AC263" s="61">
        <f t="shared" ca="1" si="22"/>
        <v>1.2816371350198732</v>
      </c>
      <c r="AD263" s="37"/>
      <c r="AE263" s="62">
        <f t="array" aca="1" ref="AE263:AH263" ca="1">TRANSPOSE($B$9:$B$12 + MMULT($D$9:$G$12,TRANSPOSE(AO263:AR263)) + MMULT($N$9:$Q$12, TRANSPOSE(Z263:AC263)))</f>
        <v>1.4676703830538895</v>
      </c>
      <c r="AF263" s="62">
        <f ca="1"/>
        <v>1.8585114630382453</v>
      </c>
      <c r="AG263" s="62">
        <f ca="1"/>
        <v>-8.4474634328973008E-2</v>
      </c>
      <c r="AH263" s="62">
        <f ca="1"/>
        <v>1.1639730428241832</v>
      </c>
      <c r="AI263" s="37"/>
      <c r="AJ263" s="61">
        <f t="shared" ca="1" si="23"/>
        <v>-0.59959001842983528</v>
      </c>
      <c r="AK263" s="61">
        <f t="shared" ca="1" si="23"/>
        <v>0.97031406014051269</v>
      </c>
      <c r="AL263" s="61">
        <f t="shared" ca="1" si="23"/>
        <v>0.81293297777274787</v>
      </c>
      <c r="AM263" s="61">
        <f t="shared" ca="1" si="23"/>
        <v>0.30336662121173574</v>
      </c>
      <c r="AN263" s="37"/>
      <c r="AO263" s="62">
        <f t="array" aca="1" ref="AO263:AR263" ca="1">TRANSPOSE($B$17:$B$20 + MMULT($D$17:$G$20,TRANSPOSE(AO262:AR262)) + MMULT($N$17:$Q$20,TRANSPOSE(AJ263:AM263)))</f>
        <v>0.32419063212460186</v>
      </c>
      <c r="AP263" s="62">
        <f ca="1"/>
        <v>0.89581423586912168</v>
      </c>
      <c r="AQ263" s="62">
        <f ca="1"/>
        <v>0.58383115454298984</v>
      </c>
      <c r="AR263" s="62">
        <f ca="1"/>
        <v>0.35039914138452011</v>
      </c>
    </row>
    <row r="264" spans="25:44" x14ac:dyDescent="0.15">
      <c r="Y264" s="8">
        <f t="shared" si="24"/>
        <v>261</v>
      </c>
      <c r="Z264" s="61">
        <f t="shared" ca="1" si="22"/>
        <v>-0.36292490420301188</v>
      </c>
      <c r="AA264" s="61">
        <f t="shared" ca="1" si="22"/>
        <v>0.68131366098034507</v>
      </c>
      <c r="AB264" s="61">
        <f t="shared" ca="1" si="22"/>
        <v>-0.48575122050793601</v>
      </c>
      <c r="AC264" s="61">
        <f t="shared" ca="1" si="22"/>
        <v>0.19352157902705472</v>
      </c>
      <c r="AD264" s="37"/>
      <c r="AE264" s="62">
        <f t="array" aca="1" ref="AE264:AH264" ca="1">TRANSPOSE($B$9:$B$12 + MMULT($D$9:$G$12,TRANSPOSE(AO264:AR264)) + MMULT($N$9:$Q$12, TRANSPOSE(Z264:AC264)))</f>
        <v>1.3406226048677032</v>
      </c>
      <c r="AF264" s="62">
        <f ca="1"/>
        <v>0.8300216649625296</v>
      </c>
      <c r="AG264" s="62">
        <f ca="1"/>
        <v>0.84123315714963165</v>
      </c>
      <c r="AH264" s="62">
        <f ca="1"/>
        <v>0.97220385358833084</v>
      </c>
      <c r="AI264" s="37"/>
      <c r="AJ264" s="61">
        <f t="shared" ca="1" si="23"/>
        <v>1.578521016259228</v>
      </c>
      <c r="AK264" s="61">
        <f t="shared" ca="1" si="23"/>
        <v>-0.27313414436140432</v>
      </c>
      <c r="AL264" s="61">
        <f t="shared" ca="1" si="23"/>
        <v>0.43859116495403672</v>
      </c>
      <c r="AM264" s="61">
        <f t="shared" ca="1" si="23"/>
        <v>-0.2788334201428459</v>
      </c>
      <c r="AN264" s="37"/>
      <c r="AO264" s="62">
        <f t="array" aca="1" ref="AO264:AR264" ca="1">TRANSPOSE($B$17:$B$20 + MMULT($D$17:$G$20,TRANSPOSE(AO263:AR263)) + MMULT($N$17:$Q$20,TRANSPOSE(AJ264:AM264)))</f>
        <v>1.0577242052688618</v>
      </c>
      <c r="AP264" s="62">
        <f ca="1"/>
        <v>0.3932761827273662</v>
      </c>
      <c r="AQ264" s="62">
        <f ca="1"/>
        <v>1.1410052346261188</v>
      </c>
      <c r="AR264" s="62">
        <f ca="1"/>
        <v>0.82649334137389885</v>
      </c>
    </row>
    <row r="265" spans="25:44" x14ac:dyDescent="0.15">
      <c r="Y265" s="8">
        <f t="shared" si="24"/>
        <v>262</v>
      </c>
      <c r="Z265" s="61">
        <f t="shared" ca="1" si="22"/>
        <v>0.82897057959992071</v>
      </c>
      <c r="AA265" s="61">
        <f t="shared" ca="1" si="22"/>
        <v>0.64768795168194859</v>
      </c>
      <c r="AB265" s="61">
        <f t="shared" ca="1" si="22"/>
        <v>-0.52099027729228042</v>
      </c>
      <c r="AC265" s="61">
        <f t="shared" ca="1" si="22"/>
        <v>1.5215751239169897</v>
      </c>
      <c r="AD265" s="37"/>
      <c r="AE265" s="62">
        <f t="array" aca="1" ref="AE265:AH265" ca="1">TRANSPOSE($B$9:$B$12 + MMULT($D$9:$G$12,TRANSPOSE(AO265:AR265)) + MMULT($N$9:$Q$12, TRANSPOSE(Z265:AC265)))</f>
        <v>1.0825682567229677</v>
      </c>
      <c r="AF265" s="62">
        <f ca="1"/>
        <v>1.2931889426568577</v>
      </c>
      <c r="AG265" s="62">
        <f ca="1"/>
        <v>0.38521861401580842</v>
      </c>
      <c r="AH265" s="62">
        <f ca="1"/>
        <v>1.7083107139803597</v>
      </c>
      <c r="AI265" s="37"/>
      <c r="AJ265" s="61">
        <f t="shared" ca="1" si="23"/>
        <v>-1.2537418299091527</v>
      </c>
      <c r="AK265" s="61">
        <f t="shared" ca="1" si="23"/>
        <v>0.29058255460831339</v>
      </c>
      <c r="AL265" s="61">
        <f t="shared" ca="1" si="23"/>
        <v>0.89299923337294773</v>
      </c>
      <c r="AM265" s="61">
        <f t="shared" ca="1" si="23"/>
        <v>0.98287976753353401</v>
      </c>
      <c r="AN265" s="37"/>
      <c r="AO265" s="62">
        <f t="array" aca="1" ref="AO265:AR265" ca="1">TRANSPOSE($B$17:$B$20 + MMULT($D$17:$G$20,TRANSPOSE(AO264:AR264)) + MMULT($N$17:$Q$20,TRANSPOSE(AJ265:AM265)))</f>
        <v>0.36563894169862815</v>
      </c>
      <c r="AP265" s="62">
        <f ca="1"/>
        <v>0.82209646845356743</v>
      </c>
      <c r="AQ265" s="62">
        <f ca="1"/>
        <v>0.88330291971028618</v>
      </c>
      <c r="AR265" s="62">
        <f ca="1"/>
        <v>1.0577985205519864</v>
      </c>
    </row>
    <row r="266" spans="25:44" x14ac:dyDescent="0.15">
      <c r="Y266" s="8">
        <f t="shared" si="24"/>
        <v>263</v>
      </c>
      <c r="Z266" s="61">
        <f t="shared" ca="1" si="22"/>
        <v>-0.5474852441170488</v>
      </c>
      <c r="AA266" s="61">
        <f t="shared" ca="1" si="22"/>
        <v>-0.65410068564857293</v>
      </c>
      <c r="AB266" s="61">
        <f t="shared" ca="1" si="22"/>
        <v>-1.7033507123289844</v>
      </c>
      <c r="AC266" s="61">
        <f t="shared" ca="1" si="22"/>
        <v>-0.7016177209566421</v>
      </c>
      <c r="AD266" s="37"/>
      <c r="AE266" s="62">
        <f t="array" aca="1" ref="AE266:AH266" ca="1">TRANSPOSE($B$9:$B$12 + MMULT($D$9:$G$12,TRANSPOSE(AO266:AR266)) + MMULT($N$9:$Q$12, TRANSPOSE(Z266:AC266)))</f>
        <v>0.80636013410900431</v>
      </c>
      <c r="AF266" s="62">
        <f ca="1"/>
        <v>0.55411208316341332</v>
      </c>
      <c r="AG266" s="62">
        <f ca="1"/>
        <v>0.75619332428256403</v>
      </c>
      <c r="AH266" s="62">
        <f ca="1"/>
        <v>0.41630976053110436</v>
      </c>
      <c r="AI266" s="37"/>
      <c r="AJ266" s="61">
        <f t="shared" ca="1" si="23"/>
        <v>1.7505909943526805</v>
      </c>
      <c r="AK266" s="61">
        <f t="shared" ca="1" si="23"/>
        <v>-0.63641007638169622</v>
      </c>
      <c r="AL266" s="61">
        <f t="shared" ca="1" si="23"/>
        <v>-1.6736302760911297</v>
      </c>
      <c r="AM266" s="61">
        <f t="shared" ca="1" si="23"/>
        <v>0.42806411389618459</v>
      </c>
      <c r="AN266" s="37"/>
      <c r="AO266" s="62">
        <f t="array" aca="1" ref="AO266:AR266" ca="1">TRANSPOSE($B$17:$B$20 + MMULT($D$17:$G$20,TRANSPOSE(AO265:AR265)) + MMULT($N$17:$Q$20,TRANSPOSE(AJ266:AM266)))</f>
        <v>1.1997385960943494</v>
      </c>
      <c r="AP266" s="62">
        <f ca="1"/>
        <v>0.36332421555668803</v>
      </c>
      <c r="AQ266" s="62">
        <f ca="1"/>
        <v>0.39003390188172266</v>
      </c>
      <c r="AR266" s="62">
        <f ca="1"/>
        <v>1.1219444114641002</v>
      </c>
    </row>
    <row r="267" spans="25:44" x14ac:dyDescent="0.15">
      <c r="Y267" s="8">
        <f t="shared" si="24"/>
        <v>264</v>
      </c>
      <c r="Z267" s="61">
        <f t="shared" ca="1" si="22"/>
        <v>-2.1355614032645964</v>
      </c>
      <c r="AA267" s="61">
        <f t="shared" ca="1" si="22"/>
        <v>-0.26516899587217918</v>
      </c>
      <c r="AB267" s="61">
        <f t="shared" ca="1" si="22"/>
        <v>-2.1093092709993466</v>
      </c>
      <c r="AC267" s="61">
        <f t="shared" ca="1" si="22"/>
        <v>0.68354973313748346</v>
      </c>
      <c r="AD267" s="37"/>
      <c r="AE267" s="62">
        <f t="array" aca="1" ref="AE267:AH267" ca="1">TRANSPOSE($B$9:$B$12 + MMULT($D$9:$G$12,TRANSPOSE(AO267:AR267)) + MMULT($N$9:$Q$12, TRANSPOSE(Z267:AC267)))</f>
        <v>0.3066022520961299</v>
      </c>
      <c r="AF267" s="62">
        <f ca="1"/>
        <v>0.59781378034758292</v>
      </c>
      <c r="AG267" s="62">
        <f ca="1"/>
        <v>0.3203077131128047</v>
      </c>
      <c r="AH267" s="62">
        <f ca="1"/>
        <v>1.2218517710076973</v>
      </c>
      <c r="AI267" s="37"/>
      <c r="AJ267" s="61">
        <f t="shared" ca="1" si="23"/>
        <v>0.50125239722633474</v>
      </c>
      <c r="AK267" s="61">
        <f t="shared" ca="1" si="23"/>
        <v>0.48399598714084974</v>
      </c>
      <c r="AL267" s="61">
        <f t="shared" ca="1" si="23"/>
        <v>0.69651920485967811</v>
      </c>
      <c r="AM267" s="61">
        <f t="shared" ca="1" si="23"/>
        <v>0.58690754678500257</v>
      </c>
      <c r="AN267" s="37"/>
      <c r="AO267" s="62">
        <f t="array" aca="1" ref="AO267:AR267" ca="1">TRANSPOSE($B$17:$B$20 + MMULT($D$17:$G$20,TRANSPOSE(AO266:AR266)) + MMULT($N$17:$Q$20,TRANSPOSE(AJ267:AM267)))</f>
        <v>0.89430498455423701</v>
      </c>
      <c r="AP267" s="62">
        <f ca="1"/>
        <v>0.95499434902382518</v>
      </c>
      <c r="AQ267" s="62">
        <f ca="1"/>
        <v>0.92757632833072434</v>
      </c>
      <c r="AR267" s="62">
        <f ca="1"/>
        <v>0.90928282999892029</v>
      </c>
    </row>
    <row r="268" spans="25:44" x14ac:dyDescent="0.15">
      <c r="Y268" s="8">
        <f t="shared" si="24"/>
        <v>265</v>
      </c>
      <c r="Z268" s="61">
        <f t="shared" ca="1" si="22"/>
        <v>-0.6975375064151077</v>
      </c>
      <c r="AA268" s="61">
        <f t="shared" ca="1" si="22"/>
        <v>0.99962939744026769</v>
      </c>
      <c r="AB268" s="61">
        <f t="shared" ca="1" si="22"/>
        <v>1.0385393498753743</v>
      </c>
      <c r="AC268" s="61">
        <f t="shared" ca="1" si="22"/>
        <v>-6.0956735493568441E-2</v>
      </c>
      <c r="AD268" s="37"/>
      <c r="AE268" s="62">
        <f t="array" aca="1" ref="AE268:AH268" ca="1">TRANSPOSE($B$9:$B$12 + MMULT($D$9:$G$12,TRANSPOSE(AO268:AR268)) + MMULT($N$9:$Q$12, TRANSPOSE(Z268:AC268)))</f>
        <v>1.7869635622045914</v>
      </c>
      <c r="AF268" s="62">
        <f ca="1"/>
        <v>1.7873057642911461</v>
      </c>
      <c r="AG268" s="62">
        <f ca="1"/>
        <v>1.8742172269506856</v>
      </c>
      <c r="AH268" s="62">
        <f ca="1"/>
        <v>1.2510979042374999</v>
      </c>
      <c r="AI268" s="37"/>
      <c r="AJ268" s="61">
        <f t="shared" ca="1" si="23"/>
        <v>2.8601271094715064</v>
      </c>
      <c r="AK268" s="61">
        <f t="shared" ca="1" si="23"/>
        <v>0.79048680042442321</v>
      </c>
      <c r="AL268" s="61">
        <f t="shared" ca="1" si="23"/>
        <v>0.7073520303128159</v>
      </c>
      <c r="AM268" s="61">
        <f t="shared" ca="1" si="23"/>
        <v>0.7513243296326092</v>
      </c>
      <c r="AN268" s="37"/>
      <c r="AO268" s="62">
        <f t="array" aca="1" ref="AO268:AR268" ca="1">TRANSPOSE($B$17:$B$20 + MMULT($D$17:$G$20,TRANSPOSE(AO267:AR267)) + MMULT($N$17:$Q$20,TRANSPOSE(AJ268:AM268)))</f>
        <v>1.7202021227361519</v>
      </c>
      <c r="AP268" s="62">
        <f ca="1"/>
        <v>1.1720326279728224</v>
      </c>
      <c r="AQ268" s="62">
        <f ca="1"/>
        <v>1.6029814453796831</v>
      </c>
      <c r="AR268" s="62">
        <f ca="1"/>
        <v>1.3280313332660834</v>
      </c>
    </row>
    <row r="269" spans="25:44" x14ac:dyDescent="0.15">
      <c r="Y269" s="8">
        <f t="shared" si="24"/>
        <v>266</v>
      </c>
      <c r="Z269" s="61">
        <f t="shared" ca="1" si="22"/>
        <v>-0.50812288326234778</v>
      </c>
      <c r="AA269" s="61">
        <f t="shared" ca="1" si="22"/>
        <v>-0.72558872784930117</v>
      </c>
      <c r="AB269" s="61">
        <f t="shared" ca="1" si="22"/>
        <v>-0.30306886477179545</v>
      </c>
      <c r="AC269" s="61">
        <f t="shared" ca="1" si="22"/>
        <v>-4.7173768253206211E-2</v>
      </c>
      <c r="AD269" s="37"/>
      <c r="AE269" s="62">
        <f t="array" aca="1" ref="AE269:AH269" ca="1">TRANSPOSE($B$9:$B$12 + MMULT($D$9:$G$12,TRANSPOSE(AO269:AR269)) + MMULT($N$9:$Q$12, TRANSPOSE(Z269:AC269)))</f>
        <v>1.4666990625082921</v>
      </c>
      <c r="AF269" s="62">
        <f ca="1"/>
        <v>1.6020841471643661</v>
      </c>
      <c r="AG269" s="62">
        <f ca="1"/>
        <v>0.98433004439143235</v>
      </c>
      <c r="AH269" s="62">
        <f ca="1"/>
        <v>1.3037565221011742</v>
      </c>
      <c r="AI269" s="37"/>
      <c r="AJ269" s="61">
        <f t="shared" ca="1" si="23"/>
        <v>1.2768135143276262</v>
      </c>
      <c r="AK269" s="61">
        <f t="shared" ca="1" si="23"/>
        <v>0.917378154180299</v>
      </c>
      <c r="AL269" s="61">
        <f t="shared" ca="1" si="23"/>
        <v>-0.48938305513582148</v>
      </c>
      <c r="AM269" s="61">
        <f t="shared" ca="1" si="23"/>
        <v>-7.7195640629611151E-2</v>
      </c>
      <c r="AN269" s="37"/>
      <c r="AO269" s="62">
        <f t="array" aca="1" ref="AO269:AR269" ca="1">TRANSPOSE($B$17:$B$20 + MMULT($D$17:$G$20,TRANSPOSE(AO268:AR268)) + MMULT($N$17:$Q$20,TRANSPOSE(AJ269:AM269)))</f>
        <v>1.5390065086482831</v>
      </c>
      <c r="AP269" s="62">
        <f ca="1"/>
        <v>1.6513132763777312</v>
      </c>
      <c r="AQ269" s="62">
        <f ca="1"/>
        <v>1.1741179757359272</v>
      </c>
      <c r="AR269" s="62">
        <f ca="1"/>
        <v>1.223405890807622</v>
      </c>
    </row>
    <row r="270" spans="25:44" x14ac:dyDescent="0.15">
      <c r="Y270" s="8">
        <f t="shared" si="24"/>
        <v>267</v>
      </c>
      <c r="Z270" s="61">
        <f t="shared" ca="1" si="22"/>
        <v>0.40308273686215756</v>
      </c>
      <c r="AA270" s="61">
        <f t="shared" ca="1" si="22"/>
        <v>-0.11512213317556354</v>
      </c>
      <c r="AB270" s="61">
        <f t="shared" ca="1" si="22"/>
        <v>1.0043910045408302</v>
      </c>
      <c r="AC270" s="61">
        <f t="shared" ca="1" si="22"/>
        <v>-0.8603459189197572</v>
      </c>
      <c r="AD270" s="37"/>
      <c r="AE270" s="62">
        <f t="array" aca="1" ref="AE270:AH270" ca="1">TRANSPOSE($B$9:$B$12 + MMULT($D$9:$G$12,TRANSPOSE(AO270:AR270)) + MMULT($N$9:$Q$12, TRANSPOSE(Z270:AC270)))</f>
        <v>1.6886656549372741</v>
      </c>
      <c r="AF270" s="62">
        <f ca="1"/>
        <v>0.64056669156690293</v>
      </c>
      <c r="AG270" s="62">
        <f ca="1"/>
        <v>1.3736493166399897</v>
      </c>
      <c r="AH270" s="62">
        <f ca="1"/>
        <v>1.5790464703042544</v>
      </c>
      <c r="AI270" s="37"/>
      <c r="AJ270" s="61">
        <f t="shared" ca="1" si="23"/>
        <v>-0.96943146817512649</v>
      </c>
      <c r="AK270" s="61">
        <f t="shared" ca="1" si="23"/>
        <v>-1.5625713240684032</v>
      </c>
      <c r="AL270" s="61">
        <f t="shared" ca="1" si="23"/>
        <v>1.1380200354069436</v>
      </c>
      <c r="AM270" s="61">
        <f t="shared" ca="1" si="23"/>
        <v>-1.3806654901910298</v>
      </c>
      <c r="AN270" s="37"/>
      <c r="AO270" s="62">
        <f t="array" aca="1" ref="AO270:AR270" ca="1">TRANSPOSE($B$17:$B$20 + MMULT($D$17:$G$20,TRANSPOSE(AO269:AR269)) + MMULT($N$17:$Q$20,TRANSPOSE(AJ270:AM270)))</f>
        <v>0.70154275233247687</v>
      </c>
      <c r="AP270" s="62">
        <f ca="1"/>
        <v>0.59679591520512665</v>
      </c>
      <c r="AQ270" s="62">
        <f ca="1"/>
        <v>1.789923120615188</v>
      </c>
      <c r="AR270" s="62">
        <f ca="1"/>
        <v>1.2260524901602217</v>
      </c>
    </row>
    <row r="271" spans="25:44" x14ac:dyDescent="0.15">
      <c r="Y271" s="8">
        <f t="shared" si="24"/>
        <v>268</v>
      </c>
      <c r="Z271" s="61">
        <f t="shared" ca="1" si="22"/>
        <v>0.53359029152839099</v>
      </c>
      <c r="AA271" s="61">
        <f t="shared" ca="1" si="22"/>
        <v>0.68090480842566958</v>
      </c>
      <c r="AB271" s="61">
        <f t="shared" ca="1" si="22"/>
        <v>6.1867676536832845E-2</v>
      </c>
      <c r="AC271" s="61">
        <f t="shared" ca="1" si="22"/>
        <v>1.2959132083638591</v>
      </c>
      <c r="AD271" s="37"/>
      <c r="AE271" s="62">
        <f t="array" aca="1" ref="AE271:AH271" ca="1">TRANSPOSE($B$9:$B$12 + MMULT($D$9:$G$12,TRANSPOSE(AO271:AR271)) + MMULT($N$9:$Q$12, TRANSPOSE(Z271:AC271)))</f>
        <v>0.70821143238804629</v>
      </c>
      <c r="AF271" s="62">
        <f ca="1"/>
        <v>1.4122647629394054</v>
      </c>
      <c r="AG271" s="62">
        <f ca="1"/>
        <v>0.60492246641250158</v>
      </c>
      <c r="AH271" s="62">
        <f ca="1"/>
        <v>1.2978935415781823</v>
      </c>
      <c r="AI271" s="37"/>
      <c r="AJ271" s="61">
        <f t="shared" ca="1" si="23"/>
        <v>-1.4175812863477704</v>
      </c>
      <c r="AK271" s="61">
        <f t="shared" ca="1" si="23"/>
        <v>0.43976889883747067</v>
      </c>
      <c r="AL271" s="61">
        <f t="shared" ca="1" si="23"/>
        <v>-0.40587927089888626</v>
      </c>
      <c r="AM271" s="61">
        <f t="shared" ca="1" si="23"/>
        <v>2.8077405620888759E-3</v>
      </c>
      <c r="AN271" s="37"/>
      <c r="AO271" s="62">
        <f t="array" aca="1" ref="AO271:AR271" ca="1">TRANSPOSE($B$17:$B$20 + MMULT($D$17:$G$20,TRANSPOSE(AO270:AR270)) + MMULT($N$17:$Q$20,TRANSPOSE(AJ271:AM271)))</f>
        <v>0.34748741272570871</v>
      </c>
      <c r="AP271" s="62">
        <f ca="1"/>
        <v>0.92196796292978989</v>
      </c>
      <c r="AQ271" s="62">
        <f ca="1"/>
        <v>0.47567533328815381</v>
      </c>
      <c r="AR271" s="62">
        <f ca="1"/>
        <v>0.97170337559226705</v>
      </c>
    </row>
    <row r="272" spans="25:44" x14ac:dyDescent="0.15">
      <c r="Y272" s="8">
        <f t="shared" si="24"/>
        <v>269</v>
      </c>
      <c r="Z272" s="61">
        <f t="shared" ca="1" si="22"/>
        <v>-0.93176369264307779</v>
      </c>
      <c r="AA272" s="61">
        <f t="shared" ca="1" si="22"/>
        <v>-0.98527444184539426</v>
      </c>
      <c r="AB272" s="61">
        <f t="shared" ca="1" si="22"/>
        <v>-0.75765052785834686</v>
      </c>
      <c r="AC272" s="61">
        <f t="shared" ca="1" si="22"/>
        <v>0.16987871713545344</v>
      </c>
      <c r="AD272" s="37"/>
      <c r="AE272" s="62">
        <f t="array" aca="1" ref="AE272:AH272" ca="1">TRANSPOSE($B$9:$B$12 + MMULT($D$9:$G$12,TRANSPOSE(AO272:AR272)) + MMULT($N$9:$Q$12, TRANSPOSE(Z272:AC272)))</f>
        <v>0.18112616663850584</v>
      </c>
      <c r="AF272" s="62">
        <f ca="1"/>
        <v>-0.38428649625403399</v>
      </c>
      <c r="AG272" s="62">
        <f ca="1"/>
        <v>0.94496051342279197</v>
      </c>
      <c r="AH272" s="62">
        <f ca="1"/>
        <v>1.2726761766920263</v>
      </c>
      <c r="AI272" s="37"/>
      <c r="AJ272" s="61">
        <f t="shared" ca="1" si="23"/>
        <v>-1.201192824242157</v>
      </c>
      <c r="AK272" s="61">
        <f t="shared" ca="1" si="23"/>
        <v>-1.1455155563361117</v>
      </c>
      <c r="AL272" s="61">
        <f t="shared" ca="1" si="23"/>
        <v>0.64034039575067403</v>
      </c>
      <c r="AM272" s="61">
        <f t="shared" ca="1" si="23"/>
        <v>1.1583349709748725</v>
      </c>
      <c r="AN272" s="37"/>
      <c r="AO272" s="62">
        <f t="array" aca="1" ref="AO272:AR272" ca="1">TRANSPOSE($B$17:$B$20 + MMULT($D$17:$G$20,TRANSPOSE(AO271:AR271)) + MMULT($N$17:$Q$20,TRANSPOSE(AJ272:AM272)))</f>
        <v>0.14421521502775458</v>
      </c>
      <c r="AP272" s="62">
        <f ca="1"/>
        <v>9.0447799961476505E-2</v>
      </c>
      <c r="AQ272" s="62">
        <f ca="1"/>
        <v>0.85683497408421294</v>
      </c>
      <c r="AR272" s="62">
        <f ca="1"/>
        <v>1.2051232411738824</v>
      </c>
    </row>
    <row r="273" spans="25:44" x14ac:dyDescent="0.15">
      <c r="Y273" s="8">
        <f t="shared" si="24"/>
        <v>270</v>
      </c>
      <c r="Z273" s="61">
        <f t="shared" ca="1" si="22"/>
        <v>-0.35260714936206583</v>
      </c>
      <c r="AA273" s="61">
        <f t="shared" ca="1" si="22"/>
        <v>0.10482455718769523</v>
      </c>
      <c r="AB273" s="61">
        <f t="shared" ca="1" si="22"/>
        <v>-1.1345357012989568</v>
      </c>
      <c r="AC273" s="61">
        <f t="shared" ca="1" si="22"/>
        <v>1.3330102775576065</v>
      </c>
      <c r="AD273" s="37"/>
      <c r="AE273" s="62">
        <f t="array" aca="1" ref="AE273:AH273" ca="1">TRANSPOSE($B$9:$B$12 + MMULT($D$9:$G$12,TRANSPOSE(AO273:AR273)) + MMULT($N$9:$Q$12, TRANSPOSE(Z273:AC273)))</f>
        <v>-4.3268980624047271E-2</v>
      </c>
      <c r="AF273" s="62">
        <f ca="1"/>
        <v>0.95229853312228285</v>
      </c>
      <c r="AG273" s="62">
        <f ca="1"/>
        <v>-0.27968978809645767</v>
      </c>
      <c r="AH273" s="62">
        <f ca="1"/>
        <v>1.0231373914472599</v>
      </c>
      <c r="AI273" s="37"/>
      <c r="AJ273" s="61">
        <f t="shared" ca="1" si="23"/>
        <v>-1.5538834676819795</v>
      </c>
      <c r="AK273" s="61">
        <f t="shared" ca="1" si="23"/>
        <v>1.5729837975954815</v>
      </c>
      <c r="AL273" s="61">
        <f t="shared" ca="1" si="23"/>
        <v>0.13382291070432117</v>
      </c>
      <c r="AM273" s="61">
        <f t="shared" ca="1" si="23"/>
        <v>0.35217040890899393</v>
      </c>
      <c r="AN273" s="37"/>
      <c r="AO273" s="62">
        <f t="array" aca="1" ref="AO273:AR273" ca="1">TRANSPOSE($B$17:$B$20 + MMULT($D$17:$G$20,TRANSPOSE(AO272:AR272)) + MMULT($N$17:$Q$20,TRANSPOSE(AJ273:AM273)))</f>
        <v>-1.9581269016684999E-2</v>
      </c>
      <c r="AP273" s="62">
        <f ca="1"/>
        <v>1.0076253159740087</v>
      </c>
      <c r="AQ273" s="62">
        <f ca="1"/>
        <v>6.0167873899742208E-2</v>
      </c>
      <c r="AR273" s="62">
        <f ca="1"/>
        <v>0.465854850364119</v>
      </c>
    </row>
    <row r="274" spans="25:44" x14ac:dyDescent="0.15">
      <c r="Y274" s="8">
        <f t="shared" si="24"/>
        <v>271</v>
      </c>
      <c r="Z274" s="61">
        <f t="shared" ca="1" si="22"/>
        <v>0.39302298740458602</v>
      </c>
      <c r="AA274" s="61">
        <f t="shared" ca="1" si="22"/>
        <v>0.52371202744313139</v>
      </c>
      <c r="AB274" s="61">
        <f t="shared" ca="1" si="22"/>
        <v>1.083291490440657</v>
      </c>
      <c r="AC274" s="61">
        <f t="shared" ca="1" si="22"/>
        <v>-0.34138260820858629</v>
      </c>
      <c r="AD274" s="37"/>
      <c r="AE274" s="62">
        <f t="array" aca="1" ref="AE274:AH274" ca="1">TRANSPOSE($B$9:$B$12 + MMULT($D$9:$G$12,TRANSPOSE(AO274:AR274)) + MMULT($N$9:$Q$12, TRANSPOSE(Z274:AC274)))</f>
        <v>0.65240343186314265</v>
      </c>
      <c r="AF274" s="62">
        <f ca="1"/>
        <v>0.49353805400603878</v>
      </c>
      <c r="AG274" s="62">
        <f ca="1"/>
        <v>0.7254606375880418</v>
      </c>
      <c r="AH274" s="62">
        <f ca="1"/>
        <v>0.44707786146281642</v>
      </c>
      <c r="AI274" s="37"/>
      <c r="AJ274" s="61">
        <f t="shared" ca="1" si="23"/>
        <v>-0.80767412031911501</v>
      </c>
      <c r="AK274" s="61">
        <f t="shared" ca="1" si="23"/>
        <v>-0.41279523407415569</v>
      </c>
      <c r="AL274" s="61">
        <f t="shared" ca="1" si="23"/>
        <v>6.7765594406374821E-2</v>
      </c>
      <c r="AM274" s="61">
        <f t="shared" ca="1" si="23"/>
        <v>-0.57634091584965941</v>
      </c>
      <c r="AN274" s="37"/>
      <c r="AO274" s="62">
        <f t="array" aca="1" ref="AO274:AR274" ca="1">TRANSPOSE($B$17:$B$20 + MMULT($D$17:$G$20,TRANSPOSE(AO273:AR273)) + MMULT($N$17:$Q$20,TRANSPOSE(AJ274:AM274)))</f>
        <v>0.10089180699008454</v>
      </c>
      <c r="AP274" s="62">
        <f ca="1"/>
        <v>0.19800617037856227</v>
      </c>
      <c r="AQ274" s="62">
        <f ca="1"/>
        <v>0.41939583950206039</v>
      </c>
      <c r="AR274" s="62">
        <f ca="1"/>
        <v>0.35395704146086387</v>
      </c>
    </row>
    <row r="275" spans="25:44" x14ac:dyDescent="0.15">
      <c r="Y275" s="8">
        <f t="shared" si="24"/>
        <v>272</v>
      </c>
      <c r="Z275" s="61">
        <f t="shared" ca="1" si="22"/>
        <v>-1.3681649784795595</v>
      </c>
      <c r="AA275" s="61">
        <f t="shared" ca="1" si="22"/>
        <v>0.39770807303997008</v>
      </c>
      <c r="AB275" s="61">
        <f t="shared" ca="1" si="22"/>
        <v>-0.61299194575482974</v>
      </c>
      <c r="AC275" s="61">
        <f t="shared" ca="1" si="22"/>
        <v>0.12767645139039999</v>
      </c>
      <c r="AD275" s="37"/>
      <c r="AE275" s="62">
        <f t="array" aca="1" ref="AE275:AH275" ca="1">TRANSPOSE($B$9:$B$12 + MMULT($D$9:$G$12,TRANSPOSE(AO275:AR275)) + MMULT($N$9:$Q$12, TRANSPOSE(Z275:AC275)))</f>
        <v>-0.11873033413632827</v>
      </c>
      <c r="AF275" s="62">
        <f ca="1"/>
        <v>0.52733720012129759</v>
      </c>
      <c r="AG275" s="62">
        <f ca="1"/>
        <v>0.45368925858136167</v>
      </c>
      <c r="AH275" s="62">
        <f ca="1"/>
        <v>-0.11780551086919781</v>
      </c>
      <c r="AI275" s="37"/>
      <c r="AJ275" s="61">
        <f t="shared" ca="1" si="23"/>
        <v>0.51507944860544286</v>
      </c>
      <c r="AK275" s="61">
        <f t="shared" ca="1" si="23"/>
        <v>0.2961203412190696</v>
      </c>
      <c r="AL275" s="61">
        <f t="shared" ca="1" si="23"/>
        <v>-1.3355632291373063</v>
      </c>
      <c r="AM275" s="61">
        <f t="shared" ca="1" si="23"/>
        <v>-0.25418792720088168</v>
      </c>
      <c r="AN275" s="37"/>
      <c r="AO275" s="62">
        <f t="array" aca="1" ref="AO275:AR275" ca="1">TRANSPOSE($B$17:$B$20 + MMULT($D$17:$G$20,TRANSPOSE(AO274:AR274)) + MMULT($N$17:$Q$20,TRANSPOSE(AJ275:AM275)))</f>
        <v>0.56717479415612282</v>
      </c>
      <c r="AP275" s="62">
        <f ca="1"/>
        <v>0.35120803132488043</v>
      </c>
      <c r="AQ275" s="62">
        <f ca="1"/>
        <v>-0.21317822178891987</v>
      </c>
      <c r="AR275" s="62">
        <f ca="1"/>
        <v>0.25184465062061145</v>
      </c>
    </row>
    <row r="276" spans="25:44" x14ac:dyDescent="0.15">
      <c r="Y276" s="8">
        <f t="shared" si="24"/>
        <v>273</v>
      </c>
      <c r="Z276" s="61">
        <f t="shared" ca="1" si="22"/>
        <v>1.2320724256055666</v>
      </c>
      <c r="AA276" s="61">
        <f t="shared" ca="1" si="22"/>
        <v>0.43043138115750579</v>
      </c>
      <c r="AB276" s="61">
        <f t="shared" ca="1" si="22"/>
        <v>0.63143010040825831</v>
      </c>
      <c r="AC276" s="61">
        <f t="shared" ca="1" si="22"/>
        <v>0.60569791250944283</v>
      </c>
      <c r="AD276" s="37"/>
      <c r="AE276" s="62">
        <f t="array" aca="1" ref="AE276:AH276" ca="1">TRANSPOSE($B$9:$B$12 + MMULT($D$9:$G$12,TRANSPOSE(AO276:AR276)) + MMULT($N$9:$Q$12, TRANSPOSE(Z276:AC276)))</f>
        <v>1.5071595716844117</v>
      </c>
      <c r="AF276" s="62">
        <f ca="1"/>
        <v>0.66303325684539605</v>
      </c>
      <c r="AG276" s="62">
        <f ca="1"/>
        <v>1.2099043969168346</v>
      </c>
      <c r="AH276" s="62">
        <f ca="1"/>
        <v>0.91817590057859677</v>
      </c>
      <c r="AI276" s="37"/>
      <c r="AJ276" s="61">
        <f t="shared" ca="1" si="23"/>
        <v>0.88352971712196504</v>
      </c>
      <c r="AK276" s="61">
        <f t="shared" ca="1" si="23"/>
        <v>-1.0326507794318045</v>
      </c>
      <c r="AL276" s="61">
        <f t="shared" ca="1" si="23"/>
        <v>0.52171548373996868</v>
      </c>
      <c r="AM276" s="61">
        <f t="shared" ca="1" si="23"/>
        <v>1.5533072520468278</v>
      </c>
      <c r="AN276" s="37"/>
      <c r="AO276" s="62">
        <f t="array" aca="1" ref="AO276:AR276" ca="1">TRANSPOSE($B$17:$B$20 + MMULT($D$17:$G$20,TRANSPOSE(AO275:AR275)) + MMULT($N$17:$Q$20,TRANSPOSE(AJ276:AM276)))</f>
        <v>0.72538733769048025</v>
      </c>
      <c r="AP276" s="62">
        <f ca="1"/>
        <v>-6.7587532283044705E-2</v>
      </c>
      <c r="AQ276" s="62">
        <f ca="1"/>
        <v>0.77728667925430583</v>
      </c>
      <c r="AR276" s="62">
        <f ca="1"/>
        <v>0.98084445170721779</v>
      </c>
    </row>
    <row r="277" spans="25:44" x14ac:dyDescent="0.15">
      <c r="Y277" s="8">
        <f t="shared" si="24"/>
        <v>274</v>
      </c>
      <c r="Z277" s="61">
        <f t="shared" ca="1" si="22"/>
        <v>-0.99924771746711449</v>
      </c>
      <c r="AA277" s="61">
        <f t="shared" ca="1" si="22"/>
        <v>0.62158605554363455</v>
      </c>
      <c r="AB277" s="61">
        <f t="shared" ca="1" si="22"/>
        <v>-0.60881596404685523</v>
      </c>
      <c r="AC277" s="61">
        <f t="shared" ca="1" si="22"/>
        <v>-5.3012658516498508E-2</v>
      </c>
      <c r="AD277" s="37"/>
      <c r="AE277" s="62">
        <f t="array" aca="1" ref="AE277:AH277" ca="1">TRANSPOSE($B$9:$B$12 + MMULT($D$9:$G$12,TRANSPOSE(AO277:AR277)) + MMULT($N$9:$Q$12, TRANSPOSE(Z277:AC277)))</f>
        <v>-0.22401856301594958</v>
      </c>
      <c r="AF277" s="62">
        <f ca="1"/>
        <v>0.22442335800633059</v>
      </c>
      <c r="AG277" s="62">
        <f ca="1"/>
        <v>0.45610473248714806</v>
      </c>
      <c r="AH277" s="62">
        <f ca="1"/>
        <v>0.29763503752026754</v>
      </c>
      <c r="AI277" s="37"/>
      <c r="AJ277" s="61">
        <f t="shared" ca="1" si="23"/>
        <v>-1.7136276193442277</v>
      </c>
      <c r="AK277" s="61">
        <f t="shared" ca="1" si="23"/>
        <v>-0.93541228346265226</v>
      </c>
      <c r="AL277" s="61">
        <f t="shared" ca="1" si="23"/>
        <v>-0.47542237221835593</v>
      </c>
      <c r="AM277" s="61">
        <f t="shared" ca="1" si="23"/>
        <v>-0.89250460051788383</v>
      </c>
      <c r="AN277" s="37"/>
      <c r="AO277" s="62">
        <f t="array" aca="1" ref="AO277:AR277" ca="1">TRANSPOSE($B$17:$B$20 + MMULT($D$17:$G$20,TRANSPOSE(AO276:AR276)) + MMULT($N$17:$Q$20,TRANSPOSE(AJ277:AM277)))</f>
        <v>4.4525357841167401E-2</v>
      </c>
      <c r="AP277" s="62">
        <f ca="1"/>
        <v>6.4355875026413656E-2</v>
      </c>
      <c r="AQ277" s="62">
        <f ca="1"/>
        <v>4.829708215715145E-2</v>
      </c>
      <c r="AR277" s="62">
        <f ca="1"/>
        <v>0.4783235679374806</v>
      </c>
    </row>
    <row r="278" spans="25:44" x14ac:dyDescent="0.15">
      <c r="Y278" s="8">
        <f t="shared" si="24"/>
        <v>275</v>
      </c>
      <c r="Z278" s="61">
        <f t="shared" ca="1" si="22"/>
        <v>0.65755987429715068</v>
      </c>
      <c r="AA278" s="61">
        <f t="shared" ca="1" si="22"/>
        <v>-0.25502488342776353</v>
      </c>
      <c r="AB278" s="61">
        <f t="shared" ca="1" si="22"/>
        <v>0.6726590619538102</v>
      </c>
      <c r="AC278" s="61">
        <f t="shared" ca="1" si="22"/>
        <v>-1.3607474525572558</v>
      </c>
      <c r="AD278" s="37"/>
      <c r="AE278" s="62">
        <f t="array" aca="1" ref="AE278:AH278" ca="1">TRANSPOSE($B$9:$B$12 + MMULT($D$9:$G$12,TRANSPOSE(AO278:AR278)) + MMULT($N$9:$Q$12, TRANSPOSE(Z278:AC278)))</f>
        <v>0.80844171009050014</v>
      </c>
      <c r="AF278" s="62">
        <f ca="1"/>
        <v>0.43691850007059468</v>
      </c>
      <c r="AG278" s="62">
        <f ca="1"/>
        <v>0.76367968222530558</v>
      </c>
      <c r="AH278" s="62">
        <f ca="1"/>
        <v>0.3322223688157474</v>
      </c>
      <c r="AI278" s="37"/>
      <c r="AJ278" s="61">
        <f t="shared" ca="1" si="23"/>
        <v>-8.1342190792841496E-2</v>
      </c>
      <c r="AK278" s="61">
        <f t="shared" ca="1" si="23"/>
        <v>0.26605434492912244</v>
      </c>
      <c r="AL278" s="61">
        <f t="shared" ca="1" si="23"/>
        <v>0.5948308271819519</v>
      </c>
      <c r="AM278" s="61">
        <f t="shared" ca="1" si="23"/>
        <v>1.0354131838196681</v>
      </c>
      <c r="AN278" s="37"/>
      <c r="AO278" s="62">
        <f t="array" aca="1" ref="AO278:AR278" ca="1">TRANSPOSE($B$17:$B$20 + MMULT($D$17:$G$20,TRANSPOSE(AO277:AR277)) + MMULT($N$17:$Q$20,TRANSPOSE(AJ278:AM278)))</f>
        <v>0.29317704063685129</v>
      </c>
      <c r="AP278" s="62">
        <f ca="1"/>
        <v>0.269061020366819</v>
      </c>
      <c r="AQ278" s="62">
        <f ca="1"/>
        <v>0.3951082266777135</v>
      </c>
      <c r="AR278" s="62">
        <f ca="1"/>
        <v>0.60339129274258907</v>
      </c>
    </row>
    <row r="279" spans="25:44" x14ac:dyDescent="0.15">
      <c r="Y279" s="8">
        <f t="shared" si="24"/>
        <v>276</v>
      </c>
      <c r="Z279" s="61">
        <f t="shared" ca="1" si="22"/>
        <v>-1.931803774805551</v>
      </c>
      <c r="AA279" s="61">
        <f t="shared" ca="1" si="22"/>
        <v>-0.30098667564577175</v>
      </c>
      <c r="AB279" s="61">
        <f t="shared" ca="1" si="22"/>
        <v>-0.61108535661993169</v>
      </c>
      <c r="AC279" s="61">
        <f t="shared" ca="1" si="22"/>
        <v>0.62035041554275017</v>
      </c>
      <c r="AD279" s="37"/>
      <c r="AE279" s="62">
        <f t="array" aca="1" ref="AE279:AH279" ca="1">TRANSPOSE($B$9:$B$12 + MMULT($D$9:$G$12,TRANSPOSE(AO279:AR279)) + MMULT($N$9:$Q$12, TRANSPOSE(Z279:AC279)))</f>
        <v>4.7512300423305009E-2</v>
      </c>
      <c r="AF279" s="62">
        <f ca="1"/>
        <v>-0.54253579502363602</v>
      </c>
      <c r="AG279" s="62">
        <f ca="1"/>
        <v>0.97897489223952916</v>
      </c>
      <c r="AH279" s="62">
        <f ca="1"/>
        <v>0.74542962280673664</v>
      </c>
      <c r="AI279" s="37"/>
      <c r="AJ279" s="61">
        <f t="shared" ca="1" si="23"/>
        <v>-0.14481138721823208</v>
      </c>
      <c r="AK279" s="61">
        <f t="shared" ca="1" si="23"/>
        <v>-1.2385547273157378</v>
      </c>
      <c r="AL279" s="61">
        <f t="shared" ca="1" si="23"/>
        <v>0.53979748178892739</v>
      </c>
      <c r="AM279" s="61">
        <f t="shared" ca="1" si="23"/>
        <v>-0.57183665375334247</v>
      </c>
      <c r="AN279" s="37"/>
      <c r="AO279" s="62">
        <f t="array" aca="1" ref="AO279:AR279" ca="1">TRANSPOSE($B$17:$B$20 + MMULT($D$17:$G$20,TRANSPOSE(AO278:AR278)) + MMULT($N$17:$Q$20,TRANSPOSE(AJ279:AM279)))</f>
        <v>0.40890221842247615</v>
      </c>
      <c r="AP279" s="62">
        <f ca="1"/>
        <v>-0.18495492855090212</v>
      </c>
      <c r="AQ279" s="62">
        <f ca="1"/>
        <v>0.73895693378525862</v>
      </c>
      <c r="AR279" s="62">
        <f ca="1"/>
        <v>0.6844573676839576</v>
      </c>
    </row>
    <row r="280" spans="25:44" x14ac:dyDescent="0.15">
      <c r="Y280" s="8">
        <f t="shared" si="24"/>
        <v>277</v>
      </c>
      <c r="Z280" s="61">
        <f t="shared" ca="1" si="22"/>
        <v>9.4628292993964677E-2</v>
      </c>
      <c r="AA280" s="61">
        <f t="shared" ca="1" si="22"/>
        <v>1.5402819611935339</v>
      </c>
      <c r="AB280" s="61">
        <f t="shared" ca="1" si="22"/>
        <v>0.91519724913467471</v>
      </c>
      <c r="AC280" s="61">
        <f t="shared" ca="1" si="22"/>
        <v>1.2386936735357765</v>
      </c>
      <c r="AD280" s="37"/>
      <c r="AE280" s="62">
        <f t="array" aca="1" ref="AE280:AH280" ca="1">TRANSPOSE($B$9:$B$12 + MMULT($D$9:$G$12,TRANSPOSE(AO280:AR280)) + MMULT($N$9:$Q$12, TRANSPOSE(Z280:AC280)))</f>
        <v>1.0126048564184644</v>
      </c>
      <c r="AF280" s="62">
        <f ca="1"/>
        <v>0.63679450816892169</v>
      </c>
      <c r="AG280" s="62">
        <f ca="1"/>
        <v>0.99614685693732774</v>
      </c>
      <c r="AH280" s="62">
        <f ca="1"/>
        <v>0.66301584101781263</v>
      </c>
      <c r="AI280" s="37"/>
      <c r="AJ280" s="61">
        <f t="shared" ca="1" si="23"/>
        <v>3.7330225049400922E-2</v>
      </c>
      <c r="AK280" s="61">
        <f t="shared" ca="1" si="23"/>
        <v>-0.99262160893579388</v>
      </c>
      <c r="AL280" s="61">
        <f t="shared" ca="1" si="23"/>
        <v>0.51241468622314834</v>
      </c>
      <c r="AM280" s="61">
        <f t="shared" ca="1" si="23"/>
        <v>-2.0186717853857559</v>
      </c>
      <c r="AN280" s="37"/>
      <c r="AO280" s="62">
        <f t="array" aca="1" ref="AO280:AR280" ca="1">TRANSPOSE($B$17:$B$20 + MMULT($D$17:$G$20,TRANSPOSE(AO279:AR279)) + MMULT($N$17:$Q$20,TRANSPOSE(AJ280:AM280)))</f>
        <v>0.52267242813643333</v>
      </c>
      <c r="AP280" s="62">
        <f ca="1"/>
        <v>-0.12205988959970054</v>
      </c>
      <c r="AQ280" s="62">
        <f ca="1"/>
        <v>0.69125090758125252</v>
      </c>
      <c r="AR280" s="62">
        <f ca="1"/>
        <v>0.38515108300600065</v>
      </c>
    </row>
    <row r="281" spans="25:44" x14ac:dyDescent="0.15">
      <c r="Y281" s="8">
        <f t="shared" si="24"/>
        <v>278</v>
      </c>
      <c r="Z281" s="61">
        <f t="shared" ca="1" si="22"/>
        <v>-1.4967727664809052E-2</v>
      </c>
      <c r="AA281" s="61">
        <f t="shared" ca="1" si="22"/>
        <v>-1.5864485307063765</v>
      </c>
      <c r="AB281" s="61">
        <f t="shared" ca="1" si="22"/>
        <v>0.52797746653677313</v>
      </c>
      <c r="AC281" s="61">
        <f t="shared" ca="1" si="22"/>
        <v>0.38471240817855368</v>
      </c>
      <c r="AD281" s="37"/>
      <c r="AE281" s="62">
        <f t="array" aca="1" ref="AE281:AH281" ca="1">TRANSPOSE($B$9:$B$12 + MMULT($D$9:$G$12,TRANSPOSE(AO281:AR281)) + MMULT($N$9:$Q$12, TRANSPOSE(Z281:AC281)))</f>
        <v>1.1103030210419154</v>
      </c>
      <c r="AF281" s="62">
        <f ca="1"/>
        <v>-0.34950639875210132</v>
      </c>
      <c r="AG281" s="62">
        <f ca="1"/>
        <v>0.88252405323301419</v>
      </c>
      <c r="AH281" s="62">
        <f ca="1"/>
        <v>1.3297994635968553</v>
      </c>
      <c r="AI281" s="37"/>
      <c r="AJ281" s="61">
        <f t="shared" ca="1" si="23"/>
        <v>-0.37810039904569331</v>
      </c>
      <c r="AK281" s="61">
        <f t="shared" ca="1" si="23"/>
        <v>-9.8353350373173252E-3</v>
      </c>
      <c r="AL281" s="61">
        <f t="shared" ca="1" si="23"/>
        <v>2.1763382644880229</v>
      </c>
      <c r="AM281" s="61">
        <f t="shared" ca="1" si="23"/>
        <v>-0.1031332006233959</v>
      </c>
      <c r="AN281" s="37"/>
      <c r="AO281" s="62">
        <f t="array" aca="1" ref="AO281:AR281" ca="1">TRANSPOSE($B$17:$B$20 + MMULT($D$17:$G$20,TRANSPOSE(AO280:AR280)) + MMULT($N$17:$Q$20,TRANSPOSE(AJ281:AM281)))</f>
        <v>0.39556064104360755</v>
      </c>
      <c r="AP281" s="62">
        <f ca="1"/>
        <v>0.2938466239758501</v>
      </c>
      <c r="AQ281" s="62">
        <f ca="1"/>
        <v>1.2424731533681588</v>
      </c>
      <c r="AR281" s="62">
        <f ca="1"/>
        <v>0.71864691294202609</v>
      </c>
    </row>
    <row r="282" spans="25:44" x14ac:dyDescent="0.15">
      <c r="Y282" s="8">
        <f t="shared" si="24"/>
        <v>279</v>
      </c>
      <c r="Z282" s="61">
        <f t="shared" ca="1" si="22"/>
        <v>-0.46215801484783003</v>
      </c>
      <c r="AA282" s="61">
        <f t="shared" ca="1" si="22"/>
        <v>0.30229194935898424</v>
      </c>
      <c r="AB282" s="61">
        <f t="shared" ca="1" si="22"/>
        <v>-3.1723755513615053E-2</v>
      </c>
      <c r="AC282" s="61">
        <f t="shared" ca="1" si="22"/>
        <v>0.63949090433380684</v>
      </c>
      <c r="AD282" s="37"/>
      <c r="AE282" s="62">
        <f t="array" aca="1" ref="AE282:AH282" ca="1">TRANSPOSE($B$9:$B$12 + MMULT($D$9:$G$12,TRANSPOSE(AO282:AR282)) + MMULT($N$9:$Q$12, TRANSPOSE(Z282:AC282)))</f>
        <v>0.72129915291718061</v>
      </c>
      <c r="AF282" s="62">
        <f ca="1"/>
        <v>0.42498259059250443</v>
      </c>
      <c r="AG282" s="62">
        <f ca="1"/>
        <v>0.65540020408481636</v>
      </c>
      <c r="AH282" s="62">
        <f ca="1"/>
        <v>1.364809152569562</v>
      </c>
      <c r="AI282" s="37"/>
      <c r="AJ282" s="61">
        <f t="shared" ca="1" si="23"/>
        <v>-1.0742478942614564</v>
      </c>
      <c r="AK282" s="61">
        <f t="shared" ca="1" si="23"/>
        <v>5.2346515258426506E-2</v>
      </c>
      <c r="AL282" s="61">
        <f t="shared" ca="1" si="23"/>
        <v>1.5191801456245644</v>
      </c>
      <c r="AM282" s="61">
        <f t="shared" ca="1" si="23"/>
        <v>-0.67798966454896281</v>
      </c>
      <c r="AN282" s="37"/>
      <c r="AO282" s="62">
        <f t="array" aca="1" ref="AO282:AR282" ca="1">TRANSPOSE($B$17:$B$20 + MMULT($D$17:$G$20,TRANSPOSE(AO281:AR281)) + MMULT($N$17:$Q$20,TRANSPOSE(AJ282:AM282)))</f>
        <v>0.25570473812231009</v>
      </c>
      <c r="AP282" s="62">
        <f ca="1"/>
        <v>0.46632795341087951</v>
      </c>
      <c r="AQ282" s="62">
        <f ca="1"/>
        <v>1.1076800322921718</v>
      </c>
      <c r="AR282" s="62">
        <f ca="1"/>
        <v>0.75525141270399665</v>
      </c>
    </row>
    <row r="283" spans="25:44" x14ac:dyDescent="0.15">
      <c r="Y283" s="8">
        <f t="shared" si="24"/>
        <v>280</v>
      </c>
      <c r="Z283" s="61">
        <f t="shared" ca="1" si="22"/>
        <v>1.231238252212548</v>
      </c>
      <c r="AA283" s="61">
        <f t="shared" ca="1" si="22"/>
        <v>-0.92928851760299913</v>
      </c>
      <c r="AB283" s="61">
        <f t="shared" ca="1" si="22"/>
        <v>0.34587898491422214</v>
      </c>
      <c r="AC283" s="61">
        <f t="shared" ca="1" si="22"/>
        <v>0.75430482337614058</v>
      </c>
      <c r="AD283" s="37"/>
      <c r="AE283" s="62">
        <f t="array" aca="1" ref="AE283:AH283" ca="1">TRANSPOSE($B$9:$B$12 + MMULT($D$9:$G$12,TRANSPOSE(AO283:AR283)) + MMULT($N$9:$Q$12, TRANSPOSE(Z283:AC283)))</f>
        <v>1.311725836791946</v>
      </c>
      <c r="AF283" s="62">
        <f ca="1"/>
        <v>0.73156730420910132</v>
      </c>
      <c r="AG283" s="62">
        <f ca="1"/>
        <v>0.4785789613471314</v>
      </c>
      <c r="AH283" s="62">
        <f ca="1"/>
        <v>1.6175797808521937</v>
      </c>
      <c r="AI283" s="37"/>
      <c r="AJ283" s="61">
        <f t="shared" ca="1" si="23"/>
        <v>-0.82593439196990392</v>
      </c>
      <c r="AK283" s="61">
        <f t="shared" ca="1" si="23"/>
        <v>1.0334928185992018</v>
      </c>
      <c r="AL283" s="61">
        <f t="shared" ca="1" si="23"/>
        <v>1.4048619385255079</v>
      </c>
      <c r="AM283" s="61">
        <f t="shared" ca="1" si="23"/>
        <v>0.71121537413273495</v>
      </c>
      <c r="AN283" s="37"/>
      <c r="AO283" s="62">
        <f t="array" aca="1" ref="AO283:AR283" ca="1">TRANSPOSE($B$17:$B$20 + MMULT($D$17:$G$20,TRANSPOSE(AO282:AR282)) + MMULT($N$17:$Q$20,TRANSPOSE(AJ283:AM283)))</f>
        <v>0.29692935581723945</v>
      </c>
      <c r="AP283" s="62">
        <f ca="1"/>
        <v>0.87644788726203404</v>
      </c>
      <c r="AQ283" s="62">
        <f ca="1"/>
        <v>0.99313095031357501</v>
      </c>
      <c r="AR283" s="62">
        <f ca="1"/>
        <v>0.89559396028496063</v>
      </c>
    </row>
    <row r="284" spans="25:44" x14ac:dyDescent="0.15">
      <c r="Y284" s="8">
        <f t="shared" si="24"/>
        <v>281</v>
      </c>
      <c r="Z284" s="61">
        <f t="shared" ca="1" si="22"/>
        <v>-0.219693824551177</v>
      </c>
      <c r="AA284" s="61">
        <f t="shared" ca="1" si="22"/>
        <v>-0.77636624338540727</v>
      </c>
      <c r="AB284" s="61">
        <f t="shared" ca="1" si="22"/>
        <v>4.2497664557470463E-2</v>
      </c>
      <c r="AC284" s="61">
        <f t="shared" ca="1" si="22"/>
        <v>-0.66353871970184064</v>
      </c>
      <c r="AD284" s="37"/>
      <c r="AE284" s="62">
        <f t="array" aca="1" ref="AE284:AH284" ca="1">TRANSPOSE($B$9:$B$12 + MMULT($D$9:$G$12,TRANSPOSE(AO284:AR284)) + MMULT($N$9:$Q$12, TRANSPOSE(Z284:AC284)))</f>
        <v>1.5666056480452675</v>
      </c>
      <c r="AF284" s="62">
        <f ca="1"/>
        <v>0.86380468988619064</v>
      </c>
      <c r="AG284" s="62">
        <f ca="1"/>
        <v>0.77005406530356735</v>
      </c>
      <c r="AH284" s="62">
        <f ca="1"/>
        <v>0.78048999704818722</v>
      </c>
      <c r="AI284" s="37"/>
      <c r="AJ284" s="61">
        <f t="shared" ca="1" si="23"/>
        <v>2.0516910126038037</v>
      </c>
      <c r="AK284" s="61">
        <f t="shared" ca="1" si="23"/>
        <v>0.85394153903917835</v>
      </c>
      <c r="AL284" s="61">
        <f t="shared" ca="1" si="23"/>
        <v>0.16035499501240327</v>
      </c>
      <c r="AM284" s="61">
        <f t="shared" ca="1" si="23"/>
        <v>-1.3337677764156459</v>
      </c>
      <c r="AN284" s="37"/>
      <c r="AO284" s="62">
        <f t="array" aca="1" ref="AO284:AR284" ca="1">TRANSPOSE($B$17:$B$20 + MMULT($D$17:$G$20,TRANSPOSE(AO283:AR283)) + MMULT($N$17:$Q$20,TRANSPOSE(AJ284:AM284)))</f>
        <v>1.2954448288591061</v>
      </c>
      <c r="AP284" s="62">
        <f ca="1"/>
        <v>0.96983366894727641</v>
      </c>
      <c r="AQ284" s="62">
        <f ca="1"/>
        <v>1.1084946715023813</v>
      </c>
      <c r="AR284" s="62">
        <f ca="1"/>
        <v>0.6564464585761165</v>
      </c>
    </row>
    <row r="285" spans="25:44" x14ac:dyDescent="0.15">
      <c r="Y285" s="8">
        <f t="shared" si="24"/>
        <v>282</v>
      </c>
      <c r="Z285" s="61">
        <f t="shared" ca="1" si="22"/>
        <v>0.44864032350780719</v>
      </c>
      <c r="AA285" s="61">
        <f t="shared" ca="1" si="22"/>
        <v>1.630076282345474</v>
      </c>
      <c r="AB285" s="61">
        <f t="shared" ca="1" si="22"/>
        <v>0.85274841061265139</v>
      </c>
      <c r="AC285" s="61">
        <f t="shared" ca="1" si="22"/>
        <v>-0.56936692539329103</v>
      </c>
      <c r="AD285" s="37"/>
      <c r="AE285" s="62">
        <f t="array" aca="1" ref="AE285:AH285" ca="1">TRANSPOSE($B$9:$B$12 + MMULT($D$9:$G$12,TRANSPOSE(AO285:AR285)) + MMULT($N$9:$Q$12, TRANSPOSE(Z285:AC285)))</f>
        <v>1.1573480967282608</v>
      </c>
      <c r="AF285" s="62">
        <f ca="1"/>
        <v>1.6737895098441247</v>
      </c>
      <c r="AG285" s="62">
        <f ca="1"/>
        <v>1.1929170371086237</v>
      </c>
      <c r="AH285" s="62">
        <f ca="1"/>
        <v>0.81898479673504787</v>
      </c>
      <c r="AI285" s="37"/>
      <c r="AJ285" s="61">
        <f t="shared" ca="1" si="23"/>
        <v>-0.3861600256296997</v>
      </c>
      <c r="AK285" s="61">
        <f t="shared" ca="1" si="23"/>
        <v>-0.42648458405626716</v>
      </c>
      <c r="AL285" s="61">
        <f t="shared" ca="1" si="23"/>
        <v>-0.31769666330219137</v>
      </c>
      <c r="AM285" s="61">
        <f t="shared" ca="1" si="23"/>
        <v>0.31971619734274714</v>
      </c>
      <c r="AN285" s="37"/>
      <c r="AO285" s="62">
        <f t="array" aca="1" ref="AO285:AR285" ca="1">TRANSPOSE($B$17:$B$20 + MMULT($D$17:$G$20,TRANSPOSE(AO284:AR284)) + MMULT($N$17:$Q$20,TRANSPOSE(AJ285:AM285)))</f>
        <v>0.74810922492325416</v>
      </c>
      <c r="AP285" s="62">
        <f ca="1"/>
        <v>0.73385190236617637</v>
      </c>
      <c r="AQ285" s="62">
        <f ca="1"/>
        <v>0.79635847480121069</v>
      </c>
      <c r="AR285" s="62">
        <f ca="1"/>
        <v>1.0297597376672294</v>
      </c>
    </row>
    <row r="286" spans="25:44" x14ac:dyDescent="0.15">
      <c r="Y286" s="8">
        <f t="shared" si="24"/>
        <v>283</v>
      </c>
      <c r="Z286" s="61">
        <f t="shared" ca="1" si="22"/>
        <v>0.74998542501430387</v>
      </c>
      <c r="AA286" s="61">
        <f t="shared" ca="1" si="22"/>
        <v>-1.1128590644036971</v>
      </c>
      <c r="AB286" s="61">
        <f t="shared" ca="1" si="22"/>
        <v>2.1191476620327117E-3</v>
      </c>
      <c r="AC286" s="61">
        <f t="shared" ca="1" si="22"/>
        <v>0.89086965898636117</v>
      </c>
      <c r="AD286" s="37"/>
      <c r="AE286" s="62">
        <f t="array" aca="1" ref="AE286:AH286" ca="1">TRANSPOSE($B$9:$B$12 + MMULT($D$9:$G$12,TRANSPOSE(AO286:AR286)) + MMULT($N$9:$Q$12, TRANSPOSE(Z286:AC286)))</f>
        <v>1.3424600833384752</v>
      </c>
      <c r="AF286" s="62">
        <f ca="1"/>
        <v>0.23254829458786858</v>
      </c>
      <c r="AG286" s="62">
        <f ca="1"/>
        <v>0.49186747625119359</v>
      </c>
      <c r="AH286" s="62">
        <f ca="1"/>
        <v>1.5028007763893365</v>
      </c>
      <c r="AI286" s="37"/>
      <c r="AJ286" s="61">
        <f t="shared" ca="1" si="23"/>
        <v>-0.78486239519592205</v>
      </c>
      <c r="AK286" s="61">
        <f t="shared" ca="1" si="23"/>
        <v>-0.43718255383342292</v>
      </c>
      <c r="AL286" s="61">
        <f t="shared" ca="1" si="23"/>
        <v>1.0516675132612359</v>
      </c>
      <c r="AM286" s="61">
        <f t="shared" ca="1" si="23"/>
        <v>-1.0072018509475154</v>
      </c>
      <c r="AN286" s="37"/>
      <c r="AO286" s="62">
        <f t="array" aca="1" ref="AO286:AR286" ca="1">TRANSPOSE($B$17:$B$20 + MMULT($D$17:$G$20,TRANSPOSE(AO285:AR285)) + MMULT($N$17:$Q$20,TRANSPOSE(AJ286:AM286)))</f>
        <v>0.42579579279264007</v>
      </c>
      <c r="AP286" s="62">
        <f ca="1"/>
        <v>0.51135807541776479</v>
      </c>
      <c r="AQ286" s="62">
        <f ca="1"/>
        <v>1.1160715243962784</v>
      </c>
      <c r="AR286" s="62">
        <f ca="1"/>
        <v>0.75978875614749719</v>
      </c>
    </row>
    <row r="287" spans="25:44" x14ac:dyDescent="0.15">
      <c r="Y287" s="8">
        <f t="shared" si="24"/>
        <v>284</v>
      </c>
      <c r="Z287" s="61">
        <f t="shared" ca="1" si="22"/>
        <v>-2.1269271565603538</v>
      </c>
      <c r="AA287" s="61">
        <f t="shared" ca="1" si="22"/>
        <v>-1.1012159450544412</v>
      </c>
      <c r="AB287" s="61">
        <f t="shared" ca="1" si="22"/>
        <v>-1.0123101905855054</v>
      </c>
      <c r="AC287" s="61">
        <f t="shared" ca="1" si="22"/>
        <v>-2.0264260875296798</v>
      </c>
      <c r="AD287" s="37"/>
      <c r="AE287" s="62">
        <f t="array" aca="1" ref="AE287:AH287" ca="1">TRANSPOSE($B$9:$B$12 + MMULT($D$9:$G$12,TRANSPOSE(AO287:AR287)) + MMULT($N$9:$Q$12, TRANSPOSE(Z287:AC287)))</f>
        <v>0.14518130810776164</v>
      </c>
      <c r="AF287" s="62">
        <f ca="1"/>
        <v>-0.22663094889681712</v>
      </c>
      <c r="AG287" s="62">
        <f ca="1"/>
        <v>0.68473477998393939</v>
      </c>
      <c r="AH287" s="62">
        <f ca="1"/>
        <v>0.85935886495370295</v>
      </c>
      <c r="AI287" s="37"/>
      <c r="AJ287" s="61">
        <f t="shared" ca="1" si="23"/>
        <v>-0.57238379363936909</v>
      </c>
      <c r="AK287" s="61">
        <f t="shared" ca="1" si="23"/>
        <v>0.30441870591006454</v>
      </c>
      <c r="AL287" s="61">
        <f t="shared" ca="1" si="23"/>
        <v>1.3852501841414073</v>
      </c>
      <c r="AM287" s="61">
        <f t="shared" ca="1" si="23"/>
        <v>-3.6084940015158572E-2</v>
      </c>
      <c r="AN287" s="37"/>
      <c r="AO287" s="62">
        <f t="array" aca="1" ref="AO287:AR287" ca="1">TRANSPOSE($B$17:$B$20 + MMULT($D$17:$G$20,TRANSPOSE(AO286:AR286)) + MMULT($N$17:$Q$20,TRANSPOSE(AJ287:AM287)))</f>
        <v>0.43140012373600889</v>
      </c>
      <c r="AP287" s="62">
        <f ca="1"/>
        <v>0.64272878534527811</v>
      </c>
      <c r="AQ287" s="62">
        <f ca="1"/>
        <v>1.157696053280254</v>
      </c>
      <c r="AR287" s="62">
        <f ca="1"/>
        <v>0.89779639625664065</v>
      </c>
    </row>
    <row r="288" spans="25:44" x14ac:dyDescent="0.15">
      <c r="Y288" s="8">
        <f t="shared" si="24"/>
        <v>285</v>
      </c>
      <c r="Z288" s="61">
        <f t="shared" ca="1" si="22"/>
        <v>-1.084736120575591</v>
      </c>
      <c r="AA288" s="61">
        <f t="shared" ca="1" si="22"/>
        <v>1.2656771069881543</v>
      </c>
      <c r="AB288" s="61">
        <f t="shared" ca="1" si="22"/>
        <v>-0.96725518341533456</v>
      </c>
      <c r="AC288" s="61">
        <f t="shared" ca="1" si="22"/>
        <v>0.66754307975781846</v>
      </c>
      <c r="AD288" s="37"/>
      <c r="AE288" s="62">
        <f t="array" aca="1" ref="AE288:AH288" ca="1">TRANSPOSE($B$9:$B$12 + MMULT($D$9:$G$12,TRANSPOSE(AO288:AR288)) + MMULT($N$9:$Q$12, TRANSPOSE(Z288:AC288)))</f>
        <v>0.23593701580078807</v>
      </c>
      <c r="AF288" s="62">
        <f ca="1"/>
        <v>0.95016069975361983</v>
      </c>
      <c r="AG288" s="62">
        <f ca="1"/>
        <v>0.8668463946003846</v>
      </c>
      <c r="AH288" s="62">
        <f ca="1"/>
        <v>0.6861063431313762</v>
      </c>
      <c r="AI288" s="37"/>
      <c r="AJ288" s="61">
        <f t="shared" ca="1" si="23"/>
        <v>0.11716732179921417</v>
      </c>
      <c r="AK288" s="61">
        <f t="shared" ca="1" si="23"/>
        <v>-0.58828696372274258</v>
      </c>
      <c r="AL288" s="61">
        <f t="shared" ca="1" si="23"/>
        <v>-1.0931410822807766</v>
      </c>
      <c r="AM288" s="61">
        <f t="shared" ca="1" si="23"/>
        <v>0.2180783485915917</v>
      </c>
      <c r="AN288" s="37"/>
      <c r="AO288" s="62">
        <f t="array" aca="1" ref="AO288:AR288" ca="1">TRANSPOSE($B$17:$B$20 + MMULT($D$17:$G$20,TRANSPOSE(AO287:AR287)) + MMULT($N$17:$Q$20,TRANSPOSE(AJ288:AM288)))</f>
        <v>0.68720876117438712</v>
      </c>
      <c r="AP288" s="62">
        <f ca="1"/>
        <v>0.33477357832080534</v>
      </c>
      <c r="AQ288" s="62">
        <f ca="1"/>
        <v>0.35519248564754247</v>
      </c>
      <c r="AR288" s="62">
        <f ca="1"/>
        <v>0.99000354394009538</v>
      </c>
    </row>
    <row r="289" spans="25:44" x14ac:dyDescent="0.15">
      <c r="Y289" s="8">
        <f t="shared" si="24"/>
        <v>286</v>
      </c>
      <c r="Z289" s="61">
        <f t="shared" ca="1" si="22"/>
        <v>5.89732488691058E-2</v>
      </c>
      <c r="AA289" s="61">
        <f t="shared" ca="1" si="22"/>
        <v>0.97539202650762014</v>
      </c>
      <c r="AB289" s="61">
        <f t="shared" ca="1" si="22"/>
        <v>-1.3139017733221741</v>
      </c>
      <c r="AC289" s="61">
        <f t="shared" ca="1" si="22"/>
        <v>-0.64030030145398897</v>
      </c>
      <c r="AD289" s="37"/>
      <c r="AE289" s="62">
        <f t="array" aca="1" ref="AE289:AH289" ca="1">TRANSPOSE($B$9:$B$12 + MMULT($D$9:$G$12,TRANSPOSE(AO289:AR289)) + MMULT($N$9:$Q$12, TRANSPOSE(Z289:AC289)))</f>
        <v>0.93927079703605376</v>
      </c>
      <c r="AF289" s="62">
        <f ca="1"/>
        <v>1.3365324921971991</v>
      </c>
      <c r="AG289" s="62">
        <f ca="1"/>
        <v>0.5546250545941559</v>
      </c>
      <c r="AH289" s="62">
        <f ca="1"/>
        <v>0.55709998324674559</v>
      </c>
      <c r="AI289" s="37"/>
      <c r="AJ289" s="61">
        <f t="shared" ca="1" si="23"/>
        <v>1.1334092648929246</v>
      </c>
      <c r="AK289" s="61">
        <f t="shared" ca="1" si="23"/>
        <v>-4.4766461647623948E-2</v>
      </c>
      <c r="AL289" s="61">
        <f t="shared" ca="1" si="23"/>
        <v>-0.54543112947720529</v>
      </c>
      <c r="AM289" s="61">
        <f t="shared" ca="1" si="23"/>
        <v>1.292777790865502</v>
      </c>
      <c r="AN289" s="37"/>
      <c r="AO289" s="62">
        <f t="array" aca="1" ref="AO289:AR289" ca="1">TRANSPOSE($B$17:$B$20 + MMULT($D$17:$G$20,TRANSPOSE(AO288:AR288)) + MMULT($N$17:$Q$20,TRANSPOSE(AJ289:AM289)))</f>
        <v>0.95954867748479267</v>
      </c>
      <c r="AP289" s="62">
        <f ca="1"/>
        <v>0.53794541013563524</v>
      </c>
      <c r="AQ289" s="62">
        <f ca="1"/>
        <v>0.44964581242167978</v>
      </c>
      <c r="AR289" s="62">
        <f ca="1"/>
        <v>1.0269294767602331</v>
      </c>
    </row>
    <row r="290" spans="25:44" x14ac:dyDescent="0.15">
      <c r="Y290" s="8">
        <f t="shared" si="24"/>
        <v>287</v>
      </c>
      <c r="Z290" s="61">
        <f t="shared" ca="1" si="22"/>
        <v>-0.14471059877746084</v>
      </c>
      <c r="AA290" s="61">
        <f t="shared" ca="1" si="22"/>
        <v>-5.7758700716321623E-2</v>
      </c>
      <c r="AB290" s="61">
        <f t="shared" ca="1" si="22"/>
        <v>-0.97438849781339598</v>
      </c>
      <c r="AC290" s="61">
        <f t="shared" ca="1" si="22"/>
        <v>-2.1168945650424917</v>
      </c>
      <c r="AD290" s="37"/>
      <c r="AE290" s="62">
        <f t="array" aca="1" ref="AE290:AH290" ca="1">TRANSPOSE($B$9:$B$12 + MMULT($D$9:$G$12,TRANSPOSE(AO290:AR290)) + MMULT($N$9:$Q$12, TRANSPOSE(Z290:AC290)))</f>
        <v>1.0579171013498925</v>
      </c>
      <c r="AF290" s="62">
        <f ca="1"/>
        <v>1.23219234789819</v>
      </c>
      <c r="AG290" s="62">
        <f ca="1"/>
        <v>-1.1334731660940511E-2</v>
      </c>
      <c r="AH290" s="62">
        <f ca="1"/>
        <v>0.52660648467934079</v>
      </c>
      <c r="AI290" s="37"/>
      <c r="AJ290" s="61">
        <f t="shared" ca="1" si="23"/>
        <v>0.37964321076455387</v>
      </c>
      <c r="AK290" s="61">
        <f t="shared" ca="1" si="23"/>
        <v>1.1608217859731176</v>
      </c>
      <c r="AL290" s="61">
        <f t="shared" ca="1" si="23"/>
        <v>0.50426758200229738</v>
      </c>
      <c r="AM290" s="61">
        <f t="shared" ca="1" si="23"/>
        <v>-0.34591807744922282</v>
      </c>
      <c r="AN290" s="37"/>
      <c r="AO290" s="62">
        <f t="array" aca="1" ref="AO290:AR290" ca="1">TRANSPOSE($B$17:$B$20 + MMULT($D$17:$G$20,TRANSPOSE(AO289:AR289)) + MMULT($N$17:$Q$20,TRANSPOSE(AJ290:AM290)))</f>
        <v>0.80739611359307384</v>
      </c>
      <c r="AP290" s="62">
        <f ca="1"/>
        <v>1.1936000986948461</v>
      </c>
      <c r="AQ290" s="62">
        <f ca="1"/>
        <v>0.77404843758914721</v>
      </c>
      <c r="AR290" s="62">
        <f ca="1"/>
        <v>0.53605156757789618</v>
      </c>
    </row>
    <row r="291" spans="25:44" x14ac:dyDescent="0.15">
      <c r="Y291" s="8">
        <f t="shared" si="24"/>
        <v>288</v>
      </c>
      <c r="Z291" s="61">
        <f t="shared" ca="1" si="22"/>
        <v>3.953130590823075E-2</v>
      </c>
      <c r="AA291" s="61">
        <f t="shared" ca="1" si="22"/>
        <v>-1.5284367316256877</v>
      </c>
      <c r="AB291" s="61">
        <f t="shared" ca="1" si="22"/>
        <v>0.90691169120636228</v>
      </c>
      <c r="AC291" s="61">
        <f t="shared" ca="1" si="22"/>
        <v>0.76873018196331899</v>
      </c>
      <c r="AD291" s="37"/>
      <c r="AE291" s="62">
        <f t="array" aca="1" ref="AE291:AH291" ca="1">TRANSPOSE($B$9:$B$12 + MMULT($D$9:$G$12,TRANSPOSE(AO291:AR291)) + MMULT($N$9:$Q$12, TRANSPOSE(Z291:AC291)))</f>
        <v>1.3835418011443801</v>
      </c>
      <c r="AF291" s="62">
        <f ca="1"/>
        <v>-0.13820899063544528</v>
      </c>
      <c r="AG291" s="62">
        <f ca="1"/>
        <v>1.7963268641062773</v>
      </c>
      <c r="AH291" s="62">
        <f ca="1"/>
        <v>1.3398089999424607</v>
      </c>
      <c r="AI291" s="37"/>
      <c r="AJ291" s="61">
        <f t="shared" ca="1" si="23"/>
        <v>0.73125800153348608</v>
      </c>
      <c r="AK291" s="61">
        <f t="shared" ca="1" si="23"/>
        <v>-1.5411264702563505</v>
      </c>
      <c r="AL291" s="61">
        <f t="shared" ca="1" si="23"/>
        <v>0.17525172596480049</v>
      </c>
      <c r="AM291" s="61">
        <f t="shared" ca="1" si="23"/>
        <v>0.44929298371672305</v>
      </c>
      <c r="AN291" s="37"/>
      <c r="AO291" s="62">
        <f t="array" aca="1" ref="AO291:AR291" ca="1">TRANSPOSE($B$17:$B$20 + MMULT($D$17:$G$20,TRANSPOSE(AO290:AR290)) + MMULT($N$17:$Q$20,TRANSPOSE(AJ291:AM291)))</f>
        <v>0.95737388850945615</v>
      </c>
      <c r="AP291" s="62">
        <f ca="1"/>
        <v>0.13031156400897237</v>
      </c>
      <c r="AQ291" s="62">
        <f ca="1"/>
        <v>1.2529119736492047</v>
      </c>
      <c r="AR291" s="62">
        <f ca="1"/>
        <v>1.3035919661523161</v>
      </c>
    </row>
    <row r="292" spans="25:44" x14ac:dyDescent="0.15">
      <c r="Y292" s="8">
        <f t="shared" si="24"/>
        <v>289</v>
      </c>
      <c r="Z292" s="61">
        <f t="shared" ca="1" si="22"/>
        <v>-0.49943271897706165</v>
      </c>
      <c r="AA292" s="61">
        <f t="shared" ca="1" si="22"/>
        <v>-0.6161605559083092</v>
      </c>
      <c r="AB292" s="61">
        <f t="shared" ca="1" si="22"/>
        <v>0.60866446977868205</v>
      </c>
      <c r="AC292" s="61">
        <f t="shared" ca="1" si="22"/>
        <v>1.6260949988334139</v>
      </c>
      <c r="AD292" s="37"/>
      <c r="AE292" s="62">
        <f t="array" aca="1" ref="AE292:AH292" ca="1">TRANSPOSE($B$9:$B$12 + MMULT($D$9:$G$12,TRANSPOSE(AO292:AR292)) + MMULT($N$9:$Q$12, TRANSPOSE(Z292:AC292)))</f>
        <v>0.48668941121972342</v>
      </c>
      <c r="AF292" s="62">
        <f ca="1"/>
        <v>0.74720193633220711</v>
      </c>
      <c r="AG292" s="62">
        <f ca="1"/>
        <v>1.1729444656693946</v>
      </c>
      <c r="AH292" s="62">
        <f ca="1"/>
        <v>0.89138361189636717</v>
      </c>
      <c r="AI292" s="37"/>
      <c r="AJ292" s="61">
        <f t="shared" ca="1" si="23"/>
        <v>-0.11752761750176026</v>
      </c>
      <c r="AK292" s="61">
        <f t="shared" ca="1" si="23"/>
        <v>0.21142764086076876</v>
      </c>
      <c r="AL292" s="61">
        <f t="shared" ca="1" si="23"/>
        <v>-0.83559160151185397</v>
      </c>
      <c r="AM292" s="61">
        <f t="shared" ca="1" si="23"/>
        <v>-3.5314462207032028E-2</v>
      </c>
      <c r="AN292" s="37"/>
      <c r="AO292" s="62">
        <f t="array" aca="1" ref="AO292:AR292" ca="1">TRANSPOSE($B$17:$B$20 + MMULT($D$17:$G$20,TRANSPOSE(AO291:AR291)) + MMULT($N$17:$Q$20,TRANSPOSE(AJ292:AM292)))</f>
        <v>0.74257304052646078</v>
      </c>
      <c r="AP292" s="62">
        <f ca="1"/>
        <v>0.77894255628401399</v>
      </c>
      <c r="AQ292" s="62">
        <f ca="1"/>
        <v>0.29340055631951939</v>
      </c>
      <c r="AR292" s="62">
        <f ca="1"/>
        <v>0.87175584640792858</v>
      </c>
    </row>
    <row r="293" spans="25:44" x14ac:dyDescent="0.15">
      <c r="Y293" s="8">
        <f t="shared" si="24"/>
        <v>290</v>
      </c>
      <c r="Z293" s="61">
        <f t="shared" ca="1" si="22"/>
        <v>1.288938359902341</v>
      </c>
      <c r="AA293" s="61">
        <f t="shared" ca="1" si="22"/>
        <v>0.31249914533132239</v>
      </c>
      <c r="AB293" s="61">
        <f t="shared" ca="1" si="22"/>
        <v>0.2613764216750426</v>
      </c>
      <c r="AC293" s="61">
        <f t="shared" ca="1" si="22"/>
        <v>-0.66753369836843357</v>
      </c>
      <c r="AD293" s="37"/>
      <c r="AE293" s="62">
        <f t="array" aca="1" ref="AE293:AH293" ca="1">TRANSPOSE($B$9:$B$12 + MMULT($D$9:$G$12,TRANSPOSE(AO293:AR293)) + MMULT($N$9:$Q$12, TRANSPOSE(Z293:AC293)))</f>
        <v>1.0280049176573904</v>
      </c>
      <c r="AF293" s="62">
        <f ca="1"/>
        <v>1.2063816975869694</v>
      </c>
      <c r="AG293" s="62">
        <f ca="1"/>
        <v>0.82456119336310341</v>
      </c>
      <c r="AH293" s="62">
        <f ca="1"/>
        <v>-4.3194951166268009E-2</v>
      </c>
      <c r="AI293" s="37"/>
      <c r="AJ293" s="61">
        <f t="shared" ca="1" si="23"/>
        <v>0.62647423117841672</v>
      </c>
      <c r="AK293" s="61">
        <f t="shared" ca="1" si="23"/>
        <v>-0.80720221476848308</v>
      </c>
      <c r="AL293" s="61">
        <f t="shared" ca="1" si="23"/>
        <v>-2.2932463609991673</v>
      </c>
      <c r="AM293" s="61">
        <f t="shared" ca="1" si="23"/>
        <v>0.45115841734266854</v>
      </c>
      <c r="AN293" s="37"/>
      <c r="AO293" s="62">
        <f t="array" aca="1" ref="AO293:AR293" ca="1">TRANSPOSE($B$17:$B$20 + MMULT($D$17:$G$20,TRANSPOSE(AO292:AR292)) + MMULT($N$17:$Q$20,TRANSPOSE(AJ293:AM293)))</f>
        <v>0.82043977398697576</v>
      </c>
      <c r="AP293" s="62">
        <f ca="1"/>
        <v>0.32324039765108903</v>
      </c>
      <c r="AQ293" s="62">
        <f ca="1"/>
        <v>-0.19400777220425747</v>
      </c>
      <c r="AR293" s="62">
        <f ca="1"/>
        <v>0.74188695305281216</v>
      </c>
    </row>
    <row r="294" spans="25:44" x14ac:dyDescent="0.15">
      <c r="Y294" s="8">
        <f t="shared" si="24"/>
        <v>291</v>
      </c>
      <c r="Z294" s="61">
        <f t="shared" ca="1" si="22"/>
        <v>1.0429779073812055</v>
      </c>
      <c r="AA294" s="61">
        <f t="shared" ca="1" si="22"/>
        <v>-0.76360336280067276</v>
      </c>
      <c r="AB294" s="61">
        <f t="shared" ca="1" si="22"/>
        <v>2.4615835087434743E-2</v>
      </c>
      <c r="AC294" s="61">
        <f t="shared" ca="1" si="22"/>
        <v>2.5959216860141425</v>
      </c>
      <c r="AD294" s="37"/>
      <c r="AE294" s="62">
        <f t="array" aca="1" ref="AE294:AH294" ca="1">TRANSPOSE($B$9:$B$12 + MMULT($D$9:$G$12,TRANSPOSE(AO294:AR294)) + MMULT($N$9:$Q$12, TRANSPOSE(Z294:AC294)))</f>
        <v>0.76701781627052656</v>
      </c>
      <c r="AF294" s="62">
        <f ca="1"/>
        <v>0.79169602767377922</v>
      </c>
      <c r="AG294" s="62">
        <f ca="1"/>
        <v>4.6976467150678519E-2</v>
      </c>
      <c r="AH294" s="62">
        <f ca="1"/>
        <v>0.99939555532056767</v>
      </c>
      <c r="AI294" s="37"/>
      <c r="AJ294" s="61">
        <f t="shared" ca="1" si="23"/>
        <v>-0.64045706720122808</v>
      </c>
      <c r="AK294" s="61">
        <f t="shared" ca="1" si="23"/>
        <v>0.58671789868157109</v>
      </c>
      <c r="AL294" s="61">
        <f t="shared" ca="1" si="23"/>
        <v>-0.37811571647864545</v>
      </c>
      <c r="AM294" s="61">
        <f t="shared" ca="1" si="23"/>
        <v>0.53270173886021566</v>
      </c>
      <c r="AN294" s="37"/>
      <c r="AO294" s="62">
        <f t="array" aca="1" ref="AO294:AR294" ca="1">TRANSPOSE($B$17:$B$20 + MMULT($D$17:$G$20,TRANSPOSE(AO293:AR293)) + MMULT($N$17:$Q$20,TRANSPOSE(AJ294:AM294)))</f>
        <v>0.30319896651265399</v>
      </c>
      <c r="AP294" s="62">
        <f ca="1"/>
        <v>0.74778891803419034</v>
      </c>
      <c r="AQ294" s="62">
        <f ca="1"/>
        <v>-1.6043572792325322E-2</v>
      </c>
      <c r="AR294" s="62">
        <f ca="1"/>
        <v>0.32209123360379299</v>
      </c>
    </row>
    <row r="295" spans="25:44" x14ac:dyDescent="0.15">
      <c r="Y295" s="8">
        <f t="shared" si="24"/>
        <v>292</v>
      </c>
      <c r="Z295" s="61">
        <f t="shared" ca="1" si="22"/>
        <v>-4.999155483117268E-2</v>
      </c>
      <c r="AA295" s="61">
        <f t="shared" ca="1" si="22"/>
        <v>-0.94230780913057033</v>
      </c>
      <c r="AB295" s="61">
        <f t="shared" ca="1" si="22"/>
        <v>-0.3707490158758715</v>
      </c>
      <c r="AC295" s="61">
        <f t="shared" ca="1" si="22"/>
        <v>0.29820523797410831</v>
      </c>
      <c r="AD295" s="37"/>
      <c r="AE295" s="62">
        <f t="array" aca="1" ref="AE295:AH295" ca="1">TRANSPOSE($B$9:$B$12 + MMULT($D$9:$G$12,TRANSPOSE(AO295:AR295)) + MMULT($N$9:$Q$12, TRANSPOSE(Z295:AC295)))</f>
        <v>0.85994217376204252</v>
      </c>
      <c r="AF295" s="62">
        <f ca="1"/>
        <v>0.19705531676453142</v>
      </c>
      <c r="AG295" s="62">
        <f ca="1"/>
        <v>0.17853210596184566</v>
      </c>
      <c r="AH295" s="62">
        <f ca="1"/>
        <v>0.47254155759354471</v>
      </c>
      <c r="AI295" s="37"/>
      <c r="AJ295" s="61">
        <f t="shared" ca="1" si="23"/>
        <v>0.55713442038784089</v>
      </c>
      <c r="AK295" s="61">
        <f t="shared" ca="1" si="23"/>
        <v>6.3693728236650052E-2</v>
      </c>
      <c r="AL295" s="61">
        <f t="shared" ca="1" si="23"/>
        <v>-0.23730179185352196</v>
      </c>
      <c r="AM295" s="61">
        <f t="shared" ca="1" si="23"/>
        <v>-0.97663485700506947</v>
      </c>
      <c r="AN295" s="37"/>
      <c r="AO295" s="62">
        <f t="array" aca="1" ref="AO295:AR295" ca="1">TRANSPOSE($B$17:$B$20 + MMULT($D$17:$G$20,TRANSPOSE(AO294:AR294)) + MMULT($N$17:$Q$20,TRANSPOSE(AJ295:AM295)))</f>
        <v>0.6076479506289667</v>
      </c>
      <c r="AP295" s="62">
        <f ca="1"/>
        <v>0.42957469398825932</v>
      </c>
      <c r="AQ295" s="62">
        <f ca="1"/>
        <v>0.40632083619414355</v>
      </c>
      <c r="AR295" s="62">
        <f ca="1"/>
        <v>0.1867633622410699</v>
      </c>
    </row>
    <row r="296" spans="25:44" x14ac:dyDescent="0.15">
      <c r="Y296" s="8">
        <f t="shared" si="24"/>
        <v>293</v>
      </c>
      <c r="Z296" s="61">
        <f t="shared" ca="1" si="22"/>
        <v>-0.44809022700646228</v>
      </c>
      <c r="AA296" s="61">
        <f t="shared" ca="1" si="22"/>
        <v>0.4650966024093301</v>
      </c>
      <c r="AB296" s="61">
        <f t="shared" ca="1" si="22"/>
        <v>-0.23935063841789811</v>
      </c>
      <c r="AC296" s="61">
        <f t="shared" ca="1" si="22"/>
        <v>0.29281547211906034</v>
      </c>
      <c r="AD296" s="37"/>
      <c r="AE296" s="62">
        <f t="array" aca="1" ref="AE296:AH296" ca="1">TRANSPOSE($B$9:$B$12 + MMULT($D$9:$G$12,TRANSPOSE(AO296:AR296)) + MMULT($N$9:$Q$12, TRANSPOSE(Z296:AC296)))</f>
        <v>-7.3643243770900063E-2</v>
      </c>
      <c r="AF296" s="62">
        <f ca="1"/>
        <v>0.29804489236730791</v>
      </c>
      <c r="AG296" s="62">
        <f ca="1"/>
        <v>0.32735044984552442</v>
      </c>
      <c r="AH296" s="62">
        <f ca="1"/>
        <v>0.15655437008115</v>
      </c>
      <c r="AI296" s="37"/>
      <c r="AJ296" s="61">
        <f t="shared" ca="1" si="23"/>
        <v>-1.4812675318592796</v>
      </c>
      <c r="AK296" s="61">
        <f t="shared" ca="1" si="23"/>
        <v>-0.77481799517692329</v>
      </c>
      <c r="AL296" s="61">
        <f t="shared" ca="1" si="23"/>
        <v>-0.98544378837715974</v>
      </c>
      <c r="AM296" s="61">
        <f t="shared" ca="1" si="23"/>
        <v>-0.449204605580587</v>
      </c>
      <c r="AN296" s="37"/>
      <c r="AO296" s="62">
        <f t="array" aca="1" ref="AO296:AR296" ca="1">TRANSPOSE($B$17:$B$20 + MMULT($D$17:$G$20,TRANSPOSE(AO295:AR295)) + MMULT($N$17:$Q$20,TRANSPOSE(AJ296:AM296)))</f>
        <v>3.4323006965460257E-2</v>
      </c>
      <c r="AP296" s="62">
        <f ca="1"/>
        <v>8.0878511591411517E-2</v>
      </c>
      <c r="AQ296" s="62">
        <f ca="1"/>
        <v>-0.15792972658598653</v>
      </c>
      <c r="AR296" s="62">
        <f ca="1"/>
        <v>0.25559611859425613</v>
      </c>
    </row>
    <row r="297" spans="25:44" x14ac:dyDescent="0.15">
      <c r="Y297" s="8">
        <f t="shared" si="24"/>
        <v>294</v>
      </c>
      <c r="Z297" s="61">
        <f t="shared" ca="1" si="22"/>
        <v>1.3108703369291497</v>
      </c>
      <c r="AA297" s="61">
        <f t="shared" ca="1" si="22"/>
        <v>1.6586860199619662</v>
      </c>
      <c r="AB297" s="61">
        <f t="shared" ca="1" si="22"/>
        <v>-0.66696074315596121</v>
      </c>
      <c r="AC297" s="61">
        <f t="shared" ca="1" si="22"/>
        <v>0.29028750324448127</v>
      </c>
      <c r="AD297" s="37"/>
      <c r="AE297" s="62">
        <f t="array" aca="1" ref="AE297:AH297" ca="1">TRANSPOSE($B$9:$B$12 + MMULT($D$9:$G$12,TRANSPOSE(AO297:AR297)) + MMULT($N$9:$Q$12, TRANSPOSE(Z297:AC297)))</f>
        <v>0.44701252367163602</v>
      </c>
      <c r="AF297" s="62">
        <f ca="1"/>
        <v>1.2493402524275952</v>
      </c>
      <c r="AG297" s="62">
        <f ca="1"/>
        <v>-0.4843327717787218</v>
      </c>
      <c r="AH297" s="62">
        <f ca="1"/>
        <v>-2.9697107850852611E-3</v>
      </c>
      <c r="AI297" s="37"/>
      <c r="AJ297" s="61">
        <f t="shared" ca="1" si="23"/>
        <v>-0.96227479893570644</v>
      </c>
      <c r="AK297" s="61">
        <f t="shared" ca="1" si="23"/>
        <v>0.29875787147500177</v>
      </c>
      <c r="AL297" s="61">
        <f t="shared" ca="1" si="23"/>
        <v>-0.91438038047474712</v>
      </c>
      <c r="AM297" s="61">
        <f t="shared" ca="1" si="23"/>
        <v>-8.1578985078374043E-3</v>
      </c>
      <c r="AN297" s="37"/>
      <c r="AO297" s="62">
        <f t="array" aca="1" ref="AO297:AR297" ca="1">TRANSPOSE($B$17:$B$20 + MMULT($D$17:$G$20,TRANSPOSE(AO296:AR296)) + MMULT($N$17:$Q$20,TRANSPOSE(AJ297:AM297)))</f>
        <v>-4.6094859649518538E-2</v>
      </c>
      <c r="AP297" s="62">
        <f ca="1"/>
        <v>0.2250730277139244</v>
      </c>
      <c r="AQ297" s="62">
        <f ca="1"/>
        <v>-0.50174097953272256</v>
      </c>
      <c r="AR297" s="62">
        <f ca="1"/>
        <v>-3.3055365205713172E-2</v>
      </c>
    </row>
    <row r="298" spans="25:44" x14ac:dyDescent="0.15">
      <c r="Y298" s="8">
        <f t="shared" si="24"/>
        <v>295</v>
      </c>
      <c r="Z298" s="61">
        <f t="shared" ca="1" si="22"/>
        <v>-8.3602289766579241E-2</v>
      </c>
      <c r="AA298" s="61">
        <f t="shared" ca="1" si="22"/>
        <v>0.17101083840089976</v>
      </c>
      <c r="AB298" s="61">
        <f t="shared" ca="1" si="22"/>
        <v>3.0745136863065148</v>
      </c>
      <c r="AC298" s="61">
        <f t="shared" ca="1" si="22"/>
        <v>-0.26583699044437253</v>
      </c>
      <c r="AD298" s="37"/>
      <c r="AE298" s="62">
        <f t="array" aca="1" ref="AE298:AH298" ca="1">TRANSPOSE($B$9:$B$12 + MMULT($D$9:$G$12,TRANSPOSE(AO298:AR298)) + MMULT($N$9:$Q$12, TRANSPOSE(Z298:AC298)))</f>
        <v>0.64713440022901469</v>
      </c>
      <c r="AF298" s="62">
        <f ca="1"/>
        <v>0.74834679961999528</v>
      </c>
      <c r="AG298" s="62">
        <f ca="1"/>
        <v>1.2328231205339948</v>
      </c>
      <c r="AH298" s="62">
        <f ca="1"/>
        <v>0.13787719421280092</v>
      </c>
      <c r="AI298" s="37"/>
      <c r="AJ298" s="61">
        <f t="shared" ca="1" si="23"/>
        <v>0.36107933647620727</v>
      </c>
      <c r="AK298" s="61">
        <f t="shared" ca="1" si="23"/>
        <v>1.5856757500309144</v>
      </c>
      <c r="AL298" s="61">
        <f t="shared" ca="1" si="23"/>
        <v>0.97266030113059188</v>
      </c>
      <c r="AM298" s="61">
        <f t="shared" ca="1" si="23"/>
        <v>0.39667186559392748</v>
      </c>
      <c r="AN298" s="37"/>
      <c r="AO298" s="62">
        <f t="array" aca="1" ref="AO298:AR298" ca="1">TRANSPOSE($B$17:$B$20 + MMULT($D$17:$G$20,TRANSPOSE(AO297:AR297)) + MMULT($N$17:$Q$20,TRANSPOSE(AJ298:AM298)))</f>
        <v>0.32374268653336857</v>
      </c>
      <c r="AP298" s="62">
        <f ca="1"/>
        <v>0.72668571520950853</v>
      </c>
      <c r="AQ298" s="62">
        <f ca="1"/>
        <v>0.34970656289900193</v>
      </c>
      <c r="AR298" s="62">
        <f ca="1"/>
        <v>-9.6739799593122677E-3</v>
      </c>
    </row>
    <row r="299" spans="25:44" x14ac:dyDescent="0.15">
      <c r="Y299" s="8">
        <f t="shared" si="24"/>
        <v>296</v>
      </c>
      <c r="Z299" s="61">
        <f t="shared" ca="1" si="22"/>
        <v>0.93127184866232537</v>
      </c>
      <c r="AA299" s="61">
        <f t="shared" ca="1" si="22"/>
        <v>-0.92738418480622353</v>
      </c>
      <c r="AB299" s="61">
        <f t="shared" ca="1" si="22"/>
        <v>-0.25868515182683383</v>
      </c>
      <c r="AC299" s="61">
        <f t="shared" ca="1" si="22"/>
        <v>-8.5387854309249903E-2</v>
      </c>
      <c r="AD299" s="37"/>
      <c r="AE299" s="62">
        <f t="array" aca="1" ref="AE299:AH299" ca="1">TRANSPOSE($B$9:$B$12 + MMULT($D$9:$G$12,TRANSPOSE(AO299:AR299)) + MMULT($N$9:$Q$12, TRANSPOSE(Z299:AC299)))</f>
        <v>1.1074012863796612</v>
      </c>
      <c r="AF299" s="62">
        <f ca="1"/>
        <v>0.49360259458197886</v>
      </c>
      <c r="AG299" s="62">
        <f ca="1"/>
        <v>0.37548812132821585</v>
      </c>
      <c r="AH299" s="62">
        <f ca="1"/>
        <v>-8.075200477519523E-2</v>
      </c>
      <c r="AI299" s="37"/>
      <c r="AJ299" s="61">
        <f t="shared" ca="1" si="23"/>
        <v>1.3062302028040267</v>
      </c>
      <c r="AK299" s="61">
        <f t="shared" ca="1" si="23"/>
        <v>-0.40398718037718784</v>
      </c>
      <c r="AL299" s="61">
        <f t="shared" ca="1" si="23"/>
        <v>-2.0444214941347476</v>
      </c>
      <c r="AM299" s="61">
        <f t="shared" ca="1" si="23"/>
        <v>-0.48674278915528774</v>
      </c>
      <c r="AN299" s="37"/>
      <c r="AO299" s="62">
        <f t="array" aca="1" ref="AO299:AR299" ca="1">TRANSPOSE($B$17:$B$20 + MMULT($D$17:$G$20,TRANSPOSE(AO298:AR298)) + MMULT($N$17:$Q$20,TRANSPOSE(AJ299:AM299)))</f>
        <v>0.9017279155627993</v>
      </c>
      <c r="AP299" s="62">
        <f ca="1"/>
        <v>0.22031004789495628</v>
      </c>
      <c r="AQ299" s="62">
        <f ca="1"/>
        <v>-0.13581803179783519</v>
      </c>
      <c r="AR299" s="62">
        <f ca="1"/>
        <v>0.30008611538599239</v>
      </c>
    </row>
    <row r="300" spans="25:44" x14ac:dyDescent="0.15">
      <c r="Y300" s="8">
        <f t="shared" si="24"/>
        <v>297</v>
      </c>
      <c r="Z300" s="61">
        <f t="shared" ca="1" si="22"/>
        <v>1.3249296410307814</v>
      </c>
      <c r="AA300" s="61">
        <f t="shared" ca="1" si="22"/>
        <v>0.79896551322356602</v>
      </c>
      <c r="AB300" s="61">
        <f t="shared" ca="1" si="22"/>
        <v>-0.61289011225382062</v>
      </c>
      <c r="AC300" s="61">
        <f t="shared" ca="1" si="22"/>
        <v>-0.42784135873651347</v>
      </c>
      <c r="AD300" s="37"/>
      <c r="AE300" s="62">
        <f t="array" aca="1" ref="AE300:AH300" ca="1">TRANSPOSE($B$9:$B$12 + MMULT($D$9:$G$12,TRANSPOSE(AO300:AR300)) + MMULT($N$9:$Q$12, TRANSPOSE(Z300:AC300)))</f>
        <v>1.4248813554009043</v>
      </c>
      <c r="AF300" s="62">
        <f ca="1"/>
        <v>1.315638659521726</v>
      </c>
      <c r="AG300" s="62">
        <f ca="1"/>
        <v>-0.30253316017464821</v>
      </c>
      <c r="AH300" s="62">
        <f ca="1"/>
        <v>0.44851628760073087</v>
      </c>
      <c r="AI300" s="37"/>
      <c r="AJ300" s="61">
        <f t="shared" ca="1" si="23"/>
        <v>0.22843536465560807</v>
      </c>
      <c r="AK300" s="61">
        <f t="shared" ca="1" si="23"/>
        <v>0.43465885474838351</v>
      </c>
      <c r="AL300" s="61">
        <f t="shared" ca="1" si="23"/>
        <v>0.29950786033188675</v>
      </c>
      <c r="AM300" s="61">
        <f t="shared" ca="1" si="23"/>
        <v>-0.54876460635977542</v>
      </c>
      <c r="AN300" s="37"/>
      <c r="AO300" s="62">
        <f t="array" aca="1" ref="AO300:AR300" ca="1">TRANSPOSE($B$17:$B$20 + MMULT($D$17:$G$20,TRANSPOSE(AO299:AR299)) + MMULT($N$17:$Q$20,TRANSPOSE(AJ300:AM300)))</f>
        <v>0.59671710014396051</v>
      </c>
      <c r="AP300" s="62">
        <f ca="1"/>
        <v>0.63365117889627287</v>
      </c>
      <c r="AQ300" s="62">
        <f ca="1"/>
        <v>0.41952771953836721</v>
      </c>
      <c r="AR300" s="62">
        <f ca="1"/>
        <v>0.14979346238933738</v>
      </c>
    </row>
    <row r="301" spans="25:44" x14ac:dyDescent="0.15">
      <c r="Y301" s="8">
        <f t="shared" si="24"/>
        <v>298</v>
      </c>
      <c r="Z301" s="61">
        <f t="shared" ca="1" si="22"/>
        <v>0.38570968108768661</v>
      </c>
      <c r="AA301" s="61">
        <f t="shared" ca="1" si="22"/>
        <v>-0.93561948788523741</v>
      </c>
      <c r="AB301" s="61">
        <f t="shared" ca="1" si="22"/>
        <v>0.77955980582046158</v>
      </c>
      <c r="AC301" s="61">
        <f t="shared" ca="1" si="22"/>
        <v>-0.49618718153538488</v>
      </c>
      <c r="AD301" s="37"/>
      <c r="AE301" s="62">
        <f t="array" aca="1" ref="AE301:AH301" ca="1">TRANSPOSE($B$9:$B$12 + MMULT($D$9:$G$12,TRANSPOSE(AO301:AR301)) + MMULT($N$9:$Q$12, TRANSPOSE(Z301:AC301)))</f>
        <v>1.194841492724289</v>
      </c>
      <c r="AF301" s="62">
        <f ca="1"/>
        <v>0.36468129879926847</v>
      </c>
      <c r="AG301" s="62">
        <f ca="1"/>
        <v>0.59261376020913148</v>
      </c>
      <c r="AH301" s="62">
        <f ca="1"/>
        <v>0.50622191038451714</v>
      </c>
      <c r="AI301" s="37"/>
      <c r="AJ301" s="61">
        <f t="shared" ca="1" si="23"/>
        <v>0.277000242123777</v>
      </c>
      <c r="AK301" s="61">
        <f t="shared" ca="1" si="23"/>
        <v>0.19978894453664769</v>
      </c>
      <c r="AL301" s="61">
        <f t="shared" ca="1" si="23"/>
        <v>0.27199312455284086</v>
      </c>
      <c r="AM301" s="61">
        <f t="shared" ca="1" si="23"/>
        <v>-0.99461077216084393</v>
      </c>
      <c r="AN301" s="37"/>
      <c r="AO301" s="62">
        <f t="array" aca="1" ref="AO301:AR301" ca="1">TRANSPOSE($B$17:$B$20 + MMULT($D$17:$G$20,TRANSPOSE(AO300:AR300)) + MMULT($N$17:$Q$20,TRANSPOSE(AJ301:AM301)))</f>
        <v>0.63803664490254275</v>
      </c>
      <c r="AP301" s="62">
        <f ca="1"/>
        <v>0.55823531647877533</v>
      </c>
      <c r="AQ301" s="62">
        <f ca="1"/>
        <v>0.67166301189141886</v>
      </c>
      <c r="AR301" s="62">
        <f ca="1"/>
        <v>0.28418159006014565</v>
      </c>
    </row>
    <row r="302" spans="25:44" x14ac:dyDescent="0.15">
      <c r="Y302" s="8">
        <f t="shared" si="24"/>
        <v>299</v>
      </c>
      <c r="Z302" s="61">
        <f t="shared" ca="1" si="22"/>
        <v>-0.76215775450212542</v>
      </c>
      <c r="AA302" s="61">
        <f t="shared" ca="1" si="22"/>
        <v>-8.0425680418009085E-2</v>
      </c>
      <c r="AB302" s="61">
        <f t="shared" ca="1" si="22"/>
        <v>0.61608967577245055</v>
      </c>
      <c r="AC302" s="61">
        <f t="shared" ca="1" si="22"/>
        <v>1.2131658648968684</v>
      </c>
      <c r="AD302" s="37"/>
      <c r="AE302" s="62">
        <f t="array" aca="1" ref="AE302:AH302" ca="1">TRANSPOSE($B$9:$B$12 + MMULT($D$9:$G$12,TRANSPOSE(AO302:AR302)) + MMULT($N$9:$Q$12, TRANSPOSE(Z302:AC302)))</f>
        <v>0.52771433326154737</v>
      </c>
      <c r="AF302" s="62">
        <f ca="1"/>
        <v>0.73501689561523587</v>
      </c>
      <c r="AG302" s="62">
        <f ca="1"/>
        <v>0.86048793263588497</v>
      </c>
      <c r="AH302" s="62">
        <f ca="1"/>
        <v>0.6259413057025438</v>
      </c>
      <c r="AI302" s="37"/>
      <c r="AJ302" s="61">
        <f t="shared" ca="1" si="23"/>
        <v>0.34359757503040111</v>
      </c>
      <c r="AK302" s="61">
        <f t="shared" ca="1" si="23"/>
        <v>0.51571430243530059</v>
      </c>
      <c r="AL302" s="61">
        <f t="shared" ca="1" si="23"/>
        <v>-0.49519515499150735</v>
      </c>
      <c r="AM302" s="61">
        <f t="shared" ca="1" si="23"/>
        <v>-0.25176711228749399</v>
      </c>
      <c r="AN302" s="37"/>
      <c r="AO302" s="62">
        <f t="array" aca="1" ref="AO302:AR302" ca="1">TRANSPOSE($B$17:$B$20 + MMULT($D$17:$G$20,TRANSPOSE(AO301:AR301)) + MMULT($N$17:$Q$20,TRANSPOSE(AJ302:AM302)))</f>
        <v>0.70967110449309057</v>
      </c>
      <c r="AP302" s="62">
        <f ca="1"/>
        <v>0.72437304088836219</v>
      </c>
      <c r="AQ302" s="62">
        <f ca="1"/>
        <v>0.36391509717191495</v>
      </c>
      <c r="AR302" s="62">
        <f ca="1"/>
        <v>0.4332754525268967</v>
      </c>
    </row>
    <row r="303" spans="25:44" x14ac:dyDescent="0.15">
      <c r="Y303" s="8">
        <f t="shared" si="24"/>
        <v>300</v>
      </c>
      <c r="Z303" s="61">
        <f t="shared" ca="1" si="22"/>
        <v>2.1380690727038973</v>
      </c>
      <c r="AA303" s="61">
        <f t="shared" ca="1" si="22"/>
        <v>-0.27634520328924622</v>
      </c>
      <c r="AB303" s="61">
        <f t="shared" ca="1" si="22"/>
        <v>-0.34350593040300448</v>
      </c>
      <c r="AC303" s="61">
        <f t="shared" ca="1" si="22"/>
        <v>1.5487967987805356</v>
      </c>
      <c r="AD303" s="37"/>
      <c r="AE303" s="62">
        <f t="array" aca="1" ref="AE303:AH303" ca="1">TRANSPOSE($B$9:$B$12 + MMULT($D$9:$G$12,TRANSPOSE(AO303:AR303)) + MMULT($N$9:$Q$12, TRANSPOSE(Z303:AC303)))</f>
        <v>1.7754240079302734</v>
      </c>
      <c r="AF303" s="62">
        <f ca="1"/>
        <v>1.3414788228162218</v>
      </c>
      <c r="AG303" s="62">
        <f ca="1"/>
        <v>-0.7546079637535994</v>
      </c>
      <c r="AH303" s="62">
        <f ca="1"/>
        <v>1.3478417426785541</v>
      </c>
      <c r="AI303" s="37"/>
      <c r="AJ303" s="61">
        <f t="shared" ca="1" si="23"/>
        <v>-0.64018861850507724</v>
      </c>
      <c r="AK303" s="61">
        <f t="shared" ca="1" si="23"/>
        <v>1.3876736845391213</v>
      </c>
      <c r="AL303" s="61">
        <f t="shared" ca="1" si="23"/>
        <v>0.87346937336497343</v>
      </c>
      <c r="AM303" s="61">
        <f t="shared" ca="1" si="23"/>
        <v>-1.3430830445806279</v>
      </c>
      <c r="AN303" s="37"/>
      <c r="AO303" s="62">
        <f t="array" aca="1" ref="AO303:AR303" ca="1">TRANSPOSE($B$17:$B$20 + MMULT($D$17:$G$20,TRANSPOSE(AO302:AR302)) + MMULT($N$17:$Q$20,TRANSPOSE(AJ303:AM303)))</f>
        <v>0.37086317266968238</v>
      </c>
      <c r="AP303" s="62">
        <f ca="1"/>
        <v>1.147109367274038</v>
      </c>
      <c r="AQ303" s="62">
        <f ca="1"/>
        <v>0.68724647358883906</v>
      </c>
      <c r="AR303" s="62">
        <f ca="1"/>
        <v>2.6231228693899267E-2</v>
      </c>
    </row>
    <row r="304" spans="25:44" x14ac:dyDescent="0.15">
      <c r="Y304" s="8">
        <f t="shared" si="24"/>
        <v>301</v>
      </c>
      <c r="Z304" s="61">
        <f t="shared" ca="1" si="22"/>
        <v>-1.3587793044277343</v>
      </c>
      <c r="AA304" s="61">
        <f t="shared" ca="1" si="22"/>
        <v>1.2412380203430509</v>
      </c>
      <c r="AB304" s="61">
        <f t="shared" ca="1" si="22"/>
        <v>-0.1695703875236233</v>
      </c>
      <c r="AC304" s="61">
        <f t="shared" ca="1" si="22"/>
        <v>-0.65892549768181519</v>
      </c>
      <c r="AD304" s="37"/>
      <c r="AE304" s="62">
        <f t="array" aca="1" ref="AE304:AH304" ca="1">TRANSPOSE($B$9:$B$12 + MMULT($D$9:$G$12,TRANSPOSE(AO304:AR304)) + MMULT($N$9:$Q$12, TRANSPOSE(Z304:AC304)))</f>
        <v>-0.17462736750974017</v>
      </c>
      <c r="AF304" s="62">
        <f ca="1"/>
        <v>1.0265724199773349</v>
      </c>
      <c r="AG304" s="62">
        <f ca="1"/>
        <v>0.27779414766794208</v>
      </c>
      <c r="AH304" s="62">
        <f ca="1"/>
        <v>0.76687646801142795</v>
      </c>
      <c r="AI304" s="37"/>
      <c r="AJ304" s="61">
        <f t="shared" ca="1" si="23"/>
        <v>-1.8022543492760885</v>
      </c>
      <c r="AK304" s="61">
        <f t="shared" ca="1" si="23"/>
        <v>1.1246247438060495</v>
      </c>
      <c r="AL304" s="61">
        <f t="shared" ca="1" si="23"/>
        <v>0.61969744675511529</v>
      </c>
      <c r="AM304" s="61">
        <f t="shared" ca="1" si="23"/>
        <v>0.77159582293856654</v>
      </c>
      <c r="AN304" s="37"/>
      <c r="AO304" s="62">
        <f t="array" aca="1" ref="AO304:AR304" ca="1">TRANSPOSE($B$17:$B$20 + MMULT($D$17:$G$20,TRANSPOSE(AO303:AR303)) + MMULT($N$17:$Q$20,TRANSPOSE(AJ304:AM304)))</f>
        <v>-5.0190500140381067E-2</v>
      </c>
      <c r="AP304" s="62">
        <f ca="1"/>
        <v>0.98129851302832405</v>
      </c>
      <c r="AQ304" s="62">
        <f ca="1"/>
        <v>0.54249778232840584</v>
      </c>
      <c r="AR304" s="62">
        <f ca="1"/>
        <v>0.48127575565445824</v>
      </c>
    </row>
    <row r="305" spans="25:44" x14ac:dyDescent="0.15">
      <c r="Y305" s="8">
        <f t="shared" si="24"/>
        <v>302</v>
      </c>
      <c r="Z305" s="61">
        <f t="shared" ca="1" si="22"/>
        <v>-1.0205620878844603</v>
      </c>
      <c r="AA305" s="61">
        <f t="shared" ca="1" si="22"/>
        <v>0.27887359584934601</v>
      </c>
      <c r="AB305" s="61">
        <f t="shared" ca="1" si="22"/>
        <v>5.6941917189023618E-2</v>
      </c>
      <c r="AC305" s="61">
        <f t="shared" ca="1" si="22"/>
        <v>0.42400210044837455</v>
      </c>
      <c r="AD305" s="37"/>
      <c r="AE305" s="62">
        <f t="array" aca="1" ref="AE305:AH305" ca="1">TRANSPOSE($B$9:$B$12 + MMULT($D$9:$G$12,TRANSPOSE(AO305:AR305)) + MMULT($N$9:$Q$12, TRANSPOSE(Z305:AC305)))</f>
        <v>0.87670529344465975</v>
      </c>
      <c r="AF305" s="62">
        <f ca="1"/>
        <v>0.61841889512687298</v>
      </c>
      <c r="AG305" s="62">
        <f ca="1"/>
        <v>0.75122217533852842</v>
      </c>
      <c r="AH305" s="62">
        <f ca="1"/>
        <v>1.4217136721913224</v>
      </c>
      <c r="AI305" s="37"/>
      <c r="AJ305" s="61">
        <f t="shared" ca="1" si="23"/>
        <v>0.37567579653497507</v>
      </c>
      <c r="AK305" s="61">
        <f t="shared" ca="1" si="23"/>
        <v>0.90680569504313979</v>
      </c>
      <c r="AL305" s="61">
        <f t="shared" ca="1" si="23"/>
        <v>1.8566669947707775</v>
      </c>
      <c r="AM305" s="61">
        <f t="shared" ca="1" si="23"/>
        <v>5.0885423696740019E-2</v>
      </c>
      <c r="AN305" s="37"/>
      <c r="AO305" s="62">
        <f t="array" aca="1" ref="AO305:AR305" ca="1">TRANSPOSE($B$17:$B$20 + MMULT($D$17:$G$20,TRANSPOSE(AO304:AR304)) + MMULT($N$17:$Q$20,TRANSPOSE(AJ305:AM305)))</f>
        <v>0.56143831979294956</v>
      </c>
      <c r="AP305" s="62">
        <f ca="1"/>
        <v>0.78825653201698587</v>
      </c>
      <c r="AQ305" s="62">
        <f ca="1"/>
        <v>1.3859517597839592</v>
      </c>
      <c r="AR305" s="62">
        <f ca="1"/>
        <v>0.73371885080063604</v>
      </c>
    </row>
    <row r="306" spans="25:44" x14ac:dyDescent="0.15">
      <c r="Y306" s="8">
        <f t="shared" si="24"/>
        <v>303</v>
      </c>
      <c r="Z306" s="61">
        <f t="shared" ca="1" si="22"/>
        <v>0.53515996422999246</v>
      </c>
      <c r="AA306" s="61">
        <f t="shared" ca="1" si="22"/>
        <v>-0.55896804258180266</v>
      </c>
      <c r="AB306" s="61">
        <f t="shared" ca="1" si="22"/>
        <v>5.5737456695287881E-2</v>
      </c>
      <c r="AC306" s="61">
        <f t="shared" ca="1" si="22"/>
        <v>-0.5934216586744081</v>
      </c>
      <c r="AD306" s="37"/>
      <c r="AE306" s="62">
        <f t="array" aca="1" ref="AE306:AH306" ca="1">TRANSPOSE($B$9:$B$12 + MMULT($D$9:$G$12,TRANSPOSE(AO306:AR306)) + MMULT($N$9:$Q$12, TRANSPOSE(Z306:AC306)))</f>
        <v>1.0725648722472345</v>
      </c>
      <c r="AF306" s="62">
        <f ca="1"/>
        <v>0.67472375198610157</v>
      </c>
      <c r="AG306" s="62">
        <f ca="1"/>
        <v>0.7054298289053198</v>
      </c>
      <c r="AH306" s="62">
        <f ca="1"/>
        <v>0.53254544312916929</v>
      </c>
      <c r="AI306" s="37"/>
      <c r="AJ306" s="61">
        <f t="shared" ca="1" si="23"/>
        <v>3.9654026002817706E-2</v>
      </c>
      <c r="AK306" s="61">
        <f t="shared" ca="1" si="23"/>
        <v>-0.3363387794508691</v>
      </c>
      <c r="AL306" s="61">
        <f t="shared" ca="1" si="23"/>
        <v>-0.99148928392702862</v>
      </c>
      <c r="AM306" s="61">
        <f t="shared" ca="1" si="23"/>
        <v>-0.95633782110240539</v>
      </c>
      <c r="AN306" s="37"/>
      <c r="AO306" s="62">
        <f t="array" aca="1" ref="AO306:AR306" ca="1">TRANSPOSE($B$17:$B$20 + MMULT($D$17:$G$20,TRANSPOSE(AO305:AR305)) + MMULT($N$17:$Q$20,TRANSPOSE(AJ306:AM306)))</f>
        <v>0.73142051966480703</v>
      </c>
      <c r="AP306" s="62">
        <f ca="1"/>
        <v>0.51386514030462094</v>
      </c>
      <c r="AQ306" s="62">
        <f ca="1"/>
        <v>0.47305782270006047</v>
      </c>
      <c r="AR306" s="62">
        <f ca="1"/>
        <v>0.72893568922836993</v>
      </c>
    </row>
    <row r="307" spans="25:44" x14ac:dyDescent="0.15">
      <c r="Y307" s="8">
        <f t="shared" si="24"/>
        <v>304</v>
      </c>
      <c r="Z307" s="61">
        <f t="shared" ca="1" si="22"/>
        <v>0.69866454705249914</v>
      </c>
      <c r="AA307" s="61">
        <f t="shared" ca="1" si="22"/>
        <v>-0.27140481387649629</v>
      </c>
      <c r="AB307" s="61">
        <f t="shared" ca="1" si="22"/>
        <v>-0.52061831709205064</v>
      </c>
      <c r="AC307" s="61">
        <f t="shared" ca="1" si="22"/>
        <v>-2.5040019802188849</v>
      </c>
      <c r="AD307" s="37"/>
      <c r="AE307" s="62">
        <f t="array" aca="1" ref="AE307:AH307" ca="1">TRANSPOSE($B$9:$B$12 + MMULT($D$9:$G$12,TRANSPOSE(AO307:AR307)) + MMULT($N$9:$Q$12, TRANSPOSE(Z307:AC307)))</f>
        <v>1.1892825681245847</v>
      </c>
      <c r="AF307" s="62">
        <f ca="1"/>
        <v>0.22094211331566105</v>
      </c>
      <c r="AG307" s="62">
        <f ca="1"/>
        <v>1.0469390433678778</v>
      </c>
      <c r="AH307" s="62">
        <f ca="1"/>
        <v>0.67717741832864242</v>
      </c>
      <c r="AI307" s="37"/>
      <c r="AJ307" s="61">
        <f t="shared" ca="1" si="23"/>
        <v>-0.15290944082427882</v>
      </c>
      <c r="AK307" s="61">
        <f t="shared" ca="1" si="23"/>
        <v>-1.5690571887657208</v>
      </c>
      <c r="AL307" s="61">
        <f t="shared" ca="1" si="23"/>
        <v>0.56718831204274345</v>
      </c>
      <c r="AM307" s="61">
        <f t="shared" ca="1" si="23"/>
        <v>1.3618641937562839</v>
      </c>
      <c r="AN307" s="37"/>
      <c r="AO307" s="62">
        <f t="array" aca="1" ref="AO307:AR307" ca="1">TRANSPOSE($B$17:$B$20 + MMULT($D$17:$G$20,TRANSPOSE(AO306:AR306)) + MMULT($N$17:$Q$20,TRANSPOSE(AJ307:AM307)))</f>
        <v>0.55588379108263608</v>
      </c>
      <c r="AP307" s="62">
        <f ca="1"/>
        <v>-8.8580185454559923E-2</v>
      </c>
      <c r="AQ307" s="62">
        <f ca="1"/>
        <v>0.96462078829420994</v>
      </c>
      <c r="AR307" s="62">
        <f ca="1"/>
        <v>1.3246956707324231</v>
      </c>
    </row>
    <row r="308" spans="25:44" x14ac:dyDescent="0.15">
      <c r="Y308" s="8">
        <f t="shared" si="24"/>
        <v>305</v>
      </c>
      <c r="Z308" s="61">
        <f t="shared" ca="1" si="22"/>
        <v>0.83637454766414099</v>
      </c>
      <c r="AA308" s="61">
        <f t="shared" ca="1" si="22"/>
        <v>0.71764123996079277</v>
      </c>
      <c r="AB308" s="61">
        <f t="shared" ca="1" si="22"/>
        <v>-0.2981724842809988</v>
      </c>
      <c r="AC308" s="61">
        <f t="shared" ca="1" si="22"/>
        <v>0.99779185363975142</v>
      </c>
      <c r="AD308" s="37"/>
      <c r="AE308" s="62">
        <f t="array" aca="1" ref="AE308:AH308" ca="1">TRANSPOSE($B$9:$B$12 + MMULT($D$9:$G$12,TRANSPOSE(AO308:AR308)) + MMULT($N$9:$Q$12, TRANSPOSE(Z308:AC308)))</f>
        <v>0.99969872801538329</v>
      </c>
      <c r="AF308" s="62">
        <f ca="1"/>
        <v>1.3485304879227553</v>
      </c>
      <c r="AG308" s="62">
        <f ca="1"/>
        <v>0.41659253173935046</v>
      </c>
      <c r="AH308" s="62">
        <f ca="1"/>
        <v>1.0526786593863648</v>
      </c>
      <c r="AI308" s="37"/>
      <c r="AJ308" s="61">
        <f t="shared" ca="1" si="23"/>
        <v>-0.27637837426486367</v>
      </c>
      <c r="AK308" s="61">
        <f t="shared" ca="1" si="23"/>
        <v>0.55578656398369719</v>
      </c>
      <c r="AL308" s="61">
        <f t="shared" ca="1" si="23"/>
        <v>0.13767577065632103</v>
      </c>
      <c r="AM308" s="61">
        <f t="shared" ca="1" si="23"/>
        <v>0.20718825761522414</v>
      </c>
      <c r="AN308" s="37"/>
      <c r="AO308" s="62">
        <f t="array" aca="1" ref="AO308:AR308" ca="1">TRANSPOSE($B$17:$B$20 + MMULT($D$17:$G$20,TRANSPOSE(AO307:AR307)) + MMULT($N$17:$Q$20,TRANSPOSE(AJ308:AM308)))</f>
        <v>0.52681070585307754</v>
      </c>
      <c r="AP308" s="62">
        <f ca="1"/>
        <v>0.71210480320877934</v>
      </c>
      <c r="AQ308" s="62">
        <f ca="1"/>
        <v>0.44841344330213739</v>
      </c>
      <c r="AR308" s="62">
        <f ca="1"/>
        <v>0.81332248345021274</v>
      </c>
    </row>
    <row r="309" spans="25:44" x14ac:dyDescent="0.15">
      <c r="Y309" s="8">
        <f t="shared" si="24"/>
        <v>306</v>
      </c>
      <c r="Z309" s="61">
        <f t="shared" ca="1" si="22"/>
        <v>1.1615783317244603</v>
      </c>
      <c r="AA309" s="61">
        <f t="shared" ca="1" si="22"/>
        <v>1.0163338599697809</v>
      </c>
      <c r="AB309" s="61">
        <f t="shared" ca="1" si="22"/>
        <v>-1.6417717108696326</v>
      </c>
      <c r="AC309" s="61">
        <f t="shared" ca="1" si="22"/>
        <v>0.70685611857266284</v>
      </c>
      <c r="AD309" s="37"/>
      <c r="AE309" s="62">
        <f t="array" aca="1" ref="AE309:AH309" ca="1">TRANSPOSE($B$9:$B$12 + MMULT($D$9:$G$12,TRANSPOSE(AO309:AR309)) + MMULT($N$9:$Q$12, TRANSPOSE(Z309:AC309)))</f>
        <v>1.6031885734970583</v>
      </c>
      <c r="AF309" s="62">
        <f ca="1"/>
        <v>1.3246697436725969</v>
      </c>
      <c r="AG309" s="62">
        <f ca="1"/>
        <v>6.047771632596266E-2</v>
      </c>
      <c r="AH309" s="62">
        <f ca="1"/>
        <v>1.1439909842484297</v>
      </c>
      <c r="AI309" s="37"/>
      <c r="AJ309" s="61">
        <f t="shared" ca="1" si="23"/>
        <v>0.9086225561954242</v>
      </c>
      <c r="AK309" s="61">
        <f t="shared" ca="1" si="23"/>
        <v>-0.38528081695661914</v>
      </c>
      <c r="AL309" s="61">
        <f t="shared" ca="1" si="23"/>
        <v>-1.2704274333360121E-2</v>
      </c>
      <c r="AM309" s="61">
        <f t="shared" ca="1" si="23"/>
        <v>8.6168659383655949E-2</v>
      </c>
      <c r="AN309" s="37"/>
      <c r="AO309" s="62">
        <f t="array" aca="1" ref="AO309:AR309" ca="1">TRANSPOSE($B$17:$B$20 + MMULT($D$17:$G$20,TRANSPOSE(AO308:AR308)) + MMULT($N$17:$Q$20,TRANSPOSE(AJ309:AM309)))</f>
        <v>0.87435191074426566</v>
      </c>
      <c r="AP309" s="62">
        <f ca="1"/>
        <v>0.4168358232306229</v>
      </c>
      <c r="AQ309" s="62">
        <f ca="1"/>
        <v>0.7990843916540632</v>
      </c>
      <c r="AR309" s="62">
        <f ca="1"/>
        <v>0.874472379763922</v>
      </c>
    </row>
    <row r="310" spans="25:44" x14ac:dyDescent="0.15">
      <c r="Y310" s="8">
        <f t="shared" si="24"/>
        <v>307</v>
      </c>
      <c r="Z310" s="61">
        <f t="shared" ca="1" si="22"/>
        <v>-1.1926700237571271</v>
      </c>
      <c r="AA310" s="61">
        <f t="shared" ca="1" si="22"/>
        <v>-0.4977224622499713</v>
      </c>
      <c r="AB310" s="61">
        <f t="shared" ca="1" si="22"/>
        <v>0.93155915999877148</v>
      </c>
      <c r="AC310" s="61">
        <f t="shared" ca="1" si="22"/>
        <v>-0.73085648052522856</v>
      </c>
      <c r="AD310" s="37"/>
      <c r="AE310" s="62">
        <f t="array" aca="1" ref="AE310:AH310" ca="1">TRANSPOSE($B$9:$B$12 + MMULT($D$9:$G$12,TRANSPOSE(AO310:AR310)) + MMULT($N$9:$Q$12, TRANSPOSE(Z310:AC310)))</f>
        <v>0.35554477578024574</v>
      </c>
      <c r="AF310" s="62">
        <f ca="1"/>
        <v>0.27262219765715567</v>
      </c>
      <c r="AG310" s="62">
        <f ca="1"/>
        <v>1.5107198822102608</v>
      </c>
      <c r="AH310" s="62">
        <f ca="1"/>
        <v>0.87729422116929512</v>
      </c>
      <c r="AI310" s="37"/>
      <c r="AJ310" s="61">
        <f t="shared" ca="1" si="23"/>
        <v>-0.62303475009749898</v>
      </c>
      <c r="AK310" s="61">
        <f t="shared" ca="1" si="23"/>
        <v>-0.10269119974415022</v>
      </c>
      <c r="AL310" s="61">
        <f t="shared" ca="1" si="23"/>
        <v>0.79429526160714525</v>
      </c>
      <c r="AM310" s="61">
        <f t="shared" ca="1" si="23"/>
        <v>0.90646688648335805</v>
      </c>
      <c r="AN310" s="37"/>
      <c r="AO310" s="62">
        <f t="array" aca="1" ref="AO310:AR310" ca="1">TRANSPOSE($B$17:$B$20 + MMULT($D$17:$G$20,TRANSPOSE(AO309:AR309)) + MMULT($N$17:$Q$20,TRANSPOSE(AJ310:AM310)))</f>
        <v>0.48336448398594078</v>
      </c>
      <c r="AP310" s="62">
        <f ca="1"/>
        <v>0.59114076891484757</v>
      </c>
      <c r="AQ310" s="62">
        <f ca="1"/>
        <v>0.89424320717516759</v>
      </c>
      <c r="AR310" s="62">
        <f ca="1"/>
        <v>1.0584297266740244</v>
      </c>
    </row>
    <row r="311" spans="25:44" x14ac:dyDescent="0.15">
      <c r="Y311" s="8">
        <f t="shared" si="24"/>
        <v>308</v>
      </c>
      <c r="Z311" s="61">
        <f t="shared" ca="1" si="22"/>
        <v>1.447048287908514</v>
      </c>
      <c r="AA311" s="61">
        <f t="shared" ca="1" si="22"/>
        <v>0.31713238248991399</v>
      </c>
      <c r="AB311" s="61">
        <f t="shared" ca="1" si="22"/>
        <v>-0.66491403825009798</v>
      </c>
      <c r="AC311" s="61">
        <f t="shared" ca="1" si="22"/>
        <v>-0.42246208419417636</v>
      </c>
      <c r="AD311" s="37"/>
      <c r="AE311" s="62">
        <f t="array" aca="1" ref="AE311:AH311" ca="1">TRANSPOSE($B$9:$B$12 + MMULT($D$9:$G$12,TRANSPOSE(AO311:AR311)) + MMULT($N$9:$Q$12, TRANSPOSE(Z311:AC311)))</f>
        <v>1.7122926722831326</v>
      </c>
      <c r="AF311" s="62">
        <f ca="1"/>
        <v>0.80423165259261697</v>
      </c>
      <c r="AG311" s="62">
        <f ca="1"/>
        <v>1.3467587604100635</v>
      </c>
      <c r="AH311" s="62">
        <f ca="1"/>
        <v>1.2610585650450823</v>
      </c>
      <c r="AI311" s="37"/>
      <c r="AJ311" s="61">
        <f t="shared" ca="1" si="23"/>
        <v>0.93125022196695495</v>
      </c>
      <c r="AK311" s="61">
        <f t="shared" ca="1" si="23"/>
        <v>-1.6386282124812874</v>
      </c>
      <c r="AL311" s="61">
        <f t="shared" ca="1" si="23"/>
        <v>5.9733596844862333E-2</v>
      </c>
      <c r="AM311" s="61">
        <f t="shared" ca="1" si="23"/>
        <v>1.9678109711106331</v>
      </c>
      <c r="AN311" s="37"/>
      <c r="AO311" s="62">
        <f t="array" aca="1" ref="AO311:AR311" ca="1">TRANSPOSE($B$17:$B$20 + MMULT($D$17:$G$20,TRANSPOSE(AO310:AR310)) + MMULT($N$17:$Q$20,TRANSPOSE(AJ311:AM311)))</f>
        <v>0.93981107761408467</v>
      </c>
      <c r="AP311" s="62">
        <f ca="1"/>
        <v>-8.8815906111139764E-2</v>
      </c>
      <c r="AQ311" s="62">
        <f ca="1"/>
        <v>1.0673869421060598</v>
      </c>
      <c r="AR311" s="62">
        <f ca="1"/>
        <v>1.7619762435896029</v>
      </c>
    </row>
    <row r="312" spans="25:44" x14ac:dyDescent="0.15">
      <c r="Y312" s="8">
        <f t="shared" si="24"/>
        <v>309</v>
      </c>
      <c r="Z312" s="61">
        <f t="shared" ca="1" si="22"/>
        <v>1.0171549994789364</v>
      </c>
      <c r="AA312" s="61">
        <f t="shared" ca="1" si="22"/>
        <v>0.29269676517668697</v>
      </c>
      <c r="AB312" s="61">
        <f t="shared" ca="1" si="22"/>
        <v>0.21603052500758188</v>
      </c>
      <c r="AC312" s="61">
        <f t="shared" ca="1" si="22"/>
        <v>-2.2799153633845086</v>
      </c>
      <c r="AD312" s="37"/>
      <c r="AE312" s="62">
        <f t="array" aca="1" ref="AE312:AH312" ca="1">TRANSPOSE($B$9:$B$12 + MMULT($D$9:$G$12,TRANSPOSE(AO312:AR312)) + MMULT($N$9:$Q$12, TRANSPOSE(Z312:AC312)))</f>
        <v>1.4346019026395038</v>
      </c>
      <c r="AF312" s="62">
        <f ca="1"/>
        <v>1.0470533370190169</v>
      </c>
      <c r="AG312" s="62">
        <f ca="1"/>
        <v>1.3586751362914282</v>
      </c>
      <c r="AH312" s="62">
        <f ca="1"/>
        <v>0.95627023551861756</v>
      </c>
      <c r="AI312" s="37"/>
      <c r="AJ312" s="61">
        <f t="shared" ca="1" si="23"/>
        <v>-5.4703634745262346E-2</v>
      </c>
      <c r="AK312" s="61">
        <f t="shared" ca="1" si="23"/>
        <v>-0.57681521031464178</v>
      </c>
      <c r="AL312" s="61">
        <f t="shared" ca="1" si="23"/>
        <v>0.95438186943536119</v>
      </c>
      <c r="AM312" s="61">
        <f t="shared" ca="1" si="23"/>
        <v>1.3387105002918667</v>
      </c>
      <c r="AN312" s="37"/>
      <c r="AO312" s="62">
        <f t="array" aca="1" ref="AO312:AR312" ca="1">TRANSPOSE($B$17:$B$20 + MMULT($D$17:$G$20,TRANSPOSE(AO311:AR311)) + MMULT($N$17:$Q$20,TRANSPOSE(AJ312:AM312)))</f>
        <v>0.73808305225782178</v>
      </c>
      <c r="AP312" s="62">
        <f ca="1"/>
        <v>0.43903193630111514</v>
      </c>
      <c r="AQ312" s="62">
        <f ca="1"/>
        <v>1.0961795510948917</v>
      </c>
      <c r="AR312" s="62">
        <f ca="1"/>
        <v>1.5760659983512189</v>
      </c>
    </row>
    <row r="313" spans="25:44" x14ac:dyDescent="0.15">
      <c r="Y313" s="8">
        <f t="shared" si="24"/>
        <v>310</v>
      </c>
      <c r="Z313" s="61">
        <f t="shared" ca="1" si="22"/>
        <v>-0.80400858925652063</v>
      </c>
      <c r="AA313" s="61">
        <f t="shared" ca="1" si="22"/>
        <v>2.0573254316935419</v>
      </c>
      <c r="AB313" s="61">
        <f t="shared" ca="1" si="22"/>
        <v>1.264237138025877</v>
      </c>
      <c r="AC313" s="61">
        <f t="shared" ca="1" si="22"/>
        <v>-0.85620012836314341</v>
      </c>
      <c r="AD313" s="37"/>
      <c r="AE313" s="62">
        <f t="array" aca="1" ref="AE313:AH313" ca="1">TRANSPOSE($B$9:$B$12 + MMULT($D$9:$G$12,TRANSPOSE(AO313:AR313)) + MMULT($N$9:$Q$12, TRANSPOSE(Z313:AC313)))</f>
        <v>0.68871037826121528</v>
      </c>
      <c r="AF313" s="62">
        <f ca="1"/>
        <v>1.7011699406197831</v>
      </c>
      <c r="AG313" s="62">
        <f ca="1"/>
        <v>1.4407560408118196</v>
      </c>
      <c r="AH313" s="62">
        <f ca="1"/>
        <v>0.49347413359814973</v>
      </c>
      <c r="AI313" s="37"/>
      <c r="AJ313" s="61">
        <f t="shared" ca="1" si="23"/>
        <v>0.23907701528861799</v>
      </c>
      <c r="AK313" s="61">
        <f t="shared" ca="1" si="23"/>
        <v>0.31585975603924499</v>
      </c>
      <c r="AL313" s="61">
        <f t="shared" ca="1" si="23"/>
        <v>-9.7008744432195551E-2</v>
      </c>
      <c r="AM313" s="61">
        <f t="shared" ca="1" si="23"/>
        <v>-0.74898521679833174</v>
      </c>
      <c r="AN313" s="37"/>
      <c r="AO313" s="62">
        <f t="array" aca="1" ref="AO313:AR313" ca="1">TRANSPOSE($B$17:$B$20 + MMULT($D$17:$G$20,TRANSPOSE(AO312:AR312)) + MMULT($N$17:$Q$20,TRANSPOSE(AJ313:AM313)))</f>
        <v>0.81743405360314614</v>
      </c>
      <c r="AP313" s="62">
        <f ca="1"/>
        <v>0.86325395814746653</v>
      </c>
      <c r="AQ313" s="62">
        <f ca="1"/>
        <v>0.72273481159752773</v>
      </c>
      <c r="AR313" s="62">
        <f ca="1"/>
        <v>0.85426884299391137</v>
      </c>
    </row>
    <row r="314" spans="25:44" x14ac:dyDescent="0.15">
      <c r="Y314" s="8">
        <f t="shared" si="24"/>
        <v>311</v>
      </c>
      <c r="Z314" s="61">
        <f t="shared" ca="1" si="22"/>
        <v>-0.42481878239249959</v>
      </c>
      <c r="AA314" s="61">
        <f t="shared" ca="1" si="22"/>
        <v>0.2133844340844481</v>
      </c>
      <c r="AB314" s="61">
        <f t="shared" ca="1" si="22"/>
        <v>-9.1226294601451346E-2</v>
      </c>
      <c r="AC314" s="61">
        <f t="shared" ca="1" si="22"/>
        <v>-1.5413609351882998</v>
      </c>
      <c r="AD314" s="37"/>
      <c r="AE314" s="62">
        <f t="array" aca="1" ref="AE314:AH314" ca="1">TRANSPOSE($B$9:$B$12 + MMULT($D$9:$G$12,TRANSPOSE(AO314:AR314)) + MMULT($N$9:$Q$12, TRANSPOSE(Z314:AC314)))</f>
        <v>0.47656731887010673</v>
      </c>
      <c r="AF314" s="62">
        <f ca="1"/>
        <v>0.85187845517528649</v>
      </c>
      <c r="AG314" s="62">
        <f ca="1"/>
        <v>0.20908597582073307</v>
      </c>
      <c r="AH314" s="62">
        <f ca="1"/>
        <v>0.35551280672209651</v>
      </c>
      <c r="AI314" s="37"/>
      <c r="AJ314" s="61">
        <f t="shared" ca="1" si="23"/>
        <v>-1.1050274265163984</v>
      </c>
      <c r="AK314" s="61">
        <f t="shared" ca="1" si="23"/>
        <v>0.34548763585192499</v>
      </c>
      <c r="AL314" s="61">
        <f t="shared" ca="1" si="23"/>
        <v>-0.13399185522009402</v>
      </c>
      <c r="AM314" s="61">
        <f t="shared" ca="1" si="23"/>
        <v>-1.2805187225429362</v>
      </c>
      <c r="AN314" s="37"/>
      <c r="AO314" s="62">
        <f t="array" aca="1" ref="AO314:AR314" ca="1">TRANSPOSE($B$17:$B$20 + MMULT($D$17:$G$20,TRANSPOSE(AO313:AR313)) + MMULT($N$17:$Q$20,TRANSPOSE(AJ314:AM314)))</f>
        <v>0.32606056792424792</v>
      </c>
      <c r="AP314" s="62">
        <f ca="1"/>
        <v>0.86301903008050906</v>
      </c>
      <c r="AQ314" s="62">
        <f ca="1"/>
        <v>0.46481185532726765</v>
      </c>
      <c r="AR314" s="62">
        <f ca="1"/>
        <v>0.33507894072889688</v>
      </c>
    </row>
    <row r="315" spans="25:44" x14ac:dyDescent="0.15">
      <c r="Y315" s="8">
        <f t="shared" si="24"/>
        <v>312</v>
      </c>
      <c r="Z315" s="61">
        <f t="shared" ca="1" si="22"/>
        <v>0.1886032459874146</v>
      </c>
      <c r="AA315" s="61">
        <f t="shared" ca="1" si="22"/>
        <v>1.431940193152244</v>
      </c>
      <c r="AB315" s="61">
        <f t="shared" ca="1" si="22"/>
        <v>0.49230019600126063</v>
      </c>
      <c r="AC315" s="61">
        <f t="shared" ca="1" si="22"/>
        <v>-1.8905030046152767E-3</v>
      </c>
      <c r="AD315" s="37"/>
      <c r="AE315" s="62">
        <f t="array" aca="1" ref="AE315:AH315" ca="1">TRANSPOSE($B$9:$B$12 + MMULT($D$9:$G$12,TRANSPOSE(AO315:AR315)) + MMULT($N$9:$Q$12, TRANSPOSE(Z315:AC315)))</f>
        <v>1.0683692012236508</v>
      </c>
      <c r="AF315" s="62">
        <f ca="1"/>
        <v>1.1821052522518536</v>
      </c>
      <c r="AG315" s="62">
        <f ca="1"/>
        <v>0.84930039862023621</v>
      </c>
      <c r="AH315" s="62">
        <f ca="1"/>
        <v>0.45973687587775708</v>
      </c>
      <c r="AI315" s="37"/>
      <c r="AJ315" s="61">
        <f t="shared" ca="1" si="23"/>
        <v>0.7391530672970108</v>
      </c>
      <c r="AK315" s="61">
        <f t="shared" ca="1" si="23"/>
        <v>-0.28490651403040784</v>
      </c>
      <c r="AL315" s="61">
        <f t="shared" ca="1" si="23"/>
        <v>-0.42451494764011005</v>
      </c>
      <c r="AM315" s="61">
        <f t="shared" ca="1" si="23"/>
        <v>-0.53500613167098388</v>
      </c>
      <c r="AN315" s="37"/>
      <c r="AO315" s="62">
        <f t="array" aca="1" ref="AO315:AR315" ca="1">TRANSPOSE($B$17:$B$20 + MMULT($D$17:$G$20,TRANSPOSE(AO314:AR314)) + MMULT($N$17:$Q$20,TRANSPOSE(AJ315:AM315)))</f>
        <v>0.755000663704682</v>
      </c>
      <c r="AP315" s="62">
        <f ca="1"/>
        <v>0.3592233730178494</v>
      </c>
      <c r="AQ315" s="62">
        <f ca="1"/>
        <v>0.56557951951872043</v>
      </c>
      <c r="AR315" s="62">
        <f ca="1"/>
        <v>0.53833222188302665</v>
      </c>
    </row>
    <row r="316" spans="25:44" x14ac:dyDescent="0.15">
      <c r="Y316" s="8">
        <f t="shared" si="24"/>
        <v>313</v>
      </c>
      <c r="Z316" s="61">
        <f t="shared" ca="1" si="22"/>
        <v>0.95361880649322373</v>
      </c>
      <c r="AA316" s="61">
        <f t="shared" ca="1" si="22"/>
        <v>-0.79890739887373063</v>
      </c>
      <c r="AB316" s="61">
        <f t="shared" ca="1" si="22"/>
        <v>0.85493840498417595</v>
      </c>
      <c r="AC316" s="61">
        <f t="shared" ca="1" si="22"/>
        <v>0.30573468978841578</v>
      </c>
      <c r="AD316" s="37"/>
      <c r="AE316" s="62">
        <f t="array" aca="1" ref="AE316:AH316" ca="1">TRANSPOSE($B$9:$B$12 + MMULT($D$9:$G$12,TRANSPOSE(AO316:AR316)) + MMULT($N$9:$Q$12, TRANSPOSE(Z316:AC316)))</f>
        <v>0.28530265969074842</v>
      </c>
      <c r="AF316" s="62">
        <f ca="1"/>
        <v>0.86465000170559558</v>
      </c>
      <c r="AG316" s="62">
        <f ca="1"/>
        <v>0.20422498444135753</v>
      </c>
      <c r="AH316" s="62">
        <f ca="1"/>
        <v>0.43495578822141245</v>
      </c>
      <c r="AI316" s="37"/>
      <c r="AJ316" s="61">
        <f t="shared" ca="1" si="23"/>
        <v>-1.9617852700049636</v>
      </c>
      <c r="AK316" s="61">
        <f t="shared" ca="1" si="23"/>
        <v>1.0520201955481243</v>
      </c>
      <c r="AL316" s="61">
        <f t="shared" ca="1" si="23"/>
        <v>-0.80179804623484663</v>
      </c>
      <c r="AM316" s="61">
        <f t="shared" ca="1" si="23"/>
        <v>0.69021611210500544</v>
      </c>
      <c r="AN316" s="37"/>
      <c r="AO316" s="62">
        <f t="array" aca="1" ref="AO316:AR316" ca="1">TRANSPOSE($B$17:$B$20 + MMULT($D$17:$G$20,TRANSPOSE(AO315:AR315)) + MMULT($N$17:$Q$20,TRANSPOSE(AJ316:AM316)))</f>
        <v>-5.3355167445900742E-2</v>
      </c>
      <c r="AP316" s="62">
        <f ca="1"/>
        <v>0.93932847159766508</v>
      </c>
      <c r="AQ316" s="62">
        <f ca="1"/>
        <v>-0.31032302254536503</v>
      </c>
      <c r="AR316" s="62">
        <f ca="1"/>
        <v>0.29612381758599415</v>
      </c>
    </row>
    <row r="317" spans="25:44" x14ac:dyDescent="0.15">
      <c r="Y317" s="8">
        <f t="shared" si="24"/>
        <v>314</v>
      </c>
      <c r="Z317" s="61">
        <f t="shared" ca="1" si="22"/>
        <v>0.71294390428173537</v>
      </c>
      <c r="AA317" s="61">
        <f t="shared" ca="1" si="22"/>
        <v>-0.16091511141659165</v>
      </c>
      <c r="AB317" s="61">
        <f t="shared" ca="1" si="22"/>
        <v>-0.58031756752595864</v>
      </c>
      <c r="AC317" s="61">
        <f t="shared" ca="1" si="22"/>
        <v>-2.1941602488979912</v>
      </c>
      <c r="AD317" s="37"/>
      <c r="AE317" s="62">
        <f t="array" aca="1" ref="AE317:AH317" ca="1">TRANSPOSE($B$9:$B$12 + MMULT($D$9:$G$12,TRANSPOSE(AO317:AR317)) + MMULT($N$9:$Q$12, TRANSPOSE(Z317:AC317)))</f>
        <v>1.0825795283966286</v>
      </c>
      <c r="AF317" s="62">
        <f ca="1"/>
        <v>0.25789611200558771</v>
      </c>
      <c r="AG317" s="62">
        <f ca="1"/>
        <v>0.60301592761338685</v>
      </c>
      <c r="AH317" s="62">
        <f ca="1"/>
        <v>-0.26481439085185021</v>
      </c>
      <c r="AI317" s="37"/>
      <c r="AJ317" s="61">
        <f t="shared" ca="1" si="23"/>
        <v>1.3945449818002968</v>
      </c>
      <c r="AK317" s="61">
        <f t="shared" ca="1" si="23"/>
        <v>-1.3276377345577886</v>
      </c>
      <c r="AL317" s="61">
        <f t="shared" ca="1" si="23"/>
        <v>-1.2492355453788635</v>
      </c>
      <c r="AM317" s="61">
        <f t="shared" ca="1" si="23"/>
        <v>7.3243828298087885E-2</v>
      </c>
      <c r="AN317" s="37"/>
      <c r="AO317" s="62">
        <f t="array" aca="1" ref="AO317:AR317" ca="1">TRANSPOSE($B$17:$B$20 + MMULT($D$17:$G$20,TRANSPOSE(AO316:AR316)) + MMULT($N$17:$Q$20,TRANSPOSE(AJ317:AM317)))</f>
        <v>0.76523507594017492</v>
      </c>
      <c r="AP317" s="62">
        <f ca="1"/>
        <v>-0.24125603168413989</v>
      </c>
      <c r="AQ317" s="62">
        <f ca="1"/>
        <v>0.20429264470238018</v>
      </c>
      <c r="AR317" s="62">
        <f ca="1"/>
        <v>0.57540795212191731</v>
      </c>
    </row>
    <row r="318" spans="25:44" x14ac:dyDescent="0.15">
      <c r="Y318" s="8">
        <f t="shared" si="24"/>
        <v>315</v>
      </c>
      <c r="Z318" s="61">
        <f t="shared" ca="1" si="22"/>
        <v>-2.1758576199438844</v>
      </c>
      <c r="AA318" s="61">
        <f t="shared" ca="1" si="22"/>
        <v>0.44032137757970552</v>
      </c>
      <c r="AB318" s="61">
        <f t="shared" ca="1" si="22"/>
        <v>0.33292545071236068</v>
      </c>
      <c r="AC318" s="61">
        <f t="shared" ca="1" si="22"/>
        <v>-1.4217873075760814</v>
      </c>
      <c r="AD318" s="37"/>
      <c r="AE318" s="62">
        <f t="array" aca="1" ref="AE318:AH318" ca="1">TRANSPOSE($B$9:$B$12 + MMULT($D$9:$G$12,TRANSPOSE(AO318:AR318)) + MMULT($N$9:$Q$12, TRANSPOSE(Z318:AC318)))</f>
        <v>-0.40575546936264983</v>
      </c>
      <c r="AF318" s="62">
        <f ca="1"/>
        <v>0.48410427340448092</v>
      </c>
      <c r="AG318" s="62">
        <f ca="1"/>
        <v>0.11633646680836124</v>
      </c>
      <c r="AH318" s="62">
        <f ca="1"/>
        <v>-4.6164295801720434E-2</v>
      </c>
      <c r="AI318" s="37"/>
      <c r="AJ318" s="61">
        <f t="shared" ca="1" si="23"/>
        <v>-1.3694447136447061</v>
      </c>
      <c r="AK318" s="61">
        <f t="shared" ca="1" si="23"/>
        <v>1.4600629548505282</v>
      </c>
      <c r="AL318" s="61">
        <f t="shared" ca="1" si="23"/>
        <v>1.0143302386672322</v>
      </c>
      <c r="AM318" s="61">
        <f t="shared" ca="1" si="23"/>
        <v>-1.5330352376976315</v>
      </c>
      <c r="AN318" s="37"/>
      <c r="AO318" s="62">
        <f t="array" aca="1" ref="AO318:AR318" ca="1">TRANSPOSE($B$17:$B$20 + MMULT($D$17:$G$20,TRANSPOSE(AO317:AR317)) + MMULT($N$17:$Q$20,TRANSPOSE(AJ318:AM318)))</f>
        <v>5.3823331234828964E-2</v>
      </c>
      <c r="AP318" s="62">
        <f ca="1"/>
        <v>0.94461716096687065</v>
      </c>
      <c r="AQ318" s="62">
        <f ca="1"/>
        <v>0.26079125159036021</v>
      </c>
      <c r="AR318" s="62">
        <f ca="1"/>
        <v>-0.24734994983137881</v>
      </c>
    </row>
    <row r="319" spans="25:44" x14ac:dyDescent="0.15">
      <c r="Y319" s="8">
        <f t="shared" si="24"/>
        <v>316</v>
      </c>
      <c r="Z319" s="61">
        <f t="shared" ca="1" si="22"/>
        <v>0.38686193147111875</v>
      </c>
      <c r="AA319" s="61">
        <f t="shared" ca="1" si="22"/>
        <v>1.0443889772852974</v>
      </c>
      <c r="AB319" s="61">
        <f t="shared" ca="1" si="22"/>
        <v>-1.4631662001788626</v>
      </c>
      <c r="AC319" s="61">
        <f t="shared" ca="1" si="22"/>
        <v>-0.74717934802080999</v>
      </c>
      <c r="AD319" s="37"/>
      <c r="AE319" s="62">
        <f t="array" aca="1" ref="AE319:AH319" ca="1">TRANSPOSE($B$9:$B$12 + MMULT($D$9:$G$12,TRANSPOSE(AO319:AR319)) + MMULT($N$9:$Q$12, TRANSPOSE(Z319:AC319)))</f>
        <v>0.59101713556875535</v>
      </c>
      <c r="AF319" s="62">
        <f ca="1"/>
        <v>0.80384843489889934</v>
      </c>
      <c r="AG319" s="62">
        <f ca="1"/>
        <v>-0.12596037838961616</v>
      </c>
      <c r="AH319" s="62">
        <f ca="1"/>
        <v>0.39528411299437166</v>
      </c>
      <c r="AI319" s="37"/>
      <c r="AJ319" s="61">
        <f t="shared" ca="1" si="23"/>
        <v>-0.40752468795923164</v>
      </c>
      <c r="AK319" s="61">
        <f t="shared" ca="1" si="23"/>
        <v>-0.28264996822461758</v>
      </c>
      <c r="AL319" s="61">
        <f t="shared" ca="1" si="23"/>
        <v>-0.4720590648713795</v>
      </c>
      <c r="AM319" s="61">
        <f t="shared" ca="1" si="23"/>
        <v>0.75957080527271392</v>
      </c>
      <c r="AN319" s="37"/>
      <c r="AO319" s="62">
        <f t="array" aca="1" ref="AO319:AR319" ca="1">TRANSPOSE($B$17:$B$20 + MMULT($D$17:$G$20,TRANSPOSE(AO318:AR318)) + MMULT($N$17:$Q$20,TRANSPOSE(AJ319:AM319)))</f>
        <v>0.24542962842493185</v>
      </c>
      <c r="AP319" s="62">
        <f ca="1"/>
        <v>0.17479814171938673</v>
      </c>
      <c r="AQ319" s="62">
        <f ca="1"/>
        <v>0.22873703765608527</v>
      </c>
      <c r="AR319" s="62">
        <f ca="1"/>
        <v>0.50243104858770882</v>
      </c>
    </row>
    <row r="320" spans="25:44" x14ac:dyDescent="0.15">
      <c r="Y320" s="8">
        <f t="shared" si="24"/>
        <v>317</v>
      </c>
      <c r="Z320" s="61">
        <f t="shared" ca="1" si="22"/>
        <v>0.41690631876542211</v>
      </c>
      <c r="AA320" s="61">
        <f t="shared" ca="1" si="22"/>
        <v>0.27856045742770191</v>
      </c>
      <c r="AB320" s="61">
        <f t="shared" ca="1" si="22"/>
        <v>-0.7223935756467158</v>
      </c>
      <c r="AC320" s="61">
        <f t="shared" ca="1" si="22"/>
        <v>0.94821196382350603</v>
      </c>
      <c r="AD320" s="37"/>
      <c r="AE320" s="62">
        <f t="array" aca="1" ref="AE320:AH320" ca="1">TRANSPOSE($B$9:$B$12 + MMULT($D$9:$G$12,TRANSPOSE(AO320:AR320)) + MMULT($N$9:$Q$12, TRANSPOSE(Z320:AC320)))</f>
        <v>1.0117117641197144</v>
      </c>
      <c r="AF320" s="62">
        <f ca="1"/>
        <v>0.29721854088320743</v>
      </c>
      <c r="AG320" s="62">
        <f ca="1"/>
        <v>0.94556954443716279</v>
      </c>
      <c r="AH320" s="62">
        <f ca="1"/>
        <v>0.83101992760919163</v>
      </c>
      <c r="AI320" s="37"/>
      <c r="AJ320" s="61">
        <f t="shared" ca="1" si="23"/>
        <v>0.88597423624730842</v>
      </c>
      <c r="AK320" s="61">
        <f t="shared" ca="1" si="23"/>
        <v>-1.3735272683477395</v>
      </c>
      <c r="AL320" s="61">
        <f t="shared" ca="1" si="23"/>
        <v>-0.14670287207704655</v>
      </c>
      <c r="AM320" s="61">
        <f t="shared" ca="1" si="23"/>
        <v>1.0726146987347687</v>
      </c>
      <c r="AN320" s="37"/>
      <c r="AO320" s="62">
        <f t="array" aca="1" ref="AO320:AR320" ca="1">TRANSPOSE($B$17:$B$20 + MMULT($D$17:$G$20,TRANSPOSE(AO319:AR319)) + MMULT($N$17:$Q$20,TRANSPOSE(AJ320:AM320)))</f>
        <v>0.70704186214430487</v>
      </c>
      <c r="AP320" s="62">
        <f ca="1"/>
        <v>-0.29673326964381508</v>
      </c>
      <c r="AQ320" s="62">
        <f ca="1"/>
        <v>0.5478897816085011</v>
      </c>
      <c r="AR320" s="62">
        <f ca="1"/>
        <v>1.0293747507110138</v>
      </c>
    </row>
    <row r="321" spans="25:44" x14ac:dyDescent="0.15">
      <c r="Y321" s="8">
        <f t="shared" si="24"/>
        <v>318</v>
      </c>
      <c r="Z321" s="61">
        <f t="shared" ca="1" si="22"/>
        <v>5.6037421156793353E-2</v>
      </c>
      <c r="AA321" s="61">
        <f t="shared" ca="1" si="22"/>
        <v>-2.2768015819400116</v>
      </c>
      <c r="AB321" s="61">
        <f t="shared" ca="1" si="22"/>
        <v>0.3155709315150661</v>
      </c>
      <c r="AC321" s="61">
        <f t="shared" ca="1" si="22"/>
        <v>6.8763420313478055E-2</v>
      </c>
      <c r="AD321" s="37"/>
      <c r="AE321" s="62">
        <f t="array" aca="1" ref="AE321:AH321" ca="1">TRANSPOSE($B$9:$B$12 + MMULT($D$9:$G$12,TRANSPOSE(AO321:AR321)) + MMULT($N$9:$Q$12, TRANSPOSE(Z321:AC321)))</f>
        <v>0.88687774269624009</v>
      </c>
      <c r="AF321" s="62">
        <f ca="1"/>
        <v>-0.47319260302446453</v>
      </c>
      <c r="AG321" s="62">
        <f ca="1"/>
        <v>1.1073123245622272</v>
      </c>
      <c r="AH321" s="62">
        <f ca="1"/>
        <v>0.49692528093525906</v>
      </c>
      <c r="AI321" s="37"/>
      <c r="AJ321" s="61">
        <f t="shared" ca="1" si="23"/>
        <v>0.54484829424781944</v>
      </c>
      <c r="AK321" s="61">
        <f t="shared" ca="1" si="23"/>
        <v>-0.86468387505606947</v>
      </c>
      <c r="AL321" s="61">
        <f t="shared" ca="1" si="23"/>
        <v>-0.20114245801922301</v>
      </c>
      <c r="AM321" s="61">
        <f t="shared" ca="1" si="23"/>
        <v>-0.40075623131047666</v>
      </c>
      <c r="AN321" s="37"/>
      <c r="AO321" s="62">
        <f t="array" aca="1" ref="AO321:AR321" ca="1">TRANSPOSE($B$17:$B$20 + MMULT($D$17:$G$20,TRANSPOSE(AO320:AR320)) + MMULT($N$17:$Q$20,TRANSPOSE(AJ321:AM321)))</f>
        <v>0.75173288258859883</v>
      </c>
      <c r="AP321" s="62">
        <f ca="1"/>
        <v>4.6624478756132681E-2</v>
      </c>
      <c r="AQ321" s="62">
        <f ca="1"/>
        <v>0.43393851279353962</v>
      </c>
      <c r="AR321" s="62">
        <f ca="1"/>
        <v>0.74075188704826667</v>
      </c>
    </row>
    <row r="322" spans="25:44" x14ac:dyDescent="0.15">
      <c r="Y322" s="8">
        <f t="shared" si="24"/>
        <v>319</v>
      </c>
      <c r="Z322" s="61">
        <f t="shared" ca="1" si="22"/>
        <v>1.5198516181882917</v>
      </c>
      <c r="AA322" s="61">
        <f t="shared" ca="1" si="22"/>
        <v>-1.1093619939170529</v>
      </c>
      <c r="AB322" s="61">
        <f t="shared" ca="1" si="22"/>
        <v>-0.22597238441750525</v>
      </c>
      <c r="AC322" s="61">
        <f t="shared" ca="1" si="22"/>
        <v>-0.70195255004390877</v>
      </c>
      <c r="AD322" s="37"/>
      <c r="AE322" s="62">
        <f t="array" aca="1" ref="AE322:AH322" ca="1">TRANSPOSE($B$9:$B$12 + MMULT($D$9:$G$12,TRANSPOSE(AO322:AR322)) + MMULT($N$9:$Q$12, TRANSPOSE(Z322:AC322)))</f>
        <v>2.1378689806539297</v>
      </c>
      <c r="AF322" s="62">
        <f ca="1"/>
        <v>0.70104060208111052</v>
      </c>
      <c r="AG322" s="62">
        <f ca="1"/>
        <v>0.42041042778711063</v>
      </c>
      <c r="AH322" s="62">
        <f ca="1"/>
        <v>0.93612899581246301</v>
      </c>
      <c r="AI322" s="37"/>
      <c r="AJ322" s="61">
        <f t="shared" ca="1" si="23"/>
        <v>1.5196189322494953</v>
      </c>
      <c r="AK322" s="61">
        <f t="shared" ca="1" si="23"/>
        <v>0.28238989012116356</v>
      </c>
      <c r="AL322" s="61">
        <f t="shared" ca="1" si="23"/>
        <v>1.0580306933837835</v>
      </c>
      <c r="AM322" s="61">
        <f t="shared" ca="1" si="23"/>
        <v>-0.42648110506710035</v>
      </c>
      <c r="AN322" s="37"/>
      <c r="AO322" s="62">
        <f t="array" aca="1" ref="AO322:AR322" ca="1">TRANSPOSE($B$17:$B$20 + MMULT($D$17:$G$20,TRANSPOSE(AO321:AR321)) + MMULT($N$17:$Q$20,TRANSPOSE(AJ322:AM322)))</f>
        <v>1.0852941008047803</v>
      </c>
      <c r="AP322" s="62">
        <f ca="1"/>
        <v>0.59570706176987276</v>
      </c>
      <c r="AQ322" s="62">
        <f ca="1"/>
        <v>1.1063308182573484</v>
      </c>
      <c r="AR322" s="62">
        <f ca="1"/>
        <v>0.69616388638715043</v>
      </c>
    </row>
    <row r="323" spans="25:44" x14ac:dyDescent="0.15">
      <c r="Y323" s="8">
        <f t="shared" si="24"/>
        <v>320</v>
      </c>
      <c r="Z323" s="61">
        <f t="shared" ca="1" si="22"/>
        <v>1.1187856391105073</v>
      </c>
      <c r="AA323" s="61">
        <f t="shared" ca="1" si="22"/>
        <v>-0.28219701104385614</v>
      </c>
      <c r="AB323" s="61">
        <f t="shared" ca="1" si="22"/>
        <v>1.6899447786878972</v>
      </c>
      <c r="AC323" s="61">
        <f ca="1">NORMSINV(RAND())</f>
        <v>-0.85136990965467529</v>
      </c>
      <c r="AD323" s="37"/>
      <c r="AE323" s="62">
        <f t="array" aca="1" ref="AE323:AH323" ca="1">TRANSPOSE($B$9:$B$12 + MMULT($D$9:$G$12,TRANSPOSE(AO323:AR323)) + MMULT($N$9:$Q$12, TRANSPOSE(Z323:AC323)))</f>
        <v>1.6489330265470201</v>
      </c>
      <c r="AF323" s="62">
        <f ca="1"/>
        <v>0.88177243536588468</v>
      </c>
      <c r="AG323" s="62">
        <f ca="1"/>
        <v>1.2975966614664189</v>
      </c>
      <c r="AH323" s="62">
        <f ca="1"/>
        <v>0.65218127453735886</v>
      </c>
      <c r="AI323" s="37"/>
      <c r="AJ323" s="61">
        <f t="shared" ca="1" si="23"/>
        <v>0.17049609695246609</v>
      </c>
      <c r="AK323" s="61">
        <f t="shared" ca="1" si="23"/>
        <v>-0.4935093197384906</v>
      </c>
      <c r="AL323" s="61">
        <f t="shared" ca="1" si="23"/>
        <v>-2.015545975549788E-2</v>
      </c>
      <c r="AM323" s="61">
        <f ca="1">NORMSINV(RAND())</f>
        <v>-0.99338974001097635</v>
      </c>
      <c r="AN323" s="37"/>
      <c r="AO323" s="62">
        <f t="array" aca="1" ref="AO323:AR323" ca="1">TRANSPOSE($B$17:$B$20 + MMULT($D$17:$G$20,TRANSPOSE(AO322:AR322)) + MMULT($N$17:$Q$20,TRANSPOSE(AJ323:AM323)))</f>
        <v>0.85526937138653214</v>
      </c>
      <c r="AP323" s="62">
        <f ca="1"/>
        <v>0.54968637707499213</v>
      </c>
      <c r="AQ323" s="62">
        <f ca="1"/>
        <v>0.88173072321266377</v>
      </c>
      <c r="AR323" s="62">
        <f ca="1"/>
        <v>0.76387376606722757</v>
      </c>
    </row>
    <row r="324" spans="25:44" x14ac:dyDescent="0.15">
      <c r="Y324" s="8">
        <f t="shared" si="24"/>
        <v>321</v>
      </c>
      <c r="Z324" s="61">
        <f t="shared" ref="Z324:AC387" ca="1" si="25">NORMSINV(RAND())</f>
        <v>0.37526886069969068</v>
      </c>
      <c r="AA324" s="61">
        <f t="shared" ca="1" si="25"/>
        <v>-1.1512375979011276</v>
      </c>
      <c r="AB324" s="61">
        <f t="shared" ca="1" si="25"/>
        <v>-0.79303514592470625</v>
      </c>
      <c r="AC324" s="61">
        <f t="shared" ca="1" si="25"/>
        <v>-1.3649752350479558</v>
      </c>
      <c r="AD324" s="37"/>
      <c r="AE324" s="62">
        <f t="array" aca="1" ref="AE324:AH324" ca="1">TRANSPOSE($B$9:$B$12 + MMULT($D$9:$G$12,TRANSPOSE(AO324:AR324)) + MMULT($N$9:$Q$12, TRANSPOSE(Z324:AC324)))</f>
        <v>1.2890208343441225</v>
      </c>
      <c r="AF324" s="62">
        <f ca="1"/>
        <v>0.27378656690166103</v>
      </c>
      <c r="AG324" s="62">
        <f ca="1"/>
        <v>0.4266019351150302</v>
      </c>
      <c r="AH324" s="62">
        <f ca="1"/>
        <v>0.99532470891456115</v>
      </c>
      <c r="AI324" s="37"/>
      <c r="AJ324" s="61">
        <f t="shared" ref="AJ324:AM387" ca="1" si="26">NORMSINV(RAND())</f>
        <v>-0.16588833407125173</v>
      </c>
      <c r="AK324" s="61">
        <f t="shared" ca="1" si="26"/>
        <v>-0.30147983326784616</v>
      </c>
      <c r="AL324" s="61">
        <f t="shared" ca="1" si="26"/>
        <v>0.8601933023648044</v>
      </c>
      <c r="AM324" s="61">
        <f t="shared" ca="1" si="26"/>
        <v>-0.24544312240106739</v>
      </c>
      <c r="AN324" s="37"/>
      <c r="AO324" s="62">
        <f t="array" aca="1" ref="AO324:AR324" ca="1">TRANSPOSE($B$17:$B$20 + MMULT($D$17:$G$20,TRANSPOSE(AO323:AR323)) + MMULT($N$17:$Q$20,TRANSPOSE(AJ324:AM324)))</f>
        <v>0.64866381861485922</v>
      </c>
      <c r="AP324" s="62">
        <f ca="1"/>
        <v>0.53086554039909939</v>
      </c>
      <c r="AQ324" s="62">
        <f ca="1"/>
        <v>1.0847348561066426</v>
      </c>
      <c r="AR324" s="62">
        <f ca="1"/>
        <v>0.89345119611403856</v>
      </c>
    </row>
    <row r="325" spans="25:44" x14ac:dyDescent="0.15">
      <c r="Y325" s="8">
        <f t="shared" ref="Y325:Y388" si="27">Y324+1</f>
        <v>322</v>
      </c>
      <c r="Z325" s="61">
        <f t="shared" ca="1" si="25"/>
        <v>0.14751919148346521</v>
      </c>
      <c r="AA325" s="61">
        <f t="shared" ca="1" si="25"/>
        <v>0.39186760943483429</v>
      </c>
      <c r="AB325" s="61">
        <f t="shared" ca="1" si="25"/>
        <v>-2.2278267692609668</v>
      </c>
      <c r="AC325" s="61">
        <f t="shared" ca="1" si="25"/>
        <v>1.1080484337671614</v>
      </c>
      <c r="AD325" s="37"/>
      <c r="AE325" s="62">
        <f t="array" aca="1" ref="AE325:AH325" ca="1">TRANSPOSE($B$9:$B$12 + MMULT($D$9:$G$12,TRANSPOSE(AO325:AR325)) + MMULT($N$9:$Q$12, TRANSPOSE(Z325:AC325)))</f>
        <v>0.65603662691418441</v>
      </c>
      <c r="AF325" s="62">
        <f ca="1"/>
        <v>0.57158349261280128</v>
      </c>
      <c r="AG325" s="62">
        <f ca="1"/>
        <v>-0.25889210324233658</v>
      </c>
      <c r="AH325" s="62">
        <f ca="1"/>
        <v>0.99881827692668268</v>
      </c>
      <c r="AI325" s="37"/>
      <c r="AJ325" s="61">
        <f t="shared" ca="1" si="26"/>
        <v>-0.92071712417942897</v>
      </c>
      <c r="AK325" s="61">
        <f t="shared" ca="1" si="26"/>
        <v>-0.92538843425514083</v>
      </c>
      <c r="AL325" s="61">
        <f t="shared" ca="1" si="26"/>
        <v>-0.58327075335565837</v>
      </c>
      <c r="AM325" s="61">
        <f t="shared" ca="1" si="26"/>
        <v>-1.1598961928328313</v>
      </c>
      <c r="AN325" s="37"/>
      <c r="AO325" s="62">
        <f t="array" aca="1" ref="AO325:AR325" ca="1">TRANSPOSE($B$17:$B$20 + MMULT($D$17:$G$20,TRANSPOSE(AO324:AR324)) + MMULT($N$17:$Q$20,TRANSPOSE(AJ325:AM325)))</f>
        <v>0.3756259620517029</v>
      </c>
      <c r="AP325" s="62">
        <f ca="1"/>
        <v>0.2180161622538172</v>
      </c>
      <c r="AQ325" s="62">
        <f ca="1"/>
        <v>0.40712670666283735</v>
      </c>
      <c r="AR325" s="62">
        <f ca="1"/>
        <v>0.64652853034742741</v>
      </c>
    </row>
    <row r="326" spans="25:44" x14ac:dyDescent="0.15">
      <c r="Y326" s="8">
        <f t="shared" si="27"/>
        <v>323</v>
      </c>
      <c r="Z326" s="61">
        <f t="shared" ca="1" si="25"/>
        <v>1.4952942912220235</v>
      </c>
      <c r="AA326" s="61">
        <f t="shared" ca="1" si="25"/>
        <v>0.45664708323090297</v>
      </c>
      <c r="AB326" s="61">
        <f t="shared" ca="1" si="25"/>
        <v>-0.83584432280187115</v>
      </c>
      <c r="AC326" s="61">
        <f t="shared" ca="1" si="25"/>
        <v>0.4690647493429797</v>
      </c>
      <c r="AD326" s="37"/>
      <c r="AE326" s="62">
        <f t="array" aca="1" ref="AE326:AH326" ca="1">TRANSPOSE($B$9:$B$12 + MMULT($D$9:$G$12,TRANSPOSE(AO326:AR326)) + MMULT($N$9:$Q$12, TRANSPOSE(Z326:AC326)))</f>
        <v>0.95327293553221371</v>
      </c>
      <c r="AF326" s="62">
        <f ca="1"/>
        <v>0.98729972141291955</v>
      </c>
      <c r="AG326" s="62">
        <f ca="1"/>
        <v>0.22772197514075654</v>
      </c>
      <c r="AH326" s="62">
        <f ca="1"/>
        <v>0.47142176279106329</v>
      </c>
      <c r="AI326" s="37"/>
      <c r="AJ326" s="61">
        <f t="shared" ca="1" si="26"/>
        <v>-2.413053503046473E-2</v>
      </c>
      <c r="AK326" s="61">
        <f t="shared" ca="1" si="26"/>
        <v>-0.50527197931674039</v>
      </c>
      <c r="AL326" s="61">
        <f t="shared" ca="1" si="26"/>
        <v>-1.1682433933440577</v>
      </c>
      <c r="AM326" s="61">
        <f t="shared" ca="1" si="26"/>
        <v>0.83852424652553903</v>
      </c>
      <c r="AN326" s="37"/>
      <c r="AO326" s="62">
        <f t="array" aca="1" ref="AO326:AR326" ca="1">TRANSPOSE($B$17:$B$20 + MMULT($D$17:$G$20,TRANSPOSE(AO325:AR325)) + MMULT($N$17:$Q$20,TRANSPOSE(AJ326:AM326)))</f>
        <v>0.47125961039301412</v>
      </c>
      <c r="AP326" s="62">
        <f ca="1"/>
        <v>0.14713053659019765</v>
      </c>
      <c r="AQ326" s="62">
        <f ca="1"/>
        <v>-7.865218360566234E-2</v>
      </c>
      <c r="AR326" s="62">
        <f ca="1"/>
        <v>0.71513462372487613</v>
      </c>
    </row>
    <row r="327" spans="25:44" x14ac:dyDescent="0.15">
      <c r="Y327" s="8">
        <f t="shared" si="27"/>
        <v>324</v>
      </c>
      <c r="Z327" s="61">
        <f t="shared" ca="1" si="25"/>
        <v>-0.61132403887030751</v>
      </c>
      <c r="AA327" s="61">
        <f t="shared" ca="1" si="25"/>
        <v>0.16392477729560678</v>
      </c>
      <c r="AB327" s="61">
        <f t="shared" ca="1" si="25"/>
        <v>1.9140367313149105</v>
      </c>
      <c r="AC327" s="61">
        <f t="shared" ca="1" si="25"/>
        <v>1.8316816019123552</v>
      </c>
      <c r="AD327" s="37"/>
      <c r="AE327" s="62">
        <f t="array" aca="1" ref="AE327:AH327" ca="1">TRANSPOSE($B$9:$B$12 + MMULT($D$9:$G$12,TRANSPOSE(AO327:AR327)) + MMULT($N$9:$Q$12, TRANSPOSE(Z327:AC327)))</f>
        <v>-0.34812669654850281</v>
      </c>
      <c r="AF327" s="62">
        <f ca="1"/>
        <v>0.61426351603541551</v>
      </c>
      <c r="AG327" s="62">
        <f ca="1"/>
        <v>0.94435711933448718</v>
      </c>
      <c r="AH327" s="62">
        <f ca="1"/>
        <v>0.32256873865843938</v>
      </c>
      <c r="AI327" s="37"/>
      <c r="AJ327" s="61">
        <f t="shared" ca="1" si="26"/>
        <v>-1.4730357693606726</v>
      </c>
      <c r="AK327" s="61">
        <f t="shared" ca="1" si="26"/>
        <v>0.68114957329005255</v>
      </c>
      <c r="AL327" s="61">
        <f t="shared" ca="1" si="26"/>
        <v>-0.63494563843990215</v>
      </c>
      <c r="AM327" s="61">
        <f t="shared" ca="1" si="26"/>
        <v>0.40901883218077983</v>
      </c>
      <c r="AN327" s="37"/>
      <c r="AO327" s="62">
        <f t="array" aca="1" ref="AO327:AR327" ca="1">TRANSPOSE($B$17:$B$20 + MMULT($D$17:$G$20,TRANSPOSE(AO326:AR326)) + MMULT($N$17:$Q$20,TRANSPOSE(AJ327:AM327)))</f>
        <v>-6.5098718131982258E-2</v>
      </c>
      <c r="AP327" s="62">
        <f ca="1"/>
        <v>0.61806090461838692</v>
      </c>
      <c r="AQ327" s="62">
        <f ca="1"/>
        <v>-0.37411766735414587</v>
      </c>
      <c r="AR327" s="62">
        <f ca="1"/>
        <v>0.15123831252794323</v>
      </c>
    </row>
    <row r="328" spans="25:44" x14ac:dyDescent="0.15">
      <c r="Y328" s="8">
        <f t="shared" si="27"/>
        <v>325</v>
      </c>
      <c r="Z328" s="61">
        <f t="shared" ca="1" si="25"/>
        <v>-0.21814219631040846</v>
      </c>
      <c r="AA328" s="61">
        <f t="shared" ca="1" si="25"/>
        <v>1.8149702741945566</v>
      </c>
      <c r="AB328" s="61">
        <f t="shared" ca="1" si="25"/>
        <v>1.3099008045365694</v>
      </c>
      <c r="AC328" s="61">
        <f t="shared" ca="1" si="25"/>
        <v>1.7304502023959865</v>
      </c>
      <c r="AD328" s="37"/>
      <c r="AE328" s="62">
        <f t="array" aca="1" ref="AE328:AH328" ca="1">TRANSPOSE($B$9:$B$12 + MMULT($D$9:$G$12,TRANSPOSE(AO328:AR328)) + MMULT($N$9:$Q$12, TRANSPOSE(Z328:AC328)))</f>
        <v>0.90414411964744912</v>
      </c>
      <c r="AF328" s="62">
        <f ca="1"/>
        <v>0.64350464591973722</v>
      </c>
      <c r="AG328" s="62">
        <f ca="1"/>
        <v>1.1309881492696006</v>
      </c>
      <c r="AH328" s="62">
        <f ca="1"/>
        <v>1.1393485136258719</v>
      </c>
      <c r="AI328" s="37"/>
      <c r="AJ328" s="61">
        <f t="shared" ca="1" si="26"/>
        <v>0.12203779864308542</v>
      </c>
      <c r="AK328" s="61">
        <f t="shared" ca="1" si="26"/>
        <v>-0.41385435416469502</v>
      </c>
      <c r="AL328" s="61">
        <f t="shared" ca="1" si="26"/>
        <v>1.6989656268289379</v>
      </c>
      <c r="AM328" s="61">
        <f t="shared" ca="1" si="26"/>
        <v>3.0263244632261641E-2</v>
      </c>
      <c r="AN328" s="37"/>
      <c r="AO328" s="62">
        <f t="array" aca="1" ref="AO328:AR328" ca="1">TRANSPOSE($B$17:$B$20 + MMULT($D$17:$G$20,TRANSPOSE(AO327:AR327)) + MMULT($N$17:$Q$20,TRANSPOSE(AJ328:AM328)))</f>
        <v>0.29437258687765522</v>
      </c>
      <c r="AP328" s="62">
        <f ca="1"/>
        <v>1.4105698340206557E-2</v>
      </c>
      <c r="AQ328" s="62">
        <f ca="1"/>
        <v>1.0355764617749739</v>
      </c>
      <c r="AR328" s="62">
        <f ca="1"/>
        <v>0.48515716334656478</v>
      </c>
    </row>
    <row r="329" spans="25:44" x14ac:dyDescent="0.15">
      <c r="Y329" s="8">
        <f t="shared" si="27"/>
        <v>326</v>
      </c>
      <c r="Z329" s="61">
        <f t="shared" ca="1" si="25"/>
        <v>-0.29957208108701927</v>
      </c>
      <c r="AA329" s="61">
        <f t="shared" ca="1" si="25"/>
        <v>-1.5535781841969949</v>
      </c>
      <c r="AB329" s="61">
        <f t="shared" ca="1" si="25"/>
        <v>-0.46717510503681298</v>
      </c>
      <c r="AC329" s="61">
        <f t="shared" ca="1" si="25"/>
        <v>0.89685991458839476</v>
      </c>
      <c r="AD329" s="37"/>
      <c r="AE329" s="62">
        <f t="array" aca="1" ref="AE329:AH329" ca="1">TRANSPOSE($B$9:$B$12 + MMULT($D$9:$G$12,TRANSPOSE(AO329:AR329)) + MMULT($N$9:$Q$12, TRANSPOSE(Z329:AC329)))</f>
        <v>0.32146387697114231</v>
      </c>
      <c r="AF329" s="62">
        <f ca="1"/>
        <v>3.4278176936588634E-2</v>
      </c>
      <c r="AG329" s="62">
        <f ca="1"/>
        <v>5.7187507331742327E-2</v>
      </c>
      <c r="AH329" s="62">
        <f ca="1"/>
        <v>0.47302220795928884</v>
      </c>
      <c r="AI329" s="37"/>
      <c r="AJ329" s="61">
        <f t="shared" ca="1" si="26"/>
        <v>-0.52477896951590275</v>
      </c>
      <c r="AK329" s="61">
        <f t="shared" ca="1" si="26"/>
        <v>0.6518870334275354</v>
      </c>
      <c r="AL329" s="61">
        <f t="shared" ca="1" si="26"/>
        <v>-0.61875392615875624</v>
      </c>
      <c r="AM329" s="61">
        <f t="shared" ca="1" si="26"/>
        <v>-1.1593493004286064</v>
      </c>
      <c r="AN329" s="37"/>
      <c r="AO329" s="62">
        <f t="array" aca="1" ref="AO329:AR329" ca="1">TRANSPOSE($B$17:$B$20 + MMULT($D$17:$G$20,TRANSPOSE(AO328:AR328)) + MMULT($N$17:$Q$20,TRANSPOSE(AJ329:AM329)))</f>
        <v>0.35215918524566614</v>
      </c>
      <c r="AP329" s="62">
        <f ca="1"/>
        <v>0.56907070818818839</v>
      </c>
      <c r="AQ329" s="62">
        <f ca="1"/>
        <v>1.1699772513836471E-2</v>
      </c>
      <c r="AR329" s="62">
        <f ca="1"/>
        <v>0.16855820187692694</v>
      </c>
    </row>
    <row r="330" spans="25:44" x14ac:dyDescent="0.15">
      <c r="Y330" s="8">
        <f t="shared" si="27"/>
        <v>327</v>
      </c>
      <c r="Z330" s="61">
        <f t="shared" ca="1" si="25"/>
        <v>0.94191586144232708</v>
      </c>
      <c r="AA330" s="61">
        <f t="shared" ca="1" si="25"/>
        <v>9.7270738394773751E-2</v>
      </c>
      <c r="AB330" s="61">
        <f t="shared" ca="1" si="25"/>
        <v>1.1850543033261023</v>
      </c>
      <c r="AC330" s="61">
        <f t="shared" ca="1" si="25"/>
        <v>-1.2841441291683258</v>
      </c>
      <c r="AD330" s="37"/>
      <c r="AE330" s="62">
        <f t="array" aca="1" ref="AE330:AH330" ca="1">TRANSPOSE($B$9:$B$12 + MMULT($D$9:$G$12,TRANSPOSE(AO330:AR330)) + MMULT($N$9:$Q$12, TRANSPOSE(Z330:AC330)))</f>
        <v>1.5659464187307415</v>
      </c>
      <c r="AF330" s="62">
        <f ca="1"/>
        <v>1.1085724669560773</v>
      </c>
      <c r="AG330" s="62">
        <f ca="1"/>
        <v>-0.14759730191876469</v>
      </c>
      <c r="AH330" s="62">
        <f ca="1"/>
        <v>0.61871699056353879</v>
      </c>
      <c r="AI330" s="37"/>
      <c r="AJ330" s="61">
        <f t="shared" ca="1" si="26"/>
        <v>-0.10848673900557831</v>
      </c>
      <c r="AK330" s="61">
        <f t="shared" ca="1" si="26"/>
        <v>1.9104200066148602</v>
      </c>
      <c r="AL330" s="61">
        <f t="shared" ca="1" si="26"/>
        <v>1.9801049550490117</v>
      </c>
      <c r="AM330" s="61">
        <f t="shared" ca="1" si="26"/>
        <v>-1.8754625903679394</v>
      </c>
      <c r="AN330" s="37"/>
      <c r="AO330" s="62">
        <f t="array" aca="1" ref="AO330:AR330" ca="1">TRANSPOSE($B$17:$B$20 + MMULT($D$17:$G$20,TRANSPOSE(AO329:AR329)) + MMULT($N$17:$Q$20,TRANSPOSE(AJ330:AM330)))</f>
        <v>0.38027123383487688</v>
      </c>
      <c r="AP330" s="62">
        <f ca="1"/>
        <v>1.1484272626771803</v>
      </c>
      <c r="AQ330" s="62">
        <f ca="1"/>
        <v>0.99628580615089035</v>
      </c>
      <c r="AR330" s="62">
        <f ca="1"/>
        <v>-0.24999663356925861</v>
      </c>
    </row>
    <row r="331" spans="25:44" x14ac:dyDescent="0.15">
      <c r="Y331" s="8">
        <f t="shared" si="27"/>
        <v>328</v>
      </c>
      <c r="Z331" s="61">
        <f t="shared" ca="1" si="25"/>
        <v>-3.1687833751221723</v>
      </c>
      <c r="AA331" s="61">
        <f t="shared" ca="1" si="25"/>
        <v>0.24703470390513646</v>
      </c>
      <c r="AB331" s="61">
        <f t="shared" ca="1" si="25"/>
        <v>0.37059209347638733</v>
      </c>
      <c r="AC331" s="61">
        <f t="shared" ca="1" si="25"/>
        <v>-0.74508093472246506</v>
      </c>
      <c r="AD331" s="37"/>
      <c r="AE331" s="62">
        <f t="array" aca="1" ref="AE331:AH331" ca="1">TRANSPOSE($B$9:$B$12 + MMULT($D$9:$G$12,TRANSPOSE(AO331:AR331)) + MMULT($N$9:$Q$12, TRANSPOSE(Z331:AC331)))</f>
        <v>6.0759625176946441E-2</v>
      </c>
      <c r="AF331" s="62">
        <f ca="1"/>
        <v>0.10141076127608939</v>
      </c>
      <c r="AG331" s="62">
        <f ca="1"/>
        <v>1.4004358501135727</v>
      </c>
      <c r="AH331" s="62">
        <f ca="1"/>
        <v>0.64157327603114722</v>
      </c>
      <c r="AI331" s="37"/>
      <c r="AJ331" s="61">
        <f t="shared" ca="1" si="26"/>
        <v>0.56236430820008831</v>
      </c>
      <c r="AK331" s="61">
        <f t="shared" ca="1" si="26"/>
        <v>0.15973090427917269</v>
      </c>
      <c r="AL331" s="61">
        <f t="shared" ca="1" si="26"/>
        <v>0.71887977681093984</v>
      </c>
      <c r="AM331" s="61">
        <f t="shared" ca="1" si="26"/>
        <v>-0.47795685069419391</v>
      </c>
      <c r="AN331" s="37"/>
      <c r="AO331" s="62">
        <f t="array" aca="1" ref="AO331:AR331" ca="1">TRANSPOSE($B$17:$B$20 + MMULT($D$17:$G$20,TRANSPOSE(AO330:AR330)) + MMULT($N$17:$Q$20,TRANSPOSE(AJ331:AM331)))</f>
        <v>0.78058014750003613</v>
      </c>
      <c r="AP331" s="62">
        <f ca="1"/>
        <v>0.58871719229442476</v>
      </c>
      <c r="AQ331" s="62">
        <f ca="1"/>
        <v>1.1889372081604146</v>
      </c>
      <c r="AR331" s="62">
        <f ca="1"/>
        <v>0.64843885872583751</v>
      </c>
    </row>
    <row r="332" spans="25:44" x14ac:dyDescent="0.15">
      <c r="Y332" s="8">
        <f t="shared" si="27"/>
        <v>329</v>
      </c>
      <c r="Z332" s="61">
        <f t="shared" ca="1" si="25"/>
        <v>-0.38872696995189893</v>
      </c>
      <c r="AA332" s="61">
        <f t="shared" ca="1" si="25"/>
        <v>1.4386339457911255</v>
      </c>
      <c r="AB332" s="61">
        <f t="shared" ca="1" si="25"/>
        <v>1.1129556150918385</v>
      </c>
      <c r="AC332" s="61">
        <f t="shared" ca="1" si="25"/>
        <v>-1.2620741080034628</v>
      </c>
      <c r="AD332" s="37"/>
      <c r="AE332" s="62">
        <f t="array" aca="1" ref="AE332:AH332" ca="1">TRANSPOSE($B$9:$B$12 + MMULT($D$9:$G$12,TRANSPOSE(AO332:AR332)) + MMULT($N$9:$Q$12, TRANSPOSE(Z332:AC332)))</f>
        <v>0.82787378931487288</v>
      </c>
      <c r="AF332" s="62">
        <f ca="1"/>
        <v>1.6189099630436778</v>
      </c>
      <c r="AG332" s="62">
        <f ca="1"/>
        <v>1.8008968906269764</v>
      </c>
      <c r="AH332" s="62">
        <f ca="1"/>
        <v>-4.513281597406732E-2</v>
      </c>
      <c r="AI332" s="37"/>
      <c r="AJ332" s="61">
        <f t="shared" ca="1" si="26"/>
        <v>1.5421631625561423</v>
      </c>
      <c r="AK332" s="61">
        <f t="shared" ca="1" si="26"/>
        <v>-0.21786684945066814</v>
      </c>
      <c r="AL332" s="61">
        <f t="shared" ca="1" si="26"/>
        <v>-1.8362083264927456</v>
      </c>
      <c r="AM332" s="61">
        <f t="shared" ca="1" si="26"/>
        <v>0.80383343425041609</v>
      </c>
      <c r="AN332" s="37"/>
      <c r="AO332" s="62">
        <f t="array" aca="1" ref="AO332:AR332" ca="1">TRANSPOSE($B$17:$B$20 + MMULT($D$17:$G$20,TRANSPOSE(AO331:AR331)) + MMULT($N$17:$Q$20,TRANSPOSE(AJ332:AM332)))</f>
        <v>1.246709596451824</v>
      </c>
      <c r="AP332" s="62">
        <f ca="1"/>
        <v>0.57714441527634341</v>
      </c>
      <c r="AQ332" s="62">
        <f ca="1"/>
        <v>0.26520295395173787</v>
      </c>
      <c r="AR332" s="62">
        <f ca="1"/>
        <v>1.0746642757190683</v>
      </c>
    </row>
    <row r="333" spans="25:44" x14ac:dyDescent="0.15">
      <c r="Y333" s="8">
        <f t="shared" si="27"/>
        <v>330</v>
      </c>
      <c r="Z333" s="61">
        <f t="shared" ca="1" si="25"/>
        <v>0.74994275466284133</v>
      </c>
      <c r="AA333" s="61">
        <f t="shared" ca="1" si="25"/>
        <v>-1.0417819463570321</v>
      </c>
      <c r="AB333" s="61">
        <f t="shared" ca="1" si="25"/>
        <v>7.1057825297223945E-2</v>
      </c>
      <c r="AC333" s="61">
        <f t="shared" ca="1" si="25"/>
        <v>1.6856066215458119</v>
      </c>
      <c r="AD333" s="37"/>
      <c r="AE333" s="62">
        <f t="array" aca="1" ref="AE333:AH333" ca="1">TRANSPOSE($B$9:$B$12 + MMULT($D$9:$G$12,TRANSPOSE(AO333:AR333)) + MMULT($N$9:$Q$12, TRANSPOSE(Z333:AC333)))</f>
        <v>1.5427581481212993</v>
      </c>
      <c r="AF333" s="62">
        <f ca="1"/>
        <v>0.33692797454848866</v>
      </c>
      <c r="AG333" s="62">
        <f ca="1"/>
        <v>0.82730793576073736</v>
      </c>
      <c r="AH333" s="62">
        <f ca="1"/>
        <v>1.7254073630560458</v>
      </c>
      <c r="AI333" s="37"/>
      <c r="AJ333" s="61">
        <f t="shared" ca="1" si="26"/>
        <v>-0.12908660002887959</v>
      </c>
      <c r="AK333" s="61">
        <f t="shared" ca="1" si="26"/>
        <v>-0.78147716917703369</v>
      </c>
      <c r="AL333" s="61">
        <f t="shared" ca="1" si="26"/>
        <v>1.2298140992736077</v>
      </c>
      <c r="AM333" s="61">
        <f t="shared" ca="1" si="26"/>
        <v>6.9860060223949125E-2</v>
      </c>
      <c r="AN333" s="37"/>
      <c r="AO333" s="62">
        <f t="array" aca="1" ref="AO333:AR333" ca="1">TRANSPOSE($B$17:$B$20 + MMULT($D$17:$G$20,TRANSPOSE(AO332:AR332)) + MMULT($N$17:$Q$20,TRANSPOSE(AJ333:AM333)))</f>
        <v>0.68902196114389758</v>
      </c>
      <c r="AP333" s="62">
        <f ca="1"/>
        <v>0.46981582367994851</v>
      </c>
      <c r="AQ333" s="62">
        <f ca="1"/>
        <v>1.2390130303244569</v>
      </c>
      <c r="AR333" s="62">
        <f ca="1"/>
        <v>1.0002282394952626</v>
      </c>
    </row>
    <row r="334" spans="25:44" x14ac:dyDescent="0.15">
      <c r="Y334" s="8">
        <f t="shared" si="27"/>
        <v>331</v>
      </c>
      <c r="Z334" s="61">
        <f t="shared" ca="1" si="25"/>
        <v>1.0443578274164211</v>
      </c>
      <c r="AA334" s="61">
        <f t="shared" ca="1" si="25"/>
        <v>-1.5407728992722565</v>
      </c>
      <c r="AB334" s="61">
        <f t="shared" ca="1" si="25"/>
        <v>-0.59600981549422383</v>
      </c>
      <c r="AC334" s="61">
        <f t="shared" ca="1" si="25"/>
        <v>1.9624574019312329</v>
      </c>
      <c r="AD334" s="37"/>
      <c r="AE334" s="62">
        <f t="array" aca="1" ref="AE334:AH334" ca="1">TRANSPOSE($B$9:$B$12 + MMULT($D$9:$G$12,TRANSPOSE(AO334:AR334)) + MMULT($N$9:$Q$12, TRANSPOSE(Z334:AC334)))</f>
        <v>1.2588829948671942</v>
      </c>
      <c r="AF334" s="62">
        <f ca="1"/>
        <v>0.2145449294932168</v>
      </c>
      <c r="AG334" s="62">
        <f ca="1"/>
        <v>0.63189060157900401</v>
      </c>
      <c r="AH334" s="62">
        <f ca="1"/>
        <v>1.3722430594607247</v>
      </c>
      <c r="AI334" s="37"/>
      <c r="AJ334" s="61">
        <f t="shared" ca="1" si="26"/>
        <v>-0.11193074688593427</v>
      </c>
      <c r="AK334" s="61">
        <f t="shared" ca="1" si="26"/>
        <v>-0.83043318254033305</v>
      </c>
      <c r="AL334" s="61">
        <f t="shared" ca="1" si="26"/>
        <v>-0.52257573804074942</v>
      </c>
      <c r="AM334" s="61">
        <f t="shared" ca="1" si="26"/>
        <v>-0.20650085038392627</v>
      </c>
      <c r="AN334" s="37"/>
      <c r="AO334" s="62">
        <f t="array" aca="1" ref="AO334:AR334" ca="1">TRANSPOSE($B$17:$B$20 + MMULT($D$17:$G$20,TRANSPOSE(AO333:AR333)) + MMULT($N$17:$Q$20,TRANSPOSE(AJ334:AM334)))</f>
        <v>0.68199555813320123</v>
      </c>
      <c r="AP334" s="62">
        <f ca="1"/>
        <v>0.29251222788251169</v>
      </c>
      <c r="AQ334" s="62">
        <f ca="1"/>
        <v>0.6027770940235142</v>
      </c>
      <c r="AR334" s="62">
        <f ca="1"/>
        <v>1.0161560772840663</v>
      </c>
    </row>
    <row r="335" spans="25:44" x14ac:dyDescent="0.15">
      <c r="Y335" s="8">
        <f t="shared" si="27"/>
        <v>332</v>
      </c>
      <c r="Z335" s="61">
        <f t="shared" ca="1" si="25"/>
        <v>-0.3405074790565713</v>
      </c>
      <c r="AA335" s="61">
        <f t="shared" ca="1" si="25"/>
        <v>-0.32608087094497795</v>
      </c>
      <c r="AB335" s="61">
        <f t="shared" ca="1" si="25"/>
        <v>-5.0257799454856124E-2</v>
      </c>
      <c r="AC335" s="61">
        <f t="shared" ca="1" si="25"/>
        <v>-2.0981799982093405</v>
      </c>
      <c r="AD335" s="37"/>
      <c r="AE335" s="62">
        <f t="array" aca="1" ref="AE335:AH335" ca="1">TRANSPOSE($B$9:$B$12 + MMULT($D$9:$G$12,TRANSPOSE(AO335:AR335)) + MMULT($N$9:$Q$12, TRANSPOSE(Z335:AC335)))</f>
        <v>1.247341367815449</v>
      </c>
      <c r="AF335" s="62">
        <f ca="1"/>
        <v>0.79619412962499525</v>
      </c>
      <c r="AG335" s="62">
        <f ca="1"/>
        <v>0.76591407374758425</v>
      </c>
      <c r="AH335" s="62">
        <f ca="1"/>
        <v>0.51255825230714613</v>
      </c>
      <c r="AI335" s="37"/>
      <c r="AJ335" s="61">
        <f t="shared" ca="1" si="26"/>
        <v>1.1613140336674959</v>
      </c>
      <c r="AK335" s="61">
        <f t="shared" ca="1" si="26"/>
        <v>0.57531492168937881</v>
      </c>
      <c r="AL335" s="61">
        <f t="shared" ca="1" si="26"/>
        <v>0.80300766898664155</v>
      </c>
      <c r="AM335" s="61">
        <f t="shared" ca="1" si="26"/>
        <v>-0.48435257179221836</v>
      </c>
      <c r="AN335" s="37"/>
      <c r="AO335" s="62">
        <f t="array" aca="1" ref="AO335:AR335" ca="1">TRANSPOSE($B$17:$B$20 + MMULT($D$17:$G$20,TRANSPOSE(AO334:AR334)) + MMULT($N$17:$Q$20,TRANSPOSE(AJ335:AM335)))</f>
        <v>1.0024751339574929</v>
      </c>
      <c r="AP335" s="62">
        <f ca="1"/>
        <v>0.80838265008655741</v>
      </c>
      <c r="AQ335" s="62">
        <f ca="1"/>
        <v>1.0310539724017582</v>
      </c>
      <c r="AR335" s="62">
        <f ca="1"/>
        <v>0.72455799831374768</v>
      </c>
    </row>
    <row r="336" spans="25:44" x14ac:dyDescent="0.15">
      <c r="Y336" s="8">
        <f t="shared" si="27"/>
        <v>333</v>
      </c>
      <c r="Z336" s="61">
        <f t="shared" ca="1" si="25"/>
        <v>-0.79767407448551364</v>
      </c>
      <c r="AA336" s="61">
        <f t="shared" ca="1" si="25"/>
        <v>1.3452390303236617</v>
      </c>
      <c r="AB336" s="61">
        <f t="shared" ca="1" si="25"/>
        <v>-0.65589354123672639</v>
      </c>
      <c r="AC336" s="61">
        <f t="shared" ca="1" si="25"/>
        <v>-1.0208729560519356</v>
      </c>
      <c r="AD336" s="37"/>
      <c r="AE336" s="62">
        <f t="array" aca="1" ref="AE336:AH336" ca="1">TRANSPOSE($B$9:$B$12 + MMULT($D$9:$G$12,TRANSPOSE(AO336:AR336)) + MMULT($N$9:$Q$12, TRANSPOSE(Z336:AC336)))</f>
        <v>0.39313604643845751</v>
      </c>
      <c r="AF336" s="62">
        <f ca="1"/>
        <v>0.42587740308890415</v>
      </c>
      <c r="AG336" s="62">
        <f ca="1"/>
        <v>0.83647645638310164</v>
      </c>
      <c r="AH336" s="62">
        <f ca="1"/>
        <v>1.2926785325963921</v>
      </c>
      <c r="AI336" s="37"/>
      <c r="AJ336" s="61">
        <f t="shared" ca="1" si="26"/>
        <v>-2.2899049975720422</v>
      </c>
      <c r="AK336" s="61">
        <f t="shared" ca="1" si="26"/>
        <v>-1.4701113850553309</v>
      </c>
      <c r="AL336" s="61">
        <f t="shared" ca="1" si="26"/>
        <v>1.4652558942626199</v>
      </c>
      <c r="AM336" s="61">
        <f t="shared" ca="1" si="26"/>
        <v>0.31857883928091424</v>
      </c>
      <c r="AN336" s="37"/>
      <c r="AO336" s="62">
        <f t="array" aca="1" ref="AO336:AR336" ca="1">TRANSPOSE($B$17:$B$20 + MMULT($D$17:$G$20,TRANSPOSE(AO335:AR335)) + MMULT($N$17:$Q$20,TRANSPOSE(AJ336:AM336)))</f>
        <v>1.1086552186398868E-2</v>
      </c>
      <c r="AP336" s="62">
        <f ca="1"/>
        <v>0.13443898478061522</v>
      </c>
      <c r="AQ336" s="62">
        <f ca="1"/>
        <v>1.2484987353961334</v>
      </c>
      <c r="AR336" s="62">
        <f ca="1"/>
        <v>1.1860737947976885</v>
      </c>
    </row>
    <row r="337" spans="25:44" x14ac:dyDescent="0.15">
      <c r="Y337" s="8">
        <f t="shared" si="27"/>
        <v>334</v>
      </c>
      <c r="Z337" s="61">
        <f t="shared" ca="1" si="25"/>
        <v>0.58625564877174641</v>
      </c>
      <c r="AA337" s="61">
        <f t="shared" ca="1" si="25"/>
        <v>-0.45400189939674501</v>
      </c>
      <c r="AB337" s="61">
        <f t="shared" ca="1" si="25"/>
        <v>-0.42770960222345517</v>
      </c>
      <c r="AC337" s="61">
        <f t="shared" ca="1" si="25"/>
        <v>0.51573142691448159</v>
      </c>
      <c r="AD337" s="37"/>
      <c r="AE337" s="62">
        <f t="array" aca="1" ref="AE337:AH337" ca="1">TRANSPOSE($B$9:$B$12 + MMULT($D$9:$G$12,TRANSPOSE(AO337:AR337)) + MMULT($N$9:$Q$12, TRANSPOSE(Z337:AC337)))</f>
        <v>1.0151280891482064</v>
      </c>
      <c r="AF337" s="62">
        <f ca="1"/>
        <v>0.67437159219762965</v>
      </c>
      <c r="AG337" s="62">
        <f ca="1"/>
        <v>0.48565039265433302</v>
      </c>
      <c r="AH337" s="62">
        <f ca="1"/>
        <v>0.68302314160887256</v>
      </c>
      <c r="AI337" s="37"/>
      <c r="AJ337" s="61">
        <f t="shared" ca="1" si="26"/>
        <v>0.53493555596696285</v>
      </c>
      <c r="AK337" s="61">
        <f t="shared" ca="1" si="26"/>
        <v>0.18008085621013856</v>
      </c>
      <c r="AL337" s="61">
        <f t="shared" ca="1" si="26"/>
        <v>-0.65401585868241752</v>
      </c>
      <c r="AM337" s="61">
        <f t="shared" ca="1" si="26"/>
        <v>-0.90247102896162656</v>
      </c>
      <c r="AN337" s="37"/>
      <c r="AO337" s="62">
        <f t="array" aca="1" ref="AO337:AR337" ca="1">TRANSPOSE($B$17:$B$20 + MMULT($D$17:$G$20,TRANSPOSE(AO336:AR336)) + MMULT($N$17:$Q$20,TRANSPOSE(AJ337:AM337)))</f>
        <v>0.70886906419452567</v>
      </c>
      <c r="AP337" s="62">
        <f ca="1"/>
        <v>0.43851388345440673</v>
      </c>
      <c r="AQ337" s="62">
        <f ca="1"/>
        <v>0.34712144900244157</v>
      </c>
      <c r="AR337" s="62">
        <f ca="1"/>
        <v>0.68039182219598904</v>
      </c>
    </row>
    <row r="338" spans="25:44" x14ac:dyDescent="0.15">
      <c r="Y338" s="8">
        <f t="shared" si="27"/>
        <v>335</v>
      </c>
      <c r="Z338" s="61">
        <f t="shared" ca="1" si="25"/>
        <v>0.89287628637595162</v>
      </c>
      <c r="AA338" s="61">
        <f t="shared" ca="1" si="25"/>
        <v>-1.082001896335627</v>
      </c>
      <c r="AB338" s="61">
        <f t="shared" ca="1" si="25"/>
        <v>0.32978686750413844</v>
      </c>
      <c r="AC338" s="61">
        <f t="shared" ca="1" si="25"/>
        <v>1.6495643253792029</v>
      </c>
      <c r="AD338" s="37"/>
      <c r="AE338" s="62">
        <f t="array" aca="1" ref="AE338:AH338" ca="1">TRANSPOSE($B$9:$B$12 + MMULT($D$9:$G$12,TRANSPOSE(AO338:AR338)) + MMULT($N$9:$Q$12, TRANSPOSE(Z338:AC338)))</f>
        <v>0.96250711343583373</v>
      </c>
      <c r="AF338" s="62">
        <f ca="1"/>
        <v>0.46774569027097779</v>
      </c>
      <c r="AG338" s="62">
        <f ca="1"/>
        <v>0.381810913661629</v>
      </c>
      <c r="AH338" s="62">
        <f ca="1"/>
        <v>0.64067241650868834</v>
      </c>
      <c r="AI338" s="37"/>
      <c r="AJ338" s="61">
        <f t="shared" ca="1" si="26"/>
        <v>-6.7517935907975377E-2</v>
      </c>
      <c r="AK338" s="61">
        <f t="shared" ca="1" si="26"/>
        <v>-0.12415303637109494</v>
      </c>
      <c r="AL338" s="61">
        <f t="shared" ca="1" si="26"/>
        <v>-0.94281963068416408</v>
      </c>
      <c r="AM338" s="61">
        <f t="shared" ca="1" si="26"/>
        <v>-0.81603535404880623</v>
      </c>
      <c r="AN338" s="37"/>
      <c r="AO338" s="62">
        <f t="array" aca="1" ref="AO338:AR338" ca="1">TRANSPOSE($B$17:$B$20 + MMULT($D$17:$G$20,TRANSPOSE(AO337:AR337)) + MMULT($N$17:$Q$20,TRANSPOSE(AJ338:AM338)))</f>
        <v>0.55231775985189346</v>
      </c>
      <c r="AP338" s="62">
        <f ca="1"/>
        <v>0.47767718701810885</v>
      </c>
      <c r="AQ338" s="62">
        <f ca="1"/>
        <v>7.942639641863658E-2</v>
      </c>
      <c r="AR338" s="62">
        <f ca="1"/>
        <v>0.3085058185939169</v>
      </c>
    </row>
    <row r="339" spans="25:44" x14ac:dyDescent="0.15">
      <c r="Y339" s="8">
        <f t="shared" si="27"/>
        <v>336</v>
      </c>
      <c r="Z339" s="61">
        <f t="shared" ca="1" si="25"/>
        <v>-0.20319885426875603</v>
      </c>
      <c r="AA339" s="61">
        <f t="shared" ca="1" si="25"/>
        <v>0.41689938546266064</v>
      </c>
      <c r="AB339" s="61">
        <f t="shared" ca="1" si="25"/>
        <v>0.46352301357166292</v>
      </c>
      <c r="AC339" s="61">
        <f t="shared" ca="1" si="25"/>
        <v>0.47773301732499096</v>
      </c>
      <c r="AD339" s="37"/>
      <c r="AE339" s="62">
        <f t="array" aca="1" ref="AE339:AH339" ca="1">TRANSPOSE($B$9:$B$12 + MMULT($D$9:$G$12,TRANSPOSE(AO339:AR339)) + MMULT($N$9:$Q$12, TRANSPOSE(Z339:AC339)))</f>
        <v>0.69764882404372586</v>
      </c>
      <c r="AF339" s="62">
        <f ca="1"/>
        <v>0.53596823692463746</v>
      </c>
      <c r="AG339" s="62">
        <f ca="1"/>
        <v>0.95784556690241596</v>
      </c>
      <c r="AH339" s="62">
        <f ca="1"/>
        <v>0.95040831356305633</v>
      </c>
      <c r="AI339" s="37"/>
      <c r="AJ339" s="61">
        <f t="shared" ca="1" si="26"/>
        <v>-0.28034316787859215</v>
      </c>
      <c r="AK339" s="61">
        <f t="shared" ca="1" si="26"/>
        <v>-0.21615063555971309</v>
      </c>
      <c r="AL339" s="61">
        <f t="shared" ca="1" si="26"/>
        <v>0.87582304505717656</v>
      </c>
      <c r="AM339" s="61">
        <f t="shared" ca="1" si="26"/>
        <v>1.0641256138862065</v>
      </c>
      <c r="AN339" s="37"/>
      <c r="AO339" s="62">
        <f t="array" aca="1" ref="AO339:AR339" ca="1">TRANSPOSE($B$17:$B$20 + MMULT($D$17:$G$20,TRANSPOSE(AO338:AR338)) + MMULT($N$17:$Q$20,TRANSPOSE(AJ339:AM339)))</f>
        <v>0.38496601774154937</v>
      </c>
      <c r="AP339" s="62">
        <f ca="1"/>
        <v>0.31951494775505385</v>
      </c>
      <c r="AQ339" s="62">
        <f ca="1"/>
        <v>0.74959570626695116</v>
      </c>
      <c r="AR339" s="62">
        <f ca="1"/>
        <v>0.7641402885401023</v>
      </c>
    </row>
    <row r="340" spans="25:44" x14ac:dyDescent="0.15">
      <c r="Y340" s="8">
        <f t="shared" si="27"/>
        <v>337</v>
      </c>
      <c r="Z340" s="61">
        <f t="shared" ca="1" si="25"/>
        <v>0.91182788849373797</v>
      </c>
      <c r="AA340" s="61">
        <f t="shared" ca="1" si="25"/>
        <v>-0.35121702678090738</v>
      </c>
      <c r="AB340" s="61">
        <f t="shared" ca="1" si="25"/>
        <v>0.17624529374756018</v>
      </c>
      <c r="AC340" s="61">
        <f t="shared" ca="1" si="25"/>
        <v>0.12786476308802866</v>
      </c>
      <c r="AD340" s="37"/>
      <c r="AE340" s="62">
        <f t="array" aca="1" ref="AE340:AH340" ca="1">TRANSPOSE($B$9:$B$12 + MMULT($D$9:$G$12,TRANSPOSE(AO340:AR340)) + MMULT($N$9:$Q$12, TRANSPOSE(Z340:AC340)))</f>
        <v>1.7079606024791192</v>
      </c>
      <c r="AF340" s="62">
        <f ca="1"/>
        <v>0.78008732510926038</v>
      </c>
      <c r="AG340" s="62">
        <f ca="1"/>
        <v>0.85529885597795197</v>
      </c>
      <c r="AH340" s="62">
        <f ca="1"/>
        <v>0.83734913193468741</v>
      </c>
      <c r="AI340" s="37"/>
      <c r="AJ340" s="61">
        <f t="shared" ca="1" si="26"/>
        <v>1.5307234663225833</v>
      </c>
      <c r="AK340" s="61">
        <f t="shared" ca="1" si="26"/>
        <v>-7.5492914087672031E-2</v>
      </c>
      <c r="AL340" s="61">
        <f t="shared" ca="1" si="26"/>
        <v>0.16288426498892633</v>
      </c>
      <c r="AM340" s="61">
        <f t="shared" ca="1" si="26"/>
        <v>-0.4925151007043419</v>
      </c>
      <c r="AN340" s="37"/>
      <c r="AO340" s="62">
        <f t="array" aca="1" ref="AO340:AR340" ca="1">TRANSPOSE($B$17:$B$20 + MMULT($D$17:$G$20,TRANSPOSE(AO339:AR339)) + MMULT($N$17:$Q$20,TRANSPOSE(AJ340:AM340)))</f>
        <v>1.0606845443494115</v>
      </c>
      <c r="AP340" s="62">
        <f ca="1"/>
        <v>0.41902104053969874</v>
      </c>
      <c r="AQ340" s="62">
        <f ca="1"/>
        <v>0.87545448413239546</v>
      </c>
      <c r="AR340" s="62">
        <f ca="1"/>
        <v>0.784516205955202</v>
      </c>
    </row>
    <row r="341" spans="25:44" x14ac:dyDescent="0.15">
      <c r="Y341" s="8">
        <f t="shared" si="27"/>
        <v>338</v>
      </c>
      <c r="Z341" s="61">
        <f t="shared" ca="1" si="25"/>
        <v>1.1471119551781426</v>
      </c>
      <c r="AA341" s="61">
        <f t="shared" ca="1" si="25"/>
        <v>0.53675357807416846</v>
      </c>
      <c r="AB341" s="61">
        <f t="shared" ca="1" si="25"/>
        <v>2.4439489216420229</v>
      </c>
      <c r="AC341" s="61">
        <f t="shared" ca="1" si="25"/>
        <v>-2.2623092531997329</v>
      </c>
      <c r="AD341" s="37"/>
      <c r="AE341" s="62">
        <f t="array" aca="1" ref="AE341:AH341" ca="1">TRANSPOSE($B$9:$B$12 + MMULT($D$9:$G$12,TRANSPOSE(AO341:AR341)) + MMULT($N$9:$Q$12, TRANSPOSE(Z341:AC341)))</f>
        <v>1.0549010654088191</v>
      </c>
      <c r="AF341" s="62">
        <f ca="1"/>
        <v>1.3511090797815899</v>
      </c>
      <c r="AG341" s="62">
        <f ca="1"/>
        <v>0.70936943291597743</v>
      </c>
      <c r="AH341" s="62">
        <f ca="1"/>
        <v>0.447903324366977</v>
      </c>
      <c r="AI341" s="37"/>
      <c r="AJ341" s="61">
        <f t="shared" ca="1" si="26"/>
        <v>-2.0766628720528781</v>
      </c>
      <c r="AK341" s="61">
        <f t="shared" ca="1" si="26"/>
        <v>1.0301274982365964</v>
      </c>
      <c r="AL341" s="61">
        <f t="shared" ca="1" si="26"/>
        <v>1.0891326192666326</v>
      </c>
      <c r="AM341" s="61">
        <f t="shared" ca="1" si="26"/>
        <v>-0.97720990143132858</v>
      </c>
      <c r="AN341" s="37"/>
      <c r="AO341" s="62">
        <f t="array" aca="1" ref="AO341:AR341" ca="1">TRANSPOSE($B$17:$B$20 + MMULT($D$17:$G$20,TRANSPOSE(AO340:AR340)) + MMULT($N$17:$Q$20,TRANSPOSE(AJ341:AM341)))</f>
        <v>4.9949379594978138E-2</v>
      </c>
      <c r="AP341" s="62">
        <f ca="1"/>
        <v>1.1059572000840787</v>
      </c>
      <c r="AQ341" s="62">
        <f ca="1"/>
        <v>0.67214853164734301</v>
      </c>
      <c r="AR341" s="62">
        <f ca="1"/>
        <v>0.29533333974887899</v>
      </c>
    </row>
    <row r="342" spans="25:44" x14ac:dyDescent="0.15">
      <c r="Y342" s="8">
        <f t="shared" si="27"/>
        <v>339</v>
      </c>
      <c r="Z342" s="61">
        <f t="shared" ca="1" si="25"/>
        <v>1.1257287669890321</v>
      </c>
      <c r="AA342" s="61">
        <f t="shared" ca="1" si="25"/>
        <v>0.31017777134562935</v>
      </c>
      <c r="AB342" s="61">
        <f t="shared" ca="1" si="25"/>
        <v>0.18227741052759613</v>
      </c>
      <c r="AC342" s="61">
        <f t="shared" ca="1" si="25"/>
        <v>0.39234563470891082</v>
      </c>
      <c r="AD342" s="37"/>
      <c r="AE342" s="62">
        <f t="array" aca="1" ref="AE342:AH342" ca="1">TRANSPOSE($B$9:$B$12 + MMULT($D$9:$G$12,TRANSPOSE(AO342:AR342)) + MMULT($N$9:$Q$12, TRANSPOSE(Z342:AC342)))</f>
        <v>1.6988602687572507</v>
      </c>
      <c r="AF342" s="62">
        <f ca="1"/>
        <v>1.1498903167668044</v>
      </c>
      <c r="AG342" s="62">
        <f ca="1"/>
        <v>0.90367820920706499</v>
      </c>
      <c r="AH342" s="62">
        <f ca="1"/>
        <v>1.4094291680799886</v>
      </c>
      <c r="AI342" s="37"/>
      <c r="AJ342" s="61">
        <f t="shared" ca="1" si="26"/>
        <v>1.0019826642568046</v>
      </c>
      <c r="AK342" s="61">
        <f t="shared" ca="1" si="26"/>
        <v>0.35578811919678771</v>
      </c>
      <c r="AL342" s="61">
        <f t="shared" ca="1" si="26"/>
        <v>0.77911539278023589</v>
      </c>
      <c r="AM342" s="61">
        <f t="shared" ca="1" si="26"/>
        <v>1.411594098607506</v>
      </c>
      <c r="AN342" s="37"/>
      <c r="AO342" s="62">
        <f t="array" aca="1" ref="AO342:AR342" ca="1">TRANSPOSE($B$17:$B$20 + MMULT($D$17:$G$20,TRANSPOSE(AO341:AR341)) + MMULT($N$17:$Q$20,TRANSPOSE(AJ342:AM342)))</f>
        <v>0.81754772498694517</v>
      </c>
      <c r="AP342" s="62">
        <f ca="1"/>
        <v>0.6118934643240953</v>
      </c>
      <c r="AQ342" s="62">
        <f ca="1"/>
        <v>1.1637052055974513</v>
      </c>
      <c r="AR342" s="62">
        <f ca="1"/>
        <v>1.1223754154244001</v>
      </c>
    </row>
    <row r="343" spans="25:44" x14ac:dyDescent="0.15">
      <c r="Y343" s="8">
        <f t="shared" si="27"/>
        <v>340</v>
      </c>
      <c r="Z343" s="61">
        <f t="shared" ca="1" si="25"/>
        <v>-0.21025112767208978</v>
      </c>
      <c r="AA343" s="61">
        <f t="shared" ca="1" si="25"/>
        <v>0.96320095715711751</v>
      </c>
      <c r="AB343" s="61">
        <f t="shared" ca="1" si="25"/>
        <v>1.3049281851604528</v>
      </c>
      <c r="AC343" s="61">
        <f t="shared" ca="1" si="25"/>
        <v>-1.3498416336444095</v>
      </c>
      <c r="AD343" s="37"/>
      <c r="AE343" s="62">
        <f t="array" aca="1" ref="AE343:AH343" ca="1">TRANSPOSE($B$9:$B$12 + MMULT($D$9:$G$12,TRANSPOSE(AO343:AR343)) + MMULT($N$9:$Q$12, TRANSPOSE(Z343:AC343)))</f>
        <v>1.4616615833364863</v>
      </c>
      <c r="AF343" s="62">
        <f ca="1"/>
        <v>1.1116986245260274</v>
      </c>
      <c r="AG343" s="62">
        <f ca="1"/>
        <v>1.6053014914328254</v>
      </c>
      <c r="AH343" s="62">
        <f ca="1"/>
        <v>0.68353591570467542</v>
      </c>
      <c r="AI343" s="37"/>
      <c r="AJ343" s="61">
        <f t="shared" ca="1" si="26"/>
        <v>0.98941459922713992</v>
      </c>
      <c r="AK343" s="61">
        <f t="shared" ca="1" si="26"/>
        <v>-0.47481673495729121</v>
      </c>
      <c r="AL343" s="61">
        <f t="shared" ca="1" si="26"/>
        <v>0.49178349443197483</v>
      </c>
      <c r="AM343" s="61">
        <f t="shared" ca="1" si="26"/>
        <v>-1.2657028516681921</v>
      </c>
      <c r="AN343" s="37"/>
      <c r="AO343" s="62">
        <f t="array" aca="1" ref="AO343:AR343" ca="1">TRANSPOSE($B$17:$B$20 + MMULT($D$17:$G$20,TRANSPOSE(AO342:AR342)) + MMULT($N$17:$Q$20,TRANSPOSE(AJ343:AM343)))</f>
        <v>1.0911941842481854</v>
      </c>
      <c r="AP343" s="62">
        <f ca="1"/>
        <v>0.54896902725273922</v>
      </c>
      <c r="AQ343" s="62">
        <f ca="1"/>
        <v>1.2657122136069681</v>
      </c>
      <c r="AR343" s="62">
        <f ca="1"/>
        <v>0.95537343648047524</v>
      </c>
    </row>
    <row r="344" spans="25:44" x14ac:dyDescent="0.15">
      <c r="Y344" s="8">
        <f t="shared" si="27"/>
        <v>341</v>
      </c>
      <c r="Z344" s="61">
        <f t="shared" ca="1" si="25"/>
        <v>-0.53774192336179094</v>
      </c>
      <c r="AA344" s="61">
        <f t="shared" ca="1" si="25"/>
        <v>0.6262291030503806</v>
      </c>
      <c r="AB344" s="61">
        <f t="shared" ca="1" si="25"/>
        <v>0.42946737499042426</v>
      </c>
      <c r="AC344" s="61">
        <f t="shared" ca="1" si="25"/>
        <v>1.019878110037989</v>
      </c>
      <c r="AD344" s="37"/>
      <c r="AE344" s="62">
        <f t="array" aca="1" ref="AE344:AH344" ca="1">TRANSPOSE($B$9:$B$12 + MMULT($D$9:$G$12,TRANSPOSE(AO344:AR344)) + MMULT($N$9:$Q$12, TRANSPOSE(Z344:AC344)))</f>
        <v>0.68201927264253381</v>
      </c>
      <c r="AF344" s="62">
        <f ca="1"/>
        <v>1.5080675439049098</v>
      </c>
      <c r="AG344" s="62">
        <f ca="1"/>
        <v>0.40114809723954337</v>
      </c>
      <c r="AH344" s="62">
        <f ca="1"/>
        <v>1.1538624568021907</v>
      </c>
      <c r="AI344" s="37"/>
      <c r="AJ344" s="61">
        <f t="shared" ca="1" si="26"/>
        <v>-0.86787529032033195</v>
      </c>
      <c r="AK344" s="61">
        <f t="shared" ca="1" si="26"/>
        <v>1.5008928377298296</v>
      </c>
      <c r="AL344" s="61">
        <f t="shared" ca="1" si="26"/>
        <v>0.4660327802008607</v>
      </c>
      <c r="AM344" s="61">
        <f t="shared" ca="1" si="26"/>
        <v>-0.94946183542362084</v>
      </c>
      <c r="AN344" s="37"/>
      <c r="AO344" s="62">
        <f t="array" aca="1" ref="AO344:AR344" ca="1">TRANSPOSE($B$17:$B$20 + MMULT($D$17:$G$20,TRANSPOSE(AO343:AR343)) + MMULT($N$17:$Q$20,TRANSPOSE(AJ344:AM344)))</f>
        <v>0.54013398671524371</v>
      </c>
      <c r="AP344" s="62">
        <f ca="1"/>
        <v>1.416732920758667</v>
      </c>
      <c r="AQ344" s="62">
        <f ca="1"/>
        <v>0.72321066442479653</v>
      </c>
      <c r="AR344" s="62">
        <f ca="1"/>
        <v>0.46260723278498805</v>
      </c>
    </row>
    <row r="345" spans="25:44" x14ac:dyDescent="0.15">
      <c r="Y345" s="8">
        <f t="shared" si="27"/>
        <v>342</v>
      </c>
      <c r="Z345" s="61">
        <f t="shared" ca="1" si="25"/>
        <v>-0.48749742297430415</v>
      </c>
      <c r="AA345" s="61">
        <f t="shared" ca="1" si="25"/>
        <v>0.53539226964326525</v>
      </c>
      <c r="AB345" s="61">
        <f t="shared" ca="1" si="25"/>
        <v>-0.46024872475488371</v>
      </c>
      <c r="AC345" s="61">
        <f t="shared" ca="1" si="25"/>
        <v>1.7827376847467546</v>
      </c>
      <c r="AD345" s="37"/>
      <c r="AE345" s="62">
        <f t="array" aca="1" ref="AE345:AH345" ca="1">TRANSPOSE($B$9:$B$12 + MMULT($D$9:$G$12,TRANSPOSE(AO345:AR345)) + MMULT($N$9:$Q$12, TRANSPOSE(Z345:AC345)))</f>
        <v>1.0128618394976168</v>
      </c>
      <c r="AF345" s="62">
        <f ca="1"/>
        <v>0.70587292786053657</v>
      </c>
      <c r="AG345" s="62">
        <f ca="1"/>
        <v>1.0877568643128588</v>
      </c>
      <c r="AH345" s="62">
        <f ca="1"/>
        <v>1.9467786370000209</v>
      </c>
      <c r="AI345" s="37"/>
      <c r="AJ345" s="61">
        <f t="shared" ca="1" si="26"/>
        <v>-2.6163693444479299E-2</v>
      </c>
      <c r="AK345" s="61">
        <f t="shared" ca="1" si="26"/>
        <v>-0.56168828731773612</v>
      </c>
      <c r="AL345" s="61">
        <f t="shared" ca="1" si="26"/>
        <v>1.080755353038503</v>
      </c>
      <c r="AM345" s="61">
        <f t="shared" ca="1" si="26"/>
        <v>1.3808452140140577</v>
      </c>
      <c r="AN345" s="37"/>
      <c r="AO345" s="62">
        <f t="array" aca="1" ref="AO345:AR345" ca="1">TRANSPOSE($B$17:$B$20 + MMULT($D$17:$G$20,TRANSPOSE(AO344:AR344)) + MMULT($N$17:$Q$20,TRANSPOSE(AJ345:AM345)))</f>
        <v>0.63757971062051733</v>
      </c>
      <c r="AP345" s="62">
        <f ca="1"/>
        <v>0.48739637761125831</v>
      </c>
      <c r="AQ345" s="62">
        <f ca="1"/>
        <v>1.4199696996600282</v>
      </c>
      <c r="AR345" s="62">
        <f ca="1"/>
        <v>1.3484177587318869</v>
      </c>
    </row>
    <row r="346" spans="25:44" x14ac:dyDescent="0.15">
      <c r="Y346" s="8">
        <f t="shared" si="27"/>
        <v>343</v>
      </c>
      <c r="Z346" s="61">
        <f t="shared" ca="1" si="25"/>
        <v>-0.60100069427101932</v>
      </c>
      <c r="AA346" s="61">
        <f t="shared" ca="1" si="25"/>
        <v>-0.41012906836112423</v>
      </c>
      <c r="AB346" s="61">
        <f t="shared" ca="1" si="25"/>
        <v>-1.0602788755562809</v>
      </c>
      <c r="AC346" s="61">
        <f t="shared" ca="1" si="25"/>
        <v>0.96373125745382615</v>
      </c>
      <c r="AD346" s="37"/>
      <c r="AE346" s="62">
        <f t="array" aca="1" ref="AE346:AH346" ca="1">TRANSPOSE($B$9:$B$12 + MMULT($D$9:$G$12,TRANSPOSE(AO346:AR346)) + MMULT($N$9:$Q$12, TRANSPOSE(Z346:AC346)))</f>
        <v>1.3164815386827495</v>
      </c>
      <c r="AF346" s="62">
        <f ca="1"/>
        <v>0.29438886598821079</v>
      </c>
      <c r="AG346" s="62">
        <f ca="1"/>
        <v>1.0602622201274448</v>
      </c>
      <c r="AH346" s="62">
        <f ca="1"/>
        <v>1.3190162271852426</v>
      </c>
      <c r="AI346" s="37"/>
      <c r="AJ346" s="61">
        <f t="shared" ca="1" si="26"/>
        <v>1.3049817082047119</v>
      </c>
      <c r="AK346" s="61">
        <f t="shared" ca="1" si="26"/>
        <v>-1.1838536324602678</v>
      </c>
      <c r="AL346" s="61">
        <f t="shared" ca="1" si="26"/>
        <v>0.11661682014436878</v>
      </c>
      <c r="AM346" s="61">
        <f t="shared" ca="1" si="26"/>
        <v>-1.3108705769813196</v>
      </c>
      <c r="AN346" s="37"/>
      <c r="AO346" s="62">
        <f t="array" aca="1" ref="AO346:AR346" ca="1">TRANSPOSE($B$17:$B$20 + MMULT($D$17:$G$20,TRANSPOSE(AO345:AR345)) + MMULT($N$17:$Q$20,TRANSPOSE(AJ346:AM346)))</f>
        <v>1.1903199884383828</v>
      </c>
      <c r="AP346" s="62">
        <f ca="1"/>
        <v>0.21290659342146562</v>
      </c>
      <c r="AQ346" s="62">
        <f ca="1"/>
        <v>1.2536113455056761</v>
      </c>
      <c r="AR346" s="62">
        <f ca="1"/>
        <v>1.1865431808086491</v>
      </c>
    </row>
    <row r="347" spans="25:44" x14ac:dyDescent="0.15">
      <c r="Y347" s="8">
        <f t="shared" si="27"/>
        <v>344</v>
      </c>
      <c r="Z347" s="61">
        <f t="shared" ca="1" si="25"/>
        <v>1.0300402263638508</v>
      </c>
      <c r="AA347" s="61">
        <f t="shared" ca="1" si="25"/>
        <v>-0.26357356914085328</v>
      </c>
      <c r="AB347" s="61">
        <f t="shared" ca="1" si="25"/>
        <v>-0.23062770030994567</v>
      </c>
      <c r="AC347" s="61">
        <f t="shared" ca="1" si="25"/>
        <v>0.41354427576831754</v>
      </c>
      <c r="AD347" s="37"/>
      <c r="AE347" s="62">
        <f t="array" aca="1" ref="AE347:AH347" ca="1">TRANSPOSE($B$9:$B$12 + MMULT($D$9:$G$12,TRANSPOSE(AO347:AR347)) + MMULT($N$9:$Q$12, TRANSPOSE(Z347:AC347)))</f>
        <v>0.95296507624487425</v>
      </c>
      <c r="AF347" s="62">
        <f ca="1"/>
        <v>1.0119651158193181</v>
      </c>
      <c r="AG347" s="62">
        <f ca="1"/>
        <v>-0.26863820945906991</v>
      </c>
      <c r="AH347" s="62">
        <f ca="1"/>
        <v>0.59626035153275492</v>
      </c>
      <c r="AI347" s="37"/>
      <c r="AJ347" s="61">
        <f t="shared" ca="1" si="26"/>
        <v>-1.4879704351155643</v>
      </c>
      <c r="AK347" s="61">
        <f t="shared" ca="1" si="26"/>
        <v>0.25423608649009144</v>
      </c>
      <c r="AL347" s="61">
        <f t="shared" ca="1" si="26"/>
        <v>-0.68517361281023237</v>
      </c>
      <c r="AM347" s="61">
        <f t="shared" ca="1" si="26"/>
        <v>-2.6128113999022426</v>
      </c>
      <c r="AN347" s="37"/>
      <c r="AO347" s="62">
        <f t="array" aca="1" ref="AO347:AR347" ca="1">TRANSPOSE($B$17:$B$20 + MMULT($D$17:$G$20,TRANSPOSE(AO346:AR346)) + MMULT($N$17:$Q$20,TRANSPOSE(AJ347:AM347)))</f>
        <v>0.34259151954591049</v>
      </c>
      <c r="AP347" s="62">
        <f ca="1"/>
        <v>0.86283017509362792</v>
      </c>
      <c r="AQ347" s="62">
        <f ca="1"/>
        <v>0.16102103512478938</v>
      </c>
      <c r="AR347" s="62">
        <f ca="1"/>
        <v>0.12319855922643785</v>
      </c>
    </row>
    <row r="348" spans="25:44" x14ac:dyDescent="0.15">
      <c r="Y348" s="8">
        <f t="shared" si="27"/>
        <v>345</v>
      </c>
      <c r="Z348" s="61">
        <f t="shared" ca="1" si="25"/>
        <v>0.73520818684469735</v>
      </c>
      <c r="AA348" s="61">
        <f t="shared" ca="1" si="25"/>
        <v>-0.16980974924067022</v>
      </c>
      <c r="AB348" s="61">
        <f t="shared" ca="1" si="25"/>
        <v>1.3535719540787208</v>
      </c>
      <c r="AC348" s="61">
        <f t="shared" ca="1" si="25"/>
        <v>0.47841374447223806</v>
      </c>
      <c r="AD348" s="37"/>
      <c r="AE348" s="62">
        <f t="array" aca="1" ref="AE348:AH348" ca="1">TRANSPOSE($B$9:$B$12 + MMULT($D$9:$G$12,TRANSPOSE(AO348:AR348)) + MMULT($N$9:$Q$12, TRANSPOSE(Z348:AC348)))</f>
        <v>1.1818230221642891</v>
      </c>
      <c r="AF348" s="62">
        <f ca="1"/>
        <v>0.63420268826910586</v>
      </c>
      <c r="AG348" s="62">
        <f ca="1"/>
        <v>0.66954699232800308</v>
      </c>
      <c r="AH348" s="62">
        <f ca="1"/>
        <v>0.75425587286579154</v>
      </c>
      <c r="AI348" s="37"/>
      <c r="AJ348" s="61">
        <f t="shared" ca="1" si="26"/>
        <v>-0.11421582309948922</v>
      </c>
      <c r="AK348" s="61">
        <f t="shared" ca="1" si="26"/>
        <v>0.28696484786520943</v>
      </c>
      <c r="AL348" s="61">
        <f t="shared" ca="1" si="26"/>
        <v>0.5078881056706378</v>
      </c>
      <c r="AM348" s="61">
        <f t="shared" ca="1" si="26"/>
        <v>-0.6379518709024411</v>
      </c>
      <c r="AN348" s="37"/>
      <c r="AO348" s="62">
        <f t="array" aca="1" ref="AO348:AR348" ca="1">TRANSPOSE($B$17:$B$20 + MMULT($D$17:$G$20,TRANSPOSE(AO347:AR347)) + MMULT($N$17:$Q$20,TRANSPOSE(AJ348:AM348)))</f>
        <v>0.41686503980054795</v>
      </c>
      <c r="AP348" s="62">
        <f ca="1"/>
        <v>0.54195337754173567</v>
      </c>
      <c r="AQ348" s="62">
        <f ca="1"/>
        <v>0.66519909219698559</v>
      </c>
      <c r="AR348" s="62">
        <f ca="1"/>
        <v>0.26689733978666524</v>
      </c>
    </row>
    <row r="349" spans="25:44" x14ac:dyDescent="0.15">
      <c r="Y349" s="8">
        <f t="shared" si="27"/>
        <v>346</v>
      </c>
      <c r="Z349" s="61">
        <f t="shared" ca="1" si="25"/>
        <v>1.3042636377983379</v>
      </c>
      <c r="AA349" s="61">
        <f t="shared" ca="1" si="25"/>
        <v>0.18287518351046134</v>
      </c>
      <c r="AB349" s="61">
        <f t="shared" ca="1" si="25"/>
        <v>-0.12388110237391022</v>
      </c>
      <c r="AC349" s="61">
        <f t="shared" ca="1" si="25"/>
        <v>2.430951277879467E-3</v>
      </c>
      <c r="AD349" s="37"/>
      <c r="AE349" s="62">
        <f t="array" aca="1" ref="AE349:AH349" ca="1">TRANSPOSE($B$9:$B$12 + MMULT($D$9:$G$12,TRANSPOSE(AO349:AR349)) + MMULT($N$9:$Q$12, TRANSPOSE(Z349:AC349)))</f>
        <v>1.9755866206094974</v>
      </c>
      <c r="AF349" s="62">
        <f ca="1"/>
        <v>0.72849527143817094</v>
      </c>
      <c r="AG349" s="62">
        <f ca="1"/>
        <v>0.88084475131541362</v>
      </c>
      <c r="AH349" s="62">
        <f ca="1"/>
        <v>1.2246880078796563</v>
      </c>
      <c r="AI349" s="37"/>
      <c r="AJ349" s="61">
        <f t="shared" ca="1" si="26"/>
        <v>1.1774691396686607</v>
      </c>
      <c r="AK349" s="61">
        <f t="shared" ca="1" si="26"/>
        <v>-0.68300922631754357</v>
      </c>
      <c r="AL349" s="61">
        <f t="shared" ca="1" si="26"/>
        <v>1.0158207924308733</v>
      </c>
      <c r="AM349" s="61">
        <f t="shared" ca="1" si="26"/>
        <v>0.36554981277357912</v>
      </c>
      <c r="AN349" s="37"/>
      <c r="AO349" s="62">
        <f t="array" aca="1" ref="AO349:AR349" ca="1">TRANSPOSE($B$17:$B$20 + MMULT($D$17:$G$20,TRANSPOSE(AO348:AR348)) + MMULT($N$17:$Q$20,TRANSPOSE(AJ349:AM349)))</f>
        <v>0.92955846240770601</v>
      </c>
      <c r="AP349" s="62">
        <f ca="1"/>
        <v>0.14788544451979241</v>
      </c>
      <c r="AQ349" s="62">
        <f ca="1"/>
        <v>1.2811519957452957</v>
      </c>
      <c r="AR349" s="62">
        <f ca="1"/>
        <v>1.0381689500537057</v>
      </c>
    </row>
    <row r="350" spans="25:44" x14ac:dyDescent="0.15">
      <c r="Y350" s="8">
        <f t="shared" si="27"/>
        <v>347</v>
      </c>
      <c r="Z350" s="61">
        <f t="shared" ca="1" si="25"/>
        <v>-0.90095677827594611</v>
      </c>
      <c r="AA350" s="61">
        <f t="shared" ca="1" si="25"/>
        <v>-0.34814431201934193</v>
      </c>
      <c r="AB350" s="61">
        <f t="shared" ca="1" si="25"/>
        <v>-0.49495639875760944</v>
      </c>
      <c r="AC350" s="61">
        <f t="shared" ca="1" si="25"/>
        <v>-1.459024503814762</v>
      </c>
      <c r="AD350" s="37"/>
      <c r="AE350" s="62">
        <f t="array" aca="1" ref="AE350:AH350" ca="1">TRANSPOSE($B$9:$B$12 + MMULT($D$9:$G$12,TRANSPOSE(AO350:AR350)) + MMULT($N$9:$Q$12, TRANSPOSE(Z350:AC350)))</f>
        <v>0.38090513283576166</v>
      </c>
      <c r="AF350" s="62">
        <f ca="1"/>
        <v>-2.5807123409511246E-2</v>
      </c>
      <c r="AG350" s="62">
        <f ca="1"/>
        <v>1.5406617601819499</v>
      </c>
      <c r="AH350" s="62">
        <f ca="1"/>
        <v>0.48981033200630347</v>
      </c>
      <c r="AI350" s="37"/>
      <c r="AJ350" s="61">
        <f t="shared" ca="1" si="26"/>
        <v>-0.24072067022666782</v>
      </c>
      <c r="AK350" s="61">
        <f t="shared" ca="1" si="26"/>
        <v>-1.8549962109060569</v>
      </c>
      <c r="AL350" s="61">
        <f t="shared" ca="1" si="26"/>
        <v>-0.57364409111118375</v>
      </c>
      <c r="AM350" s="61">
        <f t="shared" ca="1" si="26"/>
        <v>0.79258190730412592</v>
      </c>
      <c r="AN350" s="37"/>
      <c r="AO350" s="62">
        <f t="array" aca="1" ref="AO350:AR350" ca="1">TRANSPOSE($B$17:$B$20 + MMULT($D$17:$G$20,TRANSPOSE(AO349:AR349)) + MMULT($N$17:$Q$20,TRANSPOSE(AJ350:AM350)))</f>
        <v>0.68645094967229581</v>
      </c>
      <c r="AP350" s="62">
        <f ca="1"/>
        <v>-0.13519138339585823</v>
      </c>
      <c r="AQ350" s="62">
        <f ca="1"/>
        <v>0.61655087647419282</v>
      </c>
      <c r="AR350" s="62">
        <f ca="1"/>
        <v>1.415860521078665</v>
      </c>
    </row>
    <row r="351" spans="25:44" x14ac:dyDescent="0.15">
      <c r="Y351" s="8">
        <f t="shared" si="27"/>
        <v>348</v>
      </c>
      <c r="Z351" s="61">
        <f t="shared" ca="1" si="25"/>
        <v>-0.43659782804062169</v>
      </c>
      <c r="AA351" s="61">
        <f t="shared" ca="1" si="25"/>
        <v>0.43836636181392402</v>
      </c>
      <c r="AB351" s="61">
        <f t="shared" ca="1" si="25"/>
        <v>1.8158822791942726</v>
      </c>
      <c r="AC351" s="61">
        <f t="shared" ca="1" si="25"/>
        <v>0.45817379629178134</v>
      </c>
      <c r="AD351" s="37"/>
      <c r="AE351" s="62">
        <f t="array" aca="1" ref="AE351:AH351" ca="1">TRANSPOSE($B$9:$B$12 + MMULT($D$9:$G$12,TRANSPOSE(AO351:AR351)) + MMULT($N$9:$Q$12, TRANSPOSE(Z351:AC351)))</f>
        <v>0.65004423285393309</v>
      </c>
      <c r="AF351" s="62">
        <f ca="1"/>
        <v>1.4017084876213275</v>
      </c>
      <c r="AG351" s="62">
        <f ca="1"/>
        <v>1.2133050157717382</v>
      </c>
      <c r="AH351" s="62">
        <f ca="1"/>
        <v>0.48113292017750298</v>
      </c>
      <c r="AI351" s="37"/>
      <c r="AJ351" s="61">
        <f t="shared" ca="1" si="26"/>
        <v>0.50059761799411884</v>
      </c>
      <c r="AK351" s="61">
        <f t="shared" ca="1" si="26"/>
        <v>1.4895868371352319</v>
      </c>
      <c r="AL351" s="61">
        <f t="shared" ca="1" si="26"/>
        <v>-8.3516279773324393E-3</v>
      </c>
      <c r="AM351" s="61">
        <f t="shared" ca="1" si="26"/>
        <v>-0.28099079873973171</v>
      </c>
      <c r="AN351" s="37"/>
      <c r="AO351" s="62">
        <f t="array" aca="1" ref="AO351:AR351" ca="1">TRANSPOSE($B$17:$B$20 + MMULT($D$17:$G$20,TRANSPOSE(AO350:AR350)) + MMULT($N$17:$Q$20,TRANSPOSE(AJ351:AM351)))</f>
        <v>0.77192750146419231</v>
      </c>
      <c r="AP351" s="62">
        <f ca="1"/>
        <v>1.1353549401541727</v>
      </c>
      <c r="AQ351" s="62">
        <f ca="1"/>
        <v>0.33548718958623219</v>
      </c>
      <c r="AR351" s="62">
        <f ca="1"/>
        <v>0.48961152712982681</v>
      </c>
    </row>
    <row r="352" spans="25:44" x14ac:dyDescent="0.15">
      <c r="Y352" s="8">
        <f t="shared" si="27"/>
        <v>349</v>
      </c>
      <c r="Z352" s="61">
        <f t="shared" ca="1" si="25"/>
        <v>0.68121550709666179</v>
      </c>
      <c r="AA352" s="61">
        <f t="shared" ca="1" si="25"/>
        <v>1.2037431360404642</v>
      </c>
      <c r="AB352" s="61">
        <f t="shared" ca="1" si="25"/>
        <v>0.81725968286915085</v>
      </c>
      <c r="AC352" s="61">
        <f t="shared" ca="1" si="25"/>
        <v>-1.0964252155713297</v>
      </c>
      <c r="AD352" s="37"/>
      <c r="AE352" s="62">
        <f t="array" aca="1" ref="AE352:AH352" ca="1">TRANSPOSE($B$9:$B$12 + MMULT($D$9:$G$12,TRANSPOSE(AO352:AR352)) + MMULT($N$9:$Q$12, TRANSPOSE(Z352:AC352)))</f>
        <v>1.4453983418420786</v>
      </c>
      <c r="AF352" s="62">
        <f ca="1"/>
        <v>1.0329693748889732</v>
      </c>
      <c r="AG352" s="62">
        <f ca="1"/>
        <v>0.71344010426771054</v>
      </c>
      <c r="AH352" s="62">
        <f ca="1"/>
        <v>0.96087527035623332</v>
      </c>
      <c r="AI352" s="37"/>
      <c r="AJ352" s="61">
        <f t="shared" ca="1" si="26"/>
        <v>-0.5953148861751727</v>
      </c>
      <c r="AK352" s="61">
        <f t="shared" ca="1" si="26"/>
        <v>-0.48505096024755295</v>
      </c>
      <c r="AL352" s="61">
        <f t="shared" ca="1" si="26"/>
        <v>1.311953644059269</v>
      </c>
      <c r="AM352" s="61">
        <f t="shared" ca="1" si="26"/>
        <v>-0.86915404948501429</v>
      </c>
      <c r="AN352" s="37"/>
      <c r="AO352" s="62">
        <f t="array" aca="1" ref="AO352:AR352" ca="1">TRANSPOSE($B$17:$B$20 + MMULT($D$17:$G$20,TRANSPOSE(AO351:AR351)) + MMULT($N$17:$Q$20,TRANSPOSE(AJ352:AM352)))</f>
        <v>0.43026783480413427</v>
      </c>
      <c r="AP352" s="62">
        <f ca="1"/>
        <v>0.49334878035358842</v>
      </c>
      <c r="AQ352" s="62">
        <f ca="1"/>
        <v>1.2505914373750855</v>
      </c>
      <c r="AR352" s="62">
        <f ca="1"/>
        <v>0.61398176191045128</v>
      </c>
    </row>
    <row r="353" spans="25:44" x14ac:dyDescent="0.15">
      <c r="Y353" s="8">
        <f t="shared" si="27"/>
        <v>350</v>
      </c>
      <c r="Z353" s="61">
        <f t="shared" ca="1" si="25"/>
        <v>1.3314671277594714</v>
      </c>
      <c r="AA353" s="61">
        <f t="shared" ca="1" si="25"/>
        <v>0.59033516111839157</v>
      </c>
      <c r="AB353" s="61">
        <f t="shared" ca="1" si="25"/>
        <v>0.53282494161735849</v>
      </c>
      <c r="AC353" s="61">
        <f t="shared" ca="1" si="25"/>
        <v>0.79864625930307842</v>
      </c>
      <c r="AD353" s="37"/>
      <c r="AE353" s="62">
        <f t="array" aca="1" ref="AE353:AH353" ca="1">TRANSPOSE($B$9:$B$12 + MMULT($D$9:$G$12,TRANSPOSE(AO353:AR353)) + MMULT($N$9:$Q$12, TRANSPOSE(Z353:AC353)))</f>
        <v>1.5914977207156928</v>
      </c>
      <c r="AF353" s="62">
        <f ca="1"/>
        <v>1.2334191313764964</v>
      </c>
      <c r="AG353" s="62">
        <f ca="1"/>
        <v>1.1995828493228058</v>
      </c>
      <c r="AH353" s="62">
        <f ca="1"/>
        <v>0.74692781031651334</v>
      </c>
      <c r="AI353" s="37"/>
      <c r="AJ353" s="61">
        <f t="shared" ca="1" si="26"/>
        <v>1.2472305821817031</v>
      </c>
      <c r="AK353" s="61">
        <f t="shared" ca="1" si="26"/>
        <v>-0.60155520607433444</v>
      </c>
      <c r="AL353" s="61">
        <f t="shared" ca="1" si="26"/>
        <v>-1.0931209895433924</v>
      </c>
      <c r="AM353" s="61">
        <f t="shared" ca="1" si="26"/>
        <v>8.9590118958306139E-2</v>
      </c>
      <c r="AN353" s="37"/>
      <c r="AO353" s="62">
        <f t="array" aca="1" ref="AO353:AR353" ca="1">TRANSPOSE($B$17:$B$20 + MMULT($D$17:$G$20,TRANSPOSE(AO352:AR352)) + MMULT($N$17:$Q$20,TRANSPOSE(AJ353:AM353)))</f>
        <v>1.056534013248519</v>
      </c>
      <c r="AP353" s="62">
        <f ca="1"/>
        <v>0.26832668918547276</v>
      </c>
      <c r="AQ353" s="62">
        <f ca="1"/>
        <v>0.51470888908445711</v>
      </c>
      <c r="AR353" s="62">
        <f ca="1"/>
        <v>1.0109375373518716</v>
      </c>
    </row>
    <row r="354" spans="25:44" x14ac:dyDescent="0.15">
      <c r="Y354" s="8">
        <f t="shared" si="27"/>
        <v>351</v>
      </c>
      <c r="Z354" s="61">
        <f t="shared" ca="1" si="25"/>
        <v>-0.36978293546876539</v>
      </c>
      <c r="AA354" s="61">
        <f t="shared" ca="1" si="25"/>
        <v>-1.8748210814079569</v>
      </c>
      <c r="AB354" s="61">
        <f t="shared" ca="1" si="25"/>
        <v>0.18774607023153903</v>
      </c>
      <c r="AC354" s="61">
        <f t="shared" ca="1" si="25"/>
        <v>0.3463066569635691</v>
      </c>
      <c r="AD354" s="37"/>
      <c r="AE354" s="62">
        <f t="array" aca="1" ref="AE354:AH354" ca="1">TRANSPOSE($B$9:$B$12 + MMULT($D$9:$G$12,TRANSPOSE(AO354:AR354)) + MMULT($N$9:$Q$12, TRANSPOSE(Z354:AC354)))</f>
        <v>1.4485785114088525</v>
      </c>
      <c r="AF354" s="62">
        <f ca="1"/>
        <v>0.76944477794048627</v>
      </c>
      <c r="AG354" s="62">
        <f ca="1"/>
        <v>0.69881324851179794</v>
      </c>
      <c r="AH354" s="62">
        <f ca="1"/>
        <v>1.1490695344704458</v>
      </c>
      <c r="AI354" s="37"/>
      <c r="AJ354" s="61">
        <f t="shared" ca="1" si="26"/>
        <v>1.6875033667811432</v>
      </c>
      <c r="AK354" s="61">
        <f t="shared" ca="1" si="26"/>
        <v>1.6748261378237361</v>
      </c>
      <c r="AL354" s="61">
        <f t="shared" ca="1" si="26"/>
        <v>0.97067135526223014</v>
      </c>
      <c r="AM354" s="61">
        <f t="shared" ca="1" si="26"/>
        <v>-8.5473409950244716E-2</v>
      </c>
      <c r="AN354" s="37"/>
      <c r="AO354" s="62">
        <f t="array" aca="1" ref="AO354:AR354" ca="1">TRANSPOSE($B$17:$B$20 + MMULT($D$17:$G$20,TRANSPOSE(AO353:AR353)) + MMULT($N$17:$Q$20,TRANSPOSE(AJ354:AM354)))</f>
        <v>1.2623909869837771</v>
      </c>
      <c r="AP354" s="62">
        <f ca="1"/>
        <v>1.3907626158292352</v>
      </c>
      <c r="AQ354" s="62">
        <f ca="1"/>
        <v>1.09702472627928</v>
      </c>
      <c r="AR354" s="62">
        <f ca="1"/>
        <v>0.66736959947260388</v>
      </c>
    </row>
    <row r="355" spans="25:44" x14ac:dyDescent="0.15">
      <c r="Y355" s="8">
        <f t="shared" si="27"/>
        <v>352</v>
      </c>
      <c r="Z355" s="61">
        <f t="shared" ca="1" si="25"/>
        <v>0.46298418604197444</v>
      </c>
      <c r="AA355" s="61">
        <f t="shared" ca="1" si="25"/>
        <v>1.0507179930666477</v>
      </c>
      <c r="AB355" s="61">
        <f t="shared" ca="1" si="25"/>
        <v>-4.0913694738097764E-2</v>
      </c>
      <c r="AC355" s="61">
        <f t="shared" ca="1" si="25"/>
        <v>0.62042048774329628</v>
      </c>
      <c r="AD355" s="37"/>
      <c r="AE355" s="62">
        <f t="array" aca="1" ref="AE355:AH355" ca="1">TRANSPOSE($B$9:$B$12 + MMULT($D$9:$G$12,TRANSPOSE(AO355:AR355)) + MMULT($N$9:$Q$12, TRANSPOSE(Z355:AC355)))</f>
        <v>1.2205479829760284</v>
      </c>
      <c r="AF355" s="62">
        <f ca="1"/>
        <v>1.76939797265835</v>
      </c>
      <c r="AG355" s="62">
        <f ca="1"/>
        <v>1.474316709702943</v>
      </c>
      <c r="AH355" s="62">
        <f ca="1"/>
        <v>1.2915226006998206</v>
      </c>
      <c r="AI355" s="37"/>
      <c r="AJ355" s="61">
        <f t="shared" ca="1" si="26"/>
        <v>0.60179852922991295</v>
      </c>
      <c r="AK355" s="61">
        <f t="shared" ca="1" si="26"/>
        <v>-0.54271221224004784</v>
      </c>
      <c r="AL355" s="61">
        <f t="shared" ca="1" si="26"/>
        <v>-1.0840122467173705</v>
      </c>
      <c r="AM355" s="61">
        <f t="shared" ca="1" si="26"/>
        <v>2.6407383038163283</v>
      </c>
      <c r="AN355" s="37"/>
      <c r="AO355" s="62">
        <f t="array" aca="1" ref="AO355:AR355" ca="1">TRANSPOSE($B$17:$B$20 + MMULT($D$17:$G$20,TRANSPOSE(AO354:AR354)) + MMULT($N$17:$Q$20,TRANSPOSE(AJ355:AM355)))</f>
        <v>1.1010344727371522</v>
      </c>
      <c r="AP355" s="62">
        <f ca="1"/>
        <v>0.79669793798509614</v>
      </c>
      <c r="AQ355" s="62">
        <f ca="1"/>
        <v>0.78420195779527568</v>
      </c>
      <c r="AR355" s="62">
        <f ca="1"/>
        <v>1.677023124332488</v>
      </c>
    </row>
    <row r="356" spans="25:44" x14ac:dyDescent="0.15">
      <c r="Y356" s="8">
        <f t="shared" si="27"/>
        <v>353</v>
      </c>
      <c r="Z356" s="61">
        <f t="shared" ca="1" si="25"/>
        <v>0.51353666893887329</v>
      </c>
      <c r="AA356" s="61">
        <f t="shared" ca="1" si="25"/>
        <v>-0.56349562022864319</v>
      </c>
      <c r="AB356" s="61">
        <f t="shared" ca="1" si="25"/>
        <v>1.4407607946218928</v>
      </c>
      <c r="AC356" s="61">
        <f t="shared" ca="1" si="25"/>
        <v>-5.7778078969834862E-2</v>
      </c>
      <c r="AD356" s="37"/>
      <c r="AE356" s="62">
        <f t="array" aca="1" ref="AE356:AH356" ca="1">TRANSPOSE($B$9:$B$12 + MMULT($D$9:$G$12,TRANSPOSE(AO356:AR356)) + MMULT($N$9:$Q$12, TRANSPOSE(Z356:AC356)))</f>
        <v>1.085809662720721</v>
      </c>
      <c r="AF356" s="62">
        <f ca="1"/>
        <v>0.96335604447472323</v>
      </c>
      <c r="AG356" s="62">
        <f ca="1"/>
        <v>1.1912048359755305</v>
      </c>
      <c r="AH356" s="62">
        <f ca="1"/>
        <v>0.33541200680142963</v>
      </c>
      <c r="AI356" s="37"/>
      <c r="AJ356" s="61">
        <f t="shared" ca="1" si="26"/>
        <v>0.28111141991021343</v>
      </c>
      <c r="AK356" s="61">
        <f t="shared" ca="1" si="26"/>
        <v>-0.46397655745836336</v>
      </c>
      <c r="AL356" s="61">
        <f t="shared" ca="1" si="26"/>
        <v>-1.5568605688183921</v>
      </c>
      <c r="AM356" s="61">
        <f t="shared" ca="1" si="26"/>
        <v>-1.6712200707043336</v>
      </c>
      <c r="AN356" s="37"/>
      <c r="AO356" s="62">
        <f t="array" aca="1" ref="AO356:AR356" ca="1">TRANSPOSE($B$17:$B$20 + MMULT($D$17:$G$20,TRANSPOSE(AO355:AR355)) + MMULT($N$17:$Q$20,TRANSPOSE(AJ356:AM356)))</f>
        <v>0.91078362178414785</v>
      </c>
      <c r="AP356" s="62">
        <f ca="1"/>
        <v>0.74343436862086276</v>
      </c>
      <c r="AQ356" s="62">
        <f ca="1"/>
        <v>0.27468414857760104</v>
      </c>
      <c r="AR356" s="62">
        <f ca="1"/>
        <v>0.6158808748961867</v>
      </c>
    </row>
    <row r="357" spans="25:44" x14ac:dyDescent="0.15">
      <c r="Y357" s="8">
        <f t="shared" si="27"/>
        <v>354</v>
      </c>
      <c r="Z357" s="61">
        <f t="shared" ca="1" si="25"/>
        <v>-1.2153241463652096</v>
      </c>
      <c r="AA357" s="61">
        <f t="shared" ca="1" si="25"/>
        <v>-1.3788202892164074</v>
      </c>
      <c r="AB357" s="61">
        <f t="shared" ca="1" si="25"/>
        <v>1.0843348472830174</v>
      </c>
      <c r="AC357" s="61">
        <f t="shared" ca="1" si="25"/>
        <v>1.0601532754185385</v>
      </c>
      <c r="AD357" s="37"/>
      <c r="AE357" s="62">
        <f t="array" aca="1" ref="AE357:AH357" ca="1">TRANSPOSE($B$9:$B$12 + MMULT($D$9:$G$12,TRANSPOSE(AO357:AR357)) + MMULT($N$9:$Q$12, TRANSPOSE(Z357:AC357)))</f>
        <v>0.25447621515426866</v>
      </c>
      <c r="AF357" s="62">
        <f ca="1"/>
        <v>-0.21548036875250554</v>
      </c>
      <c r="AG357" s="62">
        <f ca="1"/>
        <v>1.4053100301022587</v>
      </c>
      <c r="AH357" s="62">
        <f ca="1"/>
        <v>0.59392631427913412</v>
      </c>
      <c r="AI357" s="37"/>
      <c r="AJ357" s="61">
        <f t="shared" ca="1" si="26"/>
        <v>-9.8590133687903286E-2</v>
      </c>
      <c r="AK357" s="61">
        <f t="shared" ca="1" si="26"/>
        <v>-0.79319618335747777</v>
      </c>
      <c r="AL357" s="61">
        <f t="shared" ca="1" si="26"/>
        <v>-0.63340368129883984</v>
      </c>
      <c r="AM357" s="61">
        <f t="shared" ca="1" si="26"/>
        <v>-0.22935786403722844</v>
      </c>
      <c r="AN357" s="37"/>
      <c r="AO357" s="62">
        <f t="array" aca="1" ref="AO357:AR357" ca="1">TRANSPOSE($B$17:$B$20 + MMULT($D$17:$G$20,TRANSPOSE(AO356:AR356)) + MMULT($N$17:$Q$20,TRANSPOSE(AJ357:AM357)))</f>
        <v>0.60267126636977342</v>
      </c>
      <c r="AP357" s="62">
        <f ca="1"/>
        <v>0.3283311364373217</v>
      </c>
      <c r="AQ357" s="62">
        <f ca="1"/>
        <v>0.39723990409311816</v>
      </c>
      <c r="AR357" s="62">
        <f ca="1"/>
        <v>0.618866704661028</v>
      </c>
    </row>
    <row r="358" spans="25:44" x14ac:dyDescent="0.15">
      <c r="Y358" s="8">
        <f t="shared" si="27"/>
        <v>355</v>
      </c>
      <c r="Z358" s="61">
        <f t="shared" ca="1" si="25"/>
        <v>0.36968211500500203</v>
      </c>
      <c r="AA358" s="61">
        <f t="shared" ca="1" si="25"/>
        <v>-0.3737796457969762</v>
      </c>
      <c r="AB358" s="61">
        <f t="shared" ca="1" si="25"/>
        <v>1.821083636332306</v>
      </c>
      <c r="AC358" s="61">
        <f t="shared" ca="1" si="25"/>
        <v>-1.0384637598452318</v>
      </c>
      <c r="AD358" s="37"/>
      <c r="AE358" s="62">
        <f t="array" aca="1" ref="AE358:AH358" ca="1">TRANSPOSE($B$9:$B$12 + MMULT($D$9:$G$12,TRANSPOSE(AO358:AR358)) + MMULT($N$9:$Q$12, TRANSPOSE(Z358:AC358)))</f>
        <v>0.73725472412852522</v>
      </c>
      <c r="AF358" s="62">
        <f ca="1"/>
        <v>0.53635157607908412</v>
      </c>
      <c r="AG358" s="62">
        <f ca="1"/>
        <v>1.7810045175915108</v>
      </c>
      <c r="AH358" s="62">
        <f ca="1"/>
        <v>0.84735887614696714</v>
      </c>
      <c r="AI358" s="37"/>
      <c r="AJ358" s="61">
        <f t="shared" ca="1" si="26"/>
        <v>-0.60307697248704206</v>
      </c>
      <c r="AK358" s="61">
        <f t="shared" ca="1" si="26"/>
        <v>-5.3743465221367095E-2</v>
      </c>
      <c r="AL358" s="61">
        <f t="shared" ca="1" si="26"/>
        <v>0.86058619482406606</v>
      </c>
      <c r="AM358" s="61">
        <f t="shared" ca="1" si="26"/>
        <v>2.7681615333585978</v>
      </c>
      <c r="AN358" s="37"/>
      <c r="AO358" s="62">
        <f t="array" aca="1" ref="AO358:AR358" ca="1">TRANSPOSE($B$17:$B$20 + MMULT($D$17:$G$20,TRANSPOSE(AO357:AR357)) + MMULT($N$17:$Q$20,TRANSPOSE(AJ358:AM358)))</f>
        <v>0.34086051927521388</v>
      </c>
      <c r="AP358" s="62">
        <f ca="1"/>
        <v>0.43068778643802375</v>
      </c>
      <c r="AQ358" s="62">
        <f ca="1"/>
        <v>0.72812443942411331</v>
      </c>
      <c r="AR358" s="62">
        <f ca="1"/>
        <v>1.2723914879754941</v>
      </c>
    </row>
    <row r="359" spans="25:44" x14ac:dyDescent="0.15">
      <c r="Y359" s="8">
        <f t="shared" si="27"/>
        <v>356</v>
      </c>
      <c r="Z359" s="61">
        <f t="shared" ca="1" si="25"/>
        <v>1.805793190180093</v>
      </c>
      <c r="AA359" s="61">
        <f t="shared" ca="1" si="25"/>
        <v>-2.8385631081799927</v>
      </c>
      <c r="AB359" s="61">
        <f t="shared" ca="1" si="25"/>
        <v>-0.77689633037459715</v>
      </c>
      <c r="AC359" s="61">
        <f t="shared" ca="1" si="25"/>
        <v>-0.21082554792956612</v>
      </c>
      <c r="AD359" s="37"/>
      <c r="AE359" s="62">
        <f t="array" aca="1" ref="AE359:AH359" ca="1">TRANSPOSE($B$9:$B$12 + MMULT($D$9:$G$12,TRANSPOSE(AO359:AR359)) + MMULT($N$9:$Q$12, TRANSPOSE(Z359:AC359)))</f>
        <v>1.5237603121099905</v>
      </c>
      <c r="AF359" s="62">
        <f ca="1"/>
        <v>0.11379716920434924</v>
      </c>
      <c r="AG359" s="62">
        <f ca="1"/>
        <v>-6.4746649155184466E-2</v>
      </c>
      <c r="AH359" s="62">
        <f ca="1"/>
        <v>1.0702504943047557</v>
      </c>
      <c r="AI359" s="37"/>
      <c r="AJ359" s="61">
        <f t="shared" ca="1" si="26"/>
        <v>-9.4746974547148852E-2</v>
      </c>
      <c r="AK359" s="61">
        <f t="shared" ca="1" si="26"/>
        <v>0.43163690458602449</v>
      </c>
      <c r="AL359" s="61">
        <f t="shared" ca="1" si="26"/>
        <v>0.17180891387466773</v>
      </c>
      <c r="AM359" s="61">
        <f t="shared" ca="1" si="26"/>
        <v>-0.3608122254331369</v>
      </c>
      <c r="AN359" s="37"/>
      <c r="AO359" s="62">
        <f t="array" aca="1" ref="AO359:AR359" ca="1">TRANSPOSE($B$17:$B$20 + MMULT($D$17:$G$20,TRANSPOSE(AO358:AR358)) + MMULT($N$17:$Q$20,TRANSPOSE(AJ359:AM359)))</f>
        <v>0.53150054688717341</v>
      </c>
      <c r="AP359" s="62">
        <f ca="1"/>
        <v>0.70058184244683086</v>
      </c>
      <c r="AQ359" s="62">
        <f ca="1"/>
        <v>0.58821972974205605</v>
      </c>
      <c r="AR359" s="62">
        <f ca="1"/>
        <v>0.69715192998292852</v>
      </c>
    </row>
    <row r="360" spans="25:44" x14ac:dyDescent="0.15">
      <c r="Y360" s="8">
        <f t="shared" si="27"/>
        <v>357</v>
      </c>
      <c r="Z360" s="61">
        <f t="shared" ca="1" si="25"/>
        <v>0.67743498836982274</v>
      </c>
      <c r="AA360" s="61">
        <f t="shared" ca="1" si="25"/>
        <v>-1.6915643571018675</v>
      </c>
      <c r="AB360" s="61">
        <f t="shared" ca="1" si="25"/>
        <v>0.60263975027660532</v>
      </c>
      <c r="AC360" s="61">
        <f t="shared" ca="1" si="25"/>
        <v>-5.6487639450201632E-2</v>
      </c>
      <c r="AD360" s="37"/>
      <c r="AE360" s="62">
        <f t="array" aca="1" ref="AE360:AH360" ca="1">TRANSPOSE($B$9:$B$12 + MMULT($D$9:$G$12,TRANSPOSE(AO360:AR360)) + MMULT($N$9:$Q$12, TRANSPOSE(Z360:AC360)))</f>
        <v>1.553094337546971</v>
      </c>
      <c r="AF360" s="62">
        <f ca="1"/>
        <v>-0.12419228518116582</v>
      </c>
      <c r="AG360" s="62">
        <f ca="1"/>
        <v>1.5963389182988046</v>
      </c>
      <c r="AH360" s="62">
        <f ca="1"/>
        <v>0.88481237185829331</v>
      </c>
      <c r="AI360" s="37"/>
      <c r="AJ360" s="61">
        <f t="shared" ca="1" si="26"/>
        <v>1.3851383351641915</v>
      </c>
      <c r="AK360" s="61">
        <f t="shared" ca="1" si="26"/>
        <v>-1.4656647041540338</v>
      </c>
      <c r="AL360" s="61">
        <f t="shared" ca="1" si="26"/>
        <v>-0.21663835674182658</v>
      </c>
      <c r="AM360" s="61">
        <f t="shared" ca="1" si="26"/>
        <v>0.45462284836914407</v>
      </c>
      <c r="AN360" s="37"/>
      <c r="AO360" s="62">
        <f t="array" aca="1" ref="AO360:AR360" ca="1">TRANSPOSE($B$17:$B$20 + MMULT($D$17:$G$20,TRANSPOSE(AO359:AR359)) + MMULT($N$17:$Q$20,TRANSPOSE(AJ360:AM360)))</f>
        <v>1.0502068220133158</v>
      </c>
      <c r="AP360" s="62">
        <f ca="1"/>
        <v>-4.1044905911688523E-2</v>
      </c>
      <c r="AQ360" s="62">
        <f ca="1"/>
        <v>0.94528532533845744</v>
      </c>
      <c r="AR360" s="62">
        <f ca="1"/>
        <v>1.2061673243534781</v>
      </c>
    </row>
    <row r="361" spans="25:44" x14ac:dyDescent="0.15">
      <c r="Y361" s="8">
        <f t="shared" si="27"/>
        <v>358</v>
      </c>
      <c r="Z361" s="61">
        <f t="shared" ca="1" si="25"/>
        <v>0.45542281797244422</v>
      </c>
      <c r="AA361" s="61">
        <f t="shared" ca="1" si="25"/>
        <v>-0.54380422638439418</v>
      </c>
      <c r="AB361" s="61">
        <f t="shared" ca="1" si="25"/>
        <v>-1.1139952428171487</v>
      </c>
      <c r="AC361" s="61">
        <f t="shared" ca="1" si="25"/>
        <v>-0.2818176771806985</v>
      </c>
      <c r="AD361" s="37"/>
      <c r="AE361" s="62">
        <f t="array" aca="1" ref="AE361:AH361" ca="1">TRANSPOSE($B$9:$B$12 + MMULT($D$9:$G$12,TRANSPOSE(AO361:AR361)) + MMULT($N$9:$Q$12, TRANSPOSE(Z361:AC361)))</f>
        <v>0.89216330411445055</v>
      </c>
      <c r="AF361" s="62">
        <f ca="1"/>
        <v>0.60146163594100255</v>
      </c>
      <c r="AG361" s="62">
        <f ca="1"/>
        <v>-0.35679795771930511</v>
      </c>
      <c r="AH361" s="62">
        <f ca="1"/>
        <v>0.8432407258353507</v>
      </c>
      <c r="AI361" s="37"/>
      <c r="AJ361" s="61">
        <f t="shared" ca="1" si="26"/>
        <v>-1.3120161415823528</v>
      </c>
      <c r="AK361" s="61">
        <f t="shared" ca="1" si="26"/>
        <v>0.2744241526390358</v>
      </c>
      <c r="AL361" s="61">
        <f t="shared" ca="1" si="26"/>
        <v>0.58124831197705429</v>
      </c>
      <c r="AM361" s="61">
        <f t="shared" ca="1" si="26"/>
        <v>-1.7792600496612656</v>
      </c>
      <c r="AN361" s="37"/>
      <c r="AO361" s="62">
        <f t="array" aca="1" ref="AO361:AR361" ca="1">TRANSPOSE($B$17:$B$20 + MMULT($D$17:$G$20,TRANSPOSE(AO360:AR360)) + MMULT($N$17:$Q$20,TRANSPOSE(AJ361:AM361)))</f>
        <v>0.30224344664881164</v>
      </c>
      <c r="AP361" s="62">
        <f ca="1"/>
        <v>0.74073197703936888</v>
      </c>
      <c r="AQ361" s="62">
        <f ca="1"/>
        <v>0.56547334268197691</v>
      </c>
      <c r="AR361" s="62">
        <f ca="1"/>
        <v>0.33292098412044102</v>
      </c>
    </row>
    <row r="362" spans="25:44" x14ac:dyDescent="0.15">
      <c r="Y362" s="8">
        <f t="shared" si="27"/>
        <v>359</v>
      </c>
      <c r="Z362" s="61">
        <f t="shared" ca="1" si="25"/>
        <v>1.3822163008263815</v>
      </c>
      <c r="AA362" s="61">
        <f t="shared" ca="1" si="25"/>
        <v>-0.32039727657033695</v>
      </c>
      <c r="AB362" s="61">
        <f t="shared" ca="1" si="25"/>
        <v>-1.9029408392262375</v>
      </c>
      <c r="AC362" s="61">
        <f t="shared" ca="1" si="25"/>
        <v>0.37424030665052627</v>
      </c>
      <c r="AD362" s="37"/>
      <c r="AE362" s="62">
        <f t="array" aca="1" ref="AE362:AH362" ca="1">TRANSPOSE($B$9:$B$12 + MMULT($D$9:$G$12,TRANSPOSE(AO362:AR362)) + MMULT($N$9:$Q$12, TRANSPOSE(Z362:AC362)))</f>
        <v>1.3944321514612765</v>
      </c>
      <c r="AF362" s="62">
        <f ca="1"/>
        <v>0.92208216532576426</v>
      </c>
      <c r="AG362" s="62">
        <f ca="1"/>
        <v>-0.66004700542757577</v>
      </c>
      <c r="AH362" s="62">
        <f ca="1"/>
        <v>0.66040367967110436</v>
      </c>
      <c r="AI362" s="37"/>
      <c r="AJ362" s="61">
        <f t="shared" ca="1" si="26"/>
        <v>0.53285389739227684</v>
      </c>
      <c r="AK362" s="61">
        <f t="shared" ca="1" si="26"/>
        <v>0.26808450195963962</v>
      </c>
      <c r="AL362" s="61">
        <f t="shared" ca="1" si="26"/>
        <v>-0.78024012254959663</v>
      </c>
      <c r="AM362" s="61">
        <f t="shared" ca="1" si="26"/>
        <v>-0.97515593140556311</v>
      </c>
      <c r="AN362" s="37"/>
      <c r="AO362" s="62">
        <f t="array" aca="1" ref="AO362:AR362" ca="1">TRANSPOSE($B$17:$B$20 + MMULT($D$17:$G$20,TRANSPOSE(AO361:AR361)) + MMULT($N$17:$Q$20,TRANSPOSE(AJ362:AM362)))</f>
        <v>0.68536777953696881</v>
      </c>
      <c r="AP362" s="62">
        <f ca="1"/>
        <v>0.55659254108819833</v>
      </c>
      <c r="AQ362" s="62">
        <f ca="1"/>
        <v>0.28821159809496599</v>
      </c>
      <c r="AR362" s="62">
        <f ca="1"/>
        <v>0.28328522335443351</v>
      </c>
    </row>
    <row r="363" spans="25:44" x14ac:dyDescent="0.15">
      <c r="Y363" s="8">
        <f t="shared" si="27"/>
        <v>360</v>
      </c>
      <c r="Z363" s="61">
        <f t="shared" ca="1" si="25"/>
        <v>0.11936214624583302</v>
      </c>
      <c r="AA363" s="61">
        <f t="shared" ca="1" si="25"/>
        <v>1.7891479321311161</v>
      </c>
      <c r="AB363" s="61">
        <f t="shared" ca="1" si="25"/>
        <v>0.84066466130568895</v>
      </c>
      <c r="AC363" s="61">
        <f t="shared" ca="1" si="25"/>
        <v>-0.79565296292598575</v>
      </c>
      <c r="AD363" s="37"/>
      <c r="AE363" s="62">
        <f t="array" aca="1" ref="AE363:AH363" ca="1">TRANSPOSE($B$9:$B$12 + MMULT($D$9:$G$12,TRANSPOSE(AO363:AR363)) + MMULT($N$9:$Q$12, TRANSPOSE(Z363:AC363)))</f>
        <v>0.85127419553904093</v>
      </c>
      <c r="AF363" s="62">
        <f ca="1"/>
        <v>1.1797187583059032</v>
      </c>
      <c r="AG363" s="62">
        <f ca="1"/>
        <v>0.87229037005164112</v>
      </c>
      <c r="AH363" s="62">
        <f ca="1"/>
        <v>0.35101481739119106</v>
      </c>
      <c r="AI363" s="37"/>
      <c r="AJ363" s="61">
        <f t="shared" ca="1" si="26"/>
        <v>-0.22282211439736382</v>
      </c>
      <c r="AK363" s="61">
        <f t="shared" ca="1" si="26"/>
        <v>-0.34399559146112763</v>
      </c>
      <c r="AL363" s="61">
        <f t="shared" ca="1" si="26"/>
        <v>0.18021774919443431</v>
      </c>
      <c r="AM363" s="61">
        <f t="shared" ca="1" si="26"/>
        <v>-0.19233355023269438</v>
      </c>
      <c r="AN363" s="37"/>
      <c r="AO363" s="62">
        <f t="array" aca="1" ref="AO363:AR363" ca="1">TRANSPOSE($B$17:$B$20 + MMULT($D$17:$G$20,TRANSPOSE(AO362:AR362)) + MMULT($N$17:$Q$20,TRANSPOSE(AJ363:AM363)))</f>
        <v>0.47445851637937131</v>
      </c>
      <c r="AP363" s="62">
        <f ca="1"/>
        <v>0.34304248419264893</v>
      </c>
      <c r="AQ363" s="62">
        <f ca="1"/>
        <v>0.5660546001497172</v>
      </c>
      <c r="AR363" s="62">
        <f ca="1"/>
        <v>0.5000817882629861</v>
      </c>
    </row>
    <row r="364" spans="25:44" x14ac:dyDescent="0.15">
      <c r="Y364" s="8">
        <f t="shared" si="27"/>
        <v>361</v>
      </c>
      <c r="Z364" s="61">
        <f t="shared" ca="1" si="25"/>
        <v>-0.13678190502448329</v>
      </c>
      <c r="AA364" s="61">
        <f t="shared" ca="1" si="25"/>
        <v>0.36676599633550433</v>
      </c>
      <c r="AB364" s="61">
        <f t="shared" ca="1" si="25"/>
        <v>0.44788018064712487</v>
      </c>
      <c r="AC364" s="61">
        <f t="shared" ca="1" si="25"/>
        <v>2.1828040912143032</v>
      </c>
      <c r="AD364" s="37"/>
      <c r="AE364" s="62">
        <f t="array" aca="1" ref="AE364:AH364" ca="1">TRANSPOSE($B$9:$B$12 + MMULT($D$9:$G$12,TRANSPOSE(AO364:AR364)) + MMULT($N$9:$Q$12, TRANSPOSE(Z364:AC364)))</f>
        <v>-0.23963793837905487</v>
      </c>
      <c r="AF364" s="62">
        <f ca="1"/>
        <v>0.63291871435446379</v>
      </c>
      <c r="AG364" s="62">
        <f ca="1"/>
        <v>0.1643835051047062</v>
      </c>
      <c r="AH364" s="62">
        <f ca="1"/>
        <v>0.60705642852970731</v>
      </c>
      <c r="AI364" s="37"/>
      <c r="AJ364" s="61">
        <f t="shared" ca="1" si="26"/>
        <v>-2.3048428298677344</v>
      </c>
      <c r="AK364" s="61">
        <f t="shared" ca="1" si="26"/>
        <v>0.3501100149003718</v>
      </c>
      <c r="AL364" s="61">
        <f t="shared" ca="1" si="26"/>
        <v>-0.78832079311530268</v>
      </c>
      <c r="AM364" s="61">
        <f t="shared" ca="1" si="26"/>
        <v>-0.41954097780427996</v>
      </c>
      <c r="AN364" s="37"/>
      <c r="AO364" s="62">
        <f t="array" aca="1" ref="AO364:AR364" ca="1">TRANSPOSE($B$17:$B$20 + MMULT($D$17:$G$20,TRANSPOSE(AO363:AR363)) + MMULT($N$17:$Q$20,TRANSPOSE(AJ364:AM364)))</f>
        <v>-0.24505361152505367</v>
      </c>
      <c r="AP364" s="62">
        <f ca="1"/>
        <v>0.53508019458939438</v>
      </c>
      <c r="AQ364" s="62">
        <f ca="1"/>
        <v>-0.33474594464998586</v>
      </c>
      <c r="AR364" s="62">
        <f ca="1"/>
        <v>0.10591497954683043</v>
      </c>
    </row>
    <row r="365" spans="25:44" x14ac:dyDescent="0.15">
      <c r="Y365" s="8">
        <f t="shared" si="27"/>
        <v>362</v>
      </c>
      <c r="Z365" s="61">
        <f t="shared" ca="1" si="25"/>
        <v>-0.56207506753178993</v>
      </c>
      <c r="AA365" s="61">
        <f t="shared" ca="1" si="25"/>
        <v>-1.2889279752242377</v>
      </c>
      <c r="AB365" s="61">
        <f t="shared" ca="1" si="25"/>
        <v>0.79138120477117646</v>
      </c>
      <c r="AC365" s="61">
        <f t="shared" ca="1" si="25"/>
        <v>-0.67176714441243801</v>
      </c>
      <c r="AD365" s="37"/>
      <c r="AE365" s="62">
        <f t="array" aca="1" ref="AE365:AH365" ca="1">TRANSPOSE($B$9:$B$12 + MMULT($D$9:$G$12,TRANSPOSE(AO365:AR365)) + MMULT($N$9:$Q$12, TRANSPOSE(Z365:AC365)))</f>
        <v>6.1613991537216029E-3</v>
      </c>
      <c r="AF365" s="62">
        <f ca="1"/>
        <v>-1.0154013942113931</v>
      </c>
      <c r="AG365" s="62">
        <f ca="1"/>
        <v>0.98722919966994516</v>
      </c>
      <c r="AH365" s="62">
        <f ca="1"/>
        <v>0.29404194435618536</v>
      </c>
      <c r="AI365" s="37"/>
      <c r="AJ365" s="61">
        <f t="shared" ca="1" si="26"/>
        <v>-1.17459896392754</v>
      </c>
      <c r="AK365" s="61">
        <f t="shared" ca="1" si="26"/>
        <v>-1.2133434778302374</v>
      </c>
      <c r="AL365" s="61">
        <f t="shared" ca="1" si="26"/>
        <v>0.53637623721365013</v>
      </c>
      <c r="AM365" s="61">
        <f t="shared" ca="1" si="26"/>
        <v>0.3485246285477091</v>
      </c>
      <c r="AN365" s="37"/>
      <c r="AO365" s="62">
        <f t="array" aca="1" ref="AO365:AR365" ca="1">TRANSPOSE($B$17:$B$20 + MMULT($D$17:$G$20,TRANSPOSE(AO364:AR364)) + MMULT($N$17:$Q$20,TRANSPOSE(AJ365:AM365)))</f>
        <v>-0.19134987721089003</v>
      </c>
      <c r="AP365" s="62">
        <f ca="1"/>
        <v>-0.4248332783875407</v>
      </c>
      <c r="AQ365" s="62">
        <f ca="1"/>
        <v>0.3315466810156158</v>
      </c>
      <c r="AR365" s="62">
        <f ca="1"/>
        <v>0.43165599750773948</v>
      </c>
    </row>
    <row r="366" spans="25:44" x14ac:dyDescent="0.15">
      <c r="Y366" s="8">
        <f t="shared" si="27"/>
        <v>363</v>
      </c>
      <c r="Z366" s="61">
        <f t="shared" ca="1" si="25"/>
        <v>0.52805723806654625</v>
      </c>
      <c r="AA366" s="61">
        <f t="shared" ca="1" si="25"/>
        <v>-1.0930678491034429</v>
      </c>
      <c r="AB366" s="61">
        <f t="shared" ca="1" si="25"/>
        <v>-2.6279113322893174E-2</v>
      </c>
      <c r="AC366" s="61">
        <f t="shared" ca="1" si="25"/>
        <v>1.0850993201493837</v>
      </c>
      <c r="AD366" s="37"/>
      <c r="AE366" s="62">
        <f t="array" aca="1" ref="AE366:AH366" ca="1">TRANSPOSE($B$9:$B$12 + MMULT($D$9:$G$12,TRANSPOSE(AO366:AR366)) + MMULT($N$9:$Q$12, TRANSPOSE(Z366:AC366)))</f>
        <v>0.77208153559633841</v>
      </c>
      <c r="AF366" s="62">
        <f ca="1"/>
        <v>-0.12490459527188888</v>
      </c>
      <c r="AG366" s="62">
        <f ca="1"/>
        <v>0.48086953805618665</v>
      </c>
      <c r="AH366" s="62">
        <f ca="1"/>
        <v>1.002573799260005</v>
      </c>
      <c r="AI366" s="37"/>
      <c r="AJ366" s="61">
        <f t="shared" ca="1" si="26"/>
        <v>-0.23295755475675059</v>
      </c>
      <c r="AK366" s="61">
        <f t="shared" ca="1" si="26"/>
        <v>0.36160856530705293</v>
      </c>
      <c r="AL366" s="61">
        <f t="shared" ca="1" si="26"/>
        <v>1.2487462938863523</v>
      </c>
      <c r="AM366" s="61">
        <f t="shared" ca="1" si="26"/>
        <v>0.74739910875631466</v>
      </c>
      <c r="AN366" s="37"/>
      <c r="AO366" s="62">
        <f t="array" aca="1" ref="AO366:AR366" ca="1">TRANSPOSE($B$17:$B$20 + MMULT($D$17:$G$20,TRANSPOSE(AO365:AR365)) + MMULT($N$17:$Q$20,TRANSPOSE(AJ366:AM366)))</f>
        <v>0.1850747958909526</v>
      </c>
      <c r="AP366" s="62">
        <f ca="1"/>
        <v>0.11364918400664975</v>
      </c>
      <c r="AQ366" s="62">
        <f ca="1"/>
        <v>0.51694173324230408</v>
      </c>
      <c r="AR366" s="62">
        <f ca="1"/>
        <v>0.5737569538706353</v>
      </c>
    </row>
    <row r="367" spans="25:44" x14ac:dyDescent="0.15">
      <c r="Y367" s="8">
        <f t="shared" si="27"/>
        <v>364</v>
      </c>
      <c r="Z367" s="61">
        <f t="shared" ca="1" si="25"/>
        <v>0.30112738609204287</v>
      </c>
      <c r="AA367" s="61">
        <f t="shared" ca="1" si="25"/>
        <v>1.4457757636033732</v>
      </c>
      <c r="AB367" s="61">
        <f t="shared" ca="1" si="25"/>
        <v>0.49258093206951969</v>
      </c>
      <c r="AC367" s="61">
        <f t="shared" ca="1" si="25"/>
        <v>-0.43431972956301251</v>
      </c>
      <c r="AD367" s="37"/>
      <c r="AE367" s="62">
        <f t="array" aca="1" ref="AE367:AH367" ca="1">TRANSPOSE($B$9:$B$12 + MMULT($D$9:$G$12,TRANSPOSE(AO367:AR367)) + MMULT($N$9:$Q$12, TRANSPOSE(Z367:AC367)))</f>
        <v>1.0665827014560603</v>
      </c>
      <c r="AF367" s="62">
        <f ca="1"/>
        <v>0.78235585944208386</v>
      </c>
      <c r="AG367" s="62">
        <f ca="1"/>
        <v>1.0179765709786781</v>
      </c>
      <c r="AH367" s="62">
        <f ca="1"/>
        <v>0.56795291759031685</v>
      </c>
      <c r="AI367" s="37"/>
      <c r="AJ367" s="61">
        <f t="shared" ca="1" si="26"/>
        <v>0.34015121005434701</v>
      </c>
      <c r="AK367" s="61">
        <f t="shared" ca="1" si="26"/>
        <v>-0.70037641207835288</v>
      </c>
      <c r="AL367" s="61">
        <f t="shared" ca="1" si="26"/>
        <v>0.62995992185916028</v>
      </c>
      <c r="AM367" s="61">
        <f t="shared" ca="1" si="26"/>
        <v>-0.31193230496604191</v>
      </c>
      <c r="AN367" s="37"/>
      <c r="AO367" s="62">
        <f t="array" aca="1" ref="AO367:AR367" ca="1">TRANSPOSE($B$17:$B$20 + MMULT($D$17:$G$20,TRANSPOSE(AO366:AR366)) + MMULT($N$17:$Q$20,TRANSPOSE(AJ367:AM367)))</f>
        <v>0.5493176603408686</v>
      </c>
      <c r="AP367" s="62">
        <f ca="1"/>
        <v>-2.4896244870933448E-2</v>
      </c>
      <c r="AQ367" s="62">
        <f ca="1"/>
        <v>0.76564078434504101</v>
      </c>
      <c r="AR367" s="62">
        <f ca="1"/>
        <v>0.70876390582016224</v>
      </c>
    </row>
    <row r="368" spans="25:44" x14ac:dyDescent="0.15">
      <c r="Y368" s="8">
        <f t="shared" si="27"/>
        <v>365</v>
      </c>
      <c r="Z368" s="61">
        <f t="shared" ca="1" si="25"/>
        <v>-0.3495486771211414</v>
      </c>
      <c r="AA368" s="61">
        <f t="shared" ca="1" si="25"/>
        <v>0.6656599305999733</v>
      </c>
      <c r="AB368" s="61">
        <f t="shared" ca="1" si="25"/>
        <v>0.18741738361317434</v>
      </c>
      <c r="AC368" s="61">
        <f t="shared" ca="1" si="25"/>
        <v>1.6136700631884107</v>
      </c>
      <c r="AD368" s="37"/>
      <c r="AE368" s="62">
        <f t="array" aca="1" ref="AE368:AH368" ca="1">TRANSPOSE($B$9:$B$12 + MMULT($D$9:$G$12,TRANSPOSE(AO368:AR368)) + MMULT($N$9:$Q$12, TRANSPOSE(Z368:AC368)))</f>
        <v>0.60195559906248119</v>
      </c>
      <c r="AF368" s="62">
        <f ca="1"/>
        <v>0.71911940863729185</v>
      </c>
      <c r="AG368" s="62">
        <f ca="1"/>
        <v>0.77247234213651372</v>
      </c>
      <c r="AH368" s="62">
        <f ca="1"/>
        <v>0.28346037454157635</v>
      </c>
      <c r="AI368" s="37"/>
      <c r="AJ368" s="61">
        <f t="shared" ca="1" si="26"/>
        <v>0.62747987561986862</v>
      </c>
      <c r="AK368" s="61">
        <f t="shared" ca="1" si="26"/>
        <v>-0.51203810642627534</v>
      </c>
      <c r="AL368" s="61">
        <f t="shared" ca="1" si="26"/>
        <v>-1.2458649186765667</v>
      </c>
      <c r="AM368" s="61">
        <f t="shared" ca="1" si="26"/>
        <v>-1.5078530570281623</v>
      </c>
      <c r="AN368" s="37"/>
      <c r="AO368" s="62">
        <f t="array" aca="1" ref="AO368:AR368" ca="1">TRANSPOSE($B$17:$B$20 + MMULT($D$17:$G$20,TRANSPOSE(AO367:AR367)) + MMULT($N$17:$Q$20,TRANSPOSE(AJ368:AM368)))</f>
        <v>0.77459950099782782</v>
      </c>
      <c r="AP368" s="62">
        <f ca="1"/>
        <v>0.182286482608669</v>
      </c>
      <c r="AQ368" s="62">
        <f ca="1"/>
        <v>4.7812202245233471E-2</v>
      </c>
      <c r="AR368" s="62">
        <f ca="1"/>
        <v>0.32566961941263189</v>
      </c>
    </row>
    <row r="369" spans="25:44" x14ac:dyDescent="0.15">
      <c r="Y369" s="8">
        <f t="shared" si="27"/>
        <v>366</v>
      </c>
      <c r="Z369" s="61">
        <f t="shared" ca="1" si="25"/>
        <v>-2.3236491459311205E-2</v>
      </c>
      <c r="AA369" s="61">
        <f t="shared" ca="1" si="25"/>
        <v>0.49117115034443687</v>
      </c>
      <c r="AB369" s="61">
        <f t="shared" ca="1" si="25"/>
        <v>-1.0724518104820842</v>
      </c>
      <c r="AC369" s="61">
        <f t="shared" ca="1" si="25"/>
        <v>-0.38259902990026295</v>
      </c>
      <c r="AD369" s="37"/>
      <c r="AE369" s="62">
        <f t="array" aca="1" ref="AE369:AH369" ca="1">TRANSPOSE($B$9:$B$12 + MMULT($D$9:$G$12,TRANSPOSE(AO369:AR369)) + MMULT($N$9:$Q$12, TRANSPOSE(Z369:AC369)))</f>
        <v>0.7239214454261419</v>
      </c>
      <c r="AF369" s="62">
        <f ca="1"/>
        <v>0.7373003920328226</v>
      </c>
      <c r="AG369" s="62">
        <f ca="1"/>
        <v>0.21549999803753161</v>
      </c>
      <c r="AH369" s="62">
        <f ca="1"/>
        <v>0.2746142658201054</v>
      </c>
      <c r="AI369" s="37"/>
      <c r="AJ369" s="61">
        <f t="shared" ca="1" si="26"/>
        <v>0.42179650237630356</v>
      </c>
      <c r="AK369" s="61">
        <f t="shared" ca="1" si="26"/>
        <v>-0.33611691705041952</v>
      </c>
      <c r="AL369" s="61">
        <f t="shared" ca="1" si="26"/>
        <v>-0.42647409781745699</v>
      </c>
      <c r="AM369" s="61">
        <f t="shared" ca="1" si="26"/>
        <v>0.2471760257598356</v>
      </c>
      <c r="AN369" s="37"/>
      <c r="AO369" s="62">
        <f t="array" aca="1" ref="AO369:AR369" ca="1">TRANSPOSE($B$17:$B$20 + MMULT($D$17:$G$20,TRANSPOSE(AO368:AR368)) + MMULT($N$17:$Q$20,TRANSPOSE(AJ369:AM369)))</f>
        <v>0.65427849280809303</v>
      </c>
      <c r="AP369" s="62">
        <f ca="1"/>
        <v>0.27555317565185583</v>
      </c>
      <c r="AQ369" s="62">
        <f ca="1"/>
        <v>0.24080041594489013</v>
      </c>
      <c r="AR369" s="62">
        <f ca="1"/>
        <v>0.47952355176686545</v>
      </c>
    </row>
    <row r="370" spans="25:44" x14ac:dyDescent="0.15">
      <c r="Y370" s="8">
        <f t="shared" si="27"/>
        <v>367</v>
      </c>
      <c r="Z370" s="61">
        <f t="shared" ca="1" si="25"/>
        <v>1.0099930836377306E-2</v>
      </c>
      <c r="AA370" s="61">
        <f t="shared" ca="1" si="25"/>
        <v>-1.7926956799865299</v>
      </c>
      <c r="AB370" s="61">
        <f t="shared" ca="1" si="25"/>
        <v>0.77812953033882293</v>
      </c>
      <c r="AC370" s="61">
        <f t="shared" ca="1" si="25"/>
        <v>-0.50704245378976343</v>
      </c>
      <c r="AD370" s="37"/>
      <c r="AE370" s="62">
        <f t="array" aca="1" ref="AE370:AH370" ca="1">TRANSPOSE($B$9:$B$12 + MMULT($D$9:$G$12,TRANSPOSE(AO370:AR370)) + MMULT($N$9:$Q$12, TRANSPOSE(Z370:AC370)))</f>
        <v>0.8830102250750087</v>
      </c>
      <c r="AF370" s="62">
        <f ca="1"/>
        <v>-0.39199553013636823</v>
      </c>
      <c r="AG370" s="62">
        <f ca="1"/>
        <v>0.98963940370607584</v>
      </c>
      <c r="AH370" s="62">
        <f ca="1"/>
        <v>1.1496094328201474</v>
      </c>
      <c r="AI370" s="37"/>
      <c r="AJ370" s="61">
        <f t="shared" ca="1" si="26"/>
        <v>-0.87000727628734309</v>
      </c>
      <c r="AK370" s="61">
        <f t="shared" ca="1" si="26"/>
        <v>-0.1996719807578691</v>
      </c>
      <c r="AL370" s="61">
        <f t="shared" ca="1" si="26"/>
        <v>1.9047994604235647</v>
      </c>
      <c r="AM370" s="61">
        <f t="shared" ca="1" si="26"/>
        <v>0.71770628221883881</v>
      </c>
      <c r="AN370" s="37"/>
      <c r="AO370" s="62">
        <f t="array" aca="1" ref="AO370:AR370" ca="1">TRANSPOSE($B$17:$B$20 + MMULT($D$17:$G$20,TRANSPOSE(AO369:AR369)) + MMULT($N$17:$Q$20,TRANSPOSE(AJ370:AM370)))</f>
        <v>0.23080918937787792</v>
      </c>
      <c r="AP370" s="62">
        <f ca="1"/>
        <v>0.33763462630139379</v>
      </c>
      <c r="AQ370" s="62">
        <f ca="1"/>
        <v>1.0977353856800804</v>
      </c>
      <c r="AR370" s="62">
        <f ca="1"/>
        <v>0.80776819707127179</v>
      </c>
    </row>
    <row r="371" spans="25:44" x14ac:dyDescent="0.15">
      <c r="Y371" s="8">
        <f t="shared" si="27"/>
        <v>368</v>
      </c>
      <c r="Z371" s="61">
        <f t="shared" ca="1" si="25"/>
        <v>0.33737446121113446</v>
      </c>
      <c r="AA371" s="61">
        <f t="shared" ca="1" si="25"/>
        <v>0.55610060238425896</v>
      </c>
      <c r="AB371" s="61">
        <f t="shared" ca="1" si="25"/>
        <v>-0.79543673089022482</v>
      </c>
      <c r="AC371" s="61">
        <f t="shared" ca="1" si="25"/>
        <v>-2.0465081498051241</v>
      </c>
      <c r="AD371" s="37"/>
      <c r="AE371" s="62">
        <f t="array" aca="1" ref="AE371:AH371" ca="1">TRANSPOSE($B$9:$B$12 + MMULT($D$9:$G$12,TRANSPOSE(AO371:AR371)) + MMULT($N$9:$Q$12, TRANSPOSE(Z371:AC371)))</f>
        <v>0.86868095177365079</v>
      </c>
      <c r="AF371" s="62">
        <f ca="1"/>
        <v>0.47498539646593912</v>
      </c>
      <c r="AG371" s="62">
        <f ca="1"/>
        <v>1.4897756850334454E-2</v>
      </c>
      <c r="AH371" s="62">
        <f ca="1"/>
        <v>0.4132793621378113</v>
      </c>
      <c r="AI371" s="37"/>
      <c r="AJ371" s="61">
        <f t="shared" ca="1" si="26"/>
        <v>-1.0621731556844247</v>
      </c>
      <c r="AK371" s="61">
        <f t="shared" ca="1" si="26"/>
        <v>-0.47358402956645196</v>
      </c>
      <c r="AL371" s="61">
        <f t="shared" ca="1" si="26"/>
        <v>0.56501959646944433</v>
      </c>
      <c r="AM371" s="61">
        <f t="shared" ca="1" si="26"/>
        <v>-1.9826356415397928</v>
      </c>
      <c r="AN371" s="37"/>
      <c r="AO371" s="62">
        <f t="array" aca="1" ref="AO371:AR371" ca="1">TRANSPOSE($B$17:$B$20 + MMULT($D$17:$G$20,TRANSPOSE(AO370:AR370)) + MMULT($N$17:$Q$20,TRANSPOSE(AJ371:AM371)))</f>
        <v>0.20274200040904544</v>
      </c>
      <c r="AP371" s="62">
        <f ca="1"/>
        <v>0.20367969809883824</v>
      </c>
      <c r="AQ371" s="62">
        <f ca="1"/>
        <v>0.70754826110556468</v>
      </c>
      <c r="AR371" s="62">
        <f ca="1"/>
        <v>0.41264543855912461</v>
      </c>
    </row>
    <row r="372" spans="25:44" x14ac:dyDescent="0.15">
      <c r="Y372" s="8">
        <f t="shared" si="27"/>
        <v>369</v>
      </c>
      <c r="Z372" s="61">
        <f t="shared" ca="1" si="25"/>
        <v>-0.42607566621565035</v>
      </c>
      <c r="AA372" s="61">
        <f t="shared" ca="1" si="25"/>
        <v>0.1906321969255278</v>
      </c>
      <c r="AB372" s="61">
        <f t="shared" ca="1" si="25"/>
        <v>6.2504529462812083E-2</v>
      </c>
      <c r="AC372" s="61">
        <f t="shared" ca="1" si="25"/>
        <v>-1.6093109243614649</v>
      </c>
      <c r="AD372" s="37"/>
      <c r="AE372" s="62">
        <f t="array" aca="1" ref="AE372:AH372" ca="1">TRANSPOSE($B$9:$B$12 + MMULT($D$9:$G$12,TRANSPOSE(AO372:AR372)) + MMULT($N$9:$Q$12, TRANSPOSE(Z372:AC372)))</f>
        <v>0.29573678766558836</v>
      </c>
      <c r="AF372" s="62">
        <f ca="1"/>
        <v>0.85666062753237571</v>
      </c>
      <c r="AG372" s="62">
        <f ca="1"/>
        <v>0.51918878849211514</v>
      </c>
      <c r="AH372" s="62">
        <f ca="1"/>
        <v>0.26383014980073727</v>
      </c>
      <c r="AI372" s="37"/>
      <c r="AJ372" s="61">
        <f t="shared" ca="1" si="26"/>
        <v>-0.41458942240504443</v>
      </c>
      <c r="AK372" s="61">
        <f t="shared" ca="1" si="26"/>
        <v>1.1651552796342366</v>
      </c>
      <c r="AL372" s="61">
        <f t="shared" ca="1" si="26"/>
        <v>0.16022647618611061</v>
      </c>
      <c r="AM372" s="61">
        <f t="shared" ca="1" si="26"/>
        <v>0.95642566187368983</v>
      </c>
      <c r="AN372" s="37"/>
      <c r="AO372" s="62">
        <f t="array" aca="1" ref="AO372:AR372" ca="1">TRANSPOSE($B$17:$B$20 + MMULT($D$17:$G$20,TRANSPOSE(AO371:AR371)) + MMULT($N$17:$Q$20,TRANSPOSE(AJ372:AM372)))</f>
        <v>0.32682991315726312</v>
      </c>
      <c r="AP372" s="62">
        <f ca="1"/>
        <v>0.77104062433666898</v>
      </c>
      <c r="AQ372" s="62">
        <f ca="1"/>
        <v>0.27618748990891628</v>
      </c>
      <c r="AR372" s="62">
        <f ca="1"/>
        <v>0.56634941174309994</v>
      </c>
    </row>
    <row r="373" spans="25:44" x14ac:dyDescent="0.15">
      <c r="Y373" s="8">
        <f t="shared" si="27"/>
        <v>370</v>
      </c>
      <c r="Z373" s="61">
        <f t="shared" ca="1" si="25"/>
        <v>-1.2834586881362191</v>
      </c>
      <c r="AA373" s="61">
        <f t="shared" ca="1" si="25"/>
        <v>0.13682161767158102</v>
      </c>
      <c r="AB373" s="61">
        <f t="shared" ca="1" si="25"/>
        <v>2.156395220758907</v>
      </c>
      <c r="AC373" s="61">
        <f t="shared" ca="1" si="25"/>
        <v>-0.20980074716045952</v>
      </c>
      <c r="AD373" s="37"/>
      <c r="AE373" s="62">
        <f t="array" aca="1" ref="AE373:AH373" ca="1">TRANSPOSE($B$9:$B$12 + MMULT($D$9:$G$12,TRANSPOSE(AO373:AR373)) + MMULT($N$9:$Q$12, TRANSPOSE(Z373:AC373)))</f>
        <v>-0.19312163981748759</v>
      </c>
      <c r="AF373" s="62">
        <f ca="1"/>
        <v>1.2595693992172541</v>
      </c>
      <c r="AG373" s="62">
        <f ca="1"/>
        <v>0.93081158824302856</v>
      </c>
      <c r="AH373" s="62">
        <f ca="1"/>
        <v>0.17199569441238222</v>
      </c>
      <c r="AI373" s="37"/>
      <c r="AJ373" s="61">
        <f t="shared" ca="1" si="26"/>
        <v>-0.59304666202285017</v>
      </c>
      <c r="AK373" s="61">
        <f t="shared" ca="1" si="26"/>
        <v>2.443802599433603</v>
      </c>
      <c r="AL373" s="61">
        <f t="shared" ca="1" si="26"/>
        <v>-0.35241838945305626</v>
      </c>
      <c r="AM373" s="61">
        <f t="shared" ca="1" si="26"/>
        <v>0.53094171619797637</v>
      </c>
      <c r="AN373" s="37"/>
      <c r="AO373" s="62">
        <f t="array" aca="1" ref="AO373:AR373" ca="1">TRANSPOSE($B$17:$B$20 + MMULT($D$17:$G$20,TRANSPOSE(AO372:AR372)) + MMULT($N$17:$Q$20,TRANSPOSE(AJ373:AM373)))</f>
        <v>0.28349549451938971</v>
      </c>
      <c r="AP373" s="62">
        <f ca="1"/>
        <v>1.4893239031621883</v>
      </c>
      <c r="AQ373" s="62">
        <f ca="1"/>
        <v>-2.335768154657214E-2</v>
      </c>
      <c r="AR373" s="62">
        <f ca="1"/>
        <v>0.13429286471043411</v>
      </c>
    </row>
    <row r="374" spans="25:44" x14ac:dyDescent="0.15">
      <c r="Y374" s="8">
        <f t="shared" si="27"/>
        <v>371</v>
      </c>
      <c r="Z374" s="61">
        <f t="shared" ca="1" si="25"/>
        <v>-0.30183069759507064</v>
      </c>
      <c r="AA374" s="61">
        <f t="shared" ca="1" si="25"/>
        <v>-1.4496857318841401</v>
      </c>
      <c r="AB374" s="61">
        <f t="shared" ca="1" si="25"/>
        <v>0.97431769800174328</v>
      </c>
      <c r="AC374" s="61">
        <f t="shared" ca="1" si="25"/>
        <v>1.9504565200052222</v>
      </c>
      <c r="AD374" s="37"/>
      <c r="AE374" s="62">
        <f t="array" aca="1" ref="AE374:AH374" ca="1">TRANSPOSE($B$9:$B$12 + MMULT($D$9:$G$12,TRANSPOSE(AO374:AR374)) + MMULT($N$9:$Q$12, TRANSPOSE(Z374:AC374)))</f>
        <v>0.99947674206984272</v>
      </c>
      <c r="AF374" s="62">
        <f ca="1"/>
        <v>0.80286451060246489</v>
      </c>
      <c r="AG374" s="62">
        <f ca="1"/>
        <v>0.11899759763084061</v>
      </c>
      <c r="AH374" s="62">
        <f ca="1"/>
        <v>0.74845949791714439</v>
      </c>
      <c r="AI374" s="37"/>
      <c r="AJ374" s="61">
        <f t="shared" ca="1" si="26"/>
        <v>1.090372735239109</v>
      </c>
      <c r="AK374" s="61">
        <f t="shared" ca="1" si="26"/>
        <v>2.0301274185053457</v>
      </c>
      <c r="AL374" s="61">
        <f t="shared" ca="1" si="26"/>
        <v>-0.41569931418664058</v>
      </c>
      <c r="AM374" s="61">
        <f t="shared" ca="1" si="26"/>
        <v>-1.6772946864046432</v>
      </c>
      <c r="AN374" s="37"/>
      <c r="AO374" s="62">
        <f t="array" aca="1" ref="AO374:AR374" ca="1">TRANSPOSE($B$17:$B$20 + MMULT($D$17:$G$20,TRANSPOSE(AO373:AR373)) + MMULT($N$17:$Q$20,TRANSPOSE(AJ374:AM374)))</f>
        <v>0.82505845261934962</v>
      </c>
      <c r="AP374" s="62">
        <f ca="1"/>
        <v>1.4233551245715823</v>
      </c>
      <c r="AQ374" s="62">
        <f ca="1"/>
        <v>0.42741065927671734</v>
      </c>
      <c r="AR374" s="62">
        <f ca="1"/>
        <v>-0.25886830921359888</v>
      </c>
    </row>
    <row r="375" spans="25:44" x14ac:dyDescent="0.15">
      <c r="Y375" s="8">
        <f t="shared" si="27"/>
        <v>372</v>
      </c>
      <c r="Z375" s="61">
        <f t="shared" ca="1" si="25"/>
        <v>-0.22143373330107374</v>
      </c>
      <c r="AA375" s="61">
        <f t="shared" ca="1" si="25"/>
        <v>0.79421206369460184</v>
      </c>
      <c r="AB375" s="61">
        <f t="shared" ca="1" si="25"/>
        <v>1.1571031420315285</v>
      </c>
      <c r="AC375" s="61">
        <f t="shared" ca="1" si="25"/>
        <v>2.4977875722279834</v>
      </c>
      <c r="AD375" s="37"/>
      <c r="AE375" s="62">
        <f t="array" aca="1" ref="AE375:AH375" ca="1">TRANSPOSE($B$9:$B$12 + MMULT($D$9:$G$12,TRANSPOSE(AO375:AR375)) + MMULT($N$9:$Q$12, TRANSPOSE(Z375:AC375)))</f>
        <v>1.1058616769449883</v>
      </c>
      <c r="AF375" s="62">
        <f ca="1"/>
        <v>1.4152508247639397</v>
      </c>
      <c r="AG375" s="62">
        <f ca="1"/>
        <v>1.2862711303873249</v>
      </c>
      <c r="AH375" s="62">
        <f ca="1"/>
        <v>1.3413247429121475</v>
      </c>
      <c r="AI375" s="37"/>
      <c r="AJ375" s="61">
        <f t="shared" ca="1" si="26"/>
        <v>0.93561799199017603</v>
      </c>
      <c r="AK375" s="61">
        <f t="shared" ca="1" si="26"/>
        <v>0.54370681560453027</v>
      </c>
      <c r="AL375" s="61">
        <f t="shared" ca="1" si="26"/>
        <v>-0.1385698660505118</v>
      </c>
      <c r="AM375" s="61">
        <f t="shared" ca="1" si="26"/>
        <v>1.4053363849312703</v>
      </c>
      <c r="AN375" s="37"/>
      <c r="AO375" s="62">
        <f t="array" aca="1" ref="AO375:AR375" ca="1">TRANSPOSE($B$17:$B$20 + MMULT($D$17:$G$20,TRANSPOSE(AO374:AR374)) + MMULT($N$17:$Q$20,TRANSPOSE(AJ375:AM375)))</f>
        <v>0.95748058941484637</v>
      </c>
      <c r="AP375" s="62">
        <f ca="1"/>
        <v>0.93449453207592403</v>
      </c>
      <c r="AQ375" s="62">
        <f ca="1"/>
        <v>0.84178226705827708</v>
      </c>
      <c r="AR375" s="62">
        <f ca="1"/>
        <v>0.83398705060026468</v>
      </c>
    </row>
    <row r="376" spans="25:44" x14ac:dyDescent="0.15">
      <c r="Y376" s="8">
        <f t="shared" si="27"/>
        <v>373</v>
      </c>
      <c r="Z376" s="61">
        <f t="shared" ca="1" si="25"/>
        <v>-1.4605021677580865</v>
      </c>
      <c r="AA376" s="61">
        <f t="shared" ca="1" si="25"/>
        <v>0.68231804191678203</v>
      </c>
      <c r="AB376" s="61">
        <f t="shared" ca="1" si="25"/>
        <v>-0.61328316899586544</v>
      </c>
      <c r="AC376" s="61">
        <f t="shared" ca="1" si="25"/>
        <v>-0.17963100015910125</v>
      </c>
      <c r="AD376" s="37"/>
      <c r="AE376" s="62">
        <f t="array" aca="1" ref="AE376:AH376" ca="1">TRANSPOSE($B$9:$B$12 + MMULT($D$9:$G$12,TRANSPOSE(AO376:AR376)) + MMULT($N$9:$Q$12, TRANSPOSE(Z376:AC376)))</f>
        <v>0.68656060411115982</v>
      </c>
      <c r="AF376" s="62">
        <f ca="1"/>
        <v>1.3437427420930146</v>
      </c>
      <c r="AG376" s="62">
        <f ca="1"/>
        <v>0.46703617364420613</v>
      </c>
      <c r="AH376" s="62">
        <f ca="1"/>
        <v>0.8747165539662175</v>
      </c>
      <c r="AI376" s="37"/>
      <c r="AJ376" s="61">
        <f t="shared" ca="1" si="26"/>
        <v>0.58956013042795674</v>
      </c>
      <c r="AK376" s="61">
        <f t="shared" ca="1" si="26"/>
        <v>1.0913300180656889</v>
      </c>
      <c r="AL376" s="61">
        <f t="shared" ca="1" si="26"/>
        <v>0.21527358402262939</v>
      </c>
      <c r="AM376" s="61">
        <f t="shared" ca="1" si="26"/>
        <v>-0.62891947766108192</v>
      </c>
      <c r="AN376" s="37"/>
      <c r="AO376" s="62">
        <f t="array" aca="1" ref="AO376:AR376" ca="1">TRANSPOSE($B$17:$B$20 + MMULT($D$17:$G$20,TRANSPOSE(AO375:AR375)) + MMULT($N$17:$Q$20,TRANSPOSE(AJ376:AM376)))</f>
        <v>0.95473117253138673</v>
      </c>
      <c r="AP376" s="62">
        <f ca="1"/>
        <v>1.2694160324282009</v>
      </c>
      <c r="AQ376" s="62">
        <f ca="1"/>
        <v>0.91403683227293997</v>
      </c>
      <c r="AR376" s="62">
        <f ca="1"/>
        <v>0.61121089054599886</v>
      </c>
    </row>
    <row r="377" spans="25:44" x14ac:dyDescent="0.15">
      <c r="Y377" s="8">
        <f t="shared" si="27"/>
        <v>374</v>
      </c>
      <c r="Z377" s="61">
        <f t="shared" ca="1" si="25"/>
        <v>-0.78727534299173185</v>
      </c>
      <c r="AA377" s="61">
        <f t="shared" ca="1" si="25"/>
        <v>-0.37105123804641543</v>
      </c>
      <c r="AB377" s="61">
        <f t="shared" ca="1" si="25"/>
        <v>0.99810092594293864</v>
      </c>
      <c r="AC377" s="61">
        <f t="shared" ca="1" si="25"/>
        <v>0.71734148780721796</v>
      </c>
      <c r="AD377" s="37"/>
      <c r="AE377" s="62">
        <f t="array" aca="1" ref="AE377:AH377" ca="1">TRANSPOSE($B$9:$B$12 + MMULT($D$9:$G$12,TRANSPOSE(AO377:AR377)) + MMULT($N$9:$Q$12, TRANSPOSE(Z377:AC377)))</f>
        <v>0.51835637763811215</v>
      </c>
      <c r="AF377" s="62">
        <f ca="1"/>
        <v>0.34574489734154296</v>
      </c>
      <c r="AG377" s="62">
        <f ca="1"/>
        <v>1.6854963582351317</v>
      </c>
      <c r="AH377" s="62">
        <f ca="1"/>
        <v>1.1891592497430321</v>
      </c>
      <c r="AI377" s="37"/>
      <c r="AJ377" s="61">
        <f t="shared" ca="1" si="26"/>
        <v>-0.66865725740870485</v>
      </c>
      <c r="AK377" s="61">
        <f t="shared" ca="1" si="26"/>
        <v>-0.96175414279444416</v>
      </c>
      <c r="AL377" s="61">
        <f t="shared" ca="1" si="26"/>
        <v>-0.16337146664872113</v>
      </c>
      <c r="AM377" s="61">
        <f t="shared" ca="1" si="26"/>
        <v>0.98192867623929103</v>
      </c>
      <c r="AN377" s="37"/>
      <c r="AO377" s="62">
        <f t="array" aca="1" ref="AO377:AR377" ca="1">TRANSPOSE($B$17:$B$20 + MMULT($D$17:$G$20,TRANSPOSE(AO376:AR376)) + MMULT($N$17:$Q$20,TRANSPOSE(AJ377:AM377)))</f>
        <v>0.55454415669337853</v>
      </c>
      <c r="AP377" s="62">
        <f ca="1"/>
        <v>0.44776020541090733</v>
      </c>
      <c r="AQ377" s="62">
        <f ca="1"/>
        <v>0.8718805179665019</v>
      </c>
      <c r="AR377" s="62">
        <f ca="1"/>
        <v>1.2271495832946546</v>
      </c>
    </row>
    <row r="378" spans="25:44" x14ac:dyDescent="0.15">
      <c r="Y378" s="8">
        <f t="shared" si="27"/>
        <v>375</v>
      </c>
      <c r="Z378" s="61">
        <f t="shared" ca="1" si="25"/>
        <v>-1.2621165839248003</v>
      </c>
      <c r="AA378" s="61">
        <f t="shared" ca="1" si="25"/>
        <v>0.72783953356520203</v>
      </c>
      <c r="AB378" s="61">
        <f t="shared" ca="1" si="25"/>
        <v>-0.98404090985103998</v>
      </c>
      <c r="AC378" s="61">
        <f t="shared" ca="1" si="25"/>
        <v>5.1623139987960823E-2</v>
      </c>
      <c r="AD378" s="37"/>
      <c r="AE378" s="62">
        <f t="array" aca="1" ref="AE378:AH378" ca="1">TRANSPOSE($B$9:$B$12 + MMULT($D$9:$G$12,TRANSPOSE(AO378:AR378)) + MMULT($N$9:$Q$12, TRANSPOSE(Z378:AC378)))</f>
        <v>1.4543718305928122</v>
      </c>
      <c r="AF378" s="62">
        <f ca="1"/>
        <v>0.45861601111086714</v>
      </c>
      <c r="AG378" s="62">
        <f ca="1"/>
        <v>1.2591046683377931</v>
      </c>
      <c r="AH378" s="62">
        <f ca="1"/>
        <v>1.265568538787774</v>
      </c>
      <c r="AI378" s="37"/>
      <c r="AJ378" s="61">
        <f t="shared" ca="1" si="26"/>
        <v>2.0900391919074668</v>
      </c>
      <c r="AK378" s="61">
        <f t="shared" ca="1" si="26"/>
        <v>-1.1808744117546499</v>
      </c>
      <c r="AL378" s="61">
        <f t="shared" ca="1" si="26"/>
        <v>1.2419310622080002</v>
      </c>
      <c r="AM378" s="61">
        <f t="shared" ca="1" si="26"/>
        <v>-1.2440331539128624</v>
      </c>
      <c r="AN378" s="37"/>
      <c r="AO378" s="62">
        <f t="array" aca="1" ref="AO378:AR378" ca="1">TRANSPOSE($B$17:$B$20 + MMULT($D$17:$G$20,TRANSPOSE(AO377:AR377)) + MMULT($N$17:$Q$20,TRANSPOSE(AJ378:AM378)))</f>
        <v>1.3429481168604367</v>
      </c>
      <c r="AP378" s="62">
        <f ca="1"/>
        <v>0.1281847113792805</v>
      </c>
      <c r="AQ378" s="62">
        <f ca="1"/>
        <v>1.7157204429340793</v>
      </c>
      <c r="AR378" s="62">
        <f ca="1"/>
        <v>1.1801322243700398</v>
      </c>
    </row>
    <row r="379" spans="25:44" x14ac:dyDescent="0.15">
      <c r="Y379" s="8">
        <f t="shared" si="27"/>
        <v>376</v>
      </c>
      <c r="Z379" s="61">
        <f t="shared" ca="1" si="25"/>
        <v>0.15512585172086163</v>
      </c>
      <c r="AA379" s="61">
        <f t="shared" ca="1" si="25"/>
        <v>1.0031088867284568</v>
      </c>
      <c r="AB379" s="61">
        <f t="shared" ca="1" si="25"/>
        <v>1.1391712553725113</v>
      </c>
      <c r="AC379" s="61">
        <f t="shared" ca="1" si="25"/>
        <v>-1.855235004756481</v>
      </c>
      <c r="AD379" s="37"/>
      <c r="AE379" s="62">
        <f t="array" aca="1" ref="AE379:AH379" ca="1">TRANSPOSE($B$9:$B$12 + MMULT($D$9:$G$12,TRANSPOSE(AO379:AR379)) + MMULT($N$9:$Q$12, TRANSPOSE(Z379:AC379)))</f>
        <v>1.3452937710233119</v>
      </c>
      <c r="AF379" s="62">
        <f ca="1"/>
        <v>1.7656539934612794</v>
      </c>
      <c r="AG379" s="62">
        <f ca="1"/>
        <v>1.1834466556571537</v>
      </c>
      <c r="AH379" s="62">
        <f ca="1"/>
        <v>0.37784446977128916</v>
      </c>
      <c r="AI379" s="37"/>
      <c r="AJ379" s="61">
        <f t="shared" ca="1" si="26"/>
        <v>0.47872579331494136</v>
      </c>
      <c r="AK379" s="61">
        <f t="shared" ca="1" si="26"/>
        <v>0.58545209939239939</v>
      </c>
      <c r="AL379" s="61">
        <f t="shared" ca="1" si="26"/>
        <v>-0.20193973578666158</v>
      </c>
      <c r="AM379" s="61">
        <f t="shared" ca="1" si="26"/>
        <v>-1.1731359125859431</v>
      </c>
      <c r="AN379" s="37"/>
      <c r="AO379" s="62">
        <f t="array" aca="1" ref="AO379:AR379" ca="1">TRANSPOSE($B$17:$B$20 + MMULT($D$17:$G$20,TRANSPOSE(AO378:AR378)) + MMULT($N$17:$Q$20,TRANSPOSE(AJ379:AM379)))</f>
        <v>1.1064036497221887</v>
      </c>
      <c r="AP379" s="62">
        <f ca="1"/>
        <v>1.0880829795921363</v>
      </c>
      <c r="AQ379" s="62">
        <f ca="1"/>
        <v>0.80680180780165955</v>
      </c>
      <c r="AR379" s="62">
        <f ca="1"/>
        <v>0.80361183038853468</v>
      </c>
    </row>
    <row r="380" spans="25:44" x14ac:dyDescent="0.15">
      <c r="Y380" s="8">
        <f t="shared" si="27"/>
        <v>377</v>
      </c>
      <c r="Z380" s="61">
        <f t="shared" ca="1" si="25"/>
        <v>0.6698299800660682</v>
      </c>
      <c r="AA380" s="61">
        <f t="shared" ca="1" si="25"/>
        <v>0.29976293548271105</v>
      </c>
      <c r="AB380" s="61">
        <f t="shared" ca="1" si="25"/>
        <v>0.11349360216708464</v>
      </c>
      <c r="AC380" s="61">
        <f t="shared" ca="1" si="25"/>
        <v>0.41391363853211399</v>
      </c>
      <c r="AD380" s="37"/>
      <c r="AE380" s="62">
        <f t="array" aca="1" ref="AE380:AH380" ca="1">TRANSPOSE($B$9:$B$12 + MMULT($D$9:$G$12,TRANSPOSE(AO380:AR380)) + MMULT($N$9:$Q$12, TRANSPOSE(Z380:AC380)))</f>
        <v>1.0018996307388814</v>
      </c>
      <c r="AF380" s="62">
        <f ca="1"/>
        <v>1.7799690799085661</v>
      </c>
      <c r="AG380" s="62">
        <f ca="1"/>
        <v>1.1666445458051646</v>
      </c>
      <c r="AH380" s="62">
        <f ca="1"/>
        <v>0.59438904744789267</v>
      </c>
      <c r="AI380" s="37"/>
      <c r="AJ380" s="61">
        <f t="shared" ca="1" si="26"/>
        <v>1.0594608949387527</v>
      </c>
      <c r="AK380" s="61">
        <f t="shared" ca="1" si="26"/>
        <v>0.1325410618780174</v>
      </c>
      <c r="AL380" s="61">
        <f t="shared" ca="1" si="26"/>
        <v>-2.2900110114143382</v>
      </c>
      <c r="AM380" s="61">
        <f t="shared" ca="1" si="26"/>
        <v>2.2038740573342288</v>
      </c>
      <c r="AN380" s="37"/>
      <c r="AO380" s="62">
        <f t="array" aca="1" ref="AO380:AR380" ca="1">TRANSPOSE($B$17:$B$20 + MMULT($D$17:$G$20,TRANSPOSE(AO379:AR379)) + MMULT($N$17:$Q$20,TRANSPOSE(AJ380:AM380)))</f>
        <v>1.1561691133993734</v>
      </c>
      <c r="AP380" s="62">
        <f ca="1"/>
        <v>0.95453569926393234</v>
      </c>
      <c r="AQ380" s="62">
        <f ca="1"/>
        <v>6.4128728891624576E-2</v>
      </c>
      <c r="AR380" s="62">
        <f ca="1"/>
        <v>1.2435488149943041</v>
      </c>
    </row>
    <row r="381" spans="25:44" x14ac:dyDescent="0.15">
      <c r="Y381" s="8">
        <f t="shared" si="27"/>
        <v>378</v>
      </c>
      <c r="Z381" s="61">
        <f t="shared" ca="1" si="25"/>
        <v>-1.4773828829150888</v>
      </c>
      <c r="AA381" s="61">
        <f t="shared" ca="1" si="25"/>
        <v>0.53646590723913978</v>
      </c>
      <c r="AB381" s="61">
        <f t="shared" ca="1" si="25"/>
        <v>1.0630779808145769</v>
      </c>
      <c r="AC381" s="61">
        <f t="shared" ca="1" si="25"/>
        <v>-0.74990077982534198</v>
      </c>
      <c r="AD381" s="37"/>
      <c r="AE381" s="62">
        <f t="array" aca="1" ref="AE381:AH381" ca="1">TRANSPOSE($B$9:$B$12 + MMULT($D$9:$G$12,TRANSPOSE(AO381:AR381)) + MMULT($N$9:$Q$12, TRANSPOSE(Z381:AC381)))</f>
        <v>5.3632272678069803E-2</v>
      </c>
      <c r="AF381" s="62">
        <f ca="1"/>
        <v>0.96366918110118804</v>
      </c>
      <c r="AG381" s="62">
        <f ca="1"/>
        <v>1.1408531279771179</v>
      </c>
      <c r="AH381" s="62">
        <f ca="1"/>
        <v>0.40696049605135864</v>
      </c>
      <c r="AI381" s="37"/>
      <c r="AJ381" s="61">
        <f t="shared" ca="1" si="26"/>
        <v>-0.70670018263250611</v>
      </c>
      <c r="AK381" s="61">
        <f t="shared" ca="1" si="26"/>
        <v>0.22747672494126867</v>
      </c>
      <c r="AL381" s="61">
        <f t="shared" ca="1" si="26"/>
        <v>-0.23582916338127186</v>
      </c>
      <c r="AM381" s="61">
        <f t="shared" ca="1" si="26"/>
        <v>4.5261692803098358E-2</v>
      </c>
      <c r="AN381" s="37"/>
      <c r="AO381" s="62">
        <f t="array" aca="1" ref="AO381:AR381" ca="1">TRANSPOSE($B$17:$B$20 + MMULT($D$17:$G$20,TRANSPOSE(AO380:AR380)) + MMULT($N$17:$Q$20,TRANSPOSE(AJ381:AM381)))</f>
        <v>0.47646797210363712</v>
      </c>
      <c r="AP381" s="62">
        <f ca="1"/>
        <v>0.96645424223555387</v>
      </c>
      <c r="AQ381" s="62">
        <f ca="1"/>
        <v>0.44230803638227822</v>
      </c>
      <c r="AR381" s="62">
        <f ca="1"/>
        <v>0.61089096325230008</v>
      </c>
    </row>
    <row r="382" spans="25:44" x14ac:dyDescent="0.15">
      <c r="Y382" s="8">
        <f t="shared" si="27"/>
        <v>379</v>
      </c>
      <c r="Z382" s="61">
        <f t="shared" ca="1" si="25"/>
        <v>0.66000468801448375</v>
      </c>
      <c r="AA382" s="61">
        <f t="shared" ca="1" si="25"/>
        <v>2.9685976927924483E-2</v>
      </c>
      <c r="AB382" s="61">
        <f t="shared" ca="1" si="25"/>
        <v>-0.4015039839516612</v>
      </c>
      <c r="AC382" s="61">
        <f t="shared" ca="1" si="25"/>
        <v>0.30230358048963457</v>
      </c>
      <c r="AD382" s="37"/>
      <c r="AE382" s="62">
        <f t="array" aca="1" ref="AE382:AH382" ca="1">TRANSPOSE($B$9:$B$12 + MMULT($D$9:$G$12,TRANSPOSE(AO382:AR382)) + MMULT($N$9:$Q$12, TRANSPOSE(Z382:AC382)))</f>
        <v>1.0463926250010711</v>
      </c>
      <c r="AF382" s="62">
        <f ca="1"/>
        <v>1.2569676234717835</v>
      </c>
      <c r="AG382" s="62">
        <f ca="1"/>
        <v>-0.26162214901252828</v>
      </c>
      <c r="AH382" s="62">
        <f ca="1"/>
        <v>1.23825531953569</v>
      </c>
      <c r="AI382" s="37"/>
      <c r="AJ382" s="61">
        <f t="shared" ca="1" si="26"/>
        <v>-0.81731901769274407</v>
      </c>
      <c r="AK382" s="61">
        <f t="shared" ca="1" si="26"/>
        <v>1.5747564663380471</v>
      </c>
      <c r="AL382" s="61">
        <f t="shared" ca="1" si="26"/>
        <v>0.98280855443795179</v>
      </c>
      <c r="AM382" s="61">
        <f t="shared" ca="1" si="26"/>
        <v>-2.1738083536713779E-2</v>
      </c>
      <c r="AN382" s="37"/>
      <c r="AO382" s="62">
        <f t="array" aca="1" ref="AO382:AR382" ca="1">TRANSPOSE($B$17:$B$20 + MMULT($D$17:$G$20,TRANSPOSE(AO381:AR381)) + MMULT($N$17:$Q$20,TRANSPOSE(AJ382:AM382)))</f>
        <v>0.28790878577453005</v>
      </c>
      <c r="AP382" s="62">
        <f ca="1"/>
        <v>1.2404128800888539</v>
      </c>
      <c r="AQ382" s="62">
        <f ca="1"/>
        <v>0.76209788790407773</v>
      </c>
      <c r="AR382" s="62">
        <f ca="1"/>
        <v>0.39645513644069819</v>
      </c>
    </row>
    <row r="383" spans="25:44" x14ac:dyDescent="0.15">
      <c r="Y383" s="8">
        <f t="shared" si="27"/>
        <v>380</v>
      </c>
      <c r="Z383" s="61">
        <f t="shared" ca="1" si="25"/>
        <v>7.8475478845213414E-2</v>
      </c>
      <c r="AA383" s="61">
        <f t="shared" ca="1" si="25"/>
        <v>1.4541691688467131</v>
      </c>
      <c r="AB383" s="61">
        <f t="shared" ca="1" si="25"/>
        <v>1.1003966067761057</v>
      </c>
      <c r="AC383" s="61">
        <f t="shared" ca="1" si="25"/>
        <v>-0.94598857483074095</v>
      </c>
      <c r="AD383" s="37"/>
      <c r="AE383" s="62">
        <f t="array" aca="1" ref="AE383:AH383" ca="1">TRANSPOSE($B$9:$B$12 + MMULT($D$9:$G$12,TRANSPOSE(AO383:AR383)) + MMULT($N$9:$Q$12, TRANSPOSE(Z383:AC383)))</f>
        <v>1.3442577680345824</v>
      </c>
      <c r="AF383" s="62">
        <f ca="1"/>
        <v>1.2733555543426496</v>
      </c>
      <c r="AG383" s="62">
        <f ca="1"/>
        <v>1.0298496390080478</v>
      </c>
      <c r="AH383" s="62">
        <f ca="1"/>
        <v>0.95152929387478791</v>
      </c>
      <c r="AI383" s="37"/>
      <c r="AJ383" s="61">
        <f t="shared" ca="1" si="26"/>
        <v>0.23865885007477347</v>
      </c>
      <c r="AK383" s="61">
        <f t="shared" ca="1" si="26"/>
        <v>0.26082180192221638</v>
      </c>
      <c r="AL383" s="61">
        <f t="shared" ca="1" si="26"/>
        <v>1.1078693557701171</v>
      </c>
      <c r="AM383" s="61">
        <f t="shared" ca="1" si="26"/>
        <v>-0.5978778058717632</v>
      </c>
      <c r="AN383" s="37"/>
      <c r="AO383" s="62">
        <f t="array" aca="1" ref="AO383:AR383" ca="1">TRANSPOSE($B$17:$B$20 + MMULT($D$17:$G$20,TRANSPOSE(AO382:AR382)) + MMULT($N$17:$Q$20,TRANSPOSE(AJ383:AM383)))</f>
        <v>0.65069769774512898</v>
      </c>
      <c r="AP383" s="62">
        <f ca="1"/>
        <v>0.69917478020743462</v>
      </c>
      <c r="AQ383" s="62">
        <f ca="1"/>
        <v>1.2932843766785975</v>
      </c>
      <c r="AR383" s="62">
        <f ca="1"/>
        <v>0.71074213268527697</v>
      </c>
    </row>
    <row r="384" spans="25:44" x14ac:dyDescent="0.15">
      <c r="Y384" s="8">
        <f t="shared" si="27"/>
        <v>381</v>
      </c>
      <c r="Z384" s="61">
        <f t="shared" ca="1" si="25"/>
        <v>0.55485068996373299</v>
      </c>
      <c r="AA384" s="61">
        <f t="shared" ca="1" si="25"/>
        <v>-0.11036830810557022</v>
      </c>
      <c r="AB384" s="61">
        <f t="shared" ca="1" si="25"/>
        <v>-1.0610030276844464</v>
      </c>
      <c r="AC384" s="61">
        <f t="shared" ca="1" si="25"/>
        <v>0.46048796006522291</v>
      </c>
      <c r="AD384" s="37"/>
      <c r="AE384" s="62">
        <f t="array" aca="1" ref="AE384:AH384" ca="1">TRANSPOSE($B$9:$B$12 + MMULT($D$9:$G$12,TRANSPOSE(AO384:AR384)) + MMULT($N$9:$Q$12, TRANSPOSE(Z384:AC384)))</f>
        <v>1.5386995211886638</v>
      </c>
      <c r="AF384" s="62">
        <f ca="1"/>
        <v>2.2983930180916956</v>
      </c>
      <c r="AG384" s="62">
        <f ca="1"/>
        <v>-0.41377432847671614</v>
      </c>
      <c r="AH384" s="62">
        <f ca="1"/>
        <v>0.36116144048142285</v>
      </c>
      <c r="AI384" s="37"/>
      <c r="AJ384" s="61">
        <f t="shared" ca="1" si="26"/>
        <v>2.478348550099279</v>
      </c>
      <c r="AK384" s="61">
        <f t="shared" ca="1" si="26"/>
        <v>2.7797157868440996</v>
      </c>
      <c r="AL384" s="61">
        <f t="shared" ca="1" si="26"/>
        <v>-1.8850245279971309</v>
      </c>
      <c r="AM384" s="61">
        <f t="shared" ca="1" si="26"/>
        <v>-1.393504059142515</v>
      </c>
      <c r="AN384" s="37"/>
      <c r="AO384" s="62">
        <f t="array" aca="1" ref="AO384:AR384" ca="1">TRANSPOSE($B$17:$B$20 + MMULT($D$17:$G$20,TRANSPOSE(AO383:AR383)) + MMULT($N$17:$Q$20,TRANSPOSE(AJ384:AM384)))</f>
        <v>1.5542477140574016</v>
      </c>
      <c r="AP384" s="62">
        <f ca="1"/>
        <v>1.8533735010846684</v>
      </c>
      <c r="AQ384" s="62">
        <f ca="1"/>
        <v>0.11542497479163549</v>
      </c>
      <c r="AR384" s="62">
        <f ca="1"/>
        <v>0.13851347738424691</v>
      </c>
    </row>
    <row r="385" spans="25:44" x14ac:dyDescent="0.15">
      <c r="Y385" s="8">
        <f t="shared" si="27"/>
        <v>382</v>
      </c>
      <c r="Z385" s="61">
        <f t="shared" ca="1" si="25"/>
        <v>0.43278168784058701</v>
      </c>
      <c r="AA385" s="61">
        <f t="shared" ca="1" si="25"/>
        <v>-1.1638802280518248</v>
      </c>
      <c r="AB385" s="61">
        <f t="shared" ca="1" si="25"/>
        <v>2.0943407944591756</v>
      </c>
      <c r="AC385" s="61">
        <f t="shared" ca="1" si="25"/>
        <v>0.64865810562030191</v>
      </c>
      <c r="AD385" s="37"/>
      <c r="AE385" s="62">
        <f t="array" aca="1" ref="AE385:AH385" ca="1">TRANSPOSE($B$9:$B$12 + MMULT($D$9:$G$12,TRANSPOSE(AO385:AR385)) + MMULT($N$9:$Q$12, TRANSPOSE(Z385:AC385)))</f>
        <v>1.4051165823515459</v>
      </c>
      <c r="AF385" s="62">
        <f ca="1"/>
        <v>0.97999951485025427</v>
      </c>
      <c r="AG385" s="62">
        <f ca="1"/>
        <v>1.5108673900029104</v>
      </c>
      <c r="AH385" s="62">
        <f ca="1"/>
        <v>0.95098205429079941</v>
      </c>
      <c r="AI385" s="37"/>
      <c r="AJ385" s="61">
        <f t="shared" ca="1" si="26"/>
        <v>0.62461688181008146</v>
      </c>
      <c r="AK385" s="61">
        <f t="shared" ca="1" si="26"/>
        <v>2.6494727076616796E-3</v>
      </c>
      <c r="AL385" s="61">
        <f t="shared" ca="1" si="26"/>
        <v>-0.7190401120658132</v>
      </c>
      <c r="AM385" s="61">
        <f t="shared" ca="1" si="26"/>
        <v>0.86219039507568263</v>
      </c>
      <c r="AN385" s="37"/>
      <c r="AO385" s="62">
        <f t="array" aca="1" ref="AO385:AR385" ca="1">TRANSPOSE($B$17:$B$20 + MMULT($D$17:$G$20,TRANSPOSE(AO384:AR384)) + MMULT($N$17:$Q$20,TRANSPOSE(AJ385:AM385)))</f>
        <v>1.0472421387390436</v>
      </c>
      <c r="AP385" s="62">
        <f ca="1"/>
        <v>1.0970395409298939</v>
      </c>
      <c r="AQ385" s="62">
        <f ca="1"/>
        <v>0.79115174406395328</v>
      </c>
      <c r="AR385" s="62">
        <f ca="1"/>
        <v>0.80873293657649825</v>
      </c>
    </row>
    <row r="386" spans="25:44" x14ac:dyDescent="0.15">
      <c r="Y386" s="8">
        <f t="shared" si="27"/>
        <v>383</v>
      </c>
      <c r="Z386" s="61">
        <f t="shared" ca="1" si="25"/>
        <v>-1.2500072852124195</v>
      </c>
      <c r="AA386" s="61">
        <f t="shared" ca="1" si="25"/>
        <v>-0.61698513702493585</v>
      </c>
      <c r="AB386" s="61">
        <f t="shared" ca="1" si="25"/>
        <v>-0.3017019762457856</v>
      </c>
      <c r="AC386" s="61">
        <f t="shared" ca="1" si="25"/>
        <v>0.84246085609711074</v>
      </c>
      <c r="AD386" s="37"/>
      <c r="AE386" s="62">
        <f t="array" aca="1" ref="AE386:AH386" ca="1">TRANSPOSE($B$9:$B$12 + MMULT($D$9:$G$12,TRANSPOSE(AO386:AR386)) + MMULT($N$9:$Q$12, TRANSPOSE(Z386:AC386)))</f>
        <v>0.24810167724809162</v>
      </c>
      <c r="AF386" s="62">
        <f ca="1"/>
        <v>0.3363362433204875</v>
      </c>
      <c r="AG386" s="62">
        <f ca="1"/>
        <v>0.73887763338867662</v>
      </c>
      <c r="AH386" s="62">
        <f ca="1"/>
        <v>1.1653345223075489</v>
      </c>
      <c r="AI386" s="37"/>
      <c r="AJ386" s="61">
        <f t="shared" ca="1" si="26"/>
        <v>-1.0535708347410919</v>
      </c>
      <c r="AK386" s="61">
        <f t="shared" ca="1" si="26"/>
        <v>-0.22404879570575961</v>
      </c>
      <c r="AL386" s="61">
        <f t="shared" ca="1" si="26"/>
        <v>1.0424157486798672E-2</v>
      </c>
      <c r="AM386" s="61">
        <f t="shared" ca="1" si="26"/>
        <v>-2.4758608284083099E-2</v>
      </c>
      <c r="AN386" s="37"/>
      <c r="AO386" s="62">
        <f t="array" aca="1" ref="AO386:AR386" ca="1">TRANSPOSE($B$17:$B$20 + MMULT($D$17:$G$20,TRANSPOSE(AO385:AR385)) + MMULT($N$17:$Q$20,TRANSPOSE(AJ386:AM386)))</f>
        <v>0.4281461502903085</v>
      </c>
      <c r="AP386" s="62">
        <f ca="1"/>
        <v>0.76034368099390182</v>
      </c>
      <c r="AQ386" s="62">
        <f ca="1"/>
        <v>0.73137264196557705</v>
      </c>
      <c r="AR386" s="62">
        <f ca="1"/>
        <v>0.81875651068700639</v>
      </c>
    </row>
    <row r="387" spans="25:44" x14ac:dyDescent="0.15">
      <c r="Y387" s="8">
        <f t="shared" si="27"/>
        <v>384</v>
      </c>
      <c r="Z387" s="61">
        <f t="shared" ca="1" si="25"/>
        <v>1.5745661021926844</v>
      </c>
      <c r="AA387" s="61">
        <f t="shared" ca="1" si="25"/>
        <v>-0.29098767723109736</v>
      </c>
      <c r="AB387" s="61">
        <f t="shared" ca="1" si="25"/>
        <v>-1.8893742139850811</v>
      </c>
      <c r="AC387" s="61">
        <f ca="1">NORMSINV(RAND())</f>
        <v>0.35223498941682652</v>
      </c>
      <c r="AD387" s="37"/>
      <c r="AE387" s="62">
        <f t="array" aca="1" ref="AE387:AH387" ca="1">TRANSPOSE($B$9:$B$12 + MMULT($D$9:$G$12,TRANSPOSE(AO387:AR387)) + MMULT($N$9:$Q$12, TRANSPOSE(Z387:AC387)))</f>
        <v>1.4372952214124144</v>
      </c>
      <c r="AF387" s="62">
        <f ca="1"/>
        <v>1.0577514155954577</v>
      </c>
      <c r="AG387" s="62">
        <f ca="1"/>
        <v>-0.34432837701476537</v>
      </c>
      <c r="AH387" s="62">
        <f ca="1"/>
        <v>1.4468348734277621</v>
      </c>
      <c r="AI387" s="37"/>
      <c r="AJ387" s="61">
        <f t="shared" ca="1" si="26"/>
        <v>-0.3360158089825061</v>
      </c>
      <c r="AK387" s="61">
        <f t="shared" ca="1" si="26"/>
        <v>0.41337215040266656</v>
      </c>
      <c r="AL387" s="61">
        <f t="shared" ca="1" si="26"/>
        <v>0.47558253985449617</v>
      </c>
      <c r="AM387" s="61">
        <f ca="1">NORMSINV(RAND())</f>
        <v>0.84766116671982428</v>
      </c>
      <c r="AN387" s="37"/>
      <c r="AO387" s="62">
        <f t="array" aca="1" ref="AO387:AR387" ca="1">TRANSPOSE($B$17:$B$20 + MMULT($D$17:$G$20,TRANSPOSE(AO386:AR386)) + MMULT($N$17:$Q$20,TRANSPOSE(AJ387:AM387)))</f>
        <v>0.47532588658770281</v>
      </c>
      <c r="AP387" s="62">
        <f ca="1"/>
        <v>0.73848718326151475</v>
      </c>
      <c r="AQ387" s="62">
        <f ca="1"/>
        <v>0.77326013593279297</v>
      </c>
      <c r="AR387" s="62">
        <f ca="1"/>
        <v>0.93265933182822347</v>
      </c>
    </row>
    <row r="388" spans="25:44" x14ac:dyDescent="0.15">
      <c r="Y388" s="8">
        <f t="shared" si="27"/>
        <v>385</v>
      </c>
      <c r="Z388" s="61">
        <f t="shared" ref="Z388:AC451" ca="1" si="28">NORMSINV(RAND())</f>
        <v>-0.64872286457012818</v>
      </c>
      <c r="AA388" s="61">
        <f t="shared" ca="1" si="28"/>
        <v>-0.32701574284962748</v>
      </c>
      <c r="AB388" s="61">
        <f t="shared" ca="1" si="28"/>
        <v>0.16762056934408878</v>
      </c>
      <c r="AC388" s="61">
        <f t="shared" ca="1" si="28"/>
        <v>0.85819735929955643</v>
      </c>
      <c r="AD388" s="37"/>
      <c r="AE388" s="62">
        <f t="array" aca="1" ref="AE388:AH388" ca="1">TRANSPOSE($B$9:$B$12 + MMULT($D$9:$G$12,TRANSPOSE(AO388:AR388)) + MMULT($N$9:$Q$12, TRANSPOSE(Z388:AC388)))</f>
        <v>0.30350981100888819</v>
      </c>
      <c r="AF388" s="62">
        <f ca="1"/>
        <v>0.69735877386546519</v>
      </c>
      <c r="AG388" s="62">
        <f ca="1"/>
        <v>1.3758387079303458</v>
      </c>
      <c r="AH388" s="62">
        <f ca="1"/>
        <v>0.35160908718917822</v>
      </c>
      <c r="AI388" s="37"/>
      <c r="AJ388" s="61">
        <f t="shared" ref="AJ388:AM451" ca="1" si="29">NORMSINV(RAND())</f>
        <v>0.9198732014342732</v>
      </c>
      <c r="AK388" s="61">
        <f t="shared" ca="1" si="29"/>
        <v>-0.45811494999267638</v>
      </c>
      <c r="AL388" s="61">
        <f t="shared" ca="1" si="29"/>
        <v>-2.2035076173751329</v>
      </c>
      <c r="AM388" s="61">
        <f t="shared" ca="1" si="29"/>
        <v>1.0379110210808233</v>
      </c>
      <c r="AN388" s="37"/>
      <c r="AO388" s="62">
        <f t="array" aca="1" ref="AO388:AR388" ca="1">TRANSPOSE($B$17:$B$20 + MMULT($D$17:$G$20,TRANSPOSE(AO387:AR387)) + MMULT($N$17:$Q$20,TRANSPOSE(AJ388:AM388)))</f>
        <v>0.92046433085168333</v>
      </c>
      <c r="AP388" s="62">
        <f ca="1"/>
        <v>0.41685663174935422</v>
      </c>
      <c r="AQ388" s="62">
        <f ca="1"/>
        <v>-6.5090548129578485E-2</v>
      </c>
      <c r="AR388" s="62">
        <f ca="1"/>
        <v>1.0136029116207599</v>
      </c>
    </row>
    <row r="389" spans="25:44" x14ac:dyDescent="0.15">
      <c r="Y389" s="8">
        <f t="shared" ref="Y389:Y452" si="30">Y388+1</f>
        <v>386</v>
      </c>
      <c r="Z389" s="61">
        <f t="shared" ca="1" si="28"/>
        <v>-2.1223557414188163</v>
      </c>
      <c r="AA389" s="61">
        <f t="shared" ca="1" si="28"/>
        <v>0.34188095302296739</v>
      </c>
      <c r="AB389" s="61">
        <f t="shared" ca="1" si="28"/>
        <v>1.690463947439754</v>
      </c>
      <c r="AC389" s="61">
        <f t="shared" ca="1" si="28"/>
        <v>0.77943898786831933</v>
      </c>
      <c r="AD389" s="37"/>
      <c r="AE389" s="62">
        <f t="array" aca="1" ref="AE389:AH389" ca="1">TRANSPOSE($B$9:$B$12 + MMULT($D$9:$G$12,TRANSPOSE(AO389:AR389)) + MMULT($N$9:$Q$12, TRANSPOSE(Z389:AC389)))</f>
        <v>-0.37006270412995945</v>
      </c>
      <c r="AF389" s="62">
        <f ca="1"/>
        <v>-0.58382956248669227</v>
      </c>
      <c r="AG389" s="62">
        <f ca="1"/>
        <v>2.3326193094350436</v>
      </c>
      <c r="AH389" s="62">
        <f ca="1"/>
        <v>0.65381538874482059</v>
      </c>
      <c r="AI389" s="37"/>
      <c r="AJ389" s="61">
        <f t="shared" ca="1" si="29"/>
        <v>-1.2191531254880765</v>
      </c>
      <c r="AK389" s="61">
        <f t="shared" ca="1" si="29"/>
        <v>-2.5997834269157742</v>
      </c>
      <c r="AL389" s="61">
        <f t="shared" ca="1" si="29"/>
        <v>0.23249596563858332</v>
      </c>
      <c r="AM389" s="61">
        <f t="shared" ca="1" si="29"/>
        <v>0.56554749899698453</v>
      </c>
      <c r="AN389" s="37"/>
      <c r="AO389" s="62">
        <f t="array" aca="1" ref="AO389:AR389" ca="1">TRANSPOSE($B$17:$B$20 + MMULT($D$17:$G$20,TRANSPOSE(AO388:AR388)) + MMULT($N$17:$Q$20,TRANSPOSE(AJ389:AM389)))</f>
        <v>0.17353472996559188</v>
      </c>
      <c r="AP389" s="62">
        <f ca="1"/>
        <v>-0.4941350578278626</v>
      </c>
      <c r="AQ389" s="62">
        <f ca="1"/>
        <v>0.61813795447415265</v>
      </c>
      <c r="AR389" s="62">
        <f ca="1"/>
        <v>1.0729535017115841</v>
      </c>
    </row>
    <row r="390" spans="25:44" x14ac:dyDescent="0.15">
      <c r="Y390" s="8">
        <f t="shared" si="30"/>
        <v>387</v>
      </c>
      <c r="Z390" s="61">
        <f t="shared" ca="1" si="28"/>
        <v>-0.32674588783045067</v>
      </c>
      <c r="AA390" s="61">
        <f t="shared" ca="1" si="28"/>
        <v>0.24673265156471183</v>
      </c>
      <c r="AB390" s="61">
        <f t="shared" ca="1" si="28"/>
        <v>0.57160703584466843</v>
      </c>
      <c r="AC390" s="61">
        <f t="shared" ca="1" si="28"/>
        <v>-1.1047000712280395</v>
      </c>
      <c r="AD390" s="37"/>
      <c r="AE390" s="62">
        <f t="array" aca="1" ref="AE390:AH390" ca="1">TRANSPOSE($B$9:$B$12 + MMULT($D$9:$G$12,TRANSPOSE(AO390:AR390)) + MMULT($N$9:$Q$12, TRANSPOSE(Z390:AC390)))</f>
        <v>0.82205892809121739</v>
      </c>
      <c r="AF390" s="62">
        <f ca="1"/>
        <v>0.35260260788817366</v>
      </c>
      <c r="AG390" s="62">
        <f ca="1"/>
        <v>0.99838327611852984</v>
      </c>
      <c r="AH390" s="62">
        <f ca="1"/>
        <v>0.5851071778453224</v>
      </c>
      <c r="AI390" s="37"/>
      <c r="AJ390" s="61">
        <f t="shared" ca="1" si="29"/>
        <v>0.13237549460020637</v>
      </c>
      <c r="AK390" s="61">
        <f t="shared" ca="1" si="29"/>
        <v>0.11858565101740844</v>
      </c>
      <c r="AL390" s="61">
        <f t="shared" ca="1" si="29"/>
        <v>1.5054806956414155</v>
      </c>
      <c r="AM390" s="61">
        <f t="shared" ca="1" si="29"/>
        <v>-0.4747376775029778</v>
      </c>
      <c r="AN390" s="37"/>
      <c r="AO390" s="62">
        <f t="array" aca="1" ref="AO390:AR390" ca="1">TRANSPOSE($B$17:$B$20 + MMULT($D$17:$G$20,TRANSPOSE(AO389:AR389)) + MMULT($N$17:$Q$20,TRANSPOSE(AJ390:AM390)))</f>
        <v>0.47185200027644819</v>
      </c>
      <c r="AP390" s="62">
        <f ca="1"/>
        <v>0.23607759874609957</v>
      </c>
      <c r="AQ390" s="62">
        <f ca="1"/>
        <v>0.87647737455661889</v>
      </c>
      <c r="AR390" s="62">
        <f ca="1"/>
        <v>0.66616211831149663</v>
      </c>
    </row>
    <row r="391" spans="25:44" x14ac:dyDescent="0.15">
      <c r="Y391" s="8">
        <f t="shared" si="30"/>
        <v>388</v>
      </c>
      <c r="Z391" s="61">
        <f t="shared" ca="1" si="28"/>
        <v>8.3975704641966506E-2</v>
      </c>
      <c r="AA391" s="61">
        <f t="shared" ca="1" si="28"/>
        <v>-0.29692561543443985</v>
      </c>
      <c r="AB391" s="61">
        <f t="shared" ca="1" si="28"/>
        <v>-0.46966178901392064</v>
      </c>
      <c r="AC391" s="61">
        <f t="shared" ca="1" si="28"/>
        <v>-0.85489001831007194</v>
      </c>
      <c r="AD391" s="37"/>
      <c r="AE391" s="62">
        <f t="array" aca="1" ref="AE391:AH391" ca="1">TRANSPOSE($B$9:$B$12 + MMULT($D$9:$G$12,TRANSPOSE(AO391:AR391)) + MMULT($N$9:$Q$12, TRANSPOSE(Z391:AC391)))</f>
        <v>0.82703734388099692</v>
      </c>
      <c r="AF391" s="62">
        <f ca="1"/>
        <v>0.76709848194246577</v>
      </c>
      <c r="AG391" s="62">
        <f ca="1"/>
        <v>6.3845040834322103E-2</v>
      </c>
      <c r="AH391" s="62">
        <f ca="1"/>
        <v>0.49416298670994463</v>
      </c>
      <c r="AI391" s="37"/>
      <c r="AJ391" s="61">
        <f t="shared" ca="1" si="29"/>
        <v>-0.18575638568205982</v>
      </c>
      <c r="AK391" s="61">
        <f t="shared" ca="1" si="29"/>
        <v>0.85242479942009897</v>
      </c>
      <c r="AL391" s="61">
        <f t="shared" ca="1" si="29"/>
        <v>0.17880106845171329</v>
      </c>
      <c r="AM391" s="61">
        <f t="shared" ca="1" si="29"/>
        <v>-0.91757500840999828</v>
      </c>
      <c r="AN391" s="37"/>
      <c r="AO391" s="62">
        <f t="array" aca="1" ref="AO391:AR391" ca="1">TRANSPOSE($B$17:$B$20 + MMULT($D$17:$G$20,TRANSPOSE(AO390:AR390)) + MMULT($N$17:$Q$20,TRANSPOSE(AJ391:AM391)))</f>
        <v>0.51376586628604115</v>
      </c>
      <c r="AP391" s="62">
        <f ca="1"/>
        <v>0.79086321036879714</v>
      </c>
      <c r="AQ391" s="62">
        <f ca="1"/>
        <v>0.47517498059345353</v>
      </c>
      <c r="AR391" s="62">
        <f ca="1"/>
        <v>0.34630532862967617</v>
      </c>
    </row>
    <row r="392" spans="25:44" x14ac:dyDescent="0.15">
      <c r="Y392" s="8">
        <f t="shared" si="30"/>
        <v>389</v>
      </c>
      <c r="Z392" s="61">
        <f t="shared" ca="1" si="28"/>
        <v>-0.53935131094436273</v>
      </c>
      <c r="AA392" s="61">
        <f t="shared" ca="1" si="28"/>
        <v>3.322373081042493</v>
      </c>
      <c r="AB392" s="61">
        <f t="shared" ca="1" si="28"/>
        <v>-0.70927692953078214</v>
      </c>
      <c r="AC392" s="61">
        <f t="shared" ca="1" si="28"/>
        <v>-0.5985837501400163</v>
      </c>
      <c r="AD392" s="37"/>
      <c r="AE392" s="62">
        <f t="array" aca="1" ref="AE392:AH392" ca="1">TRANSPOSE($B$9:$B$12 + MMULT($D$9:$G$12,TRANSPOSE(AO392:AR392)) + MMULT($N$9:$Q$12, TRANSPOSE(Z392:AC392)))</f>
        <v>0.96795712373613219</v>
      </c>
      <c r="AF392" s="62">
        <f ca="1"/>
        <v>2.5005933313709985</v>
      </c>
      <c r="AG392" s="62">
        <f ca="1"/>
        <v>5.2131075304294672E-2</v>
      </c>
      <c r="AH392" s="62">
        <f ca="1"/>
        <v>0.71717947887097333</v>
      </c>
      <c r="AI392" s="37"/>
      <c r="AJ392" s="61">
        <f t="shared" ca="1" si="29"/>
        <v>0.79441201549700469</v>
      </c>
      <c r="AK392" s="61">
        <f t="shared" ca="1" si="29"/>
        <v>1.8006244888258323</v>
      </c>
      <c r="AL392" s="61">
        <f t="shared" ca="1" si="29"/>
        <v>0.70087398223752662</v>
      </c>
      <c r="AM392" s="61">
        <f t="shared" ca="1" si="29"/>
        <v>0.13862735385849173</v>
      </c>
      <c r="AN392" s="37"/>
      <c r="AO392" s="62">
        <f t="array" aca="1" ref="AO392:AR392" ca="1">TRANSPOSE($B$17:$B$20 + MMULT($D$17:$G$20,TRANSPOSE(AO391:AR391)) + MMULT($N$17:$Q$20,TRANSPOSE(AJ392:AM392)))</f>
        <v>0.81953688547465697</v>
      </c>
      <c r="AP392" s="62">
        <f ca="1"/>
        <v>1.2852695491570993</v>
      </c>
      <c r="AQ392" s="62">
        <f ca="1"/>
        <v>0.83889835874196539</v>
      </c>
      <c r="AR392" s="62">
        <f ca="1"/>
        <v>0.44094342543276088</v>
      </c>
    </row>
    <row r="393" spans="25:44" x14ac:dyDescent="0.15">
      <c r="Y393" s="8">
        <f t="shared" si="30"/>
        <v>390</v>
      </c>
      <c r="Z393" s="61">
        <f t="shared" ca="1" si="28"/>
        <v>0.65598176808749209</v>
      </c>
      <c r="AA393" s="61">
        <f t="shared" ca="1" si="28"/>
        <v>-1.8824038957525049</v>
      </c>
      <c r="AB393" s="61">
        <f t="shared" ca="1" si="28"/>
        <v>0.94649900331105385</v>
      </c>
      <c r="AC393" s="61">
        <f t="shared" ca="1" si="28"/>
        <v>-1.0866947451809872</v>
      </c>
      <c r="AD393" s="37"/>
      <c r="AE393" s="62">
        <f t="array" aca="1" ref="AE393:AH393" ca="1">TRANSPOSE($B$9:$B$12 + MMULT($D$9:$G$12,TRANSPOSE(AO393:AR393)) + MMULT($N$9:$Q$12, TRANSPOSE(Z393:AC393)))</f>
        <v>1.5306266852289001</v>
      </c>
      <c r="AF393" s="62">
        <f ca="1"/>
        <v>-0.35714936608774639</v>
      </c>
      <c r="AG393" s="62">
        <f ca="1"/>
        <v>1.3077177652602794</v>
      </c>
      <c r="AH393" s="62">
        <f ca="1"/>
        <v>0.64435550224736571</v>
      </c>
      <c r="AI393" s="37"/>
      <c r="AJ393" s="61">
        <f t="shared" ca="1" si="29"/>
        <v>0.26058132694478864</v>
      </c>
      <c r="AK393" s="61">
        <f t="shared" ca="1" si="29"/>
        <v>-1.9028649114881804</v>
      </c>
      <c r="AL393" s="61">
        <f t="shared" ca="1" si="29"/>
        <v>-0.35438435990288825</v>
      </c>
      <c r="AM393" s="61">
        <f t="shared" ca="1" si="29"/>
        <v>-1.488870014352913</v>
      </c>
      <c r="AN393" s="37"/>
      <c r="AO393" s="62">
        <f t="array" aca="1" ref="AO393:AR393" ca="1">TRANSPOSE($B$17:$B$20 + MMULT($D$17:$G$20,TRANSPOSE(AO392:AR392)) + MMULT($N$17:$Q$20,TRANSPOSE(AJ393:AM393)))</f>
        <v>0.81372905913746585</v>
      </c>
      <c r="AP393" s="62">
        <f ca="1"/>
        <v>-9.268888041847223E-3</v>
      </c>
      <c r="AQ393" s="62">
        <f ca="1"/>
        <v>1.0180601731828496</v>
      </c>
      <c r="AR393" s="62">
        <f ca="1"/>
        <v>0.81620335128510146</v>
      </c>
    </row>
    <row r="394" spans="25:44" x14ac:dyDescent="0.15">
      <c r="Y394" s="8">
        <f t="shared" si="30"/>
        <v>391</v>
      </c>
      <c r="Z394" s="61">
        <f t="shared" ca="1" si="28"/>
        <v>-0.61565748143004451</v>
      </c>
      <c r="AA394" s="61">
        <f t="shared" ca="1" si="28"/>
        <v>-1.3420186427191687</v>
      </c>
      <c r="AB394" s="61">
        <f t="shared" ca="1" si="28"/>
        <v>-0.66002886996062771</v>
      </c>
      <c r="AC394" s="61">
        <f t="shared" ca="1" si="28"/>
        <v>-0.14017302401222079</v>
      </c>
      <c r="AD394" s="37"/>
      <c r="AE394" s="62">
        <f t="array" aca="1" ref="AE394:AH394" ca="1">TRANSPOSE($B$9:$B$12 + MMULT($D$9:$G$12,TRANSPOSE(AO394:AR394)) + MMULT($N$9:$Q$12, TRANSPOSE(Z394:AC394)))</f>
        <v>0.40299210299199117</v>
      </c>
      <c r="AF394" s="62">
        <f ca="1"/>
        <v>0.16473073763471324</v>
      </c>
      <c r="AG394" s="62">
        <f ca="1"/>
        <v>0.35419001026455149</v>
      </c>
      <c r="AH394" s="62">
        <f ca="1"/>
        <v>0.26474903065402866</v>
      </c>
      <c r="AI394" s="37"/>
      <c r="AJ394" s="61">
        <f t="shared" ca="1" si="29"/>
        <v>-6.3370598270065887E-2</v>
      </c>
      <c r="AK394" s="61">
        <f t="shared" ca="1" si="29"/>
        <v>7.0632034852172759E-2</v>
      </c>
      <c r="AL394" s="61">
        <f t="shared" ca="1" si="29"/>
        <v>-0.93944868407974202</v>
      </c>
      <c r="AM394" s="61">
        <f t="shared" ca="1" si="29"/>
        <v>-1.0863659621456083</v>
      </c>
      <c r="AN394" s="37"/>
      <c r="AO394" s="62">
        <f t="array" aca="1" ref="AO394:AR394" ca="1">TRANSPOSE($B$17:$B$20 + MMULT($D$17:$G$20,TRANSPOSE(AO393:AR393)) + MMULT($N$17:$Q$20,TRANSPOSE(AJ394:AM394)))</f>
        <v>0.65488399935288055</v>
      </c>
      <c r="AP394" s="62">
        <f ca="1"/>
        <v>0.54640575619356879</v>
      </c>
      <c r="AQ394" s="62">
        <f ca="1"/>
        <v>0.10892106468653423</v>
      </c>
      <c r="AR394" s="62">
        <f ca="1"/>
        <v>0.40854068020605172</v>
      </c>
    </row>
    <row r="395" spans="25:44" x14ac:dyDescent="0.15">
      <c r="Y395" s="8">
        <f t="shared" si="30"/>
        <v>392</v>
      </c>
      <c r="Z395" s="61">
        <f t="shared" ca="1" si="28"/>
        <v>1.1507692884551013</v>
      </c>
      <c r="AA395" s="61">
        <f t="shared" ca="1" si="28"/>
        <v>-1.6843819390756758</v>
      </c>
      <c r="AB395" s="61">
        <f t="shared" ca="1" si="28"/>
        <v>1.1888697197543534</v>
      </c>
      <c r="AC395" s="61">
        <f t="shared" ca="1" si="28"/>
        <v>0.56482316617307704</v>
      </c>
      <c r="AD395" s="37"/>
      <c r="AE395" s="62">
        <f t="array" aca="1" ref="AE395:AH395" ca="1">TRANSPOSE($B$9:$B$12 + MMULT($D$9:$G$12,TRANSPOSE(AO395:AR395)) + MMULT($N$9:$Q$12, TRANSPOSE(Z395:AC395)))</f>
        <v>1.3080473575760565</v>
      </c>
      <c r="AF395" s="62">
        <f ca="1"/>
        <v>-0.14242217804208784</v>
      </c>
      <c r="AG395" s="62">
        <f ca="1"/>
        <v>1.5682689637052349</v>
      </c>
      <c r="AH395" s="62">
        <f ca="1"/>
        <v>1.2933470275928256</v>
      </c>
      <c r="AI395" s="37"/>
      <c r="AJ395" s="61">
        <f t="shared" ca="1" si="29"/>
        <v>-7.8403824414923814E-2</v>
      </c>
      <c r="AK395" s="61">
        <f t="shared" ca="1" si="29"/>
        <v>-1.0637552451046548</v>
      </c>
      <c r="AL395" s="61">
        <f t="shared" ca="1" si="29"/>
        <v>0.83305341719813619</v>
      </c>
      <c r="AM395" s="61">
        <f t="shared" ca="1" si="29"/>
        <v>2.2751217028524904</v>
      </c>
      <c r="AN395" s="37"/>
      <c r="AO395" s="62">
        <f t="array" aca="1" ref="AO395:AR395" ca="1">TRANSPOSE($B$17:$B$20 + MMULT($D$17:$G$20,TRANSPOSE(AO394:AR394)) + MMULT($N$17:$Q$20,TRANSPOSE(AJ395:AM395)))</f>
        <v>0.49387103751715405</v>
      </c>
      <c r="AP395" s="62">
        <f ca="1"/>
        <v>3.4340462265661065E-2</v>
      </c>
      <c r="AQ395" s="62">
        <f ca="1"/>
        <v>0.91865851912423646</v>
      </c>
      <c r="AR395" s="62">
        <f ca="1"/>
        <v>1.2782672546537943</v>
      </c>
    </row>
    <row r="396" spans="25:44" x14ac:dyDescent="0.15">
      <c r="Y396" s="8">
        <f t="shared" si="30"/>
        <v>393</v>
      </c>
      <c r="Z396" s="61">
        <f t="shared" ca="1" si="28"/>
        <v>-0.68747019219003624</v>
      </c>
      <c r="AA396" s="61">
        <f t="shared" ca="1" si="28"/>
        <v>0.1725213836116706</v>
      </c>
      <c r="AB396" s="61">
        <f t="shared" ca="1" si="28"/>
        <v>0.1686440186977386</v>
      </c>
      <c r="AC396" s="61">
        <f t="shared" ca="1" si="28"/>
        <v>0.56910181603156074</v>
      </c>
      <c r="AD396" s="37"/>
      <c r="AE396" s="62">
        <f t="array" aca="1" ref="AE396:AH396" ca="1">TRANSPOSE($B$9:$B$12 + MMULT($D$9:$G$12,TRANSPOSE(AO396:AR396)) + MMULT($N$9:$Q$12, TRANSPOSE(Z396:AC396)))</f>
        <v>0.12575062549242477</v>
      </c>
      <c r="AF396" s="62">
        <f ca="1"/>
        <v>0.14291866071563389</v>
      </c>
      <c r="AG396" s="62">
        <f ca="1"/>
        <v>1.5184511439714905</v>
      </c>
      <c r="AH396" s="62">
        <f ca="1"/>
        <v>1.31889357176236</v>
      </c>
      <c r="AI396" s="37"/>
      <c r="AJ396" s="61">
        <f t="shared" ca="1" si="29"/>
        <v>-1.4578042697954843</v>
      </c>
      <c r="AK396" s="61">
        <f t="shared" ca="1" si="29"/>
        <v>-0.98090708894415923</v>
      </c>
      <c r="AL396" s="61">
        <f t="shared" ca="1" si="29"/>
        <v>0.89672164632107754</v>
      </c>
      <c r="AM396" s="61">
        <f t="shared" ca="1" si="29"/>
        <v>1.9776619283095216</v>
      </c>
      <c r="AN396" s="37"/>
      <c r="AO396" s="62">
        <f t="array" aca="1" ref="AO396:AR396" ca="1">TRANSPOSE($B$17:$B$20 + MMULT($D$17:$G$20,TRANSPOSE(AO395:AR395)) + MMULT($N$17:$Q$20,TRANSPOSE(AJ396:AM396)))</f>
        <v>0.112776959652996</v>
      </c>
      <c r="AP396" s="62">
        <f ca="1"/>
        <v>5.1224277069784607E-2</v>
      </c>
      <c r="AQ396" s="62">
        <f ca="1"/>
        <v>0.76533501702830153</v>
      </c>
      <c r="AR396" s="62">
        <f ca="1"/>
        <v>1.4761957601803686</v>
      </c>
    </row>
    <row r="397" spans="25:44" x14ac:dyDescent="0.15">
      <c r="Y397" s="8">
        <f t="shared" si="30"/>
        <v>394</v>
      </c>
      <c r="Z397" s="61">
        <f t="shared" ca="1" si="28"/>
        <v>-0.18302015209020805</v>
      </c>
      <c r="AA397" s="61">
        <f t="shared" ca="1" si="28"/>
        <v>1.0370368771998177</v>
      </c>
      <c r="AB397" s="61">
        <f t="shared" ca="1" si="28"/>
        <v>0.65863010406870937</v>
      </c>
      <c r="AC397" s="61">
        <f t="shared" ca="1" si="28"/>
        <v>4.730188521011524E-2</v>
      </c>
      <c r="AD397" s="37"/>
      <c r="AE397" s="62">
        <f t="array" aca="1" ref="AE397:AH397" ca="1">TRANSPOSE($B$9:$B$12 + MMULT($D$9:$G$12,TRANSPOSE(AO397:AR397)) + MMULT($N$9:$Q$12, TRANSPOSE(Z397:AC397)))</f>
        <v>-2.1241191236945206E-2</v>
      </c>
      <c r="AF397" s="62">
        <f ca="1"/>
        <v>1.0749875269575311</v>
      </c>
      <c r="AG397" s="62">
        <f ca="1"/>
        <v>1.0220824337054202</v>
      </c>
      <c r="AH397" s="62">
        <f ca="1"/>
        <v>0.63762614394169137</v>
      </c>
      <c r="AI397" s="37"/>
      <c r="AJ397" s="61">
        <f t="shared" ca="1" si="29"/>
        <v>-1.3019187559782277</v>
      </c>
      <c r="AK397" s="61">
        <f t="shared" ca="1" si="29"/>
        <v>0.4808243190403893</v>
      </c>
      <c r="AL397" s="61">
        <f t="shared" ca="1" si="29"/>
        <v>-0.16560649125447685</v>
      </c>
      <c r="AM397" s="61">
        <f t="shared" ca="1" si="29"/>
        <v>1.3753446974813324</v>
      </c>
      <c r="AN397" s="37"/>
      <c r="AO397" s="62">
        <f t="array" aca="1" ref="AO397:AR397" ca="1">TRANSPOSE($B$17:$B$20 + MMULT($D$17:$G$20,TRANSPOSE(AO396:AR396)) + MMULT($N$17:$Q$20,TRANSPOSE(AJ397:AM397)))</f>
        <v>5.3746035940608561E-2</v>
      </c>
      <c r="AP397" s="62">
        <f ca="1"/>
        <v>0.56335338616367392</v>
      </c>
      <c r="AQ397" s="62">
        <f ca="1"/>
        <v>7.7536974587220975E-2</v>
      </c>
      <c r="AR397" s="62">
        <f ca="1"/>
        <v>0.93942930342506992</v>
      </c>
    </row>
    <row r="398" spans="25:44" x14ac:dyDescent="0.15">
      <c r="Y398" s="8">
        <f t="shared" si="30"/>
        <v>395</v>
      </c>
      <c r="Z398" s="61">
        <f t="shared" ca="1" si="28"/>
        <v>1.0433513206254288</v>
      </c>
      <c r="AA398" s="61">
        <f t="shared" ca="1" si="28"/>
        <v>-2.2214030742198565</v>
      </c>
      <c r="AB398" s="61">
        <f t="shared" ca="1" si="28"/>
        <v>-0.35538249946497147</v>
      </c>
      <c r="AC398" s="61">
        <f t="shared" ca="1" si="28"/>
        <v>0.83654701813892507</v>
      </c>
      <c r="AD398" s="37"/>
      <c r="AE398" s="62">
        <f t="array" aca="1" ref="AE398:AH398" ca="1">TRANSPOSE($B$9:$B$12 + MMULT($D$9:$G$12,TRANSPOSE(AO398:AR398)) + MMULT($N$9:$Q$12, TRANSPOSE(Z398:AC398)))</f>
        <v>1.1536351167706935</v>
      </c>
      <c r="AF398" s="62">
        <f ca="1"/>
        <v>0.6434809678546215</v>
      </c>
      <c r="AG398" s="62">
        <f ca="1"/>
        <v>-0.63382057183495677</v>
      </c>
      <c r="AH398" s="62">
        <f ca="1"/>
        <v>1.1560012163759752</v>
      </c>
      <c r="AI398" s="37"/>
      <c r="AJ398" s="61">
        <f t="shared" ca="1" si="29"/>
        <v>-0.18012752074527935</v>
      </c>
      <c r="AK398" s="61">
        <f t="shared" ca="1" si="29"/>
        <v>2.531089035874861</v>
      </c>
      <c r="AL398" s="61">
        <f t="shared" ca="1" si="29"/>
        <v>0.9942065467220651</v>
      </c>
      <c r="AM398" s="61">
        <f t="shared" ca="1" si="29"/>
        <v>-0.50994285605028311</v>
      </c>
      <c r="AN398" s="37"/>
      <c r="AO398" s="62">
        <f t="array" aca="1" ref="AO398:AR398" ca="1">TRANSPOSE($B$17:$B$20 + MMULT($D$17:$G$20,TRANSPOSE(AO397:AR397)) + MMULT($N$17:$Q$20,TRANSPOSE(AJ398:AM398)))</f>
        <v>0.32481810427356528</v>
      </c>
      <c r="AP398" s="62">
        <f ca="1"/>
        <v>1.4259542290160812</v>
      </c>
      <c r="AQ398" s="62">
        <f ca="1"/>
        <v>0.50162838009755273</v>
      </c>
      <c r="AR398" s="62">
        <f ca="1"/>
        <v>4.874275742916534E-2</v>
      </c>
    </row>
    <row r="399" spans="25:44" x14ac:dyDescent="0.15">
      <c r="Y399" s="8">
        <f t="shared" si="30"/>
        <v>396</v>
      </c>
      <c r="Z399" s="61">
        <f t="shared" ca="1" si="28"/>
        <v>0.17367272560322161</v>
      </c>
      <c r="AA399" s="61">
        <f t="shared" ca="1" si="28"/>
        <v>-0.60713920897522045</v>
      </c>
      <c r="AB399" s="61">
        <f t="shared" ca="1" si="28"/>
        <v>0.38730159946726034</v>
      </c>
      <c r="AC399" s="61">
        <f t="shared" ca="1" si="28"/>
        <v>0.12714281285361129</v>
      </c>
      <c r="AD399" s="37"/>
      <c r="AE399" s="62">
        <f t="array" aca="1" ref="AE399:AH399" ca="1">TRANSPOSE($B$9:$B$12 + MMULT($D$9:$G$12,TRANSPOSE(AO399:AR399)) + MMULT($N$9:$Q$12, TRANSPOSE(Z399:AC399)))</f>
        <v>0.21310603550727561</v>
      </c>
      <c r="AF399" s="62">
        <f ca="1"/>
        <v>0.42523538761581164</v>
      </c>
      <c r="AG399" s="62">
        <f ca="1"/>
        <v>0.26639065781759519</v>
      </c>
      <c r="AH399" s="62">
        <f ca="1"/>
        <v>0.8125267379001927</v>
      </c>
      <c r="AI399" s="37"/>
      <c r="AJ399" s="61">
        <f t="shared" ca="1" si="29"/>
        <v>-2.0888584039194633</v>
      </c>
      <c r="AK399" s="61">
        <f t="shared" ca="1" si="29"/>
        <v>0.3905116137528436</v>
      </c>
      <c r="AL399" s="61">
        <f t="shared" ca="1" si="29"/>
        <v>-0.2072674328516112</v>
      </c>
      <c r="AM399" s="61">
        <f t="shared" ca="1" si="29"/>
        <v>0.58719050298837683</v>
      </c>
      <c r="AN399" s="37"/>
      <c r="AO399" s="62">
        <f t="array" aca="1" ref="AO399:AR399" ca="1">TRANSPOSE($B$17:$B$20 + MMULT($D$17:$G$20,TRANSPOSE(AO398:AR398)) + MMULT($N$17:$Q$20,TRANSPOSE(AJ399:AM399)))</f>
        <v>-0.16504946010549504</v>
      </c>
      <c r="AP399" s="62">
        <f ca="1"/>
        <v>0.71585023759418709</v>
      </c>
      <c r="AQ399" s="62">
        <f ca="1"/>
        <v>0.24996317942276947</v>
      </c>
      <c r="AR399" s="62">
        <f ca="1"/>
        <v>0.4373458406768827</v>
      </c>
    </row>
    <row r="400" spans="25:44" x14ac:dyDescent="0.15">
      <c r="Y400" s="8">
        <f t="shared" si="30"/>
        <v>397</v>
      </c>
      <c r="Z400" s="61">
        <f t="shared" ca="1" si="28"/>
        <v>0.77159721680117033</v>
      </c>
      <c r="AA400" s="61">
        <f t="shared" ca="1" si="28"/>
        <v>-6.7294066033763644E-2</v>
      </c>
      <c r="AB400" s="61">
        <f t="shared" ca="1" si="28"/>
        <v>-1.0240135375613548</v>
      </c>
      <c r="AC400" s="61">
        <f t="shared" ca="1" si="28"/>
        <v>1.6588472315138423</v>
      </c>
      <c r="AD400" s="37"/>
      <c r="AE400" s="62">
        <f t="array" aca="1" ref="AE400:AH400" ca="1">TRANSPOSE($B$9:$B$12 + MMULT($D$9:$G$12,TRANSPOSE(AO400:AR400)) + MMULT($N$9:$Q$12, TRANSPOSE(Z400:AC400)))</f>
        <v>1.5668081773353728</v>
      </c>
      <c r="AF400" s="62">
        <f ca="1"/>
        <v>0.46507623539899096</v>
      </c>
      <c r="AG400" s="62">
        <f ca="1"/>
        <v>0.57114736335519456</v>
      </c>
      <c r="AH400" s="62">
        <f ca="1"/>
        <v>1.0824689621140815</v>
      </c>
      <c r="AI400" s="37"/>
      <c r="AJ400" s="61">
        <f t="shared" ca="1" si="29"/>
        <v>1.9511947249299</v>
      </c>
      <c r="AK400" s="61">
        <f t="shared" ca="1" si="29"/>
        <v>-0.78324184848945688</v>
      </c>
      <c r="AL400" s="61">
        <f t="shared" ca="1" si="29"/>
        <v>-0.14842470338969738</v>
      </c>
      <c r="AM400" s="61">
        <f t="shared" ca="1" si="29"/>
        <v>1.7397083977161287E-3</v>
      </c>
      <c r="AN400" s="37"/>
      <c r="AO400" s="62">
        <f t="array" aca="1" ref="AO400:AR400" ca="1">TRANSPOSE($B$17:$B$20 + MMULT($D$17:$G$20,TRANSPOSE(AO399:AR399)) + MMULT($N$17:$Q$20,TRANSPOSE(AJ400:AM400)))</f>
        <v>0.997149338800983</v>
      </c>
      <c r="AP400" s="62">
        <f ca="1"/>
        <v>-3.9890484209818833E-2</v>
      </c>
      <c r="AQ400" s="62">
        <f ca="1"/>
        <v>0.79379287763040507</v>
      </c>
      <c r="AR400" s="62">
        <f ca="1"/>
        <v>0.8215182928982534</v>
      </c>
    </row>
    <row r="401" spans="25:44" x14ac:dyDescent="0.15">
      <c r="Y401" s="8">
        <f t="shared" si="30"/>
        <v>398</v>
      </c>
      <c r="Z401" s="61">
        <f t="shared" ca="1" si="28"/>
        <v>0.15477456426998834</v>
      </c>
      <c r="AA401" s="61">
        <f t="shared" ca="1" si="28"/>
        <v>0.89096526300234302</v>
      </c>
      <c r="AB401" s="61">
        <f t="shared" ca="1" si="28"/>
        <v>1.3592220208653918</v>
      </c>
      <c r="AC401" s="61">
        <f t="shared" ca="1" si="28"/>
        <v>0.43998599456508714</v>
      </c>
      <c r="AD401" s="37"/>
      <c r="AE401" s="62">
        <f t="array" aca="1" ref="AE401:AH401" ca="1">TRANSPOSE($B$9:$B$12 + MMULT($D$9:$G$12,TRANSPOSE(AO401:AR401)) + MMULT($N$9:$Q$12, TRANSPOSE(Z401:AC401)))</f>
        <v>1.465557418566912</v>
      </c>
      <c r="AF401" s="62">
        <f ca="1"/>
        <v>-0.45861738186457551</v>
      </c>
      <c r="AG401" s="62">
        <f ca="1"/>
        <v>2.7944625446320233</v>
      </c>
      <c r="AH401" s="62">
        <f ca="1"/>
        <v>1.0736789762149412</v>
      </c>
      <c r="AI401" s="37"/>
      <c r="AJ401" s="61">
        <f t="shared" ca="1" si="29"/>
        <v>0.55118989667043894</v>
      </c>
      <c r="AK401" s="61">
        <f t="shared" ca="1" si="29"/>
        <v>-4.4892907587491395</v>
      </c>
      <c r="AL401" s="61">
        <f t="shared" ca="1" si="29"/>
        <v>0.75698360033265166</v>
      </c>
      <c r="AM401" s="61">
        <f t="shared" ca="1" si="29"/>
        <v>-1.3703063632117518E-2</v>
      </c>
      <c r="AN401" s="37"/>
      <c r="AO401" s="62">
        <f t="array" aca="1" ref="AO401:AR401" ca="1">TRANSPOSE($B$17:$B$20 + MMULT($D$17:$G$20,TRANSPOSE(AO400:AR400)) + MMULT($N$17:$Q$20,TRANSPOSE(AJ401:AM401)))</f>
        <v>0.87448104165437412</v>
      </c>
      <c r="AP401" s="62">
        <f ca="1"/>
        <v>-1.3286384229897048</v>
      </c>
      <c r="AQ401" s="62">
        <f ca="1"/>
        <v>1.4577702415735996</v>
      </c>
      <c r="AR401" s="62">
        <f ca="1"/>
        <v>1.7034177337354148</v>
      </c>
    </row>
    <row r="402" spans="25:44" x14ac:dyDescent="0.15">
      <c r="Y402" s="8">
        <f t="shared" si="30"/>
        <v>399</v>
      </c>
      <c r="Z402" s="61">
        <f t="shared" ca="1" si="28"/>
        <v>1.7521678291507283</v>
      </c>
      <c r="AA402" s="61">
        <f t="shared" ca="1" si="28"/>
        <v>-1.5602606894860647</v>
      </c>
      <c r="AB402" s="61">
        <f t="shared" ca="1" si="28"/>
        <v>0.68918323105185264</v>
      </c>
      <c r="AC402" s="61">
        <f t="shared" ca="1" si="28"/>
        <v>-0.10827378366062511</v>
      </c>
      <c r="AD402" s="37"/>
      <c r="AE402" s="62">
        <f t="array" aca="1" ref="AE402:AH402" ca="1">TRANSPOSE($B$9:$B$12 + MMULT($D$9:$G$12,TRANSPOSE(AO402:AR402)) + MMULT($N$9:$Q$12, TRANSPOSE(Z402:AC402)))</f>
        <v>0.95250925689804777</v>
      </c>
      <c r="AF402" s="62">
        <f ca="1"/>
        <v>0.29953530708323245</v>
      </c>
      <c r="AG402" s="62">
        <f ca="1"/>
        <v>1.281131569225701</v>
      </c>
      <c r="AH402" s="62">
        <f ca="1"/>
        <v>0.74742205661692596</v>
      </c>
      <c r="AI402" s="37"/>
      <c r="AJ402" s="61">
        <f t="shared" ca="1" si="29"/>
        <v>-0.92514838545462563</v>
      </c>
      <c r="AK402" s="61">
        <f t="shared" ca="1" si="29"/>
        <v>-0.48792184571560537</v>
      </c>
      <c r="AL402" s="61">
        <f t="shared" ca="1" si="29"/>
        <v>-0.14296082511988037</v>
      </c>
      <c r="AM402" s="61">
        <f t="shared" ca="1" si="29"/>
        <v>1.5350587282841015</v>
      </c>
      <c r="AN402" s="37"/>
      <c r="AO402" s="62">
        <f t="array" aca="1" ref="AO402:AR402" ca="1">TRANSPOSE($B$17:$B$20 + MMULT($D$17:$G$20,TRANSPOSE(AO401:AR401)) + MMULT($N$17:$Q$20,TRANSPOSE(AJ402:AM402)))</f>
        <v>0.39399299506235003</v>
      </c>
      <c r="AP402" s="62">
        <f ca="1"/>
        <v>0.1391919790623809</v>
      </c>
      <c r="AQ402" s="62">
        <f ca="1"/>
        <v>0.11345797158986756</v>
      </c>
      <c r="AR402" s="62">
        <f ca="1"/>
        <v>1.3254150764683335</v>
      </c>
    </row>
    <row r="403" spans="25:44" x14ac:dyDescent="0.15">
      <c r="Y403" s="8">
        <f t="shared" si="30"/>
        <v>400</v>
      </c>
      <c r="Z403" s="61">
        <f t="shared" ca="1" si="28"/>
        <v>-0.36590368524752731</v>
      </c>
      <c r="AA403" s="61">
        <f t="shared" ca="1" si="28"/>
        <v>-0.12463885269729022</v>
      </c>
      <c r="AB403" s="61">
        <f t="shared" ca="1" si="28"/>
        <v>-0.11482288238101342</v>
      </c>
      <c r="AC403" s="61">
        <f t="shared" ca="1" si="28"/>
        <v>-0.52174638746446733</v>
      </c>
      <c r="AD403" s="37"/>
      <c r="AE403" s="62">
        <f t="array" aca="1" ref="AE403:AH403" ca="1">TRANSPOSE($B$9:$B$12 + MMULT($D$9:$G$12,TRANSPOSE(AO403:AR403)) + MMULT($N$9:$Q$12, TRANSPOSE(Z403:AC403)))</f>
        <v>1.0864431921129352</v>
      </c>
      <c r="AF403" s="62">
        <f ca="1"/>
        <v>7.3260375168700265E-3</v>
      </c>
      <c r="AG403" s="62">
        <f ca="1"/>
        <v>1.314258221917102</v>
      </c>
      <c r="AH403" s="62">
        <f ca="1"/>
        <v>0.78882997066175231</v>
      </c>
      <c r="AI403" s="37"/>
      <c r="AJ403" s="61">
        <f t="shared" ca="1" si="29"/>
        <v>1.053396179748977</v>
      </c>
      <c r="AK403" s="61">
        <f t="shared" ca="1" si="29"/>
        <v>-1.4394444763387808</v>
      </c>
      <c r="AL403" s="61">
        <f t="shared" ca="1" si="29"/>
        <v>0.83978870262089056</v>
      </c>
      <c r="AM403" s="61">
        <f t="shared" ca="1" si="29"/>
        <v>-0.17406548728984872</v>
      </c>
      <c r="AN403" s="37"/>
      <c r="AO403" s="62">
        <f t="array" aca="1" ref="AO403:AR403" ca="1">TRANSPOSE($B$17:$B$20 + MMULT($D$17:$G$20,TRANSPOSE(AO402:AR402)) + MMULT($N$17:$Q$20,TRANSPOSE(AJ403:AM403)))</f>
        <v>0.82238207908283889</v>
      </c>
      <c r="AP403" s="62">
        <f ca="1"/>
        <v>-0.1681186302625387</v>
      </c>
      <c r="AQ403" s="62">
        <f ca="1"/>
        <v>1.061330922321877</v>
      </c>
      <c r="AR403" s="62">
        <f ca="1"/>
        <v>1.0504902142769341</v>
      </c>
    </row>
    <row r="404" spans="25:44" x14ac:dyDescent="0.15">
      <c r="Y404" s="8">
        <f t="shared" si="30"/>
        <v>401</v>
      </c>
      <c r="Z404" s="61">
        <f t="shared" ca="1" si="28"/>
        <v>-0.80222654771124358</v>
      </c>
      <c r="AA404" s="61">
        <f t="shared" ca="1" si="28"/>
        <v>-0.17785531647736444</v>
      </c>
      <c r="AB404" s="61">
        <f t="shared" ca="1" si="28"/>
        <v>0.43409240612597394</v>
      </c>
      <c r="AC404" s="61">
        <f t="shared" ca="1" si="28"/>
        <v>0.82390870868661181</v>
      </c>
      <c r="AD404" s="37"/>
      <c r="AE404" s="62">
        <f t="array" aca="1" ref="AE404:AH404" ca="1">TRANSPOSE($B$9:$B$12 + MMULT($D$9:$G$12,TRANSPOSE(AO404:AR404)) + MMULT($N$9:$Q$12, TRANSPOSE(Z404:AC404)))</f>
        <v>0.60916136469560112</v>
      </c>
      <c r="AF404" s="62">
        <f ca="1"/>
        <v>0.21410908697845804</v>
      </c>
      <c r="AG404" s="62">
        <f ca="1"/>
        <v>1.055755635685468</v>
      </c>
      <c r="AH404" s="62">
        <f ca="1"/>
        <v>0.7567861111557892</v>
      </c>
      <c r="AI404" s="37"/>
      <c r="AJ404" s="61">
        <f t="shared" ca="1" si="29"/>
        <v>-0.20475702668676554</v>
      </c>
      <c r="AK404" s="61">
        <f t="shared" ca="1" si="29"/>
        <v>-0.58787992827736135</v>
      </c>
      <c r="AL404" s="61">
        <f t="shared" ca="1" si="29"/>
        <v>0.26244606531731657</v>
      </c>
      <c r="AM404" s="61">
        <f t="shared" ca="1" si="29"/>
        <v>-1.4552371995913813</v>
      </c>
      <c r="AN404" s="37"/>
      <c r="AO404" s="62">
        <f t="array" aca="1" ref="AO404:AR404" ca="1">TRANSPOSE($B$17:$B$20 + MMULT($D$17:$G$20,TRANSPOSE(AO403:AR403)) + MMULT($N$17:$Q$20,TRANSPOSE(AJ404:AM404)))</f>
        <v>0.61589225561941674</v>
      </c>
      <c r="AP404" s="62">
        <f ca="1"/>
        <v>0.26645628891196682</v>
      </c>
      <c r="AQ404" s="62">
        <f ca="1"/>
        <v>0.66736087954173384</v>
      </c>
      <c r="AR404" s="62">
        <f ca="1"/>
        <v>0.61714135596304998</v>
      </c>
    </row>
    <row r="405" spans="25:44" x14ac:dyDescent="0.15">
      <c r="Y405" s="8">
        <f t="shared" si="30"/>
        <v>402</v>
      </c>
      <c r="Z405" s="61">
        <f t="shared" ca="1" si="28"/>
        <v>0.12442183726805493</v>
      </c>
      <c r="AA405" s="61">
        <f t="shared" ca="1" si="28"/>
        <v>0.3912523916089139</v>
      </c>
      <c r="AB405" s="61">
        <f t="shared" ca="1" si="28"/>
        <v>-1.083561969455981</v>
      </c>
      <c r="AC405" s="61">
        <f t="shared" ca="1" si="28"/>
        <v>-1.0686824329299858</v>
      </c>
      <c r="AD405" s="37"/>
      <c r="AE405" s="62">
        <f t="array" aca="1" ref="AE405:AH405" ca="1">TRANSPOSE($B$9:$B$12 + MMULT($D$9:$G$12,TRANSPOSE(AO405:AR405)) + MMULT($N$9:$Q$12, TRANSPOSE(Z405:AC405)))</f>
        <v>-0.59087597238952605</v>
      </c>
      <c r="AF405" s="62">
        <f ca="1"/>
        <v>0.86692759900416316</v>
      </c>
      <c r="AG405" s="62">
        <f ca="1"/>
        <v>-0.75859874696206897</v>
      </c>
      <c r="AH405" s="62">
        <f ca="1"/>
        <v>-0.42537265092732979</v>
      </c>
      <c r="AI405" s="37"/>
      <c r="AJ405" s="61">
        <f t="shared" ca="1" si="29"/>
        <v>-2.8816092218925307</v>
      </c>
      <c r="AK405" s="61">
        <f t="shared" ca="1" si="29"/>
        <v>0.51970430046267257</v>
      </c>
      <c r="AL405" s="61">
        <f t="shared" ca="1" si="29"/>
        <v>-2.0626803877095501</v>
      </c>
      <c r="AM405" s="61">
        <f t="shared" ca="1" si="29"/>
        <v>-0.69802922627216191</v>
      </c>
      <c r="AN405" s="37"/>
      <c r="AO405" s="62">
        <f t="array" aca="1" ref="AO405:AR405" ca="1">TRANSPOSE($B$17:$B$20 + MMULT($D$17:$G$20,TRANSPOSE(AO404:AR404)) + MMULT($N$17:$Q$20,TRANSPOSE(AJ405:AM405)))</f>
        <v>-0.38704481825376735</v>
      </c>
      <c r="AP405" s="62">
        <f ca="1"/>
        <v>0.65164990119134258</v>
      </c>
      <c r="AQ405" s="62">
        <f ca="1"/>
        <v>-0.99261837645504525</v>
      </c>
      <c r="AR405" s="62">
        <f ca="1"/>
        <v>-0.13194289979483786</v>
      </c>
    </row>
    <row r="406" spans="25:44" x14ac:dyDescent="0.15">
      <c r="Y406" s="8">
        <f t="shared" si="30"/>
        <v>403</v>
      </c>
      <c r="Z406" s="61">
        <f t="shared" ca="1" si="28"/>
        <v>-0.61634422453684456</v>
      </c>
      <c r="AA406" s="61">
        <f t="shared" ca="1" si="28"/>
        <v>-0.6534844146363985</v>
      </c>
      <c r="AB406" s="61">
        <f t="shared" ca="1" si="28"/>
        <v>1.7158836228602832</v>
      </c>
      <c r="AC406" s="61">
        <f t="shared" ca="1" si="28"/>
        <v>-0.48029934890546505</v>
      </c>
      <c r="AD406" s="37"/>
      <c r="AE406" s="62">
        <f t="array" aca="1" ref="AE406:AH406" ca="1">TRANSPOSE($B$9:$B$12 + MMULT($D$9:$G$12,TRANSPOSE(AO406:AR406)) + MMULT($N$9:$Q$12, TRANSPOSE(Z406:AC406)))</f>
        <v>0.38238132694533694</v>
      </c>
      <c r="AF406" s="62">
        <f ca="1"/>
        <v>-0.18707009293845353</v>
      </c>
      <c r="AG406" s="62">
        <f ca="1"/>
        <v>1.2593791570413875</v>
      </c>
      <c r="AH406" s="62">
        <f ca="1"/>
        <v>-0.19891103500624041</v>
      </c>
      <c r="AI406" s="37"/>
      <c r="AJ406" s="61">
        <f t="shared" ca="1" si="29"/>
        <v>1.1794166202263308</v>
      </c>
      <c r="AK406" s="61">
        <f t="shared" ca="1" si="29"/>
        <v>-7.2930575982295381E-2</v>
      </c>
      <c r="AL406" s="61">
        <f t="shared" ca="1" si="29"/>
        <v>-0.20010360828760421</v>
      </c>
      <c r="AM406" s="61">
        <f t="shared" ca="1" si="29"/>
        <v>0.5519415251202765</v>
      </c>
      <c r="AN406" s="37"/>
      <c r="AO406" s="62">
        <f t="array" aca="1" ref="AO406:AR406" ca="1">TRANSPOSE($B$17:$B$20 + MMULT($D$17:$G$20,TRANSPOSE(AO405:AR405)) + MMULT($N$17:$Q$20,TRANSPOSE(AJ406:AM406)))</f>
        <v>0.46322690238485065</v>
      </c>
      <c r="AP406" s="62">
        <f ca="1"/>
        <v>-1.5236346229040694E-2</v>
      </c>
      <c r="AQ406" s="62">
        <f ca="1"/>
        <v>0.12887528005895388</v>
      </c>
      <c r="AR406" s="62">
        <f ca="1"/>
        <v>0.14737243405617353</v>
      </c>
    </row>
    <row r="407" spans="25:44" x14ac:dyDescent="0.15">
      <c r="Y407" s="8">
        <f t="shared" si="30"/>
        <v>404</v>
      </c>
      <c r="Z407" s="61">
        <f t="shared" ca="1" si="28"/>
        <v>-0.99770406915487686</v>
      </c>
      <c r="AA407" s="61">
        <f t="shared" ca="1" si="28"/>
        <v>0.55715942481798653</v>
      </c>
      <c r="AB407" s="61">
        <f t="shared" ca="1" si="28"/>
        <v>1.028533475655435</v>
      </c>
      <c r="AC407" s="61">
        <f t="shared" ca="1" si="28"/>
        <v>0.11130145755333103</v>
      </c>
      <c r="AD407" s="37"/>
      <c r="AE407" s="62">
        <f t="array" aca="1" ref="AE407:AH407" ca="1">TRANSPOSE($B$9:$B$12 + MMULT($D$9:$G$12,TRANSPOSE(AO407:AR407)) + MMULT($N$9:$Q$12, TRANSPOSE(Z407:AC407)))</f>
        <v>0.41430137479616491</v>
      </c>
      <c r="AF407" s="62">
        <f ca="1"/>
        <v>0.68966027800568619</v>
      </c>
      <c r="AG407" s="62">
        <f ca="1"/>
        <v>0.88692802820235128</v>
      </c>
      <c r="AH407" s="62">
        <f ca="1"/>
        <v>-0.48460104584785652</v>
      </c>
      <c r="AI407" s="37"/>
      <c r="AJ407" s="61">
        <f t="shared" ca="1" si="29"/>
        <v>1.4149534311611853</v>
      </c>
      <c r="AK407" s="61">
        <f t="shared" ca="1" si="29"/>
        <v>0.20832186318431031</v>
      </c>
      <c r="AL407" s="61">
        <f t="shared" ca="1" si="29"/>
        <v>-1.3326731486889707</v>
      </c>
      <c r="AM407" s="61">
        <f t="shared" ca="1" si="29"/>
        <v>-1.5364165937531005</v>
      </c>
      <c r="AN407" s="37"/>
      <c r="AO407" s="62">
        <f t="array" aca="1" ref="AO407:AR407" ca="1">TRANSPOSE($B$17:$B$20 + MMULT($D$17:$G$20,TRANSPOSE(AO406:AR406)) + MMULT($N$17:$Q$20,TRANSPOSE(AJ407:AM407)))</f>
        <v>0.89636119800085323</v>
      </c>
      <c r="AP407" s="62">
        <f ca="1"/>
        <v>0.34011751576326904</v>
      </c>
      <c r="AQ407" s="62">
        <f ca="1"/>
        <v>-0.14772614805305878</v>
      </c>
      <c r="AR407" s="62">
        <f ca="1"/>
        <v>-0.11087470819250439</v>
      </c>
    </row>
    <row r="408" spans="25:44" x14ac:dyDescent="0.15">
      <c r="Y408" s="8">
        <f t="shared" si="30"/>
        <v>405</v>
      </c>
      <c r="Z408" s="61">
        <f t="shared" ca="1" si="28"/>
        <v>-1.2100780290598487</v>
      </c>
      <c r="AA408" s="61">
        <f t="shared" ca="1" si="28"/>
        <v>2.7960766598872726</v>
      </c>
      <c r="AB408" s="61">
        <f t="shared" ca="1" si="28"/>
        <v>-0.49507634422299024</v>
      </c>
      <c r="AC408" s="61">
        <f t="shared" ca="1" si="28"/>
        <v>1.2429597992730215</v>
      </c>
      <c r="AD408" s="37"/>
      <c r="AE408" s="62">
        <f t="array" aca="1" ref="AE408:AH408" ca="1">TRANSPOSE($B$9:$B$12 + MMULT($D$9:$G$12,TRANSPOSE(AO408:AR408)) + MMULT($N$9:$Q$12, TRANSPOSE(Z408:AC408)))</f>
        <v>0.31971465038011959</v>
      </c>
      <c r="AF408" s="62">
        <f ca="1"/>
        <v>0.78315927731609691</v>
      </c>
      <c r="AG408" s="62">
        <f ca="1"/>
        <v>1.0312606923278567</v>
      </c>
      <c r="AH408" s="62">
        <f ca="1"/>
        <v>9.0571881132984672E-2</v>
      </c>
      <c r="AI408" s="37"/>
      <c r="AJ408" s="61">
        <f t="shared" ca="1" si="29"/>
        <v>0.79434429108467752</v>
      </c>
      <c r="AK408" s="61">
        <f t="shared" ca="1" si="29"/>
        <v>-2.1460201275634279</v>
      </c>
      <c r="AL408" s="61">
        <f t="shared" ca="1" si="29"/>
        <v>-1.1561881147499535</v>
      </c>
      <c r="AM408" s="61">
        <f t="shared" ca="1" si="29"/>
        <v>-0.29247535947683673</v>
      </c>
      <c r="AN408" s="37"/>
      <c r="AO408" s="62">
        <f t="array" aca="1" ref="AO408:AR408" ca="1">TRANSPOSE($B$17:$B$20 + MMULT($D$17:$G$20,TRANSPOSE(AO407:AR407)) + MMULT($N$17:$Q$20,TRANSPOSE(AJ408:AM408)))</f>
        <v>0.77273464652728507</v>
      </c>
      <c r="AP408" s="62">
        <f ca="1"/>
        <v>-0.47881552914171555</v>
      </c>
      <c r="AQ408" s="62">
        <f ca="1"/>
        <v>0.18379898327022048</v>
      </c>
      <c r="AR408" s="62">
        <f ca="1"/>
        <v>0.49815583532294339</v>
      </c>
    </row>
    <row r="409" spans="25:44" x14ac:dyDescent="0.15">
      <c r="Y409" s="8">
        <f t="shared" si="30"/>
        <v>406</v>
      </c>
      <c r="Z409" s="61">
        <f t="shared" ca="1" si="28"/>
        <v>0.80786217470921451</v>
      </c>
      <c r="AA409" s="61">
        <f t="shared" ca="1" si="28"/>
        <v>-1.8465114771700317</v>
      </c>
      <c r="AB409" s="61">
        <f t="shared" ca="1" si="28"/>
        <v>-0.46363995123562657</v>
      </c>
      <c r="AC409" s="61">
        <f t="shared" ca="1" si="28"/>
        <v>0.80331373405727879</v>
      </c>
      <c r="AD409" s="37"/>
      <c r="AE409" s="62">
        <f t="array" aca="1" ref="AE409:AH409" ca="1">TRANSPOSE($B$9:$B$12 + MMULT($D$9:$G$12,TRANSPOSE(AO409:AR409)) + MMULT($N$9:$Q$12, TRANSPOSE(Z409:AC409)))</f>
        <v>0.39822903674752147</v>
      </c>
      <c r="AF409" s="62">
        <f ca="1"/>
        <v>0.37060528641079882</v>
      </c>
      <c r="AG409" s="62">
        <f ca="1"/>
        <v>-0.97590361031086426</v>
      </c>
      <c r="AH409" s="62">
        <f ca="1"/>
        <v>-7.761496719484301E-2</v>
      </c>
      <c r="AI409" s="37"/>
      <c r="AJ409" s="61">
        <f t="shared" ca="1" si="29"/>
        <v>-1.0889336923238433</v>
      </c>
      <c r="AK409" s="61">
        <f t="shared" ca="1" si="29"/>
        <v>1.5203794518474509</v>
      </c>
      <c r="AL409" s="61">
        <f t="shared" ca="1" si="29"/>
        <v>-0.96512345062326355</v>
      </c>
      <c r="AM409" s="61">
        <f t="shared" ca="1" si="29"/>
        <v>-2.0546646312767827</v>
      </c>
      <c r="AN409" s="37"/>
      <c r="AO409" s="62">
        <f t="array" aca="1" ref="AO409:AR409" ca="1">TRANSPOSE($B$17:$B$20 + MMULT($D$17:$G$20,TRANSPOSE(AO408:AR408)) + MMULT($N$17:$Q$20,TRANSPOSE(AJ409:AM409)))</f>
        <v>0.12635247976889924</v>
      </c>
      <c r="AP409" s="62">
        <f ca="1"/>
        <v>0.90102369774831859</v>
      </c>
      <c r="AQ409" s="62">
        <f ca="1"/>
        <v>-0.66104438275277622</v>
      </c>
      <c r="AR409" s="62">
        <f ca="1"/>
        <v>-0.63641873502336899</v>
      </c>
    </row>
    <row r="410" spans="25:44" x14ac:dyDescent="0.15">
      <c r="Y410" s="8">
        <f t="shared" si="30"/>
        <v>407</v>
      </c>
      <c r="Z410" s="61">
        <f t="shared" ca="1" si="28"/>
        <v>-0.38549248408881237</v>
      </c>
      <c r="AA410" s="61">
        <f t="shared" ca="1" si="28"/>
        <v>-2.5048064634126317</v>
      </c>
      <c r="AB410" s="61">
        <f t="shared" ca="1" si="28"/>
        <v>-1.3398879474941665</v>
      </c>
      <c r="AC410" s="61">
        <f t="shared" ca="1" si="28"/>
        <v>0.73606544830171639</v>
      </c>
      <c r="AD410" s="37"/>
      <c r="AE410" s="62">
        <f t="array" aca="1" ref="AE410:AH410" ca="1">TRANSPOSE($B$9:$B$12 + MMULT($D$9:$G$12,TRANSPOSE(AO410:AR410)) + MMULT($N$9:$Q$12, TRANSPOSE(Z410:AC410)))</f>
        <v>0.14953799782496796</v>
      </c>
      <c r="AF410" s="62">
        <f ca="1"/>
        <v>-1.3353845844634047</v>
      </c>
      <c r="AG410" s="62">
        <f ca="1"/>
        <v>-0.44838074731221156</v>
      </c>
      <c r="AH410" s="62">
        <f ca="1"/>
        <v>0.41492041082171094</v>
      </c>
      <c r="AI410" s="37"/>
      <c r="AJ410" s="61">
        <f t="shared" ca="1" si="29"/>
        <v>-1.0798925243008026</v>
      </c>
      <c r="AK410" s="61">
        <f t="shared" ca="1" si="29"/>
        <v>-1.0245300469685059</v>
      </c>
      <c r="AL410" s="61">
        <f t="shared" ca="1" si="29"/>
        <v>-4.8325867248638729E-2</v>
      </c>
      <c r="AM410" s="61">
        <f t="shared" ca="1" si="29"/>
        <v>-0.82899598589378987</v>
      </c>
      <c r="AN410" s="37"/>
      <c r="AO410" s="62">
        <f t="array" aca="1" ref="AO410:AR410" ca="1">TRANSPOSE($B$17:$B$20 + MMULT($D$17:$G$20,TRANSPOSE(AO409:AR409)) + MMULT($N$17:$Q$20,TRANSPOSE(AJ410:AM410)))</f>
        <v>-0.12038149543285392</v>
      </c>
      <c r="AP410" s="62">
        <f ca="1"/>
        <v>-0.25683539194307869</v>
      </c>
      <c r="AQ410" s="62">
        <f ca="1"/>
        <v>0.10774064122934712</v>
      </c>
      <c r="AR410" s="62">
        <f ca="1"/>
        <v>-0.17072326987472516</v>
      </c>
    </row>
    <row r="411" spans="25:44" x14ac:dyDescent="0.15">
      <c r="Y411" s="8">
        <f t="shared" si="30"/>
        <v>408</v>
      </c>
      <c r="Z411" s="61">
        <f t="shared" ca="1" si="28"/>
        <v>-1.1966963369988222</v>
      </c>
      <c r="AA411" s="61">
        <f t="shared" ca="1" si="28"/>
        <v>-1.5015873703136324</v>
      </c>
      <c r="AB411" s="61">
        <f t="shared" ca="1" si="28"/>
        <v>-0.28365012541140461</v>
      </c>
      <c r="AC411" s="61">
        <f t="shared" ca="1" si="28"/>
        <v>0.6121130983495594</v>
      </c>
      <c r="AD411" s="37"/>
      <c r="AE411" s="62">
        <f t="array" aca="1" ref="AE411:AH411" ca="1">TRANSPOSE($B$9:$B$12 + MMULT($D$9:$G$12,TRANSPOSE(AO411:AR411)) + MMULT($N$9:$Q$12, TRANSPOSE(Z411:AC411)))</f>
        <v>-0.19701564207753652</v>
      </c>
      <c r="AF411" s="62">
        <f ca="1"/>
        <v>-0.26682617055336799</v>
      </c>
      <c r="AG411" s="62">
        <f ca="1"/>
        <v>0.51347696294663847</v>
      </c>
      <c r="AH411" s="62">
        <f ca="1"/>
        <v>4.553882127547916E-2</v>
      </c>
      <c r="AI411" s="37"/>
      <c r="AJ411" s="61">
        <f t="shared" ca="1" si="29"/>
        <v>0.50367610809430763</v>
      </c>
      <c r="AK411" s="61">
        <f t="shared" ca="1" si="29"/>
        <v>0.8582040691235111</v>
      </c>
      <c r="AL411" s="61">
        <f t="shared" ca="1" si="29"/>
        <v>-0.62483961849916658</v>
      </c>
      <c r="AM411" s="61">
        <f t="shared" ca="1" si="29"/>
        <v>1.1571889500672343</v>
      </c>
      <c r="AN411" s="37"/>
      <c r="AO411" s="62">
        <f t="array" aca="1" ref="AO411:AR411" ca="1">TRANSPOSE($B$17:$B$20 + MMULT($D$17:$G$20,TRANSPOSE(AO410:AR410)) + MMULT($N$17:$Q$20,TRANSPOSE(AJ411:AM411)))</f>
        <v>0.40131445478229277</v>
      </c>
      <c r="AP411" s="62">
        <f ca="1"/>
        <v>0.29442998821627386</v>
      </c>
      <c r="AQ411" s="62">
        <f ca="1"/>
        <v>-0.27093306790061483</v>
      </c>
      <c r="AR411" s="62">
        <f ca="1"/>
        <v>0.23895000140856174</v>
      </c>
    </row>
    <row r="412" spans="25:44" x14ac:dyDescent="0.15">
      <c r="Y412" s="8">
        <f t="shared" si="30"/>
        <v>409</v>
      </c>
      <c r="Z412" s="61">
        <f t="shared" ca="1" si="28"/>
        <v>-1.8625353472207196</v>
      </c>
      <c r="AA412" s="61">
        <f t="shared" ca="1" si="28"/>
        <v>4.0723076093120963E-3</v>
      </c>
      <c r="AB412" s="61">
        <f t="shared" ca="1" si="28"/>
        <v>1.6462173699255109</v>
      </c>
      <c r="AC412" s="61">
        <f t="shared" ca="1" si="28"/>
        <v>-0.51908890156098253</v>
      </c>
      <c r="AD412" s="37"/>
      <c r="AE412" s="62">
        <f t="array" aca="1" ref="AE412:AH412" ca="1">TRANSPOSE($B$9:$B$12 + MMULT($D$9:$G$12,TRANSPOSE(AO412:AR412)) + MMULT($N$9:$Q$12, TRANSPOSE(Z412:AC412)))</f>
        <v>-0.66380737113996013</v>
      </c>
      <c r="AF412" s="62">
        <f ca="1"/>
        <v>5.9328276130515389E-2</v>
      </c>
      <c r="AG412" s="62">
        <f ca="1"/>
        <v>1.0133222105830366</v>
      </c>
      <c r="AH412" s="62">
        <f ca="1"/>
        <v>-1.0110557106178832</v>
      </c>
      <c r="AI412" s="37"/>
      <c r="AJ412" s="61">
        <f t="shared" ca="1" si="29"/>
        <v>-0.18746501114824385</v>
      </c>
      <c r="AK412" s="61">
        <f t="shared" ca="1" si="29"/>
        <v>-0.19856275472452742</v>
      </c>
      <c r="AL412" s="61">
        <f t="shared" ca="1" si="29"/>
        <v>-2.0961920698144292</v>
      </c>
      <c r="AM412" s="61">
        <f t="shared" ca="1" si="29"/>
        <v>-1.4396589200560574</v>
      </c>
      <c r="AN412" s="37"/>
      <c r="AO412" s="62">
        <f t="array" aca="1" ref="AO412:AR412" ca="1">TRANSPOSE($B$17:$B$20 + MMULT($D$17:$G$20,TRANSPOSE(AO411:AR411)) + MMULT($N$17:$Q$20,TRANSPOSE(AJ412:AM412)))</f>
        <v>0.30835316185468925</v>
      </c>
      <c r="AP412" s="62">
        <f ca="1"/>
        <v>0.19387834521324554</v>
      </c>
      <c r="AQ412" s="62">
        <f ca="1"/>
        <v>-0.73125004878149147</v>
      </c>
      <c r="AR412" s="62">
        <f ca="1"/>
        <v>-0.32564621941846977</v>
      </c>
    </row>
    <row r="413" spans="25:44" x14ac:dyDescent="0.15">
      <c r="Y413" s="8">
        <f t="shared" si="30"/>
        <v>410</v>
      </c>
      <c r="Z413" s="61">
        <f t="shared" ca="1" si="28"/>
        <v>1.8247168659673589</v>
      </c>
      <c r="AA413" s="61">
        <f t="shared" ca="1" si="28"/>
        <v>0.53668480247114225</v>
      </c>
      <c r="AB413" s="61">
        <f t="shared" ca="1" si="28"/>
        <v>1.1623197944508457</v>
      </c>
      <c r="AC413" s="61">
        <f t="shared" ca="1" si="28"/>
        <v>-1.334420388907088</v>
      </c>
      <c r="AD413" s="37"/>
      <c r="AE413" s="62">
        <f t="array" aca="1" ref="AE413:AH413" ca="1">TRANSPOSE($B$9:$B$12 + MMULT($D$9:$G$12,TRANSPOSE(AO413:AR413)) + MMULT($N$9:$Q$12, TRANSPOSE(Z413:AC413)))</f>
        <v>0.63729895404376213</v>
      </c>
      <c r="AF413" s="62">
        <f ca="1"/>
        <v>0.29061210940879356</v>
      </c>
      <c r="AG413" s="62">
        <f ca="1"/>
        <v>0.35627810369711255</v>
      </c>
      <c r="AH413" s="62">
        <f ca="1"/>
        <v>-0.41279045497132283</v>
      </c>
      <c r="AI413" s="37"/>
      <c r="AJ413" s="61">
        <f t="shared" ca="1" si="29"/>
        <v>-1.4042432124671618</v>
      </c>
      <c r="AK413" s="61">
        <f t="shared" ca="1" si="29"/>
        <v>-1.1401192133938662</v>
      </c>
      <c r="AL413" s="61">
        <f t="shared" ca="1" si="29"/>
        <v>-0.55197622951132819</v>
      </c>
      <c r="AM413" s="61">
        <f t="shared" ca="1" si="29"/>
        <v>0.32123757620680765</v>
      </c>
      <c r="AN413" s="37"/>
      <c r="AO413" s="62">
        <f t="array" aca="1" ref="AO413:AR413" ca="1">TRANSPOSE($B$17:$B$20 + MMULT($D$17:$G$20,TRANSPOSE(AO412:AR412)) + MMULT($N$17:$Q$20,TRANSPOSE(AJ413:AM413)))</f>
        <v>-0.22814801421567321</v>
      </c>
      <c r="AP413" s="62">
        <f ca="1"/>
        <v>-0.39202776979491671</v>
      </c>
      <c r="AQ413" s="62">
        <f ca="1"/>
        <v>-0.36758457959811514</v>
      </c>
      <c r="AR413" s="62">
        <f ca="1"/>
        <v>-2.8943292743663085E-3</v>
      </c>
    </row>
    <row r="414" spans="25:44" x14ac:dyDescent="0.15">
      <c r="Y414" s="8">
        <f t="shared" si="30"/>
        <v>411</v>
      </c>
      <c r="Z414" s="61">
        <f t="shared" ca="1" si="28"/>
        <v>-0.43194754654136946</v>
      </c>
      <c r="AA414" s="61">
        <f t="shared" ca="1" si="28"/>
        <v>-0.75156351890725592</v>
      </c>
      <c r="AB414" s="61">
        <f t="shared" ca="1" si="28"/>
        <v>-1.4105956499002084</v>
      </c>
      <c r="AC414" s="61">
        <f t="shared" ca="1" si="28"/>
        <v>1.3277696481861889</v>
      </c>
      <c r="AD414" s="37"/>
      <c r="AE414" s="62">
        <f t="array" aca="1" ref="AE414:AH414" ca="1">TRANSPOSE($B$9:$B$12 + MMULT($D$9:$G$12,TRANSPOSE(AO414:AR414)) + MMULT($N$9:$Q$12, TRANSPOSE(Z414:AC414)))</f>
        <v>-0.48275832187865342</v>
      </c>
      <c r="AF414" s="62">
        <f ca="1"/>
        <v>-7.6766769459116813E-2</v>
      </c>
      <c r="AG414" s="62">
        <f ca="1"/>
        <v>-0.32344244378268161</v>
      </c>
      <c r="AH414" s="62">
        <f ca="1"/>
        <v>-0.50121853329326282</v>
      </c>
      <c r="AI414" s="37"/>
      <c r="AJ414" s="61">
        <f t="shared" ca="1" si="29"/>
        <v>8.8456477486852883E-2</v>
      </c>
      <c r="AK414" s="61">
        <f t="shared" ca="1" si="29"/>
        <v>0.20689695267094063</v>
      </c>
      <c r="AL414" s="61">
        <f t="shared" ca="1" si="29"/>
        <v>-2.2435929142969879</v>
      </c>
      <c r="AM414" s="61">
        <f t="shared" ca="1" si="29"/>
        <v>0.41758980176336713</v>
      </c>
      <c r="AN414" s="37"/>
      <c r="AO414" s="62">
        <f t="array" aca="1" ref="AO414:AR414" ca="1">TRANSPOSE($B$17:$B$20 + MMULT($D$17:$G$20,TRANSPOSE(AO413:AR413)) + MMULT($N$17:$Q$20,TRANSPOSE(AJ414:AM414)))</f>
        <v>0.16142543246035479</v>
      </c>
      <c r="AP414" s="62">
        <f ca="1"/>
        <v>-6.5966922484192017E-2</v>
      </c>
      <c r="AQ414" s="62">
        <f ca="1"/>
        <v>-1.1604864176491005</v>
      </c>
      <c r="AR414" s="62">
        <f ca="1"/>
        <v>-0.17737725643529029</v>
      </c>
    </row>
    <row r="415" spans="25:44" x14ac:dyDescent="0.15">
      <c r="Y415" s="8">
        <f t="shared" si="30"/>
        <v>412</v>
      </c>
      <c r="Z415" s="61">
        <f t="shared" ca="1" si="28"/>
        <v>1.1372258512704772</v>
      </c>
      <c r="AA415" s="61">
        <f t="shared" ca="1" si="28"/>
        <v>-0.86638829770746495</v>
      </c>
      <c r="AB415" s="61">
        <f t="shared" ca="1" si="28"/>
        <v>0.563377924976463</v>
      </c>
      <c r="AC415" s="61">
        <f t="shared" ca="1" si="28"/>
        <v>-0.35088969816032212</v>
      </c>
      <c r="AD415" s="37"/>
      <c r="AE415" s="62">
        <f t="array" aca="1" ref="AE415:AH415" ca="1">TRANSPOSE($B$9:$B$12 + MMULT($D$9:$G$12,TRANSPOSE(AO415:AR415)) + MMULT($N$9:$Q$12, TRANSPOSE(Z415:AC415)))</f>
        <v>-9.6594456149829422E-3</v>
      </c>
      <c r="AF415" s="62">
        <f ca="1"/>
        <v>0.23414503638135442</v>
      </c>
      <c r="AG415" s="62">
        <f ca="1"/>
        <v>-0.92716578645929815</v>
      </c>
      <c r="AH415" s="62">
        <f ca="1"/>
        <v>-0.65790613243504814</v>
      </c>
      <c r="AI415" s="37"/>
      <c r="AJ415" s="61">
        <f t="shared" ca="1" si="29"/>
        <v>-1.8373632142845653</v>
      </c>
      <c r="AK415" s="61">
        <f t="shared" ca="1" si="29"/>
        <v>1.2084117532502123</v>
      </c>
      <c r="AL415" s="61">
        <f t="shared" ca="1" si="29"/>
        <v>-0.72941831543233648</v>
      </c>
      <c r="AM415" s="61">
        <f t="shared" ca="1" si="29"/>
        <v>-0.95619580917567748</v>
      </c>
      <c r="AN415" s="37"/>
      <c r="AO415" s="62">
        <f t="array" aca="1" ref="AO415:AR415" ca="1">TRANSPOSE($B$17:$B$20 + MMULT($D$17:$G$20,TRANSPOSE(AO414:AR414)) + MMULT($N$17:$Q$20,TRANSPOSE(AJ415:AM415)))</f>
        <v>-0.48736769813151148</v>
      </c>
      <c r="AP415" s="62">
        <f ca="1"/>
        <v>0.46581277917814118</v>
      </c>
      <c r="AQ415" s="62">
        <f ca="1"/>
        <v>-1.0073687115700425</v>
      </c>
      <c r="AR415" s="62">
        <f ca="1"/>
        <v>-0.96359309998281528</v>
      </c>
    </row>
    <row r="416" spans="25:44" x14ac:dyDescent="0.15">
      <c r="Y416" s="8">
        <f t="shared" si="30"/>
        <v>413</v>
      </c>
      <c r="Z416" s="61">
        <f t="shared" ca="1" si="28"/>
        <v>-0.79245809217102636</v>
      </c>
      <c r="AA416" s="61">
        <f t="shared" ca="1" si="28"/>
        <v>0.83132733732101338</v>
      </c>
      <c r="AB416" s="61">
        <f t="shared" ca="1" si="28"/>
        <v>0.11324182128764838</v>
      </c>
      <c r="AC416" s="61">
        <f t="shared" ca="1" si="28"/>
        <v>0.21045257938121056</v>
      </c>
      <c r="AD416" s="37"/>
      <c r="AE416" s="62">
        <f t="array" aca="1" ref="AE416:AH416" ca="1">TRANSPOSE($B$9:$B$12 + MMULT($D$9:$G$12,TRANSPOSE(AO416:AR416)) + MMULT($N$9:$Q$12, TRANSPOSE(Z416:AC416)))</f>
        <v>-0.92832261720822529</v>
      </c>
      <c r="AF416" s="62">
        <f ca="1"/>
        <v>0.48960665074069382</v>
      </c>
      <c r="AG416" s="62">
        <f ca="1"/>
        <v>-0.64209393455642161</v>
      </c>
      <c r="AH416" s="62">
        <f ca="1"/>
        <v>-0.94340701742471611</v>
      </c>
      <c r="AI416" s="37"/>
      <c r="AJ416" s="61">
        <f t="shared" ca="1" si="29"/>
        <v>-1.2341197008658469</v>
      </c>
      <c r="AK416" s="61">
        <f t="shared" ca="1" si="29"/>
        <v>1.3850515301919961</v>
      </c>
      <c r="AL416" s="61">
        <f t="shared" ca="1" si="29"/>
        <v>-1.6657942798472223</v>
      </c>
      <c r="AM416" s="61">
        <f t="shared" ca="1" si="29"/>
        <v>-7.9405465117952684E-2</v>
      </c>
      <c r="AN416" s="37"/>
      <c r="AO416" s="62">
        <f t="array" aca="1" ref="AO416:AR416" ca="1">TRANSPOSE($B$17:$B$20 + MMULT($D$17:$G$20,TRANSPOSE(AO415:AR415)) + MMULT($N$17:$Q$20,TRANSPOSE(AJ416:AM416)))</f>
        <v>-0.43101944467644038</v>
      </c>
      <c r="AP416" s="62">
        <f ca="1"/>
        <v>0.36271234059195201</v>
      </c>
      <c r="AQ416" s="62">
        <f ca="1"/>
        <v>-1.2664661346885657</v>
      </c>
      <c r="AR416" s="62">
        <f ca="1"/>
        <v>-0.93845919767387476</v>
      </c>
    </row>
    <row r="417" spans="25:44" x14ac:dyDescent="0.15">
      <c r="Y417" s="8">
        <f t="shared" si="30"/>
        <v>414</v>
      </c>
      <c r="Z417" s="61">
        <f t="shared" ca="1" si="28"/>
        <v>0.60055462930999437</v>
      </c>
      <c r="AA417" s="61">
        <f t="shared" ca="1" si="28"/>
        <v>-0.17726020855665564</v>
      </c>
      <c r="AB417" s="61">
        <f t="shared" ca="1" si="28"/>
        <v>-1.0595684160667669</v>
      </c>
      <c r="AC417" s="61">
        <f t="shared" ca="1" si="28"/>
        <v>-0.1631163364085296</v>
      </c>
      <c r="AD417" s="37"/>
      <c r="AE417" s="62">
        <f t="array" aca="1" ref="AE417:AH417" ca="1">TRANSPOSE($B$9:$B$12 + MMULT($D$9:$G$12,TRANSPOSE(AO417:AR417)) + MMULT($N$9:$Q$12, TRANSPOSE(Z417:AC417)))</f>
        <v>0.96793847475589745</v>
      </c>
      <c r="AF417" s="62">
        <f ca="1"/>
        <v>8.3113297560457988E-2</v>
      </c>
      <c r="AG417" s="62">
        <f ca="1"/>
        <v>-0.92351012426639256</v>
      </c>
      <c r="AH417" s="62">
        <f ca="1"/>
        <v>7.6668460084097112E-2</v>
      </c>
      <c r="AI417" s="37"/>
      <c r="AJ417" s="61">
        <f t="shared" ca="1" si="29"/>
        <v>0.71619283197847639</v>
      </c>
      <c r="AK417" s="61">
        <f t="shared" ca="1" si="29"/>
        <v>0.7851485464338489</v>
      </c>
      <c r="AL417" s="61">
        <f t="shared" ca="1" si="29"/>
        <v>0.98283410885013156</v>
      </c>
      <c r="AM417" s="61">
        <f t="shared" ca="1" si="29"/>
        <v>-0.85824339486350398</v>
      </c>
      <c r="AN417" s="37"/>
      <c r="AO417" s="62">
        <f t="array" aca="1" ref="AO417:AR417" ca="1">TRANSPOSE($B$17:$B$20 + MMULT($D$17:$G$20,TRANSPOSE(AO416:AR416)) + MMULT($N$17:$Q$20,TRANSPOSE(AJ417:AM417)))</f>
        <v>0.19551572447071572</v>
      </c>
      <c r="AP417" s="62">
        <f ca="1"/>
        <v>0.11114073721618359</v>
      </c>
      <c r="AQ417" s="62">
        <f ca="1"/>
        <v>0.23573212125380222</v>
      </c>
      <c r="AR417" s="62">
        <f ca="1"/>
        <v>-0.61219108693296242</v>
      </c>
    </row>
    <row r="418" spans="25:44" x14ac:dyDescent="0.15">
      <c r="Y418" s="8">
        <f t="shared" si="30"/>
        <v>415</v>
      </c>
      <c r="Z418" s="61">
        <f t="shared" ca="1" si="28"/>
        <v>-0.49617624014994777</v>
      </c>
      <c r="AA418" s="61">
        <f t="shared" ca="1" si="28"/>
        <v>-0.44367930993406379</v>
      </c>
      <c r="AB418" s="61">
        <f t="shared" ca="1" si="28"/>
        <v>-6.8661425367995965E-2</v>
      </c>
      <c r="AC418" s="61">
        <f t="shared" ca="1" si="28"/>
        <v>-1.6573568185505332</v>
      </c>
      <c r="AD418" s="37"/>
      <c r="AE418" s="62">
        <f t="array" aca="1" ref="AE418:AH418" ca="1">TRANSPOSE($B$9:$B$12 + MMULT($D$9:$G$12,TRANSPOSE(AO418:AR418)) + MMULT($N$9:$Q$12, TRANSPOSE(Z418:AC418)))</f>
        <v>0.39980886942282334</v>
      </c>
      <c r="AF418" s="62">
        <f ca="1"/>
        <v>-0.26237395535317598</v>
      </c>
      <c r="AG418" s="62">
        <f ca="1"/>
        <v>0.98188928990457136</v>
      </c>
      <c r="AH418" s="62">
        <f ca="1"/>
        <v>-0.41178952570690025</v>
      </c>
      <c r="AI418" s="37"/>
      <c r="AJ418" s="61">
        <f t="shared" ca="1" si="29"/>
        <v>0.80195413235742796</v>
      </c>
      <c r="AK418" s="61">
        <f t="shared" ca="1" si="29"/>
        <v>-1.1176845595006559</v>
      </c>
      <c r="AL418" s="61">
        <f t="shared" ca="1" si="29"/>
        <v>-0.96282260855354018</v>
      </c>
      <c r="AM418" s="61">
        <f t="shared" ca="1" si="29"/>
        <v>0.66244480108381232</v>
      </c>
      <c r="AN418" s="37"/>
      <c r="AO418" s="62">
        <f t="array" aca="1" ref="AO418:AR418" ca="1">TRANSPOSE($B$17:$B$20 + MMULT($D$17:$G$20,TRANSPOSE(AO417:AR417)) + MMULT($N$17:$Q$20,TRANSPOSE(AJ418:AM418)))</f>
        <v>0.60827172726961076</v>
      </c>
      <c r="AP418" s="62">
        <f ca="1"/>
        <v>-0.38799851932474405</v>
      </c>
      <c r="AQ418" s="62">
        <f ca="1"/>
        <v>3.4869205343269316E-2</v>
      </c>
      <c r="AR418" s="62">
        <f ca="1"/>
        <v>0.48376961324435458</v>
      </c>
    </row>
    <row r="419" spans="25:44" x14ac:dyDescent="0.15">
      <c r="Y419" s="8">
        <f t="shared" si="30"/>
        <v>416</v>
      </c>
      <c r="Z419" s="61">
        <f t="shared" ca="1" si="28"/>
        <v>-0.18164850591666762</v>
      </c>
      <c r="AA419" s="61">
        <f t="shared" ca="1" si="28"/>
        <v>1.5394453142755096</v>
      </c>
      <c r="AB419" s="61">
        <f t="shared" ca="1" si="28"/>
        <v>1.0439384119621793</v>
      </c>
      <c r="AC419" s="61">
        <f t="shared" ca="1" si="28"/>
        <v>0.56348597735153172</v>
      </c>
      <c r="AD419" s="37"/>
      <c r="AE419" s="62">
        <f t="array" aca="1" ref="AE419:AH419" ca="1">TRANSPOSE($B$9:$B$12 + MMULT($D$9:$G$12,TRANSPOSE(AO419:AR419)) + MMULT($N$9:$Q$12, TRANSPOSE(Z419:AC419)))</f>
        <v>0.36736744915634395</v>
      </c>
      <c r="AF419" s="62">
        <f ca="1"/>
        <v>1.0232917198690266</v>
      </c>
      <c r="AG419" s="62">
        <f ca="1"/>
        <v>1.0924311789465087</v>
      </c>
      <c r="AH419" s="62">
        <f ca="1"/>
        <v>0.468471865452179</v>
      </c>
      <c r="AI419" s="37"/>
      <c r="AJ419" s="61">
        <f t="shared" ca="1" si="29"/>
        <v>-0.36428561801136478</v>
      </c>
      <c r="AK419" s="61">
        <f t="shared" ca="1" si="29"/>
        <v>0.15737472216563586</v>
      </c>
      <c r="AL419" s="61">
        <f t="shared" ca="1" si="29"/>
        <v>0.46480795626850646</v>
      </c>
      <c r="AM419" s="61">
        <f t="shared" ca="1" si="29"/>
        <v>1.3270329215736818</v>
      </c>
      <c r="AN419" s="37"/>
      <c r="AO419" s="62">
        <f t="array" aca="1" ref="AO419:AR419" ca="1">TRANSPOSE($B$17:$B$20 + MMULT($D$17:$G$20,TRANSPOSE(AO418:AR418)) + MMULT($N$17:$Q$20,TRANSPOSE(AJ419:AM419)))</f>
        <v>0.31103141111608945</v>
      </c>
      <c r="AP419" s="62">
        <f ca="1"/>
        <v>0.29125380297052939</v>
      </c>
      <c r="AQ419" s="62">
        <f ca="1"/>
        <v>0.22702347311836818</v>
      </c>
      <c r="AR419" s="62">
        <f ca="1"/>
        <v>0.60729210874312944</v>
      </c>
    </row>
    <row r="420" spans="25:44" x14ac:dyDescent="0.15">
      <c r="Y420" s="8">
        <f t="shared" si="30"/>
        <v>417</v>
      </c>
      <c r="Z420" s="61">
        <f t="shared" ca="1" si="28"/>
        <v>0.85289755888468743</v>
      </c>
      <c r="AA420" s="61">
        <f t="shared" ca="1" si="28"/>
        <v>-0.5580229842149379</v>
      </c>
      <c r="AB420" s="61">
        <f t="shared" ca="1" si="28"/>
        <v>0.34364909894119294</v>
      </c>
      <c r="AC420" s="61">
        <f t="shared" ca="1" si="28"/>
        <v>-0.13142333660577854</v>
      </c>
      <c r="AD420" s="37"/>
      <c r="AE420" s="62">
        <f t="array" aca="1" ref="AE420:AH420" ca="1">TRANSPOSE($B$9:$B$12 + MMULT($D$9:$G$12,TRANSPOSE(AO420:AR420)) + MMULT($N$9:$Q$12, TRANSPOSE(Z420:AC420)))</f>
        <v>1.097086753063846</v>
      </c>
      <c r="AF420" s="62">
        <f ca="1"/>
        <v>0.27395378752394206</v>
      </c>
      <c r="AG420" s="62">
        <f ca="1"/>
        <v>0.10755850103203002</v>
      </c>
      <c r="AH420" s="62">
        <f ca="1"/>
        <v>0.93599556552916408</v>
      </c>
      <c r="AI420" s="37"/>
      <c r="AJ420" s="61">
        <f t="shared" ca="1" si="29"/>
        <v>-1.0283104994732923</v>
      </c>
      <c r="AK420" s="61">
        <f t="shared" ca="1" si="29"/>
        <v>0.30446822376702909</v>
      </c>
      <c r="AL420" s="61">
        <f t="shared" ca="1" si="29"/>
        <v>1.5290360583396192</v>
      </c>
      <c r="AM420" s="61">
        <f t="shared" ca="1" si="29"/>
        <v>-1.0565811494937507</v>
      </c>
      <c r="AN420" s="37"/>
      <c r="AO420" s="62">
        <f t="array" aca="1" ref="AO420:AR420" ca="1">TRANSPOSE($B$17:$B$20 + MMULT($D$17:$G$20,TRANSPOSE(AO419:AR419)) + MMULT($N$17:$Q$20,TRANSPOSE(AJ420:AM420)))</f>
        <v>9.3115686834436218E-2</v>
      </c>
      <c r="AP420" s="62">
        <f ca="1"/>
        <v>0.45453884940648215</v>
      </c>
      <c r="AQ420" s="62">
        <f ca="1"/>
        <v>0.80443297176285111</v>
      </c>
      <c r="AR420" s="62">
        <f ca="1"/>
        <v>0.24809750889173088</v>
      </c>
    </row>
    <row r="421" spans="25:44" x14ac:dyDescent="0.15">
      <c r="Y421" s="8">
        <f t="shared" si="30"/>
        <v>418</v>
      </c>
      <c r="Z421" s="61">
        <f t="shared" ca="1" si="28"/>
        <v>-1.0314123694193977</v>
      </c>
      <c r="AA421" s="61">
        <f t="shared" ca="1" si="28"/>
        <v>-1.8394518932164399</v>
      </c>
      <c r="AB421" s="61">
        <f t="shared" ca="1" si="28"/>
        <v>0.57297476584908613</v>
      </c>
      <c r="AC421" s="61">
        <f t="shared" ca="1" si="28"/>
        <v>-0.85286582761887708</v>
      </c>
      <c r="AD421" s="37"/>
      <c r="AE421" s="62">
        <f t="array" aca="1" ref="AE421:AH421" ca="1">TRANSPOSE($B$9:$B$12 + MMULT($D$9:$G$12,TRANSPOSE(AO421:AR421)) + MMULT($N$9:$Q$12, TRANSPOSE(Z421:AC421)))</f>
        <v>-0.26583717506042426</v>
      </c>
      <c r="AF421" s="62">
        <f ca="1"/>
        <v>-0.21957625376229173</v>
      </c>
      <c r="AG421" s="62">
        <f ca="1"/>
        <v>1.2626113407224264</v>
      </c>
      <c r="AH421" s="62">
        <f ca="1"/>
        <v>-9.9470513526800725E-2</v>
      </c>
      <c r="AI421" s="37"/>
      <c r="AJ421" s="61">
        <f t="shared" ca="1" si="29"/>
        <v>-0.1078764582394518</v>
      </c>
      <c r="AK421" s="61">
        <f t="shared" ca="1" si="29"/>
        <v>8.1812504700333716E-2</v>
      </c>
      <c r="AL421" s="61">
        <f t="shared" ca="1" si="29"/>
        <v>-1.6947602992985984</v>
      </c>
      <c r="AM421" s="61">
        <f t="shared" ca="1" si="29"/>
        <v>1.5196639579529887</v>
      </c>
      <c r="AN421" s="37"/>
      <c r="AO421" s="62">
        <f t="array" aca="1" ref="AO421:AR421" ca="1">TRANSPOSE($B$17:$B$20 + MMULT($D$17:$G$20,TRANSPOSE(AO420:AR420)) + MMULT($N$17:$Q$20,TRANSPOSE(AJ421:AM421)))</f>
        <v>0.42581939601724345</v>
      </c>
      <c r="AP421" s="62">
        <f ca="1"/>
        <v>0.32964023522084335</v>
      </c>
      <c r="AQ421" s="62">
        <f ca="1"/>
        <v>-0.28181622523601785</v>
      </c>
      <c r="AR421" s="62">
        <f ca="1"/>
        <v>0.75028790611784935</v>
      </c>
    </row>
    <row r="422" spans="25:44" x14ac:dyDescent="0.15">
      <c r="Y422" s="8">
        <f t="shared" si="30"/>
        <v>419</v>
      </c>
      <c r="Z422" s="61">
        <f t="shared" ca="1" si="28"/>
        <v>0.50363823137808694</v>
      </c>
      <c r="AA422" s="61">
        <f t="shared" ca="1" si="28"/>
        <v>-0.11444039597830151</v>
      </c>
      <c r="AB422" s="61">
        <f t="shared" ca="1" si="28"/>
        <v>-0.41440150538649245</v>
      </c>
      <c r="AC422" s="61">
        <f t="shared" ca="1" si="28"/>
        <v>0.16397562161316867</v>
      </c>
      <c r="AD422" s="37"/>
      <c r="AE422" s="62">
        <f t="array" aca="1" ref="AE422:AH422" ca="1">TRANSPOSE($B$9:$B$12 + MMULT($D$9:$G$12,TRANSPOSE(AO422:AR422)) + MMULT($N$9:$Q$12, TRANSPOSE(Z422:AC422)))</f>
        <v>0.97547467489082929</v>
      </c>
      <c r="AF422" s="62">
        <f ca="1"/>
        <v>0.42853722945579475</v>
      </c>
      <c r="AG422" s="62">
        <f ca="1"/>
        <v>0.58980556426905706</v>
      </c>
      <c r="AH422" s="62">
        <f ca="1"/>
        <v>0.48840569602955713</v>
      </c>
      <c r="AI422" s="37"/>
      <c r="AJ422" s="61">
        <f t="shared" ca="1" si="29"/>
        <v>0.73063500354100386</v>
      </c>
      <c r="AK422" s="61">
        <f t="shared" ca="1" si="29"/>
        <v>-0.75520703432362213</v>
      </c>
      <c r="AL422" s="61">
        <f t="shared" ca="1" si="29"/>
        <v>-0.27475211131854299</v>
      </c>
      <c r="AM422" s="61">
        <f t="shared" ca="1" si="29"/>
        <v>0.35891020509998189</v>
      </c>
      <c r="AN422" s="37"/>
      <c r="AO422" s="62">
        <f t="array" aca="1" ref="AO422:AR422" ca="1">TRANSPOSE($B$17:$B$20 + MMULT($D$17:$G$20,TRANSPOSE(AO421:AR421)) + MMULT($N$17:$Q$20,TRANSPOSE(AJ422:AM422)))</f>
        <v>0.64939249776343666</v>
      </c>
      <c r="AP422" s="62">
        <f ca="1"/>
        <v>6.3074737325576835E-2</v>
      </c>
      <c r="AQ422" s="62">
        <f ca="1"/>
        <v>0.35472700611529545</v>
      </c>
      <c r="AR422" s="62">
        <f ca="1"/>
        <v>0.63797274225247547</v>
      </c>
    </row>
    <row r="423" spans="25:44" x14ac:dyDescent="0.15">
      <c r="Y423" s="8">
        <f t="shared" si="30"/>
        <v>420</v>
      </c>
      <c r="Z423" s="61">
        <f t="shared" ca="1" si="28"/>
        <v>-1.0404701008314439</v>
      </c>
      <c r="AA423" s="61">
        <f t="shared" ca="1" si="28"/>
        <v>2.162007465977918</v>
      </c>
      <c r="AB423" s="61">
        <f t="shared" ca="1" si="28"/>
        <v>-1.0041803581146547</v>
      </c>
      <c r="AC423" s="61">
        <f t="shared" ca="1" si="28"/>
        <v>0.57187421570497554</v>
      </c>
      <c r="AD423" s="37"/>
      <c r="AE423" s="62">
        <f t="array" aca="1" ref="AE423:AH423" ca="1">TRANSPOSE($B$9:$B$12 + MMULT($D$9:$G$12,TRANSPOSE(AO423:AR423)) + MMULT($N$9:$Q$12, TRANSPOSE(Z423:AC423)))</f>
        <v>0.23216021198903791</v>
      </c>
      <c r="AF423" s="62">
        <f ca="1"/>
        <v>0.97660554042127667</v>
      </c>
      <c r="AG423" s="62">
        <f ca="1"/>
        <v>1.0033091133375194</v>
      </c>
      <c r="AH423" s="62">
        <f ca="1"/>
        <v>1.2467378989625373</v>
      </c>
      <c r="AI423" s="37"/>
      <c r="AJ423" s="61">
        <f t="shared" ca="1" si="29"/>
        <v>-0.56494086230901552</v>
      </c>
      <c r="AK423" s="61">
        <f t="shared" ca="1" si="29"/>
        <v>-0.53711075001687469</v>
      </c>
      <c r="AL423" s="61">
        <f t="shared" ca="1" si="29"/>
        <v>1.1933839960177859</v>
      </c>
      <c r="AM423" s="61">
        <f t="shared" ca="1" si="29"/>
        <v>2.6312341342768431</v>
      </c>
      <c r="AN423" s="37"/>
      <c r="AO423" s="62">
        <f t="array" aca="1" ref="AO423:AR423" ca="1">TRANSPOSE($B$17:$B$20 + MMULT($D$17:$G$20,TRANSPOSE(AO422:AR422)) + MMULT($N$17:$Q$20,TRANSPOSE(AJ423:AM423)))</f>
        <v>0.34147691443985762</v>
      </c>
      <c r="AP423" s="62">
        <f ca="1"/>
        <v>0.17372007374585782</v>
      </c>
      <c r="AQ423" s="62">
        <f ca="1"/>
        <v>0.8461593466983528</v>
      </c>
      <c r="AR423" s="62">
        <f ca="1"/>
        <v>1.3254738866997071</v>
      </c>
    </row>
    <row r="424" spans="25:44" x14ac:dyDescent="0.15">
      <c r="Y424" s="8">
        <f t="shared" si="30"/>
        <v>421</v>
      </c>
      <c r="Z424" s="61">
        <f t="shared" ca="1" si="28"/>
        <v>-0.22586911858975359</v>
      </c>
      <c r="AA424" s="61">
        <f t="shared" ca="1" si="28"/>
        <v>0.41214316016649083</v>
      </c>
      <c r="AB424" s="61">
        <f t="shared" ca="1" si="28"/>
        <v>-1.6326002858943454</v>
      </c>
      <c r="AC424" s="61">
        <f t="shared" ca="1" si="28"/>
        <v>-5.570072056439427E-2</v>
      </c>
      <c r="AD424" s="37"/>
      <c r="AE424" s="62">
        <f t="array" aca="1" ref="AE424:AH424" ca="1">TRANSPOSE($B$9:$B$12 + MMULT($D$9:$G$12,TRANSPOSE(AO424:AR424)) + MMULT($N$9:$Q$12, TRANSPOSE(Z424:AC424)))</f>
        <v>0.47044581679861508</v>
      </c>
      <c r="AF424" s="62">
        <f ca="1"/>
        <v>0.71329233008272896</v>
      </c>
      <c r="AG424" s="62">
        <f ca="1"/>
        <v>-0.98187680803133626</v>
      </c>
      <c r="AH424" s="62">
        <f ca="1"/>
        <v>0.54690193402562282</v>
      </c>
      <c r="AI424" s="37"/>
      <c r="AJ424" s="61">
        <f t="shared" ca="1" si="29"/>
        <v>-1.4264341418364392</v>
      </c>
      <c r="AK424" s="61">
        <f t="shared" ca="1" si="29"/>
        <v>0.73333714570789676</v>
      </c>
      <c r="AL424" s="61">
        <f t="shared" ca="1" si="29"/>
        <v>0.34664885187773997</v>
      </c>
      <c r="AM424" s="61">
        <f t="shared" ca="1" si="29"/>
        <v>-3.5952591427458085</v>
      </c>
      <c r="AN424" s="37"/>
      <c r="AO424" s="62">
        <f t="array" aca="1" ref="AO424:AR424" ca="1">TRANSPOSE($B$17:$B$20 + MMULT($D$17:$G$20,TRANSPOSE(AO423:AR423)) + MMULT($N$17:$Q$20,TRANSPOSE(AJ424:AM424)))</f>
        <v>8.5074522139102826E-2</v>
      </c>
      <c r="AP424" s="62">
        <f ca="1"/>
        <v>0.76069336573049195</v>
      </c>
      <c r="AQ424" s="62">
        <f ca="1"/>
        <v>0.33780293294091107</v>
      </c>
      <c r="AR424" s="62">
        <f ca="1"/>
        <v>-0.22714671963040356</v>
      </c>
    </row>
    <row r="425" spans="25:44" x14ac:dyDescent="0.15">
      <c r="Y425" s="8">
        <f t="shared" si="30"/>
        <v>422</v>
      </c>
      <c r="Z425" s="61">
        <f t="shared" ca="1" si="28"/>
        <v>-1.6127402160486803</v>
      </c>
      <c r="AA425" s="61">
        <f t="shared" ca="1" si="28"/>
        <v>-1.1303541784441626</v>
      </c>
      <c r="AB425" s="61">
        <f t="shared" ca="1" si="28"/>
        <v>-0.78988382534477075</v>
      </c>
      <c r="AC425" s="61">
        <f t="shared" ca="1" si="28"/>
        <v>1.882847975168625E-2</v>
      </c>
      <c r="AD425" s="37"/>
      <c r="AE425" s="62">
        <f t="array" aca="1" ref="AE425:AH425" ca="1">TRANSPOSE($B$9:$B$12 + MMULT($D$9:$G$12,TRANSPOSE(AO425:AR425)) + MMULT($N$9:$Q$12, TRANSPOSE(Z425:AC425)))</f>
        <v>0.27560586968146128</v>
      </c>
      <c r="AF425" s="62">
        <f ca="1"/>
        <v>-0.7118876924862102</v>
      </c>
      <c r="AG425" s="62">
        <f ca="1"/>
        <v>0.66040706317451869</v>
      </c>
      <c r="AH425" s="62">
        <f ca="1"/>
        <v>0.55684651085756998</v>
      </c>
      <c r="AI425" s="37"/>
      <c r="AJ425" s="61">
        <f t="shared" ca="1" si="29"/>
        <v>0.31108709522655215</v>
      </c>
      <c r="AK425" s="61">
        <f t="shared" ca="1" si="29"/>
        <v>-0.85292869881828082</v>
      </c>
      <c r="AL425" s="61">
        <f t="shared" ca="1" si="29"/>
        <v>0.24231711825319202</v>
      </c>
      <c r="AM425" s="61">
        <f t="shared" ca="1" si="29"/>
        <v>-0.513841313719131</v>
      </c>
      <c r="AN425" s="37"/>
      <c r="AO425" s="62">
        <f t="array" aca="1" ref="AO425:AR425" ca="1">TRANSPOSE($B$17:$B$20 + MMULT($D$17:$G$20,TRANSPOSE(AO424:AR424)) + MMULT($N$17:$Q$20,TRANSPOSE(AJ425:AM425)))</f>
        <v>0.49461442922695381</v>
      </c>
      <c r="AP425" s="62">
        <f ca="1"/>
        <v>-8.5615094065041308E-2</v>
      </c>
      <c r="AQ425" s="62">
        <f ca="1"/>
        <v>0.70525029636828585</v>
      </c>
      <c r="AR425" s="62">
        <f ca="1"/>
        <v>0.46491345224960001</v>
      </c>
    </row>
    <row r="426" spans="25:44" x14ac:dyDescent="0.15">
      <c r="Y426" s="8">
        <f t="shared" si="30"/>
        <v>423</v>
      </c>
      <c r="Z426" s="61">
        <f t="shared" ca="1" si="28"/>
        <v>-0.10681257575328928</v>
      </c>
      <c r="AA426" s="61">
        <f t="shared" ca="1" si="28"/>
        <v>-2.0188884594754111</v>
      </c>
      <c r="AB426" s="61">
        <f t="shared" ca="1" si="28"/>
        <v>0.94997591651346147</v>
      </c>
      <c r="AC426" s="61">
        <f t="shared" ca="1" si="28"/>
        <v>0.70941188254244025</v>
      </c>
      <c r="AD426" s="37"/>
      <c r="AE426" s="62">
        <f t="array" aca="1" ref="AE426:AH426" ca="1">TRANSPOSE($B$9:$B$12 + MMULT($D$9:$G$12,TRANSPOSE(AO426:AR426)) + MMULT($N$9:$Q$12, TRANSPOSE(Z426:AC426)))</f>
        <v>1.1569661891238345</v>
      </c>
      <c r="AF426" s="62">
        <f ca="1"/>
        <v>-0.46080805243648554</v>
      </c>
      <c r="AG426" s="62">
        <f ca="1"/>
        <v>1.3817697824736794</v>
      </c>
      <c r="AH426" s="62">
        <f ca="1"/>
        <v>0.59930870586547269</v>
      </c>
      <c r="AI426" s="37"/>
      <c r="AJ426" s="61">
        <f t="shared" ca="1" si="29"/>
        <v>1.2632560677124998</v>
      </c>
      <c r="AK426" s="61">
        <f t="shared" ca="1" si="29"/>
        <v>-0.78331090391757507</v>
      </c>
      <c r="AL426" s="61">
        <f t="shared" ca="1" si="29"/>
        <v>1.391770163138879E-2</v>
      </c>
      <c r="AM426" s="61">
        <f t="shared" ca="1" si="29"/>
        <v>-0.88435710924557775</v>
      </c>
      <c r="AN426" s="37"/>
      <c r="AO426" s="62">
        <f t="array" aca="1" ref="AO426:AR426" ca="1">TRANSPOSE($B$17:$B$20 + MMULT($D$17:$G$20,TRANSPOSE(AO425:AR425)) + MMULT($N$17:$Q$20,TRANSPOSE(AJ426:AM426)))</f>
        <v>0.94917555651561314</v>
      </c>
      <c r="AP426" s="62">
        <f ca="1"/>
        <v>1.094982292204838E-3</v>
      </c>
      <c r="AQ426" s="62">
        <f ca="1"/>
        <v>0.68989505771106396</v>
      </c>
      <c r="AR426" s="62">
        <f ca="1"/>
        <v>0.63346069365289093</v>
      </c>
    </row>
    <row r="427" spans="25:44" x14ac:dyDescent="0.15">
      <c r="Y427" s="8">
        <f t="shared" si="30"/>
        <v>424</v>
      </c>
      <c r="Z427" s="61">
        <f t="shared" ca="1" si="28"/>
        <v>0.2113750652561002</v>
      </c>
      <c r="AA427" s="61">
        <f t="shared" ca="1" si="28"/>
        <v>-0.38308048192081395</v>
      </c>
      <c r="AB427" s="61">
        <f t="shared" ca="1" si="28"/>
        <v>-0.18929588077820839</v>
      </c>
      <c r="AC427" s="61">
        <f t="shared" ca="1" si="28"/>
        <v>-0.11812015431382729</v>
      </c>
      <c r="AD427" s="37"/>
      <c r="AE427" s="62">
        <f t="array" aca="1" ref="AE427:AH427" ca="1">TRANSPOSE($B$9:$B$12 + MMULT($D$9:$G$12,TRANSPOSE(AO427:AR427)) + MMULT($N$9:$Q$12, TRANSPOSE(Z427:AC427)))</f>
        <v>1.0880967958311898</v>
      </c>
      <c r="AF427" s="62">
        <f ca="1"/>
        <v>0.82221615177889396</v>
      </c>
      <c r="AG427" s="62">
        <f ca="1"/>
        <v>0.44475643779257767</v>
      </c>
      <c r="AH427" s="62">
        <f ca="1"/>
        <v>1.2278621269298022</v>
      </c>
      <c r="AI427" s="37"/>
      <c r="AJ427" s="61">
        <f t="shared" ca="1" si="29"/>
        <v>-0.35763504072057489</v>
      </c>
      <c r="AK427" s="61">
        <f t="shared" ca="1" si="29"/>
        <v>0.93180535891756366</v>
      </c>
      <c r="AL427" s="61">
        <f t="shared" ca="1" si="29"/>
        <v>1.5635639472248106</v>
      </c>
      <c r="AM427" s="61">
        <f t="shared" ca="1" si="29"/>
        <v>0.78997938526788669</v>
      </c>
      <c r="AN427" s="37"/>
      <c r="AO427" s="62">
        <f t="array" aca="1" ref="AO427:AR427" ca="1">TRANSPOSE($B$17:$B$20 + MMULT($D$17:$G$20,TRANSPOSE(AO426:AR426)) + MMULT($N$17:$Q$20,TRANSPOSE(AJ427:AM427)))</f>
        <v>0.53454238022087719</v>
      </c>
      <c r="AP427" s="62">
        <f ca="1"/>
        <v>0.90326072363748211</v>
      </c>
      <c r="AQ427" s="62">
        <f ca="1"/>
        <v>0.98805226676544</v>
      </c>
      <c r="AR427" s="62">
        <f ca="1"/>
        <v>0.79051029199336575</v>
      </c>
    </row>
    <row r="428" spans="25:44" x14ac:dyDescent="0.15">
      <c r="Y428" s="8">
        <f t="shared" si="30"/>
        <v>425</v>
      </c>
      <c r="Z428" s="61">
        <f t="shared" ca="1" si="28"/>
        <v>-0.6960780630012432</v>
      </c>
      <c r="AA428" s="61">
        <f t="shared" ca="1" si="28"/>
        <v>1.3999875457228872</v>
      </c>
      <c r="AB428" s="61">
        <f t="shared" ca="1" si="28"/>
        <v>-0.79583650467988409</v>
      </c>
      <c r="AC428" s="61">
        <f t="shared" ca="1" si="28"/>
        <v>0.70237528680006589</v>
      </c>
      <c r="AD428" s="37"/>
      <c r="AE428" s="62">
        <f t="array" aca="1" ref="AE428:AH428" ca="1">TRANSPOSE($B$9:$B$12 + MMULT($D$9:$G$12,TRANSPOSE(AO428:AR428)) + MMULT($N$9:$Q$12, TRANSPOSE(Z428:AC428)))</f>
        <v>0.88421509219170613</v>
      </c>
      <c r="AF428" s="62">
        <f ca="1"/>
        <v>0.5688631478169619</v>
      </c>
      <c r="AG428" s="62">
        <f ca="1"/>
        <v>0.99867955913276207</v>
      </c>
      <c r="AH428" s="62">
        <f ca="1"/>
        <v>1.707423889868203</v>
      </c>
      <c r="AI428" s="37"/>
      <c r="AJ428" s="61">
        <f t="shared" ca="1" si="29"/>
        <v>-0.63543503168577398</v>
      </c>
      <c r="AK428" s="61">
        <f t="shared" ca="1" si="29"/>
        <v>-1.2619690830528054</v>
      </c>
      <c r="AL428" s="61">
        <f t="shared" ca="1" si="29"/>
        <v>1.5277216927325099</v>
      </c>
      <c r="AM428" s="61">
        <f t="shared" ca="1" si="29"/>
        <v>0.21863841776852108</v>
      </c>
      <c r="AN428" s="37"/>
      <c r="AO428" s="62">
        <f t="array" aca="1" ref="AO428:AR428" ca="1">TRANSPOSE($B$17:$B$20 + MMULT($D$17:$G$20,TRANSPOSE(AO427:AR427)) + MMULT($N$17:$Q$20,TRANSPOSE(AJ428:AM428)))</f>
        <v>0.44927062104437687</v>
      </c>
      <c r="AP428" s="62">
        <f ca="1"/>
        <v>0.11641642572424715</v>
      </c>
      <c r="AQ428" s="62">
        <f ca="1"/>
        <v>1.5076350625358479</v>
      </c>
      <c r="AR428" s="62">
        <f ca="1"/>
        <v>1.2911463987185532</v>
      </c>
    </row>
    <row r="429" spans="25:44" x14ac:dyDescent="0.15">
      <c r="Y429" s="8">
        <f t="shared" si="30"/>
        <v>426</v>
      </c>
      <c r="Z429" s="61">
        <f t="shared" ca="1" si="28"/>
        <v>-0.11805821092437636</v>
      </c>
      <c r="AA429" s="61">
        <f t="shared" ca="1" si="28"/>
        <v>-0.872030714147772</v>
      </c>
      <c r="AB429" s="61">
        <f t="shared" ca="1" si="28"/>
        <v>0.37907257694815494</v>
      </c>
      <c r="AC429" s="61">
        <f t="shared" ca="1" si="28"/>
        <v>0.24122560608462296</v>
      </c>
      <c r="AD429" s="37"/>
      <c r="AE429" s="62">
        <f t="array" aca="1" ref="AE429:AH429" ca="1">TRANSPOSE($B$9:$B$12 + MMULT($D$9:$G$12,TRANSPOSE(AO429:AR429)) + MMULT($N$9:$Q$12, TRANSPOSE(Z429:AC429)))</f>
        <v>0.85853671352541405</v>
      </c>
      <c r="AF429" s="62">
        <f ca="1"/>
        <v>0.92633791489722017</v>
      </c>
      <c r="AG429" s="62">
        <f ca="1"/>
        <v>0.58551136275296634</v>
      </c>
      <c r="AH429" s="62">
        <f ca="1"/>
        <v>1.2341013313438414</v>
      </c>
      <c r="AI429" s="37"/>
      <c r="AJ429" s="61">
        <f t="shared" ca="1" si="29"/>
        <v>-0.41380633175793408</v>
      </c>
      <c r="AK429" s="61">
        <f t="shared" ca="1" si="29"/>
        <v>1.7805240014960919</v>
      </c>
      <c r="AL429" s="61">
        <f t="shared" ca="1" si="29"/>
        <v>0.96185235000263081</v>
      </c>
      <c r="AM429" s="61">
        <f t="shared" ca="1" si="29"/>
        <v>-0.26253342924738393</v>
      </c>
      <c r="AN429" s="37"/>
      <c r="AO429" s="62">
        <f t="array" aca="1" ref="AO429:AR429" ca="1">TRANSPOSE($B$17:$B$20 + MMULT($D$17:$G$20,TRANSPOSE(AO428:AR428)) + MMULT($N$17:$Q$20,TRANSPOSE(AJ429:AM429)))</f>
        <v>0.54622743583993694</v>
      </c>
      <c r="AP429" s="62">
        <f ca="1"/>
        <v>1.2780831004724822</v>
      </c>
      <c r="AQ429" s="62">
        <f ca="1"/>
        <v>0.83900156805691428</v>
      </c>
      <c r="AR429" s="62">
        <f ca="1"/>
        <v>0.74809795051451178</v>
      </c>
    </row>
    <row r="430" spans="25:44" x14ac:dyDescent="0.15">
      <c r="Y430" s="8">
        <f t="shared" si="30"/>
        <v>427</v>
      </c>
      <c r="Z430" s="61">
        <f t="shared" ca="1" si="28"/>
        <v>-0.58470754382547507</v>
      </c>
      <c r="AA430" s="61">
        <f t="shared" ca="1" si="28"/>
        <v>-0.53383052174557777</v>
      </c>
      <c r="AB430" s="61">
        <f t="shared" ca="1" si="28"/>
        <v>0.31467471792739177</v>
      </c>
      <c r="AC430" s="61">
        <f t="shared" ca="1" si="28"/>
        <v>0.12241025926476774</v>
      </c>
      <c r="AD430" s="37"/>
      <c r="AE430" s="62">
        <f t="array" aca="1" ref="AE430:AH430" ca="1">TRANSPOSE($B$9:$B$12 + MMULT($D$9:$G$12,TRANSPOSE(AO430:AR430)) + MMULT($N$9:$Q$12, TRANSPOSE(Z430:AC430)))</f>
        <v>0.92563067220405049</v>
      </c>
      <c r="AF430" s="62">
        <f ca="1"/>
        <v>0.79318901538178432</v>
      </c>
      <c r="AG430" s="62">
        <f ca="1"/>
        <v>0.77775930269590976</v>
      </c>
      <c r="AH430" s="62">
        <f ca="1"/>
        <v>1.2141135299732511</v>
      </c>
      <c r="AI430" s="37"/>
      <c r="AJ430" s="61">
        <f t="shared" ca="1" si="29"/>
        <v>8.7700053807420519E-2</v>
      </c>
      <c r="AK430" s="61">
        <f t="shared" ca="1" si="29"/>
        <v>0.81320675732950887</v>
      </c>
      <c r="AL430" s="61">
        <f t="shared" ca="1" si="29"/>
        <v>0.58916179142507064</v>
      </c>
      <c r="AM430" s="61">
        <f t="shared" ca="1" si="29"/>
        <v>-0.169944196289633</v>
      </c>
      <c r="AN430" s="37"/>
      <c r="AO430" s="62">
        <f t="array" aca="1" ref="AO430:AR430" ca="1">TRANSPOSE($B$17:$B$20 + MMULT($D$17:$G$20,TRANSPOSE(AO429:AR429)) + MMULT($N$17:$Q$20,TRANSPOSE(AJ430:AM430)))</f>
        <v>0.69849150993043818</v>
      </c>
      <c r="AP430" s="62">
        <f ca="1"/>
        <v>1.0844510350133443</v>
      </c>
      <c r="AQ430" s="62">
        <f ca="1"/>
        <v>1.0687381160992584</v>
      </c>
      <c r="AR430" s="62">
        <f ca="1"/>
        <v>0.77119991879229521</v>
      </c>
    </row>
    <row r="431" spans="25:44" x14ac:dyDescent="0.15">
      <c r="Y431" s="8">
        <f t="shared" si="30"/>
        <v>428</v>
      </c>
      <c r="Z431" s="61">
        <f t="shared" ca="1" si="28"/>
        <v>8.1920640148143931E-2</v>
      </c>
      <c r="AA431" s="61">
        <f t="shared" ca="1" si="28"/>
        <v>0.32929445982141009</v>
      </c>
      <c r="AB431" s="61">
        <f t="shared" ca="1" si="28"/>
        <v>0.40816524253838415</v>
      </c>
      <c r="AC431" s="61">
        <f t="shared" ca="1" si="28"/>
        <v>1.5702797700782269</v>
      </c>
      <c r="AD431" s="37"/>
      <c r="AE431" s="62">
        <f t="array" aca="1" ref="AE431:AH431" ca="1">TRANSPOSE($B$9:$B$12 + MMULT($D$9:$G$12,TRANSPOSE(AO431:AR431)) + MMULT($N$9:$Q$12, TRANSPOSE(Z431:AC431)))</f>
        <v>1.8661285651480108</v>
      </c>
      <c r="AF431" s="62">
        <f ca="1"/>
        <v>1.0964868410031401</v>
      </c>
      <c r="AG431" s="62">
        <f ca="1"/>
        <v>0.99957508838207865</v>
      </c>
      <c r="AH431" s="62">
        <f ca="1"/>
        <v>1.4242209259404297</v>
      </c>
      <c r="AI431" s="37"/>
      <c r="AJ431" s="61">
        <f t="shared" ca="1" si="29"/>
        <v>1.6532056585712227</v>
      </c>
      <c r="AK431" s="61">
        <f t="shared" ca="1" si="29"/>
        <v>-7.7014570508618235E-2</v>
      </c>
      <c r="AL431" s="61">
        <f t="shared" ca="1" si="29"/>
        <v>0.47271973159609582</v>
      </c>
      <c r="AM431" s="61">
        <f t="shared" ca="1" si="29"/>
        <v>-1.7953769957061307</v>
      </c>
      <c r="AN431" s="37"/>
      <c r="AO431" s="62">
        <f t="array" aca="1" ref="AO431:AR431" ca="1">TRANSPOSE($B$17:$B$20 + MMULT($D$17:$G$20,TRANSPOSE(AO430:AR430)) + MMULT($N$17:$Q$20,TRANSPOSE(AJ431:AM431)))</f>
        <v>1.2863777631417581</v>
      </c>
      <c r="AP431" s="62">
        <f ca="1"/>
        <v>0.74928587447956974</v>
      </c>
      <c r="AQ431" s="62">
        <f ca="1"/>
        <v>1.4227728566281972</v>
      </c>
      <c r="AR431" s="62">
        <f ca="1"/>
        <v>0.75996760240611838</v>
      </c>
    </row>
    <row r="432" spans="25:44" x14ac:dyDescent="0.15">
      <c r="Y432" s="8">
        <f t="shared" si="30"/>
        <v>429</v>
      </c>
      <c r="Z432" s="61">
        <f t="shared" ca="1" si="28"/>
        <v>-1.5943415567180279</v>
      </c>
      <c r="AA432" s="61">
        <f t="shared" ca="1" si="28"/>
        <v>-1.0449065461814322</v>
      </c>
      <c r="AB432" s="61">
        <f t="shared" ca="1" si="28"/>
        <v>-1.259767097034781</v>
      </c>
      <c r="AC432" s="61">
        <f t="shared" ca="1" si="28"/>
        <v>0.20512752807086237</v>
      </c>
      <c r="AD432" s="37"/>
      <c r="AE432" s="62">
        <f t="array" aca="1" ref="AE432:AH432" ca="1">TRANSPOSE($B$9:$B$12 + MMULT($D$9:$G$12,TRANSPOSE(AO432:AR432)) + MMULT($N$9:$Q$12, TRANSPOSE(Z432:AC432)))</f>
        <v>0.92655839090526293</v>
      </c>
      <c r="AF432" s="62">
        <f ca="1"/>
        <v>1.0695103368976355</v>
      </c>
      <c r="AG432" s="62">
        <f ca="1"/>
        <v>0.79121823741366804</v>
      </c>
      <c r="AH432" s="62">
        <f ca="1"/>
        <v>1.1951956139325004</v>
      </c>
      <c r="AI432" s="37"/>
      <c r="AJ432" s="61">
        <f t="shared" ca="1" si="29"/>
        <v>1.6739388054234858</v>
      </c>
      <c r="AK432" s="61">
        <f t="shared" ca="1" si="29"/>
        <v>1.2615539604772854</v>
      </c>
      <c r="AL432" s="61">
        <f t="shared" ca="1" si="29"/>
        <v>-0.18866943977343345</v>
      </c>
      <c r="AM432" s="61">
        <f t="shared" ca="1" si="29"/>
        <v>0.77213592426862865</v>
      </c>
      <c r="AN432" s="37"/>
      <c r="AO432" s="62">
        <f t="array" aca="1" ref="AO432:AR432" ca="1">TRANSPOSE($B$17:$B$20 + MMULT($D$17:$G$20,TRANSPOSE(AO431:AR431)) + MMULT($N$17:$Q$20,TRANSPOSE(AJ432:AM432)))</f>
        <v>1.4747746654260019</v>
      </c>
      <c r="AP432" s="62">
        <f ca="1"/>
        <v>1.4476004297115321</v>
      </c>
      <c r="AQ432" s="62">
        <f ca="1"/>
        <v>1.0446978726119946</v>
      </c>
      <c r="AR432" s="62">
        <f ca="1"/>
        <v>1.1410842011242017</v>
      </c>
    </row>
    <row r="433" spans="25:44" x14ac:dyDescent="0.15">
      <c r="Y433" s="8">
        <f t="shared" si="30"/>
        <v>430</v>
      </c>
      <c r="Z433" s="61">
        <f t="shared" ca="1" si="28"/>
        <v>0.77490214929422074</v>
      </c>
      <c r="AA433" s="61">
        <f t="shared" ca="1" si="28"/>
        <v>0.32037288547966219</v>
      </c>
      <c r="AB433" s="61">
        <f t="shared" ca="1" si="28"/>
        <v>-1.2427786516153865</v>
      </c>
      <c r="AC433" s="61">
        <f t="shared" ca="1" si="28"/>
        <v>-1.7594800494799794</v>
      </c>
      <c r="AD433" s="37"/>
      <c r="AE433" s="62">
        <f t="array" aca="1" ref="AE433:AH433" ca="1">TRANSPOSE($B$9:$B$12 + MMULT($D$9:$G$12,TRANSPOSE(AO433:AR433)) + MMULT($N$9:$Q$12, TRANSPOSE(Z433:AC433)))</f>
        <v>1.3673430701799754</v>
      </c>
      <c r="AF433" s="62">
        <f ca="1"/>
        <v>1.2728144013088176</v>
      </c>
      <c r="AG433" s="62">
        <f ca="1"/>
        <v>-4.6959265141248929E-2</v>
      </c>
      <c r="AH433" s="62">
        <f ca="1"/>
        <v>0.99564301029663793</v>
      </c>
      <c r="AI433" s="37"/>
      <c r="AJ433" s="61">
        <f t="shared" ca="1" si="29"/>
        <v>-1.0890560306098047</v>
      </c>
      <c r="AK433" s="61">
        <f t="shared" ca="1" si="29"/>
        <v>-0.51784189469103359</v>
      </c>
      <c r="AL433" s="61">
        <f t="shared" ca="1" si="29"/>
        <v>-4.0453766046500583E-2</v>
      </c>
      <c r="AM433" s="61">
        <f t="shared" ca="1" si="29"/>
        <v>-1.1528619700037224</v>
      </c>
      <c r="AN433" s="37"/>
      <c r="AO433" s="62">
        <f t="array" aca="1" ref="AO433:AR433" ca="1">TRANSPOSE($B$17:$B$20 + MMULT($D$17:$G$20,TRANSPOSE(AO432:AR432)) + MMULT($N$17:$Q$20,TRANSPOSE(AJ433:AM433)))</f>
        <v>0.606718321967739</v>
      </c>
      <c r="AP433" s="62">
        <f ca="1"/>
        <v>0.93911432751732871</v>
      </c>
      <c r="AQ433" s="62">
        <f ca="1"/>
        <v>1.0079516674336189</v>
      </c>
      <c r="AR433" s="62">
        <f ca="1"/>
        <v>0.8417670518657635</v>
      </c>
    </row>
    <row r="434" spans="25:44" x14ac:dyDescent="0.15">
      <c r="Y434" s="8">
        <f t="shared" si="30"/>
        <v>431</v>
      </c>
      <c r="Z434" s="61">
        <f t="shared" ca="1" si="28"/>
        <v>0.48371172749931929</v>
      </c>
      <c r="AA434" s="61">
        <f t="shared" ca="1" si="28"/>
        <v>-3.1314467760054955E-2</v>
      </c>
      <c r="AB434" s="61">
        <f t="shared" ca="1" si="28"/>
        <v>-0.2827349996873908</v>
      </c>
      <c r="AC434" s="61">
        <f t="shared" ca="1" si="28"/>
        <v>0.96338739021937636</v>
      </c>
      <c r="AD434" s="37"/>
      <c r="AE434" s="62">
        <f t="array" aca="1" ref="AE434:AH434" ca="1">TRANSPOSE($B$9:$B$12 + MMULT($D$9:$G$12,TRANSPOSE(AO434:AR434)) + MMULT($N$9:$Q$12, TRANSPOSE(Z434:AC434)))</f>
        <v>0.82547134360178798</v>
      </c>
      <c r="AF434" s="62">
        <f ca="1"/>
        <v>1.3729566621891987</v>
      </c>
      <c r="AG434" s="62">
        <f ca="1"/>
        <v>0.16355535874698668</v>
      </c>
      <c r="AH434" s="62">
        <f ca="1"/>
        <v>1.6985543372889818</v>
      </c>
      <c r="AI434" s="37"/>
      <c r="AJ434" s="61">
        <f t="shared" ca="1" si="29"/>
        <v>-1.3783249666433717</v>
      </c>
      <c r="AK434" s="61">
        <f t="shared" ca="1" si="29"/>
        <v>1.6481185794709836</v>
      </c>
      <c r="AL434" s="61">
        <f t="shared" ca="1" si="29"/>
        <v>1.0055471725455181</v>
      </c>
      <c r="AM434" s="61">
        <f t="shared" ca="1" si="29"/>
        <v>1.3375933212190247</v>
      </c>
      <c r="AN434" s="37"/>
      <c r="AO434" s="62">
        <f t="array" aca="1" ref="AO434:AR434" ca="1">TRANSPOSE($B$17:$B$20 + MMULT($D$17:$G$20,TRANSPOSE(AO433:AR433)) + MMULT($N$17:$Q$20,TRANSPOSE(AJ434:AM434)))</f>
        <v>0.22611204984006728</v>
      </c>
      <c r="AP434" s="62">
        <f ca="1"/>
        <v>1.3759471170635815</v>
      </c>
      <c r="AQ434" s="62">
        <f ca="1"/>
        <v>0.83657470993490457</v>
      </c>
      <c r="AR434" s="62">
        <f ca="1"/>
        <v>0.90441870647837752</v>
      </c>
    </row>
    <row r="435" spans="25:44" x14ac:dyDescent="0.15">
      <c r="Y435" s="8">
        <f t="shared" si="30"/>
        <v>432</v>
      </c>
      <c r="Z435" s="61">
        <f t="shared" ca="1" si="28"/>
        <v>-0.14604402635659275</v>
      </c>
      <c r="AA435" s="61">
        <f t="shared" ca="1" si="28"/>
        <v>0.76823213748347796</v>
      </c>
      <c r="AB435" s="61">
        <f t="shared" ca="1" si="28"/>
        <v>-5.1488571050570309E-2</v>
      </c>
      <c r="AC435" s="61">
        <f t="shared" ca="1" si="28"/>
        <v>-8.0879891164160542E-2</v>
      </c>
      <c r="AD435" s="37"/>
      <c r="AE435" s="62">
        <f t="array" aca="1" ref="AE435:AH435" ca="1">TRANSPOSE($B$9:$B$12 + MMULT($D$9:$G$12,TRANSPOSE(AO435:AR435)) + MMULT($N$9:$Q$12, TRANSPOSE(Z435:AC435)))</f>
        <v>0.92633499805509445</v>
      </c>
      <c r="AF435" s="62">
        <f ca="1"/>
        <v>1.4713770152153325</v>
      </c>
      <c r="AG435" s="62">
        <f ca="1"/>
        <v>0.41390915651051047</v>
      </c>
      <c r="AH435" s="62">
        <f ca="1"/>
        <v>0.58354624618279749</v>
      </c>
      <c r="AI435" s="37"/>
      <c r="AJ435" s="61">
        <f t="shared" ca="1" si="29"/>
        <v>0.67428259572973215</v>
      </c>
      <c r="AK435" s="61">
        <f t="shared" ca="1" si="29"/>
        <v>0.80851290962129718</v>
      </c>
      <c r="AL435" s="61">
        <f t="shared" ca="1" si="29"/>
        <v>-0.91620345257860525</v>
      </c>
      <c r="AM435" s="61">
        <f t="shared" ca="1" si="29"/>
        <v>-1.1301602863767981</v>
      </c>
      <c r="AN435" s="37"/>
      <c r="AO435" s="62">
        <f t="array" aca="1" ref="AO435:AR435" ca="1">TRANSPOSE($B$17:$B$20 + MMULT($D$17:$G$20,TRANSPOSE(AO434:AR434)) + MMULT($N$17:$Q$20,TRANSPOSE(AJ435:AM435)))</f>
        <v>0.8264962808937899</v>
      </c>
      <c r="AP435" s="62">
        <f ca="1"/>
        <v>1.0304615514381974</v>
      </c>
      <c r="AQ435" s="62">
        <f ca="1"/>
        <v>0.50551866090772068</v>
      </c>
      <c r="AR435" s="62">
        <f ca="1"/>
        <v>0.4747825585398236</v>
      </c>
    </row>
    <row r="436" spans="25:44" x14ac:dyDescent="0.15">
      <c r="Y436" s="8">
        <f t="shared" si="30"/>
        <v>433</v>
      </c>
      <c r="Z436" s="61">
        <f t="shared" ca="1" si="28"/>
        <v>1.6785760262960605</v>
      </c>
      <c r="AA436" s="61">
        <f t="shared" ca="1" si="28"/>
        <v>0.10274915394445221</v>
      </c>
      <c r="AB436" s="61">
        <f t="shared" ca="1" si="28"/>
        <v>-0.38114649544958534</v>
      </c>
      <c r="AC436" s="61">
        <f t="shared" ca="1" si="28"/>
        <v>1.6168573345554911</v>
      </c>
      <c r="AD436" s="37"/>
      <c r="AE436" s="62">
        <f t="array" aca="1" ref="AE436:AH436" ca="1">TRANSPOSE($B$9:$B$12 + MMULT($D$9:$G$12,TRANSPOSE(AO436:AR436)) + MMULT($N$9:$Q$12, TRANSPOSE(Z436:AC436)))</f>
        <v>1.2625558088013389</v>
      </c>
      <c r="AF436" s="62">
        <f ca="1"/>
        <v>1.6333245904961817</v>
      </c>
      <c r="AG436" s="62">
        <f ca="1"/>
        <v>-0.20053356368249087</v>
      </c>
      <c r="AH436" s="62">
        <f ca="1"/>
        <v>1.6669366303912483</v>
      </c>
      <c r="AI436" s="37"/>
      <c r="AJ436" s="61">
        <f t="shared" ca="1" si="29"/>
        <v>-1.2015723676905592</v>
      </c>
      <c r="AK436" s="61">
        <f t="shared" ca="1" si="29"/>
        <v>1.4412684445770063</v>
      </c>
      <c r="AL436" s="61">
        <f t="shared" ca="1" si="29"/>
        <v>0.61958323293741346</v>
      </c>
      <c r="AM436" s="61">
        <f t="shared" ca="1" si="29"/>
        <v>1.5109919411728674</v>
      </c>
      <c r="AN436" s="37"/>
      <c r="AO436" s="62">
        <f t="array" aca="1" ref="AO436:AR436" ca="1">TRANSPOSE($B$17:$B$20 + MMULT($D$17:$G$20,TRANSPOSE(AO435:AR435)) + MMULT($N$17:$Q$20,TRANSPOSE(AJ436:AM436)))</f>
        <v>0.25742066277833486</v>
      </c>
      <c r="AP436" s="62">
        <f ca="1"/>
        <v>1.2984046833602823</v>
      </c>
      <c r="AQ436" s="62">
        <f ca="1"/>
        <v>0.6274280014232998</v>
      </c>
      <c r="AR436" s="62">
        <f ca="1"/>
        <v>0.7185707701508921</v>
      </c>
    </row>
    <row r="437" spans="25:44" x14ac:dyDescent="0.15">
      <c r="Y437" s="8">
        <f t="shared" si="30"/>
        <v>434</v>
      </c>
      <c r="Z437" s="61">
        <f t="shared" ca="1" si="28"/>
        <v>-0.3860697634872135</v>
      </c>
      <c r="AA437" s="61">
        <f t="shared" ca="1" si="28"/>
        <v>-0.2604813805107617</v>
      </c>
      <c r="AB437" s="61">
        <f t="shared" ca="1" si="28"/>
        <v>0.97534557056622018</v>
      </c>
      <c r="AC437" s="61">
        <f t="shared" ca="1" si="28"/>
        <v>0.38928141559248708</v>
      </c>
      <c r="AD437" s="37"/>
      <c r="AE437" s="62">
        <f t="array" aca="1" ref="AE437:AH437" ca="1">TRANSPOSE($B$9:$B$12 + MMULT($D$9:$G$12,TRANSPOSE(AO437:AR437)) + MMULT($N$9:$Q$12, TRANSPOSE(Z437:AC437)))</f>
        <v>0.84388887831162251</v>
      </c>
      <c r="AF437" s="62">
        <f ca="1"/>
        <v>0.44961470777548873</v>
      </c>
      <c r="AG437" s="62">
        <f ca="1"/>
        <v>1.4125623259435489</v>
      </c>
      <c r="AH437" s="62">
        <f ca="1"/>
        <v>1.1916942301777709</v>
      </c>
      <c r="AI437" s="37"/>
      <c r="AJ437" s="61">
        <f t="shared" ca="1" si="29"/>
        <v>2.3380757645320435E-2</v>
      </c>
      <c r="AK437" s="61">
        <f t="shared" ca="1" si="29"/>
        <v>-0.29779557214241198</v>
      </c>
      <c r="AL437" s="61">
        <f t="shared" ca="1" si="29"/>
        <v>0.44351662915351009</v>
      </c>
      <c r="AM437" s="61">
        <f t="shared" ca="1" si="29"/>
        <v>0.55343402606562297</v>
      </c>
      <c r="AN437" s="37"/>
      <c r="AO437" s="62">
        <f t="array" aca="1" ref="AO437:AR437" ca="1">TRANSPOSE($B$17:$B$20 + MMULT($D$17:$G$20,TRANSPOSE(AO436:AR436)) + MMULT($N$17:$Q$20,TRANSPOSE(AJ437:AM437)))</f>
        <v>0.57008171378622341</v>
      </c>
      <c r="AP437" s="62">
        <f ca="1"/>
        <v>0.50410405245693291</v>
      </c>
      <c r="AQ437" s="62">
        <f ca="1"/>
        <v>1.0280518773055303</v>
      </c>
      <c r="AR437" s="62">
        <f ca="1"/>
        <v>1.0397277536301877</v>
      </c>
    </row>
    <row r="438" spans="25:44" x14ac:dyDescent="0.15">
      <c r="Y438" s="8">
        <f t="shared" si="30"/>
        <v>435</v>
      </c>
      <c r="Z438" s="61">
        <f t="shared" ca="1" si="28"/>
        <v>0.59133476757590309</v>
      </c>
      <c r="AA438" s="61">
        <f t="shared" ca="1" si="28"/>
        <v>-1.2962349439448353</v>
      </c>
      <c r="AB438" s="61">
        <f t="shared" ca="1" si="28"/>
        <v>1.8174387378965695</v>
      </c>
      <c r="AC438" s="61">
        <f t="shared" ca="1" si="28"/>
        <v>-2.2874616928710414</v>
      </c>
      <c r="AD438" s="37"/>
      <c r="AE438" s="62">
        <f t="array" aca="1" ref="AE438:AH438" ca="1">TRANSPOSE($B$9:$B$12 + MMULT($D$9:$G$12,TRANSPOSE(AO438:AR438)) + MMULT($N$9:$Q$12, TRANSPOSE(Z438:AC438)))</f>
        <v>1.3650321485546328</v>
      </c>
      <c r="AF438" s="62">
        <f ca="1"/>
        <v>-0.59760303689482319</v>
      </c>
      <c r="AG438" s="62">
        <f ca="1"/>
        <v>2.7956684986463785</v>
      </c>
      <c r="AH438" s="62">
        <f ca="1"/>
        <v>0.63016258791968749</v>
      </c>
      <c r="AI438" s="37"/>
      <c r="AJ438" s="61">
        <f t="shared" ca="1" si="29"/>
        <v>0.49269138397123285</v>
      </c>
      <c r="AK438" s="61">
        <f t="shared" ca="1" si="29"/>
        <v>-3.1494692144785232</v>
      </c>
      <c r="AL438" s="61">
        <f t="shared" ca="1" si="29"/>
        <v>6.6278114254836651E-2</v>
      </c>
      <c r="AM438" s="61">
        <f t="shared" ca="1" si="29"/>
        <v>1.152357351116992</v>
      </c>
      <c r="AN438" s="37"/>
      <c r="AO438" s="62">
        <f t="array" aca="1" ref="AO438:AR438" ca="1">TRANSPOSE($B$17:$B$20 + MMULT($D$17:$G$20,TRANSPOSE(AO437:AR437)) + MMULT($N$17:$Q$20,TRANSPOSE(AJ438:AM438)))</f>
        <v>0.82753314077254969</v>
      </c>
      <c r="AP438" s="62">
        <f ca="1"/>
        <v>-0.71741897571380675</v>
      </c>
      <c r="AQ438" s="62">
        <f ca="1"/>
        <v>1.1831174376018745</v>
      </c>
      <c r="AR438" s="62">
        <f ca="1"/>
        <v>1.8409473443647817</v>
      </c>
    </row>
    <row r="439" spans="25:44" x14ac:dyDescent="0.15">
      <c r="Y439" s="8">
        <f t="shared" si="30"/>
        <v>436</v>
      </c>
      <c r="Z439" s="61">
        <f t="shared" ca="1" si="28"/>
        <v>0.41594869009937613</v>
      </c>
      <c r="AA439" s="61">
        <f t="shared" ca="1" si="28"/>
        <v>-0.76253821451046644</v>
      </c>
      <c r="AB439" s="61">
        <f t="shared" ca="1" si="28"/>
        <v>-0.31572053961299429</v>
      </c>
      <c r="AC439" s="61">
        <f t="shared" ca="1" si="28"/>
        <v>-0.96597930009297861</v>
      </c>
      <c r="AD439" s="37"/>
      <c r="AE439" s="62">
        <f t="array" aca="1" ref="AE439:AH439" ca="1">TRANSPOSE($B$9:$B$12 + MMULT($D$9:$G$12,TRANSPOSE(AO439:AR439)) + MMULT($N$9:$Q$12, TRANSPOSE(Z439:AC439)))</f>
        <v>1.3845525164178152</v>
      </c>
      <c r="AF439" s="62">
        <f ca="1"/>
        <v>0.66840173056342067</v>
      </c>
      <c r="AG439" s="62">
        <f ca="1"/>
        <v>0.97742371348571111</v>
      </c>
      <c r="AH439" s="62">
        <f ca="1"/>
        <v>0.74669144973219381</v>
      </c>
      <c r="AI439" s="37"/>
      <c r="AJ439" s="61">
        <f t="shared" ca="1" si="29"/>
        <v>1.064238862806911</v>
      </c>
      <c r="AK439" s="61">
        <f t="shared" ca="1" si="29"/>
        <v>-1.4261072087615108E-2</v>
      </c>
      <c r="AL439" s="61">
        <f t="shared" ca="1" si="29"/>
        <v>0.48508722329329457</v>
      </c>
      <c r="AM439" s="61">
        <f t="shared" ca="1" si="29"/>
        <v>-0.32654763038916962</v>
      </c>
      <c r="AN439" s="37"/>
      <c r="AO439" s="62">
        <f t="array" aca="1" ref="AO439:AR439" ca="1">TRANSPOSE($B$17:$B$20 + MMULT($D$17:$G$20,TRANSPOSE(AO438:AR438)) + MMULT($N$17:$Q$20,TRANSPOSE(AJ439:AM439)))</f>
        <v>1.0611323598975835</v>
      </c>
      <c r="AP439" s="62">
        <f ca="1"/>
        <v>0.50777051349753732</v>
      </c>
      <c r="AQ439" s="62">
        <f ca="1"/>
        <v>0.83351767005934696</v>
      </c>
      <c r="AR439" s="62">
        <f ca="1"/>
        <v>1.0963313363456311</v>
      </c>
    </row>
    <row r="440" spans="25:44" x14ac:dyDescent="0.15">
      <c r="Y440" s="8">
        <f t="shared" si="30"/>
        <v>437</v>
      </c>
      <c r="Z440" s="61">
        <f t="shared" ca="1" si="28"/>
        <v>0.65764011762190411</v>
      </c>
      <c r="AA440" s="61">
        <f t="shared" ca="1" si="28"/>
        <v>1.1509455712934096</v>
      </c>
      <c r="AB440" s="61">
        <f t="shared" ca="1" si="28"/>
        <v>0.85939380223331951</v>
      </c>
      <c r="AC440" s="61">
        <f t="shared" ca="1" si="28"/>
        <v>-1.9113034529539257</v>
      </c>
      <c r="AD440" s="37"/>
      <c r="AE440" s="62">
        <f t="array" aca="1" ref="AE440:AH440" ca="1">TRANSPOSE($B$9:$B$12 + MMULT($D$9:$G$12,TRANSPOSE(AO440:AR440)) + MMULT($N$9:$Q$12, TRANSPOSE(Z440:AC440)))</f>
        <v>1.1015190968933313</v>
      </c>
      <c r="AF440" s="62">
        <f ca="1"/>
        <v>1.7037340277381325</v>
      </c>
      <c r="AG440" s="62">
        <f ca="1"/>
        <v>0.33453810794105265</v>
      </c>
      <c r="AH440" s="62">
        <f ca="1"/>
        <v>-1.1892928128642843E-4</v>
      </c>
      <c r="AI440" s="37"/>
      <c r="AJ440" s="61">
        <f t="shared" ca="1" si="29"/>
        <v>-0.35212834806492987</v>
      </c>
      <c r="AK440" s="61">
        <f t="shared" ca="1" si="29"/>
        <v>0.64142643290772483</v>
      </c>
      <c r="AL440" s="61">
        <f t="shared" ca="1" si="29"/>
        <v>-0.58135081436829772</v>
      </c>
      <c r="AM440" s="61">
        <f t="shared" ca="1" si="29"/>
        <v>-2.0779680770550937</v>
      </c>
      <c r="AN440" s="37"/>
      <c r="AO440" s="62">
        <f t="array" aca="1" ref="AO440:AR440" ca="1">TRANSPOSE($B$17:$B$20 + MMULT($D$17:$G$20,TRANSPOSE(AO439:AR439)) + MMULT($N$17:$Q$20,TRANSPOSE(AJ440:AM440)))</f>
        <v>0.64570319313617697</v>
      </c>
      <c r="AP440" s="62">
        <f ca="1"/>
        <v>1.0299449354813</v>
      </c>
      <c r="AQ440" s="62">
        <f ca="1"/>
        <v>0.33159442775776915</v>
      </c>
      <c r="AR440" s="62">
        <f ca="1"/>
        <v>0.17580398397018215</v>
      </c>
    </row>
    <row r="441" spans="25:44" x14ac:dyDescent="0.15">
      <c r="Y441" s="8">
        <f t="shared" si="30"/>
        <v>438</v>
      </c>
      <c r="Z441" s="61">
        <f t="shared" ca="1" si="28"/>
        <v>-0.50296083507258105</v>
      </c>
      <c r="AA441" s="61">
        <f t="shared" ca="1" si="28"/>
        <v>0.66373215615560044</v>
      </c>
      <c r="AB441" s="61">
        <f t="shared" ca="1" si="28"/>
        <v>-0.15513625755387475</v>
      </c>
      <c r="AC441" s="61">
        <f t="shared" ca="1" si="28"/>
        <v>0.54414283911820172</v>
      </c>
      <c r="AD441" s="37"/>
      <c r="AE441" s="62">
        <f t="array" aca="1" ref="AE441:AH441" ca="1">TRANSPOSE($B$9:$B$12 + MMULT($D$9:$G$12,TRANSPOSE(AO441:AR441)) + MMULT($N$9:$Q$12, TRANSPOSE(Z441:AC441)))</f>
        <v>0.10044350030954668</v>
      </c>
      <c r="AF441" s="62">
        <f ca="1"/>
        <v>0.99155337138829591</v>
      </c>
      <c r="AG441" s="62">
        <f ca="1"/>
        <v>0.75490814874558543</v>
      </c>
      <c r="AH441" s="62">
        <f ca="1"/>
        <v>0.54230886383463039</v>
      </c>
      <c r="AI441" s="37"/>
      <c r="AJ441" s="61">
        <f t="shared" ca="1" si="29"/>
        <v>-0.52293117386649091</v>
      </c>
      <c r="AK441" s="61">
        <f t="shared" ca="1" si="29"/>
        <v>-4.9308251627120572E-3</v>
      </c>
      <c r="AL441" s="61">
        <f t="shared" ca="1" si="29"/>
        <v>-1.189895014168574</v>
      </c>
      <c r="AM441" s="61">
        <f t="shared" ca="1" si="29"/>
        <v>1.8450718497679892</v>
      </c>
      <c r="AN441" s="37"/>
      <c r="AO441" s="62">
        <f t="array" aca="1" ref="AO441:AR441" ca="1">TRANSPOSE($B$17:$B$20 + MMULT($D$17:$G$20,TRANSPOSE(AO440:AR440)) + MMULT($N$17:$Q$20,TRANSPOSE(AJ441:AM441)))</f>
        <v>0.3983209948829593</v>
      </c>
      <c r="AP441" s="62">
        <f ca="1"/>
        <v>0.57971288198954329</v>
      </c>
      <c r="AQ441" s="62">
        <f ca="1"/>
        <v>2.3333940957214749E-2</v>
      </c>
      <c r="AR441" s="62">
        <f ca="1"/>
        <v>0.79206332830753645</v>
      </c>
    </row>
    <row r="442" spans="25:44" x14ac:dyDescent="0.15">
      <c r="Y442" s="8">
        <f t="shared" si="30"/>
        <v>439</v>
      </c>
      <c r="Z442" s="61">
        <f t="shared" ca="1" si="28"/>
        <v>-1.8596909914487032</v>
      </c>
      <c r="AA442" s="61">
        <f t="shared" ca="1" si="28"/>
        <v>1.7062012819522826E-2</v>
      </c>
      <c r="AB442" s="61">
        <f t="shared" ca="1" si="28"/>
        <v>-5.7598215506053624E-2</v>
      </c>
      <c r="AC442" s="61">
        <f t="shared" ca="1" si="28"/>
        <v>1.3048732886644858</v>
      </c>
      <c r="AD442" s="37"/>
      <c r="AE442" s="62">
        <f t="array" aca="1" ref="AE442:AH442" ca="1">TRANSPOSE($B$9:$B$12 + MMULT($D$9:$G$12,TRANSPOSE(AO442:AR442)) + MMULT($N$9:$Q$12, TRANSPOSE(Z442:AC442)))</f>
        <v>0.28313347479456485</v>
      </c>
      <c r="AF442" s="62">
        <f ca="1"/>
        <v>0.15222254334079244</v>
      </c>
      <c r="AG442" s="62">
        <f ca="1"/>
        <v>0.86598922559355584</v>
      </c>
      <c r="AH442" s="62">
        <f ca="1"/>
        <v>1.0921831444091714</v>
      </c>
      <c r="AI442" s="37"/>
      <c r="AJ442" s="61">
        <f t="shared" ca="1" si="29"/>
        <v>0.18520274623425478</v>
      </c>
      <c r="AK442" s="61">
        <f t="shared" ca="1" si="29"/>
        <v>7.5762899075093801E-2</v>
      </c>
      <c r="AL442" s="61">
        <f t="shared" ca="1" si="29"/>
        <v>1.1151784266200979</v>
      </c>
      <c r="AM442" s="61">
        <f t="shared" ca="1" si="29"/>
        <v>-0.32778444639257498</v>
      </c>
      <c r="AN442" s="37"/>
      <c r="AO442" s="62">
        <f t="array" aca="1" ref="AO442:AR442" ca="1">TRANSPOSE($B$17:$B$20 + MMULT($D$17:$G$20,TRANSPOSE(AO441:AR441)) + MMULT($N$17:$Q$20,TRANSPOSE(AJ442:AM442)))</f>
        <v>0.52382022621113078</v>
      </c>
      <c r="AP442" s="62">
        <f ca="1"/>
        <v>0.49062415448404217</v>
      </c>
      <c r="AQ442" s="62">
        <f ca="1"/>
        <v>0.93757171554748364</v>
      </c>
      <c r="AR442" s="62">
        <f ca="1"/>
        <v>0.56728977974171968</v>
      </c>
    </row>
    <row r="443" spans="25:44" x14ac:dyDescent="0.15">
      <c r="Y443" s="8">
        <f t="shared" si="30"/>
        <v>440</v>
      </c>
      <c r="Z443" s="61">
        <f t="shared" ca="1" si="28"/>
        <v>0.54320640345585769</v>
      </c>
      <c r="AA443" s="61">
        <f t="shared" ca="1" si="28"/>
        <v>-1.1877843525206058</v>
      </c>
      <c r="AB443" s="61">
        <f t="shared" ca="1" si="28"/>
        <v>1.1953646292675013</v>
      </c>
      <c r="AC443" s="61">
        <f t="shared" ca="1" si="28"/>
        <v>-0.85035804648785618</v>
      </c>
      <c r="AD443" s="37"/>
      <c r="AE443" s="62">
        <f t="array" aca="1" ref="AE443:AH443" ca="1">TRANSPOSE($B$9:$B$12 + MMULT($D$9:$G$12,TRANSPOSE(AO443:AR443)) + MMULT($N$9:$Q$12, TRANSPOSE(Z443:AC443)))</f>
        <v>0.84149704364821587</v>
      </c>
      <c r="AF443" s="62">
        <f ca="1"/>
        <v>0.21693111377364821</v>
      </c>
      <c r="AG443" s="62">
        <f ca="1"/>
        <v>1.2938551609406876</v>
      </c>
      <c r="AH443" s="62">
        <f ca="1"/>
        <v>0.47805729021980575</v>
      </c>
      <c r="AI443" s="37"/>
      <c r="AJ443" s="61">
        <f t="shared" ca="1" si="29"/>
        <v>-0.34204355780947621</v>
      </c>
      <c r="AK443" s="61">
        <f t="shared" ca="1" si="29"/>
        <v>-0.450134724727691</v>
      </c>
      <c r="AL443" s="61">
        <f t="shared" ca="1" si="29"/>
        <v>-0.45875712000007485</v>
      </c>
      <c r="AM443" s="61">
        <f t="shared" ca="1" si="29"/>
        <v>0.50658836799959028</v>
      </c>
      <c r="AN443" s="37"/>
      <c r="AO443" s="62">
        <f t="array" aca="1" ref="AO443:AR443" ca="1">TRANSPOSE($B$17:$B$20 + MMULT($D$17:$G$20,TRANSPOSE(AO442:AR442)) + MMULT($N$17:$Q$20,TRANSPOSE(AJ443:AM443)))</f>
        <v>0.49729598494022192</v>
      </c>
      <c r="AP443" s="62">
        <f ca="1"/>
        <v>0.31393585852385181</v>
      </c>
      <c r="AQ443" s="62">
        <f ca="1"/>
        <v>0.41797755625356581</v>
      </c>
      <c r="AR443" s="62">
        <f ca="1"/>
        <v>0.87821261670741946</v>
      </c>
    </row>
    <row r="444" spans="25:44" x14ac:dyDescent="0.15">
      <c r="Y444" s="8">
        <f t="shared" si="30"/>
        <v>441</v>
      </c>
      <c r="Z444" s="61">
        <f t="shared" ca="1" si="28"/>
        <v>1.4012821452035428E-2</v>
      </c>
      <c r="AA444" s="61">
        <f t="shared" ca="1" si="28"/>
        <v>-0.43720222046819707</v>
      </c>
      <c r="AB444" s="61">
        <f t="shared" ca="1" si="28"/>
        <v>-0.94654965727164597</v>
      </c>
      <c r="AC444" s="61">
        <f t="shared" ca="1" si="28"/>
        <v>-2.2164254496089923</v>
      </c>
      <c r="AD444" s="37"/>
      <c r="AE444" s="62">
        <f t="array" aca="1" ref="AE444:AH444" ca="1">TRANSPOSE($B$9:$B$12 + MMULT($D$9:$G$12,TRANSPOSE(AO444:AR444)) + MMULT($N$9:$Q$12, TRANSPOSE(Z444:AC444)))</f>
        <v>-4.0685276181115122E-3</v>
      </c>
      <c r="AF444" s="62">
        <f ca="1"/>
        <v>0.57909539967596513</v>
      </c>
      <c r="AG444" s="62">
        <f ca="1"/>
        <v>-0.54722602092455386</v>
      </c>
      <c r="AH444" s="62">
        <f ca="1"/>
        <v>2.7978768153998357E-2</v>
      </c>
      <c r="AI444" s="37"/>
      <c r="AJ444" s="61">
        <f t="shared" ca="1" si="29"/>
        <v>-2.0951270191852749</v>
      </c>
      <c r="AK444" s="61">
        <f t="shared" ca="1" si="29"/>
        <v>0.92792873625233796</v>
      </c>
      <c r="AL444" s="61">
        <f t="shared" ca="1" si="29"/>
        <v>-0.19201280493694015</v>
      </c>
      <c r="AM444" s="61">
        <f t="shared" ca="1" si="29"/>
        <v>-0.52939366270074861</v>
      </c>
      <c r="AN444" s="37"/>
      <c r="AO444" s="62">
        <f t="array" aca="1" ref="AO444:AR444" ca="1">TRANSPOSE($B$17:$B$20 + MMULT($D$17:$G$20,TRANSPOSE(AO443:AR443)) + MMULT($N$17:$Q$20,TRANSPOSE(AJ444:AM444)))</f>
        <v>-0.17423785726053598</v>
      </c>
      <c r="AP444" s="62">
        <f ca="1"/>
        <v>0.82654128915785874</v>
      </c>
      <c r="AQ444" s="62">
        <f ca="1"/>
        <v>-0.11783754916434541</v>
      </c>
      <c r="AR444" s="62">
        <f ca="1"/>
        <v>0.10418425979593204</v>
      </c>
    </row>
    <row r="445" spans="25:44" x14ac:dyDescent="0.15">
      <c r="Y445" s="8">
        <f t="shared" si="30"/>
        <v>442</v>
      </c>
      <c r="Z445" s="61">
        <f t="shared" ca="1" si="28"/>
        <v>-0.68675538776862999</v>
      </c>
      <c r="AA445" s="61">
        <f t="shared" ca="1" si="28"/>
        <v>1.3923526413334963</v>
      </c>
      <c r="AB445" s="61">
        <f t="shared" ca="1" si="28"/>
        <v>-0.55996893006714543</v>
      </c>
      <c r="AC445" s="61">
        <f t="shared" ca="1" si="28"/>
        <v>1.228692161930413</v>
      </c>
      <c r="AD445" s="37"/>
      <c r="AE445" s="62">
        <f t="array" aca="1" ref="AE445:AH445" ca="1">TRANSPOSE($B$9:$B$12 + MMULT($D$9:$G$12,TRANSPOSE(AO445:AR445)) + MMULT($N$9:$Q$12, TRANSPOSE(Z445:AC445)))</f>
        <v>0.35645744125445911</v>
      </c>
      <c r="AF445" s="62">
        <f ca="1"/>
        <v>0.69705619765055826</v>
      </c>
      <c r="AG445" s="62">
        <f ca="1"/>
        <v>0.48676614953819564</v>
      </c>
      <c r="AH445" s="62">
        <f ca="1"/>
        <v>0.82243763505275547</v>
      </c>
      <c r="AI445" s="37"/>
      <c r="AJ445" s="61">
        <f t="shared" ca="1" si="29"/>
        <v>0.13822090836260867</v>
      </c>
      <c r="AK445" s="61">
        <f t="shared" ca="1" si="29"/>
        <v>-7.0303814433733292E-2</v>
      </c>
      <c r="AL445" s="61">
        <f t="shared" ca="1" si="29"/>
        <v>0.27306248536154665</v>
      </c>
      <c r="AM445" s="61">
        <f t="shared" ca="1" si="29"/>
        <v>0.77867072811740135</v>
      </c>
      <c r="AN445" s="37"/>
      <c r="AO445" s="62">
        <f t="array" aca="1" ref="AO445:AR445" ca="1">TRANSPOSE($B$17:$B$20 + MMULT($D$17:$G$20,TRANSPOSE(AO444:AR444)) + MMULT($N$17:$Q$20,TRANSPOSE(AJ445:AM445)))</f>
        <v>0.32195789997605778</v>
      </c>
      <c r="AP445" s="62">
        <f ca="1"/>
        <v>0.18820433773022666</v>
      </c>
      <c r="AQ445" s="62">
        <f ca="1"/>
        <v>0.4853969885000865</v>
      </c>
      <c r="AR445" s="62">
        <f ca="1"/>
        <v>0.54075458110964547</v>
      </c>
    </row>
    <row r="446" spans="25:44" x14ac:dyDescent="0.15">
      <c r="Y446" s="8">
        <f t="shared" si="30"/>
        <v>443</v>
      </c>
      <c r="Z446" s="61">
        <f t="shared" ca="1" si="28"/>
        <v>0.17383371698181121</v>
      </c>
      <c r="AA446" s="61">
        <f t="shared" ca="1" si="28"/>
        <v>-1.4658253368674696</v>
      </c>
      <c r="AB446" s="61">
        <f t="shared" ca="1" si="28"/>
        <v>-0.36271549461493846</v>
      </c>
      <c r="AC446" s="61">
        <f t="shared" ca="1" si="28"/>
        <v>-0.96758909670456839</v>
      </c>
      <c r="AD446" s="37"/>
      <c r="AE446" s="62">
        <f t="array" aca="1" ref="AE446:AH446" ca="1">TRANSPOSE($B$9:$B$12 + MMULT($D$9:$G$12,TRANSPOSE(AO446:AR446)) + MMULT($N$9:$Q$12, TRANSPOSE(Z446:AC446)))</f>
        <v>0.51096302130286608</v>
      </c>
      <c r="AF446" s="62">
        <f ca="1"/>
        <v>0.10178927859824005</v>
      </c>
      <c r="AG446" s="62">
        <f ca="1"/>
        <v>0.22081125506755409</v>
      </c>
      <c r="AH446" s="62">
        <f ca="1"/>
        <v>0.40820366319377233</v>
      </c>
      <c r="AI446" s="37"/>
      <c r="AJ446" s="61">
        <f t="shared" ca="1" si="29"/>
        <v>-0.59816349024910909</v>
      </c>
      <c r="AK446" s="61">
        <f t="shared" ca="1" si="29"/>
        <v>0.49849450165027465</v>
      </c>
      <c r="AL446" s="61">
        <f t="shared" ca="1" si="29"/>
        <v>3.2292196829741944E-2</v>
      </c>
      <c r="AM446" s="61">
        <f t="shared" ca="1" si="29"/>
        <v>0.29747096520989702</v>
      </c>
      <c r="AN446" s="37"/>
      <c r="AO446" s="62">
        <f t="array" aca="1" ref="AO446:AR446" ca="1">TRANSPOSE($B$17:$B$20 + MMULT($D$17:$G$20,TRANSPOSE(AO445:AR445)) + MMULT($N$17:$Q$20,TRANSPOSE(AJ446:AM446)))</f>
        <v>0.26838123139641512</v>
      </c>
      <c r="AP446" s="62">
        <f ca="1"/>
        <v>0.52703551920260883</v>
      </c>
      <c r="AQ446" s="62">
        <f ca="1"/>
        <v>0.22720204880451877</v>
      </c>
      <c r="AR446" s="62">
        <f ca="1"/>
        <v>0.46486590798432398</v>
      </c>
    </row>
    <row r="447" spans="25:44" x14ac:dyDescent="0.15">
      <c r="Y447" s="8">
        <f t="shared" si="30"/>
        <v>444</v>
      </c>
      <c r="Z447" s="61">
        <f t="shared" ca="1" si="28"/>
        <v>-0.39428107745810043</v>
      </c>
      <c r="AA447" s="61">
        <f t="shared" ca="1" si="28"/>
        <v>-1.9765268412362276</v>
      </c>
      <c r="AB447" s="61">
        <f t="shared" ca="1" si="28"/>
        <v>-0.24837236343350969</v>
      </c>
      <c r="AC447" s="61">
        <f t="shared" ca="1" si="28"/>
        <v>1.5237227868005128</v>
      </c>
      <c r="AD447" s="37"/>
      <c r="AE447" s="62">
        <f t="array" aca="1" ref="AE447:AH447" ca="1">TRANSPOSE($B$9:$B$12 + MMULT($D$9:$G$12,TRANSPOSE(AO447:AR447)) + MMULT($N$9:$Q$12, TRANSPOSE(Z447:AC447)))</f>
        <v>0.52903857492757878</v>
      </c>
      <c r="AF447" s="62">
        <f ca="1"/>
        <v>-0.80619801402382374</v>
      </c>
      <c r="AG447" s="62">
        <f ca="1"/>
        <v>0.69180176616929367</v>
      </c>
      <c r="AH447" s="62">
        <f ca="1"/>
        <v>1.1891905107901299</v>
      </c>
      <c r="AI447" s="37"/>
      <c r="AJ447" s="61">
        <f t="shared" ca="1" si="29"/>
        <v>-0.64371427552530947</v>
      </c>
      <c r="AK447" s="61">
        <f t="shared" ca="1" si="29"/>
        <v>-0.93122700846932394</v>
      </c>
      <c r="AL447" s="61">
        <f t="shared" ca="1" si="29"/>
        <v>0.70620272269081052</v>
      </c>
      <c r="AM447" s="61">
        <f t="shared" ca="1" si="29"/>
        <v>-5.8293488446110868E-2</v>
      </c>
      <c r="AN447" s="37"/>
      <c r="AO447" s="62">
        <f t="array" aca="1" ref="AO447:AR447" ca="1">TRANSPOSE($B$17:$B$20 + MMULT($D$17:$G$20,TRANSPOSE(AO446:AR446)) + MMULT($N$17:$Q$20,TRANSPOSE(AJ447:AM447)))</f>
        <v>0.22148096121856078</v>
      </c>
      <c r="AP447" s="62">
        <f ca="1"/>
        <v>-3.5145841393048383E-2</v>
      </c>
      <c r="AQ447" s="62">
        <f ca="1"/>
        <v>0.7160372278305871</v>
      </c>
      <c r="AR447" s="62">
        <f ca="1"/>
        <v>0.66097264418399981</v>
      </c>
    </row>
    <row r="448" spans="25:44" x14ac:dyDescent="0.15">
      <c r="Y448" s="8">
        <f t="shared" si="30"/>
        <v>445</v>
      </c>
      <c r="Z448" s="61">
        <f t="shared" ca="1" si="28"/>
        <v>-0.72357650845983223</v>
      </c>
      <c r="AA448" s="61">
        <f t="shared" ca="1" si="28"/>
        <v>-0.33623533982803833</v>
      </c>
      <c r="AB448" s="61">
        <f t="shared" ca="1" si="28"/>
        <v>-0.34135657081087728</v>
      </c>
      <c r="AC448" s="61">
        <f t="shared" ca="1" si="28"/>
        <v>-0.2066751928659035</v>
      </c>
      <c r="AD448" s="37"/>
      <c r="AE448" s="62">
        <f t="array" aca="1" ref="AE448:AH448" ca="1">TRANSPOSE($B$9:$B$12 + MMULT($D$9:$G$12,TRANSPOSE(AO448:AR448)) + MMULT($N$9:$Q$12, TRANSPOSE(Z448:AC448)))</f>
        <v>0.37887951509676415</v>
      </c>
      <c r="AF448" s="62">
        <f ca="1"/>
        <v>0.75920414999011121</v>
      </c>
      <c r="AG448" s="62">
        <f ca="1"/>
        <v>0.47312246590628637</v>
      </c>
      <c r="AH448" s="62">
        <f ca="1"/>
        <v>0.3218580519466937</v>
      </c>
      <c r="AI448" s="37"/>
      <c r="AJ448" s="61">
        <f t="shared" ca="1" si="29"/>
        <v>0.63200114378323735</v>
      </c>
      <c r="AK448" s="61">
        <f t="shared" ca="1" si="29"/>
        <v>1.2472231540258492</v>
      </c>
      <c r="AL448" s="61">
        <f t="shared" ca="1" si="29"/>
        <v>-0.36660305296739903</v>
      </c>
      <c r="AM448" s="61">
        <f t="shared" ca="1" si="29"/>
        <v>0.31967844796892836</v>
      </c>
      <c r="AN448" s="37"/>
      <c r="AO448" s="62">
        <f t="array" aca="1" ref="AO448:AR448" ca="1">TRANSPOSE($B$17:$B$20 + MMULT($D$17:$G$20,TRANSPOSE(AO447:AR447)) + MMULT($N$17:$Q$20,TRANSPOSE(AJ448:AM448)))</f>
        <v>0.68006885687623742</v>
      </c>
      <c r="AP448" s="62">
        <f ca="1"/>
        <v>0.79979860110786527</v>
      </c>
      <c r="AQ448" s="62">
        <f ca="1"/>
        <v>0.1654320310667397</v>
      </c>
      <c r="AR448" s="62">
        <f ca="1"/>
        <v>0.47991475187977078</v>
      </c>
    </row>
    <row r="449" spans="25:44" x14ac:dyDescent="0.15">
      <c r="Y449" s="8">
        <f t="shared" si="30"/>
        <v>446</v>
      </c>
      <c r="Z449" s="61">
        <f t="shared" ca="1" si="28"/>
        <v>-1.3490695898019456</v>
      </c>
      <c r="AA449" s="61">
        <f t="shared" ca="1" si="28"/>
        <v>-0.3118049194546928</v>
      </c>
      <c r="AB449" s="61">
        <f t="shared" ca="1" si="28"/>
        <v>0.37440730575425707</v>
      </c>
      <c r="AC449" s="61">
        <f t="shared" ca="1" si="28"/>
        <v>1.4724553059504895</v>
      </c>
      <c r="AD449" s="37"/>
      <c r="AE449" s="62">
        <f t="array" aca="1" ref="AE449:AH449" ca="1">TRANSPOSE($B$9:$B$12 + MMULT($D$9:$G$12,TRANSPOSE(AO449:AR449)) + MMULT($N$9:$Q$12, TRANSPOSE(Z449:AC449)))</f>
        <v>0.68387458558510938</v>
      </c>
      <c r="AF449" s="62">
        <f ca="1"/>
        <v>-0.35137562458535593</v>
      </c>
      <c r="AG449" s="62">
        <f ca="1"/>
        <v>1.3105075670766788</v>
      </c>
      <c r="AH449" s="62">
        <f ca="1"/>
        <v>1.4002888219601324</v>
      </c>
      <c r="AI449" s="37"/>
      <c r="AJ449" s="61">
        <f t="shared" ca="1" si="29"/>
        <v>-0.14758572624935343</v>
      </c>
      <c r="AK449" s="61">
        <f t="shared" ca="1" si="29"/>
        <v>-1.3546055471667386</v>
      </c>
      <c r="AL449" s="61">
        <f t="shared" ca="1" si="29"/>
        <v>1.4755054014512587</v>
      </c>
      <c r="AM449" s="61">
        <f t="shared" ca="1" si="29"/>
        <v>-0.43822981606133216</v>
      </c>
      <c r="AN449" s="37"/>
      <c r="AO449" s="62">
        <f t="array" aca="1" ref="AO449:AR449" ca="1">TRANSPOSE($B$17:$B$20 + MMULT($D$17:$G$20,TRANSPOSE(AO448:AR448)) + MMULT($N$17:$Q$20,TRANSPOSE(AJ449:AM449)))</f>
        <v>0.5071915724672007</v>
      </c>
      <c r="AP449" s="62">
        <f ca="1"/>
        <v>2.7317223400580293E-4</v>
      </c>
      <c r="AQ449" s="62">
        <f ca="1"/>
        <v>1.3330394847109823</v>
      </c>
      <c r="AR449" s="62">
        <f ca="1"/>
        <v>0.82959638910556155</v>
      </c>
    </row>
    <row r="450" spans="25:44" x14ac:dyDescent="0.15">
      <c r="Y450" s="8">
        <f t="shared" si="30"/>
        <v>447</v>
      </c>
      <c r="Z450" s="61">
        <f t="shared" ca="1" si="28"/>
        <v>6.2903320147485994E-2</v>
      </c>
      <c r="AA450" s="61">
        <f t="shared" ca="1" si="28"/>
        <v>0.26324945931354315</v>
      </c>
      <c r="AB450" s="61">
        <f t="shared" ca="1" si="28"/>
        <v>1.9312035270766321</v>
      </c>
      <c r="AC450" s="61">
        <f t="shared" ca="1" si="28"/>
        <v>-1.7311930695993698</v>
      </c>
      <c r="AD450" s="37"/>
      <c r="AE450" s="62">
        <f t="array" aca="1" ref="AE450:AH450" ca="1">TRANSPOSE($B$9:$B$12 + MMULT($D$9:$G$12,TRANSPOSE(AO450:AR450)) + MMULT($N$9:$Q$12, TRANSPOSE(Z450:AC450)))</f>
        <v>0.40821395967425778</v>
      </c>
      <c r="AF450" s="62">
        <f ca="1"/>
        <v>1.3665914468403086</v>
      </c>
      <c r="AG450" s="62">
        <f ca="1"/>
        <v>1.4408628010699827</v>
      </c>
      <c r="AH450" s="62">
        <f ca="1"/>
        <v>-0.50557047846510805</v>
      </c>
      <c r="AI450" s="37"/>
      <c r="AJ450" s="61">
        <f t="shared" ca="1" si="29"/>
        <v>0.4083216222203071</v>
      </c>
      <c r="AK450" s="61">
        <f t="shared" ca="1" si="29"/>
        <v>0.89298519706426149</v>
      </c>
      <c r="AL450" s="61">
        <f t="shared" ca="1" si="29"/>
        <v>-2.0631182941298474</v>
      </c>
      <c r="AM450" s="61">
        <f t="shared" ca="1" si="29"/>
        <v>0.27212328857476831</v>
      </c>
      <c r="AN450" s="37"/>
      <c r="AO450" s="62">
        <f t="array" aca="1" ref="AO450:AR450" ca="1">TRANSPOSE($B$17:$B$20 + MMULT($D$17:$G$20,TRANSPOSE(AO449:AR449)) + MMULT($N$17:$Q$20,TRANSPOSE(AJ450:AM450)))</f>
        <v>0.78152113201612683</v>
      </c>
      <c r="AP450" s="62">
        <f ca="1"/>
        <v>0.82255378342937058</v>
      </c>
      <c r="AQ450" s="62">
        <f ca="1"/>
        <v>-0.35709716020168303</v>
      </c>
      <c r="AR450" s="62">
        <f ca="1"/>
        <v>0.59493097658124605</v>
      </c>
    </row>
    <row r="451" spans="25:44" x14ac:dyDescent="0.15">
      <c r="Y451" s="8">
        <f t="shared" si="30"/>
        <v>448</v>
      </c>
      <c r="Z451" s="61">
        <f t="shared" ca="1" si="28"/>
        <v>1.9009049437738279</v>
      </c>
      <c r="AA451" s="61">
        <f t="shared" ca="1" si="28"/>
        <v>-0.57118881718242731</v>
      </c>
      <c r="AB451" s="61">
        <f t="shared" ca="1" si="28"/>
        <v>-8.6884882106719144E-2</v>
      </c>
      <c r="AC451" s="61">
        <f ca="1">NORMSINV(RAND())</f>
        <v>0.51524890098393583</v>
      </c>
      <c r="AD451" s="37"/>
      <c r="AE451" s="62">
        <f t="array" aca="1" ref="AE451:AH451" ca="1">TRANSPOSE($B$9:$B$12 + MMULT($D$9:$G$12,TRANSPOSE(AO451:AR451)) + MMULT($N$9:$Q$12, TRANSPOSE(Z451:AC451)))</f>
        <v>1.0614981199889144</v>
      </c>
      <c r="AF451" s="62">
        <f ca="1"/>
        <v>0.76561744110603891</v>
      </c>
      <c r="AG451" s="62">
        <f ca="1"/>
        <v>0.17400871311922284</v>
      </c>
      <c r="AH451" s="62">
        <f ca="1"/>
        <v>0.54726966951321454</v>
      </c>
      <c r="AI451" s="37"/>
      <c r="AJ451" s="61">
        <f t="shared" ca="1" si="29"/>
        <v>-0.5607256404805453</v>
      </c>
      <c r="AK451" s="61">
        <f t="shared" ca="1" si="29"/>
        <v>-0.54370606614176931</v>
      </c>
      <c r="AL451" s="61">
        <f t="shared" ca="1" si="29"/>
        <v>-1.0738895869651739</v>
      </c>
      <c r="AM451" s="61">
        <f ca="1">NORMSINV(RAND())</f>
        <v>0.90526744779621593</v>
      </c>
      <c r="AN451" s="37"/>
      <c r="AO451" s="62">
        <f t="array" aca="1" ref="AO451:AR451" ca="1">TRANSPOSE($B$17:$B$20 + MMULT($D$17:$G$20,TRANSPOSE(AO450:AR450)) + MMULT($N$17:$Q$20,TRANSPOSE(AJ451:AM451)))</f>
        <v>0.32446753863233579</v>
      </c>
      <c r="AP451" s="62">
        <f ca="1"/>
        <v>0.35641383306378877</v>
      </c>
      <c r="AQ451" s="62">
        <f ca="1"/>
        <v>-6.930094958028965E-2</v>
      </c>
      <c r="AR451" s="62">
        <f ca="1"/>
        <v>0.53296398124356303</v>
      </c>
    </row>
    <row r="452" spans="25:44" x14ac:dyDescent="0.15">
      <c r="Y452" s="8">
        <f t="shared" si="30"/>
        <v>449</v>
      </c>
      <c r="Z452" s="61">
        <f t="shared" ref="Z452:AC515" ca="1" si="31">NORMSINV(RAND())</f>
        <v>1.9877476321407652</v>
      </c>
      <c r="AA452" s="61">
        <f t="shared" ca="1" si="31"/>
        <v>1.0426729397923489</v>
      </c>
      <c r="AB452" s="61">
        <f t="shared" ca="1" si="31"/>
        <v>1.5489643679825389</v>
      </c>
      <c r="AC452" s="61">
        <f t="shared" ca="1" si="31"/>
        <v>-0.44227597708965</v>
      </c>
      <c r="AD452" s="37"/>
      <c r="AE452" s="62">
        <f t="array" aca="1" ref="AE452:AH452" ca="1">TRANSPOSE($B$9:$B$12 + MMULT($D$9:$G$12,TRANSPOSE(AO452:AR452)) + MMULT($N$9:$Q$12, TRANSPOSE(Z452:AC452)))</f>
        <v>0.9450078647614194</v>
      </c>
      <c r="AF452" s="62">
        <f ca="1"/>
        <v>0.97847235764137541</v>
      </c>
      <c r="AG452" s="62">
        <f ca="1"/>
        <v>0.68653546807358845</v>
      </c>
      <c r="AH452" s="62">
        <f ca="1"/>
        <v>0.47457539672935167</v>
      </c>
      <c r="AI452" s="37"/>
      <c r="AJ452" s="61">
        <f t="shared" ref="AJ452:AM515" ca="1" si="32">NORMSINV(RAND())</f>
        <v>-1.5933048563016032</v>
      </c>
      <c r="AK452" s="61">
        <f t="shared" ca="1" si="32"/>
        <v>-0.39436535775525816</v>
      </c>
      <c r="AL452" s="61">
        <f t="shared" ca="1" si="32"/>
        <v>0.29245631673679606</v>
      </c>
      <c r="AM452" s="61">
        <f t="shared" ca="1" si="32"/>
        <v>0.72727256904265269</v>
      </c>
      <c r="AN452" s="37"/>
      <c r="AO452" s="62">
        <f t="array" aca="1" ref="AO452:AR452" ca="1">TRANSPOSE($B$17:$B$20 + MMULT($D$17:$G$20,TRANSPOSE(AO451:AR451)) + MMULT($N$17:$Q$20,TRANSPOSE(AJ452:AM452)))</f>
        <v>-0.13632308518342068</v>
      </c>
      <c r="AP452" s="62">
        <f ca="1"/>
        <v>0.14242625931796901</v>
      </c>
      <c r="AQ452" s="62">
        <f ca="1"/>
        <v>0.1771595114811525</v>
      </c>
      <c r="AR452" s="62">
        <f ca="1"/>
        <v>0.49995738036542414</v>
      </c>
    </row>
    <row r="453" spans="25:44" x14ac:dyDescent="0.15">
      <c r="Y453" s="8">
        <f t="shared" ref="Y453:Y516" si="33">Y452+1</f>
        <v>450</v>
      </c>
      <c r="Z453" s="61">
        <f t="shared" ca="1" si="31"/>
        <v>-2.0995011502911148E-2</v>
      </c>
      <c r="AA453" s="61">
        <f t="shared" ca="1" si="31"/>
        <v>-0.27536565831821752</v>
      </c>
      <c r="AB453" s="61">
        <f t="shared" ca="1" si="31"/>
        <v>2.1853409347586297</v>
      </c>
      <c r="AC453" s="61">
        <f t="shared" ca="1" si="31"/>
        <v>0.30748975386259197</v>
      </c>
      <c r="AD453" s="37"/>
      <c r="AE453" s="62">
        <f t="array" aca="1" ref="AE453:AH453" ca="1">TRANSPOSE($B$9:$B$12 + MMULT($D$9:$G$12,TRANSPOSE(AO453:AR453)) + MMULT($N$9:$Q$12, TRANSPOSE(Z453:AC453)))</f>
        <v>0.74346484727122886</v>
      </c>
      <c r="AF453" s="62">
        <f ca="1"/>
        <v>0.29876692087712353</v>
      </c>
      <c r="AG453" s="62">
        <f ca="1"/>
        <v>1.7053166407123799</v>
      </c>
      <c r="AH453" s="62">
        <f ca="1"/>
        <v>0.35289592296196931</v>
      </c>
      <c r="AI453" s="37"/>
      <c r="AJ453" s="61">
        <f t="shared" ca="1" si="32"/>
        <v>0.87887972089377053</v>
      </c>
      <c r="AK453" s="61">
        <f t="shared" ca="1" si="32"/>
        <v>1.4147107721980643E-2</v>
      </c>
      <c r="AL453" s="61">
        <f t="shared" ca="1" si="32"/>
        <v>5.1080478884076859E-2</v>
      </c>
      <c r="AM453" s="61">
        <f t="shared" ca="1" si="32"/>
        <v>0.56412727734316848</v>
      </c>
      <c r="AN453" s="37"/>
      <c r="AO453" s="62">
        <f t="array" aca="1" ref="AO453:AR453" ca="1">TRANSPOSE($B$17:$B$20 + MMULT($D$17:$G$20,TRANSPOSE(AO452:AR452)) + MMULT($N$17:$Q$20,TRANSPOSE(AJ453:AM453)))</f>
        <v>0.59482527088536963</v>
      </c>
      <c r="AP453" s="62">
        <f ca="1"/>
        <v>0.1467265391224378</v>
      </c>
      <c r="AQ453" s="62">
        <f ca="1"/>
        <v>0.39223698092602377</v>
      </c>
      <c r="AR453" s="62">
        <f ca="1"/>
        <v>0.62716206418711207</v>
      </c>
    </row>
    <row r="454" spans="25:44" x14ac:dyDescent="0.15">
      <c r="Y454" s="8">
        <f t="shared" si="33"/>
        <v>451</v>
      </c>
      <c r="Z454" s="61">
        <f t="shared" ca="1" si="31"/>
        <v>-0.51541588293231466</v>
      </c>
      <c r="AA454" s="61">
        <f t="shared" ca="1" si="31"/>
        <v>0.53695495692739337</v>
      </c>
      <c r="AB454" s="61">
        <f t="shared" ca="1" si="31"/>
        <v>-1.8223307829740845</v>
      </c>
      <c r="AC454" s="61">
        <f t="shared" ca="1" si="31"/>
        <v>-2.4206665939475065</v>
      </c>
      <c r="AD454" s="37"/>
      <c r="AE454" s="62">
        <f t="array" aca="1" ref="AE454:AH454" ca="1">TRANSPOSE($B$9:$B$12 + MMULT($D$9:$G$12,TRANSPOSE(AO454:AR454)) + MMULT($N$9:$Q$12, TRANSPOSE(Z454:AC454)))</f>
        <v>0.275584946853072</v>
      </c>
      <c r="AF454" s="62">
        <f ca="1"/>
        <v>0.96230007174000798</v>
      </c>
      <c r="AG454" s="62">
        <f ca="1"/>
        <v>-9.5494631358165938E-2</v>
      </c>
      <c r="AH454" s="62">
        <f ca="1"/>
        <v>-0.13179771405851221</v>
      </c>
      <c r="AI454" s="37"/>
      <c r="AJ454" s="61">
        <f t="shared" ca="1" si="32"/>
        <v>6.948258718252108E-2</v>
      </c>
      <c r="AK454" s="61">
        <f t="shared" ca="1" si="32"/>
        <v>0.43817174449294749</v>
      </c>
      <c r="AL454" s="61">
        <f t="shared" ca="1" si="32"/>
        <v>-0.74058174709477809</v>
      </c>
      <c r="AM454" s="61">
        <f t="shared" ca="1" si="32"/>
        <v>0.63783464339969842</v>
      </c>
      <c r="AN454" s="37"/>
      <c r="AO454" s="62">
        <f t="array" aca="1" ref="AO454:AR454" ca="1">TRANSPOSE($B$17:$B$20 + MMULT($D$17:$G$20,TRANSPOSE(AO453:AR453)) + MMULT($N$17:$Q$20,TRANSPOSE(AJ454:AM454)))</f>
        <v>0.55177512183476785</v>
      </c>
      <c r="AP454" s="62">
        <f ca="1"/>
        <v>0.59698549992357286</v>
      </c>
      <c r="AQ454" s="62">
        <f ca="1"/>
        <v>2.138138675046003E-2</v>
      </c>
      <c r="AR454" s="62">
        <f ca="1"/>
        <v>0.53670047943286581</v>
      </c>
    </row>
    <row r="455" spans="25:44" x14ac:dyDescent="0.15">
      <c r="Y455" s="8">
        <f t="shared" si="33"/>
        <v>452</v>
      </c>
      <c r="Z455" s="61">
        <f t="shared" ca="1" si="31"/>
        <v>1.3126818163802951</v>
      </c>
      <c r="AA455" s="61">
        <f t="shared" ca="1" si="31"/>
        <v>1.0049609148287866</v>
      </c>
      <c r="AB455" s="61">
        <f t="shared" ca="1" si="31"/>
        <v>-0.26724714898321428</v>
      </c>
      <c r="AC455" s="61">
        <f t="shared" ca="1" si="31"/>
        <v>1.087834110081072</v>
      </c>
      <c r="AD455" s="37"/>
      <c r="AE455" s="62">
        <f t="array" aca="1" ref="AE455:AH455" ca="1">TRANSPOSE($B$9:$B$12 + MMULT($D$9:$G$12,TRANSPOSE(AO455:AR455)) + MMULT($N$9:$Q$12, TRANSPOSE(Z455:AC455)))</f>
        <v>1.5860029983418658</v>
      </c>
      <c r="AF455" s="62">
        <f ca="1"/>
        <v>1.5880437292652441</v>
      </c>
      <c r="AG455" s="62">
        <f ca="1"/>
        <v>-0.31153485081345272</v>
      </c>
      <c r="AH455" s="62">
        <f ca="1"/>
        <v>1.1607343501249838</v>
      </c>
      <c r="AI455" s="37"/>
      <c r="AJ455" s="61">
        <f t="shared" ca="1" si="32"/>
        <v>0.14221445913544939</v>
      </c>
      <c r="AK455" s="61">
        <f t="shared" ca="1" si="32"/>
        <v>1.2038880022029665</v>
      </c>
      <c r="AL455" s="61">
        <f t="shared" ca="1" si="32"/>
        <v>1.0846234541006072</v>
      </c>
      <c r="AM455" s="61">
        <f t="shared" ca="1" si="32"/>
        <v>-0.73494936547943668</v>
      </c>
      <c r="AN455" s="37"/>
      <c r="AO455" s="62">
        <f t="array" aca="1" ref="AO455:AR455" ca="1">TRANSPOSE($B$17:$B$20 + MMULT($D$17:$G$20,TRANSPOSE(AO454:AR454)) + MMULT($N$17:$Q$20,TRANSPOSE(AJ455:AM455)))</f>
        <v>0.53804685980069489</v>
      </c>
      <c r="AP455" s="62">
        <f ca="1"/>
        <v>0.98358235890949752</v>
      </c>
      <c r="AQ455" s="62">
        <f ca="1"/>
        <v>0.79524526982830634</v>
      </c>
      <c r="AR455" s="62">
        <f ca="1"/>
        <v>0.19289492892170113</v>
      </c>
    </row>
    <row r="456" spans="25:44" x14ac:dyDescent="0.15">
      <c r="Y456" s="8">
        <f t="shared" si="33"/>
        <v>453</v>
      </c>
      <c r="Z456" s="61">
        <f t="shared" ca="1" si="31"/>
        <v>-1.7121995388343639E-2</v>
      </c>
      <c r="AA456" s="61">
        <f t="shared" ca="1" si="31"/>
        <v>0.35026937452175944</v>
      </c>
      <c r="AB456" s="61">
        <f t="shared" ca="1" si="31"/>
        <v>-3.6594573502831997E-2</v>
      </c>
      <c r="AC456" s="61">
        <f t="shared" ca="1" si="31"/>
        <v>0.18092592460999957</v>
      </c>
      <c r="AD456" s="37"/>
      <c r="AE456" s="62">
        <f t="array" aca="1" ref="AE456:AH456" ca="1">TRANSPOSE($B$9:$B$12 + MMULT($D$9:$G$12,TRANSPOSE(AO456:AR456)) + MMULT($N$9:$Q$12, TRANSPOSE(Z456:AC456)))</f>
        <v>0.98503844446946776</v>
      </c>
      <c r="AF456" s="62">
        <f ca="1"/>
        <v>1.0566584152463876</v>
      </c>
      <c r="AG456" s="62">
        <f ca="1"/>
        <v>1.5826781067819655</v>
      </c>
      <c r="AH456" s="62">
        <f ca="1"/>
        <v>0.76816109306999181</v>
      </c>
      <c r="AI456" s="37"/>
      <c r="AJ456" s="61">
        <f t="shared" ca="1" si="32"/>
        <v>1.5614223599359536</v>
      </c>
      <c r="AK456" s="61">
        <f t="shared" ca="1" si="32"/>
        <v>-0.53984309592041646</v>
      </c>
      <c r="AL456" s="61">
        <f t="shared" ca="1" si="32"/>
        <v>-1.204150850284218</v>
      </c>
      <c r="AM456" s="61">
        <f t="shared" ca="1" si="32"/>
        <v>2.7051460360997823</v>
      </c>
      <c r="AN456" s="37"/>
      <c r="AO456" s="62">
        <f t="array" aca="1" ref="AO456:AR456" ca="1">TRANSPOSE($B$17:$B$20 + MMULT($D$17:$G$20,TRANSPOSE(AO455:AR455)) + MMULT($N$17:$Q$20,TRANSPOSE(AJ456:AM456)))</f>
        <v>1.1378433566635451</v>
      </c>
      <c r="AP456" s="62">
        <f ca="1"/>
        <v>0.36750067328782043</v>
      </c>
      <c r="AQ456" s="62">
        <f ca="1"/>
        <v>0.54710439698386681</v>
      </c>
      <c r="AR456" s="62">
        <f ca="1"/>
        <v>1.4542994168266552</v>
      </c>
    </row>
    <row r="457" spans="25:44" x14ac:dyDescent="0.15">
      <c r="Y457" s="8">
        <f t="shared" si="33"/>
        <v>454</v>
      </c>
      <c r="Z457" s="61">
        <f t="shared" ca="1" si="31"/>
        <v>0.54874847937812454</v>
      </c>
      <c r="AA457" s="61">
        <f t="shared" ca="1" si="31"/>
        <v>0.44055015089964245</v>
      </c>
      <c r="AB457" s="61">
        <f t="shared" ca="1" si="31"/>
        <v>-0.43022525728968453</v>
      </c>
      <c r="AC457" s="61">
        <f t="shared" ca="1" si="31"/>
        <v>-0.39014660404250201</v>
      </c>
      <c r="AD457" s="37"/>
      <c r="AE457" s="62">
        <f t="array" aca="1" ref="AE457:AH457" ca="1">TRANSPOSE($B$9:$B$12 + MMULT($D$9:$G$12,TRANSPOSE(AO457:AR457)) + MMULT($N$9:$Q$12, TRANSPOSE(Z457:AC457)))</f>
        <v>1.4429533381604966</v>
      </c>
      <c r="AF457" s="62">
        <f ca="1"/>
        <v>1.1072195429607201</v>
      </c>
      <c r="AG457" s="62">
        <f ca="1"/>
        <v>0.54931111116313869</v>
      </c>
      <c r="AH457" s="62">
        <f ca="1"/>
        <v>1.3489674796111502</v>
      </c>
      <c r="AI457" s="37"/>
      <c r="AJ457" s="61">
        <f t="shared" ca="1" si="32"/>
        <v>-0.19343587851167207</v>
      </c>
      <c r="AK457" s="61">
        <f t="shared" ca="1" si="32"/>
        <v>-8.0799006171867943E-2</v>
      </c>
      <c r="AL457" s="61">
        <f t="shared" ca="1" si="32"/>
        <v>1.4157539867919289</v>
      </c>
      <c r="AM457" s="61">
        <f t="shared" ca="1" si="32"/>
        <v>-8.274850590803183E-2</v>
      </c>
      <c r="AN457" s="37"/>
      <c r="AO457" s="62">
        <f t="array" aca="1" ref="AO457:AR457" ca="1">TRANSPOSE($B$17:$B$20 + MMULT($D$17:$G$20,TRANSPOSE(AO456:AR456)) + MMULT($N$17:$Q$20,TRANSPOSE(AJ457:AM457)))</f>
        <v>0.68397511380585141</v>
      </c>
      <c r="AP457" s="62">
        <f ca="1"/>
        <v>0.74925441364078504</v>
      </c>
      <c r="AQ457" s="62">
        <f ca="1"/>
        <v>1.2426656611232592</v>
      </c>
      <c r="AR457" s="62">
        <f ca="1"/>
        <v>1.0039497288044326</v>
      </c>
    </row>
    <row r="458" spans="25:44" x14ac:dyDescent="0.15">
      <c r="Y458" s="8">
        <f t="shared" si="33"/>
        <v>455</v>
      </c>
      <c r="Z458" s="61">
        <f t="shared" ca="1" si="31"/>
        <v>2.7178578495417485</v>
      </c>
      <c r="AA458" s="61">
        <f t="shared" ca="1" si="31"/>
        <v>0.23199286552476173</v>
      </c>
      <c r="AB458" s="61">
        <f t="shared" ca="1" si="31"/>
        <v>-3.293434207963144</v>
      </c>
      <c r="AC458" s="61">
        <f t="shared" ca="1" si="31"/>
        <v>1.5210968252708628</v>
      </c>
      <c r="AD458" s="37"/>
      <c r="AE458" s="62">
        <f t="array" aca="1" ref="AE458:AH458" ca="1">TRANSPOSE($B$9:$B$12 + MMULT($D$9:$G$12,TRANSPOSE(AO458:AR458)) + MMULT($N$9:$Q$12, TRANSPOSE(Z458:AC458)))</f>
        <v>2.9134658263971316</v>
      </c>
      <c r="AF458" s="62">
        <f ca="1"/>
        <v>1.36391277969122</v>
      </c>
      <c r="AG458" s="62">
        <f ca="1"/>
        <v>-0.7111155604720758</v>
      </c>
      <c r="AH458" s="62">
        <f ca="1"/>
        <v>2.9328306099133323</v>
      </c>
      <c r="AI458" s="37"/>
      <c r="AJ458" s="61">
        <f t="shared" ca="1" si="32"/>
        <v>0.3044797914204378</v>
      </c>
      <c r="AK458" s="61">
        <f t="shared" ca="1" si="32"/>
        <v>1.6910125436124971E-2</v>
      </c>
      <c r="AL458" s="61">
        <f t="shared" ca="1" si="32"/>
        <v>2.8527295730466631</v>
      </c>
      <c r="AM458" s="61">
        <f t="shared" ca="1" si="32"/>
        <v>0.29171429028995521</v>
      </c>
      <c r="AN458" s="37"/>
      <c r="AO458" s="62">
        <f t="array" aca="1" ref="AO458:AR458" ca="1">TRANSPOSE($B$17:$B$20 + MMULT($D$17:$G$20,TRANSPOSE(AO457:AR457)) + MMULT($N$17:$Q$20,TRANSPOSE(AJ458:AM458)))</f>
        <v>0.8416126843958226</v>
      </c>
      <c r="AP458" s="62">
        <f ca="1"/>
        <v>0.72674300184727769</v>
      </c>
      <c r="AQ458" s="62">
        <f ca="1"/>
        <v>2.1679894356304299</v>
      </c>
      <c r="AR458" s="62">
        <f ca="1"/>
        <v>1.4356760103087631</v>
      </c>
    </row>
    <row r="459" spans="25:44" x14ac:dyDescent="0.15">
      <c r="Y459" s="8">
        <f t="shared" si="33"/>
        <v>456</v>
      </c>
      <c r="Z459" s="61">
        <f t="shared" ca="1" si="31"/>
        <v>1.2089877311545176</v>
      </c>
      <c r="AA459" s="61">
        <f t="shared" ca="1" si="31"/>
        <v>1.9618624507164535</v>
      </c>
      <c r="AB459" s="61">
        <f t="shared" ca="1" si="31"/>
        <v>1.1252545430286065</v>
      </c>
      <c r="AC459" s="61">
        <f t="shared" ca="1" si="31"/>
        <v>0.10151135580905003</v>
      </c>
      <c r="AD459" s="37"/>
      <c r="AE459" s="62">
        <f t="array" aca="1" ref="AE459:AH459" ca="1">TRANSPOSE($B$9:$B$12 + MMULT($D$9:$G$12,TRANSPOSE(AO459:AR459)) + MMULT($N$9:$Q$12, TRANSPOSE(Z459:AC459)))</f>
        <v>1.1709205580985362</v>
      </c>
      <c r="AF459" s="62">
        <f ca="1"/>
        <v>2.6394354725926483</v>
      </c>
      <c r="AG459" s="62">
        <f ca="1"/>
        <v>0.41719209814759284</v>
      </c>
      <c r="AH459" s="62">
        <f ca="1"/>
        <v>1.0901919222037191</v>
      </c>
      <c r="AI459" s="37"/>
      <c r="AJ459" s="61">
        <f t="shared" ca="1" si="32"/>
        <v>-1.4345124468486528</v>
      </c>
      <c r="AK459" s="61">
        <f t="shared" ca="1" si="32"/>
        <v>1.8501127921256457</v>
      </c>
      <c r="AL459" s="61">
        <f t="shared" ca="1" si="32"/>
        <v>-0.2102104150909932</v>
      </c>
      <c r="AM459" s="61">
        <f t="shared" ca="1" si="32"/>
        <v>-1.105247402058783</v>
      </c>
      <c r="AN459" s="37"/>
      <c r="AO459" s="62">
        <f t="array" aca="1" ref="AO459:AR459" ca="1">TRANSPOSE($B$17:$B$20 + MMULT($D$17:$G$20,TRANSPOSE(AO458:AR458)) + MMULT($N$17:$Q$20,TRANSPOSE(AJ459:AM459)))</f>
        <v>0.45385348040588769</v>
      </c>
      <c r="AP459" s="62">
        <f ca="1"/>
        <v>1.6552389091057642</v>
      </c>
      <c r="AQ459" s="62">
        <f ca="1"/>
        <v>0.574109021831398</v>
      </c>
      <c r="AR459" s="62">
        <f ca="1"/>
        <v>0.67095971005476751</v>
      </c>
    </row>
    <row r="460" spans="25:44" x14ac:dyDescent="0.15">
      <c r="Y460" s="8">
        <f t="shared" si="33"/>
        <v>457</v>
      </c>
      <c r="Z460" s="61">
        <f t="shared" ca="1" si="31"/>
        <v>0.15868868435413699</v>
      </c>
      <c r="AA460" s="61">
        <f t="shared" ca="1" si="31"/>
        <v>-7.5768248698545634E-2</v>
      </c>
      <c r="AB460" s="61">
        <f t="shared" ca="1" si="31"/>
        <v>-0.60839286863380437</v>
      </c>
      <c r="AC460" s="61">
        <f t="shared" ca="1" si="31"/>
        <v>0.97846496133115524</v>
      </c>
      <c r="AD460" s="37"/>
      <c r="AE460" s="62">
        <f t="array" aca="1" ref="AE460:AH460" ca="1">TRANSPOSE($B$9:$B$12 + MMULT($D$9:$G$12,TRANSPOSE(AO460:AR460)) + MMULT($N$9:$Q$12, TRANSPOSE(Z460:AC460)))</f>
        <v>0.59057276896728783</v>
      </c>
      <c r="AF460" s="62">
        <f ca="1"/>
        <v>0.75552973434666393</v>
      </c>
      <c r="AG460" s="62">
        <f ca="1"/>
        <v>0.44592578135244648</v>
      </c>
      <c r="AH460" s="62">
        <f ca="1"/>
        <v>1.7127390748537361</v>
      </c>
      <c r="AI460" s="37"/>
      <c r="AJ460" s="61">
        <f t="shared" ca="1" si="32"/>
        <v>-1.6030671346300303</v>
      </c>
      <c r="AK460" s="61">
        <f t="shared" ca="1" si="32"/>
        <v>6.395551123154343E-2</v>
      </c>
      <c r="AL460" s="61">
        <f t="shared" ca="1" si="32"/>
        <v>0.57582902816616</v>
      </c>
      <c r="AM460" s="61">
        <f t="shared" ca="1" si="32"/>
        <v>1.7126535319570158</v>
      </c>
      <c r="AN460" s="37"/>
      <c r="AO460" s="62">
        <f t="array" aca="1" ref="AO460:AR460" ca="1">TRANSPOSE($B$17:$B$20 + MMULT($D$17:$G$20,TRANSPOSE(AO459:AR459)) + MMULT($N$17:$Q$20,TRANSPOSE(AJ460:AM460)))</f>
        <v>8.9459051975005588E-2</v>
      </c>
      <c r="AP460" s="62">
        <f ca="1"/>
        <v>0.78496994471816928</v>
      </c>
      <c r="AQ460" s="62">
        <f ca="1"/>
        <v>0.88216895963285191</v>
      </c>
      <c r="AR460" s="62">
        <f ca="1"/>
        <v>1.1294658713399492</v>
      </c>
    </row>
    <row r="461" spans="25:44" x14ac:dyDescent="0.15">
      <c r="Y461" s="8">
        <f t="shared" si="33"/>
        <v>458</v>
      </c>
      <c r="Z461" s="61">
        <f t="shared" ca="1" si="31"/>
        <v>-0.29708762912404885</v>
      </c>
      <c r="AA461" s="61">
        <f t="shared" ca="1" si="31"/>
        <v>0.12788545744878313</v>
      </c>
      <c r="AB461" s="61">
        <f t="shared" ca="1" si="31"/>
        <v>0.49967209708471078</v>
      </c>
      <c r="AC461" s="61">
        <f t="shared" ca="1" si="31"/>
        <v>-1.3847764871042207</v>
      </c>
      <c r="AD461" s="37"/>
      <c r="AE461" s="62">
        <f t="array" aca="1" ref="AE461:AH461" ca="1">TRANSPOSE($B$9:$B$12 + MMULT($D$9:$G$12,TRANSPOSE(AO461:AR461)) + MMULT($N$9:$Q$12, TRANSPOSE(Z461:AC461)))</f>
        <v>0.69475689040994548</v>
      </c>
      <c r="AF461" s="62">
        <f ca="1"/>
        <v>0.42421940465341923</v>
      </c>
      <c r="AG461" s="62">
        <f ca="1"/>
        <v>1.3896127295867828</v>
      </c>
      <c r="AH461" s="62">
        <f ca="1"/>
        <v>0.48088378193130243</v>
      </c>
      <c r="AI461" s="37"/>
      <c r="AJ461" s="61">
        <f t="shared" ca="1" si="32"/>
        <v>0.19119785001626821</v>
      </c>
      <c r="AK461" s="61">
        <f t="shared" ca="1" si="32"/>
        <v>-0.85201046834756822</v>
      </c>
      <c r="AL461" s="61">
        <f t="shared" ca="1" si="32"/>
        <v>-0.32926544900622057</v>
      </c>
      <c r="AM461" s="61">
        <f t="shared" ca="1" si="32"/>
        <v>3.0625157778229054E-2</v>
      </c>
      <c r="AN461" s="37"/>
      <c r="AO461" s="62">
        <f t="array" aca="1" ref="AO461:AR461" ca="1">TRANSPOSE($B$17:$B$20 + MMULT($D$17:$G$20,TRANSPOSE(AO460:AR460)) + MMULT($N$17:$Q$20,TRANSPOSE(AJ461:AM461)))</f>
        <v>0.60339756618049556</v>
      </c>
      <c r="AP461" s="62">
        <f ca="1"/>
        <v>0.16113483028693493</v>
      </c>
      <c r="AQ461" s="62">
        <f ca="1"/>
        <v>0.67904014528560175</v>
      </c>
      <c r="AR461" s="62">
        <f ca="1"/>
        <v>1.0599149051705563</v>
      </c>
    </row>
    <row r="462" spans="25:44" x14ac:dyDescent="0.15">
      <c r="Y462" s="8">
        <f t="shared" si="33"/>
        <v>459</v>
      </c>
      <c r="Z462" s="61">
        <f t="shared" ca="1" si="31"/>
        <v>3.3763508669623021E-2</v>
      </c>
      <c r="AA462" s="61">
        <f t="shared" ca="1" si="31"/>
        <v>0.220160597370679</v>
      </c>
      <c r="AB462" s="61">
        <f t="shared" ca="1" si="31"/>
        <v>-0.22661537086828104</v>
      </c>
      <c r="AC462" s="61">
        <f t="shared" ca="1" si="31"/>
        <v>0.50454125399096494</v>
      </c>
      <c r="AD462" s="37"/>
      <c r="AE462" s="62">
        <f t="array" aca="1" ref="AE462:AH462" ca="1">TRANSPOSE($B$9:$B$12 + MMULT($D$9:$G$12,TRANSPOSE(AO462:AR462)) + MMULT($N$9:$Q$12, TRANSPOSE(Z462:AC462)))</f>
        <v>1.12332898343497</v>
      </c>
      <c r="AF462" s="62">
        <f ca="1"/>
        <v>1.1859552645316289</v>
      </c>
      <c r="AG462" s="62">
        <f ca="1"/>
        <v>0.15447185840993274</v>
      </c>
      <c r="AH462" s="62">
        <f ca="1"/>
        <v>1.139671827304154</v>
      </c>
      <c r="AI462" s="37"/>
      <c r="AJ462" s="61">
        <f t="shared" ca="1" si="32"/>
        <v>0.13593953784466026</v>
      </c>
      <c r="AK462" s="61">
        <f t="shared" ca="1" si="32"/>
        <v>1.4200105042862432</v>
      </c>
      <c r="AL462" s="61">
        <f t="shared" ca="1" si="32"/>
        <v>1.2328759027374518</v>
      </c>
      <c r="AM462" s="61">
        <f t="shared" ca="1" si="32"/>
        <v>-0.77534098111077487</v>
      </c>
      <c r="AN462" s="37"/>
      <c r="AO462" s="62">
        <f t="array" aca="1" ref="AO462:AR462" ca="1">TRANSPOSE($B$17:$B$20 + MMULT($D$17:$G$20,TRANSPOSE(AO461:AR461)) + MMULT($N$17:$Q$20,TRANSPOSE(AJ462:AM462)))</f>
        <v>0.64082472291438741</v>
      </c>
      <c r="AP462" s="62">
        <f ca="1"/>
        <v>1.1027859014655017</v>
      </c>
      <c r="AQ462" s="62">
        <f ca="1"/>
        <v>0.90497688920157771</v>
      </c>
      <c r="AR462" s="62">
        <f ca="1"/>
        <v>0.4545262192627687</v>
      </c>
    </row>
    <row r="463" spans="25:44" x14ac:dyDescent="0.15">
      <c r="Y463" s="8">
        <f t="shared" si="33"/>
        <v>460</v>
      </c>
      <c r="Z463" s="61">
        <f t="shared" ca="1" si="31"/>
        <v>0.31840846184356469</v>
      </c>
      <c r="AA463" s="61">
        <f t="shared" ca="1" si="31"/>
        <v>-0.93879914539363352</v>
      </c>
      <c r="AB463" s="61">
        <f t="shared" ca="1" si="31"/>
        <v>-2.4951945570018438E-2</v>
      </c>
      <c r="AC463" s="61">
        <f t="shared" ca="1" si="31"/>
        <v>0.15790087315538542</v>
      </c>
      <c r="AD463" s="37"/>
      <c r="AE463" s="62">
        <f t="array" aca="1" ref="AE463:AH463" ca="1">TRANSPOSE($B$9:$B$12 + MMULT($D$9:$G$12,TRANSPOSE(AO463:AR463)) + MMULT($N$9:$Q$12, TRANSPOSE(Z463:AC463)))</f>
        <v>1.7280897093751655</v>
      </c>
      <c r="AF463" s="62">
        <f ca="1"/>
        <v>0.45848390678329176</v>
      </c>
      <c r="AG463" s="62">
        <f ca="1"/>
        <v>0.70398822385113435</v>
      </c>
      <c r="AH463" s="62">
        <f ca="1"/>
        <v>1.3376232592752704</v>
      </c>
      <c r="AI463" s="37"/>
      <c r="AJ463" s="61">
        <f t="shared" ca="1" si="32"/>
        <v>0.84776577198516334</v>
      </c>
      <c r="AK463" s="61">
        <f t="shared" ca="1" si="32"/>
        <v>-0.10760523332600923</v>
      </c>
      <c r="AL463" s="61">
        <f t="shared" ca="1" si="32"/>
        <v>0.93746991317707984</v>
      </c>
      <c r="AM463" s="61">
        <f t="shared" ca="1" si="32"/>
        <v>-1.0354943270586487</v>
      </c>
      <c r="AN463" s="37"/>
      <c r="AO463" s="62">
        <f t="array" aca="1" ref="AO463:AR463" ca="1">TRANSPOSE($B$17:$B$20 + MMULT($D$17:$G$20,TRANSPOSE(AO462:AR462)) + MMULT($N$17:$Q$20,TRANSPOSE(AJ463:AM463)))</f>
        <v>0.96198642112853916</v>
      </c>
      <c r="AP463" s="62">
        <f ca="1"/>
        <v>0.65319128610780053</v>
      </c>
      <c r="AQ463" s="62">
        <f ca="1"/>
        <v>1.4182619549429938</v>
      </c>
      <c r="AR463" s="62">
        <f ca="1"/>
        <v>0.77869148751740758</v>
      </c>
    </row>
    <row r="464" spans="25:44" x14ac:dyDescent="0.15">
      <c r="Y464" s="8">
        <f t="shared" si="33"/>
        <v>461</v>
      </c>
      <c r="Z464" s="61">
        <f t="shared" ca="1" si="31"/>
        <v>0.29446542668071435</v>
      </c>
      <c r="AA464" s="61">
        <f t="shared" ca="1" si="31"/>
        <v>1.1070008972425469E-2</v>
      </c>
      <c r="AB464" s="61">
        <f t="shared" ca="1" si="31"/>
        <v>0.46180013929036434</v>
      </c>
      <c r="AC464" s="61">
        <f t="shared" ca="1" si="31"/>
        <v>-1.1432068918586979</v>
      </c>
      <c r="AD464" s="37"/>
      <c r="AE464" s="62">
        <f t="array" aca="1" ref="AE464:AH464" ca="1">TRANSPOSE($B$9:$B$12 + MMULT($D$9:$G$12,TRANSPOSE(AO464:AR464)) + MMULT($N$9:$Q$12, TRANSPOSE(Z464:AC464)))</f>
        <v>1.1486157682793847</v>
      </c>
      <c r="AF464" s="62">
        <f ca="1"/>
        <v>1.1246999011097902</v>
      </c>
      <c r="AG464" s="62">
        <f ca="1"/>
        <v>1.565172949288657</v>
      </c>
      <c r="AH464" s="62">
        <f ca="1"/>
        <v>0.87304525120528342</v>
      </c>
      <c r="AI464" s="37"/>
      <c r="AJ464" s="61">
        <f t="shared" ca="1" si="32"/>
        <v>0.45533999926458973</v>
      </c>
      <c r="AK464" s="61">
        <f t="shared" ca="1" si="32"/>
        <v>-0.24759038368830416</v>
      </c>
      <c r="AL464" s="61">
        <f t="shared" ca="1" si="32"/>
        <v>-0.38198166745249368</v>
      </c>
      <c r="AM464" s="61">
        <f t="shared" ca="1" si="32"/>
        <v>1.8033452988176417</v>
      </c>
      <c r="AN464" s="37"/>
      <c r="AO464" s="62">
        <f t="array" aca="1" ref="AO464:AR464" ca="1">TRANSPOSE($B$17:$B$20 + MMULT($D$17:$G$20,TRANSPOSE(AO463:AR463)) + MMULT($N$17:$Q$20,TRANSPOSE(AJ464:AM464)))</f>
        <v>0.97323399828069634</v>
      </c>
      <c r="AP464" s="62">
        <f ca="1"/>
        <v>0.66492780130924523</v>
      </c>
      <c r="AQ464" s="62">
        <f ca="1"/>
        <v>0.83322155967789413</v>
      </c>
      <c r="AR464" s="62">
        <f ca="1"/>
        <v>1.4993506280267466</v>
      </c>
    </row>
    <row r="465" spans="25:44" x14ac:dyDescent="0.15">
      <c r="Y465" s="8">
        <f t="shared" si="33"/>
        <v>462</v>
      </c>
      <c r="Z465" s="61">
        <f t="shared" ca="1" si="31"/>
        <v>-1.4151282010976844</v>
      </c>
      <c r="AA465" s="61">
        <f t="shared" ca="1" si="31"/>
        <v>0.23042210056450152</v>
      </c>
      <c r="AB465" s="61">
        <f t="shared" ca="1" si="31"/>
        <v>-1.45387120722359</v>
      </c>
      <c r="AC465" s="61">
        <f t="shared" ca="1" si="31"/>
        <v>1.5513067532155427</v>
      </c>
      <c r="AD465" s="37"/>
      <c r="AE465" s="62">
        <f t="array" aca="1" ref="AE465:AH465" ca="1">TRANSPOSE($B$9:$B$12 + MMULT($D$9:$G$12,TRANSPOSE(AO465:AR465)) + MMULT($N$9:$Q$12, TRANSPOSE(Z465:AC465)))</f>
        <v>0.52999220808023195</v>
      </c>
      <c r="AF465" s="62">
        <f ca="1"/>
        <v>1.6121633584382407</v>
      </c>
      <c r="AG465" s="62">
        <f ca="1"/>
        <v>0.16638257809084811</v>
      </c>
      <c r="AH465" s="62">
        <f ca="1"/>
        <v>1.5604109251367899</v>
      </c>
      <c r="AI465" s="37"/>
      <c r="AJ465" s="61">
        <f t="shared" ca="1" si="32"/>
        <v>0.40138009354783361</v>
      </c>
      <c r="AK465" s="61">
        <f t="shared" ca="1" si="32"/>
        <v>2.0543549461482411</v>
      </c>
      <c r="AL465" s="61">
        <f t="shared" ca="1" si="32"/>
        <v>0.5065091986127529</v>
      </c>
      <c r="AM465" s="61">
        <f t="shared" ca="1" si="32"/>
        <v>0.70818771561861349</v>
      </c>
      <c r="AN465" s="37"/>
      <c r="AO465" s="62">
        <f t="array" aca="1" ref="AO465:AR465" ca="1">TRANSPOSE($B$17:$B$20 + MMULT($D$17:$G$20,TRANSPOSE(AO464:AR464)) + MMULT($N$17:$Q$20,TRANSPOSE(AJ465:AM465)))</f>
        <v>0.9070685189320149</v>
      </c>
      <c r="AP465" s="62">
        <f ca="1"/>
        <v>1.7056090392034617</v>
      </c>
      <c r="AQ465" s="62">
        <f ca="1"/>
        <v>0.85437918983579375</v>
      </c>
      <c r="AR465" s="62">
        <f ca="1"/>
        <v>0.89252372139923641</v>
      </c>
    </row>
    <row r="466" spans="25:44" x14ac:dyDescent="0.15">
      <c r="Y466" s="8">
        <f t="shared" si="33"/>
        <v>463</v>
      </c>
      <c r="Z466" s="61">
        <f t="shared" ca="1" si="31"/>
        <v>0.12846575908181507</v>
      </c>
      <c r="AA466" s="61">
        <f t="shared" ca="1" si="31"/>
        <v>-0.40534106662282737</v>
      </c>
      <c r="AB466" s="61">
        <f t="shared" ca="1" si="31"/>
        <v>-0.57939565584261077</v>
      </c>
      <c r="AC466" s="61">
        <f t="shared" ca="1" si="31"/>
        <v>-1.4182253369419582</v>
      </c>
      <c r="AD466" s="37"/>
      <c r="AE466" s="62">
        <f t="array" aca="1" ref="AE466:AH466" ca="1">TRANSPOSE($B$9:$B$12 + MMULT($D$9:$G$12,TRANSPOSE(AO466:AR466)) + MMULT($N$9:$Q$12, TRANSPOSE(Z466:AC466)))</f>
        <v>1.2227146045620947</v>
      </c>
      <c r="AF466" s="62">
        <f ca="1"/>
        <v>1.0150631242238095</v>
      </c>
      <c r="AG466" s="62">
        <f ca="1"/>
        <v>1.0879401690068475</v>
      </c>
      <c r="AH466" s="62">
        <f ca="1"/>
        <v>1.1053775455013559</v>
      </c>
      <c r="AI466" s="37"/>
      <c r="AJ466" s="61">
        <f t="shared" ca="1" si="32"/>
        <v>0.53305130547467738</v>
      </c>
      <c r="AK466" s="61">
        <f t="shared" ca="1" si="32"/>
        <v>-0.42282404529811307</v>
      </c>
      <c r="AL466" s="61">
        <f t="shared" ca="1" si="32"/>
        <v>-0.41450946840044894</v>
      </c>
      <c r="AM466" s="61">
        <f t="shared" ca="1" si="32"/>
        <v>1.68081565016802</v>
      </c>
      <c r="AN466" s="37"/>
      <c r="AO466" s="62">
        <f t="array" aca="1" ref="AO466:AR466" ca="1">TRANSPOSE($B$17:$B$20 + MMULT($D$17:$G$20,TRANSPOSE(AO465:AR465)) + MMULT($N$17:$Q$20,TRANSPOSE(AJ466:AM466)))</f>
        <v>0.98262834955655576</v>
      </c>
      <c r="AP466" s="62">
        <f ca="1"/>
        <v>0.82490266559049186</v>
      </c>
      <c r="AQ466" s="62">
        <f ca="1"/>
        <v>1.0602577220556901</v>
      </c>
      <c r="AR466" s="62">
        <f ca="1"/>
        <v>1.5005831410386481</v>
      </c>
    </row>
    <row r="467" spans="25:44" x14ac:dyDescent="0.15">
      <c r="Y467" s="8">
        <f t="shared" si="33"/>
        <v>464</v>
      </c>
      <c r="Z467" s="61">
        <f t="shared" ca="1" si="31"/>
        <v>4.543524355555632E-3</v>
      </c>
      <c r="AA467" s="61">
        <f t="shared" ca="1" si="31"/>
        <v>0.50722215185020814</v>
      </c>
      <c r="AB467" s="61">
        <f t="shared" ca="1" si="31"/>
        <v>0.44471038790642708</v>
      </c>
      <c r="AC467" s="61">
        <f t="shared" ca="1" si="31"/>
        <v>-0.23735503624541199</v>
      </c>
      <c r="AD467" s="37"/>
      <c r="AE467" s="62">
        <f t="array" aca="1" ref="AE467:AH467" ca="1">TRANSPOSE($B$9:$B$12 + MMULT($D$9:$G$12,TRANSPOSE(AO467:AR467)) + MMULT($N$9:$Q$12, TRANSPOSE(Z467:AC467)))</f>
        <v>0.4445682026465308</v>
      </c>
      <c r="AF467" s="62">
        <f ca="1"/>
        <v>0.71566572627844982</v>
      </c>
      <c r="AG467" s="62">
        <f ca="1"/>
        <v>1.626872714489259</v>
      </c>
      <c r="AH467" s="62">
        <f ca="1"/>
        <v>0.4199961596732924</v>
      </c>
      <c r="AI467" s="37"/>
      <c r="AJ467" s="61">
        <f t="shared" ca="1" si="32"/>
        <v>-0.55139899993199781</v>
      </c>
      <c r="AK467" s="61">
        <f t="shared" ca="1" si="32"/>
        <v>-2.0320551525271058</v>
      </c>
      <c r="AL467" s="61">
        <f t="shared" ca="1" si="32"/>
        <v>-2.0064472445832218</v>
      </c>
      <c r="AM467" s="61">
        <f t="shared" ca="1" si="32"/>
        <v>0.38609499439059369</v>
      </c>
      <c r="AN467" s="37"/>
      <c r="AO467" s="62">
        <f t="array" aca="1" ref="AO467:AR467" ca="1">TRANSPOSE($B$17:$B$20 + MMULT($D$17:$G$20,TRANSPOSE(AO466:AR466)) + MMULT($N$17:$Q$20,TRANSPOSE(AJ467:AM467)))</f>
        <v>0.63404179182595288</v>
      </c>
      <c r="AP467" s="62">
        <f ca="1"/>
        <v>3.3768822000655896E-2</v>
      </c>
      <c r="AQ467" s="62">
        <f ca="1"/>
        <v>0.15817471949572204</v>
      </c>
      <c r="AR467" s="62">
        <f ca="1"/>
        <v>1.3112248064910146</v>
      </c>
    </row>
    <row r="468" spans="25:44" x14ac:dyDescent="0.15">
      <c r="Y468" s="8">
        <f t="shared" si="33"/>
        <v>465</v>
      </c>
      <c r="Z468" s="61">
        <f t="shared" ca="1" si="31"/>
        <v>1.9382823259812059</v>
      </c>
      <c r="AA468" s="61">
        <f t="shared" ca="1" si="31"/>
        <v>0.99833597731123158</v>
      </c>
      <c r="AB468" s="61">
        <f t="shared" ca="1" si="31"/>
        <v>1.8581969918973806</v>
      </c>
      <c r="AC468" s="61">
        <f t="shared" ca="1" si="31"/>
        <v>1.1164364933744992</v>
      </c>
      <c r="AD468" s="37"/>
      <c r="AE468" s="62">
        <f t="array" aca="1" ref="AE468:AH468" ca="1">TRANSPOSE($B$9:$B$12 + MMULT($D$9:$G$12,TRANSPOSE(AO468:AR468)) + MMULT($N$9:$Q$12, TRANSPOSE(Z468:AC468)))</f>
        <v>1.6952285426112965</v>
      </c>
      <c r="AF468" s="62">
        <f ca="1"/>
        <v>1.3993322213258841</v>
      </c>
      <c r="AG468" s="62">
        <f ca="1"/>
        <v>1.0891972013977762</v>
      </c>
      <c r="AH468" s="62">
        <f ca="1"/>
        <v>0.83810466862019806</v>
      </c>
      <c r="AI468" s="37"/>
      <c r="AJ468" s="61">
        <f t="shared" ca="1" si="32"/>
        <v>0.38139984628185836</v>
      </c>
      <c r="AK468" s="61">
        <f t="shared" ca="1" si="32"/>
        <v>-0.17887562586254932</v>
      </c>
      <c r="AL468" s="61">
        <f t="shared" ca="1" si="32"/>
        <v>0.30881729934439178</v>
      </c>
      <c r="AM468" s="61">
        <f t="shared" ca="1" si="32"/>
        <v>-0.50700935573157402</v>
      </c>
      <c r="AN468" s="37"/>
      <c r="AO468" s="62">
        <f t="array" aca="1" ref="AO468:AR468" ca="1">TRANSPOSE($B$17:$B$20 + MMULT($D$17:$G$20,TRANSPOSE(AO467:AR467)) + MMULT($N$17:$Q$20,TRANSPOSE(AJ468:AM468)))</f>
        <v>0.65730662812010687</v>
      </c>
      <c r="AP468" s="62">
        <f ca="1"/>
        <v>0.40905984533427209</v>
      </c>
      <c r="AQ468" s="62">
        <f ca="1"/>
        <v>0.56941721182078053</v>
      </c>
      <c r="AR468" s="62">
        <f ca="1"/>
        <v>0.61438432347848004</v>
      </c>
    </row>
    <row r="469" spans="25:44" x14ac:dyDescent="0.15">
      <c r="Y469" s="8">
        <f t="shared" si="33"/>
        <v>466</v>
      </c>
      <c r="Z469" s="61">
        <f t="shared" ca="1" si="31"/>
        <v>-0.68969591454882051</v>
      </c>
      <c r="AA469" s="61">
        <f t="shared" ca="1" si="31"/>
        <v>0.8088783037245445</v>
      </c>
      <c r="AB469" s="61">
        <f t="shared" ca="1" si="31"/>
        <v>1.1011088756837164</v>
      </c>
      <c r="AC469" s="61">
        <f t="shared" ca="1" si="31"/>
        <v>0.50099605488960264</v>
      </c>
      <c r="AD469" s="37"/>
      <c r="AE469" s="62">
        <f t="array" aca="1" ref="AE469:AH469" ca="1">TRANSPOSE($B$9:$B$12 + MMULT($D$9:$G$12,TRANSPOSE(AO469:AR469)) + MMULT($N$9:$Q$12, TRANSPOSE(Z469:AC469)))</f>
        <v>0.46121082551268894</v>
      </c>
      <c r="AF469" s="62">
        <f ca="1"/>
        <v>1.07842499126266</v>
      </c>
      <c r="AG469" s="62">
        <f ca="1"/>
        <v>0.6627543258393388</v>
      </c>
      <c r="AH469" s="62">
        <f ca="1"/>
        <v>0.24336435442515658</v>
      </c>
      <c r="AI469" s="37"/>
      <c r="AJ469" s="61">
        <f t="shared" ca="1" si="32"/>
        <v>-7.6699034737129926E-2</v>
      </c>
      <c r="AK469" s="61">
        <f t="shared" ca="1" si="32"/>
        <v>0.71265454527344496</v>
      </c>
      <c r="AL469" s="61">
        <f t="shared" ca="1" si="32"/>
        <v>-0.48373779071749257</v>
      </c>
      <c r="AM469" s="61">
        <f t="shared" ca="1" si="32"/>
        <v>-1.6017802714778895</v>
      </c>
      <c r="AN469" s="37"/>
      <c r="AO469" s="62">
        <f t="array" aca="1" ref="AO469:AR469" ca="1">TRANSPOSE($B$17:$B$20 + MMULT($D$17:$G$20,TRANSPOSE(AO468:AR468)) + MMULT($N$17:$Q$20,TRANSPOSE(AJ469:AM469)))</f>
        <v>0.56336954872063094</v>
      </c>
      <c r="AP469" s="62">
        <f ca="1"/>
        <v>0.81123710563819817</v>
      </c>
      <c r="AQ469" s="62">
        <f ca="1"/>
        <v>0.21971939956888714</v>
      </c>
      <c r="AR469" s="62">
        <f ca="1"/>
        <v>6.5118364340932988E-2</v>
      </c>
    </row>
    <row r="470" spans="25:44" x14ac:dyDescent="0.15">
      <c r="Y470" s="8">
        <f t="shared" si="33"/>
        <v>467</v>
      </c>
      <c r="Z470" s="61">
        <f t="shared" ca="1" si="31"/>
        <v>-0.19727486074403627</v>
      </c>
      <c r="AA470" s="61">
        <f t="shared" ca="1" si="31"/>
        <v>-0.27646807131461298</v>
      </c>
      <c r="AB470" s="61">
        <f t="shared" ca="1" si="31"/>
        <v>0.42197827709291608</v>
      </c>
      <c r="AC470" s="61">
        <f t="shared" ca="1" si="31"/>
        <v>0.99879731446254083</v>
      </c>
      <c r="AD470" s="37"/>
      <c r="AE470" s="62">
        <f t="array" aca="1" ref="AE470:AH470" ca="1">TRANSPOSE($B$9:$B$12 + MMULT($D$9:$G$12,TRANSPOSE(AO470:AR470)) + MMULT($N$9:$Q$12, TRANSPOSE(Z470:AC470)))</f>
        <v>0.9549124604121364</v>
      </c>
      <c r="AF470" s="62">
        <f ca="1"/>
        <v>0.13416503200994384</v>
      </c>
      <c r="AG470" s="62">
        <f ca="1"/>
        <v>0.88576559885138195</v>
      </c>
      <c r="AH470" s="62">
        <f ca="1"/>
        <v>1.2987453510232805</v>
      </c>
      <c r="AI470" s="37"/>
      <c r="AJ470" s="61">
        <f t="shared" ca="1" si="32"/>
        <v>-0.33929631270347543</v>
      </c>
      <c r="AK470" s="61">
        <f t="shared" ca="1" si="32"/>
        <v>-0.47942080446620261</v>
      </c>
      <c r="AL470" s="61">
        <f t="shared" ca="1" si="32"/>
        <v>1.3304595636085683</v>
      </c>
      <c r="AM470" s="61">
        <f t="shared" ca="1" si="32"/>
        <v>0.29378766139644824</v>
      </c>
      <c r="AN470" s="37"/>
      <c r="AO470" s="62">
        <f t="array" aca="1" ref="AO470:AR470" ca="1">TRANSPOSE($B$17:$B$20 + MMULT($D$17:$G$20,TRANSPOSE(AO469:AR469)) + MMULT($N$17:$Q$20,TRANSPOSE(AJ470:AM470)))</f>
        <v>0.40097787329957923</v>
      </c>
      <c r="AP470" s="62">
        <f ca="1"/>
        <v>0.27278163193361582</v>
      </c>
      <c r="AQ470" s="62">
        <f ca="1"/>
        <v>1.1037105372517995</v>
      </c>
      <c r="AR470" s="62">
        <f ca="1"/>
        <v>0.70901042967946282</v>
      </c>
    </row>
    <row r="471" spans="25:44" x14ac:dyDescent="0.15">
      <c r="Y471" s="8">
        <f t="shared" si="33"/>
        <v>468</v>
      </c>
      <c r="Z471" s="61">
        <f t="shared" ca="1" si="31"/>
        <v>0.23932074347855956</v>
      </c>
      <c r="AA471" s="61">
        <f t="shared" ca="1" si="31"/>
        <v>1.085508320233193</v>
      </c>
      <c r="AB471" s="61">
        <f t="shared" ca="1" si="31"/>
        <v>0.50472212010386164</v>
      </c>
      <c r="AC471" s="61">
        <f t="shared" ca="1" si="31"/>
        <v>0.21501484235813129</v>
      </c>
      <c r="AD471" s="37"/>
      <c r="AE471" s="62">
        <f t="array" aca="1" ref="AE471:AH471" ca="1">TRANSPOSE($B$9:$B$12 + MMULT($D$9:$G$12,TRANSPOSE(AO471:AR471)) + MMULT($N$9:$Q$12, TRANSPOSE(Z471:AC471)))</f>
        <v>1.5743901720262081</v>
      </c>
      <c r="AF471" s="62">
        <f ca="1"/>
        <v>0.57724572416054087</v>
      </c>
      <c r="AG471" s="62">
        <f ca="1"/>
        <v>1.78476745807852</v>
      </c>
      <c r="AH471" s="62">
        <f ca="1"/>
        <v>1.0797819961216346</v>
      </c>
      <c r="AI471" s="37"/>
      <c r="AJ471" s="61">
        <f t="shared" ca="1" si="32"/>
        <v>1.3058143805317337</v>
      </c>
      <c r="AK471" s="61">
        <f t="shared" ca="1" si="32"/>
        <v>-1.7341662080906513</v>
      </c>
      <c r="AL471" s="61">
        <f t="shared" ca="1" si="32"/>
        <v>0.64155017126523628</v>
      </c>
      <c r="AM471" s="61">
        <f t="shared" ca="1" si="32"/>
        <v>-5.8578360440414354E-2</v>
      </c>
      <c r="AN471" s="37"/>
      <c r="AO471" s="62">
        <f t="array" aca="1" ref="AO471:AR471" ca="1">TRANSPOSE($B$17:$B$20 + MMULT($D$17:$G$20,TRANSPOSE(AO470:AR470)) + MMULT($N$17:$Q$20,TRANSPOSE(AJ471:AM471)))</f>
        <v>1.0355970092979851</v>
      </c>
      <c r="AP471" s="62">
        <f ca="1"/>
        <v>-0.27207743895056058</v>
      </c>
      <c r="AQ471" s="62">
        <f ca="1"/>
        <v>1.3139280226877286</v>
      </c>
      <c r="AR471" s="62">
        <f ca="1"/>
        <v>1.3293430626798433</v>
      </c>
    </row>
    <row r="472" spans="25:44" x14ac:dyDescent="0.15">
      <c r="Y472" s="8">
        <f t="shared" si="33"/>
        <v>469</v>
      </c>
      <c r="Z472" s="61">
        <f t="shared" ca="1" si="31"/>
        <v>9.344604303607372E-2</v>
      </c>
      <c r="AA472" s="61">
        <f t="shared" ca="1" si="31"/>
        <v>0.3882170844694971</v>
      </c>
      <c r="AB472" s="61">
        <f t="shared" ca="1" si="31"/>
        <v>0.4681418887015325</v>
      </c>
      <c r="AC472" s="61">
        <f t="shared" ca="1" si="31"/>
        <v>0.46122511289108553</v>
      </c>
      <c r="AD472" s="37"/>
      <c r="AE472" s="62">
        <f t="array" aca="1" ref="AE472:AH472" ca="1">TRANSPOSE($B$9:$B$12 + MMULT($D$9:$G$12,TRANSPOSE(AO472:AR472)) + MMULT($N$9:$Q$12, TRANSPOSE(Z472:AC472)))</f>
        <v>0.99539496969200769</v>
      </c>
      <c r="AF472" s="62">
        <f ca="1"/>
        <v>0.86817494574891541</v>
      </c>
      <c r="AG472" s="62">
        <f ca="1"/>
        <v>1.6125458723479489</v>
      </c>
      <c r="AH472" s="62">
        <f ca="1"/>
        <v>1.2301110208337607</v>
      </c>
      <c r="AI472" s="37"/>
      <c r="AJ472" s="61">
        <f t="shared" ca="1" si="32"/>
        <v>-3.3050624597011108E-2</v>
      </c>
      <c r="AK472" s="61">
        <f t="shared" ca="1" si="32"/>
        <v>-0.60474064913858772</v>
      </c>
      <c r="AL472" s="61">
        <f t="shared" ca="1" si="32"/>
        <v>0.55122264840338975</v>
      </c>
      <c r="AM472" s="61">
        <f t="shared" ca="1" si="32"/>
        <v>1.2833529811955335</v>
      </c>
      <c r="AN472" s="37"/>
      <c r="AO472" s="62">
        <f t="array" aca="1" ref="AO472:AR472" ca="1">TRANSPOSE($B$17:$B$20 + MMULT($D$17:$G$20,TRANSPOSE(AO471:AR471)) + MMULT($N$17:$Q$20,TRANSPOSE(AJ472:AM472)))</f>
        <v>0.7728202613758498</v>
      </c>
      <c r="AP472" s="62">
        <f ca="1"/>
        <v>0.36553706575975947</v>
      </c>
      <c r="AQ472" s="62">
        <f ca="1"/>
        <v>0.91077274266910679</v>
      </c>
      <c r="AR472" s="62">
        <f ca="1"/>
        <v>1.4729759208776632</v>
      </c>
    </row>
    <row r="473" spans="25:44" x14ac:dyDescent="0.15">
      <c r="Y473" s="8">
        <f t="shared" si="33"/>
        <v>470</v>
      </c>
      <c r="Z473" s="61">
        <f t="shared" ca="1" si="31"/>
        <v>1.4968600801983574</v>
      </c>
      <c r="AA473" s="61">
        <f t="shared" ca="1" si="31"/>
        <v>0.16132753672576466</v>
      </c>
      <c r="AB473" s="61">
        <f t="shared" ca="1" si="31"/>
        <v>0.6051695854464163</v>
      </c>
      <c r="AC473" s="61">
        <f t="shared" ca="1" si="31"/>
        <v>-2.0653829675677637</v>
      </c>
      <c r="AD473" s="37"/>
      <c r="AE473" s="62">
        <f t="array" aca="1" ref="AE473:AH473" ca="1">TRANSPOSE($B$9:$B$12 + MMULT($D$9:$G$12,TRANSPOSE(AO473:AR473)) + MMULT($N$9:$Q$12, TRANSPOSE(Z473:AC473)))</f>
        <v>1.5022889870676459</v>
      </c>
      <c r="AF473" s="62">
        <f ca="1"/>
        <v>1.5214883676502304</v>
      </c>
      <c r="AG473" s="62">
        <f ca="1"/>
        <v>0.65315860516919688</v>
      </c>
      <c r="AH473" s="62">
        <f ca="1"/>
        <v>0.2231809587414863</v>
      </c>
      <c r="AI473" s="37"/>
      <c r="AJ473" s="61">
        <f t="shared" ca="1" si="32"/>
        <v>0.44568135983558366</v>
      </c>
      <c r="AK473" s="61">
        <f t="shared" ca="1" si="32"/>
        <v>0.40974419152179048</v>
      </c>
      <c r="AL473" s="61">
        <f t="shared" ca="1" si="32"/>
        <v>-0.70129832642987033</v>
      </c>
      <c r="AM473" s="61">
        <f t="shared" ca="1" si="32"/>
        <v>-0.66907822789404925</v>
      </c>
      <c r="AN473" s="37"/>
      <c r="AO473" s="62">
        <f t="array" aca="1" ref="AO473:AR473" ca="1">TRANSPOSE($B$17:$B$20 + MMULT($D$17:$G$20,TRANSPOSE(AO472:AR472)) + MMULT($N$17:$Q$20,TRANSPOSE(AJ473:AM473)))</f>
        <v>0.85831775961921875</v>
      </c>
      <c r="AP473" s="62">
        <f ca="1"/>
        <v>0.8692577609881208</v>
      </c>
      <c r="AQ473" s="62">
        <f ca="1"/>
        <v>0.40642570421058677</v>
      </c>
      <c r="AR473" s="62">
        <f ca="1"/>
        <v>0.71060442620599928</v>
      </c>
    </row>
    <row r="474" spans="25:44" x14ac:dyDescent="0.15">
      <c r="Y474" s="8">
        <f t="shared" si="33"/>
        <v>471</v>
      </c>
      <c r="Z474" s="61">
        <f t="shared" ca="1" si="31"/>
        <v>2.4268766926414393</v>
      </c>
      <c r="AA474" s="61">
        <f t="shared" ca="1" si="31"/>
        <v>0.38592241661150417</v>
      </c>
      <c r="AB474" s="61">
        <f t="shared" ca="1" si="31"/>
        <v>-0.25972113911391093</v>
      </c>
      <c r="AC474" s="61">
        <f t="shared" ca="1" si="31"/>
        <v>-0.9598593282098955</v>
      </c>
      <c r="AD474" s="37"/>
      <c r="AE474" s="62">
        <f t="array" aca="1" ref="AE474:AH474" ca="1">TRANSPOSE($B$9:$B$12 + MMULT($D$9:$G$12,TRANSPOSE(AO474:AR474)) + MMULT($N$9:$Q$12, TRANSPOSE(Z474:AC474)))</f>
        <v>2.1837970792759736</v>
      </c>
      <c r="AF474" s="62">
        <f ca="1"/>
        <v>1.6885980281374027</v>
      </c>
      <c r="AG474" s="62">
        <f ca="1"/>
        <v>-8.8380908058391938E-3</v>
      </c>
      <c r="AH474" s="62">
        <f ca="1"/>
        <v>0.69417770214708607</v>
      </c>
      <c r="AI474" s="37"/>
      <c r="AJ474" s="61">
        <f t="shared" ca="1" si="32"/>
        <v>0.83819426767026661</v>
      </c>
      <c r="AK474" s="61">
        <f t="shared" ca="1" si="32"/>
        <v>0.28757629216047464</v>
      </c>
      <c r="AL474" s="61">
        <f t="shared" ca="1" si="32"/>
        <v>-0.1966143250694988</v>
      </c>
      <c r="AM474" s="61">
        <f t="shared" ca="1" si="32"/>
        <v>-0.65207673310055403</v>
      </c>
      <c r="AN474" s="37"/>
      <c r="AO474" s="62">
        <f t="array" aca="1" ref="AO474:AR474" ca="1">TRANSPOSE($B$17:$B$20 + MMULT($D$17:$G$20,TRANSPOSE(AO473:AR473)) + MMULT($N$17:$Q$20,TRANSPOSE(AJ474:AM474)))</f>
        <v>0.93736767450204139</v>
      </c>
      <c r="AP474" s="62">
        <f ca="1"/>
        <v>0.83388640466051556</v>
      </c>
      <c r="AQ474" s="62">
        <f ca="1"/>
        <v>0.71066001832762771</v>
      </c>
      <c r="AR474" s="62">
        <f ca="1"/>
        <v>0.54313585119660424</v>
      </c>
    </row>
    <row r="475" spans="25:44" x14ac:dyDescent="0.15">
      <c r="Y475" s="8">
        <f t="shared" si="33"/>
        <v>472</v>
      </c>
      <c r="Z475" s="61">
        <f t="shared" ca="1" si="31"/>
        <v>-2.5802234859129514</v>
      </c>
      <c r="AA475" s="61">
        <f t="shared" ca="1" si="31"/>
        <v>0.86924580450454003</v>
      </c>
      <c r="AB475" s="61">
        <f t="shared" ca="1" si="31"/>
        <v>0.28690647619405013</v>
      </c>
      <c r="AC475" s="61">
        <f t="shared" ca="1" si="31"/>
        <v>-0.65726852417698534</v>
      </c>
      <c r="AD475" s="37"/>
      <c r="AE475" s="62">
        <f t="array" aca="1" ref="AE475:AH475" ca="1">TRANSPOSE($B$9:$B$12 + MMULT($D$9:$G$12,TRANSPOSE(AO475:AR475)) + MMULT($N$9:$Q$12, TRANSPOSE(Z475:AC475)))</f>
        <v>0.43264803793166906</v>
      </c>
      <c r="AF475" s="62">
        <f ca="1"/>
        <v>0.6602169298501247</v>
      </c>
      <c r="AG475" s="62">
        <f ca="1"/>
        <v>1.9551634825013382</v>
      </c>
      <c r="AH475" s="62">
        <f ca="1"/>
        <v>0.92619908783705296</v>
      </c>
      <c r="AI475" s="37"/>
      <c r="AJ475" s="61">
        <f t="shared" ca="1" si="32"/>
        <v>1.1984878234097802</v>
      </c>
      <c r="AK475" s="61">
        <f t="shared" ca="1" si="32"/>
        <v>-0.41217312464975153</v>
      </c>
      <c r="AL475" s="61">
        <f t="shared" ca="1" si="32"/>
        <v>0.70807590942464782</v>
      </c>
      <c r="AM475" s="61">
        <f t="shared" ca="1" si="32"/>
        <v>1.3196426330744988</v>
      </c>
      <c r="AN475" s="37"/>
      <c r="AO475" s="62">
        <f t="array" aca="1" ref="AO475:AR475" ca="1">TRANSPOSE($B$17:$B$20 + MMULT($D$17:$G$20,TRANSPOSE(AO474:AR474)) + MMULT($N$17:$Q$20,TRANSPOSE(AJ475:AM475)))</f>
        <v>1.113694938344918</v>
      </c>
      <c r="AP475" s="62">
        <f ca="1"/>
        <v>0.55795112622419929</v>
      </c>
      <c r="AQ475" s="62">
        <f ca="1"/>
        <v>1.3245098413059402</v>
      </c>
      <c r="AR475" s="62">
        <f ca="1"/>
        <v>1.3375030828993399</v>
      </c>
    </row>
    <row r="476" spans="25:44" x14ac:dyDescent="0.15">
      <c r="Y476" s="8">
        <f t="shared" si="33"/>
        <v>473</v>
      </c>
      <c r="Z476" s="61">
        <f t="shared" ca="1" si="31"/>
        <v>0.61868586406655157</v>
      </c>
      <c r="AA476" s="61">
        <f t="shared" ca="1" si="31"/>
        <v>1.5546873318015058</v>
      </c>
      <c r="AB476" s="61">
        <f t="shared" ca="1" si="31"/>
        <v>-0.6007529453171887</v>
      </c>
      <c r="AC476" s="61">
        <f t="shared" ca="1" si="31"/>
        <v>-0.64151396256624715</v>
      </c>
      <c r="AD476" s="37"/>
      <c r="AE476" s="62">
        <f t="array" aca="1" ref="AE476:AH476" ca="1">TRANSPOSE($B$9:$B$12 + MMULT($D$9:$G$12,TRANSPOSE(AO476:AR476)) + MMULT($N$9:$Q$12, TRANSPOSE(Z476:AC476)))</f>
        <v>1.9748878385250763</v>
      </c>
      <c r="AF476" s="62">
        <f ca="1"/>
        <v>2.0918438022306889</v>
      </c>
      <c r="AG476" s="62">
        <f ca="1"/>
        <v>0.42057949192286942</v>
      </c>
      <c r="AH476" s="62">
        <f ca="1"/>
        <v>1.5494709533500841</v>
      </c>
      <c r="AI476" s="37"/>
      <c r="AJ476" s="61">
        <f t="shared" ca="1" si="32"/>
        <v>0.71244629578400376</v>
      </c>
      <c r="AK476" s="61">
        <f t="shared" ca="1" si="32"/>
        <v>0.99412651027185639</v>
      </c>
      <c r="AL476" s="61">
        <f t="shared" ca="1" si="32"/>
        <v>1.6130561446209593</v>
      </c>
      <c r="AM476" s="61">
        <f t="shared" ca="1" si="32"/>
        <v>-0.6086728021484733</v>
      </c>
      <c r="AN476" s="37"/>
      <c r="AO476" s="62">
        <f t="array" aca="1" ref="AO476:AR476" ca="1">TRANSPOSE($B$17:$B$20 + MMULT($D$17:$G$20,TRANSPOSE(AO475:AR475)) + MMULT($N$17:$Q$20,TRANSPOSE(AJ476:AM476)))</f>
        <v>1.1057055757079757</v>
      </c>
      <c r="AP476" s="62">
        <f ca="1"/>
        <v>1.2934382244714395</v>
      </c>
      <c r="AQ476" s="62">
        <f ca="1"/>
        <v>1.624665281373405</v>
      </c>
      <c r="AR476" s="62">
        <f ca="1"/>
        <v>1.0481187054096881</v>
      </c>
    </row>
    <row r="477" spans="25:44" x14ac:dyDescent="0.15">
      <c r="Y477" s="8">
        <f t="shared" si="33"/>
        <v>474</v>
      </c>
      <c r="Z477" s="61">
        <f t="shared" ca="1" si="31"/>
        <v>-1.1446035236409813</v>
      </c>
      <c r="AA477" s="61">
        <f t="shared" ca="1" si="31"/>
        <v>-0.70301234253225908</v>
      </c>
      <c r="AB477" s="61">
        <f t="shared" ca="1" si="31"/>
        <v>-0.50872205994637554</v>
      </c>
      <c r="AC477" s="61">
        <f t="shared" ca="1" si="31"/>
        <v>1.8895626995440113</v>
      </c>
      <c r="AD477" s="37"/>
      <c r="AE477" s="62">
        <f t="array" aca="1" ref="AE477:AH477" ca="1">TRANSPOSE($B$9:$B$12 + MMULT($D$9:$G$12,TRANSPOSE(AO477:AR477)) + MMULT($N$9:$Q$12, TRANSPOSE(Z477:AC477)))</f>
        <v>1.066280839518797</v>
      </c>
      <c r="AF477" s="62">
        <f ca="1"/>
        <v>0.17042113958005356</v>
      </c>
      <c r="AG477" s="62">
        <f ca="1"/>
        <v>1.5943815210680079</v>
      </c>
      <c r="AH477" s="62">
        <f ca="1"/>
        <v>2.0003983267800844</v>
      </c>
      <c r="AI477" s="37"/>
      <c r="AJ477" s="61">
        <f t="shared" ca="1" si="32"/>
        <v>0.25963703371875763</v>
      </c>
      <c r="AK477" s="61">
        <f t="shared" ca="1" si="32"/>
        <v>-1.5171120283504353</v>
      </c>
      <c r="AL477" s="61">
        <f t="shared" ca="1" si="32"/>
        <v>0.38907648538701101</v>
      </c>
      <c r="AM477" s="61">
        <f t="shared" ca="1" si="32"/>
        <v>1.2161441243094324E-2</v>
      </c>
      <c r="AN477" s="37"/>
      <c r="AO477" s="62">
        <f t="array" aca="1" ref="AO477:AR477" ca="1">TRANSPOSE($B$17:$B$20 + MMULT($D$17:$G$20,TRANSPOSE(AO476:AR476)) + MMULT($N$17:$Q$20,TRANSPOSE(AJ477:AM477)))</f>
        <v>1.0345124149944789</v>
      </c>
      <c r="AP477" s="62">
        <f ca="1"/>
        <v>0.39808645223693273</v>
      </c>
      <c r="AQ477" s="62">
        <f ca="1"/>
        <v>1.5962024650998181</v>
      </c>
      <c r="AR477" s="62">
        <f ca="1"/>
        <v>1.6208750018832137</v>
      </c>
    </row>
    <row r="478" spans="25:44" x14ac:dyDescent="0.15">
      <c r="Y478" s="8">
        <f t="shared" si="33"/>
        <v>475</v>
      </c>
      <c r="Z478" s="61">
        <f t="shared" ca="1" si="31"/>
        <v>-2.1503539564309926</v>
      </c>
      <c r="AA478" s="61">
        <f t="shared" ca="1" si="31"/>
        <v>-0.30425111948273864</v>
      </c>
      <c r="AB478" s="61">
        <f t="shared" ca="1" si="31"/>
        <v>1.2950788835219282</v>
      </c>
      <c r="AC478" s="61">
        <f t="shared" ca="1" si="31"/>
        <v>-0.85665008103059004</v>
      </c>
      <c r="AD478" s="37"/>
      <c r="AE478" s="62">
        <f t="array" aca="1" ref="AE478:AH478" ca="1">TRANSPOSE($B$9:$B$12 + MMULT($D$9:$G$12,TRANSPOSE(AO478:AR478)) + MMULT($N$9:$Q$12, TRANSPOSE(Z478:AC478)))</f>
        <v>0.53230482046614658</v>
      </c>
      <c r="AF478" s="62">
        <f ca="1"/>
        <v>0.90169983805696152</v>
      </c>
      <c r="AG478" s="62">
        <f ca="1"/>
        <v>1.6352608376258813</v>
      </c>
      <c r="AH478" s="62">
        <f ca="1"/>
        <v>1.2943178560776443</v>
      </c>
      <c r="AI478" s="37"/>
      <c r="AJ478" s="61">
        <f t="shared" ca="1" si="32"/>
        <v>-0.1415652488417298</v>
      </c>
      <c r="AK478" s="61">
        <f t="shared" ca="1" si="32"/>
        <v>1.4458598532622426</v>
      </c>
      <c r="AL478" s="61">
        <f t="shared" ca="1" si="32"/>
        <v>1.7039863571308711</v>
      </c>
      <c r="AM478" s="61">
        <f t="shared" ca="1" si="32"/>
        <v>-0.26657437417214103</v>
      </c>
      <c r="AN478" s="37"/>
      <c r="AO478" s="62">
        <f t="array" aca="1" ref="AO478:AR478" ca="1">TRANSPOSE($B$17:$B$20 + MMULT($D$17:$G$20,TRANSPOSE(AO477:AR477)) + MMULT($N$17:$Q$20,TRANSPOSE(AJ478:AM478)))</f>
        <v>0.84006204523920713</v>
      </c>
      <c r="AP478" s="62">
        <f ca="1"/>
        <v>1.4662860292009414</v>
      </c>
      <c r="AQ478" s="62">
        <f ca="1"/>
        <v>1.483765261825611</v>
      </c>
      <c r="AR478" s="62">
        <f ca="1"/>
        <v>1.1062208774188729</v>
      </c>
    </row>
    <row r="479" spans="25:44" x14ac:dyDescent="0.15">
      <c r="Y479" s="8">
        <f t="shared" si="33"/>
        <v>476</v>
      </c>
      <c r="Z479" s="61">
        <f t="shared" ca="1" si="31"/>
        <v>0.59857448213794395</v>
      </c>
      <c r="AA479" s="61">
        <f t="shared" ca="1" si="31"/>
        <v>0.24397410454762189</v>
      </c>
      <c r="AB479" s="61">
        <f t="shared" ca="1" si="31"/>
        <v>0.364716099832948</v>
      </c>
      <c r="AC479" s="61">
        <f t="shared" ca="1" si="31"/>
        <v>-0.19645179540072358</v>
      </c>
      <c r="AD479" s="37"/>
      <c r="AE479" s="62">
        <f t="array" aca="1" ref="AE479:AH479" ca="1">TRANSPOSE($B$9:$B$12 + MMULT($D$9:$G$12,TRANSPOSE(AO479:AR479)) + MMULT($N$9:$Q$12, TRANSPOSE(Z479:AC479)))</f>
        <v>1.525339281287563</v>
      </c>
      <c r="AF479" s="62">
        <f ca="1"/>
        <v>1.4814077391449421</v>
      </c>
      <c r="AG479" s="62">
        <f ca="1"/>
        <v>1.1678344671335052</v>
      </c>
      <c r="AH479" s="62">
        <f ca="1"/>
        <v>0.89671626951405004</v>
      </c>
      <c r="AI479" s="37"/>
      <c r="AJ479" s="61">
        <f t="shared" ca="1" si="32"/>
        <v>0.98750240410694134</v>
      </c>
      <c r="AK479" s="61">
        <f t="shared" ca="1" si="32"/>
        <v>-0.28417936108785236</v>
      </c>
      <c r="AL479" s="61">
        <f t="shared" ca="1" si="32"/>
        <v>-1.3023853703882138</v>
      </c>
      <c r="AM479" s="61">
        <f t="shared" ca="1" si="32"/>
        <v>-0.50232704205627521</v>
      </c>
      <c r="AN479" s="37"/>
      <c r="AO479" s="62">
        <f t="array" aca="1" ref="AO479:AR479" ca="1">TRANSPOSE($B$17:$B$20 + MMULT($D$17:$G$20,TRANSPOSE(AO478:AR478)) + MMULT($N$17:$Q$20,TRANSPOSE(AJ479:AM479)))</f>
        <v>1.2044253097414459</v>
      </c>
      <c r="AP479" s="62">
        <f ca="1"/>
        <v>0.88067479639760282</v>
      </c>
      <c r="AQ479" s="62">
        <f ca="1"/>
        <v>0.82289009229394283</v>
      </c>
      <c r="AR479" s="62">
        <f ca="1"/>
        <v>1.132119986146912</v>
      </c>
    </row>
    <row r="480" spans="25:44" x14ac:dyDescent="0.15">
      <c r="Y480" s="8">
        <f t="shared" si="33"/>
        <v>477</v>
      </c>
      <c r="Z480" s="61">
        <f t="shared" ca="1" si="31"/>
        <v>-1.3023539006262919</v>
      </c>
      <c r="AA480" s="61">
        <f t="shared" ca="1" si="31"/>
        <v>0.95056895524171159</v>
      </c>
      <c r="AB480" s="61">
        <f t="shared" ca="1" si="31"/>
        <v>-0.32161849296456574</v>
      </c>
      <c r="AC480" s="61">
        <f t="shared" ca="1" si="31"/>
        <v>2.0263143197606222</v>
      </c>
      <c r="AD480" s="37"/>
      <c r="AE480" s="62">
        <f t="array" aca="1" ref="AE480:AH480" ca="1">TRANSPOSE($B$9:$B$12 + MMULT($D$9:$G$12,TRANSPOSE(AO480:AR480)) + MMULT($N$9:$Q$12, TRANSPOSE(Z480:AC480)))</f>
        <v>-3.6627422869643544E-2</v>
      </c>
      <c r="AF480" s="62">
        <f ca="1"/>
        <v>1.0074878195209145</v>
      </c>
      <c r="AG480" s="62">
        <f ca="1"/>
        <v>0.47303245716884446</v>
      </c>
      <c r="AH480" s="62">
        <f ca="1"/>
        <v>1.7699355185218839</v>
      </c>
      <c r="AI480" s="37"/>
      <c r="AJ480" s="61">
        <f t="shared" ca="1" si="32"/>
        <v>-2.5085152509174864</v>
      </c>
      <c r="AK480" s="61">
        <f t="shared" ca="1" si="32"/>
        <v>0.43695906276725438</v>
      </c>
      <c r="AL480" s="61">
        <f t="shared" ca="1" si="32"/>
        <v>1.1135721078139069</v>
      </c>
      <c r="AM480" s="61">
        <f t="shared" ca="1" si="32"/>
        <v>0.48365784834078979</v>
      </c>
      <c r="AN480" s="37"/>
      <c r="AO480" s="62">
        <f t="array" aca="1" ref="AO480:AR480" ca="1">TRANSPOSE($B$17:$B$20 + MMULT($D$17:$G$20,TRANSPOSE(AO479:AR479)) + MMULT($N$17:$Q$20,TRANSPOSE(AJ480:AM480)))</f>
        <v>-1.5643195407666233E-2</v>
      </c>
      <c r="AP480" s="62">
        <f ca="1"/>
        <v>1.0674685378168505</v>
      </c>
      <c r="AQ480" s="62">
        <f ca="1"/>
        <v>0.86148535749497679</v>
      </c>
      <c r="AR480" s="62">
        <f ca="1"/>
        <v>0.86164086992541833</v>
      </c>
    </row>
    <row r="481" spans="25:44" x14ac:dyDescent="0.15">
      <c r="Y481" s="8">
        <f t="shared" si="33"/>
        <v>478</v>
      </c>
      <c r="Z481" s="61">
        <f t="shared" ca="1" si="31"/>
        <v>0.3582433577862591</v>
      </c>
      <c r="AA481" s="61">
        <f t="shared" ca="1" si="31"/>
        <v>-1.1498318292602783</v>
      </c>
      <c r="AB481" s="61">
        <f t="shared" ca="1" si="31"/>
        <v>0.42237339209565833</v>
      </c>
      <c r="AC481" s="61">
        <f t="shared" ca="1" si="31"/>
        <v>1.4590475535378231</v>
      </c>
      <c r="AD481" s="37"/>
      <c r="AE481" s="62">
        <f t="array" aca="1" ref="AE481:AH481" ca="1">TRANSPOSE($B$9:$B$12 + MMULT($D$9:$G$12,TRANSPOSE(AO481:AR481)) + MMULT($N$9:$Q$12, TRANSPOSE(Z481:AC481)))</f>
        <v>0.80037787827382656</v>
      </c>
      <c r="AF481" s="62">
        <f ca="1"/>
        <v>0.16688319105802191</v>
      </c>
      <c r="AG481" s="62">
        <f ca="1"/>
        <v>1.2397904409236582</v>
      </c>
      <c r="AH481" s="62">
        <f ca="1"/>
        <v>1.4729422299311079</v>
      </c>
      <c r="AI481" s="37"/>
      <c r="AJ481" s="61">
        <f t="shared" ca="1" si="32"/>
        <v>-0.35420061286149246</v>
      </c>
      <c r="AK481" s="61">
        <f t="shared" ca="1" si="32"/>
        <v>-0.40237884192085049</v>
      </c>
      <c r="AL481" s="61">
        <f t="shared" ca="1" si="32"/>
        <v>6.0336219758844026E-2</v>
      </c>
      <c r="AM481" s="61">
        <f t="shared" ca="1" si="32"/>
        <v>1.4155924221399765</v>
      </c>
      <c r="AN481" s="37"/>
      <c r="AO481" s="62">
        <f t="array" aca="1" ref="AO481:AR481" ca="1">TRANSPOSE($B$17:$B$20 + MMULT($D$17:$G$20,TRANSPOSE(AO480:AR480)) + MMULT($N$17:$Q$20,TRANSPOSE(AJ481:AM481)))</f>
        <v>0.39665693811857183</v>
      </c>
      <c r="AP481" s="62">
        <f ca="1"/>
        <v>0.34111664924201662</v>
      </c>
      <c r="AQ481" s="62">
        <f ca="1"/>
        <v>0.75551531518888282</v>
      </c>
      <c r="AR481" s="62">
        <f ca="1"/>
        <v>1.2522440402878505</v>
      </c>
    </row>
    <row r="482" spans="25:44" x14ac:dyDescent="0.15">
      <c r="Y482" s="8">
        <f t="shared" si="33"/>
        <v>479</v>
      </c>
      <c r="Z482" s="61">
        <f t="shared" ca="1" si="31"/>
        <v>-1.3320556231186489</v>
      </c>
      <c r="AA482" s="61">
        <f t="shared" ca="1" si="31"/>
        <v>0.54596496246996651</v>
      </c>
      <c r="AB482" s="61">
        <f t="shared" ca="1" si="31"/>
        <v>-0.33142492167490861</v>
      </c>
      <c r="AC482" s="61">
        <f t="shared" ca="1" si="31"/>
        <v>-0.64123338575394639</v>
      </c>
      <c r="AD482" s="37"/>
      <c r="AE482" s="62">
        <f t="array" aca="1" ref="AE482:AH482" ca="1">TRANSPOSE($B$9:$B$12 + MMULT($D$9:$G$12,TRANSPOSE(AO482:AR482)) + MMULT($N$9:$Q$12, TRANSPOSE(Z482:AC482)))</f>
        <v>-0.2026850432294835</v>
      </c>
      <c r="AF482" s="62">
        <f ca="1"/>
        <v>1.6509964926601137</v>
      </c>
      <c r="AG482" s="62">
        <f ca="1"/>
        <v>0.38921913802706637</v>
      </c>
      <c r="AH482" s="62">
        <f ca="1"/>
        <v>3.6440490464687947E-2</v>
      </c>
      <c r="AI482" s="37"/>
      <c r="AJ482" s="61">
        <f t="shared" ca="1" si="32"/>
        <v>0.27488238382791064</v>
      </c>
      <c r="AK482" s="61">
        <f t="shared" ca="1" si="32"/>
        <v>2.2137129982934312</v>
      </c>
      <c r="AL482" s="61">
        <f t="shared" ca="1" si="32"/>
        <v>-1.4455315938683981</v>
      </c>
      <c r="AM482" s="61">
        <f t="shared" ca="1" si="32"/>
        <v>0.80498817276313994</v>
      </c>
      <c r="AN482" s="37"/>
      <c r="AO482" s="62">
        <f t="array" aca="1" ref="AO482:AR482" ca="1">TRANSPOSE($B$17:$B$20 + MMULT($D$17:$G$20,TRANSPOSE(AO481:AR481)) + MMULT($N$17:$Q$20,TRANSPOSE(AJ482:AM482)))</f>
        <v>0.66712562980396861</v>
      </c>
      <c r="AP482" s="62">
        <f ca="1"/>
        <v>1.4502695783772372</v>
      </c>
      <c r="AQ482" s="62">
        <f ca="1"/>
        <v>-0.28316767513875019</v>
      </c>
      <c r="AR482" s="62">
        <f ca="1"/>
        <v>0.48898372618516961</v>
      </c>
    </row>
    <row r="483" spans="25:44" x14ac:dyDescent="0.15">
      <c r="Y483" s="8">
        <f t="shared" si="33"/>
        <v>480</v>
      </c>
      <c r="Z483" s="61">
        <f t="shared" ca="1" si="31"/>
        <v>-0.11636595552008545</v>
      </c>
      <c r="AA483" s="61">
        <f t="shared" ca="1" si="31"/>
        <v>1.9477998359953923</v>
      </c>
      <c r="AB483" s="61">
        <f t="shared" ca="1" si="31"/>
        <v>0.21646779683585687</v>
      </c>
      <c r="AC483" s="61">
        <f t="shared" ca="1" si="31"/>
        <v>-0.21439566026074752</v>
      </c>
      <c r="AD483" s="37"/>
      <c r="AE483" s="62">
        <f t="array" aca="1" ref="AE483:AH483" ca="1">TRANSPOSE($B$9:$B$12 + MMULT($D$9:$G$12,TRANSPOSE(AO483:AR483)) + MMULT($N$9:$Q$12, TRANSPOSE(Z483:AC483)))</f>
        <v>0.6757931694871071</v>
      </c>
      <c r="AF483" s="62">
        <f ca="1"/>
        <v>1.0297499337195135</v>
      </c>
      <c r="AG483" s="62">
        <f ca="1"/>
        <v>0.10414258645708169</v>
      </c>
      <c r="AH483" s="62">
        <f ca="1"/>
        <v>0.8203285384945298</v>
      </c>
      <c r="AI483" s="37"/>
      <c r="AJ483" s="61">
        <f t="shared" ca="1" si="32"/>
        <v>-1.5864618102361099</v>
      </c>
      <c r="AK483" s="61">
        <f t="shared" ca="1" si="32"/>
        <v>-0.41230779325838168</v>
      </c>
      <c r="AL483" s="61">
        <f t="shared" ca="1" si="32"/>
        <v>0.96987678772999286</v>
      </c>
      <c r="AM483" s="61">
        <f t="shared" ca="1" si="32"/>
        <v>-1.4174145994966967</v>
      </c>
      <c r="AN483" s="37"/>
      <c r="AO483" s="62">
        <f t="array" aca="1" ref="AO483:AR483" ca="1">TRANSPOSE($B$17:$B$20 + MMULT($D$17:$G$20,TRANSPOSE(AO482:AR482)) + MMULT($N$17:$Q$20,TRANSPOSE(AJ483:AM483)))</f>
        <v>2.8149278761946395E-4</v>
      </c>
      <c r="AP483" s="62">
        <f ca="1"/>
        <v>0.51425336821851197</v>
      </c>
      <c r="AQ483" s="62">
        <f ca="1"/>
        <v>0.84022251632269795</v>
      </c>
      <c r="AR483" s="62">
        <f ca="1"/>
        <v>0.16513103621482317</v>
      </c>
    </row>
    <row r="484" spans="25:44" x14ac:dyDescent="0.15">
      <c r="Y484" s="8">
        <f t="shared" si="33"/>
        <v>481</v>
      </c>
      <c r="Z484" s="61">
        <f t="shared" ca="1" si="31"/>
        <v>-0.16375385897995814</v>
      </c>
      <c r="AA484" s="61">
        <f t="shared" ca="1" si="31"/>
        <v>0.3590622153450404</v>
      </c>
      <c r="AB484" s="61">
        <f t="shared" ca="1" si="31"/>
        <v>-2.7587310448367344</v>
      </c>
      <c r="AC484" s="61">
        <f t="shared" ca="1" si="31"/>
        <v>-0.11037358151552366</v>
      </c>
      <c r="AD484" s="37"/>
      <c r="AE484" s="62">
        <f t="array" aca="1" ref="AE484:AH484" ca="1">TRANSPOSE($B$9:$B$12 + MMULT($D$9:$G$12,TRANSPOSE(AO484:AR484)) + MMULT($N$9:$Q$12, TRANSPOSE(Z484:AC484)))</f>
        <v>0.55212970229363623</v>
      </c>
      <c r="AF484" s="62">
        <f ca="1"/>
        <v>1.1638062606457311</v>
      </c>
      <c r="AG484" s="62">
        <f ca="1"/>
        <v>-0.57011694387044654</v>
      </c>
      <c r="AH484" s="62">
        <f ca="1"/>
        <v>0.62914194741682639</v>
      </c>
      <c r="AI484" s="37"/>
      <c r="AJ484" s="61">
        <f t="shared" ca="1" si="32"/>
        <v>0.58286650790614591</v>
      </c>
      <c r="AK484" s="61">
        <f t="shared" ca="1" si="32"/>
        <v>1.2811795080016706</v>
      </c>
      <c r="AL484" s="61">
        <f t="shared" ca="1" si="32"/>
        <v>-0.6570380394239812</v>
      </c>
      <c r="AM484" s="61">
        <f t="shared" ca="1" si="32"/>
        <v>1.0441288074861772</v>
      </c>
      <c r="AN484" s="37"/>
      <c r="AO484" s="62">
        <f t="array" aca="1" ref="AO484:AR484" ca="1">TRANSPOSE($B$17:$B$20 + MMULT($D$17:$G$20,TRANSPOSE(AO483:AR483)) + MMULT($N$17:$Q$20,TRANSPOSE(AJ484:AM484)))</f>
        <v>0.63960892642073197</v>
      </c>
      <c r="AP484" s="62">
        <f ca="1"/>
        <v>0.81805468624863098</v>
      </c>
      <c r="AQ484" s="62">
        <f ca="1"/>
        <v>0.17314846793683963</v>
      </c>
      <c r="AR484" s="62">
        <f ca="1"/>
        <v>0.59122357800712266</v>
      </c>
    </row>
    <row r="485" spans="25:44" x14ac:dyDescent="0.15">
      <c r="Y485" s="8">
        <f t="shared" si="33"/>
        <v>482</v>
      </c>
      <c r="Z485" s="61">
        <f t="shared" ca="1" si="31"/>
        <v>-1.4247642268213736</v>
      </c>
      <c r="AA485" s="61">
        <f t="shared" ca="1" si="31"/>
        <v>0.36348694176417762</v>
      </c>
      <c r="AB485" s="61">
        <f t="shared" ca="1" si="31"/>
        <v>-0.67196344565945321</v>
      </c>
      <c r="AC485" s="61">
        <f t="shared" ca="1" si="31"/>
        <v>-0.54112631448472814</v>
      </c>
      <c r="AD485" s="37"/>
      <c r="AE485" s="62">
        <f t="array" aca="1" ref="AE485:AH485" ca="1">TRANSPOSE($B$9:$B$12 + MMULT($D$9:$G$12,TRANSPOSE(AO485:AR485)) + MMULT($N$9:$Q$12, TRANSPOSE(Z485:AC485)))</f>
        <v>0.98615695553036142</v>
      </c>
      <c r="AF485" s="62">
        <f ca="1"/>
        <v>1.1589158177557748</v>
      </c>
      <c r="AG485" s="62">
        <f ca="1"/>
        <v>0.74741126214781772</v>
      </c>
      <c r="AH485" s="62">
        <f ca="1"/>
        <v>0.73021858008948071</v>
      </c>
      <c r="AI485" s="37"/>
      <c r="AJ485" s="61">
        <f t="shared" ca="1" si="32"/>
        <v>2.1904454683841235</v>
      </c>
      <c r="AK485" s="61">
        <f t="shared" ca="1" si="32"/>
        <v>1.0482555564469704</v>
      </c>
      <c r="AL485" s="61">
        <f t="shared" ca="1" si="32"/>
        <v>0.42369280401197101</v>
      </c>
      <c r="AM485" s="61">
        <f t="shared" ca="1" si="32"/>
        <v>0.45322873612143955</v>
      </c>
      <c r="AN485" s="37"/>
      <c r="AO485" s="62">
        <f t="array" aca="1" ref="AO485:AR485" ca="1">TRANSPOSE($B$17:$B$20 + MMULT($D$17:$G$20,TRANSPOSE(AO484:AR484)) + MMULT($N$17:$Q$20,TRANSPOSE(AJ485:AM485)))</f>
        <v>1.2913200419057338</v>
      </c>
      <c r="AP485" s="62">
        <f ca="1"/>
        <v>1.049549167238484</v>
      </c>
      <c r="AQ485" s="62">
        <f ca="1"/>
        <v>1.0225939386346803</v>
      </c>
      <c r="AR485" s="62">
        <f ca="1"/>
        <v>0.73983293026785968</v>
      </c>
    </row>
    <row r="486" spans="25:44" x14ac:dyDescent="0.15">
      <c r="Y486" s="8">
        <f t="shared" si="33"/>
        <v>483</v>
      </c>
      <c r="Z486" s="61">
        <f t="shared" ca="1" si="31"/>
        <v>0.23242112316234392</v>
      </c>
      <c r="AA486" s="61">
        <f t="shared" ca="1" si="31"/>
        <v>-0.64733795850525622</v>
      </c>
      <c r="AB486" s="61">
        <f t="shared" ca="1" si="31"/>
        <v>1.100138431914472</v>
      </c>
      <c r="AC486" s="61">
        <f t="shared" ca="1" si="31"/>
        <v>0.22634512479191723</v>
      </c>
      <c r="AD486" s="37"/>
      <c r="AE486" s="62">
        <f t="array" aca="1" ref="AE486:AH486" ca="1">TRANSPOSE($B$9:$B$12 + MMULT($D$9:$G$12,TRANSPOSE(AO486:AR486)) + MMULT($N$9:$Q$12, TRANSPOSE(Z486:AC486)))</f>
        <v>1.0995997079013518</v>
      </c>
      <c r="AF486" s="62">
        <f ca="1"/>
        <v>1.4378295442248061</v>
      </c>
      <c r="AG486" s="62">
        <f ca="1"/>
        <v>0.73845784246972501</v>
      </c>
      <c r="AH486" s="62">
        <f ca="1"/>
        <v>0.83510964678970911</v>
      </c>
      <c r="AI486" s="37"/>
      <c r="AJ486" s="61">
        <f t="shared" ca="1" si="32"/>
        <v>9.1168681230429267E-3</v>
      </c>
      <c r="AK486" s="61">
        <f t="shared" ca="1" si="32"/>
        <v>1.3193049707720346</v>
      </c>
      <c r="AL486" s="61">
        <f t="shared" ca="1" si="32"/>
        <v>-0.5823563264405891</v>
      </c>
      <c r="AM486" s="61">
        <f t="shared" ca="1" si="32"/>
        <v>-0.29470200156227516</v>
      </c>
      <c r="AN486" s="37"/>
      <c r="AO486" s="62">
        <f t="array" aca="1" ref="AO486:AR486" ca="1">TRANSPOSE($B$17:$B$20 + MMULT($D$17:$G$20,TRANSPOSE(AO485:AR485)) + MMULT($N$17:$Q$20,TRANSPOSE(AJ486:AM486)))</f>
        <v>0.87709884978819741</v>
      </c>
      <c r="AP486" s="62">
        <f ca="1"/>
        <v>1.4998203469814884</v>
      </c>
      <c r="AQ486" s="62">
        <f ca="1"/>
        <v>0.55829393400030636</v>
      </c>
      <c r="AR486" s="62">
        <f ca="1"/>
        <v>0.56980133791745302</v>
      </c>
    </row>
    <row r="487" spans="25:44" x14ac:dyDescent="0.15">
      <c r="Y487" s="8">
        <f t="shared" si="33"/>
        <v>484</v>
      </c>
      <c r="Z487" s="61">
        <f t="shared" ca="1" si="31"/>
        <v>0.89301342635107195</v>
      </c>
      <c r="AA487" s="61">
        <f t="shared" ca="1" si="31"/>
        <v>-0.16559377956481652</v>
      </c>
      <c r="AB487" s="61">
        <f t="shared" ca="1" si="31"/>
        <v>-0.33992729318494069</v>
      </c>
      <c r="AC487" s="61">
        <f t="shared" ca="1" si="31"/>
        <v>-0.91936669147858263</v>
      </c>
      <c r="AD487" s="37"/>
      <c r="AE487" s="62">
        <f t="array" aca="1" ref="AE487:AH487" ca="1">TRANSPOSE($B$9:$B$12 + MMULT($D$9:$G$12,TRANSPOSE(AO487:AR487)) + MMULT($N$9:$Q$12, TRANSPOSE(Z487:AC487)))</f>
        <v>0.7983368564968456</v>
      </c>
      <c r="AF487" s="62">
        <f ca="1"/>
        <v>1.565446995313539</v>
      </c>
      <c r="AG487" s="62">
        <f ca="1"/>
        <v>-0.24154995667237145</v>
      </c>
      <c r="AH487" s="62">
        <f ca="1"/>
        <v>0.69305740472313182</v>
      </c>
      <c r="AI487" s="37"/>
      <c r="AJ487" s="61">
        <f t="shared" ca="1" si="32"/>
        <v>-1.1987767506867053</v>
      </c>
      <c r="AK487" s="61">
        <f t="shared" ca="1" si="32"/>
        <v>1.4104356055452063</v>
      </c>
      <c r="AL487" s="61">
        <f t="shared" ca="1" si="32"/>
        <v>-0.69845076836669384</v>
      </c>
      <c r="AM487" s="61">
        <f t="shared" ca="1" si="32"/>
        <v>0.54159529590588396</v>
      </c>
      <c r="AN487" s="37"/>
      <c r="AO487" s="62">
        <f t="array" aca="1" ref="AO487:AR487" ca="1">TRANSPOSE($B$17:$B$20 + MMULT($D$17:$G$20,TRANSPOSE(AO486:AR486)) + MMULT($N$17:$Q$20,TRANSPOSE(AJ487:AM487)))</f>
        <v>0.31770981747893579</v>
      </c>
      <c r="AP487" s="62">
        <f ca="1"/>
        <v>1.4429859384256498</v>
      </c>
      <c r="AQ487" s="62">
        <f ca="1"/>
        <v>0.23446194268206633</v>
      </c>
      <c r="AR487" s="62">
        <f ca="1"/>
        <v>0.46236630244808319</v>
      </c>
    </row>
    <row r="488" spans="25:44" x14ac:dyDescent="0.15">
      <c r="Y488" s="8">
        <f t="shared" si="33"/>
        <v>485</v>
      </c>
      <c r="Z488" s="61">
        <f t="shared" ca="1" si="31"/>
        <v>0.73228242150255207</v>
      </c>
      <c r="AA488" s="61">
        <f t="shared" ca="1" si="31"/>
        <v>-0.38808757575960467</v>
      </c>
      <c r="AB488" s="61">
        <f t="shared" ca="1" si="31"/>
        <v>0.28412547558848505</v>
      </c>
      <c r="AC488" s="61">
        <f t="shared" ca="1" si="31"/>
        <v>0.279619512665296</v>
      </c>
      <c r="AD488" s="37"/>
      <c r="AE488" s="62">
        <f t="array" aca="1" ref="AE488:AH488" ca="1">TRANSPOSE($B$9:$B$12 + MMULT($D$9:$G$12,TRANSPOSE(AO488:AR488)) + MMULT($N$9:$Q$12, TRANSPOSE(Z488:AC488)))</f>
        <v>0.21147951517369296</v>
      </c>
      <c r="AF488" s="62">
        <f ca="1"/>
        <v>0.61844403447344831</v>
      </c>
      <c r="AG488" s="62">
        <f ca="1"/>
        <v>-0.10597491313801842</v>
      </c>
      <c r="AH488" s="62">
        <f ca="1"/>
        <v>0.74810631036075292</v>
      </c>
      <c r="AI488" s="37"/>
      <c r="AJ488" s="61">
        <f t="shared" ca="1" si="32"/>
        <v>-2.5935886293500103</v>
      </c>
      <c r="AK488" s="61">
        <f t="shared" ca="1" si="32"/>
        <v>0.41249546508527241</v>
      </c>
      <c r="AL488" s="61">
        <f t="shared" ca="1" si="32"/>
        <v>-0.42772087560939032</v>
      </c>
      <c r="AM488" s="61">
        <f t="shared" ca="1" si="32"/>
        <v>7.1332039826513552E-2</v>
      </c>
      <c r="AN488" s="37"/>
      <c r="AO488" s="62">
        <f t="array" aca="1" ref="AO488:AR488" ca="1">TRANSPOSE($B$17:$B$20 + MMULT($D$17:$G$20,TRANSPOSE(AO487:AR487)) + MMULT($N$17:$Q$20,TRANSPOSE(AJ488:AM488)))</f>
        <v>-0.35511045766509852</v>
      </c>
      <c r="AP488" s="62">
        <f ca="1"/>
        <v>0.76302127693174604</v>
      </c>
      <c r="AQ488" s="62">
        <f ca="1"/>
        <v>2.3100163690603082E-2</v>
      </c>
      <c r="AR488" s="62">
        <f ca="1"/>
        <v>0.25554607137048568</v>
      </c>
    </row>
    <row r="489" spans="25:44" x14ac:dyDescent="0.15">
      <c r="Y489" s="8">
        <f t="shared" si="33"/>
        <v>486</v>
      </c>
      <c r="Z489" s="61">
        <f t="shared" ca="1" si="31"/>
        <v>-0.47802301015414178</v>
      </c>
      <c r="AA489" s="61">
        <f t="shared" ca="1" si="31"/>
        <v>-1.7024303860334544</v>
      </c>
      <c r="AB489" s="61">
        <f t="shared" ca="1" si="31"/>
        <v>0.85038296254347168</v>
      </c>
      <c r="AC489" s="61">
        <f t="shared" ca="1" si="31"/>
        <v>-0.82636113752168294</v>
      </c>
      <c r="AD489" s="37"/>
      <c r="AE489" s="62">
        <f t="array" aca="1" ref="AE489:AH489" ca="1">TRANSPOSE($B$9:$B$12 + MMULT($D$9:$G$12,TRANSPOSE(AO489:AR489)) + MMULT($N$9:$Q$12, TRANSPOSE(Z489:AC489)))</f>
        <v>0.35902252504741938</v>
      </c>
      <c r="AF489" s="62">
        <f ca="1"/>
        <v>-0.69230499710014204</v>
      </c>
      <c r="AG489" s="62">
        <f ca="1"/>
        <v>0.80492490251020232</v>
      </c>
      <c r="AH489" s="62">
        <f ca="1"/>
        <v>0.16372775836895315</v>
      </c>
      <c r="AI489" s="37"/>
      <c r="AJ489" s="61">
        <f t="shared" ca="1" si="32"/>
        <v>-0.19846904575965968</v>
      </c>
      <c r="AK489" s="61">
        <f t="shared" ca="1" si="32"/>
        <v>-0.39692542665833552</v>
      </c>
      <c r="AL489" s="61">
        <f t="shared" ca="1" si="32"/>
        <v>2.3816441063872852E-2</v>
      </c>
      <c r="AM489" s="61">
        <f t="shared" ca="1" si="32"/>
        <v>-0.84336708162276941</v>
      </c>
      <c r="AN489" s="37"/>
      <c r="AO489" s="62">
        <f t="array" aca="1" ref="AO489:AR489" ca="1">TRANSPOSE($B$17:$B$20 + MMULT($D$17:$G$20,TRANSPOSE(AO488:AR488)) + MMULT($N$17:$Q$20,TRANSPOSE(AJ489:AM489)))</f>
        <v>0.18501849539434037</v>
      </c>
      <c r="AP489" s="62">
        <f ca="1"/>
        <v>1.5008080479839148E-3</v>
      </c>
      <c r="AQ489" s="62">
        <f ca="1"/>
        <v>0.35153859391912851</v>
      </c>
      <c r="AR489" s="62">
        <f ca="1"/>
        <v>0.22423246735453811</v>
      </c>
    </row>
    <row r="490" spans="25:44" x14ac:dyDescent="0.15">
      <c r="Y490" s="8">
        <f t="shared" si="33"/>
        <v>487</v>
      </c>
      <c r="Z490" s="61">
        <f t="shared" ca="1" si="31"/>
        <v>-0.35085613695580053</v>
      </c>
      <c r="AA490" s="61">
        <f t="shared" ca="1" si="31"/>
        <v>1.1886501642319722</v>
      </c>
      <c r="AB490" s="61">
        <f t="shared" ca="1" si="31"/>
        <v>0.89494900099646746</v>
      </c>
      <c r="AC490" s="61">
        <f t="shared" ca="1" si="31"/>
        <v>-0.34936410535878154</v>
      </c>
      <c r="AD490" s="37"/>
      <c r="AE490" s="62">
        <f t="array" aca="1" ref="AE490:AH490" ca="1">TRANSPOSE($B$9:$B$12 + MMULT($D$9:$G$12,TRANSPOSE(AO490:AR490)) + MMULT($N$9:$Q$12, TRANSPOSE(Z490:AC490)))</f>
        <v>0.23562932769591602</v>
      </c>
      <c r="AF490" s="62">
        <f ca="1"/>
        <v>0.59561603627421666</v>
      </c>
      <c r="AG490" s="62">
        <f ca="1"/>
        <v>1.6540014264228002</v>
      </c>
      <c r="AH490" s="62">
        <f ca="1"/>
        <v>-0.36776405614694085</v>
      </c>
      <c r="AI490" s="37"/>
      <c r="AJ490" s="61">
        <f t="shared" ca="1" si="32"/>
        <v>0.91117525647148245</v>
      </c>
      <c r="AK490" s="61">
        <f t="shared" ca="1" si="32"/>
        <v>-1.2762360997648965</v>
      </c>
      <c r="AL490" s="61">
        <f t="shared" ca="1" si="32"/>
        <v>-1.8595849309211596</v>
      </c>
      <c r="AM490" s="61">
        <f t="shared" ca="1" si="32"/>
        <v>1.181901050757044</v>
      </c>
      <c r="AN490" s="37"/>
      <c r="AO490" s="62">
        <f t="array" aca="1" ref="AO490:AR490" ca="1">TRANSPOSE($B$17:$B$20 + MMULT($D$17:$G$20,TRANSPOSE(AO489:AR489)) + MMULT($N$17:$Q$20,TRANSPOSE(AJ490:AM490)))</f>
        <v>0.69202133402017263</v>
      </c>
      <c r="AP490" s="62">
        <f ca="1"/>
        <v>-0.35343607312039421</v>
      </c>
      <c r="AQ490" s="62">
        <f ca="1"/>
        <v>-0.27190820446165381</v>
      </c>
      <c r="AR490" s="62">
        <f ca="1"/>
        <v>0.78905069711408582</v>
      </c>
    </row>
    <row r="491" spans="25:44" x14ac:dyDescent="0.15">
      <c r="Y491" s="8">
        <f t="shared" si="33"/>
        <v>488</v>
      </c>
      <c r="Z491" s="61">
        <f t="shared" ca="1" si="31"/>
        <v>-0.17585518230342367</v>
      </c>
      <c r="AA491" s="61">
        <f t="shared" ca="1" si="31"/>
        <v>-0.68837531672427821</v>
      </c>
      <c r="AB491" s="61">
        <f t="shared" ca="1" si="31"/>
        <v>-1.3791033657562941</v>
      </c>
      <c r="AC491" s="61">
        <f t="shared" ca="1" si="31"/>
        <v>9.6643214506487399E-2</v>
      </c>
      <c r="AD491" s="37"/>
      <c r="AE491" s="62">
        <f t="array" aca="1" ref="AE491:AH491" ca="1">TRANSPOSE($B$9:$B$12 + MMULT($D$9:$G$12,TRANSPOSE(AO491:AR491)) + MMULT($N$9:$Q$12, TRANSPOSE(Z491:AC491)))</f>
        <v>0.74221919669208958</v>
      </c>
      <c r="AF491" s="62">
        <f ca="1"/>
        <v>2.159875996510402E-2</v>
      </c>
      <c r="AG491" s="62">
        <f ca="1"/>
        <v>0.15606348637277689</v>
      </c>
      <c r="AH491" s="62">
        <f ca="1"/>
        <v>0.79326637053428306</v>
      </c>
      <c r="AI491" s="37"/>
      <c r="AJ491" s="61">
        <f t="shared" ca="1" si="32"/>
        <v>0.1472140927783335</v>
      </c>
      <c r="AK491" s="61">
        <f t="shared" ca="1" si="32"/>
        <v>-0.29117479079778075</v>
      </c>
      <c r="AL491" s="61">
        <f t="shared" ca="1" si="32"/>
        <v>1.0850534903356859</v>
      </c>
      <c r="AM491" s="61">
        <f t="shared" ca="1" si="32"/>
        <v>0.48521525436814078</v>
      </c>
      <c r="AN491" s="37"/>
      <c r="AO491" s="62">
        <f t="array" aca="1" ref="AO491:AR491" ca="1">TRANSPOSE($B$17:$B$20 + MMULT($D$17:$G$20,TRANSPOSE(AO490:AR490)) + MMULT($N$17:$Q$20,TRANSPOSE(AJ491:AM491)))</f>
        <v>0.47687313168067846</v>
      </c>
      <c r="AP491" s="62">
        <f ca="1"/>
        <v>0.1689890006168826</v>
      </c>
      <c r="AQ491" s="62">
        <f ca="1"/>
        <v>0.61183302860689193</v>
      </c>
      <c r="AR491" s="62">
        <f ca="1"/>
        <v>0.59813320460145092</v>
      </c>
    </row>
    <row r="492" spans="25:44" x14ac:dyDescent="0.15">
      <c r="Y492" s="8">
        <f t="shared" si="33"/>
        <v>489</v>
      </c>
      <c r="Z492" s="61">
        <f t="shared" ca="1" si="31"/>
        <v>-2.9577762005000099</v>
      </c>
      <c r="AA492" s="61">
        <f t="shared" ca="1" si="31"/>
        <v>0.43239283464661799</v>
      </c>
      <c r="AB492" s="61">
        <f t="shared" ca="1" si="31"/>
        <v>1.0900170038709298</v>
      </c>
      <c r="AC492" s="61">
        <f t="shared" ca="1" si="31"/>
        <v>0.58418892019579749</v>
      </c>
      <c r="AD492" s="37"/>
      <c r="AE492" s="62">
        <f t="array" aca="1" ref="AE492:AH492" ca="1">TRANSPOSE($B$9:$B$12 + MMULT($D$9:$G$12,TRANSPOSE(AO492:AR492)) + MMULT($N$9:$Q$12, TRANSPOSE(Z492:AC492)))</f>
        <v>-0.42984821079504298</v>
      </c>
      <c r="AF492" s="62">
        <f ca="1"/>
        <v>-0.35014272314541445</v>
      </c>
      <c r="AG492" s="62">
        <f ca="1"/>
        <v>1.8172323878676522</v>
      </c>
      <c r="AH492" s="62">
        <f ca="1"/>
        <v>0.20936790833962199</v>
      </c>
      <c r="AI492" s="37"/>
      <c r="AJ492" s="61">
        <f t="shared" ca="1" si="32"/>
        <v>-2.9058293039548631E-2</v>
      </c>
      <c r="AK492" s="61">
        <f t="shared" ca="1" si="32"/>
        <v>-1.254825955993925</v>
      </c>
      <c r="AL492" s="61">
        <f t="shared" ca="1" si="32"/>
        <v>-0.23737367156614853</v>
      </c>
      <c r="AM492" s="61">
        <f t="shared" ca="1" si="32"/>
        <v>-1.1248371436097266</v>
      </c>
      <c r="AN492" s="37"/>
      <c r="AO492" s="62">
        <f t="array" aca="1" ref="AO492:AR492" ca="1">TRANSPOSE($B$17:$B$20 + MMULT($D$17:$G$20,TRANSPOSE(AO491:AR491)) + MMULT($N$17:$Q$20,TRANSPOSE(AJ492:AM492)))</f>
        <v>0.52051021751706916</v>
      </c>
      <c r="AP492" s="62">
        <f ca="1"/>
        <v>-0.13989249651679098</v>
      </c>
      <c r="AQ492" s="62">
        <f ca="1"/>
        <v>0.46768246293832189</v>
      </c>
      <c r="AR492" s="62">
        <f ca="1"/>
        <v>0.54706997580717898</v>
      </c>
    </row>
    <row r="493" spans="25:44" x14ac:dyDescent="0.15">
      <c r="Y493" s="8">
        <f t="shared" si="33"/>
        <v>490</v>
      </c>
      <c r="Z493" s="61">
        <f t="shared" ca="1" si="31"/>
        <v>0.11730566382068804</v>
      </c>
      <c r="AA493" s="61">
        <f t="shared" ca="1" si="31"/>
        <v>-0.78328456117627254</v>
      </c>
      <c r="AB493" s="61">
        <f t="shared" ca="1" si="31"/>
        <v>-1.391243173275811</v>
      </c>
      <c r="AC493" s="61">
        <f t="shared" ca="1" si="31"/>
        <v>-1.124132921910854</v>
      </c>
      <c r="AD493" s="37"/>
      <c r="AE493" s="62">
        <f t="array" aca="1" ref="AE493:AH493" ca="1">TRANSPOSE($B$9:$B$12 + MMULT($D$9:$G$12,TRANSPOSE(AO493:AR493)) + MMULT($N$9:$Q$12, TRANSPOSE(Z493:AC493)))</f>
        <v>1.2200540660920103</v>
      </c>
      <c r="AF493" s="62">
        <f ca="1"/>
        <v>-0.43059871010370887</v>
      </c>
      <c r="AG493" s="62">
        <f ca="1"/>
        <v>0.61446912994596381</v>
      </c>
      <c r="AH493" s="62">
        <f ca="1"/>
        <v>0.4456052903324107</v>
      </c>
      <c r="AI493" s="37"/>
      <c r="AJ493" s="61">
        <f t="shared" ca="1" si="32"/>
        <v>0.9290506967851565</v>
      </c>
      <c r="AK493" s="61">
        <f t="shared" ca="1" si="32"/>
        <v>-1.932067694782222</v>
      </c>
      <c r="AL493" s="61">
        <f t="shared" ca="1" si="32"/>
        <v>0.32652962743084246</v>
      </c>
      <c r="AM493" s="61">
        <f t="shared" ca="1" si="32"/>
        <v>-0.87522634099475527</v>
      </c>
      <c r="AN493" s="37"/>
      <c r="AO493" s="62">
        <f t="array" aca="1" ref="AO493:AR493" ca="1">TRANSPOSE($B$17:$B$20 + MMULT($D$17:$G$20,TRANSPOSE(AO492:AR492)) + MMULT($N$17:$Q$20,TRANSPOSE(AJ493:AM493)))</f>
        <v>0.80835601496814524</v>
      </c>
      <c r="AP493" s="62">
        <f ca="1"/>
        <v>-0.4973389127200068</v>
      </c>
      <c r="AQ493" s="62">
        <f ca="1"/>
        <v>0.83021714534694713</v>
      </c>
      <c r="AR493" s="62">
        <f ca="1"/>
        <v>0.78783453046749785</v>
      </c>
    </row>
    <row r="494" spans="25:44" x14ac:dyDescent="0.15">
      <c r="Y494" s="8">
        <f t="shared" si="33"/>
        <v>491</v>
      </c>
      <c r="Z494" s="61">
        <f t="shared" ca="1" si="31"/>
        <v>1.8950153260210019</v>
      </c>
      <c r="AA494" s="61">
        <f t="shared" ca="1" si="31"/>
        <v>-1.7563270050936335</v>
      </c>
      <c r="AB494" s="61">
        <f t="shared" ca="1" si="31"/>
        <v>1.7735148265391791</v>
      </c>
      <c r="AC494" s="61">
        <f t="shared" ca="1" si="31"/>
        <v>0.81000146289675756</v>
      </c>
      <c r="AD494" s="37"/>
      <c r="AE494" s="62">
        <f t="array" aca="1" ref="AE494:AH494" ca="1">TRANSPOSE($B$9:$B$12 + MMULT($D$9:$G$12,TRANSPOSE(AO494:AR494)) + MMULT($N$9:$Q$12, TRANSPOSE(Z494:AC494)))</f>
        <v>1.8319728698468101</v>
      </c>
      <c r="AF494" s="62">
        <f ca="1"/>
        <v>0.32879940459987889</v>
      </c>
      <c r="AG494" s="62">
        <f ca="1"/>
        <v>0.78354001054292488</v>
      </c>
      <c r="AH494" s="62">
        <f ca="1"/>
        <v>0.92509875937745223</v>
      </c>
      <c r="AI494" s="37"/>
      <c r="AJ494" s="61">
        <f t="shared" ca="1" si="32"/>
        <v>6.0879404021786959E-2</v>
      </c>
      <c r="AK494" s="61">
        <f t="shared" ca="1" si="32"/>
        <v>0.36716327167591084</v>
      </c>
      <c r="AL494" s="61">
        <f t="shared" ca="1" si="32"/>
        <v>0.99566252207213846</v>
      </c>
      <c r="AM494" s="61">
        <f t="shared" ca="1" si="32"/>
        <v>-1.4198037800259522</v>
      </c>
      <c r="AN494" s="37"/>
      <c r="AO494" s="62">
        <f t="array" aca="1" ref="AO494:AR494" ca="1">TRANSPOSE($B$17:$B$20 + MMULT($D$17:$G$20,TRANSPOSE(AO493:AR493)) + MMULT($N$17:$Q$20,TRANSPOSE(AJ494:AM494)))</f>
        <v>0.63104555722828337</v>
      </c>
      <c r="AP494" s="62">
        <f ca="1"/>
        <v>0.52583356686221694</v>
      </c>
      <c r="AQ494" s="62">
        <f ca="1"/>
        <v>0.73702817310212421</v>
      </c>
      <c r="AR494" s="62">
        <f ca="1"/>
        <v>0.35809439951979855</v>
      </c>
    </row>
    <row r="495" spans="25:44" x14ac:dyDescent="0.15">
      <c r="Y495" s="8">
        <f t="shared" si="33"/>
        <v>492</v>
      </c>
      <c r="Z495" s="61">
        <f t="shared" ca="1" si="31"/>
        <v>0.80430053583527072</v>
      </c>
      <c r="AA495" s="61">
        <f t="shared" ca="1" si="31"/>
        <v>0.31855285463715377</v>
      </c>
      <c r="AB495" s="61">
        <f t="shared" ca="1" si="31"/>
        <v>0.39692303907417004</v>
      </c>
      <c r="AC495" s="61">
        <f t="shared" ca="1" si="31"/>
        <v>-0.29675866390102129</v>
      </c>
      <c r="AD495" s="37"/>
      <c r="AE495" s="62">
        <f t="array" aca="1" ref="AE495:AH495" ca="1">TRANSPOSE($B$9:$B$12 + MMULT($D$9:$G$12,TRANSPOSE(AO495:AR495)) + MMULT($N$9:$Q$12, TRANSPOSE(Z495:AC495)))</f>
        <v>1.5060308870429635</v>
      </c>
      <c r="AF495" s="62">
        <f ca="1"/>
        <v>0.59773339269689818</v>
      </c>
      <c r="AG495" s="62">
        <f ca="1"/>
        <v>0.99243656917223111</v>
      </c>
      <c r="AH495" s="62">
        <f ca="1"/>
        <v>0.78702016515344886</v>
      </c>
      <c r="AI495" s="37"/>
      <c r="AJ495" s="61">
        <f t="shared" ca="1" si="32"/>
        <v>0.47747090634769018</v>
      </c>
      <c r="AK495" s="61">
        <f t="shared" ca="1" si="32"/>
        <v>-1.0285292546043783</v>
      </c>
      <c r="AL495" s="61">
        <f t="shared" ca="1" si="32"/>
        <v>0.33075493131619027</v>
      </c>
      <c r="AM495" s="61">
        <f t="shared" ca="1" si="32"/>
        <v>-0.50057939437566312</v>
      </c>
      <c r="AN495" s="37"/>
      <c r="AO495" s="62">
        <f t="array" aca="1" ref="AO495:AR495" ca="1">TRANSPOSE($B$17:$B$20 + MMULT($D$17:$G$20,TRANSPOSE(AO494:AR494)) + MMULT($N$17:$Q$20,TRANSPOSE(AJ495:AM495)))</f>
        <v>0.76382788616678354</v>
      </c>
      <c r="AP495" s="62">
        <f ca="1"/>
        <v>8.0270474781569512E-2</v>
      </c>
      <c r="AQ495" s="62">
        <f ca="1"/>
        <v>0.94297595240671084</v>
      </c>
      <c r="AR495" s="62">
        <f ca="1"/>
        <v>0.80673121875438447</v>
      </c>
    </row>
    <row r="496" spans="25:44" x14ac:dyDescent="0.15">
      <c r="Y496" s="8">
        <f t="shared" si="33"/>
        <v>493</v>
      </c>
      <c r="Z496" s="61">
        <f t="shared" ca="1" si="31"/>
        <v>0.50723840601046366</v>
      </c>
      <c r="AA496" s="61">
        <f t="shared" ca="1" si="31"/>
        <v>-1.444316588857536</v>
      </c>
      <c r="AB496" s="61">
        <f t="shared" ca="1" si="31"/>
        <v>1.9510464335202855</v>
      </c>
      <c r="AC496" s="61">
        <f t="shared" ca="1" si="31"/>
        <v>-0.35929965311020806</v>
      </c>
      <c r="AD496" s="37"/>
      <c r="AE496" s="62">
        <f t="array" aca="1" ref="AE496:AH496" ca="1">TRANSPOSE($B$9:$B$12 + MMULT($D$9:$G$12,TRANSPOSE(AO496:AR496)) + MMULT($N$9:$Q$12, TRANSPOSE(Z496:AC496)))</f>
        <v>1.2301523866478623</v>
      </c>
      <c r="AF496" s="62">
        <f ca="1"/>
        <v>0.89090763866609846</v>
      </c>
      <c r="AG496" s="62">
        <f ca="1"/>
        <v>0.86397065385894278</v>
      </c>
      <c r="AH496" s="62">
        <f ca="1"/>
        <v>0.39644706671718266</v>
      </c>
      <c r="AI496" s="37"/>
      <c r="AJ496" s="61">
        <f t="shared" ca="1" si="32"/>
        <v>0.55233434813686133</v>
      </c>
      <c r="AK496" s="61">
        <f t="shared" ca="1" si="32"/>
        <v>1.6447092129691425</v>
      </c>
      <c r="AL496" s="61">
        <f t="shared" ca="1" si="32"/>
        <v>-1.6208054780082533E-2</v>
      </c>
      <c r="AM496" s="61">
        <f t="shared" ca="1" si="32"/>
        <v>-1.2019005675399692</v>
      </c>
      <c r="AN496" s="37"/>
      <c r="AO496" s="62">
        <f t="array" aca="1" ref="AO496:AR496" ca="1">TRANSPOSE($B$17:$B$20 + MMULT($D$17:$G$20,TRANSPOSE(AO495:AR495)) + MMULT($N$17:$Q$20,TRANSPOSE(AJ496:AM496)))</f>
        <v>0.84391384196416486</v>
      </c>
      <c r="AP496" s="62">
        <f ca="1"/>
        <v>1.2169262676995096</v>
      </c>
      <c r="AQ496" s="62">
        <f ca="1"/>
        <v>0.44894192570060654</v>
      </c>
      <c r="AR496" s="62">
        <f ca="1"/>
        <v>0.23242819252323577</v>
      </c>
    </row>
    <row r="497" spans="25:44" x14ac:dyDescent="0.15">
      <c r="Y497" s="8">
        <f t="shared" si="33"/>
        <v>494</v>
      </c>
      <c r="Z497" s="61">
        <f t="shared" ca="1" si="31"/>
        <v>-1.4579392087592598</v>
      </c>
      <c r="AA497" s="61">
        <f t="shared" ca="1" si="31"/>
        <v>0.61766054480172305</v>
      </c>
      <c r="AB497" s="61">
        <f t="shared" ca="1" si="31"/>
        <v>0.12459664169740745</v>
      </c>
      <c r="AC497" s="61">
        <f t="shared" ca="1" si="31"/>
        <v>6.9272931822721123E-2</v>
      </c>
      <c r="AD497" s="37"/>
      <c r="AE497" s="62">
        <f t="array" aca="1" ref="AE497:AH497" ca="1">TRANSPOSE($B$9:$B$12 + MMULT($D$9:$G$12,TRANSPOSE(AO497:AR497)) + MMULT($N$9:$Q$12, TRANSPOSE(Z497:AC497)))</f>
        <v>0.32253575683138169</v>
      </c>
      <c r="AF497" s="62">
        <f ca="1"/>
        <v>0.58902091527636491</v>
      </c>
      <c r="AG497" s="62">
        <f ca="1"/>
        <v>1.2330365420726155</v>
      </c>
      <c r="AH497" s="62">
        <f ca="1"/>
        <v>1.2505706492146216</v>
      </c>
      <c r="AI497" s="37"/>
      <c r="AJ497" s="61">
        <f t="shared" ca="1" si="32"/>
        <v>-0.67854468579980054</v>
      </c>
      <c r="AK497" s="61">
        <f t="shared" ca="1" si="32"/>
        <v>-0.2820211602318165</v>
      </c>
      <c r="AL497" s="61">
        <f t="shared" ca="1" si="32"/>
        <v>0.94441272732988402</v>
      </c>
      <c r="AM497" s="61">
        <f t="shared" ca="1" si="32"/>
        <v>1.6747179760135822</v>
      </c>
      <c r="AN497" s="37"/>
      <c r="AO497" s="62">
        <f t="array" aca="1" ref="AO497:AR497" ca="1">TRANSPOSE($B$17:$B$20 + MMULT($D$17:$G$20,TRANSPOSE(AO496:AR496)) + MMULT($N$17:$Q$20,TRANSPOSE(AJ497:AM497)))</f>
        <v>0.43128783303465112</v>
      </c>
      <c r="AP497" s="62">
        <f ca="1"/>
        <v>0.59346904892020158</v>
      </c>
      <c r="AQ497" s="62">
        <f ca="1"/>
        <v>1.0986731067110458</v>
      </c>
      <c r="AR497" s="62">
        <f ca="1"/>
        <v>1.117146895711139</v>
      </c>
    </row>
    <row r="498" spans="25:44" x14ac:dyDescent="0.15">
      <c r="Y498" s="8">
        <f t="shared" si="33"/>
        <v>495</v>
      </c>
      <c r="Z498" s="61">
        <f t="shared" ca="1" si="31"/>
        <v>-0.22568138506468141</v>
      </c>
      <c r="AA498" s="61">
        <f t="shared" ca="1" si="31"/>
        <v>0.78197351749468447</v>
      </c>
      <c r="AB498" s="61">
        <f t="shared" ca="1" si="31"/>
        <v>0.84473161433716937</v>
      </c>
      <c r="AC498" s="61">
        <f t="shared" ca="1" si="31"/>
        <v>-0.81174268870231769</v>
      </c>
      <c r="AD498" s="37"/>
      <c r="AE498" s="62">
        <f t="array" aca="1" ref="AE498:AH498" ca="1">TRANSPOSE($B$9:$B$12 + MMULT($D$9:$G$12,TRANSPOSE(AO498:AR498)) + MMULT($N$9:$Q$12, TRANSPOSE(Z498:AC498)))</f>
        <v>0.83160389622109598</v>
      </c>
      <c r="AF498" s="62">
        <f ca="1"/>
        <v>1.2440120626684112</v>
      </c>
      <c r="AG498" s="62">
        <f ca="1"/>
        <v>1.6334594298195471</v>
      </c>
      <c r="AH498" s="62">
        <f ca="1"/>
        <v>0.97581588042769862</v>
      </c>
      <c r="AI498" s="37"/>
      <c r="AJ498" s="61">
        <f t="shared" ca="1" si="32"/>
        <v>0.28802813855069365</v>
      </c>
      <c r="AK498" s="61">
        <f t="shared" ca="1" si="32"/>
        <v>0.28643908411183538</v>
      </c>
      <c r="AL498" s="61">
        <f t="shared" ca="1" si="32"/>
        <v>0.32333298061821364</v>
      </c>
      <c r="AM498" s="61">
        <f t="shared" ca="1" si="32"/>
        <v>1.826238671045054</v>
      </c>
      <c r="AN498" s="37"/>
      <c r="AO498" s="62">
        <f t="array" aca="1" ref="AO498:AR498" ca="1">TRANSPOSE($B$17:$B$20 + MMULT($D$17:$G$20,TRANSPOSE(AO497:AR497)) + MMULT($N$17:$Q$20,TRANSPOSE(AJ498:AM498)))</f>
        <v>0.74301275139273915</v>
      </c>
      <c r="AP498" s="62">
        <f ca="1"/>
        <v>0.72072832155082722</v>
      </c>
      <c r="AQ498" s="62">
        <f ca="1"/>
        <v>0.89523995505038312</v>
      </c>
      <c r="AR498" s="62">
        <f ca="1"/>
        <v>1.4120649333741995</v>
      </c>
    </row>
    <row r="499" spans="25:44" x14ac:dyDescent="0.15">
      <c r="Y499" s="8">
        <f t="shared" si="33"/>
        <v>496</v>
      </c>
      <c r="Z499" s="61">
        <f t="shared" ca="1" si="31"/>
        <v>0.89799355338839326</v>
      </c>
      <c r="AA499" s="61">
        <f t="shared" ca="1" si="31"/>
        <v>-1.4459409269528078</v>
      </c>
      <c r="AB499" s="61">
        <f t="shared" ca="1" si="31"/>
        <v>0.70744711836379681</v>
      </c>
      <c r="AC499" s="61">
        <f t="shared" ca="1" si="31"/>
        <v>0.14523090454377396</v>
      </c>
      <c r="AD499" s="37"/>
      <c r="AE499" s="62">
        <f t="array" aca="1" ref="AE499:AH499" ca="1">TRANSPOSE($B$9:$B$12 + MMULT($D$9:$G$12,TRANSPOSE(AO499:AR499)) + MMULT($N$9:$Q$12, TRANSPOSE(Z499:AC499)))</f>
        <v>0.40452774960035165</v>
      </c>
      <c r="AF499" s="62">
        <f ca="1"/>
        <v>0.43944446548118987</v>
      </c>
      <c r="AG499" s="62">
        <f ca="1"/>
        <v>0.86943221087653388</v>
      </c>
      <c r="AH499" s="62">
        <f ca="1"/>
        <v>0.67909053708233913</v>
      </c>
      <c r="AI499" s="37"/>
      <c r="AJ499" s="61">
        <f t="shared" ca="1" si="32"/>
        <v>-1.6922482053956145</v>
      </c>
      <c r="AK499" s="61">
        <f t="shared" ca="1" si="32"/>
        <v>-0.35471679662723543</v>
      </c>
      <c r="AL499" s="61">
        <f t="shared" ca="1" si="32"/>
        <v>-1.3308141291319526</v>
      </c>
      <c r="AM499" s="61">
        <f t="shared" ca="1" si="32"/>
        <v>0.71279634392610447</v>
      </c>
      <c r="AN499" s="37"/>
      <c r="AO499" s="62">
        <f t="array" aca="1" ref="AO499:AR499" ca="1">TRANSPOSE($B$17:$B$20 + MMULT($D$17:$G$20,TRANSPOSE(AO498:AR498)) + MMULT($N$17:$Q$20,TRANSPOSE(AJ499:AM499)))</f>
        <v>0.15127883478177773</v>
      </c>
      <c r="AP499" s="62">
        <f ca="1"/>
        <v>0.5935048152761222</v>
      </c>
      <c r="AQ499" s="62">
        <f ca="1"/>
        <v>-6.3771005596729657E-2</v>
      </c>
      <c r="AR499" s="62">
        <f ca="1"/>
        <v>0.92713120355251843</v>
      </c>
    </row>
    <row r="500" spans="25:44" x14ac:dyDescent="0.15">
      <c r="Y500" s="8">
        <f t="shared" si="33"/>
        <v>497</v>
      </c>
      <c r="Z500" s="61">
        <f t="shared" ca="1" si="31"/>
        <v>0.57592882678877277</v>
      </c>
      <c r="AA500" s="61">
        <f t="shared" ca="1" si="31"/>
        <v>0.58579303832151597</v>
      </c>
      <c r="AB500" s="61">
        <f t="shared" ca="1" si="31"/>
        <v>0.45600044122996747</v>
      </c>
      <c r="AC500" s="61">
        <f t="shared" ca="1" si="31"/>
        <v>0.12544713960919088</v>
      </c>
      <c r="AD500" s="37"/>
      <c r="AE500" s="62">
        <f t="array" aca="1" ref="AE500:AH500" ca="1">TRANSPOSE($B$9:$B$12 + MMULT($D$9:$G$12,TRANSPOSE(AO500:AR500)) + MMULT($N$9:$Q$12, TRANSPOSE(Z500:AC500)))</f>
        <v>1.0444451835412156</v>
      </c>
      <c r="AF500" s="62">
        <f ca="1"/>
        <v>1.5658317002518496</v>
      </c>
      <c r="AG500" s="62">
        <f ca="1"/>
        <v>-2.5605015897204486E-2</v>
      </c>
      <c r="AH500" s="62">
        <f ca="1"/>
        <v>0.14111462995139751</v>
      </c>
      <c r="AI500" s="37"/>
      <c r="AJ500" s="61">
        <f t="shared" ca="1" si="32"/>
        <v>1.0211088640025459</v>
      </c>
      <c r="AK500" s="61">
        <f t="shared" ca="1" si="32"/>
        <v>1.6341507086529934</v>
      </c>
      <c r="AL500" s="61">
        <f t="shared" ca="1" si="32"/>
        <v>-0.68251521982471519</v>
      </c>
      <c r="AM500" s="61">
        <f t="shared" ca="1" si="32"/>
        <v>-1.4713047246661239</v>
      </c>
      <c r="AN500" s="37"/>
      <c r="AO500" s="62">
        <f t="array" aca="1" ref="AO500:AR500" ca="1">TRANSPOSE($B$17:$B$20 + MMULT($D$17:$G$20,TRANSPOSE(AO499:AR499)) + MMULT($N$17:$Q$20,TRANSPOSE(AJ500:AM500)))</f>
        <v>0.73521926571247342</v>
      </c>
      <c r="AP500" s="62">
        <f ca="1"/>
        <v>1.0916211527792903</v>
      </c>
      <c r="AQ500" s="62">
        <f ca="1"/>
        <v>6.7886313994090952E-2</v>
      </c>
      <c r="AR500" s="62">
        <f ca="1"/>
        <v>-0.1175293298214225</v>
      </c>
    </row>
    <row r="501" spans="25:44" x14ac:dyDescent="0.15">
      <c r="Y501" s="8">
        <f t="shared" si="33"/>
        <v>498</v>
      </c>
      <c r="Z501" s="61">
        <f t="shared" ca="1" si="31"/>
        <v>-0.43643196640362436</v>
      </c>
      <c r="AA501" s="61">
        <f t="shared" ca="1" si="31"/>
        <v>1.1638633120629769</v>
      </c>
      <c r="AB501" s="61">
        <f t="shared" ca="1" si="31"/>
        <v>1.6401665279170499</v>
      </c>
      <c r="AC501" s="61">
        <f t="shared" ca="1" si="31"/>
        <v>-8.1998017493168027E-2</v>
      </c>
      <c r="AD501" s="37"/>
      <c r="AE501" s="62">
        <f t="array" aca="1" ref="AE501:AH501" ca="1">TRANSPOSE($B$9:$B$12 + MMULT($D$9:$G$12,TRANSPOSE(AO501:AR501)) + MMULT($N$9:$Q$12, TRANSPOSE(Z501:AC501)))</f>
        <v>0.70173314351212879</v>
      </c>
      <c r="AF501" s="62">
        <f ca="1"/>
        <v>0.42384553222390015</v>
      </c>
      <c r="AG501" s="62">
        <f ca="1"/>
        <v>1.7544500311469302</v>
      </c>
      <c r="AH501" s="62">
        <f ca="1"/>
        <v>0.73774201011098173</v>
      </c>
      <c r="AI501" s="37"/>
      <c r="AJ501" s="61">
        <f t="shared" ca="1" si="32"/>
        <v>-0.41235324391028033</v>
      </c>
      <c r="AK501" s="61">
        <f t="shared" ca="1" si="32"/>
        <v>-1.5350264606934723</v>
      </c>
      <c r="AL501" s="61">
        <f t="shared" ca="1" si="32"/>
        <v>0.49046355236278166</v>
      </c>
      <c r="AM501" s="61">
        <f t="shared" ca="1" si="32"/>
        <v>0.91392780734062407</v>
      </c>
      <c r="AN501" s="37"/>
      <c r="AO501" s="62">
        <f t="array" aca="1" ref="AO501:AR501" ca="1">TRANSPOSE($B$17:$B$20 + MMULT($D$17:$G$20,TRANSPOSE(AO500:AR500)) + MMULT($N$17:$Q$20,TRANSPOSE(AJ501:AM501)))</f>
        <v>0.4101105055411215</v>
      </c>
      <c r="AP501" s="62">
        <f ca="1"/>
        <v>-7.9669154729666292E-2</v>
      </c>
      <c r="AQ501" s="62">
        <f ca="1"/>
        <v>0.90819430695471359</v>
      </c>
      <c r="AR501" s="62">
        <f ca="1"/>
        <v>0.90535888341478232</v>
      </c>
    </row>
    <row r="502" spans="25:44" x14ac:dyDescent="0.15">
      <c r="Y502" s="8">
        <f t="shared" si="33"/>
        <v>499</v>
      </c>
      <c r="Z502" s="61">
        <f t="shared" ca="1" si="31"/>
        <v>-0.59468652409550382</v>
      </c>
      <c r="AA502" s="61">
        <f t="shared" ca="1" si="31"/>
        <v>0.60079261941313822</v>
      </c>
      <c r="AB502" s="61">
        <f t="shared" ca="1" si="31"/>
        <v>1.4514155833563609</v>
      </c>
      <c r="AC502" s="61">
        <f t="shared" ca="1" si="31"/>
        <v>1.1837125857093447</v>
      </c>
      <c r="AD502" s="37"/>
      <c r="AE502" s="62">
        <f t="array" aca="1" ref="AE502:AH502" ca="1">TRANSPOSE($B$9:$B$12 + MMULT($D$9:$G$12,TRANSPOSE(AO502:AR502)) + MMULT($N$9:$Q$12, TRANSPOSE(Z502:AC502)))</f>
        <v>0.89893857242909947</v>
      </c>
      <c r="AF502" s="62">
        <f ca="1"/>
        <v>0.99619269972247293</v>
      </c>
      <c r="AG502" s="62">
        <f ca="1"/>
        <v>1.5913586354141818</v>
      </c>
      <c r="AH502" s="62">
        <f ca="1"/>
        <v>0.57089750020552588</v>
      </c>
      <c r="AI502" s="37"/>
      <c r="AJ502" s="61">
        <f t="shared" ca="1" si="32"/>
        <v>1.5120194852793376</v>
      </c>
      <c r="AK502" s="61">
        <f t="shared" ca="1" si="32"/>
        <v>0.33095048594322296</v>
      </c>
      <c r="AL502" s="61">
        <f t="shared" ca="1" si="32"/>
        <v>-0.29096842587621585</v>
      </c>
      <c r="AM502" s="61">
        <f t="shared" ca="1" si="32"/>
        <v>-0.44345536856098561</v>
      </c>
      <c r="AN502" s="37"/>
      <c r="AO502" s="62">
        <f t="array" aca="1" ref="AO502:AR502" ca="1">TRANSPOSE($B$17:$B$20 + MMULT($D$17:$G$20,TRANSPOSE(AO501:AR501)) + MMULT($N$17:$Q$20,TRANSPOSE(AJ502:AM502)))</f>
        <v>1.0626055024573056</v>
      </c>
      <c r="AP502" s="62">
        <f ca="1"/>
        <v>0.52649441146937148</v>
      </c>
      <c r="AQ502" s="62">
        <f ca="1"/>
        <v>0.54506202993922115</v>
      </c>
      <c r="AR502" s="62">
        <f ca="1"/>
        <v>0.69960000762159691</v>
      </c>
    </row>
    <row r="503" spans="25:44" x14ac:dyDescent="0.15">
      <c r="Y503" s="8">
        <f t="shared" si="33"/>
        <v>500</v>
      </c>
      <c r="Z503" s="61">
        <f t="shared" ca="1" si="31"/>
        <v>0.36648993924431944</v>
      </c>
      <c r="AA503" s="61">
        <f t="shared" ca="1" si="31"/>
        <v>0.58194725523970836</v>
      </c>
      <c r="AB503" s="61">
        <f t="shared" ca="1" si="31"/>
        <v>0.85109743999790111</v>
      </c>
      <c r="AC503" s="61">
        <f t="shared" ca="1" si="31"/>
        <v>1.0268061479117807</v>
      </c>
      <c r="AD503" s="37"/>
      <c r="AE503" s="62">
        <f t="array" aca="1" ref="AE503:AH503" ca="1">TRANSPOSE($B$9:$B$12 + MMULT($D$9:$G$12,TRANSPOSE(AO503:AR503)) + MMULT($N$9:$Q$12, TRANSPOSE(Z503:AC503)))</f>
        <v>0.98447950842401299</v>
      </c>
      <c r="AF503" s="62">
        <f ca="1"/>
        <v>1.1104030748599001</v>
      </c>
      <c r="AG503" s="62">
        <f ca="1"/>
        <v>1.2298945897678821</v>
      </c>
      <c r="AH503" s="62">
        <f ca="1"/>
        <v>1.0282538688601224</v>
      </c>
      <c r="AI503" s="37"/>
      <c r="AJ503" s="61">
        <f t="shared" ca="1" si="32"/>
        <v>-8.5989441274878342E-2</v>
      </c>
      <c r="AK503" s="61">
        <f t="shared" ca="1" si="32"/>
        <v>-0.30516409799812</v>
      </c>
      <c r="AL503" s="61">
        <f t="shared" ca="1" si="32"/>
        <v>-4.978004597120203E-2</v>
      </c>
      <c r="AM503" s="61">
        <f t="shared" ca="1" si="32"/>
        <v>1.0691942537901016</v>
      </c>
      <c r="AN503" s="37"/>
      <c r="AO503" s="62">
        <f t="array" aca="1" ref="AO503:AR503" ca="1">TRANSPOSE($B$17:$B$20 + MMULT($D$17:$G$20,TRANSPOSE(AO502:AR502)) + MMULT($N$17:$Q$20,TRANSPOSE(AJ503:AM503)))</f>
        <v>0.67509059984275999</v>
      </c>
      <c r="AP503" s="62">
        <f ca="1"/>
        <v>0.56034506901555536</v>
      </c>
      <c r="AQ503" s="62">
        <f ca="1"/>
        <v>0.62730705645536355</v>
      </c>
      <c r="AR503" s="62">
        <f ca="1"/>
        <v>0.98962641256742867</v>
      </c>
    </row>
    <row r="504" spans="25:44" x14ac:dyDescent="0.15">
      <c r="Y504" s="8">
        <f t="shared" si="33"/>
        <v>501</v>
      </c>
      <c r="Z504" s="61">
        <f t="shared" ca="1" si="31"/>
        <v>0.8418541450694772</v>
      </c>
      <c r="AA504" s="61">
        <f t="shared" ca="1" si="31"/>
        <v>2.2360622268214931</v>
      </c>
      <c r="AB504" s="61">
        <f t="shared" ca="1" si="31"/>
        <v>0.59007963991372381</v>
      </c>
      <c r="AC504" s="61">
        <f t="shared" ca="1" si="31"/>
        <v>0.33106413494164666</v>
      </c>
      <c r="AD504" s="37"/>
      <c r="AE504" s="62">
        <f t="array" aca="1" ref="AE504:AH504" ca="1">TRANSPOSE($B$9:$B$12 + MMULT($D$9:$G$12,TRANSPOSE(AO504:AR504)) + MMULT($N$9:$Q$12, TRANSPOSE(Z504:AC504)))</f>
        <v>1.8871058522621347</v>
      </c>
      <c r="AF504" s="62">
        <f ca="1"/>
        <v>1.9617120199061602</v>
      </c>
      <c r="AG504" s="62">
        <f ca="1"/>
        <v>1.0283207142140152</v>
      </c>
      <c r="AH504" s="62">
        <f ca="1"/>
        <v>1.3364619438018164</v>
      </c>
      <c r="AI504" s="37"/>
      <c r="AJ504" s="61">
        <f t="shared" ca="1" si="32"/>
        <v>1.1571632592025816</v>
      </c>
      <c r="AK504" s="61">
        <f t="shared" ca="1" si="32"/>
        <v>0.31032563032766058</v>
      </c>
      <c r="AL504" s="61">
        <f t="shared" ca="1" si="32"/>
        <v>1.300478426497844</v>
      </c>
      <c r="AM504" s="61">
        <f t="shared" ca="1" si="32"/>
        <v>8.7815176228303746E-2</v>
      </c>
      <c r="AN504" s="37"/>
      <c r="AO504" s="62">
        <f t="array" aca="1" ref="AO504:AR504" ca="1">TRANSPOSE($B$17:$B$20 + MMULT($D$17:$G$20,TRANSPOSE(AO503:AR503)) + MMULT($N$17:$Q$20,TRANSPOSE(AJ504:AM504)))</f>
        <v>1.0208624143684824</v>
      </c>
      <c r="AP504" s="62">
        <f ca="1"/>
        <v>0.76218240812280746</v>
      </c>
      <c r="AQ504" s="62">
        <f ca="1"/>
        <v>1.3747808945664797</v>
      </c>
      <c r="AR504" s="62">
        <f ca="1"/>
        <v>1.0059565962294597</v>
      </c>
    </row>
    <row r="505" spans="25:44" x14ac:dyDescent="0.15">
      <c r="Y505" s="8">
        <f t="shared" si="33"/>
        <v>502</v>
      </c>
      <c r="Z505" s="61">
        <f t="shared" ca="1" si="31"/>
        <v>-0.31604966845210347</v>
      </c>
      <c r="AA505" s="61">
        <f t="shared" ca="1" si="31"/>
        <v>1.1096891454232281</v>
      </c>
      <c r="AB505" s="61">
        <f t="shared" ca="1" si="31"/>
        <v>0.50726056104443962</v>
      </c>
      <c r="AC505" s="61">
        <f t="shared" ca="1" si="31"/>
        <v>-0.14773780972804121</v>
      </c>
      <c r="AD505" s="37"/>
      <c r="AE505" s="62">
        <f t="array" aca="1" ref="AE505:AH505" ca="1">TRANSPOSE($B$9:$B$12 + MMULT($D$9:$G$12,TRANSPOSE(AO505:AR505)) + MMULT($N$9:$Q$12, TRANSPOSE(Z505:AC505)))</f>
        <v>1.5328579573158327</v>
      </c>
      <c r="AF505" s="62">
        <f ca="1"/>
        <v>1.1313811073124613</v>
      </c>
      <c r="AG505" s="62">
        <f ca="1"/>
        <v>1.3838592156567728</v>
      </c>
      <c r="AH505" s="62">
        <f ca="1"/>
        <v>1.5888870943822448</v>
      </c>
      <c r="AI505" s="37"/>
      <c r="AJ505" s="61">
        <f t="shared" ca="1" si="32"/>
        <v>0.25378656924525633</v>
      </c>
      <c r="AK505" s="61">
        <f t="shared" ca="1" si="32"/>
        <v>-0.3945383985890567</v>
      </c>
      <c r="AL505" s="61">
        <f t="shared" ca="1" si="32"/>
        <v>1.6585650059089039</v>
      </c>
      <c r="AM505" s="61">
        <f t="shared" ca="1" si="32"/>
        <v>-0.49579723293084793</v>
      </c>
      <c r="AN505" s="37"/>
      <c r="AO505" s="62">
        <f t="array" aca="1" ref="AO505:AR505" ca="1">TRANSPOSE($B$17:$B$20 + MMULT($D$17:$G$20,TRANSPOSE(AO504:AR504)) + MMULT($N$17:$Q$20,TRANSPOSE(AJ505:AM505)))</f>
        <v>0.93316693023537645</v>
      </c>
      <c r="AP505" s="62">
        <f ca="1"/>
        <v>0.67937447554458763</v>
      </c>
      <c r="AQ505" s="62">
        <f ca="1"/>
        <v>1.7670202747636183</v>
      </c>
      <c r="AR505" s="62">
        <f ca="1"/>
        <v>1.2514285655834017</v>
      </c>
    </row>
    <row r="506" spans="25:44" x14ac:dyDescent="0.15">
      <c r="Y506" s="8">
        <f t="shared" si="33"/>
        <v>503</v>
      </c>
      <c r="Z506" s="61">
        <f t="shared" ca="1" si="31"/>
        <v>1.1934895313319225</v>
      </c>
      <c r="AA506" s="61">
        <f t="shared" ca="1" si="31"/>
        <v>0.31743820092670127</v>
      </c>
      <c r="AB506" s="61">
        <f t="shared" ca="1" si="31"/>
        <v>2.10249411299074</v>
      </c>
      <c r="AC506" s="61">
        <f t="shared" ca="1" si="31"/>
        <v>0.76513445892185761</v>
      </c>
      <c r="AD506" s="37"/>
      <c r="AE506" s="62">
        <f t="array" aca="1" ref="AE506:AH506" ca="1">TRANSPOSE($B$9:$B$12 + MMULT($D$9:$G$12,TRANSPOSE(AO506:AR506)) + MMULT($N$9:$Q$12, TRANSPOSE(Z506:AC506)))</f>
        <v>1.8996229924600665</v>
      </c>
      <c r="AF506" s="62">
        <f ca="1"/>
        <v>0.80832407899811032</v>
      </c>
      <c r="AG506" s="62">
        <f ca="1"/>
        <v>2.0186626980385647</v>
      </c>
      <c r="AH506" s="62">
        <f ca="1"/>
        <v>1.7784299257319534</v>
      </c>
      <c r="AI506" s="37"/>
      <c r="AJ506" s="61">
        <f t="shared" ca="1" si="32"/>
        <v>-0.43858150950257696</v>
      </c>
      <c r="AK506" s="61">
        <f t="shared" ca="1" si="32"/>
        <v>-1.3114923621895427</v>
      </c>
      <c r="AL506" s="61">
        <f t="shared" ca="1" si="32"/>
        <v>1.2537476554445759</v>
      </c>
      <c r="AM506" s="61">
        <f t="shared" ca="1" si="32"/>
        <v>-0.60062852228214858</v>
      </c>
      <c r="AN506" s="37"/>
      <c r="AO506" s="62">
        <f t="array" aca="1" ref="AO506:AR506" ca="1">TRANSPOSE($B$17:$B$20 + MMULT($D$17:$G$20,TRANSPOSE(AO505:AR505)) + MMULT($N$17:$Q$20,TRANSPOSE(AJ506:AM506)))</f>
        <v>0.74125512157390483</v>
      </c>
      <c r="AP506" s="62">
        <f ca="1"/>
        <v>0.29791275778911597</v>
      </c>
      <c r="AQ506" s="62">
        <f ca="1"/>
        <v>1.648074519978584</v>
      </c>
      <c r="AR506" s="62">
        <f ca="1"/>
        <v>1.4641210141211447</v>
      </c>
    </row>
    <row r="507" spans="25:44" x14ac:dyDescent="0.15">
      <c r="Y507" s="8">
        <f t="shared" si="33"/>
        <v>504</v>
      </c>
      <c r="Z507" s="61">
        <f t="shared" ca="1" si="31"/>
        <v>1.0169205473237979</v>
      </c>
      <c r="AA507" s="61">
        <f t="shared" ca="1" si="31"/>
        <v>-1.3125966135135967</v>
      </c>
      <c r="AB507" s="61">
        <f t="shared" ca="1" si="31"/>
        <v>-0.75534651097406513</v>
      </c>
      <c r="AC507" s="61">
        <f t="shared" ca="1" si="31"/>
        <v>1.1971184692611043</v>
      </c>
      <c r="AD507" s="37"/>
      <c r="AE507" s="62">
        <f t="array" aca="1" ref="AE507:AH507" ca="1">TRANSPOSE($B$9:$B$12 + MMULT($D$9:$G$12,TRANSPOSE(AO507:AR507)) + MMULT($N$9:$Q$12, TRANSPOSE(Z507:AC507)))</f>
        <v>1.2580707528105399</v>
      </c>
      <c r="AF507" s="62">
        <f ca="1"/>
        <v>0.31089995464154285</v>
      </c>
      <c r="AG507" s="62">
        <f ca="1"/>
        <v>0.3980022452600207</v>
      </c>
      <c r="AH507" s="62">
        <f ca="1"/>
        <v>2.055716695782956</v>
      </c>
      <c r="AI507" s="37"/>
      <c r="AJ507" s="61">
        <f t="shared" ca="1" si="32"/>
        <v>-1.6496574730609836</v>
      </c>
      <c r="AK507" s="61">
        <f t="shared" ca="1" si="32"/>
        <v>-0.15648565067630871</v>
      </c>
      <c r="AL507" s="61">
        <f t="shared" ca="1" si="32"/>
        <v>1.5002317855038225</v>
      </c>
      <c r="AM507" s="61">
        <f t="shared" ca="1" si="32"/>
        <v>-4.7441447711967392E-2</v>
      </c>
      <c r="AN507" s="37"/>
      <c r="AO507" s="62">
        <f t="array" aca="1" ref="AO507:AR507" ca="1">TRANSPOSE($B$17:$B$20 + MMULT($D$17:$G$20,TRANSPOSE(AO506:AR506)) + MMULT($N$17:$Q$20,TRANSPOSE(AJ507:AM507)))</f>
        <v>0.24879694489090853</v>
      </c>
      <c r="AP507" s="62">
        <f ca="1"/>
        <v>0.62826230650666437</v>
      </c>
      <c r="AQ507" s="62">
        <f ca="1"/>
        <v>1.2314323281831199</v>
      </c>
      <c r="AR507" s="62">
        <f ca="1"/>
        <v>1.2328599763985859</v>
      </c>
    </row>
    <row r="508" spans="25:44" x14ac:dyDescent="0.15">
      <c r="Y508" s="8">
        <f t="shared" si="33"/>
        <v>505</v>
      </c>
      <c r="Z508" s="61">
        <f t="shared" ca="1" si="31"/>
        <v>-0.46354652289607673</v>
      </c>
      <c r="AA508" s="61">
        <f t="shared" ca="1" si="31"/>
        <v>-1.2439952691758811</v>
      </c>
      <c r="AB508" s="61">
        <f t="shared" ca="1" si="31"/>
        <v>-0.11854740701456515</v>
      </c>
      <c r="AC508" s="61">
        <f t="shared" ca="1" si="31"/>
        <v>0.84500818202070593</v>
      </c>
      <c r="AD508" s="37"/>
      <c r="AE508" s="62">
        <f t="array" aca="1" ref="AE508:AH508" ca="1">TRANSPOSE($B$9:$B$12 + MMULT($D$9:$G$12,TRANSPOSE(AO508:AR508)) + MMULT($N$9:$Q$12, TRANSPOSE(Z508:AC508)))</f>
        <v>1.1167865733746314</v>
      </c>
      <c r="AF508" s="62">
        <f ca="1"/>
        <v>0.55630454231735593</v>
      </c>
      <c r="AG508" s="62">
        <f ca="1"/>
        <v>0.66680933902984441</v>
      </c>
      <c r="AH508" s="62">
        <f ca="1"/>
        <v>0.98962564650440288</v>
      </c>
      <c r="AI508" s="37"/>
      <c r="AJ508" s="61">
        <f t="shared" ca="1" si="32"/>
        <v>1.2269041027935024</v>
      </c>
      <c r="AK508" s="61">
        <f t="shared" ca="1" si="32"/>
        <v>0.78346016177290323</v>
      </c>
      <c r="AL508" s="61">
        <f t="shared" ca="1" si="32"/>
        <v>-0.15036712619131212</v>
      </c>
      <c r="AM508" s="61">
        <f t="shared" ca="1" si="32"/>
        <v>-1.5972600250652205</v>
      </c>
      <c r="AN508" s="37"/>
      <c r="AO508" s="62">
        <f t="array" aca="1" ref="AO508:AR508" ca="1">TRANSPOSE($B$17:$B$20 + MMULT($D$17:$G$20,TRANSPOSE(AO507:AR507)) + MMULT($N$17:$Q$20,TRANSPOSE(AJ508:AM508)))</f>
        <v>1.0390670579289278</v>
      </c>
      <c r="AP508" s="62">
        <f ca="1"/>
        <v>0.91599910708014831</v>
      </c>
      <c r="AQ508" s="62">
        <f ca="1"/>
        <v>0.82568329444388755</v>
      </c>
      <c r="AR508" s="62">
        <f ca="1"/>
        <v>0.61864865538201363</v>
      </c>
    </row>
    <row r="509" spans="25:44" x14ac:dyDescent="0.15">
      <c r="Y509" s="8">
        <f t="shared" si="33"/>
        <v>506</v>
      </c>
      <c r="Z509" s="61">
        <f t="shared" ca="1" si="31"/>
        <v>-1.498249141082137</v>
      </c>
      <c r="AA509" s="61">
        <f t="shared" ca="1" si="31"/>
        <v>1.3647370906362071</v>
      </c>
      <c r="AB509" s="61">
        <f t="shared" ca="1" si="31"/>
        <v>0.45423245094785936</v>
      </c>
      <c r="AC509" s="61">
        <f t="shared" ca="1" si="31"/>
        <v>0.25640910722485022</v>
      </c>
      <c r="AD509" s="37"/>
      <c r="AE509" s="62">
        <f t="array" aca="1" ref="AE509:AH509" ca="1">TRANSPOSE($B$9:$B$12 + MMULT($D$9:$G$12,TRANSPOSE(AO509:AR509)) + MMULT($N$9:$Q$12, TRANSPOSE(Z509:AC509)))</f>
        <v>0.77923372229048726</v>
      </c>
      <c r="AF509" s="62">
        <f ca="1"/>
        <v>1.0890951763042231</v>
      </c>
      <c r="AG509" s="62">
        <f ca="1"/>
        <v>0.96974906330634369</v>
      </c>
      <c r="AH509" s="62">
        <f ca="1"/>
        <v>1.1727234537277349</v>
      </c>
      <c r="AI509" s="37"/>
      <c r="AJ509" s="61">
        <f t="shared" ca="1" si="32"/>
        <v>-0.11925818913341794</v>
      </c>
      <c r="AK509" s="61">
        <f t="shared" ca="1" si="32"/>
        <v>0.24911468966626524</v>
      </c>
      <c r="AL509" s="61">
        <f t="shared" ca="1" si="32"/>
        <v>1.2661522352739738</v>
      </c>
      <c r="AM509" s="61">
        <f t="shared" ca="1" si="32"/>
        <v>-1.0330071875162146</v>
      </c>
      <c r="AN509" s="37"/>
      <c r="AO509" s="62">
        <f t="array" aca="1" ref="AO509:AR509" ca="1">TRANSPOSE($B$17:$B$20 + MMULT($D$17:$G$20,TRANSPOSE(AO508:AR508)) + MMULT($N$17:$Q$20,TRANSPOSE(AJ509:AM509)))</f>
        <v>0.72336737976614407</v>
      </c>
      <c r="AP509" s="62">
        <f ca="1"/>
        <v>0.89546054299343925</v>
      </c>
      <c r="AQ509" s="62">
        <f ca="1"/>
        <v>1.3344834072254463</v>
      </c>
      <c r="AR509" s="62">
        <f ca="1"/>
        <v>0.65886355900018478</v>
      </c>
    </row>
    <row r="510" spans="25:44" x14ac:dyDescent="0.15">
      <c r="Y510" s="8">
        <f t="shared" si="33"/>
        <v>507</v>
      </c>
      <c r="Z510" s="61">
        <f t="shared" ca="1" si="31"/>
        <v>1.7651555161201258</v>
      </c>
      <c r="AA510" s="61">
        <f t="shared" ca="1" si="31"/>
        <v>-0.47835269443061434</v>
      </c>
      <c r="AB510" s="61">
        <f t="shared" ca="1" si="31"/>
        <v>-0.43215054996483437</v>
      </c>
      <c r="AC510" s="61">
        <f t="shared" ca="1" si="31"/>
        <v>1.2508924855712138</v>
      </c>
      <c r="AD510" s="37"/>
      <c r="AE510" s="62">
        <f t="array" aca="1" ref="AE510:AH510" ca="1">TRANSPOSE($B$9:$B$12 + MMULT($D$9:$G$12,TRANSPOSE(AO510:AR510)) + MMULT($N$9:$Q$12, TRANSPOSE(Z510:AC510)))</f>
        <v>1.0661055291280832</v>
      </c>
      <c r="AF510" s="62">
        <f ca="1"/>
        <v>1.0050869862132723</v>
      </c>
      <c r="AG510" s="62">
        <f ca="1"/>
        <v>-5.5981809521259251E-2</v>
      </c>
      <c r="AH510" s="62">
        <f ca="1"/>
        <v>0.65603222290746799</v>
      </c>
      <c r="AI510" s="37"/>
      <c r="AJ510" s="61">
        <f t="shared" ca="1" si="32"/>
        <v>-0.9483991378013088</v>
      </c>
      <c r="AK510" s="61">
        <f t="shared" ca="1" si="32"/>
        <v>-0.31344919558792872</v>
      </c>
      <c r="AL510" s="61">
        <f t="shared" ca="1" si="32"/>
        <v>-2.0242935714139878</v>
      </c>
      <c r="AM510" s="61">
        <f t="shared" ca="1" si="32"/>
        <v>-1.19063505770891</v>
      </c>
      <c r="AN510" s="37"/>
      <c r="AO510" s="62">
        <f t="array" aca="1" ref="AO510:AR510" ca="1">TRANSPOSE($B$17:$B$20 + MMULT($D$17:$G$20,TRANSPOSE(AO509:AR509)) + MMULT($N$17:$Q$20,TRANSPOSE(AJ510:AM510)))</f>
        <v>0.43765873740185346</v>
      </c>
      <c r="AP510" s="62">
        <f ca="1"/>
        <v>0.57909009530808764</v>
      </c>
      <c r="AQ510" s="62">
        <f ca="1"/>
        <v>-0.12416678272491999</v>
      </c>
      <c r="AR510" s="62">
        <f ca="1"/>
        <v>0.44122525927269729</v>
      </c>
    </row>
    <row r="511" spans="25:44" x14ac:dyDescent="0.15">
      <c r="Y511" s="8">
        <f t="shared" si="33"/>
        <v>508</v>
      </c>
      <c r="Z511" s="61">
        <f t="shared" ca="1" si="31"/>
        <v>-0.69943001319989517</v>
      </c>
      <c r="AA511" s="61">
        <f t="shared" ca="1" si="31"/>
        <v>1.7336805510344906</v>
      </c>
      <c r="AB511" s="61">
        <f t="shared" ca="1" si="31"/>
        <v>-1.1691284583142934</v>
      </c>
      <c r="AC511" s="61">
        <f t="shared" ca="1" si="31"/>
        <v>-0.27472005699780538</v>
      </c>
      <c r="AD511" s="37"/>
      <c r="AE511" s="62">
        <f t="array" aca="1" ref="AE511:AH511" ca="1">TRANSPOSE($B$9:$B$12 + MMULT($D$9:$G$12,TRANSPOSE(AO511:AR511)) + MMULT($N$9:$Q$12, TRANSPOSE(Z511:AC511)))</f>
        <v>0.68974104050676166</v>
      </c>
      <c r="AF511" s="62">
        <f ca="1"/>
        <v>0.4681034202982417</v>
      </c>
      <c r="AG511" s="62">
        <f ca="1"/>
        <v>0.48579036588692814</v>
      </c>
      <c r="AH511" s="62">
        <f ca="1"/>
        <v>-1.0250161681748499E-2</v>
      </c>
      <c r="AI511" s="37"/>
      <c r="AJ511" s="61">
        <f t="shared" ca="1" si="32"/>
        <v>1.0144892467808539</v>
      </c>
      <c r="AK511" s="61">
        <f t="shared" ca="1" si="32"/>
        <v>-1.9545789682819321</v>
      </c>
      <c r="AL511" s="61">
        <f t="shared" ca="1" si="32"/>
        <v>-0.89865553691660649</v>
      </c>
      <c r="AM511" s="61">
        <f t="shared" ca="1" si="32"/>
        <v>-1.6776783163963935</v>
      </c>
      <c r="AN511" s="37"/>
      <c r="AO511" s="62">
        <f t="array" aca="1" ref="AO511:AR511" ca="1">TRANSPOSE($B$17:$B$20 + MMULT($D$17:$G$20,TRANSPOSE(AO510:AR510)) + MMULT($N$17:$Q$20,TRANSPOSE(AJ511:AM511)))</f>
        <v>0.77433362984856513</v>
      </c>
      <c r="AP511" s="62">
        <f ca="1"/>
        <v>-0.40399808023016048</v>
      </c>
      <c r="AQ511" s="62">
        <f ca="1"/>
        <v>0.37375418886576667</v>
      </c>
      <c r="AR511" s="62">
        <f ca="1"/>
        <v>0.34936463299375375</v>
      </c>
    </row>
    <row r="512" spans="25:44" x14ac:dyDescent="0.15">
      <c r="Y512" s="8">
        <f t="shared" si="33"/>
        <v>509</v>
      </c>
      <c r="Z512" s="61">
        <f t="shared" ca="1" si="31"/>
        <v>-0.59249459638188262</v>
      </c>
      <c r="AA512" s="61">
        <f t="shared" ca="1" si="31"/>
        <v>1.8203391101873434</v>
      </c>
      <c r="AB512" s="61">
        <f t="shared" ca="1" si="31"/>
        <v>1.3330296767416232</v>
      </c>
      <c r="AC512" s="61">
        <f t="shared" ca="1" si="31"/>
        <v>0.71999491151915118</v>
      </c>
      <c r="AD512" s="37"/>
      <c r="AE512" s="62">
        <f t="array" aca="1" ref="AE512:AH512" ca="1">TRANSPOSE($B$9:$B$12 + MMULT($D$9:$G$12,TRANSPOSE(AO512:AR512)) + MMULT($N$9:$Q$12, TRANSPOSE(Z512:AC512)))</f>
        <v>0.88266837066864123</v>
      </c>
      <c r="AF512" s="62">
        <f ca="1"/>
        <v>0.27803551089286627</v>
      </c>
      <c r="AG512" s="62">
        <f ca="1"/>
        <v>2.0579911983386143</v>
      </c>
      <c r="AH512" s="62">
        <f ca="1"/>
        <v>1.1854551042650172</v>
      </c>
      <c r="AI512" s="37"/>
      <c r="AJ512" s="61">
        <f t="shared" ca="1" si="32"/>
        <v>-0.12660159465847518</v>
      </c>
      <c r="AK512" s="61">
        <f t="shared" ca="1" si="32"/>
        <v>-1.8064200033482551</v>
      </c>
      <c r="AL512" s="61">
        <f t="shared" ca="1" si="32"/>
        <v>2.1173807736118873</v>
      </c>
      <c r="AM512" s="61">
        <f t="shared" ca="1" si="32"/>
        <v>1.12727889729893</v>
      </c>
      <c r="AN512" s="37"/>
      <c r="AO512" s="62">
        <f t="array" aca="1" ref="AO512:AR512" ca="1">TRANSPOSE($B$17:$B$20 + MMULT($D$17:$G$20,TRANSPOSE(AO511:AR511)) + MMULT($N$17:$Q$20,TRANSPOSE(AJ512:AM512)))</f>
        <v>0.4769519266229289</v>
      </c>
      <c r="AP512" s="62">
        <f ca="1"/>
        <v>-0.47697574645816615</v>
      </c>
      <c r="AQ512" s="62">
        <f ca="1"/>
        <v>1.3268952355679744</v>
      </c>
      <c r="AR512" s="62">
        <f ca="1"/>
        <v>1.2223502657825396</v>
      </c>
    </row>
    <row r="513" spans="25:44" x14ac:dyDescent="0.15">
      <c r="Y513" s="8">
        <f t="shared" si="33"/>
        <v>510</v>
      </c>
      <c r="Z513" s="61">
        <f t="shared" ca="1" si="31"/>
        <v>2.1065200150500663</v>
      </c>
      <c r="AA513" s="61">
        <f t="shared" ca="1" si="31"/>
        <v>-1.1122860537836565</v>
      </c>
      <c r="AB513" s="61">
        <f t="shared" ca="1" si="31"/>
        <v>0.50813443649257029</v>
      </c>
      <c r="AC513" s="61">
        <f t="shared" ca="1" si="31"/>
        <v>1.0373183723964177</v>
      </c>
      <c r="AD513" s="37"/>
      <c r="AE513" s="62">
        <f t="array" aca="1" ref="AE513:AH513" ca="1">TRANSPOSE($B$9:$B$12 + MMULT($D$9:$G$12,TRANSPOSE(AO513:AR513)) + MMULT($N$9:$Q$12, TRANSPOSE(Z513:AC513)))</f>
        <v>1.1707337741840562</v>
      </c>
      <c r="AF513" s="62">
        <f ca="1"/>
        <v>0.37984954502911578</v>
      </c>
      <c r="AG513" s="62">
        <f ca="1"/>
        <v>0.80756543272143211</v>
      </c>
      <c r="AH513" s="62">
        <f ca="1"/>
        <v>0.57007232381295903</v>
      </c>
      <c r="AI513" s="37"/>
      <c r="AJ513" s="61">
        <f t="shared" ca="1" si="32"/>
        <v>-0.4780002326321291</v>
      </c>
      <c r="AK513" s="61">
        <f t="shared" ca="1" si="32"/>
        <v>-0.90100089631246338</v>
      </c>
      <c r="AL513" s="61">
        <f t="shared" ca="1" si="32"/>
        <v>-1.2575119741264373</v>
      </c>
      <c r="AM513" s="61">
        <f t="shared" ca="1" si="32"/>
        <v>-0.38819872931519794</v>
      </c>
      <c r="AN513" s="37"/>
      <c r="AO513" s="62">
        <f t="array" aca="1" ref="AO513:AR513" ca="1">TRANSPOSE($B$17:$B$20 + MMULT($D$17:$G$20,TRANSPOSE(AO512:AR512)) + MMULT($N$17:$Q$20,TRANSPOSE(AJ513:AM513)))</f>
        <v>0.459136054855659</v>
      </c>
      <c r="AP513" s="62">
        <f ca="1"/>
        <v>-2.1298946467974256E-2</v>
      </c>
      <c r="AQ513" s="62">
        <f ca="1"/>
        <v>-9.1766070650096565E-2</v>
      </c>
      <c r="AR513" s="62">
        <f ca="1"/>
        <v>0.80475557808316944</v>
      </c>
    </row>
    <row r="514" spans="25:44" x14ac:dyDescent="0.15">
      <c r="Y514" s="8">
        <f t="shared" si="33"/>
        <v>511</v>
      </c>
      <c r="Z514" s="61">
        <f t="shared" ca="1" si="31"/>
        <v>0.24639550350992412</v>
      </c>
      <c r="AA514" s="61">
        <f t="shared" ca="1" si="31"/>
        <v>-0.90913056901687128</v>
      </c>
      <c r="AB514" s="61">
        <f t="shared" ca="1" si="31"/>
        <v>-0.74818624702371817</v>
      </c>
      <c r="AC514" s="61">
        <f t="shared" ca="1" si="31"/>
        <v>0.51499722248360258</v>
      </c>
      <c r="AD514" s="37"/>
      <c r="AE514" s="62">
        <f t="array" aca="1" ref="AE514:AH514" ca="1">TRANSPOSE($B$9:$B$12 + MMULT($D$9:$G$12,TRANSPOSE(AO514:AR514)) + MMULT($N$9:$Q$12, TRANSPOSE(Z514:AC514)))</f>
        <v>7.622180059980696E-2</v>
      </c>
      <c r="AF514" s="62">
        <f ca="1"/>
        <v>7.6106451710478695E-3</v>
      </c>
      <c r="AG514" s="62">
        <f ca="1"/>
        <v>8.3849525083958598E-2</v>
      </c>
      <c r="AH514" s="62">
        <f ca="1"/>
        <v>-0.12714066933348989</v>
      </c>
      <c r="AI514" s="37"/>
      <c r="AJ514" s="61">
        <f t="shared" ca="1" si="32"/>
        <v>-0.5824276792914963</v>
      </c>
      <c r="AK514" s="61">
        <f t="shared" ca="1" si="32"/>
        <v>-0.75287559846437868</v>
      </c>
      <c r="AL514" s="61">
        <f t="shared" ca="1" si="32"/>
        <v>-1.7983690834350694</v>
      </c>
      <c r="AM514" s="61">
        <f t="shared" ca="1" si="32"/>
        <v>-0.35658188280834874</v>
      </c>
      <c r="AN514" s="37"/>
      <c r="AO514" s="62">
        <f t="array" aca="1" ref="AO514:AR514" ca="1">TRANSPOSE($B$17:$B$20 + MMULT($D$17:$G$20,TRANSPOSE(AO513:AR513)) + MMULT($N$17:$Q$20,TRANSPOSE(AJ514:AM514)))</f>
        <v>0.22176111516593519</v>
      </c>
      <c r="AP514" s="62">
        <f ca="1"/>
        <v>-1.087010163401575E-2</v>
      </c>
      <c r="AQ514" s="62">
        <f ca="1"/>
        <v>-0.6170226156133386</v>
      </c>
      <c r="AR514" s="62">
        <f ca="1"/>
        <v>0.19350232265246875</v>
      </c>
    </row>
    <row r="515" spans="25:44" x14ac:dyDescent="0.15">
      <c r="Y515" s="8">
        <f t="shared" si="33"/>
        <v>512</v>
      </c>
      <c r="Z515" s="61">
        <f t="shared" ca="1" si="31"/>
        <v>-0.24209913457198223</v>
      </c>
      <c r="AA515" s="61">
        <f t="shared" ca="1" si="31"/>
        <v>0.81909119876759284</v>
      </c>
      <c r="AB515" s="61">
        <f t="shared" ca="1" si="31"/>
        <v>-0.37725592271549419</v>
      </c>
      <c r="AC515" s="61">
        <f ca="1">NORMSINV(RAND())</f>
        <v>-1.5786835704822344</v>
      </c>
      <c r="AD515" s="37"/>
      <c r="AE515" s="62">
        <f t="array" aca="1" ref="AE515:AH515" ca="1">TRANSPOSE($B$9:$B$12 + MMULT($D$9:$G$12,TRANSPOSE(AO515:AR515)) + MMULT($N$9:$Q$12, TRANSPOSE(Z515:AC515)))</f>
        <v>0.60131213240964676</v>
      </c>
      <c r="AF515" s="62">
        <f ca="1"/>
        <v>7.5252222598232665E-2</v>
      </c>
      <c r="AG515" s="62">
        <f ca="1"/>
        <v>0.46176158214798246</v>
      </c>
      <c r="AH515" s="62">
        <f ca="1"/>
        <v>0.44788539203314082</v>
      </c>
      <c r="AI515" s="37"/>
      <c r="AJ515" s="61">
        <f t="shared" ca="1" si="32"/>
        <v>-0.46069974457759433</v>
      </c>
      <c r="AK515" s="61">
        <f t="shared" ca="1" si="32"/>
        <v>-0.67440734127493496</v>
      </c>
      <c r="AL515" s="61">
        <f t="shared" ca="1" si="32"/>
        <v>1.8254549392609061</v>
      </c>
      <c r="AM515" s="61">
        <f ca="1">NORMSINV(RAND())</f>
        <v>0.66912101393789847</v>
      </c>
      <c r="AN515" s="37"/>
      <c r="AO515" s="62">
        <f t="array" aca="1" ref="AO515:AR515" ca="1">TRANSPOSE($B$17:$B$20 + MMULT($D$17:$G$20,TRANSPOSE(AO514:AR514)) + MMULT($N$17:$Q$20,TRANSPOSE(AJ515:AM515)))</f>
        <v>9.4097167310208701E-2</v>
      </c>
      <c r="AP515" s="62">
        <f ca="1"/>
        <v>-0.18177007772358728</v>
      </c>
      <c r="AQ515" s="62">
        <f ca="1"/>
        <v>0.78654831003202874</v>
      </c>
      <c r="AR515" s="62">
        <f ca="1"/>
        <v>0.49124344940933029</v>
      </c>
    </row>
    <row r="516" spans="25:44" x14ac:dyDescent="0.15">
      <c r="Y516" s="8">
        <f t="shared" si="33"/>
        <v>513</v>
      </c>
      <c r="Z516" s="61">
        <f t="shared" ref="Z516:AC579" ca="1" si="34">NORMSINV(RAND())</f>
        <v>-0.24469453175505285</v>
      </c>
      <c r="AA516" s="61">
        <f t="shared" ca="1" si="34"/>
        <v>0.18955243970573818</v>
      </c>
      <c r="AB516" s="61">
        <f t="shared" ca="1" si="34"/>
        <v>0.63206964394106402</v>
      </c>
      <c r="AC516" s="61">
        <f t="shared" ca="1" si="34"/>
        <v>-1.5229802586308943</v>
      </c>
      <c r="AD516" s="37"/>
      <c r="AE516" s="62">
        <f t="array" aca="1" ref="AE516:AH516" ca="1">TRANSPOSE($B$9:$B$12 + MMULT($D$9:$G$12,TRANSPOSE(AO516:AR516)) + MMULT($N$9:$Q$12, TRANSPOSE(Z516:AC516)))</f>
        <v>0.33266002249006038</v>
      </c>
      <c r="AF516" s="62">
        <f ca="1"/>
        <v>-0.32129012306087568</v>
      </c>
      <c r="AG516" s="62">
        <f ca="1"/>
        <v>1.8463958725624667</v>
      </c>
      <c r="AH516" s="62">
        <f ca="1"/>
        <v>-0.27686558079664514</v>
      </c>
      <c r="AI516" s="37"/>
      <c r="AJ516" s="61">
        <f t="shared" ref="AJ516:AM579" ca="1" si="35">NORMSINV(RAND())</f>
        <v>0.2891344417377229</v>
      </c>
      <c r="AK516" s="61">
        <f t="shared" ca="1" si="35"/>
        <v>-2.4780540958976629</v>
      </c>
      <c r="AL516" s="61">
        <f t="shared" ca="1" si="35"/>
        <v>-1.2635928451339642</v>
      </c>
      <c r="AM516" s="61">
        <f t="shared" ca="1" si="35"/>
        <v>0.54235944661021684</v>
      </c>
      <c r="AN516" s="37"/>
      <c r="AO516" s="62">
        <f t="array" aca="1" ref="AO516:AR516" ca="1">TRANSPOSE($B$17:$B$20 + MMULT($D$17:$G$20,TRANSPOSE(AO515:AR515)) + MMULT($N$17:$Q$20,TRANSPOSE(AJ516:AM516)))</f>
        <v>0.52309513788504924</v>
      </c>
      <c r="AP516" s="62">
        <f ca="1"/>
        <v>-0.87511503835466209</v>
      </c>
      <c r="AQ516" s="62">
        <f ca="1"/>
        <v>7.612630068597015E-2</v>
      </c>
      <c r="AR516" s="62">
        <f ca="1"/>
        <v>1.0518594886123258</v>
      </c>
    </row>
    <row r="517" spans="25:44" x14ac:dyDescent="0.15">
      <c r="Y517" s="8">
        <f t="shared" ref="Y517:Y580" si="36">Y516+1</f>
        <v>514</v>
      </c>
      <c r="Z517" s="61">
        <f t="shared" ca="1" si="34"/>
        <v>-0.23753708214417385</v>
      </c>
      <c r="AA517" s="61">
        <f t="shared" ca="1" si="34"/>
        <v>0.72862314083311186</v>
      </c>
      <c r="AB517" s="61">
        <f t="shared" ca="1" si="34"/>
        <v>0.80947194719282556</v>
      </c>
      <c r="AC517" s="61">
        <f t="shared" ca="1" si="34"/>
        <v>-0.20759353952268569</v>
      </c>
      <c r="AD517" s="37"/>
      <c r="AE517" s="62">
        <f t="array" aca="1" ref="AE517:AH517" ca="1">TRANSPOSE($B$9:$B$12 + MMULT($D$9:$G$12,TRANSPOSE(AO517:AR517)) + MMULT($N$9:$Q$12, TRANSPOSE(Z517:AC517)))</f>
        <v>8.537920817093278E-2</v>
      </c>
      <c r="AF517" s="62">
        <f ca="1"/>
        <v>0.65390355601061634</v>
      </c>
      <c r="AG517" s="62">
        <f ca="1"/>
        <v>0.89669557409389866</v>
      </c>
      <c r="AH517" s="62">
        <f ca="1"/>
        <v>-0.60305739566215411</v>
      </c>
      <c r="AI517" s="37"/>
      <c r="AJ517" s="61">
        <f t="shared" ca="1" si="35"/>
        <v>0.24282595819471181</v>
      </c>
      <c r="AK517" s="61">
        <f t="shared" ca="1" si="35"/>
        <v>-0.34743468448242398</v>
      </c>
      <c r="AL517" s="61">
        <f t="shared" ca="1" si="35"/>
        <v>-1.5020741126976898</v>
      </c>
      <c r="AM517" s="61">
        <f t="shared" ca="1" si="35"/>
        <v>-0.59470477954430745</v>
      </c>
      <c r="AN517" s="37"/>
      <c r="AO517" s="62">
        <f t="array" aca="1" ref="AO517:AR517" ca="1">TRANSPOSE($B$17:$B$20 + MMULT($D$17:$G$20,TRANSPOSE(AO516:AR516)) + MMULT($N$17:$Q$20,TRANSPOSE(AJ517:AM517)))</f>
        <v>0.49169815098303565</v>
      </c>
      <c r="AP517" s="62">
        <f ca="1"/>
        <v>1.7204258119611737E-2</v>
      </c>
      <c r="AQ517" s="62">
        <f ca="1"/>
        <v>-0.5999132405759362</v>
      </c>
      <c r="AR517" s="62">
        <f ca="1"/>
        <v>0.17450728695698342</v>
      </c>
    </row>
    <row r="518" spans="25:44" x14ac:dyDescent="0.15">
      <c r="Y518" s="8">
        <f t="shared" si="36"/>
        <v>515</v>
      </c>
      <c r="Z518" s="61">
        <f t="shared" ca="1" si="34"/>
        <v>-1.1681642516701518</v>
      </c>
      <c r="AA518" s="61">
        <f t="shared" ca="1" si="34"/>
        <v>-0.29405622187459945</v>
      </c>
      <c r="AB518" s="61">
        <f t="shared" ca="1" si="34"/>
        <v>-0.63306115352625059</v>
      </c>
      <c r="AC518" s="61">
        <f t="shared" ca="1" si="34"/>
        <v>-2.1005898869744928</v>
      </c>
      <c r="AD518" s="37"/>
      <c r="AE518" s="62">
        <f t="array" aca="1" ref="AE518:AH518" ca="1">TRANSPOSE($B$9:$B$12 + MMULT($D$9:$G$12,TRANSPOSE(AO518:AR518)) + MMULT($N$9:$Q$12, TRANSPOSE(Z518:AC518)))</f>
        <v>0.1718510002075615</v>
      </c>
      <c r="AF518" s="62">
        <f ca="1"/>
        <v>3.8104055637863898E-2</v>
      </c>
      <c r="AG518" s="62">
        <f ca="1"/>
        <v>-0.33677668015253798</v>
      </c>
      <c r="AH518" s="62">
        <f ca="1"/>
        <v>-0.23239017867401807</v>
      </c>
      <c r="AI518" s="37"/>
      <c r="AJ518" s="61">
        <f t="shared" ca="1" si="35"/>
        <v>-0.40792038405167635</v>
      </c>
      <c r="AK518" s="61">
        <f t="shared" ca="1" si="35"/>
        <v>0.69197064457480695</v>
      </c>
      <c r="AL518" s="61">
        <f t="shared" ca="1" si="35"/>
        <v>0.91687497387113515</v>
      </c>
      <c r="AM518" s="61">
        <f t="shared" ca="1" si="35"/>
        <v>-1.4383025607484874</v>
      </c>
      <c r="AN518" s="37"/>
      <c r="AO518" s="62">
        <f t="array" aca="1" ref="AO518:AR518" ca="1">TRANSPOSE($B$17:$B$20 + MMULT($D$17:$G$20,TRANSPOSE(AO517:AR517)) + MMULT($N$17:$Q$20,TRANSPOSE(AJ518:AM518)))</f>
        <v>0.18602151121374189</v>
      </c>
      <c r="AP518" s="62">
        <f ca="1"/>
        <v>0.4911585908214815</v>
      </c>
      <c r="AQ518" s="62">
        <f ca="1"/>
        <v>0.28830086563094814</v>
      </c>
      <c r="AR518" s="62">
        <f ca="1"/>
        <v>-0.34444431521108321</v>
      </c>
    </row>
    <row r="519" spans="25:44" x14ac:dyDescent="0.15">
      <c r="Y519" s="8">
        <f t="shared" si="36"/>
        <v>516</v>
      </c>
      <c r="Z519" s="61">
        <f t="shared" ca="1" si="34"/>
        <v>1.1226244200136444</v>
      </c>
      <c r="AA519" s="61">
        <f t="shared" ca="1" si="34"/>
        <v>-1.8317995829743634</v>
      </c>
      <c r="AB519" s="61">
        <f t="shared" ca="1" si="34"/>
        <v>-3.8939646657212425E-2</v>
      </c>
      <c r="AC519" s="61">
        <f t="shared" ca="1" si="34"/>
        <v>1.2318485468130409</v>
      </c>
      <c r="AD519" s="37"/>
      <c r="AE519" s="62">
        <f t="array" aca="1" ref="AE519:AH519" ca="1">TRANSPOSE($B$9:$B$12 + MMULT($D$9:$G$12,TRANSPOSE(AO519:AR519)) + MMULT($N$9:$Q$12, TRANSPOSE(Z519:AC519)))</f>
        <v>1.3519715736877951</v>
      </c>
      <c r="AF519" s="62">
        <f ca="1"/>
        <v>0.14925549422020407</v>
      </c>
      <c r="AG519" s="62">
        <f ca="1"/>
        <v>-5.6857456960162839E-2</v>
      </c>
      <c r="AH519" s="62">
        <f ca="1"/>
        <v>0.81988866858856424</v>
      </c>
      <c r="AI519" s="37"/>
      <c r="AJ519" s="61">
        <f t="shared" ca="1" si="35"/>
        <v>0.50029569642978233</v>
      </c>
      <c r="AK519" s="61">
        <f t="shared" ca="1" si="35"/>
        <v>0.77951991637801288</v>
      </c>
      <c r="AL519" s="61">
        <f t="shared" ca="1" si="35"/>
        <v>0.23922851831132319</v>
      </c>
      <c r="AM519" s="61">
        <f t="shared" ca="1" si="35"/>
        <v>-0.52670521672310799</v>
      </c>
      <c r="AN519" s="37"/>
      <c r="AO519" s="62">
        <f t="array" aca="1" ref="AO519:AR519" ca="1">TRANSPOSE($B$17:$B$20 + MMULT($D$17:$G$20,TRANSPOSE(AO518:AR518)) + MMULT($N$17:$Q$20,TRANSPOSE(AJ519:AM519)))</f>
        <v>0.55230195058990528</v>
      </c>
      <c r="AP519" s="62">
        <f ca="1"/>
        <v>0.54708388896219484</v>
      </c>
      <c r="AQ519" s="62">
        <f ca="1"/>
        <v>0.45181964087763848</v>
      </c>
      <c r="AR519" s="62">
        <f ca="1"/>
        <v>9.0662473925470694E-2</v>
      </c>
    </row>
    <row r="520" spans="25:44" x14ac:dyDescent="0.15">
      <c r="Y520" s="8">
        <f t="shared" si="36"/>
        <v>517</v>
      </c>
      <c r="Z520" s="61">
        <f t="shared" ca="1" si="34"/>
        <v>0.64080456899100247</v>
      </c>
      <c r="AA520" s="61">
        <f t="shared" ca="1" si="34"/>
        <v>1.018595424028683</v>
      </c>
      <c r="AB520" s="61">
        <f t="shared" ca="1" si="34"/>
        <v>-1.0417280508625377</v>
      </c>
      <c r="AC520" s="61">
        <f t="shared" ca="1" si="34"/>
        <v>0.11771223405999363</v>
      </c>
      <c r="AD520" s="37"/>
      <c r="AE520" s="62">
        <f t="array" aca="1" ref="AE520:AH520" ca="1">TRANSPOSE($B$9:$B$12 + MMULT($D$9:$G$12,TRANSPOSE(AO520:AR520)) + MMULT($N$9:$Q$12, TRANSPOSE(Z520:AC520)))</f>
        <v>1.3299799878670933</v>
      </c>
      <c r="AF520" s="62">
        <f ca="1"/>
        <v>1.4293567541069976</v>
      </c>
      <c r="AG520" s="62">
        <f ca="1"/>
        <v>-0.10900700668506103</v>
      </c>
      <c r="AH520" s="62">
        <f ca="1"/>
        <v>0.8257063142640364</v>
      </c>
      <c r="AI520" s="37"/>
      <c r="AJ520" s="61">
        <f t="shared" ca="1" si="35"/>
        <v>0.67733635723880681</v>
      </c>
      <c r="AK520" s="61">
        <f t="shared" ca="1" si="35"/>
        <v>0.79389607516631688</v>
      </c>
      <c r="AL520" s="61">
        <f t="shared" ca="1" si="35"/>
        <v>0.35356396135557688</v>
      </c>
      <c r="AM520" s="61">
        <f t="shared" ca="1" si="35"/>
        <v>7.0760392760070998E-2</v>
      </c>
      <c r="AN520" s="37"/>
      <c r="AO520" s="62">
        <f t="array" aca="1" ref="AO520:AR520" ca="1">TRANSPOSE($B$17:$B$20 + MMULT($D$17:$G$20,TRANSPOSE(AO519:AR519)) + MMULT($N$17:$Q$20,TRANSPOSE(AJ520:AM520)))</f>
        <v>0.75686850745869161</v>
      </c>
      <c r="AP520" s="62">
        <f ca="1"/>
        <v>0.76944496404966822</v>
      </c>
      <c r="AQ520" s="62">
        <f ca="1"/>
        <v>0.67984467521090208</v>
      </c>
      <c r="AR520" s="62">
        <f ca="1"/>
        <v>0.45516714648875151</v>
      </c>
    </row>
    <row r="521" spans="25:44" x14ac:dyDescent="0.15">
      <c r="Y521" s="8">
        <f t="shared" si="36"/>
        <v>518</v>
      </c>
      <c r="Z521" s="61">
        <f t="shared" ca="1" si="34"/>
        <v>-0.49241256584190091</v>
      </c>
      <c r="AA521" s="61">
        <f t="shared" ca="1" si="34"/>
        <v>-1.2096475903017938</v>
      </c>
      <c r="AB521" s="61">
        <f t="shared" ca="1" si="34"/>
        <v>-1.2375226801169636</v>
      </c>
      <c r="AC521" s="61">
        <f t="shared" ca="1" si="34"/>
        <v>-0.22984658297278229</v>
      </c>
      <c r="AD521" s="37"/>
      <c r="AE521" s="62">
        <f t="array" aca="1" ref="AE521:AH521" ca="1">TRANSPOSE($B$9:$B$12 + MMULT($D$9:$G$12,TRANSPOSE(AO521:AR521)) + MMULT($N$9:$Q$12, TRANSPOSE(Z521:AC521)))</f>
        <v>1.3973722461638285</v>
      </c>
      <c r="AF521" s="62">
        <f ca="1"/>
        <v>0.22609319269359984</v>
      </c>
      <c r="AG521" s="62">
        <f ca="1"/>
        <v>0.40495005220235403</v>
      </c>
      <c r="AH521" s="62">
        <f ca="1"/>
        <v>1.9253738592653959</v>
      </c>
      <c r="AI521" s="37"/>
      <c r="AJ521" s="61">
        <f t="shared" ca="1" si="35"/>
        <v>0.19085949062035235</v>
      </c>
      <c r="AK521" s="61">
        <f t="shared" ca="1" si="35"/>
        <v>0.56043677436781936</v>
      </c>
      <c r="AL521" s="61">
        <f t="shared" ca="1" si="35"/>
        <v>2.7282190508221746</v>
      </c>
      <c r="AM521" s="61">
        <f t="shared" ca="1" si="35"/>
        <v>0.77605315252989615</v>
      </c>
      <c r="AN521" s="37"/>
      <c r="AO521" s="62">
        <f t="array" aca="1" ref="AO521:AR521" ca="1">TRANSPOSE($B$17:$B$20 + MMULT($D$17:$G$20,TRANSPOSE(AO520:AR520)) + MMULT($N$17:$Q$20,TRANSPOSE(AJ521:AM521)))</f>
        <v>0.71396973708924794</v>
      </c>
      <c r="AP521" s="62">
        <f ca="1"/>
        <v>0.86244029719095971</v>
      </c>
      <c r="AQ521" s="62">
        <f ca="1"/>
        <v>1.8604726890986445</v>
      </c>
      <c r="AR521" s="62">
        <f ca="1"/>
        <v>1.0966025152891437</v>
      </c>
    </row>
    <row r="522" spans="25:44" x14ac:dyDescent="0.15">
      <c r="Y522" s="8">
        <f t="shared" si="36"/>
        <v>519</v>
      </c>
      <c r="Z522" s="61">
        <f t="shared" ca="1" si="34"/>
        <v>0.69956495858048928</v>
      </c>
      <c r="AA522" s="61">
        <f t="shared" ca="1" si="34"/>
        <v>-0.4312152067399922</v>
      </c>
      <c r="AB522" s="61">
        <f t="shared" ca="1" si="34"/>
        <v>-1.0560288383631489</v>
      </c>
      <c r="AC522" s="61">
        <f t="shared" ca="1" si="34"/>
        <v>-0.75224598634911644</v>
      </c>
      <c r="AD522" s="37"/>
      <c r="AE522" s="62">
        <f t="array" aca="1" ref="AE522:AH522" ca="1">TRANSPOSE($B$9:$B$12 + MMULT($D$9:$G$12,TRANSPOSE(AO522:AR522)) + MMULT($N$9:$Q$12, TRANSPOSE(Z522:AC522)))</f>
        <v>1.1267647728373427</v>
      </c>
      <c r="AF522" s="62">
        <f ca="1"/>
        <v>1.7681986472900715</v>
      </c>
      <c r="AG522" s="62">
        <f ca="1"/>
        <v>0.53672085176747963</v>
      </c>
      <c r="AH522" s="62">
        <f ca="1"/>
        <v>0.74687530391548762</v>
      </c>
      <c r="AI522" s="37"/>
      <c r="AJ522" s="61">
        <f t="shared" ca="1" si="35"/>
        <v>0.89591452953023698</v>
      </c>
      <c r="AK522" s="61">
        <f t="shared" ca="1" si="35"/>
        <v>1.1712743413875888</v>
      </c>
      <c r="AL522" s="61">
        <f t="shared" ca="1" si="35"/>
        <v>-1.8151411908990547</v>
      </c>
      <c r="AM522" s="61">
        <f t="shared" ca="1" si="35"/>
        <v>1.3824540570795651</v>
      </c>
      <c r="AN522" s="37"/>
      <c r="AO522" s="62">
        <f t="array" aca="1" ref="AO522:AR522" ca="1">TRANSPOSE($B$17:$B$20 + MMULT($D$17:$G$20,TRANSPOSE(AO521:AR521)) + MMULT($N$17:$Q$20,TRANSPOSE(AJ522:AM522)))</f>
        <v>1.1526071359801544</v>
      </c>
      <c r="AP522" s="62">
        <f ca="1"/>
        <v>1.3181193038914174</v>
      </c>
      <c r="AQ522" s="62">
        <f ca="1"/>
        <v>0.28653966049180557</v>
      </c>
      <c r="AR522" s="62">
        <f ca="1"/>
        <v>1.2680039837831707</v>
      </c>
    </row>
    <row r="523" spans="25:44" x14ac:dyDescent="0.15">
      <c r="Y523" s="8">
        <f t="shared" si="36"/>
        <v>520</v>
      </c>
      <c r="Z523" s="61">
        <f t="shared" ca="1" si="34"/>
        <v>-0.48902138056418093</v>
      </c>
      <c r="AA523" s="61">
        <f t="shared" ca="1" si="34"/>
        <v>-1.0942953637376052</v>
      </c>
      <c r="AB523" s="61">
        <f t="shared" ca="1" si="34"/>
        <v>-0.97071985385222836</v>
      </c>
      <c r="AC523" s="61">
        <f t="shared" ca="1" si="34"/>
        <v>-0.15787664808889873</v>
      </c>
      <c r="AD523" s="37"/>
      <c r="AE523" s="62">
        <f t="array" aca="1" ref="AE523:AH523" ca="1">TRANSPOSE($B$9:$B$12 + MMULT($D$9:$G$12,TRANSPOSE(AO523:AR523)) + MMULT($N$9:$Q$12, TRANSPOSE(Z523:AC523)))</f>
        <v>0.43811978137777474</v>
      </c>
      <c r="AF523" s="62">
        <f ca="1"/>
        <v>1.2408362125603045</v>
      </c>
      <c r="AG523" s="62">
        <f ca="1"/>
        <v>0.35026922607269845</v>
      </c>
      <c r="AH523" s="62">
        <f ca="1"/>
        <v>0.62925572078234426</v>
      </c>
      <c r="AI523" s="37"/>
      <c r="AJ523" s="61">
        <f t="shared" ca="1" si="35"/>
        <v>0.37590926448541906</v>
      </c>
      <c r="AK523" s="61">
        <f t="shared" ca="1" si="35"/>
        <v>1.0193280117399171</v>
      </c>
      <c r="AL523" s="61">
        <f t="shared" ca="1" si="35"/>
        <v>-1.6841015830650266</v>
      </c>
      <c r="AM523" s="61">
        <f t="shared" ca="1" si="35"/>
        <v>1.4252953234794778</v>
      </c>
      <c r="AN523" s="37"/>
      <c r="AO523" s="62">
        <f t="array" aca="1" ref="AO523:AR523" ca="1">TRANSPOSE($B$17:$B$20 + MMULT($D$17:$G$20,TRANSPOSE(AO522:AR522)) + MMULT($N$17:$Q$20,TRANSPOSE(AJ523:AM523)))</f>
        <v>0.90012730897501181</v>
      </c>
      <c r="AP523" s="62">
        <f ca="1"/>
        <v>1.4267801422053024</v>
      </c>
      <c r="AQ523" s="62">
        <f ca="1"/>
        <v>8.7462882361308947E-2</v>
      </c>
      <c r="AR523" s="62">
        <f ca="1"/>
        <v>0.87247523802703342</v>
      </c>
    </row>
    <row r="524" spans="25:44" x14ac:dyDescent="0.15">
      <c r="Y524" s="8">
        <f t="shared" si="36"/>
        <v>521</v>
      </c>
      <c r="Z524" s="61">
        <f t="shared" ca="1" si="34"/>
        <v>0.47402620634202147</v>
      </c>
      <c r="AA524" s="61">
        <f t="shared" ca="1" si="34"/>
        <v>-1.7107751074411151</v>
      </c>
      <c r="AB524" s="61">
        <f t="shared" ca="1" si="34"/>
        <v>1.9986838892836796</v>
      </c>
      <c r="AC524" s="61">
        <f t="shared" ca="1" si="34"/>
        <v>0.5148997861380149</v>
      </c>
      <c r="AD524" s="37"/>
      <c r="AE524" s="62">
        <f t="array" aca="1" ref="AE524:AH524" ca="1">TRANSPOSE($B$9:$B$12 + MMULT($D$9:$G$12,TRANSPOSE(AO524:AR524)) + MMULT($N$9:$Q$12, TRANSPOSE(Z524:AC524)))</f>
        <v>0.68162858384853675</v>
      </c>
      <c r="AF524" s="62">
        <f ca="1"/>
        <v>0.15034736182942421</v>
      </c>
      <c r="AG524" s="62">
        <f ca="1"/>
        <v>1.0649148026587221</v>
      </c>
      <c r="AH524" s="62">
        <f ca="1"/>
        <v>0.66282098608192919</v>
      </c>
      <c r="AI524" s="37"/>
      <c r="AJ524" s="61">
        <f t="shared" ca="1" si="35"/>
        <v>-1.2076239455455928</v>
      </c>
      <c r="AK524" s="61">
        <f t="shared" ca="1" si="35"/>
        <v>-0.46394734909913787</v>
      </c>
      <c r="AL524" s="61">
        <f t="shared" ca="1" si="35"/>
        <v>-0.73896229505291633</v>
      </c>
      <c r="AM524" s="61">
        <f t="shared" ca="1" si="35"/>
        <v>-0.64519463824589074</v>
      </c>
      <c r="AN524" s="37"/>
      <c r="AO524" s="62">
        <f t="array" aca="1" ref="AO524:AR524" ca="1">TRANSPOSE($B$17:$B$20 + MMULT($D$17:$G$20,TRANSPOSE(AO523:AR523)) + MMULT($N$17:$Q$20,TRANSPOSE(AJ524:AM524)))</f>
        <v>0.26041196647339193</v>
      </c>
      <c r="AP524" s="62">
        <f ca="1"/>
        <v>0.65289586765494456</v>
      </c>
      <c r="AQ524" s="62">
        <f ca="1"/>
        <v>0.30965884465595783</v>
      </c>
      <c r="AR524" s="62">
        <f ca="1"/>
        <v>0.43914423377189465</v>
      </c>
    </row>
    <row r="525" spans="25:44" x14ac:dyDescent="0.15">
      <c r="Y525" s="8">
        <f t="shared" si="36"/>
        <v>522</v>
      </c>
      <c r="Z525" s="61">
        <f t="shared" ca="1" si="34"/>
        <v>2.4692325266203432</v>
      </c>
      <c r="AA525" s="61">
        <f t="shared" ca="1" si="34"/>
        <v>0.5103626741853049</v>
      </c>
      <c r="AB525" s="61">
        <f t="shared" ca="1" si="34"/>
        <v>-0.92873800468931844</v>
      </c>
      <c r="AC525" s="61">
        <f t="shared" ca="1" si="34"/>
        <v>-1.1953415401508263</v>
      </c>
      <c r="AD525" s="37"/>
      <c r="AE525" s="62">
        <f t="array" aca="1" ref="AE525:AH525" ca="1">TRANSPOSE($B$9:$B$12 + MMULT($D$9:$G$12,TRANSPOSE(AO525:AR525)) + MMULT($N$9:$Q$12, TRANSPOSE(Z525:AC525)))</f>
        <v>1.485600502132933</v>
      </c>
      <c r="AF525" s="62">
        <f ca="1"/>
        <v>1.5544362189662642</v>
      </c>
      <c r="AG525" s="62">
        <f ca="1"/>
        <v>-0.94773277111802356</v>
      </c>
      <c r="AH525" s="62">
        <f ca="1"/>
        <v>0.96091776358204517</v>
      </c>
      <c r="AI525" s="37"/>
      <c r="AJ525" s="61">
        <f t="shared" ca="1" si="35"/>
        <v>-1.4049490653201804</v>
      </c>
      <c r="AK525" s="61">
        <f t="shared" ca="1" si="35"/>
        <v>1.5538972468127212</v>
      </c>
      <c r="AL525" s="61">
        <f t="shared" ca="1" si="35"/>
        <v>1.1709416296650257</v>
      </c>
      <c r="AM525" s="61">
        <f t="shared" ca="1" si="35"/>
        <v>0.23966131840790225</v>
      </c>
      <c r="AN525" s="37"/>
      <c r="AO525" s="62">
        <f t="array" aca="1" ref="AO525:AR525" ca="1">TRANSPOSE($B$17:$B$20 + MMULT($D$17:$G$20,TRANSPOSE(AO524:AR524)) + MMULT($N$17:$Q$20,TRANSPOSE(AJ525:AM525)))</f>
        <v>-1.6785400686529062E-2</v>
      </c>
      <c r="AP525" s="62">
        <f ca="1"/>
        <v>1.0347517200017897</v>
      </c>
      <c r="AQ525" s="62">
        <f ca="1"/>
        <v>0.55682397349041568</v>
      </c>
      <c r="AR525" s="62">
        <f ca="1"/>
        <v>0.27768702752366248</v>
      </c>
    </row>
    <row r="526" spans="25:44" x14ac:dyDescent="0.15">
      <c r="Y526" s="8">
        <f t="shared" si="36"/>
        <v>523</v>
      </c>
      <c r="Z526" s="61">
        <f t="shared" ca="1" si="34"/>
        <v>0.61312613620737078</v>
      </c>
      <c r="AA526" s="61">
        <f t="shared" ca="1" si="34"/>
        <v>0.64205711154871958</v>
      </c>
      <c r="AB526" s="61">
        <f t="shared" ca="1" si="34"/>
        <v>-0.69318768651714102</v>
      </c>
      <c r="AC526" s="61">
        <f t="shared" ca="1" si="34"/>
        <v>-0.21509982503412442</v>
      </c>
      <c r="AD526" s="37"/>
      <c r="AE526" s="62">
        <f t="array" aca="1" ref="AE526:AH526" ca="1">TRANSPOSE($B$9:$B$12 + MMULT($D$9:$G$12,TRANSPOSE(AO526:AR526)) + MMULT($N$9:$Q$12, TRANSPOSE(Z526:AC526)))</f>
        <v>0.34515613609404772</v>
      </c>
      <c r="AF526" s="62">
        <f ca="1"/>
        <v>0.92901127008038831</v>
      </c>
      <c r="AG526" s="62">
        <f ca="1"/>
        <v>0.13700150991452836</v>
      </c>
      <c r="AH526" s="62">
        <f ca="1"/>
        <v>0.48903292055473924</v>
      </c>
      <c r="AI526" s="37"/>
      <c r="AJ526" s="61">
        <f t="shared" ca="1" si="35"/>
        <v>-1.0704921281557429</v>
      </c>
      <c r="AK526" s="61">
        <f t="shared" ca="1" si="35"/>
        <v>4.6728687394287927E-2</v>
      </c>
      <c r="AL526" s="61">
        <f t="shared" ca="1" si="35"/>
        <v>-1.0230766012010626</v>
      </c>
      <c r="AM526" s="61">
        <f t="shared" ca="1" si="35"/>
        <v>1.0860437158407295</v>
      </c>
      <c r="AN526" s="37"/>
      <c r="AO526" s="62">
        <f t="array" aca="1" ref="AO526:AR526" ca="1">TRANSPOSE($B$17:$B$20 + MMULT($D$17:$G$20,TRANSPOSE(AO525:AR525)) + MMULT($N$17:$Q$20,TRANSPOSE(AJ526:AM526)))</f>
        <v>7.957395745504442E-2</v>
      </c>
      <c r="AP526" s="62">
        <f ca="1"/>
        <v>0.4041984587672075</v>
      </c>
      <c r="AQ526" s="62">
        <f ca="1"/>
        <v>-3.8283208772223798E-2</v>
      </c>
      <c r="AR526" s="62">
        <f ca="1"/>
        <v>0.63651051416518467</v>
      </c>
    </row>
    <row r="527" spans="25:44" x14ac:dyDescent="0.15">
      <c r="Y527" s="8">
        <f t="shared" si="36"/>
        <v>524</v>
      </c>
      <c r="Z527" s="61">
        <f t="shared" ca="1" si="34"/>
        <v>0.41664166253964008</v>
      </c>
      <c r="AA527" s="61">
        <f t="shared" ca="1" si="34"/>
        <v>1.1989223900905932</v>
      </c>
      <c r="AB527" s="61">
        <f t="shared" ca="1" si="34"/>
        <v>-1.1999736155799816</v>
      </c>
      <c r="AC527" s="61">
        <f t="shared" ca="1" si="34"/>
        <v>-1.0020683111060427</v>
      </c>
      <c r="AD527" s="37"/>
      <c r="AE527" s="62">
        <f t="array" aca="1" ref="AE527:AH527" ca="1">TRANSPOSE($B$9:$B$12 + MMULT($D$9:$G$12,TRANSPOSE(AO527:AR527)) + MMULT($N$9:$Q$12, TRANSPOSE(Z527:AC527)))</f>
        <v>0.14169413634575309</v>
      </c>
      <c r="AF527" s="62">
        <f ca="1"/>
        <v>0.98791843589973527</v>
      </c>
      <c r="AG527" s="62">
        <f ca="1"/>
        <v>-0.68288589872018046</v>
      </c>
      <c r="AH527" s="62">
        <f ca="1"/>
        <v>0.1081845506861753</v>
      </c>
      <c r="AI527" s="37"/>
      <c r="AJ527" s="61">
        <f t="shared" ca="1" si="35"/>
        <v>-1.6374372553886802</v>
      </c>
      <c r="AK527" s="61">
        <f t="shared" ca="1" si="35"/>
        <v>0.55433084767210883</v>
      </c>
      <c r="AL527" s="61">
        <f t="shared" ca="1" si="35"/>
        <v>-0.24882006457762004</v>
      </c>
      <c r="AM527" s="61">
        <f t="shared" ca="1" si="35"/>
        <v>-0.42355895356288509</v>
      </c>
      <c r="AN527" s="37"/>
      <c r="AO527" s="62">
        <f t="array" aca="1" ref="AO527:AR527" ca="1">TRANSPOSE($B$17:$B$20 + MMULT($D$17:$G$20,TRANSPOSE(AO526:AR526)) + MMULT($N$17:$Q$20,TRANSPOSE(AJ527:AM527)))</f>
        <v>-0.20212731010580143</v>
      </c>
      <c r="AP527" s="62">
        <f ca="1"/>
        <v>0.48915174743923379</v>
      </c>
      <c r="AQ527" s="62">
        <f ca="1"/>
        <v>-0.18488847806958048</v>
      </c>
      <c r="AR527" s="62">
        <f ca="1"/>
        <v>1.5953182109752051E-2</v>
      </c>
    </row>
    <row r="528" spans="25:44" x14ac:dyDescent="0.15">
      <c r="Y528" s="8">
        <f t="shared" si="36"/>
        <v>525</v>
      </c>
      <c r="Z528" s="61">
        <f t="shared" ca="1" si="34"/>
        <v>1.598647760357564</v>
      </c>
      <c r="AA528" s="61">
        <f t="shared" ca="1" si="34"/>
        <v>0.85604321809193451</v>
      </c>
      <c r="AB528" s="61">
        <f t="shared" ca="1" si="34"/>
        <v>-0.40770972680515466</v>
      </c>
      <c r="AC528" s="61">
        <f t="shared" ca="1" si="34"/>
        <v>1.5418181286821599</v>
      </c>
      <c r="AD528" s="37"/>
      <c r="AE528" s="62">
        <f t="array" aca="1" ref="AE528:AH528" ca="1">TRANSPOSE($B$9:$B$12 + MMULT($D$9:$G$12,TRANSPOSE(AO528:AR528)) + MMULT($N$9:$Q$12, TRANSPOSE(Z528:AC528)))</f>
        <v>0.48958539138228341</v>
      </c>
      <c r="AF528" s="62">
        <f ca="1"/>
        <v>1.115587132305849</v>
      </c>
      <c r="AG528" s="62">
        <f ca="1"/>
        <v>-0.42270763634231423</v>
      </c>
      <c r="AH528" s="62">
        <f ca="1"/>
        <v>0.3575277516384463</v>
      </c>
      <c r="AI528" s="37"/>
      <c r="AJ528" s="61">
        <f t="shared" ca="1" si="35"/>
        <v>-0.93096876948338292</v>
      </c>
      <c r="AK528" s="61">
        <f t="shared" ca="1" si="35"/>
        <v>0.61115500116681931</v>
      </c>
      <c r="AL528" s="61">
        <f t="shared" ca="1" si="35"/>
        <v>-1.0936486319094143</v>
      </c>
      <c r="AM528" s="61">
        <f t="shared" ca="1" si="35"/>
        <v>0.73437735725597986</v>
      </c>
      <c r="AN528" s="37"/>
      <c r="AO528" s="62">
        <f t="array" aca="1" ref="AO528:AR528" ca="1">TRANSPOSE($B$17:$B$20 + MMULT($D$17:$G$20,TRANSPOSE(AO527:AR527)) + MMULT($N$17:$Q$20,TRANSPOSE(AJ528:AM528)))</f>
        <v>-8.3596862785725173E-2</v>
      </c>
      <c r="AP528" s="62">
        <f ca="1"/>
        <v>0.34670193275798294</v>
      </c>
      <c r="AQ528" s="62">
        <f ca="1"/>
        <v>-0.53340337544670269</v>
      </c>
      <c r="AR528" s="62">
        <f ca="1"/>
        <v>4.4977846380130831E-2</v>
      </c>
    </row>
    <row r="529" spans="25:44" x14ac:dyDescent="0.15">
      <c r="Y529" s="8">
        <f t="shared" si="36"/>
        <v>526</v>
      </c>
      <c r="Z529" s="61">
        <f t="shared" ca="1" si="34"/>
        <v>2.1343310372839017</v>
      </c>
      <c r="AA529" s="61">
        <f t="shared" ca="1" si="34"/>
        <v>-1.4355599247509978</v>
      </c>
      <c r="AB529" s="61">
        <f t="shared" ca="1" si="34"/>
        <v>-0.26658619604688438</v>
      </c>
      <c r="AC529" s="61">
        <f t="shared" ca="1" si="34"/>
        <v>0.2885205722447875</v>
      </c>
      <c r="AD529" s="37"/>
      <c r="AE529" s="62">
        <f t="array" aca="1" ref="AE529:AH529" ca="1">TRANSPOSE($B$9:$B$12 + MMULT($D$9:$G$12,TRANSPOSE(AO529:AR529)) + MMULT($N$9:$Q$12, TRANSPOSE(Z529:AC529)))</f>
        <v>0.9337899855968238</v>
      </c>
      <c r="AF529" s="62">
        <f ca="1"/>
        <v>-0.57418565774266339</v>
      </c>
      <c r="AG529" s="62">
        <f ca="1"/>
        <v>-0.11887780411461624</v>
      </c>
      <c r="AH529" s="62">
        <f ca="1"/>
        <v>3.3590111668947265E-2</v>
      </c>
      <c r="AI529" s="37"/>
      <c r="AJ529" s="61">
        <f t="shared" ca="1" si="35"/>
        <v>-0.76559837637327366</v>
      </c>
      <c r="AK529" s="61">
        <f t="shared" ca="1" si="35"/>
        <v>-1.7067653686857243</v>
      </c>
      <c r="AL529" s="61">
        <f t="shared" ca="1" si="35"/>
        <v>-0.98291862397630847</v>
      </c>
      <c r="AM529" s="61">
        <f t="shared" ca="1" si="35"/>
        <v>-0.81415589587004977</v>
      </c>
      <c r="AN529" s="37"/>
      <c r="AO529" s="62">
        <f t="array" aca="1" ref="AO529:AR529" ca="1">TRANSPOSE($B$17:$B$20 + MMULT($D$17:$G$20,TRANSPOSE(AO528:AR528)) + MMULT($N$17:$Q$20,TRANSPOSE(AJ529:AM529)))</f>
        <v>-5.7416039165031074E-2</v>
      </c>
      <c r="AP529" s="62">
        <f ca="1"/>
        <v>-0.64582255228780061</v>
      </c>
      <c r="AQ529" s="62">
        <f ca="1"/>
        <v>-0.30528367562307579</v>
      </c>
      <c r="AR529" s="62">
        <f ca="1"/>
        <v>1.7842869884251017E-2</v>
      </c>
    </row>
    <row r="530" spans="25:44" x14ac:dyDescent="0.15">
      <c r="Y530" s="8">
        <f t="shared" si="36"/>
        <v>527</v>
      </c>
      <c r="Z530" s="61">
        <f t="shared" ca="1" si="34"/>
        <v>2.8251924999549067</v>
      </c>
      <c r="AA530" s="61">
        <f t="shared" ca="1" si="34"/>
        <v>0.57142612688320893</v>
      </c>
      <c r="AB530" s="61">
        <f t="shared" ca="1" si="34"/>
        <v>-4.1136534985633383E-2</v>
      </c>
      <c r="AC530" s="61">
        <f t="shared" ca="1" si="34"/>
        <v>-3.4565887485940635E-3</v>
      </c>
      <c r="AD530" s="37"/>
      <c r="AE530" s="62">
        <f t="array" aca="1" ref="AE530:AH530" ca="1">TRANSPOSE($B$9:$B$12 + MMULT($D$9:$G$12,TRANSPOSE(AO530:AR530)) + MMULT($N$9:$Q$12, TRANSPOSE(Z530:AC530)))</f>
        <v>1.1451415920473593</v>
      </c>
      <c r="AF530" s="62">
        <f ca="1"/>
        <v>0.74061159783280006</v>
      </c>
      <c r="AG530" s="62">
        <f ca="1"/>
        <v>-0.59047447827707467</v>
      </c>
      <c r="AH530" s="62">
        <f ca="1"/>
        <v>0.33856525356884043</v>
      </c>
      <c r="AI530" s="37"/>
      <c r="AJ530" s="61">
        <f t="shared" ca="1" si="35"/>
        <v>-1.4079260437111045</v>
      </c>
      <c r="AK530" s="61">
        <f t="shared" ca="1" si="35"/>
        <v>0.38637524371810406</v>
      </c>
      <c r="AL530" s="61">
        <f t="shared" ca="1" si="35"/>
        <v>0.84686700955886973</v>
      </c>
      <c r="AM530" s="61">
        <f t="shared" ca="1" si="35"/>
        <v>0.20376785857527477</v>
      </c>
      <c r="AN530" s="37"/>
      <c r="AO530" s="62">
        <f t="array" aca="1" ref="AO530:AR530" ca="1">TRANSPOSE($B$17:$B$20 + MMULT($D$17:$G$20,TRANSPOSE(AO529:AR529)) + MMULT($N$17:$Q$20,TRANSPOSE(AJ530:AM530)))</f>
        <v>-0.30557142684281841</v>
      </c>
      <c r="AP530" s="62">
        <f ca="1"/>
        <v>-1.0061335455954223E-2</v>
      </c>
      <c r="AQ530" s="62">
        <f ca="1"/>
        <v>-0.12711073722941701</v>
      </c>
      <c r="AR530" s="62">
        <f ca="1"/>
        <v>-7.2050411884542753E-2</v>
      </c>
    </row>
    <row r="531" spans="25:44" x14ac:dyDescent="0.15">
      <c r="Y531" s="8">
        <f t="shared" si="36"/>
        <v>528</v>
      </c>
      <c r="Z531" s="61">
        <f t="shared" ca="1" si="34"/>
        <v>-1.4549901133252101</v>
      </c>
      <c r="AA531" s="61">
        <f t="shared" ca="1" si="34"/>
        <v>1.8136383063487997</v>
      </c>
      <c r="AB531" s="61">
        <f t="shared" ca="1" si="34"/>
        <v>-1.1844767339653095</v>
      </c>
      <c r="AC531" s="61">
        <f t="shared" ca="1" si="34"/>
        <v>6.8058168833020669E-2</v>
      </c>
      <c r="AD531" s="37"/>
      <c r="AE531" s="62">
        <f t="array" aca="1" ref="AE531:AH531" ca="1">TRANSPOSE($B$9:$B$12 + MMULT($D$9:$G$12,TRANSPOSE(AO531:AR531)) + MMULT($N$9:$Q$12, TRANSPOSE(Z531:AC531)))</f>
        <v>-8.5888110092199987E-2</v>
      </c>
      <c r="AF531" s="62">
        <f ca="1"/>
        <v>0.57151104427643573</v>
      </c>
      <c r="AG531" s="62">
        <f ca="1"/>
        <v>0.35193519797576223</v>
      </c>
      <c r="AH531" s="62">
        <f ca="1"/>
        <v>0.49582033013668192</v>
      </c>
      <c r="AI531" s="37"/>
      <c r="AJ531" s="61">
        <f t="shared" ca="1" si="35"/>
        <v>8.3833270719029199E-2</v>
      </c>
      <c r="AK531" s="61">
        <f t="shared" ca="1" si="35"/>
        <v>0.34980494560447106</v>
      </c>
      <c r="AL531" s="61">
        <f t="shared" ca="1" si="35"/>
        <v>0.9292967485379281</v>
      </c>
      <c r="AM531" s="61">
        <f t="shared" ca="1" si="35"/>
        <v>1.4568660951983978</v>
      </c>
      <c r="AN531" s="37"/>
      <c r="AO531" s="62">
        <f t="array" aca="1" ref="AO531:AR531" ca="1">TRANSPOSE($B$17:$B$20 + MMULT($D$17:$G$20,TRANSPOSE(AO530:AR530)) + MMULT($N$17:$Q$20,TRANSPOSE(AJ531:AM531)))</f>
        <v>0.19934677819443142</v>
      </c>
      <c r="AP531" s="62">
        <f ca="1"/>
        <v>7.4945707728031968E-2</v>
      </c>
      <c r="AQ531" s="62">
        <f ca="1"/>
        <v>0.40102068425096038</v>
      </c>
      <c r="AR531" s="62">
        <f ca="1"/>
        <v>0.51075553269096952</v>
      </c>
    </row>
    <row r="532" spans="25:44" x14ac:dyDescent="0.15">
      <c r="Y532" s="8">
        <f t="shared" si="36"/>
        <v>529</v>
      </c>
      <c r="Z532" s="61">
        <f t="shared" ca="1" si="34"/>
        <v>-2.027444164163767</v>
      </c>
      <c r="AA532" s="61">
        <f t="shared" ca="1" si="34"/>
        <v>0.91253828459927278</v>
      </c>
      <c r="AB532" s="61">
        <f t="shared" ca="1" si="34"/>
        <v>0.39139162539677441</v>
      </c>
      <c r="AC532" s="61">
        <f t="shared" ca="1" si="34"/>
        <v>-0.41746549673451855</v>
      </c>
      <c r="AD532" s="37"/>
      <c r="AE532" s="62">
        <f t="array" aca="1" ref="AE532:AH532" ca="1">TRANSPOSE($B$9:$B$12 + MMULT($D$9:$G$12,TRANSPOSE(AO532:AR532)) + MMULT($N$9:$Q$12, TRANSPOSE(Z532:AC532)))</f>
        <v>-0.10524937052831818</v>
      </c>
      <c r="AF532" s="62">
        <f ca="1"/>
        <v>0.75958230798401905</v>
      </c>
      <c r="AG532" s="62">
        <f ca="1"/>
        <v>0.27100194261551064</v>
      </c>
      <c r="AH532" s="62">
        <f ca="1"/>
        <v>9.5330076617813342E-3</v>
      </c>
      <c r="AI532" s="37"/>
      <c r="AJ532" s="61">
        <f t="shared" ca="1" si="35"/>
        <v>-0.11226783919409743</v>
      </c>
      <c r="AK532" s="61">
        <f t="shared" ca="1" si="35"/>
        <v>1.5153401154029551</v>
      </c>
      <c r="AL532" s="61">
        <f t="shared" ca="1" si="35"/>
        <v>0.38659366582155369</v>
      </c>
      <c r="AM532" s="61">
        <f t="shared" ca="1" si="35"/>
        <v>-1.9627947138054145</v>
      </c>
      <c r="AN532" s="37"/>
      <c r="AO532" s="62">
        <f t="array" aca="1" ref="AO532:AR532" ca="1">TRANSPOSE($B$17:$B$20 + MMULT($D$17:$G$20,TRANSPOSE(AO531:AR531)) + MMULT($N$17:$Q$20,TRANSPOSE(AJ532:AM532)))</f>
        <v>0.37778984228665996</v>
      </c>
      <c r="AP532" s="62">
        <f ca="1"/>
        <v>0.88002555788578385</v>
      </c>
      <c r="AQ532" s="62">
        <f ca="1"/>
        <v>0.27360351449347076</v>
      </c>
      <c r="AR532" s="62">
        <f ca="1"/>
        <v>-0.23403525732211294</v>
      </c>
    </row>
    <row r="533" spans="25:44" x14ac:dyDescent="0.15">
      <c r="Y533" s="8">
        <f t="shared" si="36"/>
        <v>530</v>
      </c>
      <c r="Z533" s="61">
        <f t="shared" ca="1" si="34"/>
        <v>1.4572649123260411</v>
      </c>
      <c r="AA533" s="61">
        <f t="shared" ca="1" si="34"/>
        <v>-0.46012702437126052</v>
      </c>
      <c r="AB533" s="61">
        <f t="shared" ca="1" si="34"/>
        <v>-0.40845800393657294</v>
      </c>
      <c r="AC533" s="61">
        <f t="shared" ca="1" si="34"/>
        <v>-1.8826508262427968</v>
      </c>
      <c r="AD533" s="37"/>
      <c r="AE533" s="62">
        <f t="array" aca="1" ref="AE533:AH533" ca="1">TRANSPOSE($B$9:$B$12 + MMULT($D$9:$G$12,TRANSPOSE(AO533:AR533)) + MMULT($N$9:$Q$12, TRANSPOSE(Z533:AC533)))</f>
        <v>1.1393068353300095</v>
      </c>
      <c r="AF533" s="62">
        <f ca="1"/>
        <v>0.86989466388319703</v>
      </c>
      <c r="AG533" s="62">
        <f ca="1"/>
        <v>-0.21198662991955985</v>
      </c>
      <c r="AH533" s="62">
        <f ca="1"/>
        <v>-0.63818872961620798</v>
      </c>
      <c r="AI533" s="37"/>
      <c r="AJ533" s="61">
        <f t="shared" ca="1" si="35"/>
        <v>0.79746127997266736</v>
      </c>
      <c r="AK533" s="61">
        <f t="shared" ca="1" si="35"/>
        <v>-3.3894077124011889E-3</v>
      </c>
      <c r="AL533" s="61">
        <f t="shared" ca="1" si="35"/>
        <v>-2.3558380195442488</v>
      </c>
      <c r="AM533" s="61">
        <f t="shared" ca="1" si="35"/>
        <v>-1.1365516421795301</v>
      </c>
      <c r="AN533" s="37"/>
      <c r="AO533" s="62">
        <f t="array" aca="1" ref="AO533:AR533" ca="1">TRANSPOSE($B$17:$B$20 + MMULT($D$17:$G$20,TRANSPOSE(AO532:AR532)) + MMULT($N$17:$Q$20,TRANSPOSE(AJ533:AM533)))</f>
        <v>0.73351485960531693</v>
      </c>
      <c r="AP533" s="62">
        <f ca="1"/>
        <v>0.40238022674114626</v>
      </c>
      <c r="AQ533" s="62">
        <f ca="1"/>
        <v>-0.38848349820299777</v>
      </c>
      <c r="AR533" s="62">
        <f ca="1"/>
        <v>-7.4609289262277501E-2</v>
      </c>
    </row>
    <row r="534" spans="25:44" x14ac:dyDescent="0.15">
      <c r="Y534" s="8">
        <f t="shared" si="36"/>
        <v>531</v>
      </c>
      <c r="Z534" s="61">
        <f t="shared" ca="1" si="34"/>
        <v>-0.32401834885125202</v>
      </c>
      <c r="AA534" s="61">
        <f t="shared" ca="1" si="34"/>
        <v>6.1812872782278171E-2</v>
      </c>
      <c r="AB534" s="61">
        <f t="shared" ca="1" si="34"/>
        <v>-1.6250868436073361E-3</v>
      </c>
      <c r="AC534" s="61">
        <f t="shared" ca="1" si="34"/>
        <v>1.0979674440915648</v>
      </c>
      <c r="AD534" s="37"/>
      <c r="AE534" s="62">
        <f t="array" aca="1" ref="AE534:AH534" ca="1">TRANSPOSE($B$9:$B$12 + MMULT($D$9:$G$12,TRANSPOSE(AO534:AR534)) + MMULT($N$9:$Q$12, TRANSPOSE(Z534:AC534)))</f>
        <v>1.140591378821997</v>
      </c>
      <c r="AF534" s="62">
        <f ca="1"/>
        <v>1.3815295273630313</v>
      </c>
      <c r="AG534" s="62">
        <f ca="1"/>
        <v>-0.27870503147892545</v>
      </c>
      <c r="AH534" s="62">
        <f ca="1"/>
        <v>0.96586838903608618</v>
      </c>
      <c r="AI534" s="37"/>
      <c r="AJ534" s="61">
        <f t="shared" ca="1" si="35"/>
        <v>0.99202780635360266</v>
      </c>
      <c r="AK534" s="61">
        <f t="shared" ca="1" si="35"/>
        <v>2.7334920755199033</v>
      </c>
      <c r="AL534" s="61">
        <f t="shared" ca="1" si="35"/>
        <v>1.5598213280213833</v>
      </c>
      <c r="AM534" s="61">
        <f t="shared" ca="1" si="35"/>
        <v>-0.15066346175059281</v>
      </c>
      <c r="AN534" s="37"/>
      <c r="AO534" s="62">
        <f t="array" aca="1" ref="AO534:AR534" ca="1">TRANSPOSE($B$17:$B$20 + MMULT($D$17:$G$20,TRANSPOSE(AO533:AR533)) + MMULT($N$17:$Q$20,TRANSPOSE(AJ534:AM534)))</f>
        <v>0.76728573271408873</v>
      </c>
      <c r="AP534" s="62">
        <f ca="1"/>
        <v>1.5288195226219863</v>
      </c>
      <c r="AQ534" s="62">
        <f ca="1"/>
        <v>0.79248308500050613</v>
      </c>
      <c r="AR534" s="62">
        <f ca="1"/>
        <v>-0.13571403965951073</v>
      </c>
    </row>
    <row r="535" spans="25:44" x14ac:dyDescent="0.15">
      <c r="Y535" s="8">
        <f t="shared" si="36"/>
        <v>532</v>
      </c>
      <c r="Z535" s="61">
        <f t="shared" ca="1" si="34"/>
        <v>-0.60982570635314071</v>
      </c>
      <c r="AA535" s="61">
        <f t="shared" ca="1" si="34"/>
        <v>-0.6235365790719587</v>
      </c>
      <c r="AB535" s="61">
        <f t="shared" ca="1" si="34"/>
        <v>-1.1898764200098284</v>
      </c>
      <c r="AC535" s="61">
        <f t="shared" ca="1" si="34"/>
        <v>-0.90590643133922633</v>
      </c>
      <c r="AD535" s="37"/>
      <c r="AE535" s="62">
        <f t="array" aca="1" ref="AE535:AH535" ca="1">TRANSPOSE($B$9:$B$12 + MMULT($D$9:$G$12,TRANSPOSE(AO535:AR535)) + MMULT($N$9:$Q$12, TRANSPOSE(Z535:AC535)))</f>
        <v>1.0955606201345178</v>
      </c>
      <c r="AF535" s="62">
        <f ca="1"/>
        <v>1.2429146221563669</v>
      </c>
      <c r="AG535" s="62">
        <f ca="1"/>
        <v>0.22562573217997212</v>
      </c>
      <c r="AH535" s="62">
        <f ca="1"/>
        <v>0.98743999972427487</v>
      </c>
      <c r="AI535" s="37"/>
      <c r="AJ535" s="61">
        <f t="shared" ca="1" si="35"/>
        <v>1.1768450569996898</v>
      </c>
      <c r="AK535" s="61">
        <f t="shared" ca="1" si="35"/>
        <v>1.604984074136429</v>
      </c>
      <c r="AL535" s="61">
        <f t="shared" ca="1" si="35"/>
        <v>1.4473898751898388E-2</v>
      </c>
      <c r="AM535" s="61">
        <f t="shared" ca="1" si="35"/>
        <v>1.3042415725055676</v>
      </c>
      <c r="AN535" s="37"/>
      <c r="AO535" s="62">
        <f t="array" aca="1" ref="AO535:AR535" ca="1">TRANSPOSE($B$17:$B$20 + MMULT($D$17:$G$20,TRANSPOSE(AO534:AR534)) + MMULT($N$17:$Q$20,TRANSPOSE(AJ535:AM535)))</f>
        <v>1.0911711046155168</v>
      </c>
      <c r="AP535" s="62">
        <f ca="1"/>
        <v>1.4371364885149047</v>
      </c>
      <c r="AQ535" s="62">
        <f ca="1"/>
        <v>0.96137968772854898</v>
      </c>
      <c r="AR535" s="62">
        <f ca="1"/>
        <v>0.81929438928804244</v>
      </c>
    </row>
    <row r="536" spans="25:44" x14ac:dyDescent="0.15">
      <c r="Y536" s="8">
        <f t="shared" si="36"/>
        <v>533</v>
      </c>
      <c r="Z536" s="61">
        <f t="shared" ca="1" si="34"/>
        <v>-0.32572363608441607</v>
      </c>
      <c r="AA536" s="61">
        <f t="shared" ca="1" si="34"/>
        <v>-1.4184178670568393</v>
      </c>
      <c r="AB536" s="61">
        <f t="shared" ca="1" si="34"/>
        <v>-0.63216900746489169</v>
      </c>
      <c r="AC536" s="61">
        <f t="shared" ca="1" si="34"/>
        <v>0.21585414604341266</v>
      </c>
      <c r="AD536" s="37"/>
      <c r="AE536" s="62">
        <f t="array" aca="1" ref="AE536:AH536" ca="1">TRANSPOSE($B$9:$B$12 + MMULT($D$9:$G$12,TRANSPOSE(AO536:AR536)) + MMULT($N$9:$Q$12, TRANSPOSE(Z536:AC536)))</f>
        <v>1.1861420039065094</v>
      </c>
      <c r="AF536" s="62">
        <f ca="1"/>
        <v>0.95529625776505933</v>
      </c>
      <c r="AG536" s="62">
        <f ca="1"/>
        <v>0.32160558937080952</v>
      </c>
      <c r="AH536" s="62">
        <f ca="1"/>
        <v>1.9786719418302141</v>
      </c>
      <c r="AI536" s="37"/>
      <c r="AJ536" s="61">
        <f t="shared" ca="1" si="35"/>
        <v>-0.45900086442776111</v>
      </c>
      <c r="AK536" s="61">
        <f t="shared" ca="1" si="35"/>
        <v>1.6231444500160122</v>
      </c>
      <c r="AL536" s="61">
        <f t="shared" ca="1" si="35"/>
        <v>1.617357747982052</v>
      </c>
      <c r="AM536" s="61">
        <f t="shared" ca="1" si="35"/>
        <v>1.0146042854359034</v>
      </c>
      <c r="AN536" s="37"/>
      <c r="AO536" s="62">
        <f t="array" aca="1" ref="AO536:AR536" ca="1">TRANSPOSE($B$17:$B$20 + MMULT($D$17:$G$20,TRANSPOSE(AO535:AR535)) + MMULT($N$17:$Q$20,TRANSPOSE(AJ536:AM536)))</f>
        <v>0.68987736343545525</v>
      </c>
      <c r="AP536" s="62">
        <f ca="1"/>
        <v>1.6633115289901759</v>
      </c>
      <c r="AQ536" s="62">
        <f ca="1"/>
        <v>1.5022270321669158</v>
      </c>
      <c r="AR536" s="62">
        <f ca="1"/>
        <v>1.0688647575945798</v>
      </c>
    </row>
    <row r="537" spans="25:44" x14ac:dyDescent="0.15">
      <c r="Y537" s="8">
        <f t="shared" si="36"/>
        <v>534</v>
      </c>
      <c r="Z537" s="61">
        <f t="shared" ca="1" si="34"/>
        <v>-1.0579174266247637</v>
      </c>
      <c r="AA537" s="61">
        <f t="shared" ca="1" si="34"/>
        <v>-0.37846776129652027</v>
      </c>
      <c r="AB537" s="61">
        <f t="shared" ca="1" si="34"/>
        <v>0.36202004015040135</v>
      </c>
      <c r="AC537" s="61">
        <f t="shared" ca="1" si="34"/>
        <v>-0.5973237271183871</v>
      </c>
      <c r="AD537" s="37"/>
      <c r="AE537" s="62">
        <f t="array" aca="1" ref="AE537:AH537" ca="1">TRANSPOSE($B$9:$B$12 + MMULT($D$9:$G$12,TRANSPOSE(AO537:AR537)) + MMULT($N$9:$Q$12, TRANSPOSE(Z537:AC537)))</f>
        <v>1.0809472203500921</v>
      </c>
      <c r="AF537" s="62">
        <f ca="1"/>
        <v>0.69307149737792173</v>
      </c>
      <c r="AG537" s="62">
        <f ca="1"/>
        <v>1.6261466159602813</v>
      </c>
      <c r="AH537" s="62">
        <f ca="1"/>
        <v>1.1645814807630477</v>
      </c>
      <c r="AI537" s="37"/>
      <c r="AJ537" s="61">
        <f t="shared" ca="1" si="35"/>
        <v>0.87920958787589565</v>
      </c>
      <c r="AK537" s="61">
        <f t="shared" ca="1" si="35"/>
        <v>-0.51802139971782568</v>
      </c>
      <c r="AL537" s="61">
        <f t="shared" ca="1" si="35"/>
        <v>-0.24014401025654794</v>
      </c>
      <c r="AM537" s="61">
        <f t="shared" ca="1" si="35"/>
        <v>-0.33914795430265782</v>
      </c>
      <c r="AN537" s="37"/>
      <c r="AO537" s="62">
        <f t="array" aca="1" ref="AO537:AR537" ca="1">TRANSPOSE($B$17:$B$20 + MMULT($D$17:$G$20,TRANSPOSE(AO536:AR536)) + MMULT($N$17:$Q$20,TRANSPOSE(AJ537:AM537)))</f>
        <v>1.1438187008635294</v>
      </c>
      <c r="AP537" s="62">
        <f ca="1"/>
        <v>0.77753207836509686</v>
      </c>
      <c r="AQ537" s="62">
        <f ca="1"/>
        <v>1.3466257418415872</v>
      </c>
      <c r="AR537" s="62">
        <f ca="1"/>
        <v>1.3405556691087452</v>
      </c>
    </row>
    <row r="538" spans="25:44" x14ac:dyDescent="0.15">
      <c r="Y538" s="8">
        <f t="shared" si="36"/>
        <v>535</v>
      </c>
      <c r="Z538" s="61">
        <f t="shared" ca="1" si="34"/>
        <v>0.24468187251115731</v>
      </c>
      <c r="AA538" s="61">
        <f t="shared" ca="1" si="34"/>
        <v>-0.53407426896443022</v>
      </c>
      <c r="AB538" s="61">
        <f t="shared" ca="1" si="34"/>
        <v>-1.5889878169087268</v>
      </c>
      <c r="AC538" s="61">
        <f t="shared" ca="1" si="34"/>
        <v>-0.50849966483997622</v>
      </c>
      <c r="AD538" s="37"/>
      <c r="AE538" s="62">
        <f t="array" aca="1" ref="AE538:AH538" ca="1">TRANSPOSE($B$9:$B$12 + MMULT($D$9:$G$12,TRANSPOSE(AO538:AR538)) + MMULT($N$9:$Q$12, TRANSPOSE(Z538:AC538)))</f>
        <v>2.1232228865647209</v>
      </c>
      <c r="AF538" s="62">
        <f ca="1"/>
        <v>0.88736811184173348</v>
      </c>
      <c r="AG538" s="62">
        <f ca="1"/>
        <v>0.56599689570108924</v>
      </c>
      <c r="AH538" s="62">
        <f ca="1"/>
        <v>2.0927542209109373</v>
      </c>
      <c r="AI538" s="37"/>
      <c r="AJ538" s="61">
        <f t="shared" ca="1" si="35"/>
        <v>0.93832594890388465</v>
      </c>
      <c r="AK538" s="61">
        <f t="shared" ca="1" si="35"/>
        <v>-2.6645219127818042E-2</v>
      </c>
      <c r="AL538" s="61">
        <f t="shared" ca="1" si="35"/>
        <v>2.2329590127400576</v>
      </c>
      <c r="AM538" s="61">
        <f t="shared" ca="1" si="35"/>
        <v>-0.20420909394279696</v>
      </c>
      <c r="AN538" s="37"/>
      <c r="AO538" s="62">
        <f t="array" aca="1" ref="AO538:AR538" ca="1">TRANSPOSE($B$17:$B$20 + MMULT($D$17:$G$20,TRANSPOSE(AO537:AR537)) + MMULT($N$17:$Q$20,TRANSPOSE(AJ538:AM538)))</f>
        <v>1.2087916869435122</v>
      </c>
      <c r="AP538" s="62">
        <f ca="1"/>
        <v>0.93573553689074085</v>
      </c>
      <c r="AQ538" s="62">
        <f ca="1"/>
        <v>2.1425052577285828</v>
      </c>
      <c r="AR538" s="62">
        <f ca="1"/>
        <v>1.4704833553559964</v>
      </c>
    </row>
    <row r="539" spans="25:44" x14ac:dyDescent="0.15">
      <c r="Y539" s="8">
        <f t="shared" si="36"/>
        <v>536</v>
      </c>
      <c r="Z539" s="61">
        <f t="shared" ca="1" si="34"/>
        <v>-0.97459029032310829</v>
      </c>
      <c r="AA539" s="61">
        <f t="shared" ca="1" si="34"/>
        <v>1.4486880888634683</v>
      </c>
      <c r="AB539" s="61">
        <f t="shared" ca="1" si="34"/>
        <v>0.3853090573861942</v>
      </c>
      <c r="AC539" s="61">
        <f t="shared" ca="1" si="34"/>
        <v>-0.23942195948983103</v>
      </c>
      <c r="AD539" s="37"/>
      <c r="AE539" s="62">
        <f t="array" aca="1" ref="AE539:AH539" ca="1">TRANSPOSE($B$9:$B$12 + MMULT($D$9:$G$12,TRANSPOSE(AO539:AR539)) + MMULT($N$9:$Q$12, TRANSPOSE(Z539:AC539)))</f>
        <v>1.0031479674650228</v>
      </c>
      <c r="AF539" s="62">
        <f ca="1"/>
        <v>0.98013913224018856</v>
      </c>
      <c r="AG539" s="62">
        <f ca="1"/>
        <v>2.2307991500236373</v>
      </c>
      <c r="AH539" s="62">
        <f ca="1"/>
        <v>0.99784249829061844</v>
      </c>
      <c r="AI539" s="37"/>
      <c r="AJ539" s="61">
        <f t="shared" ca="1" si="35"/>
        <v>0.53436694093500936</v>
      </c>
      <c r="AK539" s="61">
        <f t="shared" ca="1" si="35"/>
        <v>-2.2950684935102186</v>
      </c>
      <c r="AL539" s="61">
        <f t="shared" ca="1" si="35"/>
        <v>-0.97448773607578409</v>
      </c>
      <c r="AM539" s="61">
        <f t="shared" ca="1" si="35"/>
        <v>-0.66218838271327052</v>
      </c>
      <c r="AN539" s="37"/>
      <c r="AO539" s="62">
        <f t="array" aca="1" ref="AO539:AR539" ca="1">TRANSPOSE($B$17:$B$20 + MMULT($D$17:$G$20,TRANSPOSE(AO538:AR538)) + MMULT($N$17:$Q$20,TRANSPOSE(AJ539:AM539)))</f>
        <v>1.2253364159313354</v>
      </c>
      <c r="AP539" s="62">
        <f ca="1"/>
        <v>0.11472254788523961</v>
      </c>
      <c r="AQ539" s="62">
        <f ca="1"/>
        <v>1.1932106853468465</v>
      </c>
      <c r="AR539" s="62">
        <f ca="1"/>
        <v>1.7200481381011852</v>
      </c>
    </row>
    <row r="540" spans="25:44" x14ac:dyDescent="0.15">
      <c r="Y540" s="8">
        <f t="shared" si="36"/>
        <v>537</v>
      </c>
      <c r="Z540" s="61">
        <f t="shared" ca="1" si="34"/>
        <v>0.80131508899254289</v>
      </c>
      <c r="AA540" s="61">
        <f t="shared" ca="1" si="34"/>
        <v>0.97792939926087707</v>
      </c>
      <c r="AB540" s="61">
        <f t="shared" ca="1" si="34"/>
        <v>-5.5541953565901268E-2</v>
      </c>
      <c r="AC540" s="61">
        <f t="shared" ca="1" si="34"/>
        <v>4.421044094028314E-2</v>
      </c>
      <c r="AD540" s="37"/>
      <c r="AE540" s="62">
        <f t="array" aca="1" ref="AE540:AH540" ca="1">TRANSPOSE($B$9:$B$12 + MMULT($D$9:$G$12,TRANSPOSE(AO540:AR540)) + MMULT($N$9:$Q$12, TRANSPOSE(Z540:AC540)))</f>
        <v>1.4570558505225595</v>
      </c>
      <c r="AF540" s="62">
        <f ca="1"/>
        <v>1.5193104801969834</v>
      </c>
      <c r="AG540" s="62">
        <f ca="1"/>
        <v>1.0921125121953077</v>
      </c>
      <c r="AH540" s="62">
        <f ca="1"/>
        <v>1.7278314110252866</v>
      </c>
      <c r="AI540" s="37"/>
      <c r="AJ540" s="61">
        <f t="shared" ca="1" si="35"/>
        <v>-0.4689675661827597</v>
      </c>
      <c r="AK540" s="61">
        <f t="shared" ca="1" si="35"/>
        <v>-2.8140602980315798E-2</v>
      </c>
      <c r="AL540" s="61">
        <f t="shared" ca="1" si="35"/>
        <v>1.4828075206932438</v>
      </c>
      <c r="AM540" s="61">
        <f t="shared" ca="1" si="35"/>
        <v>1.3089286801029405</v>
      </c>
      <c r="AN540" s="37"/>
      <c r="AO540" s="62">
        <f t="array" aca="1" ref="AO540:AR540" ca="1">TRANSPOSE($B$17:$B$20 + MMULT($D$17:$G$20,TRANSPOSE(AO539:AR539)) + MMULT($N$17:$Q$20,TRANSPOSE(AJ540:AM540)))</f>
        <v>0.70449279595883307</v>
      </c>
      <c r="AP540" s="62">
        <f ca="1"/>
        <v>0.81722677566250523</v>
      </c>
      <c r="AQ540" s="62">
        <f ca="1"/>
        <v>1.3321131399316855</v>
      </c>
      <c r="AR540" s="62">
        <f ca="1"/>
        <v>1.5579723339928802</v>
      </c>
    </row>
    <row r="541" spans="25:44" x14ac:dyDescent="0.15">
      <c r="Y541" s="8">
        <f t="shared" si="36"/>
        <v>538</v>
      </c>
      <c r="Z541" s="61">
        <f t="shared" ca="1" si="34"/>
        <v>0.17219879469027163</v>
      </c>
      <c r="AA541" s="61">
        <f t="shared" ca="1" si="34"/>
        <v>6.8458262074847509E-2</v>
      </c>
      <c r="AB541" s="61">
        <f t="shared" ca="1" si="34"/>
        <v>0.94726682766757564</v>
      </c>
      <c r="AC541" s="61">
        <f t="shared" ca="1" si="34"/>
        <v>0.14027473695236792</v>
      </c>
      <c r="AD541" s="37"/>
      <c r="AE541" s="62">
        <f t="array" aca="1" ref="AE541:AH541" ca="1">TRANSPOSE($B$9:$B$12 + MMULT($D$9:$G$12,TRANSPOSE(AO541:AR541)) + MMULT($N$9:$Q$12, TRANSPOSE(Z541:AC541)))</f>
        <v>1.1834013939522525</v>
      </c>
      <c r="AF541" s="62">
        <f ca="1"/>
        <v>0.79810843731439896</v>
      </c>
      <c r="AG541" s="62">
        <f ca="1"/>
        <v>1.3820206068666496</v>
      </c>
      <c r="AH541" s="62">
        <f ca="1"/>
        <v>1.2469862336193323</v>
      </c>
      <c r="AI541" s="37"/>
      <c r="AJ541" s="61">
        <f t="shared" ca="1" si="35"/>
        <v>-0.29669402697205177</v>
      </c>
      <c r="AK541" s="61">
        <f t="shared" ca="1" si="35"/>
        <v>-0.5837819860111727</v>
      </c>
      <c r="AL541" s="61">
        <f t="shared" ca="1" si="35"/>
        <v>0.36166480539051232</v>
      </c>
      <c r="AM541" s="61">
        <f t="shared" ca="1" si="35"/>
        <v>-0.81345056287875839</v>
      </c>
      <c r="AN541" s="37"/>
      <c r="AO541" s="62">
        <f t="array" aca="1" ref="AO541:AR541" ca="1">TRANSPOSE($B$17:$B$20 + MMULT($D$17:$G$20,TRANSPOSE(AO540:AR540)) + MMULT($N$17:$Q$20,TRANSPOSE(AJ541:AM541)))</f>
        <v>0.68957762809322265</v>
      </c>
      <c r="AP541" s="62">
        <f ca="1"/>
        <v>0.57942068521589174</v>
      </c>
      <c r="AQ541" s="62">
        <f ca="1"/>
        <v>1.1156540261470158</v>
      </c>
      <c r="AR541" s="62">
        <f ca="1"/>
        <v>1.1345474608728643</v>
      </c>
    </row>
    <row r="542" spans="25:44" x14ac:dyDescent="0.15">
      <c r="Y542" s="8">
        <f t="shared" si="36"/>
        <v>539</v>
      </c>
      <c r="Z542" s="61">
        <f t="shared" ca="1" si="34"/>
        <v>1.1733193914223057</v>
      </c>
      <c r="AA542" s="61">
        <f t="shared" ca="1" si="34"/>
        <v>-1.5518043991247128</v>
      </c>
      <c r="AB542" s="61">
        <f t="shared" ca="1" si="34"/>
        <v>-0.53827403991891021</v>
      </c>
      <c r="AC542" s="61">
        <f t="shared" ca="1" si="34"/>
        <v>-0.47230642673826834</v>
      </c>
      <c r="AD542" s="37"/>
      <c r="AE542" s="62">
        <f t="array" aca="1" ref="AE542:AH542" ca="1">TRANSPOSE($B$9:$B$12 + MMULT($D$9:$G$12,TRANSPOSE(AO542:AR542)) + MMULT($N$9:$Q$12, TRANSPOSE(Z542:AC542)))</f>
        <v>1.5518189815017993</v>
      </c>
      <c r="AF542" s="62">
        <f ca="1"/>
        <v>0.12322248490352972</v>
      </c>
      <c r="AG542" s="62">
        <f ca="1"/>
        <v>0.741999758407204</v>
      </c>
      <c r="AH542" s="62">
        <f ca="1"/>
        <v>1.604709719059858</v>
      </c>
      <c r="AI542" s="37"/>
      <c r="AJ542" s="61">
        <f t="shared" ca="1" si="35"/>
        <v>-0.58494145036675804</v>
      </c>
      <c r="AK542" s="61">
        <f t="shared" ca="1" si="35"/>
        <v>-0.7343946555959131</v>
      </c>
      <c r="AL542" s="61">
        <f t="shared" ca="1" si="35"/>
        <v>1.269098346817942</v>
      </c>
      <c r="AM542" s="61">
        <f t="shared" ca="1" si="35"/>
        <v>0.54187928497681337</v>
      </c>
      <c r="AN542" s="37"/>
      <c r="AO542" s="62">
        <f t="array" aca="1" ref="AO542:AR542" ca="1">TRANSPOSE($B$17:$B$20 + MMULT($D$17:$G$20,TRANSPOSE(AO541:AR541)) + MMULT($N$17:$Q$20,TRANSPOSE(AJ542:AM542)))</f>
        <v>0.51904989276785696</v>
      </c>
      <c r="AP542" s="62">
        <f ca="1"/>
        <v>0.36700458990739693</v>
      </c>
      <c r="AQ542" s="62">
        <f ca="1"/>
        <v>1.3131899824278346</v>
      </c>
      <c r="AR542" s="62">
        <f ca="1"/>
        <v>1.3372194077367721</v>
      </c>
    </row>
    <row r="543" spans="25:44" x14ac:dyDescent="0.15">
      <c r="Y543" s="8">
        <f t="shared" si="36"/>
        <v>540</v>
      </c>
      <c r="Z543" s="61">
        <f t="shared" ca="1" si="34"/>
        <v>0.63750613162930747</v>
      </c>
      <c r="AA543" s="61">
        <f t="shared" ca="1" si="34"/>
        <v>0.59234089715862825</v>
      </c>
      <c r="AB543" s="61">
        <f t="shared" ca="1" si="34"/>
        <v>-0.98294342316278493</v>
      </c>
      <c r="AC543" s="61">
        <f t="shared" ca="1" si="34"/>
        <v>-0.50684225766571589</v>
      </c>
      <c r="AD543" s="37"/>
      <c r="AE543" s="62">
        <f t="array" aca="1" ref="AE543:AH543" ca="1">TRANSPOSE($B$9:$B$12 + MMULT($D$9:$G$12,TRANSPOSE(AO543:AR543)) + MMULT($N$9:$Q$12, TRANSPOSE(Z543:AC543)))</f>
        <v>1.233593172716378</v>
      </c>
      <c r="AF543" s="62">
        <f ca="1"/>
        <v>1.3734189850201608</v>
      </c>
      <c r="AG543" s="62">
        <f ca="1"/>
        <v>0.24736030067636638</v>
      </c>
      <c r="AH543" s="62">
        <f ca="1"/>
        <v>0.56976836108467888</v>
      </c>
      <c r="AI543" s="37"/>
      <c r="AJ543" s="61">
        <f t="shared" ca="1" si="35"/>
        <v>0.65643876491336672</v>
      </c>
      <c r="AK543" s="61">
        <f t="shared" ca="1" si="35"/>
        <v>0.19107040834129449</v>
      </c>
      <c r="AL543" s="61">
        <f t="shared" ca="1" si="35"/>
        <v>-0.84248932454814518</v>
      </c>
      <c r="AM543" s="61">
        <f t="shared" ca="1" si="35"/>
        <v>-1.1829251035134949</v>
      </c>
      <c r="AN543" s="37"/>
      <c r="AO543" s="62">
        <f t="array" aca="1" ref="AO543:AR543" ca="1">TRANSPOSE($B$17:$B$20 + MMULT($D$17:$G$20,TRANSPOSE(AO542:AR542)) + MMULT($N$17:$Q$20,TRANSPOSE(AJ543:AM543)))</f>
        <v>0.91608000618610419</v>
      </c>
      <c r="AP543" s="62">
        <f ca="1"/>
        <v>0.70346751269843311</v>
      </c>
      <c r="AQ543" s="62">
        <f ca="1"/>
        <v>0.46574250486733471</v>
      </c>
      <c r="AR543" s="62">
        <f ca="1"/>
        <v>0.72329333966179565</v>
      </c>
    </row>
    <row r="544" spans="25:44" x14ac:dyDescent="0.15">
      <c r="Y544" s="8">
        <f t="shared" si="36"/>
        <v>541</v>
      </c>
      <c r="Z544" s="61">
        <f t="shared" ca="1" si="34"/>
        <v>0.40093294640656069</v>
      </c>
      <c r="AA544" s="61">
        <f t="shared" ca="1" si="34"/>
        <v>-0.77258939728043097</v>
      </c>
      <c r="AB544" s="61">
        <f t="shared" ca="1" si="34"/>
        <v>1.1452452614556567</v>
      </c>
      <c r="AC544" s="61">
        <f t="shared" ca="1" si="34"/>
        <v>1.6848002862377407</v>
      </c>
      <c r="AD544" s="37"/>
      <c r="AE544" s="62">
        <f t="array" aca="1" ref="AE544:AH544" ca="1">TRANSPOSE($B$9:$B$12 + MMULT($D$9:$G$12,TRANSPOSE(AO544:AR544)) + MMULT($N$9:$Q$12, TRANSPOSE(Z544:AC544)))</f>
        <v>1.4067351338476826</v>
      </c>
      <c r="AF544" s="62">
        <f ca="1"/>
        <v>0.5016244153873477</v>
      </c>
      <c r="AG544" s="62">
        <f ca="1"/>
        <v>1.9087329740917198</v>
      </c>
      <c r="AH544" s="62">
        <f ca="1"/>
        <v>1.5340606258557572</v>
      </c>
      <c r="AI544" s="37"/>
      <c r="AJ544" s="61">
        <f t="shared" ca="1" si="35"/>
        <v>0.97356086770182937</v>
      </c>
      <c r="AK544" s="61">
        <f t="shared" ca="1" si="35"/>
        <v>-0.8279468231500422</v>
      </c>
      <c r="AL544" s="61">
        <f t="shared" ca="1" si="35"/>
        <v>0.41745521089158677</v>
      </c>
      <c r="AM544" s="61">
        <f t="shared" ca="1" si="35"/>
        <v>2.0101083599323499</v>
      </c>
      <c r="AN544" s="37"/>
      <c r="AO544" s="62">
        <f t="array" aca="1" ref="AO544:AR544" ca="1">TRANSPOSE($B$17:$B$20 + MMULT($D$17:$G$20,TRANSPOSE(AO543:AR543)) + MMULT($N$17:$Q$20,TRANSPOSE(AJ544:AM544)))</f>
        <v>0.99550727787513926</v>
      </c>
      <c r="AP544" s="62">
        <f ca="1"/>
        <v>0.34786593128793758</v>
      </c>
      <c r="AQ544" s="62">
        <f ca="1"/>
        <v>1.1052658174386312</v>
      </c>
      <c r="AR544" s="62">
        <f ca="1"/>
        <v>1.4690623587708656</v>
      </c>
    </row>
    <row r="545" spans="25:44" x14ac:dyDescent="0.15">
      <c r="Y545" s="8">
        <f t="shared" si="36"/>
        <v>542</v>
      </c>
      <c r="Z545" s="61">
        <f t="shared" ca="1" si="34"/>
        <v>1.7101169431482064</v>
      </c>
      <c r="AA545" s="61">
        <f t="shared" ca="1" si="34"/>
        <v>-0.77967886568501699</v>
      </c>
      <c r="AB545" s="61">
        <f t="shared" ca="1" si="34"/>
        <v>2.8904901063320644E-2</v>
      </c>
      <c r="AC545" s="61">
        <f t="shared" ca="1" si="34"/>
        <v>0.45302492799452815</v>
      </c>
      <c r="AD545" s="37"/>
      <c r="AE545" s="62">
        <f t="array" aca="1" ref="AE545:AH545" ca="1">TRANSPOSE($B$9:$B$12 + MMULT($D$9:$G$12,TRANSPOSE(AO545:AR545)) + MMULT($N$9:$Q$12, TRANSPOSE(Z545:AC545)))</f>
        <v>1.8507042007778831</v>
      </c>
      <c r="AF545" s="62">
        <f ca="1"/>
        <v>0.79531967447111507</v>
      </c>
      <c r="AG545" s="62">
        <f ca="1"/>
        <v>0.93609114177657426</v>
      </c>
      <c r="AH545" s="62">
        <f ca="1"/>
        <v>0.89194881557965722</v>
      </c>
      <c r="AI545" s="37"/>
      <c r="AJ545" s="61">
        <f t="shared" ca="1" si="35"/>
        <v>0.89072098852900994</v>
      </c>
      <c r="AK545" s="61">
        <f t="shared" ca="1" si="35"/>
        <v>-1.1572350509383138</v>
      </c>
      <c r="AL545" s="61">
        <f t="shared" ca="1" si="35"/>
        <v>-0.91353566481278747</v>
      </c>
      <c r="AM545" s="61">
        <f t="shared" ca="1" si="35"/>
        <v>-0.91440223116922359</v>
      </c>
      <c r="AN545" s="37"/>
      <c r="AO545" s="62">
        <f t="array" aca="1" ref="AO545:AR545" ca="1">TRANSPOSE($B$17:$B$20 + MMULT($D$17:$G$20,TRANSPOSE(AO544:AR544)) + MMULT($N$17:$Q$20,TRANSPOSE(AJ545:AM545)))</f>
        <v>1.0936257851581339</v>
      </c>
      <c r="AP545" s="62">
        <f ca="1"/>
        <v>0.2983387651030901</v>
      </c>
      <c r="AQ545" s="62">
        <f ca="1"/>
        <v>0.6522049459852004</v>
      </c>
      <c r="AR545" s="62">
        <f ca="1"/>
        <v>1.0414980319494131</v>
      </c>
    </row>
    <row r="546" spans="25:44" x14ac:dyDescent="0.15">
      <c r="Y546" s="8">
        <f t="shared" si="36"/>
        <v>543</v>
      </c>
      <c r="Z546" s="61">
        <f t="shared" ca="1" si="34"/>
        <v>1.3431642515464504</v>
      </c>
      <c r="AA546" s="61">
        <f t="shared" ca="1" si="34"/>
        <v>0.96781423382250298</v>
      </c>
      <c r="AB546" s="61">
        <f t="shared" ca="1" si="34"/>
        <v>0.13632048962202858</v>
      </c>
      <c r="AC546" s="61">
        <f t="shared" ca="1" si="34"/>
        <v>0.8143724206611872</v>
      </c>
      <c r="AD546" s="37"/>
      <c r="AE546" s="62">
        <f t="array" aca="1" ref="AE546:AH546" ca="1">TRANSPOSE($B$9:$B$12 + MMULT($D$9:$G$12,TRANSPOSE(AO546:AR546)) + MMULT($N$9:$Q$12, TRANSPOSE(Z546:AC546)))</f>
        <v>1.8389623456672726</v>
      </c>
      <c r="AF546" s="62">
        <f ca="1"/>
        <v>1.805900543415063</v>
      </c>
      <c r="AG546" s="62">
        <f ca="1"/>
        <v>0.35070347338078234</v>
      </c>
      <c r="AH546" s="62">
        <f ca="1"/>
        <v>1.4791947809562025</v>
      </c>
      <c r="AI546" s="37"/>
      <c r="AJ546" s="61">
        <f t="shared" ca="1" si="35"/>
        <v>0.2289154282881932</v>
      </c>
      <c r="AK546" s="61">
        <f t="shared" ca="1" si="35"/>
        <v>0.94827717988150984</v>
      </c>
      <c r="AL546" s="61">
        <f t="shared" ca="1" si="35"/>
        <v>1.3442086628229539</v>
      </c>
      <c r="AM546" s="61">
        <f t="shared" ca="1" si="35"/>
        <v>-8.2757268585499491E-2</v>
      </c>
      <c r="AN546" s="37"/>
      <c r="AO546" s="62">
        <f t="array" aca="1" ref="AO546:AR546" ca="1">TRANSPOSE($B$17:$B$20 + MMULT($D$17:$G$20,TRANSPOSE(AO545:AR545)) + MMULT($N$17:$Q$20,TRANSPOSE(AJ546:AM546)))</f>
        <v>0.80519388419562399</v>
      </c>
      <c r="AP546" s="62">
        <f ca="1"/>
        <v>1.1014475667461059</v>
      </c>
      <c r="AQ546" s="62">
        <f ca="1"/>
        <v>1.1361925756287674</v>
      </c>
      <c r="AR546" s="62">
        <f ca="1"/>
        <v>0.75984277943942768</v>
      </c>
    </row>
    <row r="547" spans="25:44" x14ac:dyDescent="0.15">
      <c r="Y547" s="8">
        <f t="shared" si="36"/>
        <v>544</v>
      </c>
      <c r="Z547" s="61">
        <f t="shared" ca="1" si="34"/>
        <v>0.18649496601113144</v>
      </c>
      <c r="AA547" s="61">
        <f t="shared" ca="1" si="34"/>
        <v>-0.36938004211161812</v>
      </c>
      <c r="AB547" s="61">
        <f t="shared" ca="1" si="34"/>
        <v>-8.795754123144503E-2</v>
      </c>
      <c r="AC547" s="61">
        <f t="shared" ca="1" si="34"/>
        <v>1.5456489162699496</v>
      </c>
      <c r="AD547" s="37"/>
      <c r="AE547" s="62">
        <f t="array" aca="1" ref="AE547:AH547" ca="1">TRANSPOSE($B$9:$B$12 + MMULT($D$9:$G$12,TRANSPOSE(AO547:AR547)) + MMULT($N$9:$Q$12, TRANSPOSE(Z547:AC547)))</f>
        <v>1.0103459324198381</v>
      </c>
      <c r="AF547" s="62">
        <f ca="1"/>
        <v>0.42186447084231576</v>
      </c>
      <c r="AG547" s="62">
        <f ca="1"/>
        <v>1.1224477121283307</v>
      </c>
      <c r="AH547" s="62">
        <f ca="1"/>
        <v>1.1611179652122621</v>
      </c>
      <c r="AI547" s="37"/>
      <c r="AJ547" s="61">
        <f t="shared" ca="1" si="35"/>
        <v>-4.7596580446622547E-3</v>
      </c>
      <c r="AK547" s="61">
        <f t="shared" ca="1" si="35"/>
        <v>-1.4540809631342064</v>
      </c>
      <c r="AL547" s="61">
        <f t="shared" ca="1" si="35"/>
        <v>-0.94913857075798791</v>
      </c>
      <c r="AM547" s="61">
        <f t="shared" ca="1" si="35"/>
        <v>-0.27763879113948742</v>
      </c>
      <c r="AN547" s="37"/>
      <c r="AO547" s="62">
        <f t="array" aca="1" ref="AO547:AR547" ca="1">TRANSPOSE($B$17:$B$20 + MMULT($D$17:$G$20,TRANSPOSE(AO546:AR546)) + MMULT($N$17:$Q$20,TRANSPOSE(AJ547:AM547)))</f>
        <v>0.76693261121469458</v>
      </c>
      <c r="AP547" s="62">
        <f ca="1"/>
        <v>0.1922575858371729</v>
      </c>
      <c r="AQ547" s="62">
        <f ca="1"/>
        <v>0.69144026641628831</v>
      </c>
      <c r="AR547" s="62">
        <f ca="1"/>
        <v>1.0818642230096172</v>
      </c>
    </row>
    <row r="548" spans="25:44" x14ac:dyDescent="0.15">
      <c r="Y548" s="8">
        <f t="shared" si="36"/>
        <v>545</v>
      </c>
      <c r="Z548" s="61">
        <f t="shared" ca="1" si="34"/>
        <v>0.33279798315241449</v>
      </c>
      <c r="AA548" s="61">
        <f t="shared" ca="1" si="34"/>
        <v>0.41865203859937483</v>
      </c>
      <c r="AB548" s="61">
        <f t="shared" ca="1" si="34"/>
        <v>1.8410577650329001</v>
      </c>
      <c r="AC548" s="61">
        <f t="shared" ca="1" si="34"/>
        <v>0.67519153640229135</v>
      </c>
      <c r="AD548" s="37"/>
      <c r="AE548" s="62">
        <f t="array" aca="1" ref="AE548:AH548" ca="1">TRANSPOSE($B$9:$B$12 + MMULT($D$9:$G$12,TRANSPOSE(AO548:AR548)) + MMULT($N$9:$Q$12, TRANSPOSE(Z548:AC548)))</f>
        <v>0.79574787127120228</v>
      </c>
      <c r="AF548" s="62">
        <f ca="1"/>
        <v>1.3288202503540871</v>
      </c>
      <c r="AG548" s="62">
        <f ca="1"/>
        <v>1.1228380332104071</v>
      </c>
      <c r="AH548" s="62">
        <f ca="1"/>
        <v>0.88706978179315077</v>
      </c>
      <c r="AI548" s="37"/>
      <c r="AJ548" s="61">
        <f t="shared" ca="1" si="35"/>
        <v>-0.57382145571720666</v>
      </c>
      <c r="AK548" s="61">
        <f t="shared" ca="1" si="35"/>
        <v>1.0911652047955058</v>
      </c>
      <c r="AL548" s="61">
        <f t="shared" ca="1" si="35"/>
        <v>0.42651455310621822</v>
      </c>
      <c r="AM548" s="61">
        <f t="shared" ca="1" si="35"/>
        <v>0.41801726447260695</v>
      </c>
      <c r="AN548" s="37"/>
      <c r="AO548" s="62">
        <f t="array" aca="1" ref="AO548:AR548" ca="1">TRANSPOSE($B$17:$B$20 + MMULT($D$17:$G$20,TRANSPOSE(AO547:AR547)) + MMULT($N$17:$Q$20,TRANSPOSE(AJ548:AM548)))</f>
        <v>0.44981806869318408</v>
      </c>
      <c r="AP548" s="62">
        <f ca="1"/>
        <v>1.0228423836503022</v>
      </c>
      <c r="AQ548" s="62">
        <f ca="1"/>
        <v>0.49733635213334704</v>
      </c>
      <c r="AR548" s="62">
        <f ca="1"/>
        <v>0.66101628899732334</v>
      </c>
    </row>
    <row r="549" spans="25:44" x14ac:dyDescent="0.15">
      <c r="Y549" s="8">
        <f t="shared" si="36"/>
        <v>546</v>
      </c>
      <c r="Z549" s="61">
        <f t="shared" ca="1" si="34"/>
        <v>0.22865816678524684</v>
      </c>
      <c r="AA549" s="61">
        <f t="shared" ca="1" si="34"/>
        <v>0.41596518221866202</v>
      </c>
      <c r="AB549" s="61">
        <f t="shared" ca="1" si="34"/>
        <v>0.28758090963502475</v>
      </c>
      <c r="AC549" s="61">
        <f t="shared" ca="1" si="34"/>
        <v>-1.2959286310053004</v>
      </c>
      <c r="AD549" s="37"/>
      <c r="AE549" s="62">
        <f t="array" aca="1" ref="AE549:AH549" ca="1">TRANSPOSE($B$9:$B$12 + MMULT($D$9:$G$12,TRANSPOSE(AO549:AR549)) + MMULT($N$9:$Q$12, TRANSPOSE(Z549:AC549)))</f>
        <v>1.3941599796628059</v>
      </c>
      <c r="AF549" s="62">
        <f ca="1"/>
        <v>0.92848851740781957</v>
      </c>
      <c r="AG549" s="62">
        <f ca="1"/>
        <v>0.76940860401941435</v>
      </c>
      <c r="AH549" s="62">
        <f ca="1"/>
        <v>0.49058033985876581</v>
      </c>
      <c r="AI549" s="37"/>
      <c r="AJ549" s="61">
        <f t="shared" ca="1" si="35"/>
        <v>1.0196954080020488</v>
      </c>
      <c r="AK549" s="61">
        <f t="shared" ca="1" si="35"/>
        <v>-0.20773811005533838</v>
      </c>
      <c r="AL549" s="61">
        <f t="shared" ca="1" si="35"/>
        <v>2.9340934219013955E-2</v>
      </c>
      <c r="AM549" s="61">
        <f t="shared" ca="1" si="35"/>
        <v>-1.1018854357850125</v>
      </c>
      <c r="AN549" s="37"/>
      <c r="AO549" s="62">
        <f t="array" aca="1" ref="AO549:AR549" ca="1">TRANSPOSE($B$17:$B$20 + MMULT($D$17:$G$20,TRANSPOSE(AO548:AR548)) + MMULT($N$17:$Q$20,TRANSPOSE(AJ549:AM549)))</f>
        <v>0.91381554118763741</v>
      </c>
      <c r="AP549" s="62">
        <f ca="1"/>
        <v>0.52922452833015254</v>
      </c>
      <c r="AQ549" s="62">
        <f ca="1"/>
        <v>0.91228559622579652</v>
      </c>
      <c r="AR549" s="62">
        <f ca="1"/>
        <v>0.5937271863400907</v>
      </c>
    </row>
    <row r="550" spans="25:44" x14ac:dyDescent="0.15">
      <c r="Y550" s="8">
        <f t="shared" si="36"/>
        <v>547</v>
      </c>
      <c r="Z550" s="61">
        <f t="shared" ca="1" si="34"/>
        <v>1.3664171380732664</v>
      </c>
      <c r="AA550" s="61">
        <f t="shared" ca="1" si="34"/>
        <v>0.65142116222123292</v>
      </c>
      <c r="AB550" s="61">
        <f t="shared" ca="1" si="34"/>
        <v>0.72199080817309691</v>
      </c>
      <c r="AC550" s="61">
        <f t="shared" ca="1" si="34"/>
        <v>-1.1096878020137408</v>
      </c>
      <c r="AD550" s="37"/>
      <c r="AE550" s="62">
        <f t="array" aca="1" ref="AE550:AH550" ca="1">TRANSPOSE($B$9:$B$12 + MMULT($D$9:$G$12,TRANSPOSE(AO550:AR550)) + MMULT($N$9:$Q$12, TRANSPOSE(Z550:AC550)))</f>
        <v>1.1826692874454316</v>
      </c>
      <c r="AF550" s="62">
        <f ca="1"/>
        <v>1.096568617804178</v>
      </c>
      <c r="AG550" s="62">
        <f ca="1"/>
        <v>0.44794583882376093</v>
      </c>
      <c r="AH550" s="62">
        <f ca="1"/>
        <v>0.51423935256699504</v>
      </c>
      <c r="AI550" s="37"/>
      <c r="AJ550" s="61">
        <f t="shared" ca="1" si="35"/>
        <v>-1.2657942555425856</v>
      </c>
      <c r="AK550" s="61">
        <f t="shared" ca="1" si="35"/>
        <v>-0.28575252625881009</v>
      </c>
      <c r="AL550" s="61">
        <f t="shared" ca="1" si="35"/>
        <v>1.3298613897017694E-3</v>
      </c>
      <c r="AM550" s="61">
        <f t="shared" ca="1" si="35"/>
        <v>-0.91182621826457511</v>
      </c>
      <c r="AN550" s="37"/>
      <c r="AO550" s="62">
        <f t="array" aca="1" ref="AO550:AR550" ca="1">TRANSPOSE($B$17:$B$20 + MMULT($D$17:$G$20,TRANSPOSE(AO549:AR549)) + MMULT($N$17:$Q$20,TRANSPOSE(AJ550:AM550)))</f>
        <v>0.28861419142086531</v>
      </c>
      <c r="AP550" s="62">
        <f ca="1"/>
        <v>0.51530899237972194</v>
      </c>
      <c r="AQ550" s="62">
        <f ca="1"/>
        <v>0.50134727214116448</v>
      </c>
      <c r="AR550" s="62">
        <f ca="1"/>
        <v>0.49135288689902795</v>
      </c>
    </row>
    <row r="551" spans="25:44" x14ac:dyDescent="0.15">
      <c r="Y551" s="8">
        <f t="shared" si="36"/>
        <v>548</v>
      </c>
      <c r="Z551" s="61">
        <f t="shared" ca="1" si="34"/>
        <v>0.54300929603358283</v>
      </c>
      <c r="AA551" s="61">
        <f t="shared" ca="1" si="34"/>
        <v>0.26563986745853385</v>
      </c>
      <c r="AB551" s="61">
        <f t="shared" ca="1" si="34"/>
        <v>0.75599650820034547</v>
      </c>
      <c r="AC551" s="61">
        <f t="shared" ca="1" si="34"/>
        <v>2.3184285005976952</v>
      </c>
      <c r="AD551" s="37"/>
      <c r="AE551" s="62">
        <f t="array" aca="1" ref="AE551:AH551" ca="1">TRANSPOSE($B$9:$B$12 + MMULT($D$9:$G$12,TRANSPOSE(AO551:AR551)) + MMULT($N$9:$Q$12, TRANSPOSE(Z551:AC551)))</f>
        <v>1.1670171147403945</v>
      </c>
      <c r="AF551" s="62">
        <f ca="1"/>
        <v>0.83954859459408115</v>
      </c>
      <c r="AG551" s="62">
        <f ca="1"/>
        <v>1.1078554434494765</v>
      </c>
      <c r="AH551" s="62">
        <f ca="1"/>
        <v>0.90175804241698865</v>
      </c>
      <c r="AI551" s="37"/>
      <c r="AJ551" s="61">
        <f t="shared" ca="1" si="35"/>
        <v>1.1188471280805323</v>
      </c>
      <c r="AK551" s="61">
        <f t="shared" ca="1" si="35"/>
        <v>-0.30296012220084628</v>
      </c>
      <c r="AL551" s="61">
        <f t="shared" ca="1" si="35"/>
        <v>-0.64733825203084006</v>
      </c>
      <c r="AM551" s="61">
        <f t="shared" ca="1" si="35"/>
        <v>5.4358361175415162E-2</v>
      </c>
      <c r="AN551" s="37"/>
      <c r="AO551" s="62">
        <f t="array" aca="1" ref="AO551:AR551" ca="1">TRANSPOSE($B$17:$B$20 + MMULT($D$17:$G$20,TRANSPOSE(AO550:AR550)) + MMULT($N$17:$Q$20,TRANSPOSE(AJ551:AM551)))</f>
        <v>0.86099593141485142</v>
      </c>
      <c r="AP551" s="62">
        <f ca="1"/>
        <v>0.27860338629328302</v>
      </c>
      <c r="AQ551" s="62">
        <f ca="1"/>
        <v>0.43595851993054285</v>
      </c>
      <c r="AR551" s="62">
        <f ca="1"/>
        <v>0.69504104895209873</v>
      </c>
    </row>
    <row r="552" spans="25:44" x14ac:dyDescent="0.15">
      <c r="Y552" s="8">
        <f t="shared" si="36"/>
        <v>549</v>
      </c>
      <c r="Z552" s="61">
        <f t="shared" ca="1" si="34"/>
        <v>-0.41478318682802573</v>
      </c>
      <c r="AA552" s="61">
        <f t="shared" ca="1" si="34"/>
        <v>-1.3779780122618643</v>
      </c>
      <c r="AB552" s="61">
        <f t="shared" ca="1" si="34"/>
        <v>-1.074315214312221</v>
      </c>
      <c r="AC552" s="61">
        <f t="shared" ca="1" si="34"/>
        <v>-0.30381234665366047</v>
      </c>
      <c r="AD552" s="37"/>
      <c r="AE552" s="62">
        <f t="array" aca="1" ref="AE552:AH552" ca="1">TRANSPOSE($B$9:$B$12 + MMULT($D$9:$G$12,TRANSPOSE(AO552:AR552)) + MMULT($N$9:$Q$12, TRANSPOSE(Z552:AC552)))</f>
        <v>0.82947577234585834</v>
      </c>
      <c r="AF552" s="62">
        <f ca="1"/>
        <v>-5.0858510363345766E-2</v>
      </c>
      <c r="AG552" s="62">
        <f ca="1"/>
        <v>0.29638457263410029</v>
      </c>
      <c r="AH552" s="62">
        <f ca="1"/>
        <v>0.78864963298496171</v>
      </c>
      <c r="AI552" s="37"/>
      <c r="AJ552" s="61">
        <f t="shared" ca="1" si="35"/>
        <v>7.0829471180108489E-2</v>
      </c>
      <c r="AK552" s="61">
        <f t="shared" ca="1" si="35"/>
        <v>-0.32191847830040904</v>
      </c>
      <c r="AL552" s="61">
        <f t="shared" ca="1" si="35"/>
        <v>0.466001680473004</v>
      </c>
      <c r="AM552" s="61">
        <f t="shared" ca="1" si="35"/>
        <v>-0.50262768644641287</v>
      </c>
      <c r="AN552" s="37"/>
      <c r="AO552" s="62">
        <f t="array" aca="1" ref="AO552:AR552" ca="1">TRANSPOSE($B$17:$B$20 + MMULT($D$17:$G$20,TRANSPOSE(AO551:AR551)) + MMULT($N$17:$Q$20,TRANSPOSE(AJ552:AM552)))</f>
        <v>0.64100555120923508</v>
      </c>
      <c r="AP552" s="62">
        <f ca="1"/>
        <v>0.41405428342747902</v>
      </c>
      <c r="AQ552" s="62">
        <f ca="1"/>
        <v>0.74369203681181251</v>
      </c>
      <c r="AR552" s="62">
        <f ca="1"/>
        <v>0.60830346593331763</v>
      </c>
    </row>
    <row r="553" spans="25:44" x14ac:dyDescent="0.15">
      <c r="Y553" s="8">
        <f t="shared" si="36"/>
        <v>550</v>
      </c>
      <c r="Z553" s="61">
        <f t="shared" ca="1" si="34"/>
        <v>1.0039342716349031</v>
      </c>
      <c r="AA553" s="61">
        <f t="shared" ca="1" si="34"/>
        <v>-0.67466433735421616</v>
      </c>
      <c r="AB553" s="61">
        <f t="shared" ca="1" si="34"/>
        <v>-0.24011370267104848</v>
      </c>
      <c r="AC553" s="61">
        <f t="shared" ca="1" si="34"/>
        <v>1.4353152026077038</v>
      </c>
      <c r="AD553" s="37"/>
      <c r="AE553" s="62">
        <f t="array" aca="1" ref="AE553:AH553" ca="1">TRANSPOSE($B$9:$B$12 + MMULT($D$9:$G$12,TRANSPOSE(AO553:AR553)) + MMULT($N$9:$Q$12, TRANSPOSE(Z553:AC553)))</f>
        <v>1.8922044025608775</v>
      </c>
      <c r="AF553" s="62">
        <f ca="1"/>
        <v>0.88041981478004472</v>
      </c>
      <c r="AG553" s="62">
        <f ca="1"/>
        <v>0.41734063147796746</v>
      </c>
      <c r="AH553" s="62">
        <f ca="1"/>
        <v>1.368496853882148</v>
      </c>
      <c r="AI553" s="37"/>
      <c r="AJ553" s="61">
        <f t="shared" ca="1" si="35"/>
        <v>1.3200869406656126</v>
      </c>
      <c r="AK553" s="61">
        <f t="shared" ca="1" si="35"/>
        <v>0.50037145247736003</v>
      </c>
      <c r="AL553" s="61">
        <f t="shared" ca="1" si="35"/>
        <v>0.74391342675137651</v>
      </c>
      <c r="AM553" s="61">
        <f t="shared" ca="1" si="35"/>
        <v>-0.66368421204624506</v>
      </c>
      <c r="AN553" s="37"/>
      <c r="AO553" s="62">
        <f t="array" aca="1" ref="AO553:AR553" ca="1">TRANSPOSE($B$17:$B$20 + MMULT($D$17:$G$20,TRANSPOSE(AO552:AR552)) + MMULT($N$17:$Q$20,TRANSPOSE(AJ553:AM553)))</f>
        <v>1.0550722206744452</v>
      </c>
      <c r="AP553" s="62">
        <f ca="1"/>
        <v>0.746438423534173</v>
      </c>
      <c r="AQ553" s="62">
        <f ca="1"/>
        <v>1.0847037796254484</v>
      </c>
      <c r="AR553" s="62">
        <f ca="1"/>
        <v>0.66243191400323065</v>
      </c>
    </row>
    <row r="554" spans="25:44" x14ac:dyDescent="0.15">
      <c r="Y554" s="8">
        <f t="shared" si="36"/>
        <v>551</v>
      </c>
      <c r="Z554" s="61">
        <f t="shared" ca="1" si="34"/>
        <v>0.76840463282625548</v>
      </c>
      <c r="AA554" s="61">
        <f t="shared" ca="1" si="34"/>
        <v>-0.32386132065483003</v>
      </c>
      <c r="AB554" s="61">
        <f t="shared" ca="1" si="34"/>
        <v>0.65179975730988038</v>
      </c>
      <c r="AC554" s="61">
        <f t="shared" ca="1" si="34"/>
        <v>-0.44886079290629566</v>
      </c>
      <c r="AD554" s="37"/>
      <c r="AE554" s="62">
        <f t="array" aca="1" ref="AE554:AH554" ca="1">TRANSPOSE($B$9:$B$12 + MMULT($D$9:$G$12,TRANSPOSE(AO554:AR554)) + MMULT($N$9:$Q$12, TRANSPOSE(Z554:AC554)))</f>
        <v>1.5321037650429314</v>
      </c>
      <c r="AF554" s="62">
        <f ca="1"/>
        <v>0.78063286575910151</v>
      </c>
      <c r="AG554" s="62">
        <f ca="1"/>
        <v>1.6345126781607766</v>
      </c>
      <c r="AH554" s="62">
        <f ca="1"/>
        <v>0.92693096472297254</v>
      </c>
      <c r="AI554" s="37"/>
      <c r="AJ554" s="61">
        <f t="shared" ca="1" si="35"/>
        <v>0.84652397556446257</v>
      </c>
      <c r="AK554" s="61">
        <f t="shared" ca="1" si="35"/>
        <v>-1.1309322104829684</v>
      </c>
      <c r="AL554" s="61">
        <f t="shared" ca="1" si="35"/>
        <v>-0.43258070343346966</v>
      </c>
      <c r="AM554" s="61">
        <f t="shared" ca="1" si="35"/>
        <v>1.0510996023970189</v>
      </c>
      <c r="AN554" s="37"/>
      <c r="AO554" s="62">
        <f t="array" aca="1" ref="AO554:AR554" ca="1">TRANSPOSE($B$17:$B$20 + MMULT($D$17:$G$20,TRANSPOSE(AO553:AR553)) + MMULT($N$17:$Q$20,TRANSPOSE(AJ554:AM554)))</f>
        <v>1.0808818317005509</v>
      </c>
      <c r="AP554" s="62">
        <f ca="1"/>
        <v>0.31212998755972909</v>
      </c>
      <c r="AQ554" s="62">
        <f ca="1"/>
        <v>0.93367083789598371</v>
      </c>
      <c r="AR554" s="62">
        <f ca="1"/>
        <v>1.3966035147701561</v>
      </c>
    </row>
    <row r="555" spans="25:44" x14ac:dyDescent="0.15">
      <c r="Y555" s="8">
        <f t="shared" si="36"/>
        <v>552</v>
      </c>
      <c r="Z555" s="61">
        <f t="shared" ca="1" si="34"/>
        <v>1.0840991045845103</v>
      </c>
      <c r="AA555" s="61">
        <f t="shared" ca="1" si="34"/>
        <v>1.028647536724558</v>
      </c>
      <c r="AB555" s="61">
        <f t="shared" ca="1" si="34"/>
        <v>0.10897891219337624</v>
      </c>
      <c r="AC555" s="61">
        <f t="shared" ca="1" si="34"/>
        <v>2.1241477964424886</v>
      </c>
      <c r="AD555" s="37"/>
      <c r="AE555" s="62">
        <f t="array" aca="1" ref="AE555:AH555" ca="1">TRANSPOSE($B$9:$B$12 + MMULT($D$9:$G$12,TRANSPOSE(AO555:AR555)) + MMULT($N$9:$Q$12, TRANSPOSE(Z555:AC555)))</f>
        <v>1.770630447775273</v>
      </c>
      <c r="AF555" s="62">
        <f ca="1"/>
        <v>2.1811069052785372</v>
      </c>
      <c r="AG555" s="62">
        <f ca="1"/>
        <v>0.96045286745244474</v>
      </c>
      <c r="AH555" s="62">
        <f ca="1"/>
        <v>1.8200795016123168</v>
      </c>
      <c r="AI555" s="37"/>
      <c r="AJ555" s="61">
        <f t="shared" ca="1" si="35"/>
        <v>1.1356129378057787</v>
      </c>
      <c r="AK555" s="61">
        <f t="shared" ca="1" si="35"/>
        <v>1.1282570254196924</v>
      </c>
      <c r="AL555" s="61">
        <f t="shared" ca="1" si="35"/>
        <v>0.6235660252265286</v>
      </c>
      <c r="AM555" s="61">
        <f t="shared" ca="1" si="35"/>
        <v>1.6637754422067474</v>
      </c>
      <c r="AN555" s="37"/>
      <c r="AO555" s="62">
        <f t="array" aca="1" ref="AO555:AR555" ca="1">TRANSPOSE($B$17:$B$20 + MMULT($D$17:$G$20,TRANSPOSE(AO554:AR554)) + MMULT($N$17:$Q$20,TRANSPOSE(AJ555:AM555)))</f>
        <v>1.1668652602055982</v>
      </c>
      <c r="AP555" s="62">
        <f ca="1"/>
        <v>1.2605585237395802</v>
      </c>
      <c r="AQ555" s="62">
        <f ca="1"/>
        <v>1.0624017755732493</v>
      </c>
      <c r="AR555" s="62">
        <f ca="1"/>
        <v>1.3409870656542995</v>
      </c>
    </row>
    <row r="556" spans="25:44" x14ac:dyDescent="0.15">
      <c r="Y556" s="8">
        <f t="shared" si="36"/>
        <v>553</v>
      </c>
      <c r="Z556" s="61">
        <f t="shared" ca="1" si="34"/>
        <v>1.8052719981916229E-4</v>
      </c>
      <c r="AA556" s="61">
        <f t="shared" ca="1" si="34"/>
        <v>-1.4643333401297292</v>
      </c>
      <c r="AB556" s="61">
        <f t="shared" ca="1" si="34"/>
        <v>0.33599617173933533</v>
      </c>
      <c r="AC556" s="61">
        <f t="shared" ca="1" si="34"/>
        <v>0.10446845333666503</v>
      </c>
      <c r="AD556" s="37"/>
      <c r="AE556" s="62">
        <f t="array" aca="1" ref="AE556:AH556" ca="1">TRANSPOSE($B$9:$B$12 + MMULT($D$9:$G$12,TRANSPOSE(AO556:AR556)) + MMULT($N$9:$Q$12, TRANSPOSE(Z556:AC556)))</f>
        <v>1.9720958692708552</v>
      </c>
      <c r="AF556" s="62">
        <f ca="1"/>
        <v>0.69155089992764518</v>
      </c>
      <c r="AG556" s="62">
        <f ca="1"/>
        <v>2.1115475336327627</v>
      </c>
      <c r="AH556" s="62">
        <f ca="1"/>
        <v>1.4727620156210819</v>
      </c>
      <c r="AI556" s="37"/>
      <c r="AJ556" s="61">
        <f t="shared" ca="1" si="35"/>
        <v>2.686493557424074</v>
      </c>
      <c r="AK556" s="61">
        <f t="shared" ca="1" si="35"/>
        <v>-0.97375983589976234</v>
      </c>
      <c r="AL556" s="61">
        <f t="shared" ca="1" si="35"/>
        <v>-0.27904001905158832</v>
      </c>
      <c r="AM556" s="61">
        <f t="shared" ca="1" si="35"/>
        <v>1.1618494997564972</v>
      </c>
      <c r="AN556" s="37"/>
      <c r="AO556" s="62">
        <f t="array" aca="1" ref="AO556:AR556" ca="1">TRANSPOSE($B$17:$B$20 + MMULT($D$17:$G$20,TRANSPOSE(AO555:AR555)) + MMULT($N$17:$Q$20,TRANSPOSE(AJ556:AM556)))</f>
        <v>1.7957799069842522</v>
      </c>
      <c r="AP556" s="62">
        <f ca="1"/>
        <v>0.67186683793384228</v>
      </c>
      <c r="AQ556" s="62">
        <f ca="1"/>
        <v>1.5490165481579334</v>
      </c>
      <c r="AR556" s="62">
        <f ca="1"/>
        <v>1.8473265566477599</v>
      </c>
    </row>
    <row r="557" spans="25:44" x14ac:dyDescent="0.15">
      <c r="Y557" s="8">
        <f t="shared" si="36"/>
        <v>554</v>
      </c>
      <c r="Z557" s="61">
        <f t="shared" ca="1" si="34"/>
        <v>-0.45898183944393089</v>
      </c>
      <c r="AA557" s="61">
        <f t="shared" ca="1" si="34"/>
        <v>-2.5292333106453042</v>
      </c>
      <c r="AB557" s="61">
        <f t="shared" ca="1" si="34"/>
        <v>3.7349318951439697E-2</v>
      </c>
      <c r="AC557" s="61">
        <f t="shared" ca="1" si="34"/>
        <v>-0.28442064413383294</v>
      </c>
      <c r="AD557" s="37"/>
      <c r="AE557" s="62">
        <f t="array" aca="1" ref="AE557:AH557" ca="1">TRANSPOSE($B$9:$B$12 + MMULT($D$9:$G$12,TRANSPOSE(AO557:AR557)) + MMULT($N$9:$Q$12, TRANSPOSE(Z557:AC557)))</f>
        <v>0.93597379963468708</v>
      </c>
      <c r="AF557" s="62">
        <f ca="1"/>
        <v>-0.37906798746506842</v>
      </c>
      <c r="AG557" s="62">
        <f ca="1"/>
        <v>1.4654064756621656</v>
      </c>
      <c r="AH557" s="62">
        <f ca="1"/>
        <v>1.4307443399069124</v>
      </c>
      <c r="AI557" s="37"/>
      <c r="AJ557" s="61">
        <f t="shared" ca="1" si="35"/>
        <v>-1.114595980034828</v>
      </c>
      <c r="AK557" s="61">
        <f t="shared" ca="1" si="35"/>
        <v>-1.7583090638241998</v>
      </c>
      <c r="AL557" s="61">
        <f t="shared" ca="1" si="35"/>
        <v>0.20628690423167442</v>
      </c>
      <c r="AM557" s="61">
        <f t="shared" ca="1" si="35"/>
        <v>-0.65255412504964583</v>
      </c>
      <c r="AN557" s="37"/>
      <c r="AO557" s="62">
        <f t="array" aca="1" ref="AO557:AR557" ca="1">TRANSPOSE($B$17:$B$20 + MMULT($D$17:$G$20,TRANSPOSE(AO556:AR556)) + MMULT($N$17:$Q$20,TRANSPOSE(AJ557:AM557)))</f>
        <v>0.73512655960273199</v>
      </c>
      <c r="AP557" s="62">
        <f ca="1"/>
        <v>0.46242296151879769</v>
      </c>
      <c r="AQ557" s="62">
        <f ca="1"/>
        <v>1.2250883917307678</v>
      </c>
      <c r="AR557" s="62">
        <f ca="1"/>
        <v>1.4741603262197751</v>
      </c>
    </row>
    <row r="558" spans="25:44" x14ac:dyDescent="0.15">
      <c r="Y558" s="8">
        <f t="shared" si="36"/>
        <v>555</v>
      </c>
      <c r="Z558" s="61">
        <f t="shared" ca="1" si="34"/>
        <v>-0.1365185760749193</v>
      </c>
      <c r="AA558" s="61">
        <f t="shared" ca="1" si="34"/>
        <v>2.07932738167356</v>
      </c>
      <c r="AB558" s="61">
        <f t="shared" ca="1" si="34"/>
        <v>0.2219307815677404</v>
      </c>
      <c r="AC558" s="61">
        <f t="shared" ca="1" si="34"/>
        <v>0.69316455097790808</v>
      </c>
      <c r="AD558" s="37"/>
      <c r="AE558" s="62">
        <f t="array" aca="1" ref="AE558:AH558" ca="1">TRANSPOSE($B$9:$B$12 + MMULT($D$9:$G$12,TRANSPOSE(AO558:AR558)) + MMULT($N$9:$Q$12, TRANSPOSE(Z558:AC558)))</f>
        <v>1.2307444339414093</v>
      </c>
      <c r="AF558" s="62">
        <f ca="1"/>
        <v>1.7862463627213603</v>
      </c>
      <c r="AG558" s="62">
        <f ca="1"/>
        <v>1.5308011346090471</v>
      </c>
      <c r="AH558" s="62">
        <f ca="1"/>
        <v>1.0094171877348121</v>
      </c>
      <c r="AI558" s="37"/>
      <c r="AJ558" s="61">
        <f t="shared" ca="1" si="35"/>
        <v>1.3739968170858423</v>
      </c>
      <c r="AK558" s="61">
        <f t="shared" ca="1" si="35"/>
        <v>-0.4262856661580095</v>
      </c>
      <c r="AL558" s="61">
        <f t="shared" ca="1" si="35"/>
        <v>-0.463076989705481</v>
      </c>
      <c r="AM558" s="61">
        <f t="shared" ca="1" si="35"/>
        <v>0.27795611737965376</v>
      </c>
      <c r="AN558" s="37"/>
      <c r="AO558" s="62">
        <f t="array" aca="1" ref="AO558:AR558" ca="1">TRANSPOSE($B$17:$B$20 + MMULT($D$17:$G$20,TRANSPOSE(AO557:AR557)) + MMULT($N$17:$Q$20,TRANSPOSE(AJ558:AM558)))</f>
        <v>1.2144601846426801</v>
      </c>
      <c r="AP558" s="62">
        <f ca="1"/>
        <v>0.5638546764927328</v>
      </c>
      <c r="AQ558" s="62">
        <f ca="1"/>
        <v>0.88598097795146735</v>
      </c>
      <c r="AR558" s="62">
        <f ca="1"/>
        <v>1.331857657690692</v>
      </c>
    </row>
    <row r="559" spans="25:44" x14ac:dyDescent="0.15">
      <c r="Y559" s="8">
        <f t="shared" si="36"/>
        <v>556</v>
      </c>
      <c r="Z559" s="61">
        <f t="shared" ca="1" si="34"/>
        <v>-2.3409755693222967</v>
      </c>
      <c r="AA559" s="61">
        <f t="shared" ca="1" si="34"/>
        <v>-1.4180302875565867</v>
      </c>
      <c r="AB559" s="61">
        <f t="shared" ca="1" si="34"/>
        <v>1.1801553845897408</v>
      </c>
      <c r="AC559" s="61">
        <f t="shared" ca="1" si="34"/>
        <v>0.25534324829821364</v>
      </c>
      <c r="AD559" s="37"/>
      <c r="AE559" s="62">
        <f t="array" aca="1" ref="AE559:AH559" ca="1">TRANSPOSE($B$9:$B$12 + MMULT($D$9:$G$12,TRANSPOSE(AO559:AR559)) + MMULT($N$9:$Q$12, TRANSPOSE(Z559:AC559)))</f>
        <v>0.66690510216527443</v>
      </c>
      <c r="AF559" s="62">
        <f ca="1"/>
        <v>-0.50611817481340549</v>
      </c>
      <c r="AG559" s="62">
        <f ca="1"/>
        <v>2.5613680419719937</v>
      </c>
      <c r="AH559" s="62">
        <f ca="1"/>
        <v>1.3324088947637411</v>
      </c>
      <c r="AI559" s="37"/>
      <c r="AJ559" s="61">
        <f t="shared" ca="1" si="35"/>
        <v>0.83819900196583197</v>
      </c>
      <c r="AK559" s="61">
        <f t="shared" ca="1" si="35"/>
        <v>-1.5868637331814448</v>
      </c>
      <c r="AL559" s="61">
        <f t="shared" ca="1" si="35"/>
        <v>1.065875700496888</v>
      </c>
      <c r="AM559" s="61">
        <f t="shared" ca="1" si="35"/>
        <v>0.23749014349544631</v>
      </c>
      <c r="AN559" s="37"/>
      <c r="AO559" s="62">
        <f t="array" aca="1" ref="AO559:AR559" ca="1">TRANSPOSE($B$17:$B$20 + MMULT($D$17:$G$20,TRANSPOSE(AO558:AR558)) + MMULT($N$17:$Q$20,TRANSPOSE(AJ559:AM559)))</f>
        <v>1.1095594203007397</v>
      </c>
      <c r="AP559" s="62">
        <f ca="1"/>
        <v>0.21077748553722897</v>
      </c>
      <c r="AQ559" s="62">
        <f ca="1"/>
        <v>1.6063021598564193</v>
      </c>
      <c r="AR559" s="62">
        <f ca="1"/>
        <v>1.5438208643049982</v>
      </c>
    </row>
    <row r="560" spans="25:44" x14ac:dyDescent="0.15">
      <c r="Y560" s="8">
        <f t="shared" si="36"/>
        <v>557</v>
      </c>
      <c r="Z560" s="61">
        <f t="shared" ca="1" si="34"/>
        <v>-0.11294585928685327</v>
      </c>
      <c r="AA560" s="61">
        <f t="shared" ca="1" si="34"/>
        <v>-0.54226101097915347</v>
      </c>
      <c r="AB560" s="61">
        <f t="shared" ca="1" si="34"/>
        <v>-4.5628806425118837E-2</v>
      </c>
      <c r="AC560" s="61">
        <f t="shared" ca="1" si="34"/>
        <v>-0.30634826242217628</v>
      </c>
      <c r="AD560" s="37"/>
      <c r="AE560" s="62">
        <f t="array" aca="1" ref="AE560:AH560" ca="1">TRANSPOSE($B$9:$B$12 + MMULT($D$9:$G$12,TRANSPOSE(AO560:AR560)) + MMULT($N$9:$Q$12, TRANSPOSE(Z560:AC560)))</f>
        <v>0.9701734013622294</v>
      </c>
      <c r="AF560" s="62">
        <f ca="1"/>
        <v>0.98677592014216486</v>
      </c>
      <c r="AG560" s="62">
        <f ca="1"/>
        <v>0.56881950184968788</v>
      </c>
      <c r="AH560" s="62">
        <f ca="1"/>
        <v>0.75750280016758476</v>
      </c>
      <c r="AI560" s="37"/>
      <c r="AJ560" s="61">
        <f t="shared" ca="1" si="35"/>
        <v>-0.17181702639333862</v>
      </c>
      <c r="AK560" s="61">
        <f t="shared" ca="1" si="35"/>
        <v>0.50464264269092896</v>
      </c>
      <c r="AL560" s="61">
        <f t="shared" ca="1" si="35"/>
        <v>-0.32497873320960102</v>
      </c>
      <c r="AM560" s="61">
        <f t="shared" ca="1" si="35"/>
        <v>-1.6940677740246481</v>
      </c>
      <c r="AN560" s="37"/>
      <c r="AO560" s="62">
        <f t="array" aca="1" ref="AO560:AR560" ca="1">TRANSPOSE($B$17:$B$20 + MMULT($D$17:$G$20,TRANSPOSE(AO559:AR559)) + MMULT($N$17:$Q$20,TRANSPOSE(AJ560:AM560)))</f>
        <v>0.83380335543682782</v>
      </c>
      <c r="AP560" s="62">
        <f ca="1"/>
        <v>1.0350301630545178</v>
      </c>
      <c r="AQ560" s="62">
        <f ca="1"/>
        <v>0.63475057461445583</v>
      </c>
      <c r="AR560" s="62">
        <f ca="1"/>
        <v>0.67493422620556165</v>
      </c>
    </row>
    <row r="561" spans="25:44" x14ac:dyDescent="0.15">
      <c r="Y561" s="8">
        <f t="shared" si="36"/>
        <v>558</v>
      </c>
      <c r="Z561" s="61">
        <f t="shared" ca="1" si="34"/>
        <v>0.89414199622837309</v>
      </c>
      <c r="AA561" s="61">
        <f t="shared" ca="1" si="34"/>
        <v>0.17691305551149175</v>
      </c>
      <c r="AB561" s="61">
        <f t="shared" ca="1" si="34"/>
        <v>2.4988260339833635E-2</v>
      </c>
      <c r="AC561" s="61">
        <f t="shared" ca="1" si="34"/>
        <v>0.29173412616125938</v>
      </c>
      <c r="AD561" s="37"/>
      <c r="AE561" s="62">
        <f t="array" aca="1" ref="AE561:AH561" ca="1">TRANSPOSE($B$9:$B$12 + MMULT($D$9:$G$12,TRANSPOSE(AO561:AR561)) + MMULT($N$9:$Q$12, TRANSPOSE(Z561:AC561)))</f>
        <v>1.3699231279896948</v>
      </c>
      <c r="AF561" s="62">
        <f ca="1"/>
        <v>0.54361586026097841</v>
      </c>
      <c r="AG561" s="62">
        <f ca="1"/>
        <v>1.2626866866514284</v>
      </c>
      <c r="AH561" s="62">
        <f ca="1"/>
        <v>1.4080312521079419</v>
      </c>
      <c r="AI561" s="37"/>
      <c r="AJ561" s="61">
        <f t="shared" ca="1" si="35"/>
        <v>-0.27650328754025483</v>
      </c>
      <c r="AK561" s="61">
        <f t="shared" ca="1" si="35"/>
        <v>-1.6620740627237653</v>
      </c>
      <c r="AL561" s="61">
        <f t="shared" ca="1" si="35"/>
        <v>0.43795023072237282</v>
      </c>
      <c r="AM561" s="61">
        <f t="shared" ca="1" si="35"/>
        <v>1.2685957728663886</v>
      </c>
      <c r="AN561" s="37"/>
      <c r="AO561" s="62">
        <f t="array" aca="1" ref="AO561:AR561" ca="1">TRANSPOSE($B$17:$B$20 + MMULT($D$17:$G$20,TRANSPOSE(AO560:AR560)) + MMULT($N$17:$Q$20,TRANSPOSE(AJ561:AM561)))</f>
        <v>0.59981001336014761</v>
      </c>
      <c r="AP561" s="62">
        <f ca="1"/>
        <v>4.497102805306763E-2</v>
      </c>
      <c r="AQ561" s="62">
        <f ca="1"/>
        <v>1.1248509581760737</v>
      </c>
      <c r="AR561" s="62">
        <f ca="1"/>
        <v>1.4156959993332625</v>
      </c>
    </row>
    <row r="562" spans="25:44" x14ac:dyDescent="0.15">
      <c r="Y562" s="8">
        <f t="shared" si="36"/>
        <v>559</v>
      </c>
      <c r="Z562" s="61">
        <f t="shared" ca="1" si="34"/>
        <v>2.0618843995780725</v>
      </c>
      <c r="AA562" s="61">
        <f t="shared" ca="1" si="34"/>
        <v>2.2643671586358805</v>
      </c>
      <c r="AB562" s="61">
        <f t="shared" ca="1" si="34"/>
        <v>1.6810373746759804</v>
      </c>
      <c r="AC562" s="61">
        <f t="shared" ca="1" si="34"/>
        <v>-0.89891510722161361</v>
      </c>
      <c r="AD562" s="37"/>
      <c r="AE562" s="62">
        <f t="array" aca="1" ref="AE562:AH562" ca="1">TRANSPOSE($B$9:$B$12 + MMULT($D$9:$G$12,TRANSPOSE(AO562:AR562)) + MMULT($N$9:$Q$12, TRANSPOSE(Z562:AC562)))</f>
        <v>1.930234854266478</v>
      </c>
      <c r="AF562" s="62">
        <f ca="1"/>
        <v>1.9592290292424843</v>
      </c>
      <c r="AG562" s="62">
        <f ca="1"/>
        <v>1.3860984779761878</v>
      </c>
      <c r="AH562" s="62">
        <f ca="1"/>
        <v>0.9192299264631254</v>
      </c>
      <c r="AI562" s="37"/>
      <c r="AJ562" s="61">
        <f t="shared" ca="1" si="35"/>
        <v>0.15728777418192635</v>
      </c>
      <c r="AK562" s="61">
        <f t="shared" ca="1" si="35"/>
        <v>-0.25259273997997422</v>
      </c>
      <c r="AL562" s="61">
        <f t="shared" ca="1" si="35"/>
        <v>0.81473080780824625</v>
      </c>
      <c r="AM562" s="61">
        <f t="shared" ca="1" si="35"/>
        <v>-2.6370726804905927E-2</v>
      </c>
      <c r="AN562" s="37"/>
      <c r="AO562" s="62">
        <f t="array" aca="1" ref="AO562:AR562" ca="1">TRANSPOSE($B$17:$B$20 + MMULT($D$17:$G$20,TRANSPOSE(AO561:AR561)) + MMULT($N$17:$Q$20,TRANSPOSE(AJ562:AM562)))</f>
        <v>0.72196303517727722</v>
      </c>
      <c r="AP562" s="62">
        <f ca="1"/>
        <v>0.45155476171656644</v>
      </c>
      <c r="AQ562" s="62">
        <f ca="1"/>
        <v>1.0200244857444967</v>
      </c>
      <c r="AR562" s="62">
        <f ca="1"/>
        <v>1.1288732076121737</v>
      </c>
    </row>
    <row r="563" spans="25:44" x14ac:dyDescent="0.15">
      <c r="Y563" s="8">
        <f t="shared" si="36"/>
        <v>560</v>
      </c>
      <c r="Z563" s="61">
        <f t="shared" ca="1" si="34"/>
        <v>0.22077799863207834</v>
      </c>
      <c r="AA563" s="61">
        <f t="shared" ca="1" si="34"/>
        <v>1.3012944963650113</v>
      </c>
      <c r="AB563" s="61">
        <f t="shared" ca="1" si="34"/>
        <v>1.3331774597571058</v>
      </c>
      <c r="AC563" s="61">
        <f t="shared" ca="1" si="34"/>
        <v>-0.24631671693273141</v>
      </c>
      <c r="AD563" s="37"/>
      <c r="AE563" s="62">
        <f t="array" aca="1" ref="AE563:AH563" ca="1">TRANSPOSE($B$9:$B$12 + MMULT($D$9:$G$12,TRANSPOSE(AO563:AR563)) + MMULT($N$9:$Q$12, TRANSPOSE(Z563:AC563)))</f>
        <v>0.78368860591507072</v>
      </c>
      <c r="AF563" s="62">
        <f ca="1"/>
        <v>1.4284395044213496</v>
      </c>
      <c r="AG563" s="62">
        <f ca="1"/>
        <v>1.2939180929501006</v>
      </c>
      <c r="AH563" s="62">
        <f ca="1"/>
        <v>0.62216891098542604</v>
      </c>
      <c r="AI563" s="37"/>
      <c r="AJ563" s="61">
        <f t="shared" ca="1" si="35"/>
        <v>-0.40210703752342691</v>
      </c>
      <c r="AK563" s="61">
        <f t="shared" ca="1" si="35"/>
        <v>5.8192605187363265E-2</v>
      </c>
      <c r="AL563" s="61">
        <f t="shared" ca="1" si="35"/>
        <v>-0.31459745965737046</v>
      </c>
      <c r="AM563" s="61">
        <f t="shared" ca="1" si="35"/>
        <v>0.13076977238118553</v>
      </c>
      <c r="AN563" s="37"/>
      <c r="AO563" s="62">
        <f t="array" aca="1" ref="AO563:AR563" ca="1">TRANSPOSE($B$17:$B$20 + MMULT($D$17:$G$20,TRANSPOSE(AO562:AR562)) + MMULT($N$17:$Q$20,TRANSPOSE(AJ563:AM563)))</f>
        <v>0.565422165570998</v>
      </c>
      <c r="AP563" s="62">
        <f ca="1"/>
        <v>0.67294989398701299</v>
      </c>
      <c r="AQ563" s="62">
        <f ca="1"/>
        <v>0.49006523761089404</v>
      </c>
      <c r="AR563" s="62">
        <f ca="1"/>
        <v>0.8814501812316492</v>
      </c>
    </row>
    <row r="564" spans="25:44" x14ac:dyDescent="0.15">
      <c r="Y564" s="8">
        <f t="shared" si="36"/>
        <v>561</v>
      </c>
      <c r="Z564" s="61">
        <f t="shared" ca="1" si="34"/>
        <v>-1.1555086864151789</v>
      </c>
      <c r="AA564" s="61">
        <f t="shared" ca="1" si="34"/>
        <v>0.8752745940968123</v>
      </c>
      <c r="AB564" s="61">
        <f t="shared" ca="1" si="34"/>
        <v>0.96269477657809743</v>
      </c>
      <c r="AC564" s="61">
        <f t="shared" ca="1" si="34"/>
        <v>-2.3961615865558366</v>
      </c>
      <c r="AD564" s="37"/>
      <c r="AE564" s="62">
        <f t="array" aca="1" ref="AE564:AH564" ca="1">TRANSPOSE($B$9:$B$12 + MMULT($D$9:$G$12,TRANSPOSE(AO564:AR564)) + MMULT($N$9:$Q$12, TRANSPOSE(Z564:AC564)))</f>
        <v>-0.3984200074374894</v>
      </c>
      <c r="AF564" s="62">
        <f ca="1"/>
        <v>0.86764456483149621</v>
      </c>
      <c r="AG564" s="62">
        <f ca="1"/>
        <v>0.96829832545494743</v>
      </c>
      <c r="AH564" s="62">
        <f ca="1"/>
        <v>-0.4029599068482323</v>
      </c>
      <c r="AI564" s="37"/>
      <c r="AJ564" s="61">
        <f t="shared" ca="1" si="35"/>
        <v>-1.3249883081509883</v>
      </c>
      <c r="AK564" s="61">
        <f t="shared" ca="1" si="35"/>
        <v>0.12689509879411845</v>
      </c>
      <c r="AL564" s="61">
        <f t="shared" ca="1" si="35"/>
        <v>-1.2301293159622819</v>
      </c>
      <c r="AM564" s="61">
        <f t="shared" ca="1" si="35"/>
        <v>0.1351897604269082</v>
      </c>
      <c r="AN564" s="37"/>
      <c r="AO564" s="62">
        <f t="array" aca="1" ref="AO564:AR564" ca="1">TRANSPOSE($B$17:$B$20 + MMULT($D$17:$G$20,TRANSPOSE(AO563:AR563)) + MMULT($N$17:$Q$20,TRANSPOSE(AJ564:AM564)))</f>
        <v>0.13937286141789151</v>
      </c>
      <c r="AP564" s="62">
        <f ca="1"/>
        <v>0.62095744688039789</v>
      </c>
      <c r="AQ564" s="62">
        <f ca="1"/>
        <v>-0.19491713885595163</v>
      </c>
      <c r="AR564" s="62">
        <f ca="1"/>
        <v>0.45673279307919012</v>
      </c>
    </row>
    <row r="565" spans="25:44" x14ac:dyDescent="0.15">
      <c r="Y565" s="8">
        <f t="shared" si="36"/>
        <v>562</v>
      </c>
      <c r="Z565" s="61">
        <f t="shared" ca="1" si="34"/>
        <v>0.61473107222473777</v>
      </c>
      <c r="AA565" s="61">
        <f t="shared" ca="1" si="34"/>
        <v>-0.22897275109403559</v>
      </c>
      <c r="AB565" s="61">
        <f t="shared" ca="1" si="34"/>
        <v>0.9122834637221594</v>
      </c>
      <c r="AC565" s="61">
        <f t="shared" ca="1" si="34"/>
        <v>0.44768088699787029</v>
      </c>
      <c r="AD565" s="37"/>
      <c r="AE565" s="62">
        <f t="array" aca="1" ref="AE565:AH565" ca="1">TRANSPOSE($B$9:$B$12 + MMULT($D$9:$G$12,TRANSPOSE(AO565:AR565)) + MMULT($N$9:$Q$12, TRANSPOSE(Z565:AC565)))</f>
        <v>0.99691985421072904</v>
      </c>
      <c r="AF565" s="62">
        <f ca="1"/>
        <v>0.77631913668208674</v>
      </c>
      <c r="AG565" s="62">
        <f ca="1"/>
        <v>0.17932009768347484</v>
      </c>
      <c r="AH565" s="62">
        <f ca="1"/>
        <v>0.65899306447674744</v>
      </c>
      <c r="AI565" s="37"/>
      <c r="AJ565" s="61">
        <f t="shared" ca="1" si="35"/>
        <v>-0.10008116351868675</v>
      </c>
      <c r="AK565" s="61">
        <f t="shared" ca="1" si="35"/>
        <v>1.1657650422929018</v>
      </c>
      <c r="AL565" s="61">
        <f t="shared" ca="1" si="35"/>
        <v>0.71675042095738106</v>
      </c>
      <c r="AM565" s="61">
        <f t="shared" ca="1" si="35"/>
        <v>-0.76423696322330981</v>
      </c>
      <c r="AN565" s="37"/>
      <c r="AO565" s="62">
        <f t="array" aca="1" ref="AO565:AR565" ca="1">TRANSPOSE($B$17:$B$20 + MMULT($D$17:$G$20,TRANSPOSE(AO564:AR564)) + MMULT($N$17:$Q$20,TRANSPOSE(AJ565:AM565)))</f>
        <v>0.31456861374354084</v>
      </c>
      <c r="AP565" s="62">
        <f ca="1"/>
        <v>0.80456584925014352</v>
      </c>
      <c r="AQ565" s="62">
        <f ca="1"/>
        <v>0.47776836531567857</v>
      </c>
      <c r="AR565" s="62">
        <f ca="1"/>
        <v>1.763386229424857E-2</v>
      </c>
    </row>
    <row r="566" spans="25:44" x14ac:dyDescent="0.15">
      <c r="Y566" s="8">
        <f t="shared" si="36"/>
        <v>563</v>
      </c>
      <c r="Z566" s="61">
        <f t="shared" ca="1" si="34"/>
        <v>-0.60292927271601959</v>
      </c>
      <c r="AA566" s="61">
        <f t="shared" ca="1" si="34"/>
        <v>-2.9346536924005438E-2</v>
      </c>
      <c r="AB566" s="61">
        <f t="shared" ca="1" si="34"/>
        <v>-0.48970610543213883</v>
      </c>
      <c r="AC566" s="61">
        <f t="shared" ca="1" si="34"/>
        <v>-0.64717846907925725</v>
      </c>
      <c r="AD566" s="37"/>
      <c r="AE566" s="62">
        <f t="array" aca="1" ref="AE566:AH566" ca="1">TRANSPOSE($B$9:$B$12 + MMULT($D$9:$G$12,TRANSPOSE(AO566:AR566)) + MMULT($N$9:$Q$12, TRANSPOSE(Z566:AC566)))</f>
        <v>1.2051708547957927</v>
      </c>
      <c r="AF566" s="62">
        <f ca="1"/>
        <v>0.41582525679912574</v>
      </c>
      <c r="AG566" s="62">
        <f ca="1"/>
        <v>0.91749631648727192</v>
      </c>
      <c r="AH566" s="62">
        <f ca="1"/>
        <v>1.052173384985319</v>
      </c>
      <c r="AI566" s="37"/>
      <c r="AJ566" s="61">
        <f t="shared" ca="1" si="35"/>
        <v>1.2167022199416784</v>
      </c>
      <c r="AK566" s="61">
        <f t="shared" ca="1" si="35"/>
        <v>-8.8916853561495632E-2</v>
      </c>
      <c r="AL566" s="61">
        <f t="shared" ca="1" si="35"/>
        <v>1.2329945070102264</v>
      </c>
      <c r="AM566" s="61">
        <f t="shared" ca="1" si="35"/>
        <v>0.75942511053604078</v>
      </c>
      <c r="AN566" s="37"/>
      <c r="AO566" s="62">
        <f t="array" aca="1" ref="AO566:AR566" ca="1">TRANSPOSE($B$17:$B$20 + MMULT($D$17:$G$20,TRANSPOSE(AO565:AR565)) + MMULT($N$17:$Q$20,TRANSPOSE(AJ566:AM566)))</f>
        <v>0.89508173247706668</v>
      </c>
      <c r="AP566" s="62">
        <f ca="1"/>
        <v>0.38244628881085707</v>
      </c>
      <c r="AQ566" s="62">
        <f ca="1"/>
        <v>1.321902117093527</v>
      </c>
      <c r="AR566" s="62">
        <f ca="1"/>
        <v>0.95359812153083323</v>
      </c>
    </row>
    <row r="567" spans="25:44" x14ac:dyDescent="0.15">
      <c r="Y567" s="8">
        <f t="shared" si="36"/>
        <v>564</v>
      </c>
      <c r="Z567" s="61">
        <f t="shared" ca="1" si="34"/>
        <v>0.21783301867783358</v>
      </c>
      <c r="AA567" s="61">
        <f t="shared" ca="1" si="34"/>
        <v>1.9042516601438639</v>
      </c>
      <c r="AB567" s="61">
        <f t="shared" ca="1" si="34"/>
        <v>0.55817328733828697</v>
      </c>
      <c r="AC567" s="61">
        <f t="shared" ca="1" si="34"/>
        <v>0.36749278771774607</v>
      </c>
      <c r="AD567" s="37"/>
      <c r="AE567" s="62">
        <f t="array" aca="1" ref="AE567:AH567" ca="1">TRANSPOSE($B$9:$B$12 + MMULT($D$9:$G$12,TRANSPOSE(AO567:AR567)) + MMULT($N$9:$Q$12, TRANSPOSE(Z567:AC567)))</f>
        <v>1.1113968376244714</v>
      </c>
      <c r="AF567" s="62">
        <f ca="1"/>
        <v>1.6481725104797667</v>
      </c>
      <c r="AG567" s="62">
        <f ca="1"/>
        <v>1.2829849995744773</v>
      </c>
      <c r="AH567" s="62">
        <f ca="1"/>
        <v>1.2031697309361344</v>
      </c>
      <c r="AI567" s="37"/>
      <c r="AJ567" s="61">
        <f t="shared" ca="1" si="35"/>
        <v>-0.1317598838488078</v>
      </c>
      <c r="AK567" s="61">
        <f t="shared" ca="1" si="35"/>
        <v>-8.430250180481226E-2</v>
      </c>
      <c r="AL567" s="61">
        <f t="shared" ca="1" si="35"/>
        <v>0.46468606078199198</v>
      </c>
      <c r="AM567" s="61">
        <f t="shared" ca="1" si="35"/>
        <v>0.74030293459852281</v>
      </c>
      <c r="AN567" s="37"/>
      <c r="AO567" s="62">
        <f t="array" aca="1" ref="AO567:AR567" ca="1">TRANSPOSE($B$17:$B$20 + MMULT($D$17:$G$20,TRANSPOSE(AO566:AR566)) + MMULT($N$17:$Q$20,TRANSPOSE(AJ567:AM567)))</f>
        <v>0.73290657536727344</v>
      </c>
      <c r="AP567" s="62">
        <f ca="1"/>
        <v>0.65220470165085698</v>
      </c>
      <c r="AQ567" s="62">
        <f ca="1"/>
        <v>0.96897323738458008</v>
      </c>
      <c r="AR567" s="62">
        <f ca="1"/>
        <v>1.2210097815314431</v>
      </c>
    </row>
    <row r="568" spans="25:44" x14ac:dyDescent="0.15">
      <c r="Y568" s="8">
        <f t="shared" si="36"/>
        <v>565</v>
      </c>
      <c r="Z568" s="61">
        <f t="shared" ca="1" si="34"/>
        <v>-0.77355953276803291</v>
      </c>
      <c r="AA568" s="61">
        <f t="shared" ca="1" si="34"/>
        <v>-1.8198103705737327</v>
      </c>
      <c r="AB568" s="61">
        <f t="shared" ca="1" si="34"/>
        <v>-1.1724903768908403</v>
      </c>
      <c r="AC568" s="61">
        <f t="shared" ca="1" si="34"/>
        <v>-0.69624745119644271</v>
      </c>
      <c r="AD568" s="37"/>
      <c r="AE568" s="62">
        <f t="array" aca="1" ref="AE568:AH568" ca="1">TRANSPOSE($B$9:$B$12 + MMULT($D$9:$G$12,TRANSPOSE(AO568:AR568)) + MMULT($N$9:$Q$12, TRANSPOSE(Z568:AC568)))</f>
        <v>0.96616815065788786</v>
      </c>
      <c r="AF568" s="62">
        <f ca="1"/>
        <v>0.65199789380027617</v>
      </c>
      <c r="AG568" s="62">
        <f ca="1"/>
        <v>1.0344604955608292</v>
      </c>
      <c r="AH568" s="62">
        <f ca="1"/>
        <v>1.0935424521788752</v>
      </c>
      <c r="AI568" s="37"/>
      <c r="AJ568" s="61">
        <f t="shared" ca="1" si="35"/>
        <v>1.7133949210669992</v>
      </c>
      <c r="AK568" s="61">
        <f t="shared" ca="1" si="35"/>
        <v>0.79579151679416016</v>
      </c>
      <c r="AL568" s="61">
        <f t="shared" ca="1" si="35"/>
        <v>-0.19851463794659432</v>
      </c>
      <c r="AM568" s="61">
        <f t="shared" ca="1" si="35"/>
        <v>2.1057082299360754</v>
      </c>
      <c r="AN568" s="37"/>
      <c r="AO568" s="62">
        <f t="array" aca="1" ref="AO568:AR568" ca="1">TRANSPOSE($B$17:$B$20 + MMULT($D$17:$G$20,TRANSPOSE(AO567:AR567)) + MMULT($N$17:$Q$20,TRANSPOSE(AJ568:AM568)))</f>
        <v>1.2915599902876058</v>
      </c>
      <c r="AP568" s="62">
        <f ca="1"/>
        <v>1.0758317561388298</v>
      </c>
      <c r="AQ568" s="62">
        <f ca="1"/>
        <v>0.90134083232752749</v>
      </c>
      <c r="AR568" s="62">
        <f ca="1"/>
        <v>1.474955989443266</v>
      </c>
    </row>
    <row r="569" spans="25:44" x14ac:dyDescent="0.15">
      <c r="Y569" s="8">
        <f t="shared" si="36"/>
        <v>566</v>
      </c>
      <c r="Z569" s="61">
        <f t="shared" ca="1" si="34"/>
        <v>-0.94257629425859568</v>
      </c>
      <c r="AA569" s="61">
        <f t="shared" ca="1" si="34"/>
        <v>-0.69027730755825956</v>
      </c>
      <c r="AB569" s="61">
        <f t="shared" ca="1" si="34"/>
        <v>0.84944085832609739</v>
      </c>
      <c r="AC569" s="61">
        <f t="shared" ca="1" si="34"/>
        <v>-0.5058343220334105</v>
      </c>
      <c r="AD569" s="37"/>
      <c r="AE569" s="62">
        <f t="array" aca="1" ref="AE569:AH569" ca="1">TRANSPOSE($B$9:$B$12 + MMULT($D$9:$G$12,TRANSPOSE(AO569:AR569)) + MMULT($N$9:$Q$12, TRANSPOSE(Z569:AC569)))</f>
        <v>1.0343293429201934</v>
      </c>
      <c r="AF569" s="62">
        <f ca="1"/>
        <v>0.79703807340159172</v>
      </c>
      <c r="AG569" s="62">
        <f ca="1"/>
        <v>0.97446475302019264</v>
      </c>
      <c r="AH569" s="62">
        <f ca="1"/>
        <v>1.0869140466296283</v>
      </c>
      <c r="AI569" s="37"/>
      <c r="AJ569" s="61">
        <f t="shared" ca="1" si="35"/>
        <v>-8.8150025175761537E-2</v>
      </c>
      <c r="AK569" s="61">
        <f t="shared" ca="1" si="35"/>
        <v>0.47285687023521716</v>
      </c>
      <c r="AL569" s="61">
        <f t="shared" ca="1" si="35"/>
        <v>0.74599292944536422</v>
      </c>
      <c r="AM569" s="61">
        <f t="shared" ca="1" si="35"/>
        <v>-1.7468489290710298</v>
      </c>
      <c r="AN569" s="37"/>
      <c r="AO569" s="62">
        <f t="array" aca="1" ref="AO569:AR569" ca="1">TRANSPOSE($B$17:$B$20 + MMULT($D$17:$G$20,TRANSPOSE(AO568:AR568)) + MMULT($N$17:$Q$20,TRANSPOSE(AJ569:AM569)))</f>
        <v>0.86391492071674214</v>
      </c>
      <c r="AP569" s="62">
        <f ca="1"/>
        <v>1.2491350513092849</v>
      </c>
      <c r="AQ569" s="62">
        <f ca="1"/>
        <v>1.2565237481434255</v>
      </c>
      <c r="AR569" s="62">
        <f ca="1"/>
        <v>0.67754306175242041</v>
      </c>
    </row>
    <row r="570" spans="25:44" x14ac:dyDescent="0.15">
      <c r="Y570" s="8">
        <f t="shared" si="36"/>
        <v>567</v>
      </c>
      <c r="Z570" s="61">
        <f t="shared" ca="1" si="34"/>
        <v>-0.545388006101998</v>
      </c>
      <c r="AA570" s="61">
        <f t="shared" ca="1" si="34"/>
        <v>0.41951078992246366</v>
      </c>
      <c r="AB570" s="61">
        <f t="shared" ca="1" si="34"/>
        <v>-1.6774050737121045</v>
      </c>
      <c r="AC570" s="61">
        <f t="shared" ca="1" si="34"/>
        <v>-0.6773744283848544</v>
      </c>
      <c r="AD570" s="37"/>
      <c r="AE570" s="62">
        <f t="array" aca="1" ref="AE570:AH570" ca="1">TRANSPOSE($B$9:$B$12 + MMULT($D$9:$G$12,TRANSPOSE(AO570:AR570)) + MMULT($N$9:$Q$12, TRANSPOSE(Z570:AC570)))</f>
        <v>0.75238159845528407</v>
      </c>
      <c r="AF570" s="62">
        <f ca="1"/>
        <v>1.2529842843816943</v>
      </c>
      <c r="AG570" s="62">
        <f ca="1"/>
        <v>0.29450634868676429</v>
      </c>
      <c r="AH570" s="62">
        <f ca="1"/>
        <v>1.0647296870302958</v>
      </c>
      <c r="AI570" s="37"/>
      <c r="AJ570" s="61">
        <f t="shared" ca="1" si="35"/>
        <v>-8.8103075814145115E-2</v>
      </c>
      <c r="AK570" s="61">
        <f t="shared" ca="1" si="35"/>
        <v>0.33901956421628004</v>
      </c>
      <c r="AL570" s="61">
        <f t="shared" ca="1" si="35"/>
        <v>-0.35081792511987125</v>
      </c>
      <c r="AM570" s="61">
        <f t="shared" ca="1" si="35"/>
        <v>0.75853171457169599</v>
      </c>
      <c r="AN570" s="37"/>
      <c r="AO570" s="62">
        <f t="array" aca="1" ref="AO570:AR570" ca="1">TRANSPOSE($B$17:$B$20 + MMULT($D$17:$G$20,TRANSPOSE(AO569:AR569)) + MMULT($N$17:$Q$20,TRANSPOSE(AJ570:AM570)))</f>
        <v>0.77867522800829136</v>
      </c>
      <c r="AP570" s="62">
        <f ca="1"/>
        <v>1.0014592431746099</v>
      </c>
      <c r="AQ570" s="62">
        <f ca="1"/>
        <v>0.81727752803045028</v>
      </c>
      <c r="AR570" s="62">
        <f ca="1"/>
        <v>1.0919645266038143</v>
      </c>
    </row>
    <row r="571" spans="25:44" x14ac:dyDescent="0.15">
      <c r="Y571" s="8">
        <f t="shared" si="36"/>
        <v>568</v>
      </c>
      <c r="Z571" s="61">
        <f t="shared" ca="1" si="34"/>
        <v>-0.17347504708056583</v>
      </c>
      <c r="AA571" s="61">
        <f t="shared" ca="1" si="34"/>
        <v>0.16902148693209876</v>
      </c>
      <c r="AB571" s="61">
        <f t="shared" ca="1" si="34"/>
        <v>-0.38118653741410019</v>
      </c>
      <c r="AC571" s="61">
        <f t="shared" ca="1" si="34"/>
        <v>-2.128405245305624E-2</v>
      </c>
      <c r="AD571" s="37"/>
      <c r="AE571" s="62">
        <f t="array" aca="1" ref="AE571:AH571" ca="1">TRANSPOSE($B$9:$B$12 + MMULT($D$9:$G$12,TRANSPOSE(AO571:AR571)) + MMULT($N$9:$Q$12, TRANSPOSE(Z571:AC571)))</f>
        <v>1.5726934647419233</v>
      </c>
      <c r="AF571" s="62">
        <f ca="1"/>
        <v>0.80192565518211056</v>
      </c>
      <c r="AG571" s="62">
        <f ca="1"/>
        <v>1.0352231212178393</v>
      </c>
      <c r="AH571" s="62">
        <f ca="1"/>
        <v>1.3126243417620989</v>
      </c>
      <c r="AI571" s="37"/>
      <c r="AJ571" s="61">
        <f t="shared" ca="1" si="35"/>
        <v>1.1935597056526259</v>
      </c>
      <c r="AK571" s="61">
        <f t="shared" ca="1" si="35"/>
        <v>-0.6459909633858012</v>
      </c>
      <c r="AL571" s="61">
        <f t="shared" ca="1" si="35"/>
        <v>0.70749451760452542</v>
      </c>
      <c r="AM571" s="61">
        <f t="shared" ca="1" si="35"/>
        <v>-0.61302296237522258</v>
      </c>
      <c r="AN571" s="37"/>
      <c r="AO571" s="62">
        <f t="array" aca="1" ref="AO571:AR571" ca="1">TRANSPOSE($B$17:$B$20 + MMULT($D$17:$G$20,TRANSPOSE(AO570:AR570)) + MMULT($N$17:$Q$20,TRANSPOSE(AJ571:AM571)))</f>
        <v>1.1249473259232514</v>
      </c>
      <c r="AP571" s="62">
        <f ca="1"/>
        <v>0.53867916967996332</v>
      </c>
      <c r="AQ571" s="62">
        <f ca="1"/>
        <v>1.4506518190235618</v>
      </c>
      <c r="AR571" s="62">
        <f ca="1"/>
        <v>1.1184507845026066</v>
      </c>
    </row>
    <row r="572" spans="25:44" x14ac:dyDescent="0.15">
      <c r="Y572" s="8">
        <f t="shared" si="36"/>
        <v>569</v>
      </c>
      <c r="Z572" s="61">
        <f t="shared" ca="1" si="34"/>
        <v>1.1177851337712637</v>
      </c>
      <c r="AA572" s="61">
        <f t="shared" ca="1" si="34"/>
        <v>-0.41596874108085186</v>
      </c>
      <c r="AB572" s="61">
        <f t="shared" ca="1" si="34"/>
        <v>0.21032922084488004</v>
      </c>
      <c r="AC572" s="61">
        <f t="shared" ca="1" si="34"/>
        <v>-0.64679014020015924</v>
      </c>
      <c r="AD572" s="37"/>
      <c r="AE572" s="62">
        <f t="array" aca="1" ref="AE572:AH572" ca="1">TRANSPOSE($B$9:$B$12 + MMULT($D$9:$G$12,TRANSPOSE(AO572:AR572)) + MMULT($N$9:$Q$12, TRANSPOSE(Z572:AC572)))</f>
        <v>2.1693681136422027</v>
      </c>
      <c r="AF572" s="62">
        <f ca="1"/>
        <v>0.76376854969222885</v>
      </c>
      <c r="AG572" s="62">
        <f ca="1"/>
        <v>1.6217060952502176</v>
      </c>
      <c r="AH572" s="62">
        <f ca="1"/>
        <v>1.4694800881512462</v>
      </c>
      <c r="AI572" s="37"/>
      <c r="AJ572" s="61">
        <f t="shared" ca="1" si="35"/>
        <v>1.1789517472995981</v>
      </c>
      <c r="AK572" s="61">
        <f t="shared" ca="1" si="35"/>
        <v>-1.3001441110339012</v>
      </c>
      <c r="AL572" s="61">
        <f t="shared" ca="1" si="35"/>
        <v>0.77124180165324441</v>
      </c>
      <c r="AM572" s="61">
        <f t="shared" ca="1" si="35"/>
        <v>0.44131036100525217</v>
      </c>
      <c r="AN572" s="37"/>
      <c r="AO572" s="62">
        <f t="array" aca="1" ref="AO572:AR572" ca="1">TRANSPOSE($B$17:$B$20 + MMULT($D$17:$G$20,TRANSPOSE(AO571:AR571)) + MMULT($N$17:$Q$20,TRANSPOSE(AJ572:AM572)))</f>
        <v>1.2723494004541691</v>
      </c>
      <c r="AP572" s="62">
        <f ca="1"/>
        <v>0.30800326035074077</v>
      </c>
      <c r="AQ572" s="62">
        <f ca="1"/>
        <v>1.6148685066090649</v>
      </c>
      <c r="AR572" s="62">
        <f ca="1"/>
        <v>1.666105028382066</v>
      </c>
    </row>
    <row r="573" spans="25:44" x14ac:dyDescent="0.15">
      <c r="Y573" s="8">
        <f t="shared" si="36"/>
        <v>570</v>
      </c>
      <c r="Z573" s="61">
        <f t="shared" ca="1" si="34"/>
        <v>-0.1603971904158992</v>
      </c>
      <c r="AA573" s="61">
        <f t="shared" ca="1" si="34"/>
        <v>1.2065167326036403</v>
      </c>
      <c r="AB573" s="61">
        <f t="shared" ca="1" si="34"/>
        <v>0.40283662155276784</v>
      </c>
      <c r="AC573" s="61">
        <f t="shared" ca="1" si="34"/>
        <v>1.4359816189722945</v>
      </c>
      <c r="AD573" s="37"/>
      <c r="AE573" s="62">
        <f t="array" aca="1" ref="AE573:AH573" ca="1">TRANSPOSE($B$9:$B$12 + MMULT($D$9:$G$12,TRANSPOSE(AO573:AR573)) + MMULT($N$9:$Q$12, TRANSPOSE(Z573:AC573)))</f>
        <v>0.79691597936240544</v>
      </c>
      <c r="AF573" s="62">
        <f ca="1"/>
        <v>0.96510495337751334</v>
      </c>
      <c r="AG573" s="62">
        <f ca="1"/>
        <v>1.6812613163316683</v>
      </c>
      <c r="AH573" s="62">
        <f ca="1"/>
        <v>1.4232643028130003</v>
      </c>
      <c r="AI573" s="37"/>
      <c r="AJ573" s="61">
        <f t="shared" ca="1" si="35"/>
        <v>-0.88311488927980952</v>
      </c>
      <c r="AK573" s="61">
        <f t="shared" ca="1" si="35"/>
        <v>-1.653498687679495</v>
      </c>
      <c r="AL573" s="61">
        <f t="shared" ca="1" si="35"/>
        <v>-0.13535316685964965</v>
      </c>
      <c r="AM573" s="61">
        <f t="shared" ca="1" si="35"/>
        <v>0.1226884193360374</v>
      </c>
      <c r="AN573" s="37"/>
      <c r="AO573" s="62">
        <f t="array" aca="1" ref="AO573:AR573" ca="1">TRANSPOSE($B$17:$B$20 + MMULT($D$17:$G$20,TRANSPOSE(AO572:AR572)) + MMULT($N$17:$Q$20,TRANSPOSE(AJ573:AM573)))</f>
        <v>0.65111851251014996</v>
      </c>
      <c r="AP573" s="62">
        <f ca="1"/>
        <v>0.21601027441035936</v>
      </c>
      <c r="AQ573" s="62">
        <f ca="1"/>
        <v>0.9078342089614172</v>
      </c>
      <c r="AR573" s="62">
        <f ca="1"/>
        <v>1.5194818372776753</v>
      </c>
    </row>
    <row r="574" spans="25:44" x14ac:dyDescent="0.15">
      <c r="Y574" s="8">
        <f t="shared" si="36"/>
        <v>571</v>
      </c>
      <c r="Z574" s="61">
        <f t="shared" ca="1" si="34"/>
        <v>-0.10655309822977196</v>
      </c>
      <c r="AA574" s="61">
        <f t="shared" ca="1" si="34"/>
        <v>1.6377504613835714</v>
      </c>
      <c r="AB574" s="61">
        <f t="shared" ca="1" si="34"/>
        <v>-0.29634765766023091</v>
      </c>
      <c r="AC574" s="61">
        <f t="shared" ca="1" si="34"/>
        <v>-0.19071710555841553</v>
      </c>
      <c r="AD574" s="37"/>
      <c r="AE574" s="62">
        <f t="array" aca="1" ref="AE574:AH574" ca="1">TRANSPOSE($B$9:$B$12 + MMULT($D$9:$G$12,TRANSPOSE(AO574:AR574)) + MMULT($N$9:$Q$12, TRANSPOSE(Z574:AC574)))</f>
        <v>1.8553031128057054</v>
      </c>
      <c r="AF574" s="62">
        <f ca="1"/>
        <v>1.7473160041732738</v>
      </c>
      <c r="AG574" s="62">
        <f ca="1"/>
        <v>1.1492687916552535</v>
      </c>
      <c r="AH574" s="62">
        <f ca="1"/>
        <v>1.5574077338022685</v>
      </c>
      <c r="AI574" s="37"/>
      <c r="AJ574" s="61">
        <f t="shared" ca="1" si="35"/>
        <v>1.9711585277753683</v>
      </c>
      <c r="AK574" s="61">
        <f t="shared" ca="1" si="35"/>
        <v>0.6346458090558873</v>
      </c>
      <c r="AL574" s="61">
        <f t="shared" ca="1" si="35"/>
        <v>1.9169585100753805</v>
      </c>
      <c r="AM574" s="61">
        <f t="shared" ca="1" si="35"/>
        <v>0.34793581139187091</v>
      </c>
      <c r="AN574" s="37"/>
      <c r="AO574" s="62">
        <f t="array" aca="1" ref="AO574:AR574" ca="1">TRANSPOSE($B$17:$B$20 + MMULT($D$17:$G$20,TRANSPOSE(AO573:AR573)) + MMULT($N$17:$Q$20,TRANSPOSE(AJ574:AM574)))</f>
        <v>1.3309904866218338</v>
      </c>
      <c r="AP574" s="62">
        <f ca="1"/>
        <v>0.90942186390575808</v>
      </c>
      <c r="AQ574" s="62">
        <f ca="1"/>
        <v>1.7491816211715618</v>
      </c>
      <c r="AR574" s="62">
        <f ca="1"/>
        <v>1.338062848611675</v>
      </c>
    </row>
    <row r="575" spans="25:44" x14ac:dyDescent="0.15">
      <c r="Y575" s="8">
        <f t="shared" si="36"/>
        <v>572</v>
      </c>
      <c r="Z575" s="61">
        <f t="shared" ca="1" si="34"/>
        <v>-0.46593974620941941</v>
      </c>
      <c r="AA575" s="61">
        <f t="shared" ca="1" si="34"/>
        <v>0.83820043551003809</v>
      </c>
      <c r="AB575" s="61">
        <f t="shared" ca="1" si="34"/>
        <v>0.71273742493029779</v>
      </c>
      <c r="AC575" s="61">
        <f t="shared" ca="1" si="34"/>
        <v>1.6755295513981614</v>
      </c>
      <c r="AD575" s="37"/>
      <c r="AE575" s="62">
        <f t="array" aca="1" ref="AE575:AH575" ca="1">TRANSPOSE($B$9:$B$12 + MMULT($D$9:$G$12,TRANSPOSE(AO575:AR575)) + MMULT($N$9:$Q$12, TRANSPOSE(Z575:AC575)))</f>
        <v>1.1838829864733214</v>
      </c>
      <c r="AF575" s="62">
        <f ca="1"/>
        <v>1.4352065700140855</v>
      </c>
      <c r="AG575" s="62">
        <f ca="1"/>
        <v>2.0486156148282402</v>
      </c>
      <c r="AH575" s="62">
        <f ca="1"/>
        <v>1.4584984405261268</v>
      </c>
      <c r="AI575" s="37"/>
      <c r="AJ575" s="61">
        <f t="shared" ca="1" si="35"/>
        <v>0.94174476984846245</v>
      </c>
      <c r="AK575" s="61">
        <f t="shared" ca="1" si="35"/>
        <v>-0.84932524231722006</v>
      </c>
      <c r="AL575" s="61">
        <f t="shared" ca="1" si="35"/>
        <v>-0.83277748947413022</v>
      </c>
      <c r="AM575" s="61">
        <f t="shared" ca="1" si="35"/>
        <v>0.70806967655731046</v>
      </c>
      <c r="AN575" s="37"/>
      <c r="AO575" s="62">
        <f t="array" aca="1" ref="AO575:AR575" ca="1">TRANSPOSE($B$17:$B$20 + MMULT($D$17:$G$20,TRANSPOSE(AO574:AR574)) + MMULT($N$17:$Q$20,TRANSPOSE(AJ575:AM575)))</f>
        <v>1.3278196908768582</v>
      </c>
      <c r="AP575" s="62">
        <f ca="1"/>
        <v>0.71521914790893137</v>
      </c>
      <c r="AQ575" s="62">
        <f ca="1"/>
        <v>1.0590910044428754</v>
      </c>
      <c r="AR575" s="62">
        <f ca="1"/>
        <v>1.6649044535296198</v>
      </c>
    </row>
    <row r="576" spans="25:44" x14ac:dyDescent="0.15">
      <c r="Y576" s="8">
        <f t="shared" si="36"/>
        <v>573</v>
      </c>
      <c r="Z576" s="61">
        <f t="shared" ca="1" si="34"/>
        <v>-0.50224706924192875</v>
      </c>
      <c r="AA576" s="61">
        <f t="shared" ca="1" si="34"/>
        <v>0.27549900315992049</v>
      </c>
      <c r="AB576" s="61">
        <f t="shared" ca="1" si="34"/>
        <v>0.21318115590648673</v>
      </c>
      <c r="AC576" s="61">
        <f t="shared" ca="1" si="34"/>
        <v>5.2280380972976957E-2</v>
      </c>
      <c r="AD576" s="37"/>
      <c r="AE576" s="62">
        <f t="array" aca="1" ref="AE576:AH576" ca="1">TRANSPOSE($B$9:$B$12 + MMULT($D$9:$G$12,TRANSPOSE(AO576:AR576)) + MMULT($N$9:$Q$12, TRANSPOSE(Z576:AC576)))</f>
        <v>1.567728325205445</v>
      </c>
      <c r="AF576" s="62">
        <f ca="1"/>
        <v>1.4488305148202796</v>
      </c>
      <c r="AG576" s="62">
        <f ca="1"/>
        <v>1.1370566556464627</v>
      </c>
      <c r="AH576" s="62">
        <f ca="1"/>
        <v>1.5718834535447777</v>
      </c>
      <c r="AI576" s="37"/>
      <c r="AJ576" s="61">
        <f t="shared" ca="1" si="35"/>
        <v>0.99213001752856367</v>
      </c>
      <c r="AK576" s="61">
        <f t="shared" ca="1" si="35"/>
        <v>0.65307354577348653</v>
      </c>
      <c r="AL576" s="61">
        <f t="shared" ca="1" si="35"/>
        <v>1.2906375658720042</v>
      </c>
      <c r="AM576" s="61">
        <f t="shared" ca="1" si="35"/>
        <v>-0.43051184567568018</v>
      </c>
      <c r="AN576" s="37"/>
      <c r="AO576" s="62">
        <f t="array" aca="1" ref="AO576:AR576" ca="1">TRANSPOSE($B$17:$B$20 + MMULT($D$17:$G$20,TRANSPOSE(AO575:AR575)) + MMULT($N$17:$Q$20,TRANSPOSE(AJ576:AM576)))</f>
        <v>1.243603946850818</v>
      </c>
      <c r="AP576" s="62">
        <f ca="1"/>
        <v>1.2958108287256929</v>
      </c>
      <c r="AQ576" s="62">
        <f ca="1"/>
        <v>1.6109806075591597</v>
      </c>
      <c r="AR576" s="62">
        <f ca="1"/>
        <v>1.1768644975774527</v>
      </c>
    </row>
    <row r="577" spans="25:44" x14ac:dyDescent="0.15">
      <c r="Y577" s="8">
        <f t="shared" si="36"/>
        <v>574</v>
      </c>
      <c r="Z577" s="61">
        <f t="shared" ca="1" si="34"/>
        <v>-1.0807317577291986</v>
      </c>
      <c r="AA577" s="61">
        <f t="shared" ca="1" si="34"/>
        <v>1.216959254851441</v>
      </c>
      <c r="AB577" s="61">
        <f t="shared" ca="1" si="34"/>
        <v>1.1938903527195972</v>
      </c>
      <c r="AC577" s="61">
        <f t="shared" ca="1" si="34"/>
        <v>-7.1274266154354088E-2</v>
      </c>
      <c r="AD577" s="37"/>
      <c r="AE577" s="62">
        <f t="array" aca="1" ref="AE577:AH577" ca="1">TRANSPOSE($B$9:$B$12 + MMULT($D$9:$G$12,TRANSPOSE(AO577:AR577)) + MMULT($N$9:$Q$12, TRANSPOSE(Z577:AC577)))</f>
        <v>0.45550781671387491</v>
      </c>
      <c r="AF577" s="62">
        <f ca="1"/>
        <v>1.1302321944852201</v>
      </c>
      <c r="AG577" s="62">
        <f ca="1"/>
        <v>1.704411980289148</v>
      </c>
      <c r="AH577" s="62">
        <f ca="1"/>
        <v>1.7657069706769499</v>
      </c>
      <c r="AI577" s="37"/>
      <c r="AJ577" s="61">
        <f t="shared" ca="1" si="35"/>
        <v>-2.1544443221890548</v>
      </c>
      <c r="AK577" s="61">
        <f t="shared" ca="1" si="35"/>
        <v>-0.29534177327207561</v>
      </c>
      <c r="AL577" s="61">
        <f t="shared" ca="1" si="35"/>
        <v>1.33411373605214</v>
      </c>
      <c r="AM577" s="61">
        <f t="shared" ca="1" si="35"/>
        <v>0.97706066763070343</v>
      </c>
      <c r="AN577" s="37"/>
      <c r="AO577" s="62">
        <f t="array" aca="1" ref="AO577:AR577" ca="1">TRANSPOSE($B$17:$B$20 + MMULT($D$17:$G$20,TRANSPOSE(AO576:AR576)) + MMULT($N$17:$Q$20,TRANSPOSE(AJ577:AM577)))</f>
        <v>0.2624577709892103</v>
      </c>
      <c r="AP577" s="62">
        <f ca="1"/>
        <v>0.948213194146722</v>
      </c>
      <c r="AQ577" s="62">
        <f ca="1"/>
        <v>1.4627143321629681</v>
      </c>
      <c r="AR577" s="62">
        <f ca="1"/>
        <v>1.5174722610518867</v>
      </c>
    </row>
    <row r="578" spans="25:44" x14ac:dyDescent="0.15">
      <c r="Y578" s="8">
        <f t="shared" si="36"/>
        <v>575</v>
      </c>
      <c r="Z578" s="61">
        <f t="shared" ca="1" si="34"/>
        <v>-1.1699357041556953</v>
      </c>
      <c r="AA578" s="61">
        <f t="shared" ca="1" si="34"/>
        <v>0.19261786680448859</v>
      </c>
      <c r="AB578" s="61">
        <f t="shared" ca="1" si="34"/>
        <v>2.7445373629477379</v>
      </c>
      <c r="AC578" s="61">
        <f t="shared" ca="1" si="34"/>
        <v>-8.8326829057946588E-2</v>
      </c>
      <c r="AD578" s="37"/>
      <c r="AE578" s="62">
        <f t="array" aca="1" ref="AE578:AH578" ca="1">TRANSPOSE($B$9:$B$12 + MMULT($D$9:$G$12,TRANSPOSE(AO578:AR578)) + MMULT($N$9:$Q$12, TRANSPOSE(Z578:AC578)))</f>
        <v>0.51256339819571806</v>
      </c>
      <c r="AF578" s="62">
        <f ca="1"/>
        <v>0.21370947750764724</v>
      </c>
      <c r="AG578" s="62">
        <f ca="1"/>
        <v>2.9026953913740874</v>
      </c>
      <c r="AH578" s="62">
        <f ca="1"/>
        <v>1.3086471161166542</v>
      </c>
      <c r="AI578" s="37"/>
      <c r="AJ578" s="61">
        <f t="shared" ca="1" si="35"/>
        <v>-0.56305567011655877</v>
      </c>
      <c r="AK578" s="61">
        <f t="shared" ca="1" si="35"/>
        <v>-1.2333420499697421</v>
      </c>
      <c r="AL578" s="61">
        <f t="shared" ca="1" si="35"/>
        <v>0.78982059939081839</v>
      </c>
      <c r="AM578" s="61">
        <f t="shared" ca="1" si="35"/>
        <v>0.76969490093606752</v>
      </c>
      <c r="AN578" s="37"/>
      <c r="AO578" s="62">
        <f t="array" aca="1" ref="AO578:AR578" ca="1">TRANSPOSE($B$17:$B$20 + MMULT($D$17:$G$20,TRANSPOSE(AO577:AR577)) + MMULT($N$17:$Q$20,TRANSPOSE(AJ578:AM578)))</f>
        <v>0.51123022634804405</v>
      </c>
      <c r="AP578" s="62">
        <f ca="1"/>
        <v>0.19126305099955154</v>
      </c>
      <c r="AQ578" s="62">
        <f ca="1"/>
        <v>1.3420007373127727</v>
      </c>
      <c r="AR578" s="62">
        <f ca="1"/>
        <v>1.6850885895756118</v>
      </c>
    </row>
    <row r="579" spans="25:44" x14ac:dyDescent="0.15">
      <c r="Y579" s="8">
        <f t="shared" si="36"/>
        <v>576</v>
      </c>
      <c r="Z579" s="61">
        <f t="shared" ca="1" si="34"/>
        <v>5.8441886811203637E-2</v>
      </c>
      <c r="AA579" s="61">
        <f t="shared" ca="1" si="34"/>
        <v>-0.31032282072016271</v>
      </c>
      <c r="AB579" s="61">
        <f t="shared" ca="1" si="34"/>
        <v>0.1983909655059925</v>
      </c>
      <c r="AC579" s="61">
        <f ca="1">NORMSINV(RAND())</f>
        <v>0.28547680801564357</v>
      </c>
      <c r="AD579" s="37"/>
      <c r="AE579" s="62">
        <f t="array" aca="1" ref="AE579:AH579" ca="1">TRANSPOSE($B$9:$B$12 + MMULT($D$9:$G$12,TRANSPOSE(AO579:AR579)) + MMULT($N$9:$Q$12, TRANSPOSE(Z579:AC579)))</f>
        <v>1.1600643612003549</v>
      </c>
      <c r="AF579" s="62">
        <f ca="1"/>
        <v>0.87246254493180209</v>
      </c>
      <c r="AG579" s="62">
        <f ca="1"/>
        <v>1.3104790618465569</v>
      </c>
      <c r="AH579" s="62">
        <f ca="1"/>
        <v>0.80533343747557129</v>
      </c>
      <c r="AI579" s="37"/>
      <c r="AJ579" s="61">
        <f t="shared" ca="1" si="35"/>
        <v>1.2449908368799163</v>
      </c>
      <c r="AK579" s="61">
        <f t="shared" ca="1" si="35"/>
        <v>-0.21550165548951822</v>
      </c>
      <c r="AL579" s="61">
        <f t="shared" ca="1" si="35"/>
        <v>-0.68330929580116306</v>
      </c>
      <c r="AM579" s="61">
        <f ca="1">NORMSINV(RAND())</f>
        <v>-0.43606586819941318</v>
      </c>
      <c r="AN579" s="37"/>
      <c r="AO579" s="62">
        <f t="array" aca="1" ref="AO579:AR579" ca="1">TRANSPOSE($B$17:$B$20 + MMULT($D$17:$G$20,TRANSPOSE(AO578:AR578)) + MMULT($N$17:$Q$20,TRANSPOSE(AJ579:AM579)))</f>
        <v>1.120583335082681</v>
      </c>
      <c r="AP579" s="62">
        <f ca="1"/>
        <v>0.54446921424902295</v>
      </c>
      <c r="AQ579" s="62">
        <f ca="1"/>
        <v>0.66200073493666745</v>
      </c>
      <c r="AR579" s="62">
        <f ca="1"/>
        <v>1.1285404737270619</v>
      </c>
    </row>
    <row r="580" spans="25:44" x14ac:dyDescent="0.15">
      <c r="Y580" s="8">
        <f t="shared" si="36"/>
        <v>577</v>
      </c>
      <c r="Z580" s="61">
        <f t="shared" ref="Z580:AC602" ca="1" si="37">NORMSINV(RAND())</f>
        <v>1.2781559385447689</v>
      </c>
      <c r="AA580" s="61">
        <f t="shared" ca="1" si="37"/>
        <v>-1.0090668963536837</v>
      </c>
      <c r="AB580" s="61">
        <f t="shared" ca="1" si="37"/>
        <v>0.87878887899541358</v>
      </c>
      <c r="AC580" s="61">
        <f t="shared" ca="1" si="37"/>
        <v>0.87171643731621173</v>
      </c>
      <c r="AD580" s="37"/>
      <c r="AE580" s="62">
        <f t="array" aca="1" ref="AE580:AH580" ca="1">TRANSPOSE($B$9:$B$12 + MMULT($D$9:$G$12,TRANSPOSE(AO580:AR580)) + MMULT($N$9:$Q$12, TRANSPOSE(Z580:AC580)))</f>
        <v>1.057752525819162</v>
      </c>
      <c r="AF580" s="62">
        <f ca="1"/>
        <v>1.7712616676563502</v>
      </c>
      <c r="AG580" s="62">
        <f ca="1"/>
        <v>0.14921213067241756</v>
      </c>
      <c r="AH580" s="62">
        <f ca="1"/>
        <v>0.73661392134879056</v>
      </c>
      <c r="AI580" s="37"/>
      <c r="AJ580" s="61">
        <f t="shared" ref="AJ580:AM602" ca="1" si="38">NORMSINV(RAND())</f>
        <v>-0.24649103569040964</v>
      </c>
      <c r="AK580" s="61">
        <f t="shared" ca="1" si="38"/>
        <v>2.3056425598695292</v>
      </c>
      <c r="AL580" s="61">
        <f t="shared" ca="1" si="38"/>
        <v>-0.95808254860662057</v>
      </c>
      <c r="AM580" s="61">
        <f t="shared" ca="1" si="38"/>
        <v>0.30873316056330546</v>
      </c>
      <c r="AN580" s="37"/>
      <c r="AO580" s="62">
        <f t="array" aca="1" ref="AO580:AR580" ca="1">TRANSPOSE($B$17:$B$20 + MMULT($D$17:$G$20,TRANSPOSE(AO579:AR579)) + MMULT($N$17:$Q$20,TRANSPOSE(AJ580:AM580)))</f>
        <v>0.67558077917622994</v>
      </c>
      <c r="AP580" s="62">
        <f ca="1"/>
        <v>1.7544177729240251</v>
      </c>
      <c r="AQ580" s="62">
        <f ca="1"/>
        <v>-3.0147059120221531E-2</v>
      </c>
      <c r="AR580" s="62">
        <f ca="1"/>
        <v>0.35676558918974455</v>
      </c>
    </row>
    <row r="581" spans="25:44" x14ac:dyDescent="0.15">
      <c r="Y581" s="8">
        <f t="shared" ref="Y581:Y602" si="39">Y580+1</f>
        <v>578</v>
      </c>
      <c r="Z581" s="61">
        <f t="shared" ca="1" si="37"/>
        <v>0.16735494588906685</v>
      </c>
      <c r="AA581" s="61">
        <f t="shared" ca="1" si="37"/>
        <v>0.23316972601671096</v>
      </c>
      <c r="AB581" s="61">
        <f t="shared" ca="1" si="37"/>
        <v>-0.87530423725024575</v>
      </c>
      <c r="AC581" s="61">
        <f t="shared" ca="1" si="37"/>
        <v>1.2979563709112623</v>
      </c>
      <c r="AD581" s="37"/>
      <c r="AE581" s="62">
        <f t="array" aca="1" ref="AE581:AH581" ca="1">TRANSPOSE($B$9:$B$12 + MMULT($D$9:$G$12,TRANSPOSE(AO581:AR581)) + MMULT($N$9:$Q$12, TRANSPOSE(Z581:AC581)))</f>
        <v>0.13598344388833017</v>
      </c>
      <c r="AF581" s="62">
        <f ca="1"/>
        <v>1.4417386267126187</v>
      </c>
      <c r="AG581" s="62">
        <f ca="1"/>
        <v>-0.60464651320714702</v>
      </c>
      <c r="AH581" s="62">
        <f ca="1"/>
        <v>0.50819506454674968</v>
      </c>
      <c r="AI581" s="37"/>
      <c r="AJ581" s="61">
        <f t="shared" ca="1" si="38"/>
        <v>-1.2000063692663101</v>
      </c>
      <c r="AK581" s="61">
        <f t="shared" ca="1" si="38"/>
        <v>1.1662549267567461</v>
      </c>
      <c r="AL581" s="61">
        <f t="shared" ca="1" si="38"/>
        <v>-1.9262762453813964</v>
      </c>
      <c r="AM581" s="61">
        <f t="shared" ca="1" si="38"/>
        <v>9.1131680372666127E-2</v>
      </c>
      <c r="AN581" s="37"/>
      <c r="AO581" s="62">
        <f t="array" aca="1" ref="AO581:AR581" ca="1">TRANSPOSE($B$17:$B$20 + MMULT($D$17:$G$20,TRANSPOSE(AO580:AR580)) + MMULT($N$17:$Q$20,TRANSPOSE(AJ581:AM581)))</f>
        <v>0.18547654758356202</v>
      </c>
      <c r="AP581" s="62">
        <f ca="1"/>
        <v>1.2649516999755317</v>
      </c>
      <c r="AQ581" s="62">
        <f ca="1"/>
        <v>-0.39391379238614443</v>
      </c>
      <c r="AR581" s="62">
        <f ca="1"/>
        <v>3.8843838098243766E-2</v>
      </c>
    </row>
    <row r="582" spans="25:44" x14ac:dyDescent="0.15">
      <c r="Y582" s="8">
        <f t="shared" si="39"/>
        <v>579</v>
      </c>
      <c r="Z582" s="61">
        <f t="shared" ca="1" si="37"/>
        <v>0.73423879908402068</v>
      </c>
      <c r="AA582" s="61">
        <f t="shared" ca="1" si="37"/>
        <v>-1.2481237426334975</v>
      </c>
      <c r="AB582" s="61">
        <f t="shared" ca="1" si="37"/>
        <v>-0.12581784207840641</v>
      </c>
      <c r="AC582" s="61">
        <f t="shared" ca="1" si="37"/>
        <v>1.6551093014217506</v>
      </c>
      <c r="AD582" s="37"/>
      <c r="AE582" s="62">
        <f t="array" aca="1" ref="AE582:AH582" ca="1">TRANSPOSE($B$9:$B$12 + MMULT($D$9:$G$12,TRANSPOSE(AO582:AR582)) + MMULT($N$9:$Q$12, TRANSPOSE(Z582:AC582)))</f>
        <v>1.0708190672278297</v>
      </c>
      <c r="AF582" s="62">
        <f ca="1"/>
        <v>0.84052544166057108</v>
      </c>
      <c r="AG582" s="62">
        <f ca="1"/>
        <v>-0.47479162292972693</v>
      </c>
      <c r="AH582" s="62">
        <f ca="1"/>
        <v>0.87632973369283307</v>
      </c>
      <c r="AI582" s="37"/>
      <c r="AJ582" s="61">
        <f t="shared" ca="1" si="38"/>
        <v>0.38896540180760969</v>
      </c>
      <c r="AK582" s="61">
        <f t="shared" ca="1" si="38"/>
        <v>1.8485622549742942</v>
      </c>
      <c r="AL582" s="61">
        <f t="shared" ca="1" si="38"/>
        <v>-6.3917610317782828E-2</v>
      </c>
      <c r="AM582" s="61">
        <f t="shared" ca="1" si="38"/>
        <v>-0.41192167053753909</v>
      </c>
      <c r="AN582" s="37"/>
      <c r="AO582" s="62">
        <f t="array" aca="1" ref="AO582:AR582" ca="1">TRANSPOSE($B$17:$B$20 + MMULT($D$17:$G$20,TRANSPOSE(AO581:AR581)) + MMULT($N$17:$Q$20,TRANSPOSE(AJ582:AM582)))</f>
        <v>0.4877759228551537</v>
      </c>
      <c r="AP582" s="62">
        <f ca="1"/>
        <v>1.2058457546917263</v>
      </c>
      <c r="AQ582" s="62">
        <f ca="1"/>
        <v>0.28340240847027565</v>
      </c>
      <c r="AR582" s="62">
        <f ca="1"/>
        <v>-0.1434450907321016</v>
      </c>
    </row>
    <row r="583" spans="25:44" x14ac:dyDescent="0.15">
      <c r="Y583" s="8">
        <f t="shared" si="39"/>
        <v>580</v>
      </c>
      <c r="Z583" s="61">
        <f t="shared" ca="1" si="37"/>
        <v>1.0823954131628666</v>
      </c>
      <c r="AA583" s="61">
        <f t="shared" ca="1" si="37"/>
        <v>-0.12267670703996918</v>
      </c>
      <c r="AB583" s="61">
        <f t="shared" ca="1" si="37"/>
        <v>-0.78113496058063192</v>
      </c>
      <c r="AC583" s="61">
        <f t="shared" ca="1" si="37"/>
        <v>0.67054344977033908</v>
      </c>
      <c r="AD583" s="37"/>
      <c r="AE583" s="62">
        <f t="array" aca="1" ref="AE583:AH583" ca="1">TRANSPOSE($B$9:$B$12 + MMULT($D$9:$G$12,TRANSPOSE(AO583:AR583)) + MMULT($N$9:$Q$12, TRANSPOSE(Z583:AC583)))</f>
        <v>1.1021862851099442</v>
      </c>
      <c r="AF583" s="62">
        <f ca="1"/>
        <v>8.8413406159231295E-2</v>
      </c>
      <c r="AG583" s="62">
        <f ca="1"/>
        <v>0.19457980025206478</v>
      </c>
      <c r="AH583" s="62">
        <f ca="1"/>
        <v>0.85799658448468508</v>
      </c>
      <c r="AI583" s="37"/>
      <c r="AJ583" s="61">
        <f t="shared" ca="1" si="38"/>
        <v>-0.7645104017080836</v>
      </c>
      <c r="AK583" s="61">
        <f t="shared" ca="1" si="38"/>
        <v>-1.7627710283412181</v>
      </c>
      <c r="AL583" s="61">
        <f t="shared" ca="1" si="38"/>
        <v>-0.36561046273897879</v>
      </c>
      <c r="AM583" s="61">
        <f t="shared" ca="1" si="38"/>
        <v>-0.51286222306902396</v>
      </c>
      <c r="AN583" s="37"/>
      <c r="AO583" s="62">
        <f t="array" aca="1" ref="AO583:AR583" ca="1">TRANSPOSE($B$17:$B$20 + MMULT($D$17:$G$20,TRANSPOSE(AO582:AR582)) + MMULT($N$17:$Q$20,TRANSPOSE(AJ583:AM583)))</f>
        <v>0.26580963430177507</v>
      </c>
      <c r="AP583" s="62">
        <f ca="1"/>
        <v>-0.22177829899502499</v>
      </c>
      <c r="AQ583" s="62">
        <f ca="1"/>
        <v>0.54831738898689197</v>
      </c>
      <c r="AR583" s="62">
        <f ca="1"/>
        <v>0.54940006288611087</v>
      </c>
    </row>
    <row r="584" spans="25:44" x14ac:dyDescent="0.15">
      <c r="Y584" s="8">
        <f t="shared" si="39"/>
        <v>581</v>
      </c>
      <c r="Z584" s="61">
        <f t="shared" ca="1" si="37"/>
        <v>0.22839172058179594</v>
      </c>
      <c r="AA584" s="61">
        <f t="shared" ca="1" si="37"/>
        <v>0.83909512609634784</v>
      </c>
      <c r="AB584" s="61">
        <f t="shared" ca="1" si="37"/>
        <v>0.57027184352495708</v>
      </c>
      <c r="AC584" s="61">
        <f t="shared" ca="1" si="37"/>
        <v>-0.2646100785100583</v>
      </c>
      <c r="AD584" s="37"/>
      <c r="AE584" s="62">
        <f t="array" aca="1" ref="AE584:AH584" ca="1">TRANSPOSE($B$9:$B$12 + MMULT($D$9:$G$12,TRANSPOSE(AO584:AR584)) + MMULT($N$9:$Q$12, TRANSPOSE(Z584:AC584)))</f>
        <v>1.0254624169937741</v>
      </c>
      <c r="AF584" s="62">
        <f ca="1"/>
        <v>0.91858562509061004</v>
      </c>
      <c r="AG584" s="62">
        <f ca="1"/>
        <v>1.0250618325344576</v>
      </c>
      <c r="AH584" s="62">
        <f ca="1"/>
        <v>0.22984001592889342</v>
      </c>
      <c r="AI584" s="37"/>
      <c r="AJ584" s="61">
        <f t="shared" ca="1" si="38"/>
        <v>1.2021849149318897</v>
      </c>
      <c r="AK584" s="61">
        <f t="shared" ca="1" si="38"/>
        <v>-2.3044764146684615E-2</v>
      </c>
      <c r="AL584" s="61">
        <f t="shared" ca="1" si="38"/>
        <v>-0.18585134214835403</v>
      </c>
      <c r="AM584" s="61">
        <f t="shared" ca="1" si="38"/>
        <v>-8.1924404035453549E-2</v>
      </c>
      <c r="AN584" s="37"/>
      <c r="AO584" s="62">
        <f t="array" aca="1" ref="AO584:AR584" ca="1">TRANSPOSE($B$17:$B$20 + MMULT($D$17:$G$20,TRANSPOSE(AO583:AR583)) + MMULT($N$17:$Q$20,TRANSPOSE(AJ584:AM584)))</f>
        <v>0.83990328133359027</v>
      </c>
      <c r="AP584" s="62">
        <f ca="1"/>
        <v>0.20925962086542796</v>
      </c>
      <c r="AQ584" s="62">
        <f ca="1"/>
        <v>0.38769047222384867</v>
      </c>
      <c r="AR584" s="62">
        <f ca="1"/>
        <v>0.59039525465223741</v>
      </c>
    </row>
    <row r="585" spans="25:44" x14ac:dyDescent="0.15">
      <c r="Y585" s="8">
        <f t="shared" si="39"/>
        <v>582</v>
      </c>
      <c r="Z585" s="61">
        <f t="shared" ca="1" si="37"/>
        <v>0.65261062169740292</v>
      </c>
      <c r="AA585" s="61">
        <f t="shared" ca="1" si="37"/>
        <v>-1.2502951212025728</v>
      </c>
      <c r="AB585" s="61">
        <f t="shared" ca="1" si="37"/>
        <v>-1.2366345230313565</v>
      </c>
      <c r="AC585" s="61">
        <f t="shared" ca="1" si="37"/>
        <v>0.90604410944788816</v>
      </c>
      <c r="AD585" s="37"/>
      <c r="AE585" s="62">
        <f t="array" aca="1" ref="AE585:AH585" ca="1">TRANSPOSE($B$9:$B$12 + MMULT($D$9:$G$12,TRANSPOSE(AO585:AR585)) + MMULT($N$9:$Q$12, TRANSPOSE(Z585:AC585)))</f>
        <v>0.61248053023739923</v>
      </c>
      <c r="AF585" s="62">
        <f ca="1"/>
        <v>1.2028456746813805</v>
      </c>
      <c r="AG585" s="62">
        <f ca="1"/>
        <v>-0.50773279643113978</v>
      </c>
      <c r="AH585" s="62">
        <f ca="1"/>
        <v>0.41769040825692294</v>
      </c>
      <c r="AI585" s="37"/>
      <c r="AJ585" s="61">
        <f t="shared" ca="1" si="38"/>
        <v>0.17815042854562155</v>
      </c>
      <c r="AK585" s="61">
        <f t="shared" ca="1" si="38"/>
        <v>1.8511497535972339</v>
      </c>
      <c r="AL585" s="61">
        <f t="shared" ca="1" si="38"/>
        <v>-1.4793618856627226</v>
      </c>
      <c r="AM585" s="61">
        <f t="shared" ca="1" si="38"/>
        <v>0.7461335145711977</v>
      </c>
      <c r="AN585" s="37"/>
      <c r="AO585" s="62">
        <f t="array" aca="1" ref="AO585:AR585" ca="1">TRANSPOSE($B$17:$B$20 + MMULT($D$17:$G$20,TRANSPOSE(AO584:AR584)) + MMULT($N$17:$Q$20,TRANSPOSE(AJ585:AM585)))</f>
        <v>0.6544217214154433</v>
      </c>
      <c r="AP585" s="62">
        <f ca="1"/>
        <v>1.2866803024048941</v>
      </c>
      <c r="AQ585" s="62">
        <f ca="1"/>
        <v>-0.39603300344567716</v>
      </c>
      <c r="AR585" s="62">
        <f ca="1"/>
        <v>0.23493546174976621</v>
      </c>
    </row>
    <row r="586" spans="25:44" x14ac:dyDescent="0.15">
      <c r="Y586" s="8">
        <f t="shared" si="39"/>
        <v>583</v>
      </c>
      <c r="Z586" s="61">
        <f t="shared" ca="1" si="37"/>
        <v>-0.86252942770732766</v>
      </c>
      <c r="AA586" s="61">
        <f t="shared" ca="1" si="37"/>
        <v>1.3394194472206293</v>
      </c>
      <c r="AB586" s="61">
        <f t="shared" ca="1" si="37"/>
        <v>-0.3885176241684159</v>
      </c>
      <c r="AC586" s="61">
        <f t="shared" ca="1" si="37"/>
        <v>-1.1526082370158539</v>
      </c>
      <c r="AD586" s="37"/>
      <c r="AE586" s="62">
        <f t="array" aca="1" ref="AE586:AH586" ca="1">TRANSPOSE($B$9:$B$12 + MMULT($D$9:$G$12,TRANSPOSE(AO586:AR586)) + MMULT($N$9:$Q$12, TRANSPOSE(Z586:AC586)))</f>
        <v>0.38692649032994858</v>
      </c>
      <c r="AF586" s="62">
        <f ca="1"/>
        <v>0.89948418575103206</v>
      </c>
      <c r="AG586" s="62">
        <f ca="1"/>
        <v>0.39907767758363488</v>
      </c>
      <c r="AH586" s="62">
        <f ca="1"/>
        <v>0.34747168395789296</v>
      </c>
      <c r="AI586" s="37"/>
      <c r="AJ586" s="61">
        <f t="shared" ca="1" si="38"/>
        <v>-0.29650437014997033</v>
      </c>
      <c r="AK586" s="61">
        <f t="shared" ca="1" si="38"/>
        <v>-0.26394722217379829</v>
      </c>
      <c r="AL586" s="61">
        <f t="shared" ca="1" si="38"/>
        <v>5.027851421138553E-2</v>
      </c>
      <c r="AM586" s="61">
        <f t="shared" ca="1" si="38"/>
        <v>0.22903198192813573</v>
      </c>
      <c r="AN586" s="37"/>
      <c r="AO586" s="62">
        <f t="array" aca="1" ref="AO586:AR586" ca="1">TRANSPOSE($B$17:$B$20 + MMULT($D$17:$G$20,TRANSPOSE(AO585:AR585)) + MMULT($N$17:$Q$20,TRANSPOSE(AJ586:AM586)))</f>
        <v>0.39034095629776083</v>
      </c>
      <c r="AP586" s="62">
        <f ca="1"/>
        <v>0.49988757415699303</v>
      </c>
      <c r="AQ586" s="62">
        <f ca="1"/>
        <v>0.54493102685262906</v>
      </c>
      <c r="AR586" s="62">
        <f ca="1"/>
        <v>0.42679322878951698</v>
      </c>
    </row>
    <row r="587" spans="25:44" x14ac:dyDescent="0.15">
      <c r="Y587" s="8">
        <f t="shared" si="39"/>
        <v>584</v>
      </c>
      <c r="Z587" s="61">
        <f t="shared" ca="1" si="37"/>
        <v>-1.0215734039996727</v>
      </c>
      <c r="AA587" s="61">
        <f t="shared" ca="1" si="37"/>
        <v>-0.54072427556644487</v>
      </c>
      <c r="AB587" s="61">
        <f t="shared" ca="1" si="37"/>
        <v>-0.30841691744950905</v>
      </c>
      <c r="AC587" s="61">
        <f t="shared" ca="1" si="37"/>
        <v>-1.0121570454322548</v>
      </c>
      <c r="AD587" s="37"/>
      <c r="AE587" s="62">
        <f t="array" aca="1" ref="AE587:AH587" ca="1">TRANSPOSE($B$9:$B$12 + MMULT($D$9:$G$12,TRANSPOSE(AO587:AR587)) + MMULT($N$9:$Q$12, TRANSPOSE(Z587:AC587)))</f>
        <v>0.40709771335718048</v>
      </c>
      <c r="AF587" s="62">
        <f ca="1"/>
        <v>0.15242502697440752</v>
      </c>
      <c r="AG587" s="62">
        <f ca="1"/>
        <v>0.2190016609936403</v>
      </c>
      <c r="AH587" s="62">
        <f ca="1"/>
        <v>0.28323402817266519</v>
      </c>
      <c r="AI587" s="37"/>
      <c r="AJ587" s="61">
        <f t="shared" ca="1" si="38"/>
        <v>-0.27417424259556583</v>
      </c>
      <c r="AK587" s="61">
        <f t="shared" ca="1" si="38"/>
        <v>0.33932140304399838</v>
      </c>
      <c r="AL587" s="61">
        <f t="shared" ca="1" si="38"/>
        <v>0.24505125932756455</v>
      </c>
      <c r="AM587" s="61">
        <f t="shared" ca="1" si="38"/>
        <v>-1.6053298083923166</v>
      </c>
      <c r="AN587" s="37"/>
      <c r="AO587" s="62">
        <f t="array" aca="1" ref="AO587:AR587" ca="1">TRANSPOSE($B$17:$B$20 + MMULT($D$17:$G$20,TRANSPOSE(AO586:AR586)) + MMULT($N$17:$Q$20,TRANSPOSE(AJ587:AM587)))</f>
        <v>0.42097995059728865</v>
      </c>
      <c r="AP587" s="62">
        <f ca="1"/>
        <v>0.55582736187029169</v>
      </c>
      <c r="AQ587" s="62">
        <f ca="1"/>
        <v>0.52086847594948837</v>
      </c>
      <c r="AR587" s="62">
        <f ca="1"/>
        <v>0.1390561613362773</v>
      </c>
    </row>
    <row r="588" spans="25:44" x14ac:dyDescent="0.15">
      <c r="Y588" s="8">
        <f t="shared" si="39"/>
        <v>585</v>
      </c>
      <c r="Z588" s="61">
        <f t="shared" ca="1" si="37"/>
        <v>0.67862318314666981</v>
      </c>
      <c r="AA588" s="61">
        <f t="shared" ca="1" si="37"/>
        <v>0.61472437725342388</v>
      </c>
      <c r="AB588" s="61">
        <f t="shared" ca="1" si="37"/>
        <v>-0.89652703551918755</v>
      </c>
      <c r="AC588" s="61">
        <f t="shared" ca="1" si="37"/>
        <v>1.9152502163427487</v>
      </c>
      <c r="AD588" s="37"/>
      <c r="AE588" s="62">
        <f t="array" aca="1" ref="AE588:AH588" ca="1">TRANSPOSE($B$9:$B$12 + MMULT($D$9:$G$12,TRANSPOSE(AO588:AR588)) + MMULT($N$9:$Q$12, TRANSPOSE(Z588:AC588)))</f>
        <v>1.675986680130507</v>
      </c>
      <c r="AF588" s="62">
        <f ca="1"/>
        <v>1.519701280866766</v>
      </c>
      <c r="AG588" s="62">
        <f ca="1"/>
        <v>0.45023725369057865</v>
      </c>
      <c r="AH588" s="62">
        <f ca="1"/>
        <v>1.5337470166190339</v>
      </c>
      <c r="AI588" s="37"/>
      <c r="AJ588" s="61">
        <f t="shared" ca="1" si="38"/>
        <v>1.8583500153107733</v>
      </c>
      <c r="AK588" s="61">
        <f t="shared" ca="1" si="38"/>
        <v>1.0570694103289848</v>
      </c>
      <c r="AL588" s="61">
        <f t="shared" ca="1" si="38"/>
        <v>0.68058388339702836</v>
      </c>
      <c r="AM588" s="61">
        <f t="shared" ca="1" si="38"/>
        <v>1.6483216450419065</v>
      </c>
      <c r="AN588" s="37"/>
      <c r="AO588" s="62">
        <f t="array" aca="1" ref="AO588:AR588" ca="1">TRANSPOSE($B$17:$B$20 + MMULT($D$17:$G$20,TRANSPOSE(AO587:AR587)) + MMULT($N$17:$Q$20,TRANSPOSE(AJ588:AM588)))</f>
        <v>1.133220359939985</v>
      </c>
      <c r="AP588" s="62">
        <f ca="1"/>
        <v>0.86505546304506709</v>
      </c>
      <c r="AQ588" s="62">
        <f ca="1"/>
        <v>1.0128294431396918</v>
      </c>
      <c r="AR588" s="62">
        <f ca="1"/>
        <v>0.96659185509159795</v>
      </c>
    </row>
    <row r="589" spans="25:44" x14ac:dyDescent="0.15">
      <c r="Y589" s="8">
        <f t="shared" si="39"/>
        <v>586</v>
      </c>
      <c r="Z589" s="61">
        <f t="shared" ca="1" si="37"/>
        <v>-1.0135842964448851</v>
      </c>
      <c r="AA589" s="61">
        <f t="shared" ca="1" si="37"/>
        <v>1.2318442564593772</v>
      </c>
      <c r="AB589" s="61">
        <f t="shared" ca="1" si="37"/>
        <v>0.43649814264523845</v>
      </c>
      <c r="AC589" s="61">
        <f t="shared" ca="1" si="37"/>
        <v>-0.32792281256415962</v>
      </c>
      <c r="AD589" s="37"/>
      <c r="AE589" s="62">
        <f t="array" aca="1" ref="AE589:AH589" ca="1">TRANSPOSE($B$9:$B$12 + MMULT($D$9:$G$12,TRANSPOSE(AO589:AR589)) + MMULT($N$9:$Q$12, TRANSPOSE(Z589:AC589)))</f>
        <v>0.44620146039445957</v>
      </c>
      <c r="AF589" s="62">
        <f ca="1"/>
        <v>0.9930863358995341</v>
      </c>
      <c r="AG589" s="62">
        <f ca="1"/>
        <v>1.3109193830100661</v>
      </c>
      <c r="AH589" s="62">
        <f ca="1"/>
        <v>0.5418985302380771</v>
      </c>
      <c r="AI589" s="37"/>
      <c r="AJ589" s="61">
        <f t="shared" ca="1" si="38"/>
        <v>-0.36394962245395857</v>
      </c>
      <c r="AK589" s="61">
        <f t="shared" ca="1" si="38"/>
        <v>-0.97248584654421455</v>
      </c>
      <c r="AL589" s="61">
        <f t="shared" ca="1" si="38"/>
        <v>-0.78445771890159155</v>
      </c>
      <c r="AM589" s="61">
        <f t="shared" ca="1" si="38"/>
        <v>-0.49520717988805779</v>
      </c>
      <c r="AN589" s="37"/>
      <c r="AO589" s="62">
        <f t="array" aca="1" ref="AO589:AR589" ca="1">TRANSPOSE($B$17:$B$20 + MMULT($D$17:$G$20,TRANSPOSE(AO588:AR588)) + MMULT($N$17:$Q$20,TRANSPOSE(AJ589:AM589)))</f>
        <v>0.70650510859682469</v>
      </c>
      <c r="AP589" s="62">
        <f ca="1"/>
        <v>0.46116514956808263</v>
      </c>
      <c r="AQ589" s="62">
        <f ca="1"/>
        <v>0.59509526074050623</v>
      </c>
      <c r="AR589" s="62">
        <f ca="1"/>
        <v>0.91487670710062008</v>
      </c>
    </row>
    <row r="590" spans="25:44" x14ac:dyDescent="0.15">
      <c r="Y590" s="8">
        <f t="shared" si="39"/>
        <v>587</v>
      </c>
      <c r="Z590" s="61">
        <f t="shared" ca="1" si="37"/>
        <v>0.57712826402476658</v>
      </c>
      <c r="AA590" s="61">
        <f t="shared" ca="1" si="37"/>
        <v>-1.3666829184145004</v>
      </c>
      <c r="AB590" s="61">
        <f t="shared" ca="1" si="37"/>
        <v>1.1141165346077788</v>
      </c>
      <c r="AC590" s="61">
        <f t="shared" ca="1" si="37"/>
        <v>0.30753681824773293</v>
      </c>
      <c r="AD590" s="37"/>
      <c r="AE590" s="62">
        <f t="array" aca="1" ref="AE590:AH590" ca="1">TRANSPOSE($B$9:$B$12 + MMULT($D$9:$G$12,TRANSPOSE(AO590:AR590)) + MMULT($N$9:$Q$12, TRANSPOSE(Z590:AC590)))</f>
        <v>1.6971481538513966</v>
      </c>
      <c r="AF590" s="62">
        <f ca="1"/>
        <v>0.12842577306990932</v>
      </c>
      <c r="AG590" s="62">
        <f ca="1"/>
        <v>1.2542756655975686</v>
      </c>
      <c r="AH590" s="62">
        <f ca="1"/>
        <v>1.227430486049655</v>
      </c>
      <c r="AI590" s="37"/>
      <c r="AJ590" s="61">
        <f t="shared" ca="1" si="38"/>
        <v>0.73292334007246884</v>
      </c>
      <c r="AK590" s="61">
        <f t="shared" ca="1" si="38"/>
        <v>-0.48049779603615472</v>
      </c>
      <c r="AL590" s="61">
        <f t="shared" ca="1" si="38"/>
        <v>1.221143016566635</v>
      </c>
      <c r="AM590" s="61">
        <f t="shared" ca="1" si="38"/>
        <v>-0.82846438485011231</v>
      </c>
      <c r="AN590" s="37"/>
      <c r="AO590" s="62">
        <f t="array" aca="1" ref="AO590:AR590" ca="1">TRANSPOSE($B$17:$B$20 + MMULT($D$17:$G$20,TRANSPOSE(AO589:AR589)) + MMULT($N$17:$Q$20,TRANSPOSE(AJ590:AM590)))</f>
        <v>0.87078249204238067</v>
      </c>
      <c r="AP590" s="62">
        <f ca="1"/>
        <v>0.39507190076797394</v>
      </c>
      <c r="AQ590" s="62">
        <f ca="1"/>
        <v>1.3119929224021285</v>
      </c>
      <c r="AR590" s="62">
        <f ca="1"/>
        <v>0.84218932012283387</v>
      </c>
    </row>
    <row r="591" spans="25:44" x14ac:dyDescent="0.15">
      <c r="Y591" s="8">
        <f t="shared" si="39"/>
        <v>588</v>
      </c>
      <c r="Z591" s="61">
        <f t="shared" ca="1" si="37"/>
        <v>0.11414128706157486</v>
      </c>
      <c r="AA591" s="61">
        <f t="shared" ca="1" si="37"/>
        <v>-0.25972577476233016</v>
      </c>
      <c r="AB591" s="61">
        <f t="shared" ca="1" si="37"/>
        <v>-0.67990028562247951</v>
      </c>
      <c r="AC591" s="61">
        <f t="shared" ca="1" si="37"/>
        <v>-1.0821139525699237</v>
      </c>
      <c r="AD591" s="37"/>
      <c r="AE591" s="62">
        <f t="array" aca="1" ref="AE591:AH591" ca="1">TRANSPOSE($B$9:$B$12 + MMULT($D$9:$G$12,TRANSPOSE(AO591:AR591)) + MMULT($N$9:$Q$12, TRANSPOSE(Z591:AC591)))</f>
        <v>1.1258275380026872</v>
      </c>
      <c r="AF591" s="62">
        <f ca="1"/>
        <v>0.54617970114551762</v>
      </c>
      <c r="AG591" s="62">
        <f ca="1"/>
        <v>1.0054750257539724</v>
      </c>
      <c r="AH591" s="62">
        <f ca="1"/>
        <v>1.058952631595409</v>
      </c>
      <c r="AI591" s="37"/>
      <c r="AJ591" s="61">
        <f t="shared" ca="1" si="38"/>
        <v>-9.6470904532129469E-3</v>
      </c>
      <c r="AK591" s="61">
        <f t="shared" ca="1" si="38"/>
        <v>-0.74195155326958473</v>
      </c>
      <c r="AL591" s="61">
        <f t="shared" ca="1" si="38"/>
        <v>0.45493214887808731</v>
      </c>
      <c r="AM591" s="61">
        <f t="shared" ca="1" si="38"/>
        <v>0.79102315007325852</v>
      </c>
      <c r="AN591" s="37"/>
      <c r="AO591" s="62">
        <f t="array" aca="1" ref="AO591:AR591" ca="1">TRANSPOSE($B$17:$B$20 + MMULT($D$17:$G$20,TRANSPOSE(AO590:AR590)) + MMULT($N$17:$Q$20,TRANSPOSE(AJ591:AM591)))</f>
        <v>0.76170494092209429</v>
      </c>
      <c r="AP591" s="62">
        <f ca="1"/>
        <v>0.35455357218282407</v>
      </c>
      <c r="AQ591" s="62">
        <f ca="1"/>
        <v>1.0530226398385942</v>
      </c>
      <c r="AR591" s="62">
        <f ca="1"/>
        <v>1.3364534707334494</v>
      </c>
    </row>
    <row r="592" spans="25:44" x14ac:dyDescent="0.15">
      <c r="Y592" s="8">
        <f t="shared" si="39"/>
        <v>589</v>
      </c>
      <c r="Z592" s="61">
        <f t="shared" ca="1" si="37"/>
        <v>0.20544540719579304</v>
      </c>
      <c r="AA592" s="61">
        <f t="shared" ca="1" si="37"/>
        <v>0.28042199480397517</v>
      </c>
      <c r="AB592" s="61">
        <f t="shared" ca="1" si="37"/>
        <v>0.54045871388907107</v>
      </c>
      <c r="AC592" s="61">
        <f t="shared" ca="1" si="37"/>
        <v>-0.22878158913811714</v>
      </c>
      <c r="AD592" s="37"/>
      <c r="AE592" s="62">
        <f t="array" aca="1" ref="AE592:AH592" ca="1">TRANSPOSE($B$9:$B$12 + MMULT($D$9:$G$12,TRANSPOSE(AO592:AR592)) + MMULT($N$9:$Q$12, TRANSPOSE(Z592:AC592)))</f>
        <v>0.85060933550319706</v>
      </c>
      <c r="AF592" s="62">
        <f ca="1"/>
        <v>1.712976184001914</v>
      </c>
      <c r="AG592" s="62">
        <f ca="1"/>
        <v>0.56938530553044409</v>
      </c>
      <c r="AH592" s="62">
        <f ca="1"/>
        <v>0.60153383016672124</v>
      </c>
      <c r="AI592" s="37"/>
      <c r="AJ592" s="61">
        <f t="shared" ca="1" si="38"/>
        <v>0.14582477299764204</v>
      </c>
      <c r="AK592" s="61">
        <f t="shared" ca="1" si="38"/>
        <v>1.6652405264288515</v>
      </c>
      <c r="AL592" s="61">
        <f t="shared" ca="1" si="38"/>
        <v>-0.50769223179296497</v>
      </c>
      <c r="AM592" s="61">
        <f t="shared" ca="1" si="38"/>
        <v>-0.10404225813706655</v>
      </c>
      <c r="AN592" s="37"/>
      <c r="AO592" s="62">
        <f t="array" aca="1" ref="AO592:AR592" ca="1">TRANSPOSE($B$17:$B$20 + MMULT($D$17:$G$20,TRANSPOSE(AO591:AR591)) + MMULT($N$17:$Q$20,TRANSPOSE(AJ592:AM592)))</f>
        <v>0.76817206785212844</v>
      </c>
      <c r="AP592" s="62">
        <f ca="1"/>
        <v>1.3778786956436542</v>
      </c>
      <c r="AQ592" s="62">
        <f ca="1"/>
        <v>0.31435682950604948</v>
      </c>
      <c r="AR592" s="62">
        <f ca="1"/>
        <v>0.60957997454978541</v>
      </c>
    </row>
    <row r="593" spans="25:44" x14ac:dyDescent="0.15">
      <c r="Y593" s="8">
        <f t="shared" si="39"/>
        <v>590</v>
      </c>
      <c r="Z593" s="61">
        <f t="shared" ca="1" si="37"/>
        <v>0.48632891910704162</v>
      </c>
      <c r="AA593" s="61">
        <f t="shared" ca="1" si="37"/>
        <v>0.99092600993740076</v>
      </c>
      <c r="AB593" s="61">
        <f t="shared" ca="1" si="37"/>
        <v>-0.12987644703996476</v>
      </c>
      <c r="AC593" s="61">
        <f t="shared" ca="1" si="37"/>
        <v>0.86810896539117943</v>
      </c>
      <c r="AD593" s="37"/>
      <c r="AE593" s="62">
        <f t="array" aca="1" ref="AE593:AH593" ca="1">TRANSPOSE($B$9:$B$12 + MMULT($D$9:$G$12,TRANSPOSE(AO593:AR593)) + MMULT($N$9:$Q$12, TRANSPOSE(Z593:AC593)))</f>
        <v>0.85482651083852979</v>
      </c>
      <c r="AF593" s="62">
        <f ca="1"/>
        <v>1.4121540704711448</v>
      </c>
      <c r="AG593" s="62">
        <f ca="1"/>
        <v>0.28892273005065228</v>
      </c>
      <c r="AH593" s="62">
        <f ca="1"/>
        <v>0.30438658316546996</v>
      </c>
      <c r="AI593" s="37"/>
      <c r="AJ593" s="61">
        <f t="shared" ca="1" si="38"/>
        <v>0.25898874059325194</v>
      </c>
      <c r="AK593" s="61">
        <f t="shared" ca="1" si="38"/>
        <v>-0.36195256277548887</v>
      </c>
      <c r="AL593" s="61">
        <f t="shared" ca="1" si="38"/>
        <v>-2.0677748057409491</v>
      </c>
      <c r="AM593" s="61">
        <f t="shared" ca="1" si="38"/>
        <v>-1.0742248714086373</v>
      </c>
      <c r="AN593" s="37"/>
      <c r="AO593" s="62">
        <f t="array" aca="1" ref="AO593:AR593" ca="1">TRANSPOSE($B$17:$B$20 + MMULT($D$17:$G$20,TRANSPOSE(AO592:AR592)) + MMULT($N$17:$Q$20,TRANSPOSE(AJ593:AM593)))</f>
        <v>0.73689569168048374</v>
      </c>
      <c r="AP593" s="62">
        <f ca="1"/>
        <v>0.63408106260574704</v>
      </c>
      <c r="AQ593" s="62">
        <f ca="1"/>
        <v>-2.0256778322962132E-2</v>
      </c>
      <c r="AR593" s="62">
        <f ca="1"/>
        <v>0.3122387810914693</v>
      </c>
    </row>
    <row r="594" spans="25:44" x14ac:dyDescent="0.15">
      <c r="Y594" s="8">
        <f t="shared" si="39"/>
        <v>591</v>
      </c>
      <c r="Z594" s="61">
        <f t="shared" ca="1" si="37"/>
        <v>2.5770059341407059</v>
      </c>
      <c r="AA594" s="61">
        <f t="shared" ca="1" si="37"/>
        <v>1.6558061009803333</v>
      </c>
      <c r="AB594" s="61">
        <f t="shared" ca="1" si="37"/>
        <v>0.39253377958174746</v>
      </c>
      <c r="AC594" s="61">
        <f t="shared" ca="1" si="37"/>
        <v>-0.9315173946289339</v>
      </c>
      <c r="AD594" s="37"/>
      <c r="AE594" s="62">
        <f t="array" aca="1" ref="AE594:AH594" ca="1">TRANSPOSE($B$9:$B$12 + MMULT($D$9:$G$12,TRANSPOSE(AO594:AR594)) + MMULT($N$9:$Q$12, TRANSPOSE(Z594:AC594)))</f>
        <v>1.5071545082297022</v>
      </c>
      <c r="AF594" s="62">
        <f ca="1"/>
        <v>2.4799908671046387</v>
      </c>
      <c r="AG594" s="62">
        <f ca="1"/>
        <v>-0.12274586542654495</v>
      </c>
      <c r="AH594" s="62">
        <f ca="1"/>
        <v>0.2760910005390762</v>
      </c>
      <c r="AI594" s="37"/>
      <c r="AJ594" s="61">
        <f t="shared" ca="1" si="38"/>
        <v>8.9129075702407464E-3</v>
      </c>
      <c r="AK594" s="61">
        <f t="shared" ca="1" si="38"/>
        <v>1.4911767471502186</v>
      </c>
      <c r="AL594" s="61">
        <f t="shared" ca="1" si="38"/>
        <v>-0.71016612730080242</v>
      </c>
      <c r="AM594" s="61">
        <f t="shared" ca="1" si="38"/>
        <v>1.3568626530295329</v>
      </c>
      <c r="AN594" s="37"/>
      <c r="AO594" s="62">
        <f t="array" aca="1" ref="AO594:AR594" ca="1">TRANSPOSE($B$17:$B$20 + MMULT($D$17:$G$20,TRANSPOSE(AO593:AR593)) + MMULT($N$17:$Q$20,TRANSPOSE(AJ594:AM594)))</f>
        <v>0.52719362089287558</v>
      </c>
      <c r="AP594" s="62">
        <f ca="1"/>
        <v>1.13876053409839</v>
      </c>
      <c r="AQ594" s="62">
        <f ca="1"/>
        <v>-4.3401303784591116E-2</v>
      </c>
      <c r="AR594" s="62">
        <f ca="1"/>
        <v>0.36420617399752564</v>
      </c>
    </row>
    <row r="595" spans="25:44" x14ac:dyDescent="0.15">
      <c r="Y595" s="8">
        <f t="shared" si="39"/>
        <v>592</v>
      </c>
      <c r="Z595" s="61">
        <f t="shared" ca="1" si="37"/>
        <v>-3.3789355818668243</v>
      </c>
      <c r="AA595" s="61">
        <f t="shared" ca="1" si="37"/>
        <v>0.70487719084088196</v>
      </c>
      <c r="AB595" s="61">
        <f t="shared" ca="1" si="37"/>
        <v>1.638990360780135</v>
      </c>
      <c r="AC595" s="61">
        <f t="shared" ca="1" si="37"/>
        <v>2.2451291653073104E-2</v>
      </c>
      <c r="AD595" s="37"/>
      <c r="AE595" s="62">
        <f t="array" aca="1" ref="AE595:AH595" ca="1">TRANSPOSE($B$9:$B$12 + MMULT($D$9:$G$12,TRANSPOSE(AO595:AR595)) + MMULT($N$9:$Q$12, TRANSPOSE(Z595:AC595)))</f>
        <v>-5.6766863778427101E-2</v>
      </c>
      <c r="AF595" s="62">
        <f ca="1"/>
        <v>-0.54039522424206243</v>
      </c>
      <c r="AG595" s="62">
        <f ca="1"/>
        <v>2.0736581629619288</v>
      </c>
      <c r="AH595" s="62">
        <f ca="1"/>
        <v>1.357737916636963</v>
      </c>
      <c r="AI595" s="37"/>
      <c r="AJ595" s="61">
        <f t="shared" ca="1" si="38"/>
        <v>-0.88677881590673191</v>
      </c>
      <c r="AK595" s="61">
        <f t="shared" ca="1" si="38"/>
        <v>-1.1460739347145961</v>
      </c>
      <c r="AL595" s="61">
        <f t="shared" ca="1" si="38"/>
        <v>2.9364548727487803</v>
      </c>
      <c r="AM595" s="61">
        <f t="shared" ca="1" si="38"/>
        <v>-0.16114594285131165</v>
      </c>
      <c r="AN595" s="37"/>
      <c r="AO595" s="62">
        <f t="array" aca="1" ref="AO595:AR595" ca="1">TRANSPOSE($B$17:$B$20 + MMULT($D$17:$G$20,TRANSPOSE(AO594:AR594)) + MMULT($N$17:$Q$20,TRANSPOSE(AJ595:AM595)))</f>
        <v>0.20629569097743738</v>
      </c>
      <c r="AP595" s="62">
        <f ca="1"/>
        <v>8.3977459365479346E-2</v>
      </c>
      <c r="AQ595" s="62">
        <f ca="1"/>
        <v>1.8501106185977407</v>
      </c>
      <c r="AR595" s="62">
        <f ca="1"/>
        <v>0.88632967700087928</v>
      </c>
    </row>
    <row r="596" spans="25:44" x14ac:dyDescent="0.15">
      <c r="Y596" s="8">
        <f t="shared" si="39"/>
        <v>593</v>
      </c>
      <c r="Z596" s="61">
        <f t="shared" ca="1" si="37"/>
        <v>0.83466297700751457</v>
      </c>
      <c r="AA596" s="61">
        <f t="shared" ca="1" si="37"/>
        <v>8.3376792206222919E-3</v>
      </c>
      <c r="AB596" s="61">
        <f t="shared" ca="1" si="37"/>
        <v>1.3053154917221161</v>
      </c>
      <c r="AC596" s="61">
        <f t="shared" ca="1" si="37"/>
        <v>-0.84226850109052853</v>
      </c>
      <c r="AD596" s="37"/>
      <c r="AE596" s="62">
        <f t="array" aca="1" ref="AE596:AH596" ca="1">TRANSPOSE($B$9:$B$12 + MMULT($D$9:$G$12,TRANSPOSE(AO596:AR596)) + MMULT($N$9:$Q$12, TRANSPOSE(Z596:AC596)))</f>
        <v>0.77099230595732471</v>
      </c>
      <c r="AF596" s="62">
        <f ca="1"/>
        <v>0.3859941646301589</v>
      </c>
      <c r="AG596" s="62">
        <f ca="1"/>
        <v>1.1367798923479109</v>
      </c>
      <c r="AH596" s="62">
        <f ca="1"/>
        <v>0.70458071948222123</v>
      </c>
      <c r="AI596" s="37"/>
      <c r="AJ596" s="61">
        <f t="shared" ca="1" si="38"/>
        <v>-1.7466554424964065</v>
      </c>
      <c r="AK596" s="61">
        <f t="shared" ca="1" si="38"/>
        <v>-0.56274180971763521</v>
      </c>
      <c r="AL596" s="61">
        <f t="shared" ca="1" si="38"/>
        <v>0.27910154818368005</v>
      </c>
      <c r="AM596" s="61">
        <f t="shared" ca="1" si="38"/>
        <v>-0.78069136636847625</v>
      </c>
      <c r="AN596" s="37"/>
      <c r="AO596" s="62">
        <f t="array" aca="1" ref="AO596:AR596" ca="1">TRANSPOSE($B$17:$B$20 + MMULT($D$17:$G$20,TRANSPOSE(AO595:AR595)) + MMULT($N$17:$Q$20,TRANSPOSE(AJ596:AM596)))</f>
        <v>6.2983683692151904E-2</v>
      </c>
      <c r="AP596" s="62">
        <f ca="1"/>
        <v>0.14883906132237279</v>
      </c>
      <c r="AQ596" s="62">
        <f ca="1"/>
        <v>0.58066306938059253</v>
      </c>
      <c r="AR596" s="62">
        <f ca="1"/>
        <v>0.8491298075776802</v>
      </c>
    </row>
    <row r="597" spans="25:44" x14ac:dyDescent="0.15">
      <c r="Y597" s="8">
        <f t="shared" si="39"/>
        <v>594</v>
      </c>
      <c r="Z597" s="61">
        <f t="shared" ca="1" si="37"/>
        <v>7.894885708150054E-2</v>
      </c>
      <c r="AA597" s="61">
        <f t="shared" ca="1" si="37"/>
        <v>0.30920817258463645</v>
      </c>
      <c r="AB597" s="61">
        <f t="shared" ca="1" si="37"/>
        <v>1.807556557756351</v>
      </c>
      <c r="AC597" s="61">
        <f t="shared" ca="1" si="37"/>
        <v>-1.76120936635658</v>
      </c>
      <c r="AD597" s="37"/>
      <c r="AE597" s="62">
        <f t="array" aca="1" ref="AE597:AH597" ca="1">TRANSPOSE($B$9:$B$12 + MMULT($D$9:$G$12,TRANSPOSE(AO597:AR597)) + MMULT($N$9:$Q$12, TRANSPOSE(Z597:AC597)))</f>
        <v>0.49941104248034335</v>
      </c>
      <c r="AF597" s="62">
        <f ca="1"/>
        <v>1.0339173851231935</v>
      </c>
      <c r="AG597" s="62">
        <f ca="1"/>
        <v>1.0571796498464596</v>
      </c>
      <c r="AH597" s="62">
        <f ca="1"/>
        <v>5.325696939346114E-2</v>
      </c>
      <c r="AI597" s="37"/>
      <c r="AJ597" s="61">
        <f t="shared" ca="1" si="38"/>
        <v>-0.27935962688125038</v>
      </c>
      <c r="AK597" s="61">
        <f t="shared" ca="1" si="38"/>
        <v>1.255874050694971</v>
      </c>
      <c r="AL597" s="61">
        <f t="shared" ca="1" si="38"/>
        <v>9.229918912993712E-2</v>
      </c>
      <c r="AM597" s="61">
        <f t="shared" ca="1" si="38"/>
        <v>0.33467608034568808</v>
      </c>
      <c r="AN597" s="37"/>
      <c r="AO597" s="62">
        <f t="array" aca="1" ref="AO597:AR597" ca="1">TRANSPOSE($B$17:$B$20 + MMULT($D$17:$G$20,TRANSPOSE(AO596:AR596)) + MMULT($N$17:$Q$20,TRANSPOSE(AJ597:AM597)))</f>
        <v>0.33420675955222257</v>
      </c>
      <c r="AP597" s="62">
        <f ca="1"/>
        <v>0.80506950989305359</v>
      </c>
      <c r="AQ597" s="62">
        <f ca="1"/>
        <v>0.21913472931389802</v>
      </c>
      <c r="AR597" s="62">
        <f ca="1"/>
        <v>0.46412415562222775</v>
      </c>
    </row>
    <row r="598" spans="25:44" x14ac:dyDescent="0.15">
      <c r="Y598" s="8">
        <f t="shared" si="39"/>
        <v>595</v>
      </c>
      <c r="Z598" s="61">
        <f t="shared" ca="1" si="37"/>
        <v>-0.19891098918954805</v>
      </c>
      <c r="AA598" s="61">
        <f t="shared" ca="1" si="37"/>
        <v>-0.11075426831666599</v>
      </c>
      <c r="AB598" s="61">
        <f t="shared" ca="1" si="37"/>
        <v>-2.0113678571278508</v>
      </c>
      <c r="AC598" s="61">
        <f t="shared" ca="1" si="37"/>
        <v>-0.33547463987630083</v>
      </c>
      <c r="AD598" s="37"/>
      <c r="AE598" s="62">
        <f t="array" aca="1" ref="AE598:AH598" ca="1">TRANSPOSE($B$9:$B$12 + MMULT($D$9:$G$12,TRANSPOSE(AO598:AR598)) + MMULT($N$9:$Q$12, TRANSPOSE(Z598:AC598)))</f>
        <v>0.96793716724827861</v>
      </c>
      <c r="AF598" s="62">
        <f ca="1"/>
        <v>0.80147243838974125</v>
      </c>
      <c r="AG598" s="62">
        <f ca="1"/>
        <v>-0.63417530979773584</v>
      </c>
      <c r="AH598" s="62">
        <f ca="1"/>
        <v>0.18568727918913003</v>
      </c>
      <c r="AI598" s="37"/>
      <c r="AJ598" s="61">
        <f t="shared" ca="1" si="38"/>
        <v>1.2427779835379027</v>
      </c>
      <c r="AK598" s="61">
        <f t="shared" ca="1" si="38"/>
        <v>0.4914837533773182</v>
      </c>
      <c r="AL598" s="61">
        <f t="shared" ca="1" si="38"/>
        <v>-0.92005312889146973</v>
      </c>
      <c r="AM598" s="61">
        <f t="shared" ca="1" si="38"/>
        <v>-2.0707271243515843</v>
      </c>
      <c r="AN598" s="37"/>
      <c r="AO598" s="62">
        <f t="array" aca="1" ref="AO598:AR598" ca="1">TRANSPOSE($B$17:$B$20 + MMULT($D$17:$G$20,TRANSPOSE(AO597:AR597)) + MMULT($N$17:$Q$20,TRANSPOSE(AJ598:AM598)))</f>
        <v>0.8923175336138025</v>
      </c>
      <c r="AP598" s="62">
        <f ca="1"/>
        <v>0.68157606444584451</v>
      </c>
      <c r="AQ598" s="62">
        <f ca="1"/>
        <v>0.27429311155150427</v>
      </c>
      <c r="AR598" s="62">
        <f ca="1"/>
        <v>-3.4185774831248406E-2</v>
      </c>
    </row>
    <row r="599" spans="25:44" x14ac:dyDescent="0.15">
      <c r="Y599" s="8">
        <f t="shared" si="39"/>
        <v>596</v>
      </c>
      <c r="Z599" s="61">
        <f t="shared" ca="1" si="37"/>
        <v>1.3223642285265491</v>
      </c>
      <c r="AA599" s="61">
        <f t="shared" ca="1" si="37"/>
        <v>-1.7731925816915446</v>
      </c>
      <c r="AB599" s="61">
        <f t="shared" ca="1" si="37"/>
        <v>-2.1244480022671723</v>
      </c>
      <c r="AC599" s="61">
        <f t="shared" ca="1" si="37"/>
        <v>-0.31523300426774664</v>
      </c>
      <c r="AD599" s="37"/>
      <c r="AE599" s="62">
        <f t="array" aca="1" ref="AE599:AH599" ca="1">TRANSPOSE($B$9:$B$12 + MMULT($D$9:$G$12,TRANSPOSE(AO599:AR599)) + MMULT($N$9:$Q$12, TRANSPOSE(Z599:AC599)))</f>
        <v>1.6514080609328419</v>
      </c>
      <c r="AF599" s="62">
        <f ca="1"/>
        <v>0.33225684603455929</v>
      </c>
      <c r="AG599" s="62">
        <f ca="1"/>
        <v>-0.98386050232635869</v>
      </c>
      <c r="AH599" s="62">
        <f ca="1"/>
        <v>0.84893816119816379</v>
      </c>
      <c r="AI599" s="37"/>
      <c r="AJ599" s="61">
        <f t="shared" ca="1" si="38"/>
        <v>0.19618202197016793</v>
      </c>
      <c r="AK599" s="61">
        <f t="shared" ca="1" si="38"/>
        <v>0.37081585237297315</v>
      </c>
      <c r="AL599" s="61">
        <f t="shared" ca="1" si="38"/>
        <v>0.38019634576218009</v>
      </c>
      <c r="AM599" s="61">
        <f t="shared" ca="1" si="38"/>
        <v>-1.2823125954440988</v>
      </c>
      <c r="AN599" s="37"/>
      <c r="AO599" s="62">
        <f t="array" aca="1" ref="AO599:AR599" ca="1">TRANSPOSE($B$17:$B$20 + MMULT($D$17:$G$20,TRANSPOSE(AO598:AR598)) + MMULT($N$17:$Q$20,TRANSPOSE(AJ599:AM599)))</f>
        <v>0.66110619047417352</v>
      </c>
      <c r="AP599" s="62">
        <f ca="1"/>
        <v>0.70366196220202504</v>
      </c>
      <c r="AQ599" s="62">
        <f ca="1"/>
        <v>0.6938467107379398</v>
      </c>
      <c r="AR599" s="62">
        <f ca="1"/>
        <v>0.1119405331413349</v>
      </c>
    </row>
    <row r="600" spans="25:44" x14ac:dyDescent="0.15">
      <c r="Y600" s="8">
        <f t="shared" si="39"/>
        <v>597</v>
      </c>
      <c r="Z600" s="61">
        <f t="shared" ca="1" si="37"/>
        <v>0.82788516910181864</v>
      </c>
      <c r="AA600" s="61">
        <f t="shared" ca="1" si="37"/>
        <v>0.44552758613067223</v>
      </c>
      <c r="AB600" s="61">
        <f t="shared" ca="1" si="37"/>
        <v>-0.37958689625503406</v>
      </c>
      <c r="AC600" s="61">
        <f t="shared" ca="1" si="37"/>
        <v>1.6293829603776682</v>
      </c>
      <c r="AD600" s="37"/>
      <c r="AE600" s="62">
        <f t="array" aca="1" ref="AE600:AH600" ca="1">TRANSPOSE($B$9:$B$12 + MMULT($D$9:$G$12,TRANSPOSE(AO600:AR600)) + MMULT($N$9:$Q$12, TRANSPOSE(Z600:AC600)))</f>
        <v>0.5100749805352045</v>
      </c>
      <c r="AF600" s="62">
        <f ca="1"/>
        <v>0.84308738593105637</v>
      </c>
      <c r="AG600" s="62">
        <f ca="1"/>
        <v>0.38307883206950677</v>
      </c>
      <c r="AH600" s="62">
        <f ca="1"/>
        <v>0.33332198668566171</v>
      </c>
      <c r="AI600" s="37"/>
      <c r="AJ600" s="61">
        <f t="shared" ca="1" si="38"/>
        <v>-0.54785502273014752</v>
      </c>
      <c r="AK600" s="61">
        <f t="shared" ca="1" si="38"/>
        <v>-0.93271682312901205</v>
      </c>
      <c r="AL600" s="61">
        <f t="shared" ca="1" si="38"/>
        <v>-2.3083973297532401</v>
      </c>
      <c r="AM600" s="61">
        <f t="shared" ca="1" si="38"/>
        <v>0.17125584358282217</v>
      </c>
      <c r="AN600" s="37"/>
      <c r="AO600" s="62">
        <f t="array" aca="1" ref="AO600:AR600" ca="1">TRANSPOSE($B$17:$B$20 + MMULT($D$17:$G$20,TRANSPOSE(AO599:AR599)) + MMULT($N$17:$Q$20,TRANSPOSE(AJ600:AM600)))</f>
        <v>0.42108160098844682</v>
      </c>
      <c r="AP600" s="62">
        <f ca="1"/>
        <v>0.12503655608089553</v>
      </c>
      <c r="AQ600" s="62">
        <f ca="1"/>
        <v>-0.38609031812114447</v>
      </c>
      <c r="AR600" s="62">
        <f ca="1"/>
        <v>0.50012278430620738</v>
      </c>
    </row>
    <row r="601" spans="25:44" x14ac:dyDescent="0.15">
      <c r="Y601" s="8">
        <f t="shared" si="39"/>
        <v>598</v>
      </c>
      <c r="Z601" s="61">
        <f t="shared" ca="1" si="37"/>
        <v>0.42692796113860038</v>
      </c>
      <c r="AA601" s="61">
        <f t="shared" ca="1" si="37"/>
        <v>-0.43020196259333171</v>
      </c>
      <c r="AB601" s="61">
        <f t="shared" ca="1" si="37"/>
        <v>1.0372080835183874</v>
      </c>
      <c r="AC601" s="61">
        <f t="shared" ca="1" si="37"/>
        <v>-0.21921522206469213</v>
      </c>
      <c r="AD601" s="37"/>
      <c r="AE601" s="62">
        <f t="array" aca="1" ref="AE601:AH601" ca="1">TRANSPOSE($B$9:$B$12 + MMULT($D$9:$G$12,TRANSPOSE(AO601:AR601)) + MMULT($N$9:$Q$12, TRANSPOSE(Z601:AC601)))</f>
        <v>0.5123388510839294</v>
      </c>
      <c r="AF601" s="62">
        <f ca="1"/>
        <v>0.10649504246851144</v>
      </c>
      <c r="AG601" s="62">
        <f ca="1"/>
        <v>0.80066595876932256</v>
      </c>
      <c r="AH601" s="62">
        <f ca="1"/>
        <v>0.23996967471613467</v>
      </c>
      <c r="AI601" s="37"/>
      <c r="AJ601" s="61">
        <f t="shared" ca="1" si="38"/>
        <v>-0.65175477626244727</v>
      </c>
      <c r="AK601" s="61">
        <f t="shared" ca="1" si="38"/>
        <v>-0.48023453635095575</v>
      </c>
      <c r="AL601" s="61">
        <f t="shared" ca="1" si="38"/>
        <v>9.9941919558172665E-2</v>
      </c>
      <c r="AM601" s="61">
        <f t="shared" ca="1" si="38"/>
        <v>0.36732108261069729</v>
      </c>
      <c r="AN601" s="37"/>
      <c r="AO601" s="62">
        <f t="array" aca="1" ref="AO601:AR601" ca="1">TRANSPOSE($B$17:$B$20 + MMULT($D$17:$G$20,TRANSPOSE(AO600:AR600)) + MMULT($N$17:$Q$20,TRANSPOSE(AJ601:AM601)))</f>
        <v>0.14067214008834331</v>
      </c>
      <c r="AP601" s="62">
        <f ca="1"/>
        <v>6.2300474066736583E-2</v>
      </c>
      <c r="AQ601" s="62">
        <f ca="1"/>
        <v>0.12362838445969163</v>
      </c>
      <c r="AR601" s="62">
        <f ca="1"/>
        <v>0.35938266948615183</v>
      </c>
    </row>
    <row r="602" spans="25:44" x14ac:dyDescent="0.15">
      <c r="Y602" s="8">
        <f t="shared" si="39"/>
        <v>599</v>
      </c>
      <c r="Z602" s="61">
        <f t="shared" ca="1" si="37"/>
        <v>-0.41723025392329427</v>
      </c>
      <c r="AA602" s="61">
        <f t="shared" ca="1" si="37"/>
        <v>-0.46232696845252702</v>
      </c>
      <c r="AB602" s="61">
        <f t="shared" ca="1" si="37"/>
        <v>-0.67810877361896715</v>
      </c>
      <c r="AC602" s="61">
        <f t="shared" ca="1" si="37"/>
        <v>1.0473187127553383</v>
      </c>
      <c r="AD602" s="37"/>
      <c r="AE602" s="62">
        <f t="array" aca="1" ref="AE602:AH602" ca="1">TRANSPOSE($B$9:$B$12 + MMULT($D$9:$G$12,TRANSPOSE(AO602:AR602)) + MMULT($N$9:$Q$12, TRANSPOSE(Z602:AC602)))</f>
        <v>2.7426600669336831E-2</v>
      </c>
      <c r="AF602" s="62">
        <f ca="1"/>
        <v>0.32161194915358993</v>
      </c>
      <c r="AG602" s="62">
        <f ca="1"/>
        <v>-6.6533676737980219E-2</v>
      </c>
      <c r="AH602" s="62">
        <f ca="1"/>
        <v>0.24406960466070776</v>
      </c>
      <c r="AI602" s="37"/>
      <c r="AJ602" s="61">
        <f t="shared" ca="1" si="38"/>
        <v>-0.39215322965572674</v>
      </c>
      <c r="AK602" s="61">
        <f t="shared" ca="1" si="38"/>
        <v>0.62949147493074942</v>
      </c>
      <c r="AL602" s="61">
        <f t="shared" ca="1" si="38"/>
        <v>-0.76347349343164539</v>
      </c>
      <c r="AM602" s="61">
        <f t="shared" ca="1" si="38"/>
        <v>-0.14578873731468889</v>
      </c>
      <c r="AN602" s="37"/>
      <c r="AO602" s="62">
        <f t="array" aca="1" ref="AO602:AR602" ca="1">TRANSPOSE($B$17:$B$20 + MMULT($D$17:$G$20,TRANSPOSE(AO601:AR601)) + MMULT($N$17:$Q$20,TRANSPOSE(AJ602:AM602)))</f>
        <v>0.21895125959614797</v>
      </c>
      <c r="AP602" s="62">
        <f ca="1"/>
        <v>0.43797698709905786</v>
      </c>
      <c r="AQ602" s="62">
        <f ca="1"/>
        <v>-0.27957943207237512</v>
      </c>
      <c r="AR602" s="62">
        <f ca="1"/>
        <v>7.0555248959150718E-2</v>
      </c>
    </row>
    <row r="603" spans="25:44" x14ac:dyDescent="0.15">
      <c r="Y603" s="8"/>
      <c r="Z603" s="61"/>
      <c r="AA603" s="61"/>
      <c r="AB603" s="61"/>
      <c r="AC603" s="61"/>
      <c r="AD603" s="37"/>
      <c r="AE603" s="62"/>
      <c r="AF603" s="62"/>
      <c r="AG603" s="62"/>
      <c r="AH603" s="62"/>
      <c r="AI603" s="37"/>
      <c r="AJ603" s="61"/>
      <c r="AK603" s="61"/>
      <c r="AL603" s="61"/>
      <c r="AM603" s="61"/>
      <c r="AN603" s="37"/>
      <c r="AO603" s="62"/>
      <c r="AP603" s="62"/>
      <c r="AQ603" s="62"/>
      <c r="AR603" s="62"/>
    </row>
    <row r="604" spans="25:44" x14ac:dyDescent="0.15">
      <c r="Y604" s="8"/>
      <c r="Z604" s="61"/>
      <c r="AA604" s="61"/>
      <c r="AB604" s="61"/>
      <c r="AC604" s="61"/>
      <c r="AD604" s="37"/>
      <c r="AE604" s="62"/>
      <c r="AF604" s="62"/>
      <c r="AG604" s="62"/>
      <c r="AH604" s="62"/>
      <c r="AI604" s="37"/>
      <c r="AJ604" s="61"/>
      <c r="AK604" s="61"/>
      <c r="AL604" s="61"/>
      <c r="AM604" s="61"/>
      <c r="AN604" s="37"/>
      <c r="AO604" s="62"/>
      <c r="AP604" s="62"/>
      <c r="AQ604" s="62"/>
      <c r="AR604" s="62"/>
    </row>
    <row r="605" spans="25:44" x14ac:dyDescent="0.15">
      <c r="Y605" s="8"/>
      <c r="Z605" s="61"/>
      <c r="AA605" s="61"/>
      <c r="AB605" s="61"/>
      <c r="AC605" s="61"/>
      <c r="AD605" s="37"/>
      <c r="AE605" s="62"/>
      <c r="AF605" s="62"/>
      <c r="AG605" s="62"/>
      <c r="AH605" s="62"/>
      <c r="AI605" s="37"/>
      <c r="AJ605" s="61"/>
      <c r="AK605" s="61"/>
      <c r="AL605" s="61"/>
      <c r="AM605" s="61"/>
      <c r="AN605" s="37"/>
      <c r="AO605" s="62"/>
      <c r="AP605" s="62"/>
      <c r="AQ605" s="62"/>
      <c r="AR605" s="62"/>
    </row>
    <row r="606" spans="25:44" x14ac:dyDescent="0.15">
      <c r="Y606" s="8"/>
      <c r="Z606" s="61"/>
      <c r="AA606" s="61"/>
      <c r="AB606" s="61"/>
      <c r="AC606" s="61"/>
      <c r="AD606" s="37"/>
      <c r="AE606" s="62"/>
      <c r="AF606" s="62"/>
      <c r="AG606" s="62"/>
      <c r="AH606" s="62"/>
      <c r="AI606" s="37"/>
      <c r="AJ606" s="61"/>
      <c r="AK606" s="61"/>
      <c r="AL606" s="61"/>
      <c r="AM606" s="61"/>
      <c r="AN606" s="37"/>
      <c r="AO606" s="62"/>
      <c r="AP606" s="62"/>
      <c r="AQ606" s="62"/>
      <c r="AR606" s="62"/>
    </row>
    <row r="607" spans="25:44" x14ac:dyDescent="0.15">
      <c r="Y607" s="8"/>
      <c r="Z607" s="61"/>
      <c r="AA607" s="61"/>
      <c r="AB607" s="61"/>
      <c r="AC607" s="61"/>
      <c r="AD607" s="37"/>
      <c r="AE607" s="62"/>
      <c r="AF607" s="62"/>
      <c r="AG607" s="62"/>
      <c r="AH607" s="62"/>
      <c r="AI607" s="37"/>
      <c r="AJ607" s="61"/>
      <c r="AK607" s="61"/>
      <c r="AL607" s="61"/>
      <c r="AM607" s="61"/>
      <c r="AN607" s="37"/>
      <c r="AO607" s="62"/>
      <c r="AP607" s="62"/>
      <c r="AQ607" s="62"/>
      <c r="AR607" s="62"/>
    </row>
    <row r="608" spans="25:44" x14ac:dyDescent="0.15">
      <c r="Y608" s="8"/>
      <c r="Z608" s="61"/>
      <c r="AA608" s="61"/>
      <c r="AB608" s="61"/>
      <c r="AC608" s="61"/>
      <c r="AD608" s="37"/>
      <c r="AE608" s="62"/>
      <c r="AF608" s="62"/>
      <c r="AG608" s="62"/>
      <c r="AH608" s="62"/>
      <c r="AI608" s="37"/>
      <c r="AJ608" s="61"/>
      <c r="AK608" s="61"/>
      <c r="AL608" s="61"/>
      <c r="AM608" s="61"/>
      <c r="AN608" s="37"/>
      <c r="AO608" s="62"/>
      <c r="AP608" s="62"/>
      <c r="AQ608" s="62"/>
      <c r="AR608" s="62"/>
    </row>
    <row r="609" spans="25:44" x14ac:dyDescent="0.15">
      <c r="Y609" s="8"/>
      <c r="Z609" s="61"/>
      <c r="AA609" s="61"/>
      <c r="AB609" s="61"/>
      <c r="AC609" s="61"/>
      <c r="AD609" s="37"/>
      <c r="AE609" s="62"/>
      <c r="AF609" s="62"/>
      <c r="AG609" s="62"/>
      <c r="AH609" s="62"/>
      <c r="AI609" s="37"/>
      <c r="AJ609" s="61"/>
      <c r="AK609" s="61"/>
      <c r="AL609" s="61"/>
      <c r="AM609" s="61"/>
      <c r="AN609" s="37"/>
      <c r="AO609" s="62"/>
      <c r="AP609" s="62"/>
      <c r="AQ609" s="62"/>
      <c r="AR609" s="62"/>
    </row>
    <row r="610" spans="25:44" x14ac:dyDescent="0.15">
      <c r="Y610" s="8"/>
      <c r="Z610" s="61"/>
      <c r="AA610" s="61"/>
      <c r="AB610" s="61"/>
      <c r="AC610" s="61"/>
      <c r="AD610" s="37"/>
      <c r="AE610" s="62"/>
      <c r="AF610" s="62"/>
      <c r="AG610" s="62"/>
      <c r="AH610" s="62"/>
      <c r="AI610" s="37"/>
      <c r="AJ610" s="61"/>
      <c r="AK610" s="61"/>
      <c r="AL610" s="61"/>
      <c r="AM610" s="61"/>
      <c r="AN610" s="37"/>
      <c r="AO610" s="62"/>
      <c r="AP610" s="62"/>
      <c r="AQ610" s="62"/>
      <c r="AR610" s="62"/>
    </row>
    <row r="611" spans="25:44" x14ac:dyDescent="0.15">
      <c r="Y611" s="8"/>
      <c r="Z611" s="61"/>
      <c r="AA611" s="61"/>
      <c r="AB611" s="61"/>
      <c r="AC611" s="61"/>
      <c r="AD611" s="37"/>
      <c r="AE611" s="62"/>
      <c r="AF611" s="62"/>
      <c r="AG611" s="62"/>
      <c r="AH611" s="62"/>
      <c r="AI611" s="37"/>
      <c r="AJ611" s="61"/>
      <c r="AK611" s="61"/>
      <c r="AL611" s="61"/>
      <c r="AM611" s="61"/>
      <c r="AN611" s="37"/>
      <c r="AO611" s="62"/>
      <c r="AP611" s="62"/>
      <c r="AQ611" s="62"/>
      <c r="AR611" s="62"/>
    </row>
    <row r="612" spans="25:44" x14ac:dyDescent="0.15">
      <c r="Y612" s="8"/>
      <c r="Z612" s="61"/>
      <c r="AA612" s="61"/>
      <c r="AB612" s="61"/>
      <c r="AC612" s="61"/>
      <c r="AD612" s="37"/>
      <c r="AE612" s="62"/>
      <c r="AF612" s="62"/>
      <c r="AG612" s="62"/>
      <c r="AH612" s="62"/>
      <c r="AI612" s="37"/>
      <c r="AJ612" s="61"/>
      <c r="AK612" s="61"/>
      <c r="AL612" s="61"/>
      <c r="AM612" s="61"/>
      <c r="AN612" s="37"/>
      <c r="AO612" s="62"/>
      <c r="AP612" s="62"/>
      <c r="AQ612" s="62"/>
      <c r="AR612" s="62"/>
    </row>
    <row r="613" spans="25:44" x14ac:dyDescent="0.15">
      <c r="Y613" s="8"/>
      <c r="Z613" s="61"/>
      <c r="AA613" s="61"/>
      <c r="AB613" s="61"/>
      <c r="AC613" s="61"/>
      <c r="AD613" s="37"/>
      <c r="AE613" s="62"/>
      <c r="AF613" s="62"/>
      <c r="AG613" s="62"/>
      <c r="AH613" s="62"/>
      <c r="AI613" s="37"/>
      <c r="AJ613" s="61"/>
      <c r="AK613" s="61"/>
      <c r="AL613" s="61"/>
      <c r="AM613" s="61"/>
      <c r="AN613" s="37"/>
      <c r="AO613" s="62"/>
      <c r="AP613" s="62"/>
      <c r="AQ613" s="62"/>
      <c r="AR613" s="62"/>
    </row>
    <row r="614" spans="25:44" x14ac:dyDescent="0.15">
      <c r="Y614" s="8"/>
      <c r="Z614" s="61"/>
      <c r="AA614" s="61"/>
      <c r="AB614" s="61"/>
      <c r="AC614" s="61"/>
      <c r="AD614" s="37"/>
      <c r="AE614" s="62"/>
      <c r="AF614" s="62"/>
      <c r="AG614" s="62"/>
      <c r="AH614" s="62"/>
      <c r="AI614" s="37"/>
      <c r="AJ614" s="61"/>
      <c r="AK614" s="61"/>
      <c r="AL614" s="61"/>
      <c r="AM614" s="61"/>
      <c r="AN614" s="37"/>
      <c r="AO614" s="62"/>
      <c r="AP614" s="62"/>
      <c r="AQ614" s="62"/>
      <c r="AR614" s="62"/>
    </row>
    <row r="615" spans="25:44" x14ac:dyDescent="0.15">
      <c r="Y615" s="8"/>
      <c r="Z615" s="61"/>
      <c r="AA615" s="61"/>
      <c r="AB615" s="61"/>
      <c r="AC615" s="61"/>
      <c r="AD615" s="37"/>
      <c r="AE615" s="62"/>
      <c r="AF615" s="62"/>
      <c r="AG615" s="62"/>
      <c r="AH615" s="62"/>
      <c r="AI615" s="37"/>
      <c r="AJ615" s="61"/>
      <c r="AK615" s="61"/>
      <c r="AL615" s="61"/>
      <c r="AM615" s="61"/>
      <c r="AN615" s="37"/>
      <c r="AO615" s="62"/>
      <c r="AP615" s="62"/>
      <c r="AQ615" s="62"/>
      <c r="AR615" s="62"/>
    </row>
    <row r="616" spans="25:44" x14ac:dyDescent="0.15">
      <c r="Y616" s="8"/>
      <c r="Z616" s="61"/>
      <c r="AA616" s="61"/>
      <c r="AB616" s="61"/>
      <c r="AC616" s="61"/>
      <c r="AD616" s="37"/>
      <c r="AE616" s="62"/>
      <c r="AF616" s="62"/>
      <c r="AG616" s="62"/>
      <c r="AH616" s="62"/>
      <c r="AI616" s="37"/>
      <c r="AJ616" s="61"/>
      <c r="AK616" s="61"/>
      <c r="AL616" s="61"/>
      <c r="AM616" s="61"/>
      <c r="AN616" s="37"/>
      <c r="AO616" s="62"/>
      <c r="AP616" s="62"/>
      <c r="AQ616" s="62"/>
      <c r="AR616" s="62"/>
    </row>
    <row r="617" spans="25:44" x14ac:dyDescent="0.15">
      <c r="Y617" s="8"/>
      <c r="Z617" s="61"/>
      <c r="AA617" s="61"/>
      <c r="AB617" s="61"/>
      <c r="AC617" s="61"/>
      <c r="AD617" s="37"/>
      <c r="AE617" s="62"/>
      <c r="AF617" s="62"/>
      <c r="AG617" s="62"/>
      <c r="AH617" s="62"/>
      <c r="AI617" s="37"/>
      <c r="AJ617" s="61"/>
      <c r="AK617" s="61"/>
      <c r="AL617" s="61"/>
      <c r="AM617" s="61"/>
      <c r="AN617" s="37"/>
      <c r="AO617" s="62"/>
      <c r="AP617" s="62"/>
      <c r="AQ617" s="62"/>
      <c r="AR617" s="62"/>
    </row>
    <row r="618" spans="25:44" x14ac:dyDescent="0.15">
      <c r="Y618" s="8"/>
      <c r="Z618" s="61"/>
      <c r="AA618" s="61"/>
      <c r="AB618" s="61"/>
      <c r="AC618" s="61"/>
      <c r="AD618" s="37"/>
      <c r="AE618" s="62"/>
      <c r="AF618" s="62"/>
      <c r="AG618" s="62"/>
      <c r="AH618" s="62"/>
      <c r="AI618" s="37"/>
      <c r="AJ618" s="61"/>
      <c r="AK618" s="61"/>
      <c r="AL618" s="61"/>
      <c r="AM618" s="61"/>
      <c r="AN618" s="37"/>
      <c r="AO618" s="62"/>
      <c r="AP618" s="62"/>
      <c r="AQ618" s="62"/>
      <c r="AR618" s="62"/>
    </row>
    <row r="619" spans="25:44" x14ac:dyDescent="0.15">
      <c r="Y619" s="8"/>
      <c r="Z619" s="61"/>
      <c r="AA619" s="61"/>
      <c r="AB619" s="61"/>
      <c r="AC619" s="61"/>
      <c r="AD619" s="37"/>
      <c r="AE619" s="62"/>
      <c r="AF619" s="62"/>
      <c r="AG619" s="62"/>
      <c r="AH619" s="62"/>
      <c r="AI619" s="37"/>
      <c r="AJ619" s="61"/>
      <c r="AK619" s="61"/>
      <c r="AL619" s="61"/>
      <c r="AM619" s="61"/>
      <c r="AN619" s="37"/>
      <c r="AO619" s="62"/>
      <c r="AP619" s="62"/>
      <c r="AQ619" s="62"/>
      <c r="AR619" s="62"/>
    </row>
    <row r="620" spans="25:44" x14ac:dyDescent="0.15">
      <c r="Y620" s="8"/>
      <c r="Z620" s="61"/>
      <c r="AA620" s="61"/>
      <c r="AB620" s="61"/>
      <c r="AC620" s="61"/>
      <c r="AD620" s="37"/>
      <c r="AE620" s="62"/>
      <c r="AF620" s="62"/>
      <c r="AG620" s="62"/>
      <c r="AH620" s="62"/>
      <c r="AI620" s="37"/>
      <c r="AJ620" s="61"/>
      <c r="AK620" s="61"/>
      <c r="AL620" s="61"/>
      <c r="AM620" s="61"/>
      <c r="AN620" s="37"/>
      <c r="AO620" s="62"/>
      <c r="AP620" s="62"/>
      <c r="AQ620" s="62"/>
      <c r="AR620" s="62"/>
    </row>
    <row r="621" spans="25:44" x14ac:dyDescent="0.15">
      <c r="Y621" s="8"/>
      <c r="Z621" s="61"/>
      <c r="AA621" s="61"/>
      <c r="AB621" s="61"/>
      <c r="AC621" s="61"/>
      <c r="AD621" s="37"/>
      <c r="AE621" s="62"/>
      <c r="AF621" s="62"/>
      <c r="AG621" s="62"/>
      <c r="AH621" s="62"/>
      <c r="AI621" s="37"/>
      <c r="AJ621" s="61"/>
      <c r="AK621" s="61"/>
      <c r="AL621" s="61"/>
      <c r="AM621" s="61"/>
      <c r="AN621" s="37"/>
      <c r="AO621" s="62"/>
      <c r="AP621" s="62"/>
      <c r="AQ621" s="62"/>
      <c r="AR621" s="62"/>
    </row>
    <row r="622" spans="25:44" x14ac:dyDescent="0.15">
      <c r="Y622" s="8"/>
      <c r="Z622" s="61"/>
      <c r="AA622" s="61"/>
      <c r="AB622" s="61"/>
      <c r="AC622" s="61"/>
      <c r="AD622" s="37"/>
      <c r="AE622" s="62"/>
      <c r="AF622" s="62"/>
      <c r="AG622" s="62"/>
      <c r="AH622" s="62"/>
      <c r="AI622" s="37"/>
      <c r="AJ622" s="61"/>
      <c r="AK622" s="61"/>
      <c r="AL622" s="61"/>
      <c r="AM622" s="61"/>
      <c r="AN622" s="37"/>
      <c r="AO622" s="62"/>
      <c r="AP622" s="62"/>
      <c r="AQ622" s="62"/>
      <c r="AR622" s="62"/>
    </row>
    <row r="623" spans="25:44" x14ac:dyDescent="0.15">
      <c r="Y623" s="8"/>
      <c r="Z623" s="61"/>
      <c r="AA623" s="61"/>
      <c r="AB623" s="61"/>
      <c r="AC623" s="61"/>
      <c r="AD623" s="37"/>
      <c r="AE623" s="62"/>
      <c r="AF623" s="62"/>
      <c r="AG623" s="62"/>
      <c r="AH623" s="62"/>
      <c r="AI623" s="37"/>
      <c r="AJ623" s="61"/>
      <c r="AK623" s="61"/>
      <c r="AL623" s="61"/>
      <c r="AM623" s="61"/>
      <c r="AN623" s="37"/>
      <c r="AO623" s="62"/>
      <c r="AP623" s="62"/>
      <c r="AQ623" s="62"/>
      <c r="AR623" s="62"/>
    </row>
    <row r="624" spans="25:44" x14ac:dyDescent="0.15">
      <c r="Y624" s="8"/>
      <c r="Z624" s="61"/>
      <c r="AA624" s="61"/>
      <c r="AB624" s="61"/>
      <c r="AC624" s="61"/>
      <c r="AD624" s="37"/>
      <c r="AE624" s="62"/>
      <c r="AF624" s="62"/>
      <c r="AG624" s="62"/>
      <c r="AH624" s="62"/>
      <c r="AI624" s="37"/>
      <c r="AJ624" s="61"/>
      <c r="AK624" s="61"/>
      <c r="AL624" s="61"/>
      <c r="AM624" s="61"/>
      <c r="AN624" s="37"/>
      <c r="AO624" s="62"/>
      <c r="AP624" s="62"/>
      <c r="AQ624" s="62"/>
      <c r="AR624" s="62"/>
    </row>
    <row r="625" spans="25:44" x14ac:dyDescent="0.15">
      <c r="Y625" s="8"/>
      <c r="Z625" s="61"/>
      <c r="AA625" s="61"/>
      <c r="AB625" s="61"/>
      <c r="AC625" s="61"/>
      <c r="AD625" s="37"/>
      <c r="AE625" s="62"/>
      <c r="AF625" s="62"/>
      <c r="AG625" s="62"/>
      <c r="AH625" s="62"/>
      <c r="AI625" s="37"/>
      <c r="AJ625" s="61"/>
      <c r="AK625" s="61"/>
      <c r="AL625" s="61"/>
      <c r="AM625" s="61"/>
      <c r="AN625" s="37"/>
      <c r="AO625" s="62"/>
      <c r="AP625" s="62"/>
      <c r="AQ625" s="62"/>
      <c r="AR625" s="62"/>
    </row>
    <row r="626" spans="25:44" x14ac:dyDescent="0.15">
      <c r="Y626" s="8"/>
      <c r="Z626" s="61"/>
      <c r="AA626" s="61"/>
      <c r="AB626" s="61"/>
      <c r="AC626" s="61"/>
      <c r="AD626" s="37"/>
      <c r="AE626" s="62"/>
      <c r="AF626" s="62"/>
      <c r="AG626" s="62"/>
      <c r="AH626" s="62"/>
      <c r="AI626" s="37"/>
      <c r="AJ626" s="61"/>
      <c r="AK626" s="61"/>
      <c r="AL626" s="61"/>
      <c r="AM626" s="61"/>
      <c r="AN626" s="37"/>
      <c r="AO626" s="62"/>
      <c r="AP626" s="62"/>
      <c r="AQ626" s="62"/>
      <c r="AR626" s="62"/>
    </row>
    <row r="627" spans="25:44" x14ac:dyDescent="0.15">
      <c r="Y627" s="8"/>
      <c r="Z627" s="61"/>
      <c r="AA627" s="61"/>
      <c r="AB627" s="61"/>
      <c r="AC627" s="61"/>
      <c r="AD627" s="37"/>
      <c r="AE627" s="62"/>
      <c r="AF627" s="62"/>
      <c r="AG627" s="62"/>
      <c r="AH627" s="62"/>
      <c r="AI627" s="37"/>
      <c r="AJ627" s="61"/>
      <c r="AK627" s="61"/>
      <c r="AL627" s="61"/>
      <c r="AM627" s="61"/>
      <c r="AN627" s="37"/>
      <c r="AO627" s="62"/>
      <c r="AP627" s="62"/>
      <c r="AQ627" s="62"/>
      <c r="AR627" s="62"/>
    </row>
    <row r="628" spans="25:44" x14ac:dyDescent="0.15">
      <c r="Y628" s="8"/>
      <c r="Z628" s="61"/>
      <c r="AA628" s="61"/>
      <c r="AB628" s="61"/>
      <c r="AC628" s="61"/>
      <c r="AD628" s="37"/>
      <c r="AE628" s="62"/>
      <c r="AF628" s="62"/>
      <c r="AG628" s="62"/>
      <c r="AH628" s="62"/>
      <c r="AI628" s="37"/>
      <c r="AJ628" s="61"/>
      <c r="AK628" s="61"/>
      <c r="AL628" s="61"/>
      <c r="AM628" s="61"/>
      <c r="AN628" s="37"/>
      <c r="AO628" s="62"/>
      <c r="AP628" s="62"/>
      <c r="AQ628" s="62"/>
      <c r="AR628" s="62"/>
    </row>
    <row r="629" spans="25:44" x14ac:dyDescent="0.15">
      <c r="Y629" s="8"/>
      <c r="Z629" s="61"/>
      <c r="AA629" s="61"/>
      <c r="AB629" s="61"/>
      <c r="AC629" s="61"/>
      <c r="AD629" s="37"/>
      <c r="AE629" s="62"/>
      <c r="AF629" s="62"/>
      <c r="AG629" s="62"/>
      <c r="AH629" s="62"/>
      <c r="AI629" s="37"/>
      <c r="AJ629" s="61"/>
      <c r="AK629" s="61"/>
      <c r="AL629" s="61"/>
      <c r="AM629" s="61"/>
      <c r="AN629" s="37"/>
      <c r="AO629" s="62"/>
      <c r="AP629" s="62"/>
      <c r="AQ629" s="62"/>
      <c r="AR629" s="62"/>
    </row>
    <row r="630" spans="25:44" x14ac:dyDescent="0.15">
      <c r="Y630" s="8"/>
      <c r="Z630" s="61"/>
      <c r="AA630" s="61"/>
      <c r="AB630" s="61"/>
      <c r="AC630" s="61"/>
      <c r="AD630" s="37"/>
      <c r="AE630" s="62"/>
      <c r="AF630" s="62"/>
      <c r="AG630" s="62"/>
      <c r="AH630" s="62"/>
      <c r="AI630" s="37"/>
      <c r="AJ630" s="61"/>
      <c r="AK630" s="61"/>
      <c r="AL630" s="61"/>
      <c r="AM630" s="61"/>
      <c r="AN630" s="37"/>
      <c r="AO630" s="62"/>
      <c r="AP630" s="62"/>
      <c r="AQ630" s="62"/>
      <c r="AR630" s="62"/>
    </row>
    <row r="631" spans="25:44" x14ac:dyDescent="0.15">
      <c r="Y631" s="8"/>
      <c r="Z631" s="61"/>
      <c r="AA631" s="61"/>
      <c r="AB631" s="61"/>
      <c r="AC631" s="61"/>
      <c r="AD631" s="37"/>
      <c r="AE631" s="62"/>
      <c r="AF631" s="62"/>
      <c r="AG631" s="62"/>
      <c r="AH631" s="62"/>
      <c r="AI631" s="37"/>
      <c r="AJ631" s="61"/>
      <c r="AK631" s="61"/>
      <c r="AL631" s="61"/>
      <c r="AM631" s="61"/>
      <c r="AN631" s="37"/>
      <c r="AO631" s="62"/>
      <c r="AP631" s="62"/>
      <c r="AQ631" s="62"/>
      <c r="AR631" s="62"/>
    </row>
    <row r="632" spans="25:44" x14ac:dyDescent="0.15">
      <c r="Y632" s="8"/>
      <c r="Z632" s="61"/>
      <c r="AA632" s="61"/>
      <c r="AB632" s="61"/>
      <c r="AC632" s="61"/>
      <c r="AD632" s="37"/>
      <c r="AE632" s="62"/>
      <c r="AF632" s="62"/>
      <c r="AG632" s="62"/>
      <c r="AH632" s="62"/>
      <c r="AI632" s="37"/>
      <c r="AJ632" s="61"/>
      <c r="AK632" s="61"/>
      <c r="AL632" s="61"/>
      <c r="AM632" s="61"/>
      <c r="AN632" s="37"/>
      <c r="AO632" s="62"/>
      <c r="AP632" s="62"/>
      <c r="AQ632" s="62"/>
      <c r="AR632" s="62"/>
    </row>
    <row r="633" spans="25:44" x14ac:dyDescent="0.15">
      <c r="Y633" s="8"/>
      <c r="Z633" s="61"/>
      <c r="AA633" s="61"/>
      <c r="AB633" s="61"/>
      <c r="AC633" s="61"/>
      <c r="AD633" s="37"/>
      <c r="AE633" s="62"/>
      <c r="AF633" s="62"/>
      <c r="AG633" s="62"/>
      <c r="AH633" s="62"/>
      <c r="AI633" s="37"/>
      <c r="AJ633" s="61"/>
      <c r="AK633" s="61"/>
      <c r="AL633" s="61"/>
      <c r="AM633" s="61"/>
      <c r="AN633" s="37"/>
      <c r="AO633" s="62"/>
      <c r="AP633" s="62"/>
      <c r="AQ633" s="62"/>
      <c r="AR633" s="62"/>
    </row>
    <row r="634" spans="25:44" x14ac:dyDescent="0.15">
      <c r="Y634" s="8"/>
      <c r="Z634" s="61"/>
      <c r="AA634" s="61"/>
      <c r="AB634" s="61"/>
      <c r="AC634" s="61"/>
      <c r="AD634" s="37"/>
      <c r="AE634" s="62"/>
      <c r="AF634" s="62"/>
      <c r="AG634" s="62"/>
      <c r="AH634" s="62"/>
      <c r="AI634" s="37"/>
      <c r="AJ634" s="61"/>
      <c r="AK634" s="61"/>
      <c r="AL634" s="61"/>
      <c r="AM634" s="61"/>
      <c r="AN634" s="37"/>
      <c r="AO634" s="62"/>
      <c r="AP634" s="62"/>
      <c r="AQ634" s="62"/>
      <c r="AR634" s="62"/>
    </row>
    <row r="635" spans="25:44" x14ac:dyDescent="0.15">
      <c r="Y635" s="8"/>
      <c r="Z635" s="61"/>
      <c r="AA635" s="61"/>
      <c r="AB635" s="61"/>
      <c r="AC635" s="61"/>
      <c r="AD635" s="37"/>
      <c r="AE635" s="62"/>
      <c r="AF635" s="62"/>
      <c r="AG635" s="62"/>
      <c r="AH635" s="62"/>
      <c r="AI635" s="37"/>
      <c r="AJ635" s="61"/>
      <c r="AK635" s="61"/>
      <c r="AL635" s="61"/>
      <c r="AM635" s="61"/>
      <c r="AN635" s="37"/>
      <c r="AO635" s="62"/>
      <c r="AP635" s="62"/>
      <c r="AQ635" s="62"/>
      <c r="AR635" s="62"/>
    </row>
    <row r="636" spans="25:44" x14ac:dyDescent="0.15">
      <c r="Y636" s="8"/>
      <c r="Z636" s="61"/>
      <c r="AA636" s="61"/>
      <c r="AB636" s="61"/>
      <c r="AC636" s="61"/>
      <c r="AD636" s="37"/>
      <c r="AE636" s="62"/>
      <c r="AF636" s="62"/>
      <c r="AG636" s="62"/>
      <c r="AH636" s="62"/>
      <c r="AI636" s="37"/>
      <c r="AJ636" s="61"/>
      <c r="AK636" s="61"/>
      <c r="AL636" s="61"/>
      <c r="AM636" s="61"/>
      <c r="AN636" s="37"/>
      <c r="AO636" s="62"/>
      <c r="AP636" s="62"/>
      <c r="AQ636" s="62"/>
      <c r="AR636" s="62"/>
    </row>
    <row r="637" spans="25:44" x14ac:dyDescent="0.15">
      <c r="Y637" s="8"/>
      <c r="Z637" s="61"/>
      <c r="AA637" s="61"/>
      <c r="AB637" s="61"/>
      <c r="AC637" s="61"/>
      <c r="AD637" s="37"/>
      <c r="AE637" s="62"/>
      <c r="AF637" s="62"/>
      <c r="AG637" s="62"/>
      <c r="AH637" s="62"/>
      <c r="AI637" s="37"/>
      <c r="AJ637" s="61"/>
      <c r="AK637" s="61"/>
      <c r="AL637" s="61"/>
      <c r="AM637" s="61"/>
      <c r="AN637" s="37"/>
      <c r="AO637" s="62"/>
      <c r="AP637" s="62"/>
      <c r="AQ637" s="62"/>
      <c r="AR637" s="62"/>
    </row>
    <row r="638" spans="25:44" x14ac:dyDescent="0.15">
      <c r="Y638" s="8"/>
      <c r="Z638" s="61"/>
      <c r="AA638" s="61"/>
      <c r="AB638" s="61"/>
      <c r="AC638" s="61"/>
      <c r="AD638" s="37"/>
      <c r="AE638" s="62"/>
      <c r="AF638" s="62"/>
      <c r="AG638" s="62"/>
      <c r="AH638" s="62"/>
      <c r="AI638" s="37"/>
      <c r="AJ638" s="61"/>
      <c r="AK638" s="61"/>
      <c r="AL638" s="61"/>
      <c r="AM638" s="61"/>
      <c r="AN638" s="37"/>
      <c r="AO638" s="62"/>
      <c r="AP638" s="62"/>
      <c r="AQ638" s="62"/>
      <c r="AR638" s="62"/>
    </row>
    <row r="639" spans="25:44" x14ac:dyDescent="0.15">
      <c r="Y639" s="8"/>
      <c r="Z639" s="61"/>
      <c r="AA639" s="61"/>
      <c r="AB639" s="61"/>
      <c r="AC639" s="61"/>
      <c r="AD639" s="37"/>
      <c r="AE639" s="62"/>
      <c r="AF639" s="62"/>
      <c r="AG639" s="62"/>
      <c r="AH639" s="62"/>
      <c r="AI639" s="37"/>
      <c r="AJ639" s="61"/>
      <c r="AK639" s="61"/>
      <c r="AL639" s="61"/>
      <c r="AM639" s="61"/>
      <c r="AN639" s="37"/>
      <c r="AO639" s="62"/>
      <c r="AP639" s="62"/>
      <c r="AQ639" s="62"/>
      <c r="AR639" s="62"/>
    </row>
    <row r="640" spans="25:44" x14ac:dyDescent="0.15">
      <c r="Y640" s="8"/>
      <c r="Z640" s="61"/>
      <c r="AA640" s="61"/>
      <c r="AB640" s="61"/>
      <c r="AC640" s="61"/>
      <c r="AD640" s="37"/>
      <c r="AE640" s="62"/>
      <c r="AF640" s="62"/>
      <c r="AG640" s="62"/>
      <c r="AH640" s="62"/>
      <c r="AI640" s="37"/>
      <c r="AJ640" s="61"/>
      <c r="AK640" s="61"/>
      <c r="AL640" s="61"/>
      <c r="AM640" s="61"/>
      <c r="AN640" s="37"/>
      <c r="AO640" s="62"/>
      <c r="AP640" s="62"/>
      <c r="AQ640" s="62"/>
      <c r="AR640" s="62"/>
    </row>
    <row r="641" spans="25:44" x14ac:dyDescent="0.15">
      <c r="Y641" s="8"/>
      <c r="Z641" s="61"/>
      <c r="AA641" s="61"/>
      <c r="AB641" s="61"/>
      <c r="AC641" s="61"/>
      <c r="AD641" s="37"/>
      <c r="AE641" s="62"/>
      <c r="AF641" s="62"/>
      <c r="AG641" s="62"/>
      <c r="AH641" s="62"/>
      <c r="AI641" s="37"/>
      <c r="AJ641" s="61"/>
      <c r="AK641" s="61"/>
      <c r="AL641" s="61"/>
      <c r="AM641" s="61"/>
      <c r="AN641" s="37"/>
      <c r="AO641" s="62"/>
      <c r="AP641" s="62"/>
      <c r="AQ641" s="62"/>
      <c r="AR641" s="62"/>
    </row>
    <row r="642" spans="25:44" x14ac:dyDescent="0.15">
      <c r="Y642" s="8"/>
      <c r="Z642" s="61"/>
      <c r="AA642" s="61"/>
      <c r="AB642" s="61"/>
      <c r="AC642" s="61"/>
      <c r="AD642" s="37"/>
      <c r="AE642" s="62"/>
      <c r="AF642" s="62"/>
      <c r="AG642" s="62"/>
      <c r="AH642" s="62"/>
      <c r="AI642" s="37"/>
      <c r="AJ642" s="61"/>
      <c r="AK642" s="61"/>
      <c r="AL642" s="61"/>
      <c r="AM642" s="61"/>
      <c r="AN642" s="37"/>
      <c r="AO642" s="62"/>
      <c r="AP642" s="62"/>
      <c r="AQ642" s="62"/>
      <c r="AR642" s="62"/>
    </row>
    <row r="643" spans="25:44" x14ac:dyDescent="0.15">
      <c r="Y643" s="8"/>
      <c r="Z643" s="61"/>
      <c r="AA643" s="61"/>
      <c r="AB643" s="61"/>
      <c r="AC643" s="61"/>
      <c r="AD643" s="37"/>
      <c r="AE643" s="62"/>
      <c r="AF643" s="62"/>
      <c r="AG643" s="62"/>
      <c r="AH643" s="62"/>
      <c r="AI643" s="37"/>
      <c r="AJ643" s="61"/>
      <c r="AK643" s="61"/>
      <c r="AL643" s="61"/>
      <c r="AM643" s="61"/>
      <c r="AN643" s="37"/>
      <c r="AO643" s="62"/>
      <c r="AP643" s="62"/>
      <c r="AQ643" s="62"/>
      <c r="AR643" s="62"/>
    </row>
    <row r="644" spans="25:44" x14ac:dyDescent="0.15">
      <c r="Y644" s="8"/>
      <c r="Z644" s="61"/>
      <c r="AA644" s="61"/>
      <c r="AB644" s="61"/>
      <c r="AC644" s="61"/>
      <c r="AD644" s="37"/>
      <c r="AE644" s="62"/>
      <c r="AF644" s="62"/>
      <c r="AG644" s="62"/>
      <c r="AH644" s="62"/>
      <c r="AI644" s="37"/>
      <c r="AJ644" s="61"/>
      <c r="AK644" s="61"/>
      <c r="AL644" s="61"/>
      <c r="AM644" s="61"/>
      <c r="AN644" s="37"/>
      <c r="AO644" s="62"/>
      <c r="AP644" s="62"/>
      <c r="AQ644" s="62"/>
      <c r="AR644" s="62"/>
    </row>
    <row r="645" spans="25:44" x14ac:dyDescent="0.15">
      <c r="Y645" s="8"/>
      <c r="Z645" s="61"/>
      <c r="AA645" s="61"/>
      <c r="AB645" s="61"/>
      <c r="AC645" s="61"/>
      <c r="AD645" s="37"/>
      <c r="AE645" s="62"/>
      <c r="AF645" s="62"/>
      <c r="AG645" s="62"/>
      <c r="AH645" s="62"/>
      <c r="AI645" s="37"/>
      <c r="AJ645" s="61"/>
      <c r="AK645" s="61"/>
      <c r="AL645" s="61"/>
      <c r="AM645" s="61"/>
      <c r="AN645" s="37"/>
      <c r="AO645" s="62"/>
      <c r="AP645" s="62"/>
      <c r="AQ645" s="62"/>
      <c r="AR645" s="62"/>
    </row>
    <row r="646" spans="25:44" x14ac:dyDescent="0.15">
      <c r="Y646" s="8"/>
      <c r="Z646" s="61"/>
      <c r="AA646" s="61"/>
      <c r="AB646" s="61"/>
      <c r="AC646" s="61"/>
      <c r="AD646" s="37"/>
      <c r="AE646" s="62"/>
      <c r="AF646" s="62"/>
      <c r="AG646" s="62"/>
      <c r="AH646" s="62"/>
      <c r="AI646" s="37"/>
      <c r="AJ646" s="61"/>
      <c r="AK646" s="61"/>
      <c r="AL646" s="61"/>
      <c r="AM646" s="61"/>
      <c r="AN646" s="37"/>
      <c r="AO646" s="62"/>
      <c r="AP646" s="62"/>
      <c r="AQ646" s="62"/>
      <c r="AR646" s="62"/>
    </row>
    <row r="647" spans="25:44" x14ac:dyDescent="0.15">
      <c r="Y647" s="8"/>
      <c r="Z647" s="61"/>
      <c r="AA647" s="61"/>
      <c r="AB647" s="61"/>
      <c r="AC647" s="61"/>
      <c r="AD647" s="37"/>
      <c r="AE647" s="62"/>
      <c r="AF647" s="62"/>
      <c r="AG647" s="62"/>
      <c r="AH647" s="62"/>
      <c r="AI647" s="37"/>
      <c r="AJ647" s="61"/>
      <c r="AK647" s="61"/>
      <c r="AL647" s="61"/>
      <c r="AM647" s="61"/>
      <c r="AN647" s="37"/>
      <c r="AO647" s="62"/>
      <c r="AP647" s="62"/>
      <c r="AQ647" s="62"/>
      <c r="AR647" s="62"/>
    </row>
    <row r="648" spans="25:44" x14ac:dyDescent="0.15">
      <c r="Y648" s="8"/>
      <c r="Z648" s="61"/>
      <c r="AA648" s="61"/>
      <c r="AB648" s="61"/>
      <c r="AC648" s="61"/>
      <c r="AD648" s="37"/>
      <c r="AE648" s="62"/>
      <c r="AF648" s="62"/>
      <c r="AG648" s="62"/>
      <c r="AH648" s="62"/>
      <c r="AI648" s="37"/>
      <c r="AJ648" s="61"/>
      <c r="AK648" s="61"/>
      <c r="AL648" s="61"/>
      <c r="AM648" s="61"/>
      <c r="AN648" s="37"/>
      <c r="AO648" s="62"/>
      <c r="AP648" s="62"/>
      <c r="AQ648" s="62"/>
      <c r="AR648" s="62"/>
    </row>
    <row r="649" spans="25:44" x14ac:dyDescent="0.15">
      <c r="Y649" s="8"/>
      <c r="Z649" s="61"/>
      <c r="AA649" s="61"/>
      <c r="AB649" s="61"/>
      <c r="AC649" s="61"/>
      <c r="AD649" s="37"/>
      <c r="AE649" s="62"/>
      <c r="AF649" s="62"/>
      <c r="AG649" s="62"/>
      <c r="AH649" s="62"/>
      <c r="AI649" s="37"/>
      <c r="AJ649" s="61"/>
      <c r="AK649" s="61"/>
      <c r="AL649" s="61"/>
      <c r="AM649" s="61"/>
      <c r="AN649" s="37"/>
      <c r="AO649" s="62"/>
      <c r="AP649" s="62"/>
      <c r="AQ649" s="62"/>
      <c r="AR649" s="62"/>
    </row>
    <row r="650" spans="25:44" x14ac:dyDescent="0.15">
      <c r="Y650" s="8"/>
      <c r="Z650" s="61"/>
      <c r="AA650" s="61"/>
      <c r="AB650" s="61"/>
      <c r="AC650" s="61"/>
      <c r="AD650" s="37"/>
      <c r="AE650" s="62"/>
      <c r="AF650" s="62"/>
      <c r="AG650" s="62"/>
      <c r="AH650" s="62"/>
      <c r="AI650" s="37"/>
      <c r="AJ650" s="61"/>
      <c r="AK650" s="61"/>
      <c r="AL650" s="61"/>
      <c r="AM650" s="61"/>
      <c r="AN650" s="37"/>
      <c r="AO650" s="62"/>
      <c r="AP650" s="62"/>
      <c r="AQ650" s="62"/>
      <c r="AR650" s="62"/>
    </row>
    <row r="651" spans="25:44" x14ac:dyDescent="0.15">
      <c r="Y651" s="8"/>
      <c r="Z651" s="61"/>
      <c r="AA651" s="61"/>
      <c r="AB651" s="61"/>
      <c r="AC651" s="61"/>
      <c r="AD651" s="37"/>
      <c r="AE651" s="62"/>
      <c r="AF651" s="62"/>
      <c r="AG651" s="62"/>
      <c r="AH651" s="62"/>
      <c r="AI651" s="37"/>
      <c r="AJ651" s="61"/>
      <c r="AK651" s="61"/>
      <c r="AL651" s="61"/>
      <c r="AM651" s="61"/>
      <c r="AN651" s="37"/>
      <c r="AO651" s="62"/>
      <c r="AP651" s="62"/>
      <c r="AQ651" s="62"/>
      <c r="AR651" s="62"/>
    </row>
    <row r="652" spans="25:44" x14ac:dyDescent="0.15">
      <c r="Y652" s="8"/>
      <c r="Z652" s="61"/>
      <c r="AA652" s="61"/>
      <c r="AB652" s="61"/>
      <c r="AC652" s="61"/>
      <c r="AD652" s="37"/>
      <c r="AE652" s="62"/>
      <c r="AF652" s="62"/>
      <c r="AG652" s="62"/>
      <c r="AH652" s="62"/>
      <c r="AI652" s="37"/>
      <c r="AJ652" s="61"/>
      <c r="AK652" s="61"/>
      <c r="AL652" s="61"/>
      <c r="AM652" s="61"/>
      <c r="AN652" s="37"/>
      <c r="AO652" s="62"/>
      <c r="AP652" s="62"/>
      <c r="AQ652" s="62"/>
      <c r="AR652" s="62"/>
    </row>
    <row r="653" spans="25:44" x14ac:dyDescent="0.15">
      <c r="Y653" s="8"/>
      <c r="Z653" s="61"/>
      <c r="AA653" s="61"/>
      <c r="AB653" s="61"/>
      <c r="AC653" s="61"/>
      <c r="AD653" s="37"/>
      <c r="AE653" s="62"/>
      <c r="AF653" s="62"/>
      <c r="AG653" s="62"/>
      <c r="AH653" s="62"/>
      <c r="AI653" s="37"/>
      <c r="AJ653" s="61"/>
      <c r="AK653" s="61"/>
      <c r="AL653" s="61"/>
      <c r="AM653" s="61"/>
      <c r="AN653" s="37"/>
      <c r="AO653" s="62"/>
      <c r="AP653" s="62"/>
      <c r="AQ653" s="62"/>
      <c r="AR653" s="62"/>
    </row>
    <row r="654" spans="25:44" x14ac:dyDescent="0.15">
      <c r="Y654" s="8"/>
      <c r="Z654" s="61"/>
      <c r="AA654" s="61"/>
      <c r="AB654" s="61"/>
      <c r="AC654" s="61"/>
      <c r="AD654" s="37"/>
      <c r="AE654" s="62"/>
      <c r="AF654" s="62"/>
      <c r="AG654" s="62"/>
      <c r="AH654" s="62"/>
      <c r="AI654" s="37"/>
      <c r="AJ654" s="61"/>
      <c r="AK654" s="61"/>
      <c r="AL654" s="61"/>
      <c r="AM654" s="61"/>
      <c r="AN654" s="37"/>
      <c r="AO654" s="62"/>
      <c r="AP654" s="62"/>
      <c r="AQ654" s="62"/>
      <c r="AR654" s="62"/>
    </row>
    <row r="655" spans="25:44" x14ac:dyDescent="0.15">
      <c r="Y655" s="8"/>
      <c r="Z655" s="61"/>
      <c r="AA655" s="61"/>
      <c r="AB655" s="61"/>
      <c r="AC655" s="61"/>
      <c r="AD655" s="37"/>
      <c r="AE655" s="62"/>
      <c r="AF655" s="62"/>
      <c r="AG655" s="62"/>
      <c r="AH655" s="62"/>
      <c r="AI655" s="37"/>
      <c r="AJ655" s="61"/>
      <c r="AK655" s="61"/>
      <c r="AL655" s="61"/>
      <c r="AM655" s="61"/>
      <c r="AN655" s="37"/>
      <c r="AO655" s="62"/>
      <c r="AP655" s="62"/>
      <c r="AQ655" s="62"/>
      <c r="AR655" s="62"/>
    </row>
    <row r="656" spans="25:44" x14ac:dyDescent="0.15">
      <c r="Y656" s="8"/>
      <c r="Z656" s="61"/>
      <c r="AA656" s="61"/>
      <c r="AB656" s="61"/>
      <c r="AC656" s="61"/>
      <c r="AD656" s="37"/>
      <c r="AE656" s="62"/>
      <c r="AF656" s="62"/>
      <c r="AG656" s="62"/>
      <c r="AH656" s="62"/>
      <c r="AI656" s="37"/>
      <c r="AJ656" s="61"/>
      <c r="AK656" s="61"/>
      <c r="AL656" s="61"/>
      <c r="AM656" s="61"/>
      <c r="AN656" s="37"/>
      <c r="AO656" s="62"/>
      <c r="AP656" s="62"/>
      <c r="AQ656" s="62"/>
      <c r="AR656" s="62"/>
    </row>
    <row r="657" spans="25:44" x14ac:dyDescent="0.15">
      <c r="Y657" s="8"/>
      <c r="Z657" s="61"/>
      <c r="AA657" s="61"/>
      <c r="AB657" s="61"/>
      <c r="AC657" s="61"/>
      <c r="AD657" s="37"/>
      <c r="AE657" s="62"/>
      <c r="AF657" s="62"/>
      <c r="AG657" s="62"/>
      <c r="AH657" s="62"/>
      <c r="AI657" s="37"/>
      <c r="AJ657" s="61"/>
      <c r="AK657" s="61"/>
      <c r="AL657" s="61"/>
      <c r="AM657" s="61"/>
      <c r="AN657" s="37"/>
      <c r="AO657" s="62"/>
      <c r="AP657" s="62"/>
      <c r="AQ657" s="62"/>
      <c r="AR657" s="62"/>
    </row>
    <row r="658" spans="25:44" x14ac:dyDescent="0.15">
      <c r="Y658" s="8"/>
      <c r="Z658" s="61"/>
      <c r="AA658" s="61"/>
      <c r="AB658" s="61"/>
      <c r="AC658" s="61"/>
      <c r="AD658" s="37"/>
      <c r="AE658" s="62"/>
      <c r="AF658" s="62"/>
      <c r="AG658" s="62"/>
      <c r="AH658" s="62"/>
      <c r="AI658" s="37"/>
      <c r="AJ658" s="61"/>
      <c r="AK658" s="61"/>
      <c r="AL658" s="61"/>
      <c r="AM658" s="61"/>
      <c r="AN658" s="37"/>
      <c r="AO658" s="62"/>
      <c r="AP658" s="62"/>
      <c r="AQ658" s="62"/>
      <c r="AR658" s="62"/>
    </row>
    <row r="659" spans="25:44" x14ac:dyDescent="0.15">
      <c r="Y659" s="8"/>
      <c r="Z659" s="61"/>
      <c r="AA659" s="61"/>
      <c r="AB659" s="61"/>
      <c r="AC659" s="61"/>
      <c r="AD659" s="37"/>
      <c r="AE659" s="62"/>
      <c r="AF659" s="62"/>
      <c r="AG659" s="62"/>
      <c r="AH659" s="62"/>
      <c r="AI659" s="37"/>
      <c r="AJ659" s="61"/>
      <c r="AK659" s="61"/>
      <c r="AL659" s="61"/>
      <c r="AM659" s="61"/>
      <c r="AN659" s="37"/>
      <c r="AO659" s="62"/>
      <c r="AP659" s="62"/>
      <c r="AQ659" s="62"/>
      <c r="AR659" s="62"/>
    </row>
    <row r="660" spans="25:44" x14ac:dyDescent="0.15">
      <c r="Y660" s="8"/>
      <c r="Z660" s="61"/>
      <c r="AA660" s="61"/>
      <c r="AB660" s="61"/>
      <c r="AC660" s="61"/>
      <c r="AD660" s="37"/>
      <c r="AE660" s="62"/>
      <c r="AF660" s="62"/>
      <c r="AG660" s="62"/>
      <c r="AH660" s="62"/>
      <c r="AI660" s="37"/>
      <c r="AJ660" s="61"/>
      <c r="AK660" s="61"/>
      <c r="AL660" s="61"/>
      <c r="AM660" s="61"/>
      <c r="AN660" s="37"/>
      <c r="AO660" s="62"/>
      <c r="AP660" s="62"/>
      <c r="AQ660" s="62"/>
      <c r="AR660" s="62"/>
    </row>
    <row r="661" spans="25:44" x14ac:dyDescent="0.15">
      <c r="Y661" s="8"/>
      <c r="Z661" s="61"/>
      <c r="AA661" s="61"/>
      <c r="AB661" s="61"/>
      <c r="AC661" s="61"/>
      <c r="AD661" s="37"/>
      <c r="AE661" s="62"/>
      <c r="AF661" s="62"/>
      <c r="AG661" s="62"/>
      <c r="AH661" s="62"/>
      <c r="AI661" s="37"/>
      <c r="AJ661" s="61"/>
      <c r="AK661" s="61"/>
      <c r="AL661" s="61"/>
      <c r="AM661" s="61"/>
      <c r="AN661" s="37"/>
      <c r="AO661" s="62"/>
      <c r="AP661" s="62"/>
      <c r="AQ661" s="62"/>
      <c r="AR661" s="62"/>
    </row>
    <row r="662" spans="25:44" x14ac:dyDescent="0.15">
      <c r="Y662" s="8"/>
      <c r="Z662" s="61"/>
      <c r="AA662" s="61"/>
      <c r="AB662" s="61"/>
      <c r="AC662" s="61"/>
      <c r="AD662" s="37"/>
      <c r="AE662" s="62"/>
      <c r="AF662" s="62"/>
      <c r="AG662" s="62"/>
      <c r="AH662" s="62"/>
      <c r="AI662" s="37"/>
      <c r="AJ662" s="61"/>
      <c r="AK662" s="61"/>
      <c r="AL662" s="61"/>
      <c r="AM662" s="61"/>
      <c r="AN662" s="37"/>
      <c r="AO662" s="62"/>
      <c r="AP662" s="62"/>
      <c r="AQ662" s="62"/>
      <c r="AR662" s="62"/>
    </row>
    <row r="663" spans="25:44" x14ac:dyDescent="0.15">
      <c r="Y663" s="8"/>
      <c r="Z663" s="61"/>
      <c r="AA663" s="61"/>
      <c r="AB663" s="61"/>
      <c r="AC663" s="61"/>
      <c r="AD663" s="37"/>
      <c r="AE663" s="62"/>
      <c r="AF663" s="62"/>
      <c r="AG663" s="62"/>
      <c r="AH663" s="62"/>
      <c r="AI663" s="37"/>
      <c r="AJ663" s="61"/>
      <c r="AK663" s="61"/>
      <c r="AL663" s="61"/>
      <c r="AM663" s="61"/>
      <c r="AN663" s="37"/>
      <c r="AO663" s="62"/>
      <c r="AP663" s="62"/>
      <c r="AQ663" s="62"/>
      <c r="AR663" s="62"/>
    </row>
    <row r="664" spans="25:44" x14ac:dyDescent="0.15">
      <c r="Y664" s="8"/>
      <c r="Z664" s="61"/>
      <c r="AA664" s="61"/>
      <c r="AB664" s="61"/>
      <c r="AC664" s="61"/>
      <c r="AD664" s="37"/>
      <c r="AE664" s="62"/>
      <c r="AF664" s="62"/>
      <c r="AG664" s="62"/>
      <c r="AH664" s="62"/>
      <c r="AI664" s="37"/>
      <c r="AJ664" s="61"/>
      <c r="AK664" s="61"/>
      <c r="AL664" s="61"/>
      <c r="AM664" s="61"/>
      <c r="AN664" s="37"/>
      <c r="AO664" s="62"/>
      <c r="AP664" s="62"/>
      <c r="AQ664" s="62"/>
      <c r="AR664" s="62"/>
    </row>
    <row r="665" spans="25:44" x14ac:dyDescent="0.15">
      <c r="Y665" s="8"/>
      <c r="Z665" s="61"/>
      <c r="AA665" s="61"/>
      <c r="AB665" s="61"/>
      <c r="AC665" s="61"/>
      <c r="AD665" s="37"/>
      <c r="AE665" s="62"/>
      <c r="AF665" s="62"/>
      <c r="AG665" s="62"/>
      <c r="AH665" s="62"/>
      <c r="AI665" s="37"/>
      <c r="AJ665" s="61"/>
      <c r="AK665" s="61"/>
      <c r="AL665" s="61"/>
      <c r="AM665" s="61"/>
      <c r="AN665" s="37"/>
      <c r="AO665" s="62"/>
      <c r="AP665" s="62"/>
      <c r="AQ665" s="62"/>
      <c r="AR665" s="62"/>
    </row>
    <row r="666" spans="25:44" x14ac:dyDescent="0.15">
      <c r="Y666" s="8"/>
      <c r="Z666" s="61"/>
      <c r="AA666" s="61"/>
      <c r="AB666" s="61"/>
      <c r="AC666" s="61"/>
      <c r="AD666" s="37"/>
      <c r="AE666" s="62"/>
      <c r="AF666" s="62"/>
      <c r="AG666" s="62"/>
      <c r="AH666" s="62"/>
      <c r="AI666" s="37"/>
      <c r="AJ666" s="61"/>
      <c r="AK666" s="61"/>
      <c r="AL666" s="61"/>
      <c r="AM666" s="61"/>
      <c r="AN666" s="37"/>
      <c r="AO666" s="62"/>
      <c r="AP666" s="62"/>
      <c r="AQ666" s="62"/>
      <c r="AR666" s="62"/>
    </row>
    <row r="667" spans="25:44" x14ac:dyDescent="0.15">
      <c r="Y667" s="8"/>
      <c r="Z667" s="61"/>
      <c r="AA667" s="61"/>
      <c r="AB667" s="61"/>
      <c r="AC667" s="61"/>
      <c r="AD667" s="37"/>
      <c r="AE667" s="62"/>
      <c r="AF667" s="62"/>
      <c r="AG667" s="62"/>
      <c r="AH667" s="62"/>
      <c r="AI667" s="37"/>
      <c r="AJ667" s="61"/>
      <c r="AK667" s="61"/>
      <c r="AL667" s="61"/>
      <c r="AM667" s="61"/>
      <c r="AN667" s="37"/>
      <c r="AO667" s="62"/>
      <c r="AP667" s="62"/>
      <c r="AQ667" s="62"/>
      <c r="AR667" s="62"/>
    </row>
    <row r="668" spans="25:44" x14ac:dyDescent="0.15">
      <c r="Y668" s="8"/>
      <c r="Z668" s="61"/>
      <c r="AA668" s="61"/>
      <c r="AB668" s="61"/>
      <c r="AC668" s="61"/>
      <c r="AD668" s="37"/>
      <c r="AE668" s="62"/>
      <c r="AF668" s="62"/>
      <c r="AG668" s="62"/>
      <c r="AH668" s="62"/>
      <c r="AI668" s="37"/>
      <c r="AJ668" s="61"/>
      <c r="AK668" s="61"/>
      <c r="AL668" s="61"/>
      <c r="AM668" s="61"/>
      <c r="AN668" s="37"/>
      <c r="AO668" s="62"/>
      <c r="AP668" s="62"/>
      <c r="AQ668" s="62"/>
      <c r="AR668" s="62"/>
    </row>
    <row r="669" spans="25:44" x14ac:dyDescent="0.15">
      <c r="Y669" s="8"/>
      <c r="Z669" s="61"/>
      <c r="AA669" s="61"/>
      <c r="AB669" s="61"/>
      <c r="AC669" s="61"/>
      <c r="AD669" s="37"/>
      <c r="AE669" s="62"/>
      <c r="AF669" s="62"/>
      <c r="AG669" s="62"/>
      <c r="AH669" s="62"/>
      <c r="AI669" s="37"/>
      <c r="AJ669" s="61"/>
      <c r="AK669" s="61"/>
      <c r="AL669" s="61"/>
      <c r="AM669" s="61"/>
      <c r="AN669" s="37"/>
      <c r="AO669" s="62"/>
      <c r="AP669" s="62"/>
      <c r="AQ669" s="62"/>
      <c r="AR669" s="62"/>
    </row>
    <row r="670" spans="25:44" x14ac:dyDescent="0.15">
      <c r="Y670" s="8"/>
      <c r="Z670" s="61"/>
      <c r="AA670" s="61"/>
      <c r="AB670" s="61"/>
      <c r="AC670" s="61"/>
      <c r="AD670" s="37"/>
      <c r="AE670" s="62"/>
      <c r="AF670" s="62"/>
      <c r="AG670" s="62"/>
      <c r="AH670" s="62"/>
      <c r="AI670" s="37"/>
      <c r="AJ670" s="61"/>
      <c r="AK670" s="61"/>
      <c r="AL670" s="61"/>
      <c r="AM670" s="61"/>
      <c r="AN670" s="37"/>
      <c r="AO670" s="62"/>
      <c r="AP670" s="62"/>
      <c r="AQ670" s="62"/>
      <c r="AR670" s="62"/>
    </row>
    <row r="671" spans="25:44" x14ac:dyDescent="0.15">
      <c r="Y671" s="8"/>
      <c r="Z671" s="61"/>
      <c r="AA671" s="61"/>
      <c r="AB671" s="61"/>
      <c r="AC671" s="61"/>
      <c r="AD671" s="37"/>
      <c r="AE671" s="62"/>
      <c r="AF671" s="62"/>
      <c r="AG671" s="62"/>
      <c r="AH671" s="62"/>
      <c r="AI671" s="37"/>
      <c r="AJ671" s="61"/>
      <c r="AK671" s="61"/>
      <c r="AL671" s="61"/>
      <c r="AM671" s="61"/>
      <c r="AN671" s="37"/>
      <c r="AO671" s="62"/>
      <c r="AP671" s="62"/>
      <c r="AQ671" s="62"/>
      <c r="AR671" s="62"/>
    </row>
    <row r="672" spans="25:44" x14ac:dyDescent="0.15">
      <c r="Y672" s="8"/>
      <c r="Z672" s="61"/>
      <c r="AA672" s="61"/>
      <c r="AB672" s="61"/>
      <c r="AC672" s="61"/>
      <c r="AD672" s="37"/>
      <c r="AE672" s="62"/>
      <c r="AF672" s="62"/>
      <c r="AG672" s="62"/>
      <c r="AH672" s="62"/>
      <c r="AI672" s="37"/>
      <c r="AJ672" s="61"/>
      <c r="AK672" s="61"/>
      <c r="AL672" s="61"/>
      <c r="AM672" s="61"/>
      <c r="AN672" s="37"/>
      <c r="AO672" s="62"/>
      <c r="AP672" s="62"/>
      <c r="AQ672" s="62"/>
      <c r="AR672" s="62"/>
    </row>
    <row r="673" spans="25:44" x14ac:dyDescent="0.15">
      <c r="Y673" s="8"/>
      <c r="Z673" s="61"/>
      <c r="AA673" s="61"/>
      <c r="AB673" s="61"/>
      <c r="AC673" s="61"/>
      <c r="AD673" s="37"/>
      <c r="AE673" s="62"/>
      <c r="AF673" s="62"/>
      <c r="AG673" s="62"/>
      <c r="AH673" s="62"/>
      <c r="AI673" s="37"/>
      <c r="AJ673" s="61"/>
      <c r="AK673" s="61"/>
      <c r="AL673" s="61"/>
      <c r="AM673" s="61"/>
      <c r="AN673" s="37"/>
      <c r="AO673" s="62"/>
      <c r="AP673" s="62"/>
      <c r="AQ673" s="62"/>
      <c r="AR673" s="62"/>
    </row>
    <row r="674" spans="25:44" x14ac:dyDescent="0.15">
      <c r="Y674" s="8"/>
      <c r="Z674" s="61"/>
      <c r="AA674" s="61"/>
      <c r="AB674" s="61"/>
      <c r="AC674" s="61"/>
      <c r="AD674" s="37"/>
      <c r="AE674" s="62"/>
      <c r="AF674" s="62"/>
      <c r="AG674" s="62"/>
      <c r="AH674" s="62"/>
      <c r="AI674" s="37"/>
      <c r="AJ674" s="61"/>
      <c r="AK674" s="61"/>
      <c r="AL674" s="61"/>
      <c r="AM674" s="61"/>
      <c r="AN674" s="37"/>
      <c r="AO674" s="62"/>
      <c r="AP674" s="62"/>
      <c r="AQ674" s="62"/>
      <c r="AR674" s="62"/>
    </row>
    <row r="675" spans="25:44" x14ac:dyDescent="0.15">
      <c r="Y675" s="8"/>
      <c r="Z675" s="61"/>
      <c r="AA675" s="61"/>
      <c r="AB675" s="61"/>
      <c r="AC675" s="61"/>
      <c r="AD675" s="37"/>
      <c r="AE675" s="62"/>
      <c r="AF675" s="62"/>
      <c r="AG675" s="62"/>
      <c r="AH675" s="62"/>
      <c r="AI675" s="37"/>
      <c r="AJ675" s="61"/>
      <c r="AK675" s="61"/>
      <c r="AL675" s="61"/>
      <c r="AM675" s="61"/>
      <c r="AN675" s="37"/>
      <c r="AO675" s="62"/>
      <c r="AP675" s="62"/>
      <c r="AQ675" s="62"/>
      <c r="AR675" s="62"/>
    </row>
    <row r="676" spans="25:44" x14ac:dyDescent="0.15">
      <c r="Y676" s="8"/>
      <c r="Z676" s="61"/>
      <c r="AA676" s="61"/>
      <c r="AB676" s="61"/>
      <c r="AC676" s="61"/>
      <c r="AD676" s="37"/>
      <c r="AE676" s="62"/>
      <c r="AF676" s="62"/>
      <c r="AG676" s="62"/>
      <c r="AH676" s="62"/>
      <c r="AI676" s="37"/>
      <c r="AJ676" s="61"/>
      <c r="AK676" s="61"/>
      <c r="AL676" s="61"/>
      <c r="AM676" s="61"/>
      <c r="AN676" s="37"/>
      <c r="AO676" s="62"/>
      <c r="AP676" s="62"/>
      <c r="AQ676" s="62"/>
      <c r="AR676" s="62"/>
    </row>
    <row r="677" spans="25:44" x14ac:dyDescent="0.15">
      <c r="Y677" s="8"/>
      <c r="Z677" s="61"/>
      <c r="AA677" s="61"/>
      <c r="AB677" s="61"/>
      <c r="AC677" s="61"/>
      <c r="AD677" s="37"/>
      <c r="AE677" s="62"/>
      <c r="AF677" s="62"/>
      <c r="AG677" s="62"/>
      <c r="AH677" s="62"/>
      <c r="AI677" s="37"/>
      <c r="AJ677" s="61"/>
      <c r="AK677" s="61"/>
      <c r="AL677" s="61"/>
      <c r="AM677" s="61"/>
      <c r="AN677" s="37"/>
      <c r="AO677" s="62"/>
      <c r="AP677" s="62"/>
      <c r="AQ677" s="62"/>
      <c r="AR677" s="62"/>
    </row>
    <row r="678" spans="25:44" x14ac:dyDescent="0.15">
      <c r="Y678" s="8"/>
      <c r="Z678" s="61"/>
      <c r="AA678" s="61"/>
      <c r="AB678" s="61"/>
      <c r="AC678" s="61"/>
      <c r="AD678" s="37"/>
      <c r="AE678" s="62"/>
      <c r="AF678" s="62"/>
      <c r="AG678" s="62"/>
      <c r="AH678" s="62"/>
      <c r="AI678" s="37"/>
      <c r="AJ678" s="61"/>
      <c r="AK678" s="61"/>
      <c r="AL678" s="61"/>
      <c r="AM678" s="61"/>
      <c r="AN678" s="37"/>
      <c r="AO678" s="62"/>
      <c r="AP678" s="62"/>
      <c r="AQ678" s="62"/>
      <c r="AR678" s="62"/>
    </row>
    <row r="679" spans="25:44" x14ac:dyDescent="0.15">
      <c r="Y679" s="8"/>
      <c r="Z679" s="61"/>
      <c r="AA679" s="61"/>
      <c r="AB679" s="61"/>
      <c r="AC679" s="61"/>
      <c r="AD679" s="37"/>
      <c r="AE679" s="62"/>
      <c r="AF679" s="62"/>
      <c r="AG679" s="62"/>
      <c r="AH679" s="62"/>
      <c r="AI679" s="37"/>
      <c r="AJ679" s="61"/>
      <c r="AK679" s="61"/>
      <c r="AL679" s="61"/>
      <c r="AM679" s="61"/>
      <c r="AN679" s="37"/>
      <c r="AO679" s="62"/>
      <c r="AP679" s="62"/>
      <c r="AQ679" s="62"/>
      <c r="AR679" s="62"/>
    </row>
    <row r="680" spans="25:44" x14ac:dyDescent="0.15">
      <c r="Y680" s="8"/>
      <c r="Z680" s="61"/>
      <c r="AA680" s="61"/>
      <c r="AB680" s="61"/>
      <c r="AC680" s="61"/>
      <c r="AD680" s="37"/>
      <c r="AE680" s="62"/>
      <c r="AF680" s="62"/>
      <c r="AG680" s="62"/>
      <c r="AH680" s="62"/>
      <c r="AI680" s="37"/>
      <c r="AJ680" s="61"/>
      <c r="AK680" s="61"/>
      <c r="AL680" s="61"/>
      <c r="AM680" s="61"/>
      <c r="AN680" s="37"/>
      <c r="AO680" s="62"/>
      <c r="AP680" s="62"/>
      <c r="AQ680" s="62"/>
      <c r="AR680" s="62"/>
    </row>
    <row r="681" spans="25:44" x14ac:dyDescent="0.15">
      <c r="Y681" s="8"/>
      <c r="Z681" s="61"/>
      <c r="AA681" s="61"/>
      <c r="AB681" s="61"/>
      <c r="AC681" s="61"/>
      <c r="AD681" s="37"/>
      <c r="AE681" s="62"/>
      <c r="AF681" s="62"/>
      <c r="AG681" s="62"/>
      <c r="AH681" s="62"/>
      <c r="AI681" s="37"/>
      <c r="AJ681" s="61"/>
      <c r="AK681" s="61"/>
      <c r="AL681" s="61"/>
      <c r="AM681" s="61"/>
      <c r="AN681" s="37"/>
      <c r="AO681" s="62"/>
      <c r="AP681" s="62"/>
      <c r="AQ681" s="62"/>
      <c r="AR681" s="62"/>
    </row>
    <row r="682" spans="25:44" x14ac:dyDescent="0.15">
      <c r="Y682" s="8"/>
      <c r="Z682" s="61"/>
      <c r="AA682" s="61"/>
      <c r="AB682" s="61"/>
      <c r="AC682" s="61"/>
      <c r="AD682" s="37"/>
      <c r="AE682" s="62"/>
      <c r="AF682" s="62"/>
      <c r="AG682" s="62"/>
      <c r="AH682" s="62"/>
      <c r="AI682" s="37"/>
      <c r="AJ682" s="61"/>
      <c r="AK682" s="61"/>
      <c r="AL682" s="61"/>
      <c r="AM682" s="61"/>
      <c r="AN682" s="37"/>
      <c r="AO682" s="62"/>
      <c r="AP682" s="62"/>
      <c r="AQ682" s="62"/>
      <c r="AR682" s="62"/>
    </row>
    <row r="683" spans="25:44" x14ac:dyDescent="0.15">
      <c r="Y683" s="8"/>
      <c r="Z683" s="61"/>
      <c r="AA683" s="61"/>
      <c r="AB683" s="61"/>
      <c r="AC683" s="61"/>
      <c r="AD683" s="37"/>
      <c r="AE683" s="62"/>
      <c r="AF683" s="62"/>
      <c r="AG683" s="62"/>
      <c r="AH683" s="62"/>
      <c r="AI683" s="37"/>
      <c r="AJ683" s="61"/>
      <c r="AK683" s="61"/>
      <c r="AL683" s="61"/>
      <c r="AM683" s="61"/>
      <c r="AN683" s="37"/>
      <c r="AO683" s="62"/>
      <c r="AP683" s="62"/>
      <c r="AQ683" s="62"/>
      <c r="AR683" s="62"/>
    </row>
    <row r="684" spans="25:44" x14ac:dyDescent="0.15">
      <c r="Y684" s="8"/>
      <c r="Z684" s="61"/>
      <c r="AA684" s="61"/>
      <c r="AB684" s="61"/>
      <c r="AC684" s="61"/>
      <c r="AD684" s="37"/>
      <c r="AE684" s="62"/>
      <c r="AF684" s="62"/>
      <c r="AG684" s="62"/>
      <c r="AH684" s="62"/>
      <c r="AI684" s="37"/>
      <c r="AJ684" s="61"/>
      <c r="AK684" s="61"/>
      <c r="AL684" s="61"/>
      <c r="AM684" s="61"/>
      <c r="AN684" s="37"/>
      <c r="AO684" s="62"/>
      <c r="AP684" s="62"/>
      <c r="AQ684" s="62"/>
      <c r="AR684" s="62"/>
    </row>
    <row r="685" spans="25:44" x14ac:dyDescent="0.15">
      <c r="Y685" s="8"/>
      <c r="Z685" s="61"/>
      <c r="AA685" s="61"/>
      <c r="AB685" s="61"/>
      <c r="AC685" s="61"/>
      <c r="AD685" s="37"/>
      <c r="AE685" s="62"/>
      <c r="AF685" s="62"/>
      <c r="AG685" s="62"/>
      <c r="AH685" s="62"/>
      <c r="AI685" s="37"/>
      <c r="AJ685" s="61"/>
      <c r="AK685" s="61"/>
      <c r="AL685" s="61"/>
      <c r="AM685" s="61"/>
      <c r="AN685" s="37"/>
      <c r="AO685" s="62"/>
      <c r="AP685" s="62"/>
      <c r="AQ685" s="62"/>
      <c r="AR685" s="62"/>
    </row>
    <row r="686" spans="25:44" x14ac:dyDescent="0.15">
      <c r="Y686" s="8"/>
      <c r="Z686" s="61"/>
      <c r="AA686" s="61"/>
      <c r="AB686" s="61"/>
      <c r="AC686" s="61"/>
      <c r="AD686" s="37"/>
      <c r="AE686" s="62"/>
      <c r="AF686" s="62"/>
      <c r="AG686" s="62"/>
      <c r="AH686" s="62"/>
      <c r="AI686" s="37"/>
      <c r="AJ686" s="61"/>
      <c r="AK686" s="61"/>
      <c r="AL686" s="61"/>
      <c r="AM686" s="61"/>
      <c r="AN686" s="37"/>
      <c r="AO686" s="62"/>
      <c r="AP686" s="62"/>
      <c r="AQ686" s="62"/>
      <c r="AR686" s="62"/>
    </row>
    <row r="687" spans="25:44" x14ac:dyDescent="0.15">
      <c r="Y687" s="8"/>
      <c r="Z687" s="61"/>
      <c r="AA687" s="61"/>
      <c r="AB687" s="61"/>
      <c r="AC687" s="61"/>
      <c r="AD687" s="37"/>
      <c r="AE687" s="62"/>
      <c r="AF687" s="62"/>
      <c r="AG687" s="62"/>
      <c r="AH687" s="62"/>
      <c r="AI687" s="37"/>
      <c r="AJ687" s="61"/>
      <c r="AK687" s="61"/>
      <c r="AL687" s="61"/>
      <c r="AM687" s="61"/>
      <c r="AN687" s="37"/>
      <c r="AO687" s="62"/>
      <c r="AP687" s="62"/>
      <c r="AQ687" s="62"/>
      <c r="AR687" s="62"/>
    </row>
    <row r="688" spans="25:44" x14ac:dyDescent="0.15">
      <c r="Y688" s="8"/>
      <c r="Z688" s="61"/>
      <c r="AA688" s="61"/>
      <c r="AB688" s="61"/>
      <c r="AC688" s="61"/>
      <c r="AD688" s="37"/>
      <c r="AE688" s="62"/>
      <c r="AF688" s="62"/>
      <c r="AG688" s="62"/>
      <c r="AH688" s="62"/>
      <c r="AI688" s="37"/>
      <c r="AJ688" s="61"/>
      <c r="AK688" s="61"/>
      <c r="AL688" s="61"/>
      <c r="AM688" s="61"/>
      <c r="AN688" s="37"/>
      <c r="AO688" s="62"/>
      <c r="AP688" s="62"/>
      <c r="AQ688" s="62"/>
      <c r="AR688" s="62"/>
    </row>
    <row r="689" spans="25:44" x14ac:dyDescent="0.15">
      <c r="Y689" s="8"/>
      <c r="Z689" s="61"/>
      <c r="AA689" s="61"/>
      <c r="AB689" s="61"/>
      <c r="AC689" s="61"/>
      <c r="AD689" s="37"/>
      <c r="AE689" s="62"/>
      <c r="AF689" s="62"/>
      <c r="AG689" s="62"/>
      <c r="AH689" s="62"/>
      <c r="AI689" s="37"/>
      <c r="AJ689" s="61"/>
      <c r="AK689" s="61"/>
      <c r="AL689" s="61"/>
      <c r="AM689" s="61"/>
      <c r="AN689" s="37"/>
      <c r="AO689" s="62"/>
      <c r="AP689" s="62"/>
      <c r="AQ689" s="62"/>
      <c r="AR689" s="62"/>
    </row>
    <row r="690" spans="25:44" x14ac:dyDescent="0.15">
      <c r="Y690" s="8"/>
      <c r="Z690" s="61"/>
      <c r="AA690" s="61"/>
      <c r="AB690" s="61"/>
      <c r="AC690" s="61"/>
      <c r="AD690" s="37"/>
      <c r="AE690" s="62"/>
      <c r="AF690" s="62"/>
      <c r="AG690" s="62"/>
      <c r="AH690" s="62"/>
      <c r="AI690" s="37"/>
      <c r="AJ690" s="61"/>
      <c r="AK690" s="61"/>
      <c r="AL690" s="61"/>
      <c r="AM690" s="61"/>
      <c r="AN690" s="37"/>
      <c r="AO690" s="62"/>
      <c r="AP690" s="62"/>
      <c r="AQ690" s="62"/>
      <c r="AR690" s="62"/>
    </row>
    <row r="691" spans="25:44" x14ac:dyDescent="0.15">
      <c r="Y691" s="8"/>
      <c r="Z691" s="61"/>
      <c r="AA691" s="61"/>
      <c r="AB691" s="61"/>
      <c r="AC691" s="61"/>
      <c r="AD691" s="37"/>
      <c r="AE691" s="62"/>
      <c r="AF691" s="62"/>
      <c r="AG691" s="62"/>
      <c r="AH691" s="62"/>
      <c r="AI691" s="37"/>
      <c r="AJ691" s="61"/>
      <c r="AK691" s="61"/>
      <c r="AL691" s="61"/>
      <c r="AM691" s="61"/>
      <c r="AN691" s="37"/>
      <c r="AO691" s="62"/>
      <c r="AP691" s="62"/>
      <c r="AQ691" s="62"/>
      <c r="AR691" s="62"/>
    </row>
    <row r="692" spans="25:44" x14ac:dyDescent="0.15">
      <c r="Y692" s="8"/>
      <c r="Z692" s="61"/>
      <c r="AA692" s="61"/>
      <c r="AB692" s="61"/>
      <c r="AC692" s="61"/>
      <c r="AD692" s="37"/>
      <c r="AE692" s="62"/>
      <c r="AF692" s="62"/>
      <c r="AG692" s="62"/>
      <c r="AH692" s="62"/>
      <c r="AI692" s="37"/>
      <c r="AJ692" s="61"/>
      <c r="AK692" s="61"/>
      <c r="AL692" s="61"/>
      <c r="AM692" s="61"/>
      <c r="AN692" s="37"/>
      <c r="AO692" s="62"/>
      <c r="AP692" s="62"/>
      <c r="AQ692" s="62"/>
      <c r="AR692" s="62"/>
    </row>
    <row r="693" spans="25:44" x14ac:dyDescent="0.15">
      <c r="Y693" s="8"/>
      <c r="Z693" s="61"/>
      <c r="AA693" s="61"/>
      <c r="AB693" s="61"/>
      <c r="AC693" s="61"/>
      <c r="AD693" s="37"/>
      <c r="AE693" s="62"/>
      <c r="AF693" s="62"/>
      <c r="AG693" s="62"/>
      <c r="AH693" s="62"/>
      <c r="AI693" s="37"/>
      <c r="AJ693" s="61"/>
      <c r="AK693" s="61"/>
      <c r="AL693" s="61"/>
      <c r="AM693" s="61"/>
      <c r="AN693" s="37"/>
      <c r="AO693" s="62"/>
      <c r="AP693" s="62"/>
      <c r="AQ693" s="62"/>
      <c r="AR693" s="62"/>
    </row>
    <row r="694" spans="25:44" x14ac:dyDescent="0.15">
      <c r="Y694" s="8"/>
      <c r="Z694" s="61"/>
      <c r="AA694" s="61"/>
      <c r="AB694" s="61"/>
      <c r="AC694" s="61"/>
      <c r="AD694" s="37"/>
      <c r="AE694" s="62"/>
      <c r="AF694" s="62"/>
      <c r="AG694" s="62"/>
      <c r="AH694" s="62"/>
      <c r="AI694" s="37"/>
      <c r="AJ694" s="61"/>
      <c r="AK694" s="61"/>
      <c r="AL694" s="61"/>
      <c r="AM694" s="61"/>
      <c r="AN694" s="37"/>
      <c r="AO694" s="62"/>
      <c r="AP694" s="62"/>
      <c r="AQ694" s="62"/>
      <c r="AR694" s="62"/>
    </row>
    <row r="695" spans="25:44" x14ac:dyDescent="0.15">
      <c r="Y695" s="8"/>
      <c r="Z695" s="61"/>
      <c r="AA695" s="61"/>
      <c r="AB695" s="61"/>
      <c r="AC695" s="61"/>
      <c r="AD695" s="37"/>
      <c r="AE695" s="62"/>
      <c r="AF695" s="62"/>
      <c r="AG695" s="62"/>
      <c r="AH695" s="62"/>
      <c r="AI695" s="37"/>
      <c r="AJ695" s="61"/>
      <c r="AK695" s="61"/>
      <c r="AL695" s="61"/>
      <c r="AM695" s="61"/>
      <c r="AN695" s="37"/>
      <c r="AO695" s="62"/>
      <c r="AP695" s="62"/>
      <c r="AQ695" s="62"/>
      <c r="AR695" s="62"/>
    </row>
    <row r="696" spans="25:44" x14ac:dyDescent="0.15">
      <c r="Y696" s="8"/>
      <c r="Z696" s="61"/>
      <c r="AA696" s="61"/>
      <c r="AB696" s="61"/>
      <c r="AC696" s="61"/>
      <c r="AD696" s="37"/>
      <c r="AE696" s="62"/>
      <c r="AF696" s="62"/>
      <c r="AG696" s="62"/>
      <c r="AH696" s="62"/>
      <c r="AI696" s="37"/>
      <c r="AJ696" s="61"/>
      <c r="AK696" s="61"/>
      <c r="AL696" s="61"/>
      <c r="AM696" s="61"/>
      <c r="AN696" s="37"/>
      <c r="AO696" s="62"/>
      <c r="AP696" s="62"/>
      <c r="AQ696" s="62"/>
      <c r="AR696" s="62"/>
    </row>
    <row r="697" spans="25:44" x14ac:dyDescent="0.15">
      <c r="Y697" s="8"/>
      <c r="Z697" s="61"/>
      <c r="AA697" s="61"/>
      <c r="AB697" s="61"/>
      <c r="AC697" s="61"/>
      <c r="AD697" s="37"/>
      <c r="AE697" s="62"/>
      <c r="AF697" s="62"/>
      <c r="AG697" s="62"/>
      <c r="AH697" s="62"/>
      <c r="AI697" s="37"/>
      <c r="AJ697" s="61"/>
      <c r="AK697" s="61"/>
      <c r="AL697" s="61"/>
      <c r="AM697" s="61"/>
      <c r="AN697" s="37"/>
      <c r="AO697" s="62"/>
      <c r="AP697" s="62"/>
      <c r="AQ697" s="62"/>
      <c r="AR697" s="62"/>
    </row>
    <row r="698" spans="25:44" x14ac:dyDescent="0.15">
      <c r="Y698" s="8"/>
      <c r="Z698" s="61"/>
      <c r="AA698" s="61"/>
      <c r="AB698" s="61"/>
      <c r="AC698" s="61"/>
      <c r="AD698" s="37"/>
      <c r="AE698" s="62"/>
      <c r="AF698" s="62"/>
      <c r="AG698" s="62"/>
      <c r="AH698" s="62"/>
      <c r="AI698" s="37"/>
      <c r="AJ698" s="61"/>
      <c r="AK698" s="61"/>
      <c r="AL698" s="61"/>
      <c r="AM698" s="61"/>
      <c r="AN698" s="37"/>
      <c r="AO698" s="62"/>
      <c r="AP698" s="62"/>
      <c r="AQ698" s="62"/>
      <c r="AR698" s="62"/>
    </row>
    <row r="699" spans="25:44" x14ac:dyDescent="0.15">
      <c r="Y699" s="8"/>
      <c r="Z699" s="61"/>
      <c r="AA699" s="61"/>
      <c r="AB699" s="61"/>
      <c r="AC699" s="61"/>
      <c r="AD699" s="37"/>
      <c r="AE699" s="62"/>
      <c r="AF699" s="62"/>
      <c r="AG699" s="62"/>
      <c r="AH699" s="62"/>
      <c r="AI699" s="37"/>
      <c r="AJ699" s="61"/>
      <c r="AK699" s="61"/>
      <c r="AL699" s="61"/>
      <c r="AM699" s="61"/>
      <c r="AN699" s="37"/>
      <c r="AO699" s="62"/>
      <c r="AP699" s="62"/>
      <c r="AQ699" s="62"/>
      <c r="AR699" s="62"/>
    </row>
    <row r="700" spans="25:44" x14ac:dyDescent="0.15">
      <c r="Y700" s="8"/>
      <c r="Z700" s="61"/>
      <c r="AA700" s="61"/>
      <c r="AB700" s="61"/>
      <c r="AC700" s="61"/>
      <c r="AD700" s="37"/>
      <c r="AE700" s="62"/>
      <c r="AF700" s="62"/>
      <c r="AG700" s="62"/>
      <c r="AH700" s="62"/>
      <c r="AI700" s="37"/>
      <c r="AJ700" s="61"/>
      <c r="AK700" s="61"/>
      <c r="AL700" s="61"/>
      <c r="AM700" s="61"/>
      <c r="AN700" s="37"/>
      <c r="AO700" s="62"/>
      <c r="AP700" s="62"/>
      <c r="AQ700" s="62"/>
      <c r="AR700" s="62"/>
    </row>
    <row r="701" spans="25:44" x14ac:dyDescent="0.15">
      <c r="Y701" s="8"/>
      <c r="Z701" s="61"/>
      <c r="AA701" s="61"/>
      <c r="AB701" s="61"/>
      <c r="AC701" s="61"/>
      <c r="AD701" s="37"/>
      <c r="AE701" s="62"/>
      <c r="AF701" s="62"/>
      <c r="AG701" s="62"/>
      <c r="AH701" s="62"/>
      <c r="AI701" s="37"/>
      <c r="AJ701" s="61"/>
      <c r="AK701" s="61"/>
      <c r="AL701" s="61"/>
      <c r="AM701" s="61"/>
      <c r="AN701" s="37"/>
      <c r="AO701" s="62"/>
      <c r="AP701" s="62"/>
      <c r="AQ701" s="62"/>
      <c r="AR701" s="62"/>
    </row>
    <row r="702" spans="25:44" x14ac:dyDescent="0.15">
      <c r="Y702" s="8"/>
      <c r="Z702" s="61"/>
      <c r="AA702" s="61"/>
      <c r="AB702" s="61"/>
      <c r="AC702" s="61"/>
      <c r="AD702" s="37"/>
      <c r="AE702" s="62"/>
      <c r="AF702" s="62"/>
      <c r="AG702" s="62"/>
      <c r="AH702" s="62"/>
      <c r="AI702" s="37"/>
      <c r="AJ702" s="61"/>
      <c r="AK702" s="61"/>
      <c r="AL702" s="61"/>
      <c r="AM702" s="61"/>
      <c r="AN702" s="37"/>
      <c r="AO702" s="62"/>
      <c r="AP702" s="62"/>
      <c r="AQ702" s="62"/>
      <c r="AR702" s="62"/>
    </row>
    <row r="703" spans="25:44" x14ac:dyDescent="0.15">
      <c r="Y703" s="8"/>
      <c r="Z703" s="61"/>
      <c r="AA703" s="61"/>
      <c r="AB703" s="61"/>
      <c r="AC703" s="61"/>
      <c r="AD703" s="37"/>
      <c r="AE703" s="62"/>
      <c r="AF703" s="62"/>
      <c r="AG703" s="62"/>
      <c r="AH703" s="62"/>
      <c r="AI703" s="37"/>
      <c r="AJ703" s="61"/>
      <c r="AK703" s="61"/>
      <c r="AL703" s="61"/>
      <c r="AM703" s="61"/>
      <c r="AN703" s="37"/>
      <c r="AO703" s="62"/>
      <c r="AP703" s="62"/>
      <c r="AQ703" s="62"/>
      <c r="AR703" s="62"/>
    </row>
    <row r="704" spans="25:44" x14ac:dyDescent="0.15">
      <c r="Y704" s="8"/>
      <c r="Z704" s="61"/>
      <c r="AA704" s="61"/>
      <c r="AB704" s="61"/>
      <c r="AC704" s="61"/>
      <c r="AD704" s="37"/>
      <c r="AE704" s="62"/>
      <c r="AF704" s="62"/>
      <c r="AG704" s="62"/>
      <c r="AH704" s="62"/>
      <c r="AI704" s="37"/>
      <c r="AJ704" s="61"/>
      <c r="AK704" s="61"/>
      <c r="AL704" s="61"/>
      <c r="AM704" s="61"/>
      <c r="AN704" s="37"/>
      <c r="AO704" s="62"/>
      <c r="AP704" s="62"/>
      <c r="AQ704" s="62"/>
      <c r="AR704" s="62"/>
    </row>
    <row r="705" spans="25:44" x14ac:dyDescent="0.15">
      <c r="Y705" s="8"/>
      <c r="Z705" s="61"/>
      <c r="AA705" s="61"/>
      <c r="AB705" s="61"/>
      <c r="AC705" s="61"/>
      <c r="AD705" s="37"/>
      <c r="AE705" s="62"/>
      <c r="AF705" s="62"/>
      <c r="AG705" s="62"/>
      <c r="AH705" s="62"/>
      <c r="AI705" s="37"/>
      <c r="AJ705" s="61"/>
      <c r="AK705" s="61"/>
      <c r="AL705" s="61"/>
      <c r="AM705" s="61"/>
      <c r="AN705" s="37"/>
      <c r="AO705" s="62"/>
      <c r="AP705" s="62"/>
      <c r="AQ705" s="62"/>
      <c r="AR705" s="62"/>
    </row>
    <row r="706" spans="25:44" x14ac:dyDescent="0.15">
      <c r="Y706" s="8"/>
      <c r="Z706" s="61"/>
      <c r="AA706" s="61"/>
      <c r="AB706" s="61"/>
      <c r="AC706" s="61"/>
      <c r="AD706" s="37"/>
      <c r="AE706" s="62"/>
      <c r="AF706" s="62"/>
      <c r="AG706" s="62"/>
      <c r="AH706" s="62"/>
      <c r="AI706" s="37"/>
      <c r="AJ706" s="61"/>
      <c r="AK706" s="61"/>
      <c r="AL706" s="61"/>
      <c r="AM706" s="61"/>
      <c r="AN706" s="37"/>
      <c r="AO706" s="62"/>
      <c r="AP706" s="62"/>
      <c r="AQ706" s="62"/>
      <c r="AR706" s="62"/>
    </row>
    <row r="707" spans="25:44" x14ac:dyDescent="0.15">
      <c r="Y707" s="8"/>
      <c r="Z707" s="61"/>
      <c r="AA707" s="61"/>
      <c r="AB707" s="61"/>
      <c r="AC707" s="61"/>
      <c r="AD707" s="37"/>
      <c r="AE707" s="62"/>
      <c r="AF707" s="62"/>
      <c r="AG707" s="62"/>
      <c r="AH707" s="62"/>
      <c r="AI707" s="37"/>
      <c r="AJ707" s="61"/>
      <c r="AK707" s="61"/>
      <c r="AL707" s="61"/>
      <c r="AM707" s="61"/>
      <c r="AN707" s="37"/>
      <c r="AO707" s="62"/>
      <c r="AP707" s="62"/>
      <c r="AQ707" s="62"/>
      <c r="AR707" s="62"/>
    </row>
    <row r="708" spans="25:44" x14ac:dyDescent="0.15">
      <c r="Y708" s="8"/>
      <c r="Z708" s="61"/>
      <c r="AA708" s="61"/>
      <c r="AB708" s="61"/>
      <c r="AC708" s="61"/>
      <c r="AD708" s="37"/>
      <c r="AE708" s="62"/>
      <c r="AF708" s="62"/>
      <c r="AG708" s="62"/>
      <c r="AH708" s="62"/>
      <c r="AI708" s="37"/>
      <c r="AJ708" s="61"/>
      <c r="AK708" s="61"/>
      <c r="AL708" s="61"/>
      <c r="AM708" s="61"/>
      <c r="AN708" s="37"/>
      <c r="AO708" s="62"/>
      <c r="AP708" s="62"/>
      <c r="AQ708" s="62"/>
      <c r="AR708" s="62"/>
    </row>
    <row r="709" spans="25:44" x14ac:dyDescent="0.15">
      <c r="Y709" s="8"/>
      <c r="Z709" s="61"/>
      <c r="AA709" s="61"/>
      <c r="AB709" s="61"/>
      <c r="AC709" s="61"/>
      <c r="AD709" s="37"/>
      <c r="AE709" s="62"/>
      <c r="AF709" s="62"/>
      <c r="AG709" s="62"/>
      <c r="AH709" s="62"/>
      <c r="AI709" s="37"/>
      <c r="AJ709" s="61"/>
      <c r="AK709" s="61"/>
      <c r="AL709" s="61"/>
      <c r="AM709" s="61"/>
      <c r="AN709" s="37"/>
      <c r="AO709" s="62"/>
      <c r="AP709" s="62"/>
      <c r="AQ709" s="62"/>
      <c r="AR709" s="62"/>
    </row>
    <row r="710" spans="25:44" x14ac:dyDescent="0.15">
      <c r="Y710" s="8"/>
      <c r="Z710" s="61"/>
      <c r="AA710" s="61"/>
      <c r="AB710" s="61"/>
      <c r="AC710" s="61"/>
      <c r="AD710" s="37"/>
      <c r="AE710" s="62"/>
      <c r="AF710" s="62"/>
      <c r="AG710" s="62"/>
      <c r="AH710" s="62"/>
      <c r="AI710" s="37"/>
      <c r="AJ710" s="61"/>
      <c r="AK710" s="61"/>
      <c r="AL710" s="61"/>
      <c r="AM710" s="61"/>
      <c r="AN710" s="37"/>
      <c r="AO710" s="62"/>
      <c r="AP710" s="62"/>
      <c r="AQ710" s="62"/>
      <c r="AR710" s="62"/>
    </row>
    <row r="711" spans="25:44" x14ac:dyDescent="0.15">
      <c r="Y711" s="8"/>
      <c r="Z711" s="61"/>
      <c r="AA711" s="61"/>
      <c r="AB711" s="61"/>
      <c r="AC711" s="61"/>
      <c r="AD711" s="37"/>
      <c r="AE711" s="62"/>
      <c r="AF711" s="62"/>
      <c r="AG711" s="62"/>
      <c r="AH711" s="62"/>
      <c r="AI711" s="37"/>
      <c r="AJ711" s="61"/>
      <c r="AK711" s="61"/>
      <c r="AL711" s="61"/>
      <c r="AM711" s="61"/>
      <c r="AN711" s="37"/>
      <c r="AO711" s="62"/>
      <c r="AP711" s="62"/>
      <c r="AQ711" s="62"/>
      <c r="AR711" s="62"/>
    </row>
    <row r="712" spans="25:44" x14ac:dyDescent="0.15">
      <c r="Y712" s="8"/>
      <c r="Z712" s="61"/>
      <c r="AA712" s="61"/>
      <c r="AB712" s="61"/>
      <c r="AC712" s="61"/>
      <c r="AD712" s="37"/>
      <c r="AE712" s="62"/>
      <c r="AF712" s="62"/>
      <c r="AG712" s="62"/>
      <c r="AH712" s="62"/>
      <c r="AI712" s="37"/>
      <c r="AJ712" s="61"/>
      <c r="AK712" s="61"/>
      <c r="AL712" s="61"/>
      <c r="AM712" s="61"/>
      <c r="AN712" s="37"/>
      <c r="AO712" s="62"/>
      <c r="AP712" s="62"/>
      <c r="AQ712" s="62"/>
      <c r="AR712" s="62"/>
    </row>
    <row r="713" spans="25:44" x14ac:dyDescent="0.15">
      <c r="Y713" s="8"/>
      <c r="Z713" s="61"/>
      <c r="AA713" s="61"/>
      <c r="AB713" s="61"/>
      <c r="AC713" s="61"/>
      <c r="AD713" s="37"/>
      <c r="AE713" s="62"/>
      <c r="AF713" s="62"/>
      <c r="AG713" s="62"/>
      <c r="AH713" s="62"/>
      <c r="AI713" s="37"/>
      <c r="AJ713" s="61"/>
      <c r="AK713" s="61"/>
      <c r="AL713" s="61"/>
      <c r="AM713" s="61"/>
      <c r="AN713" s="37"/>
      <c r="AO713" s="62"/>
      <c r="AP713" s="62"/>
      <c r="AQ713" s="62"/>
      <c r="AR713" s="62"/>
    </row>
    <row r="714" spans="25:44" x14ac:dyDescent="0.15">
      <c r="Y714" s="8"/>
      <c r="Z714" s="61"/>
      <c r="AA714" s="61"/>
      <c r="AB714" s="61"/>
      <c r="AC714" s="61"/>
      <c r="AD714" s="37"/>
      <c r="AE714" s="62"/>
      <c r="AF714" s="62"/>
      <c r="AG714" s="62"/>
      <c r="AH714" s="62"/>
      <c r="AI714" s="37"/>
      <c r="AJ714" s="61"/>
      <c r="AK714" s="61"/>
      <c r="AL714" s="61"/>
      <c r="AM714" s="61"/>
      <c r="AN714" s="37"/>
      <c r="AO714" s="62"/>
      <c r="AP714" s="62"/>
      <c r="AQ714" s="62"/>
      <c r="AR714" s="62"/>
    </row>
    <row r="715" spans="25:44" x14ac:dyDescent="0.15">
      <c r="Y715" s="8"/>
      <c r="Z715" s="61"/>
      <c r="AA715" s="61"/>
      <c r="AB715" s="61"/>
      <c r="AC715" s="61"/>
      <c r="AD715" s="37"/>
      <c r="AE715" s="62"/>
      <c r="AF715" s="62"/>
      <c r="AG715" s="62"/>
      <c r="AH715" s="62"/>
      <c r="AI715" s="37"/>
      <c r="AJ715" s="61"/>
      <c r="AK715" s="61"/>
      <c r="AL715" s="61"/>
      <c r="AM715" s="61"/>
      <c r="AN715" s="37"/>
      <c r="AO715" s="62"/>
      <c r="AP715" s="62"/>
      <c r="AQ715" s="62"/>
      <c r="AR715" s="62"/>
    </row>
    <row r="716" spans="25:44" x14ac:dyDescent="0.15">
      <c r="Y716" s="8"/>
      <c r="Z716" s="61"/>
      <c r="AA716" s="61"/>
      <c r="AB716" s="61"/>
      <c r="AC716" s="61"/>
      <c r="AD716" s="37"/>
      <c r="AE716" s="62"/>
      <c r="AF716" s="62"/>
      <c r="AG716" s="62"/>
      <c r="AH716" s="62"/>
      <c r="AI716" s="37"/>
      <c r="AJ716" s="61"/>
      <c r="AK716" s="61"/>
      <c r="AL716" s="61"/>
      <c r="AM716" s="61"/>
      <c r="AN716" s="37"/>
      <c r="AO716" s="62"/>
      <c r="AP716" s="62"/>
      <c r="AQ716" s="62"/>
      <c r="AR716" s="62"/>
    </row>
    <row r="717" spans="25:44" x14ac:dyDescent="0.15">
      <c r="Y717" s="8"/>
      <c r="Z717" s="61"/>
      <c r="AA717" s="61"/>
      <c r="AB717" s="61"/>
      <c r="AC717" s="61"/>
      <c r="AD717" s="37"/>
      <c r="AE717" s="62"/>
      <c r="AF717" s="62"/>
      <c r="AG717" s="62"/>
      <c r="AH717" s="62"/>
      <c r="AI717" s="37"/>
      <c r="AJ717" s="61"/>
      <c r="AK717" s="61"/>
      <c r="AL717" s="61"/>
      <c r="AM717" s="61"/>
      <c r="AN717" s="37"/>
      <c r="AO717" s="62"/>
      <c r="AP717" s="62"/>
      <c r="AQ717" s="62"/>
      <c r="AR717" s="62"/>
    </row>
    <row r="718" spans="25:44" x14ac:dyDescent="0.15">
      <c r="Y718" s="8"/>
      <c r="Z718" s="61"/>
      <c r="AA718" s="61"/>
      <c r="AB718" s="61"/>
      <c r="AC718" s="61"/>
      <c r="AD718" s="37"/>
      <c r="AE718" s="62"/>
      <c r="AF718" s="62"/>
      <c r="AG718" s="62"/>
      <c r="AH718" s="62"/>
      <c r="AI718" s="37"/>
      <c r="AJ718" s="61"/>
      <c r="AK718" s="61"/>
      <c r="AL718" s="61"/>
      <c r="AM718" s="61"/>
      <c r="AN718" s="37"/>
      <c r="AO718" s="62"/>
      <c r="AP718" s="62"/>
      <c r="AQ718" s="62"/>
      <c r="AR718" s="62"/>
    </row>
    <row r="719" spans="25:44" x14ac:dyDescent="0.15">
      <c r="Y719" s="8"/>
      <c r="Z719" s="61"/>
      <c r="AA719" s="61"/>
      <c r="AB719" s="61"/>
      <c r="AC719" s="61"/>
      <c r="AD719" s="37"/>
      <c r="AE719" s="62"/>
      <c r="AF719" s="62"/>
      <c r="AG719" s="62"/>
      <c r="AH719" s="62"/>
      <c r="AI719" s="37"/>
      <c r="AJ719" s="61"/>
      <c r="AK719" s="61"/>
      <c r="AL719" s="61"/>
      <c r="AM719" s="61"/>
      <c r="AN719" s="37"/>
      <c r="AO719" s="62"/>
      <c r="AP719" s="62"/>
      <c r="AQ719" s="62"/>
      <c r="AR719" s="62"/>
    </row>
    <row r="720" spans="25:44" x14ac:dyDescent="0.15">
      <c r="Y720" s="8"/>
      <c r="Z720" s="61"/>
      <c r="AA720" s="61"/>
      <c r="AB720" s="61"/>
      <c r="AC720" s="61"/>
      <c r="AD720" s="37"/>
      <c r="AE720" s="62"/>
      <c r="AF720" s="62"/>
      <c r="AG720" s="62"/>
      <c r="AH720" s="62"/>
      <c r="AI720" s="37"/>
      <c r="AJ720" s="61"/>
      <c r="AK720" s="61"/>
      <c r="AL720" s="61"/>
      <c r="AM720" s="61"/>
      <c r="AN720" s="37"/>
      <c r="AO720" s="62"/>
      <c r="AP720" s="62"/>
      <c r="AQ720" s="62"/>
      <c r="AR720" s="62"/>
    </row>
    <row r="721" spans="25:44" x14ac:dyDescent="0.15">
      <c r="Y721" s="8"/>
      <c r="Z721" s="61"/>
      <c r="AA721" s="61"/>
      <c r="AB721" s="61"/>
      <c r="AC721" s="61"/>
      <c r="AD721" s="37"/>
      <c r="AE721" s="62"/>
      <c r="AF721" s="62"/>
      <c r="AG721" s="62"/>
      <c r="AH721" s="62"/>
      <c r="AI721" s="37"/>
      <c r="AJ721" s="61"/>
      <c r="AK721" s="61"/>
      <c r="AL721" s="61"/>
      <c r="AM721" s="61"/>
      <c r="AN721" s="37"/>
      <c r="AO721" s="62"/>
      <c r="AP721" s="62"/>
      <c r="AQ721" s="62"/>
      <c r="AR721" s="62"/>
    </row>
    <row r="722" spans="25:44" x14ac:dyDescent="0.15">
      <c r="Y722" s="8"/>
      <c r="Z722" s="61"/>
      <c r="AA722" s="61"/>
      <c r="AB722" s="61"/>
      <c r="AC722" s="61"/>
      <c r="AD722" s="37"/>
      <c r="AE722" s="62"/>
      <c r="AF722" s="62"/>
      <c r="AG722" s="62"/>
      <c r="AH722" s="62"/>
      <c r="AI722" s="37"/>
      <c r="AJ722" s="61"/>
      <c r="AK722" s="61"/>
      <c r="AL722" s="61"/>
      <c r="AM722" s="61"/>
      <c r="AN722" s="37"/>
      <c r="AO722" s="62"/>
      <c r="AP722" s="62"/>
      <c r="AQ722" s="62"/>
      <c r="AR722" s="62"/>
    </row>
    <row r="723" spans="25:44" x14ac:dyDescent="0.15">
      <c r="Y723" s="8"/>
      <c r="Z723" s="61"/>
      <c r="AA723" s="61"/>
      <c r="AB723" s="61"/>
      <c r="AC723" s="61"/>
      <c r="AD723" s="37"/>
      <c r="AE723" s="62"/>
      <c r="AF723" s="62"/>
      <c r="AG723" s="62"/>
      <c r="AH723" s="62"/>
      <c r="AI723" s="37"/>
      <c r="AJ723" s="61"/>
      <c r="AK723" s="61"/>
      <c r="AL723" s="61"/>
      <c r="AM723" s="61"/>
      <c r="AN723" s="37"/>
      <c r="AO723" s="62"/>
      <c r="AP723" s="62"/>
      <c r="AQ723" s="62"/>
      <c r="AR723" s="62"/>
    </row>
    <row r="724" spans="25:44" x14ac:dyDescent="0.15">
      <c r="Y724" s="8"/>
      <c r="Z724" s="61"/>
      <c r="AA724" s="61"/>
      <c r="AB724" s="61"/>
      <c r="AC724" s="61"/>
      <c r="AD724" s="37"/>
      <c r="AE724" s="62"/>
      <c r="AF724" s="62"/>
      <c r="AG724" s="62"/>
      <c r="AH724" s="62"/>
      <c r="AI724" s="37"/>
      <c r="AJ724" s="61"/>
      <c r="AK724" s="61"/>
      <c r="AL724" s="61"/>
      <c r="AM724" s="61"/>
      <c r="AN724" s="37"/>
      <c r="AO724" s="62"/>
      <c r="AP724" s="62"/>
      <c r="AQ724" s="62"/>
      <c r="AR724" s="62"/>
    </row>
    <row r="725" spans="25:44" x14ac:dyDescent="0.15">
      <c r="Y725" s="8"/>
      <c r="Z725" s="61"/>
      <c r="AA725" s="61"/>
      <c r="AB725" s="61"/>
      <c r="AC725" s="61"/>
      <c r="AD725" s="37"/>
      <c r="AE725" s="62"/>
      <c r="AF725" s="62"/>
      <c r="AG725" s="62"/>
      <c r="AH725" s="62"/>
      <c r="AI725" s="37"/>
      <c r="AJ725" s="61"/>
      <c r="AK725" s="61"/>
      <c r="AL725" s="61"/>
      <c r="AM725" s="61"/>
      <c r="AN725" s="37"/>
      <c r="AO725" s="62"/>
      <c r="AP725" s="62"/>
      <c r="AQ725" s="62"/>
      <c r="AR725" s="62"/>
    </row>
    <row r="726" spans="25:44" x14ac:dyDescent="0.15">
      <c r="Y726" s="8"/>
      <c r="Z726" s="61"/>
      <c r="AA726" s="61"/>
      <c r="AB726" s="61"/>
      <c r="AC726" s="61"/>
      <c r="AD726" s="37"/>
      <c r="AE726" s="62"/>
      <c r="AF726" s="62"/>
      <c r="AG726" s="62"/>
      <c r="AH726" s="62"/>
      <c r="AI726" s="37"/>
      <c r="AJ726" s="61"/>
      <c r="AK726" s="61"/>
      <c r="AL726" s="61"/>
      <c r="AM726" s="61"/>
      <c r="AN726" s="37"/>
      <c r="AO726" s="62"/>
      <c r="AP726" s="62"/>
      <c r="AQ726" s="62"/>
      <c r="AR726" s="62"/>
    </row>
    <row r="727" spans="25:44" x14ac:dyDescent="0.15">
      <c r="Y727" s="8"/>
      <c r="Z727" s="61"/>
      <c r="AA727" s="61"/>
      <c r="AB727" s="61"/>
      <c r="AC727" s="61"/>
      <c r="AD727" s="37"/>
      <c r="AE727" s="62"/>
      <c r="AF727" s="62"/>
      <c r="AG727" s="62"/>
      <c r="AH727" s="62"/>
      <c r="AI727" s="37"/>
      <c r="AJ727" s="61"/>
      <c r="AK727" s="61"/>
      <c r="AL727" s="61"/>
      <c r="AM727" s="61"/>
      <c r="AN727" s="37"/>
      <c r="AO727" s="62"/>
      <c r="AP727" s="62"/>
      <c r="AQ727" s="62"/>
      <c r="AR727" s="62"/>
    </row>
    <row r="728" spans="25:44" x14ac:dyDescent="0.15">
      <c r="Y728" s="8"/>
      <c r="Z728" s="61"/>
      <c r="AA728" s="61"/>
      <c r="AB728" s="61"/>
      <c r="AC728" s="61"/>
      <c r="AD728" s="37"/>
      <c r="AE728" s="62"/>
      <c r="AF728" s="62"/>
      <c r="AG728" s="62"/>
      <c r="AH728" s="62"/>
      <c r="AI728" s="37"/>
      <c r="AJ728" s="61"/>
      <c r="AK728" s="61"/>
      <c r="AL728" s="61"/>
      <c r="AM728" s="61"/>
      <c r="AN728" s="37"/>
      <c r="AO728" s="62"/>
      <c r="AP728" s="62"/>
      <c r="AQ728" s="62"/>
      <c r="AR728" s="62"/>
    </row>
    <row r="729" spans="25:44" x14ac:dyDescent="0.15">
      <c r="Y729" s="8"/>
      <c r="Z729" s="61"/>
      <c r="AA729" s="61"/>
      <c r="AB729" s="61"/>
      <c r="AC729" s="61"/>
      <c r="AD729" s="37"/>
      <c r="AE729" s="62"/>
      <c r="AF729" s="62"/>
      <c r="AG729" s="62"/>
      <c r="AH729" s="62"/>
      <c r="AI729" s="37"/>
      <c r="AJ729" s="61"/>
      <c r="AK729" s="61"/>
      <c r="AL729" s="61"/>
      <c r="AM729" s="61"/>
      <c r="AN729" s="37"/>
      <c r="AO729" s="62"/>
      <c r="AP729" s="62"/>
      <c r="AQ729" s="62"/>
      <c r="AR729" s="62"/>
    </row>
    <row r="730" spans="25:44" x14ac:dyDescent="0.15">
      <c r="Y730" s="8"/>
      <c r="Z730" s="61"/>
      <c r="AA730" s="61"/>
      <c r="AB730" s="61"/>
      <c r="AC730" s="61"/>
      <c r="AD730" s="37"/>
      <c r="AE730" s="62"/>
      <c r="AF730" s="62"/>
      <c r="AG730" s="62"/>
      <c r="AH730" s="62"/>
      <c r="AI730" s="37"/>
      <c r="AJ730" s="61"/>
      <c r="AK730" s="61"/>
      <c r="AL730" s="61"/>
      <c r="AM730" s="61"/>
      <c r="AN730" s="37"/>
      <c r="AO730" s="62"/>
      <c r="AP730" s="62"/>
      <c r="AQ730" s="62"/>
      <c r="AR730" s="62"/>
    </row>
    <row r="731" spans="25:44" x14ac:dyDescent="0.15">
      <c r="Y731" s="8"/>
      <c r="Z731" s="61"/>
      <c r="AA731" s="61"/>
      <c r="AB731" s="61"/>
      <c r="AC731" s="61"/>
      <c r="AD731" s="37"/>
      <c r="AE731" s="62"/>
      <c r="AF731" s="62"/>
      <c r="AG731" s="62"/>
      <c r="AH731" s="62"/>
      <c r="AI731" s="37"/>
      <c r="AJ731" s="61"/>
      <c r="AK731" s="61"/>
      <c r="AL731" s="61"/>
      <c r="AM731" s="61"/>
      <c r="AN731" s="37"/>
      <c r="AO731" s="62"/>
      <c r="AP731" s="62"/>
      <c r="AQ731" s="62"/>
      <c r="AR731" s="62"/>
    </row>
    <row r="732" spans="25:44" x14ac:dyDescent="0.15">
      <c r="Y732" s="8"/>
      <c r="Z732" s="61"/>
      <c r="AA732" s="61"/>
      <c r="AB732" s="61"/>
      <c r="AC732" s="61"/>
      <c r="AD732" s="37"/>
      <c r="AE732" s="62"/>
      <c r="AF732" s="62"/>
      <c r="AG732" s="62"/>
      <c r="AH732" s="62"/>
      <c r="AI732" s="37"/>
      <c r="AJ732" s="61"/>
      <c r="AK732" s="61"/>
      <c r="AL732" s="61"/>
      <c r="AM732" s="61"/>
      <c r="AN732" s="37"/>
      <c r="AO732" s="62"/>
      <c r="AP732" s="62"/>
      <c r="AQ732" s="62"/>
      <c r="AR732" s="62"/>
    </row>
    <row r="733" spans="25:44" x14ac:dyDescent="0.15">
      <c r="Y733" s="8"/>
      <c r="Z733" s="61"/>
      <c r="AA733" s="61"/>
      <c r="AB733" s="61"/>
      <c r="AC733" s="61"/>
      <c r="AD733" s="37"/>
      <c r="AE733" s="62"/>
      <c r="AF733" s="62"/>
      <c r="AG733" s="62"/>
      <c r="AH733" s="62"/>
      <c r="AI733" s="37"/>
      <c r="AJ733" s="61"/>
      <c r="AK733" s="61"/>
      <c r="AL733" s="61"/>
      <c r="AM733" s="61"/>
      <c r="AN733" s="37"/>
      <c r="AO733" s="62"/>
      <c r="AP733" s="62"/>
      <c r="AQ733" s="62"/>
      <c r="AR733" s="62"/>
    </row>
    <row r="734" spans="25:44" x14ac:dyDescent="0.15">
      <c r="Y734" s="8"/>
      <c r="Z734" s="61"/>
      <c r="AA734" s="61"/>
      <c r="AB734" s="61"/>
      <c r="AC734" s="61"/>
      <c r="AD734" s="37"/>
      <c r="AE734" s="62"/>
      <c r="AF734" s="62"/>
      <c r="AG734" s="62"/>
      <c r="AH734" s="62"/>
      <c r="AI734" s="37"/>
      <c r="AJ734" s="61"/>
      <c r="AK734" s="61"/>
      <c r="AL734" s="61"/>
      <c r="AM734" s="61"/>
      <c r="AN734" s="37"/>
      <c r="AO734" s="62"/>
      <c r="AP734" s="62"/>
      <c r="AQ734" s="62"/>
      <c r="AR734" s="62"/>
    </row>
    <row r="735" spans="25:44" x14ac:dyDescent="0.15">
      <c r="Y735" s="8"/>
      <c r="Z735" s="61"/>
      <c r="AA735" s="61"/>
      <c r="AB735" s="61"/>
      <c r="AC735" s="61"/>
      <c r="AD735" s="37"/>
      <c r="AE735" s="62"/>
      <c r="AF735" s="62"/>
      <c r="AG735" s="62"/>
      <c r="AH735" s="62"/>
      <c r="AI735" s="37"/>
      <c r="AJ735" s="61"/>
      <c r="AK735" s="61"/>
      <c r="AL735" s="61"/>
      <c r="AM735" s="61"/>
      <c r="AN735" s="37"/>
      <c r="AO735" s="62"/>
      <c r="AP735" s="62"/>
      <c r="AQ735" s="62"/>
      <c r="AR735" s="62"/>
    </row>
    <row r="736" spans="25:44" x14ac:dyDescent="0.15">
      <c r="Y736" s="8"/>
      <c r="Z736" s="61"/>
      <c r="AA736" s="61"/>
      <c r="AB736" s="61"/>
      <c r="AC736" s="61"/>
      <c r="AD736" s="37"/>
      <c r="AE736" s="62"/>
      <c r="AF736" s="62"/>
      <c r="AG736" s="62"/>
      <c r="AH736" s="62"/>
      <c r="AI736" s="37"/>
      <c r="AJ736" s="61"/>
      <c r="AK736" s="61"/>
      <c r="AL736" s="61"/>
      <c r="AM736" s="61"/>
      <c r="AN736" s="37"/>
      <c r="AO736" s="62"/>
      <c r="AP736" s="62"/>
      <c r="AQ736" s="62"/>
      <c r="AR736" s="62"/>
    </row>
    <row r="737" spans="25:44" x14ac:dyDescent="0.15">
      <c r="Y737" s="8"/>
      <c r="Z737" s="61"/>
      <c r="AA737" s="61"/>
      <c r="AB737" s="61"/>
      <c r="AC737" s="61"/>
      <c r="AD737" s="37"/>
      <c r="AE737" s="62"/>
      <c r="AF737" s="62"/>
      <c r="AG737" s="62"/>
      <c r="AH737" s="62"/>
      <c r="AI737" s="37"/>
      <c r="AJ737" s="61"/>
      <c r="AK737" s="61"/>
      <c r="AL737" s="61"/>
      <c r="AM737" s="61"/>
      <c r="AN737" s="37"/>
      <c r="AO737" s="62"/>
      <c r="AP737" s="62"/>
      <c r="AQ737" s="62"/>
      <c r="AR737" s="62"/>
    </row>
    <row r="738" spans="25:44" x14ac:dyDescent="0.15">
      <c r="Y738" s="8"/>
      <c r="Z738" s="61"/>
      <c r="AA738" s="61"/>
      <c r="AB738" s="61"/>
      <c r="AC738" s="61"/>
      <c r="AD738" s="37"/>
      <c r="AE738" s="62"/>
      <c r="AF738" s="62"/>
      <c r="AG738" s="62"/>
      <c r="AH738" s="62"/>
      <c r="AI738" s="37"/>
      <c r="AJ738" s="61"/>
      <c r="AK738" s="61"/>
      <c r="AL738" s="61"/>
      <c r="AM738" s="61"/>
      <c r="AN738" s="37"/>
      <c r="AO738" s="62"/>
      <c r="AP738" s="62"/>
      <c r="AQ738" s="62"/>
      <c r="AR738" s="62"/>
    </row>
    <row r="739" spans="25:44" x14ac:dyDescent="0.15">
      <c r="Y739" s="8"/>
      <c r="Z739" s="61"/>
      <c r="AA739" s="61"/>
      <c r="AB739" s="61"/>
      <c r="AC739" s="61"/>
      <c r="AD739" s="37"/>
      <c r="AE739" s="62"/>
      <c r="AF739" s="62"/>
      <c r="AG739" s="62"/>
      <c r="AH739" s="62"/>
      <c r="AI739" s="37"/>
      <c r="AJ739" s="61"/>
      <c r="AK739" s="61"/>
      <c r="AL739" s="61"/>
      <c r="AM739" s="61"/>
      <c r="AN739" s="37"/>
      <c r="AO739" s="62"/>
      <c r="AP739" s="62"/>
      <c r="AQ739" s="62"/>
      <c r="AR739" s="62"/>
    </row>
    <row r="740" spans="25:44" x14ac:dyDescent="0.15">
      <c r="Y740" s="8"/>
      <c r="Z740" s="61"/>
      <c r="AA740" s="61"/>
      <c r="AB740" s="61"/>
      <c r="AC740" s="61"/>
      <c r="AD740" s="37"/>
      <c r="AE740" s="62"/>
      <c r="AF740" s="62"/>
      <c r="AG740" s="62"/>
      <c r="AH740" s="62"/>
      <c r="AI740" s="37"/>
      <c r="AJ740" s="61"/>
      <c r="AK740" s="61"/>
      <c r="AL740" s="61"/>
      <c r="AM740" s="61"/>
      <c r="AN740" s="37"/>
      <c r="AO740" s="62"/>
      <c r="AP740" s="62"/>
      <c r="AQ740" s="62"/>
      <c r="AR740" s="62"/>
    </row>
    <row r="741" spans="25:44" x14ac:dyDescent="0.15">
      <c r="Y741" s="8"/>
      <c r="Z741" s="61"/>
      <c r="AA741" s="61"/>
      <c r="AB741" s="61"/>
      <c r="AC741" s="61"/>
      <c r="AD741" s="37"/>
      <c r="AE741" s="62"/>
      <c r="AF741" s="62"/>
      <c r="AG741" s="62"/>
      <c r="AH741" s="62"/>
      <c r="AI741" s="37"/>
      <c r="AJ741" s="61"/>
      <c r="AK741" s="61"/>
      <c r="AL741" s="61"/>
      <c r="AM741" s="61"/>
      <c r="AN741" s="37"/>
      <c r="AO741" s="62"/>
      <c r="AP741" s="62"/>
      <c r="AQ741" s="62"/>
      <c r="AR741" s="62"/>
    </row>
    <row r="742" spans="25:44" x14ac:dyDescent="0.15">
      <c r="Y742" s="8"/>
      <c r="Z742" s="61"/>
      <c r="AA742" s="61"/>
      <c r="AB742" s="61"/>
      <c r="AC742" s="61"/>
      <c r="AD742" s="37"/>
      <c r="AE742" s="62"/>
      <c r="AF742" s="62"/>
      <c r="AG742" s="62"/>
      <c r="AH742" s="62"/>
      <c r="AI742" s="37"/>
      <c r="AJ742" s="61"/>
      <c r="AK742" s="61"/>
      <c r="AL742" s="61"/>
      <c r="AM742" s="61"/>
      <c r="AN742" s="37"/>
      <c r="AO742" s="62"/>
      <c r="AP742" s="62"/>
      <c r="AQ742" s="62"/>
      <c r="AR742" s="62"/>
    </row>
    <row r="743" spans="25:44" x14ac:dyDescent="0.15">
      <c r="Y743" s="8"/>
      <c r="Z743" s="61"/>
      <c r="AA743" s="61"/>
      <c r="AB743" s="61"/>
      <c r="AC743" s="61"/>
      <c r="AD743" s="37"/>
      <c r="AE743" s="62"/>
      <c r="AF743" s="62"/>
      <c r="AG743" s="62"/>
      <c r="AH743" s="62"/>
      <c r="AI743" s="37"/>
      <c r="AJ743" s="61"/>
      <c r="AK743" s="61"/>
      <c r="AL743" s="61"/>
      <c r="AM743" s="61"/>
      <c r="AN743" s="37"/>
      <c r="AO743" s="62"/>
      <c r="AP743" s="62"/>
      <c r="AQ743" s="62"/>
      <c r="AR743" s="62"/>
    </row>
    <row r="744" spans="25:44" x14ac:dyDescent="0.15">
      <c r="Y744" s="8"/>
      <c r="Z744" s="61"/>
      <c r="AA744" s="61"/>
      <c r="AB744" s="61"/>
      <c r="AC744" s="61"/>
      <c r="AD744" s="37"/>
      <c r="AE744" s="62"/>
      <c r="AF744" s="62"/>
      <c r="AG744" s="62"/>
      <c r="AH744" s="62"/>
      <c r="AI744" s="37"/>
      <c r="AJ744" s="61"/>
      <c r="AK744" s="61"/>
      <c r="AL744" s="61"/>
      <c r="AM744" s="61"/>
      <c r="AN744" s="37"/>
      <c r="AO744" s="62"/>
      <c r="AP744" s="62"/>
      <c r="AQ744" s="62"/>
      <c r="AR744" s="62"/>
    </row>
    <row r="745" spans="25:44" x14ac:dyDescent="0.15">
      <c r="Y745" s="8"/>
      <c r="Z745" s="61"/>
      <c r="AA745" s="61"/>
      <c r="AB745" s="61"/>
      <c r="AC745" s="61"/>
      <c r="AD745" s="37"/>
      <c r="AE745" s="62"/>
      <c r="AF745" s="62"/>
      <c r="AG745" s="62"/>
      <c r="AH745" s="62"/>
      <c r="AI745" s="37"/>
      <c r="AJ745" s="61"/>
      <c r="AK745" s="61"/>
      <c r="AL745" s="61"/>
      <c r="AM745" s="61"/>
      <c r="AN745" s="37"/>
      <c r="AO745" s="62"/>
      <c r="AP745" s="62"/>
      <c r="AQ745" s="62"/>
      <c r="AR745" s="62"/>
    </row>
    <row r="746" spans="25:44" x14ac:dyDescent="0.15">
      <c r="Y746" s="8"/>
      <c r="Z746" s="61"/>
      <c r="AA746" s="61"/>
      <c r="AB746" s="61"/>
      <c r="AC746" s="61"/>
      <c r="AD746" s="37"/>
      <c r="AE746" s="62"/>
      <c r="AF746" s="62"/>
      <c r="AG746" s="62"/>
      <c r="AH746" s="62"/>
      <c r="AI746" s="37"/>
      <c r="AJ746" s="61"/>
      <c r="AK746" s="61"/>
      <c r="AL746" s="61"/>
      <c r="AM746" s="61"/>
      <c r="AN746" s="37"/>
      <c r="AO746" s="62"/>
      <c r="AP746" s="62"/>
      <c r="AQ746" s="62"/>
      <c r="AR746" s="62"/>
    </row>
    <row r="747" spans="25:44" x14ac:dyDescent="0.15">
      <c r="Y747" s="8"/>
      <c r="Z747" s="61"/>
      <c r="AA747" s="61"/>
      <c r="AB747" s="61"/>
      <c r="AC747" s="61"/>
      <c r="AD747" s="37"/>
      <c r="AE747" s="62"/>
      <c r="AF747" s="62"/>
      <c r="AG747" s="62"/>
      <c r="AH747" s="62"/>
      <c r="AI747" s="37"/>
      <c r="AJ747" s="61"/>
      <c r="AK747" s="61"/>
      <c r="AL747" s="61"/>
      <c r="AM747" s="61"/>
      <c r="AN747" s="37"/>
      <c r="AO747" s="62"/>
      <c r="AP747" s="62"/>
      <c r="AQ747" s="62"/>
      <c r="AR747" s="62"/>
    </row>
    <row r="748" spans="25:44" x14ac:dyDescent="0.15">
      <c r="Y748" s="8"/>
      <c r="Z748" s="61"/>
      <c r="AA748" s="61"/>
      <c r="AB748" s="61"/>
      <c r="AC748" s="61"/>
      <c r="AD748" s="37"/>
      <c r="AE748" s="62"/>
      <c r="AF748" s="62"/>
      <c r="AG748" s="62"/>
      <c r="AH748" s="62"/>
      <c r="AI748" s="37"/>
      <c r="AJ748" s="61"/>
      <c r="AK748" s="61"/>
      <c r="AL748" s="61"/>
      <c r="AM748" s="61"/>
      <c r="AN748" s="37"/>
      <c r="AO748" s="62"/>
      <c r="AP748" s="62"/>
      <c r="AQ748" s="62"/>
      <c r="AR748" s="62"/>
    </row>
    <row r="749" spans="25:44" x14ac:dyDescent="0.15">
      <c r="Y749" s="8"/>
      <c r="Z749" s="61"/>
      <c r="AA749" s="61"/>
      <c r="AB749" s="61"/>
      <c r="AC749" s="61"/>
      <c r="AD749" s="37"/>
      <c r="AE749" s="62"/>
      <c r="AF749" s="62"/>
      <c r="AG749" s="62"/>
      <c r="AH749" s="62"/>
      <c r="AI749" s="37"/>
      <c r="AJ749" s="61"/>
      <c r="AK749" s="61"/>
      <c r="AL749" s="61"/>
      <c r="AM749" s="61"/>
      <c r="AN749" s="37"/>
      <c r="AO749" s="62"/>
      <c r="AP749" s="62"/>
      <c r="AQ749" s="62"/>
      <c r="AR749" s="62"/>
    </row>
    <row r="750" spans="25:44" x14ac:dyDescent="0.15">
      <c r="Y750" s="8"/>
      <c r="Z750" s="61"/>
      <c r="AA750" s="61"/>
      <c r="AB750" s="61"/>
      <c r="AC750" s="61"/>
      <c r="AD750" s="37"/>
      <c r="AE750" s="62"/>
      <c r="AF750" s="62"/>
      <c r="AG750" s="62"/>
      <c r="AH750" s="62"/>
      <c r="AI750" s="37"/>
      <c r="AJ750" s="61"/>
      <c r="AK750" s="61"/>
      <c r="AL750" s="61"/>
      <c r="AM750" s="61"/>
      <c r="AN750" s="37"/>
      <c r="AO750" s="62"/>
      <c r="AP750" s="62"/>
      <c r="AQ750" s="62"/>
      <c r="AR750" s="62"/>
    </row>
    <row r="751" spans="25:44" x14ac:dyDescent="0.15">
      <c r="Y751" s="8"/>
      <c r="Z751" s="61"/>
      <c r="AA751" s="61"/>
      <c r="AB751" s="61"/>
      <c r="AC751" s="61"/>
      <c r="AD751" s="37"/>
      <c r="AE751" s="62"/>
      <c r="AF751" s="62"/>
      <c r="AG751" s="62"/>
      <c r="AH751" s="62"/>
      <c r="AI751" s="37"/>
      <c r="AJ751" s="61"/>
      <c r="AK751" s="61"/>
      <c r="AL751" s="61"/>
      <c r="AM751" s="61"/>
      <c r="AN751" s="37"/>
      <c r="AO751" s="62"/>
      <c r="AP751" s="62"/>
      <c r="AQ751" s="62"/>
      <c r="AR751" s="62"/>
    </row>
    <row r="752" spans="25:44" x14ac:dyDescent="0.15">
      <c r="Y752" s="8"/>
      <c r="Z752" s="61"/>
      <c r="AA752" s="61"/>
      <c r="AB752" s="61"/>
      <c r="AC752" s="61"/>
      <c r="AD752" s="37"/>
      <c r="AE752" s="62"/>
      <c r="AF752" s="62"/>
      <c r="AG752" s="62"/>
      <c r="AH752" s="62"/>
      <c r="AI752" s="37"/>
      <c r="AJ752" s="61"/>
      <c r="AK752" s="61"/>
      <c r="AL752" s="61"/>
      <c r="AM752" s="61"/>
      <c r="AN752" s="37"/>
      <c r="AO752" s="62"/>
      <c r="AP752" s="62"/>
      <c r="AQ752" s="62"/>
      <c r="AR752" s="62"/>
    </row>
    <row r="753" spans="25:44" x14ac:dyDescent="0.15">
      <c r="Y753" s="8"/>
      <c r="Z753" s="61"/>
      <c r="AA753" s="61"/>
      <c r="AB753" s="61"/>
      <c r="AC753" s="61"/>
      <c r="AD753" s="37"/>
      <c r="AE753" s="62"/>
      <c r="AF753" s="62"/>
      <c r="AG753" s="62"/>
      <c r="AH753" s="62"/>
      <c r="AI753" s="37"/>
      <c r="AJ753" s="61"/>
      <c r="AK753" s="61"/>
      <c r="AL753" s="61"/>
      <c r="AM753" s="61"/>
      <c r="AN753" s="37"/>
      <c r="AO753" s="62"/>
      <c r="AP753" s="62"/>
      <c r="AQ753" s="62"/>
      <c r="AR753" s="62"/>
    </row>
    <row r="754" spans="25:44" x14ac:dyDescent="0.15">
      <c r="Y754" s="8"/>
      <c r="Z754" s="61"/>
      <c r="AA754" s="61"/>
      <c r="AB754" s="61"/>
      <c r="AC754" s="61"/>
      <c r="AD754" s="37"/>
      <c r="AE754" s="62"/>
      <c r="AF754" s="62"/>
      <c r="AG754" s="62"/>
      <c r="AH754" s="62"/>
      <c r="AI754" s="37"/>
      <c r="AJ754" s="61"/>
      <c r="AK754" s="61"/>
      <c r="AL754" s="61"/>
      <c r="AM754" s="61"/>
      <c r="AN754" s="37"/>
      <c r="AO754" s="62"/>
      <c r="AP754" s="62"/>
      <c r="AQ754" s="62"/>
      <c r="AR754" s="62"/>
    </row>
    <row r="755" spans="25:44" x14ac:dyDescent="0.15">
      <c r="Y755" s="8"/>
      <c r="Z755" s="61"/>
      <c r="AA755" s="61"/>
      <c r="AB755" s="61"/>
      <c r="AC755" s="61"/>
      <c r="AD755" s="37"/>
      <c r="AE755" s="62"/>
      <c r="AF755" s="62"/>
      <c r="AG755" s="62"/>
      <c r="AH755" s="62"/>
      <c r="AI755" s="37"/>
      <c r="AJ755" s="61"/>
      <c r="AK755" s="61"/>
      <c r="AL755" s="61"/>
      <c r="AM755" s="61"/>
      <c r="AN755" s="37"/>
      <c r="AO755" s="62"/>
      <c r="AP755" s="62"/>
      <c r="AQ755" s="62"/>
      <c r="AR755" s="62"/>
    </row>
    <row r="756" spans="25:44" x14ac:dyDescent="0.15">
      <c r="Y756" s="8"/>
      <c r="Z756" s="61"/>
      <c r="AA756" s="61"/>
      <c r="AB756" s="61"/>
      <c r="AC756" s="61"/>
      <c r="AD756" s="37"/>
      <c r="AE756" s="62"/>
      <c r="AF756" s="62"/>
      <c r="AG756" s="62"/>
      <c r="AH756" s="62"/>
      <c r="AI756" s="37"/>
      <c r="AJ756" s="61"/>
      <c r="AK756" s="61"/>
      <c r="AL756" s="61"/>
      <c r="AM756" s="61"/>
      <c r="AN756" s="37"/>
      <c r="AO756" s="62"/>
      <c r="AP756" s="62"/>
      <c r="AQ756" s="62"/>
      <c r="AR756" s="62"/>
    </row>
    <row r="757" spans="25:44" x14ac:dyDescent="0.15">
      <c r="Y757" s="8"/>
      <c r="Z757" s="61"/>
      <c r="AA757" s="61"/>
      <c r="AB757" s="61"/>
      <c r="AC757" s="61"/>
      <c r="AD757" s="37"/>
      <c r="AE757" s="62"/>
      <c r="AF757" s="62"/>
      <c r="AG757" s="62"/>
      <c r="AH757" s="62"/>
      <c r="AI757" s="37"/>
      <c r="AJ757" s="61"/>
      <c r="AK757" s="61"/>
      <c r="AL757" s="61"/>
      <c r="AM757" s="61"/>
      <c r="AN757" s="37"/>
      <c r="AO757" s="62"/>
      <c r="AP757" s="62"/>
      <c r="AQ757" s="62"/>
      <c r="AR757" s="62"/>
    </row>
    <row r="758" spans="25:44" x14ac:dyDescent="0.15">
      <c r="Y758" s="8"/>
      <c r="Z758" s="61"/>
      <c r="AA758" s="61"/>
      <c r="AB758" s="61"/>
      <c r="AC758" s="61"/>
      <c r="AD758" s="37"/>
      <c r="AE758" s="62"/>
      <c r="AF758" s="62"/>
      <c r="AG758" s="62"/>
      <c r="AH758" s="62"/>
      <c r="AI758" s="37"/>
      <c r="AJ758" s="61"/>
      <c r="AK758" s="61"/>
      <c r="AL758" s="61"/>
      <c r="AM758" s="61"/>
      <c r="AN758" s="37"/>
      <c r="AO758" s="62"/>
      <c r="AP758" s="62"/>
      <c r="AQ758" s="62"/>
      <c r="AR758" s="62"/>
    </row>
    <row r="759" spans="25:44" x14ac:dyDescent="0.15">
      <c r="Y759" s="8"/>
      <c r="Z759" s="61"/>
      <c r="AA759" s="61"/>
      <c r="AB759" s="61"/>
      <c r="AC759" s="61"/>
      <c r="AD759" s="37"/>
      <c r="AE759" s="62"/>
      <c r="AF759" s="62"/>
      <c r="AG759" s="62"/>
      <c r="AH759" s="62"/>
      <c r="AI759" s="37"/>
      <c r="AJ759" s="61"/>
      <c r="AK759" s="61"/>
      <c r="AL759" s="61"/>
      <c r="AM759" s="61"/>
      <c r="AN759" s="37"/>
      <c r="AO759" s="62"/>
      <c r="AP759" s="62"/>
      <c r="AQ759" s="62"/>
      <c r="AR759" s="62"/>
    </row>
    <row r="760" spans="25:44" x14ac:dyDescent="0.15">
      <c r="Y760" s="8"/>
      <c r="Z760" s="61"/>
      <c r="AA760" s="61"/>
      <c r="AB760" s="61"/>
      <c r="AC760" s="61"/>
      <c r="AD760" s="37"/>
      <c r="AE760" s="62"/>
      <c r="AF760" s="62"/>
      <c r="AG760" s="62"/>
      <c r="AH760" s="62"/>
      <c r="AI760" s="37"/>
      <c r="AJ760" s="61"/>
      <c r="AK760" s="61"/>
      <c r="AL760" s="61"/>
      <c r="AM760" s="61"/>
      <c r="AN760" s="37"/>
      <c r="AO760" s="62"/>
      <c r="AP760" s="62"/>
      <c r="AQ760" s="62"/>
      <c r="AR760" s="62"/>
    </row>
    <row r="761" spans="25:44" x14ac:dyDescent="0.15">
      <c r="Y761" s="8"/>
      <c r="Z761" s="61"/>
      <c r="AA761" s="61"/>
      <c r="AB761" s="61"/>
      <c r="AC761" s="61"/>
      <c r="AD761" s="37"/>
      <c r="AE761" s="62"/>
      <c r="AF761" s="62"/>
      <c r="AG761" s="62"/>
      <c r="AH761" s="62"/>
      <c r="AI761" s="37"/>
      <c r="AJ761" s="61"/>
      <c r="AK761" s="61"/>
      <c r="AL761" s="61"/>
      <c r="AM761" s="61"/>
      <c r="AN761" s="37"/>
      <c r="AO761" s="62"/>
      <c r="AP761" s="62"/>
      <c r="AQ761" s="62"/>
      <c r="AR761" s="62"/>
    </row>
    <row r="762" spans="25:44" x14ac:dyDescent="0.15">
      <c r="Y762" s="8"/>
      <c r="Z762" s="61"/>
      <c r="AA762" s="61"/>
      <c r="AB762" s="61"/>
      <c r="AC762" s="61"/>
      <c r="AD762" s="37"/>
      <c r="AE762" s="62"/>
      <c r="AF762" s="62"/>
      <c r="AG762" s="62"/>
      <c r="AH762" s="62"/>
      <c r="AI762" s="37"/>
      <c r="AJ762" s="61"/>
      <c r="AK762" s="61"/>
      <c r="AL762" s="61"/>
      <c r="AM762" s="61"/>
      <c r="AN762" s="37"/>
      <c r="AO762" s="62"/>
      <c r="AP762" s="62"/>
      <c r="AQ762" s="62"/>
      <c r="AR762" s="62"/>
    </row>
    <row r="763" spans="25:44" x14ac:dyDescent="0.15">
      <c r="Y763" s="8"/>
      <c r="Z763" s="61"/>
      <c r="AA763" s="61"/>
      <c r="AB763" s="61"/>
      <c r="AC763" s="61"/>
      <c r="AD763" s="37"/>
      <c r="AE763" s="62"/>
      <c r="AF763" s="62"/>
      <c r="AG763" s="62"/>
      <c r="AH763" s="62"/>
      <c r="AI763" s="37"/>
      <c r="AJ763" s="61"/>
      <c r="AK763" s="61"/>
      <c r="AL763" s="61"/>
      <c r="AM763" s="61"/>
      <c r="AN763" s="37"/>
      <c r="AO763" s="62"/>
      <c r="AP763" s="62"/>
      <c r="AQ763" s="62"/>
      <c r="AR763" s="62"/>
    </row>
    <row r="764" spans="25:44" x14ac:dyDescent="0.15">
      <c r="Y764" s="8"/>
      <c r="Z764" s="61"/>
      <c r="AA764" s="61"/>
      <c r="AB764" s="61"/>
      <c r="AC764" s="61"/>
      <c r="AD764" s="37"/>
      <c r="AE764" s="62"/>
      <c r="AF764" s="62"/>
      <c r="AG764" s="62"/>
      <c r="AH764" s="62"/>
      <c r="AI764" s="37"/>
      <c r="AJ764" s="61"/>
      <c r="AK764" s="61"/>
      <c r="AL764" s="61"/>
      <c r="AM764" s="61"/>
      <c r="AN764" s="37"/>
      <c r="AO764" s="62"/>
      <c r="AP764" s="62"/>
      <c r="AQ764" s="62"/>
      <c r="AR764" s="62"/>
    </row>
    <row r="765" spans="25:44" x14ac:dyDescent="0.15">
      <c r="Y765" s="8"/>
      <c r="Z765" s="61"/>
      <c r="AA765" s="61"/>
      <c r="AB765" s="61"/>
      <c r="AC765" s="61"/>
      <c r="AD765" s="37"/>
      <c r="AE765" s="62"/>
      <c r="AF765" s="62"/>
      <c r="AG765" s="62"/>
      <c r="AH765" s="62"/>
      <c r="AI765" s="37"/>
      <c r="AJ765" s="61"/>
      <c r="AK765" s="61"/>
      <c r="AL765" s="61"/>
      <c r="AM765" s="61"/>
      <c r="AN765" s="37"/>
      <c r="AO765" s="62"/>
      <c r="AP765" s="62"/>
      <c r="AQ765" s="62"/>
      <c r="AR765" s="62"/>
    </row>
    <row r="766" spans="25:44" x14ac:dyDescent="0.15">
      <c r="Y766" s="8"/>
      <c r="Z766" s="61"/>
      <c r="AA766" s="61"/>
      <c r="AB766" s="61"/>
      <c r="AC766" s="61"/>
      <c r="AD766" s="37"/>
      <c r="AE766" s="62"/>
      <c r="AF766" s="62"/>
      <c r="AG766" s="62"/>
      <c r="AH766" s="62"/>
      <c r="AI766" s="37"/>
      <c r="AJ766" s="61"/>
      <c r="AK766" s="61"/>
      <c r="AL766" s="61"/>
      <c r="AM766" s="61"/>
      <c r="AN766" s="37"/>
      <c r="AO766" s="62"/>
      <c r="AP766" s="62"/>
      <c r="AQ766" s="62"/>
      <c r="AR766" s="62"/>
    </row>
    <row r="767" spans="25:44" x14ac:dyDescent="0.15">
      <c r="Y767" s="8"/>
      <c r="Z767" s="61"/>
      <c r="AA767" s="61"/>
      <c r="AB767" s="61"/>
      <c r="AC767" s="61"/>
      <c r="AD767" s="37"/>
      <c r="AE767" s="62"/>
      <c r="AF767" s="62"/>
      <c r="AG767" s="62"/>
      <c r="AH767" s="62"/>
      <c r="AI767" s="37"/>
      <c r="AJ767" s="61"/>
      <c r="AK767" s="61"/>
      <c r="AL767" s="61"/>
      <c r="AM767" s="61"/>
      <c r="AN767" s="37"/>
      <c r="AO767" s="62"/>
      <c r="AP767" s="62"/>
      <c r="AQ767" s="62"/>
      <c r="AR767" s="62"/>
    </row>
    <row r="768" spans="25:44" x14ac:dyDescent="0.15">
      <c r="Y768" s="8"/>
      <c r="Z768" s="61"/>
      <c r="AA768" s="61"/>
      <c r="AB768" s="61"/>
      <c r="AC768" s="61"/>
      <c r="AD768" s="37"/>
      <c r="AE768" s="62"/>
      <c r="AF768" s="62"/>
      <c r="AG768" s="62"/>
      <c r="AH768" s="62"/>
      <c r="AI768" s="37"/>
      <c r="AJ768" s="61"/>
      <c r="AK768" s="61"/>
      <c r="AL768" s="61"/>
      <c r="AM768" s="61"/>
      <c r="AN768" s="37"/>
      <c r="AO768" s="62"/>
      <c r="AP768" s="62"/>
      <c r="AQ768" s="62"/>
      <c r="AR768" s="62"/>
    </row>
    <row r="769" spans="25:44" x14ac:dyDescent="0.15">
      <c r="Y769" s="8"/>
      <c r="Z769" s="61"/>
      <c r="AA769" s="61"/>
      <c r="AB769" s="61"/>
      <c r="AC769" s="61"/>
      <c r="AD769" s="37"/>
      <c r="AE769" s="62"/>
      <c r="AF769" s="62"/>
      <c r="AG769" s="62"/>
      <c r="AH769" s="62"/>
      <c r="AI769" s="37"/>
      <c r="AJ769" s="61"/>
      <c r="AK769" s="61"/>
      <c r="AL769" s="61"/>
      <c r="AM769" s="61"/>
      <c r="AN769" s="37"/>
      <c r="AO769" s="62"/>
      <c r="AP769" s="62"/>
      <c r="AQ769" s="62"/>
      <c r="AR769" s="62"/>
    </row>
    <row r="770" spans="25:44" x14ac:dyDescent="0.15">
      <c r="Y770" s="8"/>
      <c r="Z770" s="61"/>
      <c r="AA770" s="61"/>
      <c r="AB770" s="61"/>
      <c r="AC770" s="61"/>
      <c r="AD770" s="37"/>
      <c r="AE770" s="62"/>
      <c r="AF770" s="62"/>
      <c r="AG770" s="62"/>
      <c r="AH770" s="62"/>
      <c r="AI770" s="37"/>
      <c r="AJ770" s="61"/>
      <c r="AK770" s="61"/>
      <c r="AL770" s="61"/>
      <c r="AM770" s="61"/>
      <c r="AN770" s="37"/>
      <c r="AO770" s="62"/>
      <c r="AP770" s="62"/>
      <c r="AQ770" s="62"/>
      <c r="AR770" s="62"/>
    </row>
    <row r="771" spans="25:44" x14ac:dyDescent="0.15">
      <c r="Y771" s="8"/>
      <c r="Z771" s="61"/>
      <c r="AA771" s="61"/>
      <c r="AB771" s="61"/>
      <c r="AC771" s="61"/>
      <c r="AD771" s="37"/>
      <c r="AE771" s="62"/>
      <c r="AF771" s="62"/>
      <c r="AG771" s="62"/>
      <c r="AH771" s="62"/>
      <c r="AI771" s="37"/>
      <c r="AJ771" s="61"/>
      <c r="AK771" s="61"/>
      <c r="AL771" s="61"/>
      <c r="AM771" s="61"/>
      <c r="AN771" s="37"/>
      <c r="AO771" s="62"/>
      <c r="AP771" s="62"/>
      <c r="AQ771" s="62"/>
      <c r="AR771" s="62"/>
    </row>
    <row r="772" spans="25:44" x14ac:dyDescent="0.15">
      <c r="Y772" s="8"/>
      <c r="Z772" s="61"/>
      <c r="AA772" s="61"/>
      <c r="AB772" s="61"/>
      <c r="AC772" s="61"/>
      <c r="AD772" s="37"/>
      <c r="AE772" s="62"/>
      <c r="AF772" s="62"/>
      <c r="AG772" s="62"/>
      <c r="AH772" s="62"/>
      <c r="AI772" s="37"/>
      <c r="AJ772" s="61"/>
      <c r="AK772" s="61"/>
      <c r="AL772" s="61"/>
      <c r="AM772" s="61"/>
      <c r="AN772" s="37"/>
      <c r="AO772" s="62"/>
      <c r="AP772" s="62"/>
      <c r="AQ772" s="62"/>
      <c r="AR772" s="62"/>
    </row>
    <row r="773" spans="25:44" x14ac:dyDescent="0.15">
      <c r="Y773" s="8"/>
      <c r="Z773" s="61"/>
      <c r="AA773" s="61"/>
      <c r="AB773" s="61"/>
      <c r="AC773" s="61"/>
      <c r="AD773" s="37"/>
      <c r="AE773" s="62"/>
      <c r="AF773" s="62"/>
      <c r="AG773" s="62"/>
      <c r="AH773" s="62"/>
      <c r="AI773" s="37"/>
      <c r="AJ773" s="61"/>
      <c r="AK773" s="61"/>
      <c r="AL773" s="61"/>
      <c r="AM773" s="61"/>
      <c r="AN773" s="37"/>
      <c r="AO773" s="62"/>
      <c r="AP773" s="62"/>
      <c r="AQ773" s="62"/>
      <c r="AR773" s="62"/>
    </row>
    <row r="774" spans="25:44" x14ac:dyDescent="0.15">
      <c r="Y774" s="8"/>
      <c r="Z774" s="61"/>
      <c r="AA774" s="61"/>
      <c r="AB774" s="61"/>
      <c r="AC774" s="61"/>
      <c r="AD774" s="37"/>
      <c r="AE774" s="62"/>
      <c r="AF774" s="62"/>
      <c r="AG774" s="62"/>
      <c r="AH774" s="62"/>
      <c r="AI774" s="37"/>
      <c r="AJ774" s="61"/>
      <c r="AK774" s="61"/>
      <c r="AL774" s="61"/>
      <c r="AM774" s="61"/>
      <c r="AN774" s="37"/>
      <c r="AO774" s="62"/>
      <c r="AP774" s="62"/>
      <c r="AQ774" s="62"/>
      <c r="AR774" s="62"/>
    </row>
    <row r="775" spans="25:44" x14ac:dyDescent="0.15">
      <c r="Y775" s="8"/>
      <c r="Z775" s="61"/>
      <c r="AA775" s="61"/>
      <c r="AB775" s="61"/>
      <c r="AC775" s="61"/>
      <c r="AD775" s="37"/>
      <c r="AE775" s="62"/>
      <c r="AF775" s="62"/>
      <c r="AG775" s="62"/>
      <c r="AH775" s="62"/>
      <c r="AI775" s="37"/>
      <c r="AJ775" s="61"/>
      <c r="AK775" s="61"/>
      <c r="AL775" s="61"/>
      <c r="AM775" s="61"/>
      <c r="AN775" s="37"/>
      <c r="AO775" s="62"/>
      <c r="AP775" s="62"/>
      <c r="AQ775" s="62"/>
      <c r="AR775" s="62"/>
    </row>
    <row r="776" spans="25:44" x14ac:dyDescent="0.15">
      <c r="Y776" s="8"/>
      <c r="Z776" s="61"/>
      <c r="AA776" s="61"/>
      <c r="AB776" s="61"/>
      <c r="AC776" s="61"/>
      <c r="AD776" s="37"/>
      <c r="AE776" s="62"/>
      <c r="AF776" s="62"/>
      <c r="AG776" s="62"/>
      <c r="AH776" s="62"/>
      <c r="AI776" s="37"/>
      <c r="AJ776" s="61"/>
      <c r="AK776" s="61"/>
      <c r="AL776" s="61"/>
      <c r="AM776" s="61"/>
      <c r="AN776" s="37"/>
      <c r="AO776" s="62"/>
      <c r="AP776" s="62"/>
      <c r="AQ776" s="62"/>
      <c r="AR776" s="62"/>
    </row>
    <row r="777" spans="25:44" x14ac:dyDescent="0.15">
      <c r="Y777" s="8"/>
      <c r="Z777" s="61"/>
      <c r="AA777" s="61"/>
      <c r="AB777" s="61"/>
      <c r="AC777" s="61"/>
      <c r="AD777" s="37"/>
      <c r="AE777" s="62"/>
      <c r="AF777" s="62"/>
      <c r="AG777" s="62"/>
      <c r="AH777" s="62"/>
      <c r="AI777" s="37"/>
      <c r="AJ777" s="61"/>
      <c r="AK777" s="61"/>
      <c r="AL777" s="61"/>
      <c r="AM777" s="61"/>
      <c r="AN777" s="37"/>
      <c r="AO777" s="62"/>
      <c r="AP777" s="62"/>
      <c r="AQ777" s="62"/>
      <c r="AR777" s="62"/>
    </row>
    <row r="778" spans="25:44" x14ac:dyDescent="0.15">
      <c r="Y778" s="8"/>
      <c r="Z778" s="61"/>
      <c r="AA778" s="61"/>
      <c r="AB778" s="61"/>
      <c r="AC778" s="61"/>
      <c r="AD778" s="37"/>
      <c r="AE778" s="62"/>
      <c r="AF778" s="62"/>
      <c r="AG778" s="62"/>
      <c r="AH778" s="62"/>
      <c r="AI778" s="37"/>
      <c r="AJ778" s="61"/>
      <c r="AK778" s="61"/>
      <c r="AL778" s="61"/>
      <c r="AM778" s="61"/>
      <c r="AN778" s="37"/>
      <c r="AO778" s="62"/>
      <c r="AP778" s="62"/>
      <c r="AQ778" s="62"/>
      <c r="AR778" s="62"/>
    </row>
    <row r="779" spans="25:44" x14ac:dyDescent="0.15">
      <c r="Y779" s="8"/>
      <c r="Z779" s="61"/>
      <c r="AA779" s="61"/>
      <c r="AB779" s="61"/>
      <c r="AC779" s="61"/>
      <c r="AD779" s="37"/>
      <c r="AE779" s="62"/>
      <c r="AF779" s="62"/>
      <c r="AG779" s="62"/>
      <c r="AH779" s="62"/>
      <c r="AI779" s="37"/>
      <c r="AJ779" s="61"/>
      <c r="AK779" s="61"/>
      <c r="AL779" s="61"/>
      <c r="AM779" s="61"/>
      <c r="AN779" s="37"/>
      <c r="AO779" s="62"/>
      <c r="AP779" s="62"/>
      <c r="AQ779" s="62"/>
      <c r="AR779" s="62"/>
    </row>
    <row r="780" spans="25:44" x14ac:dyDescent="0.15">
      <c r="Y780" s="8"/>
      <c r="Z780" s="61"/>
      <c r="AA780" s="61"/>
      <c r="AB780" s="61"/>
      <c r="AC780" s="61"/>
      <c r="AD780" s="37"/>
      <c r="AE780" s="62"/>
      <c r="AF780" s="62"/>
      <c r="AG780" s="62"/>
      <c r="AH780" s="62"/>
      <c r="AI780" s="37"/>
      <c r="AJ780" s="61"/>
      <c r="AK780" s="61"/>
      <c r="AL780" s="61"/>
      <c r="AM780" s="61"/>
      <c r="AN780" s="37"/>
      <c r="AO780" s="62"/>
      <c r="AP780" s="62"/>
      <c r="AQ780" s="62"/>
      <c r="AR780" s="62"/>
    </row>
    <row r="781" spans="25:44" x14ac:dyDescent="0.15">
      <c r="Y781" s="8"/>
      <c r="Z781" s="61"/>
      <c r="AA781" s="61"/>
      <c r="AB781" s="61"/>
      <c r="AC781" s="61"/>
      <c r="AD781" s="37"/>
      <c r="AE781" s="62"/>
      <c r="AF781" s="62"/>
      <c r="AG781" s="62"/>
      <c r="AH781" s="62"/>
      <c r="AI781" s="37"/>
      <c r="AJ781" s="61"/>
      <c r="AK781" s="61"/>
      <c r="AL781" s="61"/>
      <c r="AM781" s="61"/>
      <c r="AN781" s="37"/>
      <c r="AO781" s="62"/>
      <c r="AP781" s="62"/>
      <c r="AQ781" s="62"/>
      <c r="AR781" s="62"/>
    </row>
    <row r="782" spans="25:44" x14ac:dyDescent="0.15">
      <c r="Y782" s="8"/>
      <c r="Z782" s="61"/>
      <c r="AA782" s="61"/>
      <c r="AB782" s="61"/>
      <c r="AC782" s="61"/>
      <c r="AD782" s="37"/>
      <c r="AE782" s="62"/>
      <c r="AF782" s="62"/>
      <c r="AG782" s="62"/>
      <c r="AH782" s="62"/>
      <c r="AI782" s="37"/>
      <c r="AJ782" s="61"/>
      <c r="AK782" s="61"/>
      <c r="AL782" s="61"/>
      <c r="AM782" s="61"/>
      <c r="AN782" s="37"/>
      <c r="AO782" s="62"/>
      <c r="AP782" s="62"/>
      <c r="AQ782" s="62"/>
      <c r="AR782" s="62"/>
    </row>
    <row r="783" spans="25:44" x14ac:dyDescent="0.15">
      <c r="Y783" s="8"/>
      <c r="Z783" s="61"/>
      <c r="AA783" s="61"/>
      <c r="AB783" s="61"/>
      <c r="AC783" s="61"/>
      <c r="AD783" s="37"/>
      <c r="AE783" s="62"/>
      <c r="AF783" s="62"/>
      <c r="AG783" s="62"/>
      <c r="AH783" s="62"/>
      <c r="AI783" s="37"/>
      <c r="AJ783" s="61"/>
      <c r="AK783" s="61"/>
      <c r="AL783" s="61"/>
      <c r="AM783" s="61"/>
      <c r="AN783" s="37"/>
      <c r="AO783" s="62"/>
      <c r="AP783" s="62"/>
      <c r="AQ783" s="62"/>
      <c r="AR783" s="62"/>
    </row>
    <row r="784" spans="25:44" x14ac:dyDescent="0.15">
      <c r="Y784" s="8"/>
      <c r="Z784" s="61"/>
      <c r="AA784" s="61"/>
      <c r="AB784" s="61"/>
      <c r="AC784" s="61"/>
      <c r="AD784" s="37"/>
      <c r="AE784" s="62"/>
      <c r="AF784" s="62"/>
      <c r="AG784" s="62"/>
      <c r="AH784" s="62"/>
      <c r="AI784" s="37"/>
      <c r="AJ784" s="61"/>
      <c r="AK784" s="61"/>
      <c r="AL784" s="61"/>
      <c r="AM784" s="61"/>
      <c r="AN784" s="37"/>
      <c r="AO784" s="62"/>
      <c r="AP784" s="62"/>
      <c r="AQ784" s="62"/>
      <c r="AR784" s="62"/>
    </row>
    <row r="785" spans="25:44" x14ac:dyDescent="0.15">
      <c r="Y785" s="8"/>
      <c r="Z785" s="61"/>
      <c r="AA785" s="61"/>
      <c r="AB785" s="61"/>
      <c r="AC785" s="61"/>
      <c r="AD785" s="37"/>
      <c r="AE785" s="62"/>
      <c r="AF785" s="62"/>
      <c r="AG785" s="62"/>
      <c r="AH785" s="62"/>
      <c r="AI785" s="37"/>
      <c r="AJ785" s="61"/>
      <c r="AK785" s="61"/>
      <c r="AL785" s="61"/>
      <c r="AM785" s="61"/>
      <c r="AN785" s="37"/>
      <c r="AO785" s="62"/>
      <c r="AP785" s="62"/>
      <c r="AQ785" s="62"/>
      <c r="AR785" s="62"/>
    </row>
    <row r="786" spans="25:44" x14ac:dyDescent="0.15">
      <c r="Y786" s="8"/>
      <c r="Z786" s="61"/>
      <c r="AA786" s="61"/>
      <c r="AB786" s="61"/>
      <c r="AC786" s="61"/>
      <c r="AD786" s="37"/>
      <c r="AE786" s="62"/>
      <c r="AF786" s="62"/>
      <c r="AG786" s="62"/>
      <c r="AH786" s="62"/>
      <c r="AI786" s="37"/>
      <c r="AJ786" s="61"/>
      <c r="AK786" s="61"/>
      <c r="AL786" s="61"/>
      <c r="AM786" s="61"/>
      <c r="AN786" s="37"/>
      <c r="AO786" s="62"/>
      <c r="AP786" s="62"/>
      <c r="AQ786" s="62"/>
      <c r="AR786" s="62"/>
    </row>
    <row r="787" spans="25:44" x14ac:dyDescent="0.15">
      <c r="Y787" s="8"/>
      <c r="Z787" s="61"/>
      <c r="AA787" s="61"/>
      <c r="AB787" s="61"/>
      <c r="AC787" s="61"/>
      <c r="AD787" s="37"/>
      <c r="AE787" s="62"/>
      <c r="AF787" s="62"/>
      <c r="AG787" s="62"/>
      <c r="AH787" s="62"/>
      <c r="AI787" s="37"/>
      <c r="AJ787" s="61"/>
      <c r="AK787" s="61"/>
      <c r="AL787" s="61"/>
      <c r="AM787" s="61"/>
      <c r="AN787" s="37"/>
      <c r="AO787" s="62"/>
      <c r="AP787" s="62"/>
      <c r="AQ787" s="62"/>
      <c r="AR787" s="62"/>
    </row>
    <row r="788" spans="25:44" x14ac:dyDescent="0.15">
      <c r="Y788" s="8"/>
      <c r="Z788" s="61"/>
      <c r="AA788" s="61"/>
      <c r="AB788" s="61"/>
      <c r="AC788" s="61"/>
      <c r="AD788" s="37"/>
      <c r="AE788" s="62"/>
      <c r="AF788" s="62"/>
      <c r="AG788" s="62"/>
      <c r="AH788" s="62"/>
      <c r="AI788" s="37"/>
      <c r="AJ788" s="61"/>
      <c r="AK788" s="61"/>
      <c r="AL788" s="61"/>
      <c r="AM788" s="61"/>
      <c r="AN788" s="37"/>
      <c r="AO788" s="62"/>
      <c r="AP788" s="62"/>
      <c r="AQ788" s="62"/>
      <c r="AR788" s="62"/>
    </row>
    <row r="789" spans="25:44" x14ac:dyDescent="0.15">
      <c r="Y789" s="8"/>
      <c r="Z789" s="61"/>
      <c r="AA789" s="61"/>
      <c r="AB789" s="61"/>
      <c r="AC789" s="61"/>
      <c r="AD789" s="37"/>
      <c r="AE789" s="62"/>
      <c r="AF789" s="62"/>
      <c r="AG789" s="62"/>
      <c r="AH789" s="62"/>
      <c r="AI789" s="37"/>
      <c r="AJ789" s="61"/>
      <c r="AK789" s="61"/>
      <c r="AL789" s="61"/>
      <c r="AM789" s="61"/>
      <c r="AN789" s="37"/>
      <c r="AO789" s="62"/>
      <c r="AP789" s="62"/>
      <c r="AQ789" s="62"/>
      <c r="AR789" s="62"/>
    </row>
    <row r="790" spans="25:44" x14ac:dyDescent="0.15">
      <c r="Y790" s="8"/>
      <c r="Z790" s="61"/>
      <c r="AA790" s="61"/>
      <c r="AB790" s="61"/>
      <c r="AC790" s="61"/>
      <c r="AD790" s="37"/>
      <c r="AE790" s="62"/>
      <c r="AF790" s="62"/>
      <c r="AG790" s="62"/>
      <c r="AH790" s="62"/>
      <c r="AI790" s="37"/>
      <c r="AJ790" s="61"/>
      <c r="AK790" s="61"/>
      <c r="AL790" s="61"/>
      <c r="AM790" s="61"/>
      <c r="AN790" s="37"/>
      <c r="AO790" s="62"/>
      <c r="AP790" s="62"/>
      <c r="AQ790" s="62"/>
      <c r="AR790" s="62"/>
    </row>
    <row r="791" spans="25:44" x14ac:dyDescent="0.15">
      <c r="Y791" s="8"/>
      <c r="Z791" s="61"/>
      <c r="AA791" s="61"/>
      <c r="AB791" s="61"/>
      <c r="AC791" s="61"/>
      <c r="AD791" s="37"/>
      <c r="AE791" s="62"/>
      <c r="AF791" s="62"/>
      <c r="AG791" s="62"/>
      <c r="AH791" s="62"/>
      <c r="AI791" s="37"/>
      <c r="AJ791" s="61"/>
      <c r="AK791" s="61"/>
      <c r="AL791" s="61"/>
      <c r="AM791" s="61"/>
      <c r="AN791" s="37"/>
      <c r="AO791" s="62"/>
      <c r="AP791" s="62"/>
      <c r="AQ791" s="62"/>
      <c r="AR791" s="62"/>
    </row>
    <row r="792" spans="25:44" x14ac:dyDescent="0.15">
      <c r="Y792" s="8"/>
      <c r="Z792" s="61"/>
      <c r="AA792" s="61"/>
      <c r="AB792" s="61"/>
      <c r="AC792" s="61"/>
      <c r="AD792" s="37"/>
      <c r="AE792" s="62"/>
      <c r="AF792" s="62"/>
      <c r="AG792" s="62"/>
      <c r="AH792" s="62"/>
      <c r="AI792" s="37"/>
      <c r="AJ792" s="61"/>
      <c r="AK792" s="61"/>
      <c r="AL792" s="61"/>
      <c r="AM792" s="61"/>
      <c r="AN792" s="37"/>
      <c r="AO792" s="62"/>
      <c r="AP792" s="62"/>
      <c r="AQ792" s="62"/>
      <c r="AR792" s="62"/>
    </row>
    <row r="793" spans="25:44" x14ac:dyDescent="0.15">
      <c r="Y793" s="8"/>
      <c r="Z793" s="61"/>
      <c r="AA793" s="61"/>
      <c r="AB793" s="61"/>
      <c r="AC793" s="61"/>
      <c r="AD793" s="37"/>
      <c r="AE793" s="62"/>
      <c r="AF793" s="62"/>
      <c r="AG793" s="62"/>
      <c r="AH793" s="62"/>
      <c r="AI793" s="37"/>
      <c r="AJ793" s="61"/>
      <c r="AK793" s="61"/>
      <c r="AL793" s="61"/>
      <c r="AM793" s="61"/>
      <c r="AN793" s="37"/>
      <c r="AO793" s="62"/>
      <c r="AP793" s="62"/>
      <c r="AQ793" s="62"/>
      <c r="AR793" s="62"/>
    </row>
    <row r="794" spans="25:44" x14ac:dyDescent="0.15">
      <c r="Y794" s="8"/>
      <c r="Z794" s="61"/>
      <c r="AA794" s="61"/>
      <c r="AB794" s="61"/>
      <c r="AC794" s="61"/>
      <c r="AD794" s="37"/>
      <c r="AE794" s="62"/>
      <c r="AF794" s="62"/>
      <c r="AG794" s="62"/>
      <c r="AH794" s="62"/>
      <c r="AI794" s="37"/>
      <c r="AJ794" s="61"/>
      <c r="AK794" s="61"/>
      <c r="AL794" s="61"/>
      <c r="AM794" s="61"/>
      <c r="AN794" s="37"/>
      <c r="AO794" s="62"/>
      <c r="AP794" s="62"/>
      <c r="AQ794" s="62"/>
      <c r="AR794" s="62"/>
    </row>
    <row r="795" spans="25:44" x14ac:dyDescent="0.15">
      <c r="Y795" s="8"/>
      <c r="Z795" s="61"/>
      <c r="AA795" s="61"/>
      <c r="AB795" s="61"/>
      <c r="AC795" s="61"/>
      <c r="AD795" s="37"/>
      <c r="AE795" s="62"/>
      <c r="AF795" s="62"/>
      <c r="AG795" s="62"/>
      <c r="AH795" s="62"/>
      <c r="AI795" s="37"/>
      <c r="AJ795" s="61"/>
      <c r="AK795" s="61"/>
      <c r="AL795" s="61"/>
      <c r="AM795" s="61"/>
      <c r="AN795" s="37"/>
      <c r="AO795" s="62"/>
      <c r="AP795" s="62"/>
      <c r="AQ795" s="62"/>
      <c r="AR795" s="62"/>
    </row>
    <row r="796" spans="25:44" x14ac:dyDescent="0.15">
      <c r="Y796" s="8"/>
      <c r="Z796" s="61"/>
      <c r="AA796" s="61"/>
      <c r="AB796" s="61"/>
      <c r="AC796" s="61"/>
      <c r="AD796" s="37"/>
      <c r="AE796" s="62"/>
      <c r="AF796" s="62"/>
      <c r="AG796" s="62"/>
      <c r="AH796" s="62"/>
      <c r="AI796" s="37"/>
      <c r="AJ796" s="61"/>
      <c r="AK796" s="61"/>
      <c r="AL796" s="61"/>
      <c r="AM796" s="61"/>
      <c r="AN796" s="37"/>
      <c r="AO796" s="62"/>
      <c r="AP796" s="62"/>
      <c r="AQ796" s="62"/>
      <c r="AR796" s="62"/>
    </row>
    <row r="797" spans="25:44" x14ac:dyDescent="0.15">
      <c r="Y797" s="8"/>
      <c r="Z797" s="61"/>
      <c r="AA797" s="61"/>
      <c r="AB797" s="61"/>
      <c r="AC797" s="61"/>
      <c r="AD797" s="37"/>
      <c r="AE797" s="62"/>
      <c r="AF797" s="62"/>
      <c r="AG797" s="62"/>
      <c r="AH797" s="62"/>
      <c r="AI797" s="37"/>
      <c r="AJ797" s="61"/>
      <c r="AK797" s="61"/>
      <c r="AL797" s="61"/>
      <c r="AM797" s="61"/>
      <c r="AN797" s="37"/>
      <c r="AO797" s="62"/>
      <c r="AP797" s="62"/>
      <c r="AQ797" s="62"/>
      <c r="AR797" s="62"/>
    </row>
    <row r="798" spans="25:44" x14ac:dyDescent="0.15">
      <c r="Y798" s="8"/>
      <c r="Z798" s="61"/>
      <c r="AA798" s="61"/>
      <c r="AB798" s="61"/>
      <c r="AC798" s="61"/>
      <c r="AD798" s="37"/>
      <c r="AE798" s="62"/>
      <c r="AF798" s="62"/>
      <c r="AG798" s="62"/>
      <c r="AH798" s="62"/>
      <c r="AI798" s="37"/>
      <c r="AJ798" s="61"/>
      <c r="AK798" s="61"/>
      <c r="AL798" s="61"/>
      <c r="AM798" s="61"/>
      <c r="AN798" s="37"/>
      <c r="AO798" s="62"/>
      <c r="AP798" s="62"/>
      <c r="AQ798" s="62"/>
      <c r="AR798" s="62"/>
    </row>
    <row r="799" spans="25:44" x14ac:dyDescent="0.15">
      <c r="Y799" s="8"/>
      <c r="Z799" s="61"/>
      <c r="AA799" s="61"/>
      <c r="AB799" s="61"/>
      <c r="AC799" s="61"/>
      <c r="AD799" s="37"/>
      <c r="AE799" s="62"/>
      <c r="AF799" s="62"/>
      <c r="AG799" s="62"/>
      <c r="AH799" s="62"/>
      <c r="AI799" s="37"/>
      <c r="AJ799" s="61"/>
      <c r="AK799" s="61"/>
      <c r="AL799" s="61"/>
      <c r="AM799" s="61"/>
      <c r="AN799" s="37"/>
      <c r="AO799" s="62"/>
      <c r="AP799" s="62"/>
      <c r="AQ799" s="62"/>
      <c r="AR799" s="62"/>
    </row>
    <row r="800" spans="25:44" x14ac:dyDescent="0.15">
      <c r="Y800" s="8"/>
      <c r="Z800" s="61"/>
      <c r="AA800" s="61"/>
      <c r="AB800" s="61"/>
      <c r="AC800" s="61"/>
      <c r="AD800" s="37"/>
      <c r="AE800" s="62"/>
      <c r="AF800" s="62"/>
      <c r="AG800" s="62"/>
      <c r="AH800" s="62"/>
      <c r="AI800" s="37"/>
      <c r="AJ800" s="61"/>
      <c r="AK800" s="61"/>
      <c r="AL800" s="61"/>
      <c r="AM800" s="61"/>
      <c r="AN800" s="37"/>
      <c r="AO800" s="62"/>
      <c r="AP800" s="62"/>
      <c r="AQ800" s="62"/>
      <c r="AR800" s="62"/>
    </row>
    <row r="801" spans="25:44" x14ac:dyDescent="0.15">
      <c r="Y801" s="8"/>
      <c r="Z801" s="61"/>
      <c r="AA801" s="61"/>
      <c r="AB801" s="61"/>
      <c r="AC801" s="61"/>
      <c r="AD801" s="37"/>
      <c r="AE801" s="62"/>
      <c r="AF801" s="62"/>
      <c r="AG801" s="62"/>
      <c r="AH801" s="62"/>
      <c r="AI801" s="37"/>
      <c r="AJ801" s="61"/>
      <c r="AK801" s="61"/>
      <c r="AL801" s="61"/>
      <c r="AM801" s="61"/>
      <c r="AN801" s="37"/>
      <c r="AO801" s="62"/>
      <c r="AP801" s="62"/>
      <c r="AQ801" s="62"/>
      <c r="AR801" s="62"/>
    </row>
    <row r="802" spans="25:44" x14ac:dyDescent="0.15">
      <c r="Y802" s="8"/>
      <c r="Z802" s="61"/>
      <c r="AA802" s="61"/>
      <c r="AB802" s="61"/>
      <c r="AC802" s="61"/>
      <c r="AD802" s="37"/>
      <c r="AE802" s="62"/>
      <c r="AF802" s="62"/>
      <c r="AG802" s="62"/>
      <c r="AH802" s="62"/>
      <c r="AI802" s="37"/>
      <c r="AJ802" s="61"/>
      <c r="AK802" s="61"/>
      <c r="AL802" s="61"/>
      <c r="AM802" s="61"/>
      <c r="AN802" s="37"/>
      <c r="AO802" s="62"/>
      <c r="AP802" s="62"/>
      <c r="AQ802" s="62"/>
      <c r="AR802" s="62"/>
    </row>
    <row r="803" spans="25:44" x14ac:dyDescent="0.15">
      <c r="Y803" s="8"/>
      <c r="Z803" s="61"/>
      <c r="AA803" s="61"/>
      <c r="AB803" s="61"/>
      <c r="AC803" s="61"/>
      <c r="AD803" s="37"/>
      <c r="AE803" s="62"/>
      <c r="AF803" s="62"/>
      <c r="AG803" s="62"/>
      <c r="AH803" s="62"/>
      <c r="AI803" s="37"/>
      <c r="AJ803" s="61"/>
      <c r="AK803" s="61"/>
      <c r="AL803" s="61"/>
      <c r="AM803" s="61"/>
      <c r="AN803" s="37"/>
      <c r="AO803" s="62"/>
      <c r="AP803" s="62"/>
      <c r="AQ803" s="62"/>
      <c r="AR803" s="62"/>
    </row>
    <row r="804" spans="25:44" x14ac:dyDescent="0.15">
      <c r="Y804" s="8"/>
      <c r="Z804" s="61"/>
      <c r="AA804" s="61"/>
      <c r="AB804" s="61"/>
      <c r="AC804" s="61"/>
      <c r="AD804" s="37"/>
      <c r="AE804" s="62"/>
      <c r="AF804" s="62"/>
      <c r="AG804" s="62"/>
      <c r="AH804" s="62"/>
      <c r="AI804" s="37"/>
      <c r="AJ804" s="61"/>
      <c r="AK804" s="61"/>
      <c r="AL804" s="61"/>
      <c r="AM804" s="61"/>
      <c r="AN804" s="37"/>
      <c r="AO804" s="62"/>
      <c r="AP804" s="62"/>
      <c r="AQ804" s="62"/>
      <c r="AR804" s="62"/>
    </row>
    <row r="805" spans="25:44" x14ac:dyDescent="0.15">
      <c r="Y805" s="8"/>
      <c r="Z805" s="61"/>
      <c r="AA805" s="61"/>
      <c r="AB805" s="61"/>
      <c r="AC805" s="61"/>
      <c r="AD805" s="37"/>
      <c r="AE805" s="62"/>
      <c r="AF805" s="62"/>
      <c r="AG805" s="62"/>
      <c r="AH805" s="62"/>
      <c r="AI805" s="37"/>
      <c r="AJ805" s="61"/>
      <c r="AK805" s="61"/>
      <c r="AL805" s="61"/>
      <c r="AM805" s="61"/>
      <c r="AN805" s="37"/>
      <c r="AO805" s="62"/>
      <c r="AP805" s="62"/>
      <c r="AQ805" s="62"/>
      <c r="AR805" s="62"/>
    </row>
    <row r="806" spans="25:44" x14ac:dyDescent="0.15">
      <c r="Y806" s="8"/>
      <c r="Z806" s="61"/>
      <c r="AA806" s="61"/>
      <c r="AB806" s="61"/>
      <c r="AC806" s="61"/>
      <c r="AD806" s="37"/>
      <c r="AE806" s="62"/>
      <c r="AF806" s="62"/>
      <c r="AG806" s="62"/>
      <c r="AH806" s="62"/>
      <c r="AI806" s="37"/>
      <c r="AJ806" s="61"/>
      <c r="AK806" s="61"/>
      <c r="AL806" s="61"/>
      <c r="AM806" s="61"/>
      <c r="AN806" s="37"/>
      <c r="AO806" s="62"/>
      <c r="AP806" s="62"/>
      <c r="AQ806" s="62"/>
      <c r="AR806" s="62"/>
    </row>
    <row r="807" spans="25:44" x14ac:dyDescent="0.15">
      <c r="Y807" s="8"/>
      <c r="Z807" s="61"/>
      <c r="AA807" s="61"/>
      <c r="AB807" s="61"/>
      <c r="AC807" s="61"/>
      <c r="AD807" s="37"/>
      <c r="AE807" s="62"/>
      <c r="AF807" s="62"/>
      <c r="AG807" s="62"/>
      <c r="AH807" s="62"/>
      <c r="AI807" s="37"/>
      <c r="AJ807" s="61"/>
      <c r="AK807" s="61"/>
      <c r="AL807" s="61"/>
      <c r="AM807" s="61"/>
      <c r="AN807" s="37"/>
      <c r="AO807" s="62"/>
      <c r="AP807" s="62"/>
      <c r="AQ807" s="62"/>
      <c r="AR807" s="62"/>
    </row>
    <row r="808" spans="25:44" x14ac:dyDescent="0.15">
      <c r="Y808" s="8"/>
      <c r="Z808" s="61"/>
      <c r="AA808" s="61"/>
      <c r="AB808" s="61"/>
      <c r="AC808" s="61"/>
      <c r="AD808" s="37"/>
      <c r="AE808" s="62"/>
      <c r="AF808" s="62"/>
      <c r="AG808" s="62"/>
      <c r="AH808" s="62"/>
      <c r="AI808" s="37"/>
      <c r="AJ808" s="61"/>
      <c r="AK808" s="61"/>
      <c r="AL808" s="61"/>
      <c r="AM808" s="61"/>
      <c r="AN808" s="37"/>
      <c r="AO808" s="62"/>
      <c r="AP808" s="62"/>
      <c r="AQ808" s="62"/>
      <c r="AR808" s="62"/>
    </row>
    <row r="809" spans="25:44" x14ac:dyDescent="0.15">
      <c r="Y809" s="8"/>
      <c r="Z809" s="61"/>
      <c r="AA809" s="61"/>
      <c r="AB809" s="61"/>
      <c r="AC809" s="61"/>
      <c r="AD809" s="37"/>
      <c r="AE809" s="62"/>
      <c r="AF809" s="62"/>
      <c r="AG809" s="62"/>
      <c r="AH809" s="62"/>
      <c r="AI809" s="37"/>
      <c r="AJ809" s="61"/>
      <c r="AK809" s="61"/>
      <c r="AL809" s="61"/>
      <c r="AM809" s="61"/>
      <c r="AN809" s="37"/>
      <c r="AO809" s="62"/>
      <c r="AP809" s="62"/>
      <c r="AQ809" s="62"/>
      <c r="AR809" s="62"/>
    </row>
    <row r="810" spans="25:44" x14ac:dyDescent="0.15">
      <c r="Y810" s="8"/>
      <c r="Z810" s="61"/>
      <c r="AA810" s="61"/>
      <c r="AB810" s="61"/>
      <c r="AC810" s="61"/>
      <c r="AD810" s="37"/>
      <c r="AE810" s="62"/>
      <c r="AF810" s="62"/>
      <c r="AG810" s="62"/>
      <c r="AH810" s="62"/>
      <c r="AI810" s="37"/>
      <c r="AJ810" s="61"/>
      <c r="AK810" s="61"/>
      <c r="AL810" s="61"/>
      <c r="AM810" s="61"/>
      <c r="AN810" s="37"/>
      <c r="AO810" s="62"/>
      <c r="AP810" s="62"/>
      <c r="AQ810" s="62"/>
      <c r="AR810" s="62"/>
    </row>
    <row r="811" spans="25:44" x14ac:dyDescent="0.15">
      <c r="Y811" s="8"/>
      <c r="Z811" s="61"/>
      <c r="AA811" s="61"/>
      <c r="AB811" s="61"/>
      <c r="AC811" s="61"/>
      <c r="AD811" s="37"/>
      <c r="AE811" s="62"/>
      <c r="AF811" s="62"/>
      <c r="AG811" s="62"/>
      <c r="AH811" s="62"/>
      <c r="AI811" s="37"/>
      <c r="AJ811" s="61"/>
      <c r="AK811" s="61"/>
      <c r="AL811" s="61"/>
      <c r="AM811" s="61"/>
      <c r="AN811" s="37"/>
      <c r="AO811" s="62"/>
      <c r="AP811" s="62"/>
      <c r="AQ811" s="62"/>
      <c r="AR811" s="62"/>
    </row>
    <row r="812" spans="25:44" x14ac:dyDescent="0.15">
      <c r="Y812" s="8"/>
      <c r="Z812" s="61"/>
      <c r="AA812" s="61"/>
      <c r="AB812" s="61"/>
      <c r="AC812" s="61"/>
      <c r="AD812" s="37"/>
      <c r="AE812" s="62"/>
      <c r="AF812" s="62"/>
      <c r="AG812" s="62"/>
      <c r="AH812" s="62"/>
      <c r="AI812" s="37"/>
      <c r="AJ812" s="61"/>
      <c r="AK812" s="61"/>
      <c r="AL812" s="61"/>
      <c r="AM812" s="61"/>
      <c r="AN812" s="37"/>
      <c r="AO812" s="62"/>
      <c r="AP812" s="62"/>
      <c r="AQ812" s="62"/>
      <c r="AR812" s="62"/>
    </row>
    <row r="813" spans="25:44" x14ac:dyDescent="0.15">
      <c r="Y813" s="8"/>
      <c r="Z813" s="61"/>
      <c r="AA813" s="61"/>
      <c r="AB813" s="61"/>
      <c r="AC813" s="61"/>
      <c r="AD813" s="37"/>
      <c r="AE813" s="62"/>
      <c r="AF813" s="62"/>
      <c r="AG813" s="62"/>
      <c r="AH813" s="62"/>
      <c r="AI813" s="37"/>
      <c r="AJ813" s="61"/>
      <c r="AK813" s="61"/>
      <c r="AL813" s="61"/>
      <c r="AM813" s="61"/>
      <c r="AN813" s="37"/>
      <c r="AO813" s="62"/>
      <c r="AP813" s="62"/>
      <c r="AQ813" s="62"/>
      <c r="AR813" s="62"/>
    </row>
    <row r="814" spans="25:44" x14ac:dyDescent="0.15">
      <c r="Y814" s="8"/>
      <c r="Z814" s="61"/>
      <c r="AA814" s="61"/>
      <c r="AB814" s="61"/>
      <c r="AC814" s="61"/>
      <c r="AD814" s="37"/>
      <c r="AE814" s="62"/>
      <c r="AF814" s="62"/>
      <c r="AG814" s="62"/>
      <c r="AH814" s="62"/>
      <c r="AI814" s="37"/>
      <c r="AJ814" s="61"/>
      <c r="AK814" s="61"/>
      <c r="AL814" s="61"/>
      <c r="AM814" s="61"/>
      <c r="AN814" s="37"/>
      <c r="AO814" s="62"/>
      <c r="AP814" s="62"/>
      <c r="AQ814" s="62"/>
      <c r="AR814" s="62"/>
    </row>
    <row r="815" spans="25:44" x14ac:dyDescent="0.15">
      <c r="Y815" s="8"/>
      <c r="Z815" s="61"/>
      <c r="AA815" s="61"/>
      <c r="AB815" s="61"/>
      <c r="AC815" s="61"/>
      <c r="AD815" s="37"/>
      <c r="AE815" s="62"/>
      <c r="AF815" s="62"/>
      <c r="AG815" s="62"/>
      <c r="AH815" s="62"/>
      <c r="AI815" s="37"/>
      <c r="AJ815" s="61"/>
      <c r="AK815" s="61"/>
      <c r="AL815" s="61"/>
      <c r="AM815" s="61"/>
      <c r="AN815" s="37"/>
      <c r="AO815" s="62"/>
      <c r="AP815" s="62"/>
      <c r="AQ815" s="62"/>
      <c r="AR815" s="62"/>
    </row>
    <row r="816" spans="25:44" x14ac:dyDescent="0.15">
      <c r="Y816" s="8"/>
      <c r="Z816" s="61"/>
      <c r="AA816" s="61"/>
      <c r="AB816" s="61"/>
      <c r="AC816" s="61"/>
      <c r="AD816" s="37"/>
      <c r="AE816" s="62"/>
      <c r="AF816" s="62"/>
      <c r="AG816" s="62"/>
      <c r="AH816" s="62"/>
      <c r="AI816" s="37"/>
      <c r="AJ816" s="61"/>
      <c r="AK816" s="61"/>
      <c r="AL816" s="61"/>
      <c r="AM816" s="61"/>
      <c r="AN816" s="37"/>
      <c r="AO816" s="62"/>
      <c r="AP816" s="62"/>
      <c r="AQ816" s="62"/>
      <c r="AR816" s="62"/>
    </row>
    <row r="817" spans="25:44" x14ac:dyDescent="0.15">
      <c r="Y817" s="8"/>
      <c r="Z817" s="61"/>
      <c r="AA817" s="61"/>
      <c r="AB817" s="61"/>
      <c r="AC817" s="61"/>
      <c r="AD817" s="37"/>
      <c r="AE817" s="62"/>
      <c r="AF817" s="62"/>
      <c r="AG817" s="62"/>
      <c r="AH817" s="62"/>
      <c r="AI817" s="37"/>
      <c r="AJ817" s="61"/>
      <c r="AK817" s="61"/>
      <c r="AL817" s="61"/>
      <c r="AM817" s="61"/>
      <c r="AN817" s="37"/>
      <c r="AO817" s="62"/>
      <c r="AP817" s="62"/>
      <c r="AQ817" s="62"/>
      <c r="AR817" s="62"/>
    </row>
    <row r="818" spans="25:44" x14ac:dyDescent="0.15">
      <c r="Y818" s="8"/>
      <c r="Z818" s="61"/>
      <c r="AA818" s="61"/>
      <c r="AB818" s="61"/>
      <c r="AC818" s="61"/>
      <c r="AD818" s="37"/>
      <c r="AE818" s="62"/>
      <c r="AF818" s="62"/>
      <c r="AG818" s="62"/>
      <c r="AH818" s="62"/>
      <c r="AI818" s="37"/>
      <c r="AJ818" s="61"/>
      <c r="AK818" s="61"/>
      <c r="AL818" s="61"/>
      <c r="AM818" s="61"/>
      <c r="AN818" s="37"/>
      <c r="AO818" s="62"/>
      <c r="AP818" s="62"/>
      <c r="AQ818" s="62"/>
      <c r="AR818" s="62"/>
    </row>
    <row r="819" spans="25:44" x14ac:dyDescent="0.15">
      <c r="Y819" s="8"/>
      <c r="Z819" s="61"/>
      <c r="AA819" s="61"/>
      <c r="AB819" s="61"/>
      <c r="AC819" s="61"/>
      <c r="AD819" s="37"/>
      <c r="AE819" s="62"/>
      <c r="AF819" s="62"/>
      <c r="AG819" s="62"/>
      <c r="AH819" s="62"/>
      <c r="AI819" s="37"/>
      <c r="AJ819" s="61"/>
      <c r="AK819" s="61"/>
      <c r="AL819" s="61"/>
      <c r="AM819" s="61"/>
      <c r="AN819" s="37"/>
      <c r="AO819" s="62"/>
      <c r="AP819" s="62"/>
      <c r="AQ819" s="62"/>
      <c r="AR819" s="62"/>
    </row>
    <row r="820" spans="25:44" x14ac:dyDescent="0.15">
      <c r="Y820" s="8"/>
      <c r="Z820" s="61"/>
      <c r="AA820" s="61"/>
      <c r="AB820" s="61"/>
      <c r="AC820" s="61"/>
      <c r="AD820" s="37"/>
      <c r="AE820" s="62"/>
      <c r="AF820" s="62"/>
      <c r="AG820" s="62"/>
      <c r="AH820" s="62"/>
      <c r="AI820" s="37"/>
      <c r="AJ820" s="61"/>
      <c r="AK820" s="61"/>
      <c r="AL820" s="61"/>
      <c r="AM820" s="61"/>
      <c r="AN820" s="37"/>
      <c r="AO820" s="62"/>
      <c r="AP820" s="62"/>
      <c r="AQ820" s="62"/>
      <c r="AR820" s="62"/>
    </row>
    <row r="821" spans="25:44" x14ac:dyDescent="0.15">
      <c r="Y821" s="8"/>
      <c r="Z821" s="61"/>
      <c r="AA821" s="61"/>
      <c r="AB821" s="61"/>
      <c r="AC821" s="61"/>
      <c r="AD821" s="37"/>
      <c r="AE821" s="62"/>
      <c r="AF821" s="62"/>
      <c r="AG821" s="62"/>
      <c r="AH821" s="62"/>
      <c r="AI821" s="37"/>
      <c r="AJ821" s="61"/>
      <c r="AK821" s="61"/>
      <c r="AL821" s="61"/>
      <c r="AM821" s="61"/>
      <c r="AN821" s="37"/>
      <c r="AO821" s="62"/>
      <c r="AP821" s="62"/>
      <c r="AQ821" s="62"/>
      <c r="AR821" s="62"/>
    </row>
    <row r="822" spans="25:44" x14ac:dyDescent="0.15">
      <c r="Y822" s="8"/>
      <c r="Z822" s="61"/>
      <c r="AA822" s="61"/>
      <c r="AB822" s="61"/>
      <c r="AC822" s="61"/>
      <c r="AD822" s="37"/>
      <c r="AE822" s="62"/>
      <c r="AF822" s="62"/>
      <c r="AG822" s="62"/>
      <c r="AH822" s="62"/>
      <c r="AI822" s="37"/>
      <c r="AJ822" s="61"/>
      <c r="AK822" s="61"/>
      <c r="AL822" s="61"/>
      <c r="AM822" s="61"/>
      <c r="AN822" s="37"/>
      <c r="AO822" s="62"/>
      <c r="AP822" s="62"/>
      <c r="AQ822" s="62"/>
      <c r="AR822" s="62"/>
    </row>
    <row r="823" spans="25:44" x14ac:dyDescent="0.15">
      <c r="Y823" s="8"/>
      <c r="Z823" s="61"/>
      <c r="AA823" s="61"/>
      <c r="AB823" s="61"/>
      <c r="AC823" s="61"/>
      <c r="AD823" s="37"/>
      <c r="AE823" s="62"/>
      <c r="AF823" s="62"/>
      <c r="AG823" s="62"/>
      <c r="AH823" s="62"/>
      <c r="AI823" s="37"/>
      <c r="AJ823" s="61"/>
      <c r="AK823" s="61"/>
      <c r="AL823" s="61"/>
      <c r="AM823" s="61"/>
      <c r="AN823" s="37"/>
      <c r="AO823" s="62"/>
      <c r="AP823" s="62"/>
      <c r="AQ823" s="62"/>
      <c r="AR823" s="62"/>
    </row>
    <row r="824" spans="25:44" x14ac:dyDescent="0.15">
      <c r="Y824" s="8"/>
      <c r="Z824" s="61"/>
      <c r="AA824" s="61"/>
      <c r="AB824" s="61"/>
      <c r="AC824" s="61"/>
      <c r="AD824" s="37"/>
      <c r="AE824" s="62"/>
      <c r="AF824" s="62"/>
      <c r="AG824" s="62"/>
      <c r="AH824" s="62"/>
      <c r="AI824" s="37"/>
      <c r="AJ824" s="61"/>
      <c r="AK824" s="61"/>
      <c r="AL824" s="61"/>
      <c r="AM824" s="61"/>
      <c r="AN824" s="37"/>
      <c r="AO824" s="62"/>
      <c r="AP824" s="62"/>
      <c r="AQ824" s="62"/>
      <c r="AR824" s="62"/>
    </row>
    <row r="825" spans="25:44" x14ac:dyDescent="0.15">
      <c r="Y825" s="8"/>
      <c r="Z825" s="61"/>
      <c r="AA825" s="61"/>
      <c r="AB825" s="61"/>
      <c r="AC825" s="61"/>
      <c r="AD825" s="37"/>
      <c r="AE825" s="62"/>
      <c r="AF825" s="62"/>
      <c r="AG825" s="62"/>
      <c r="AH825" s="62"/>
      <c r="AI825" s="37"/>
      <c r="AJ825" s="61"/>
      <c r="AK825" s="61"/>
      <c r="AL825" s="61"/>
      <c r="AM825" s="61"/>
      <c r="AN825" s="37"/>
      <c r="AO825" s="62"/>
      <c r="AP825" s="62"/>
      <c r="AQ825" s="62"/>
      <c r="AR825" s="62"/>
    </row>
    <row r="826" spans="25:44" x14ac:dyDescent="0.15">
      <c r="Y826" s="8"/>
      <c r="Z826" s="61"/>
      <c r="AA826" s="61"/>
      <c r="AB826" s="61"/>
      <c r="AC826" s="61"/>
      <c r="AD826" s="37"/>
      <c r="AE826" s="62"/>
      <c r="AF826" s="62"/>
      <c r="AG826" s="62"/>
      <c r="AH826" s="62"/>
      <c r="AI826" s="37"/>
      <c r="AJ826" s="61"/>
      <c r="AK826" s="61"/>
      <c r="AL826" s="61"/>
      <c r="AM826" s="61"/>
      <c r="AN826" s="37"/>
      <c r="AO826" s="62"/>
      <c r="AP826" s="62"/>
      <c r="AQ826" s="62"/>
      <c r="AR826" s="62"/>
    </row>
    <row r="827" spans="25:44" x14ac:dyDescent="0.15">
      <c r="Y827" s="8"/>
      <c r="Z827" s="61"/>
      <c r="AA827" s="61"/>
      <c r="AB827" s="61"/>
      <c r="AC827" s="61"/>
      <c r="AD827" s="37"/>
      <c r="AE827" s="62"/>
      <c r="AF827" s="62"/>
      <c r="AG827" s="62"/>
      <c r="AH827" s="62"/>
      <c r="AI827" s="37"/>
      <c r="AJ827" s="61"/>
      <c r="AK827" s="61"/>
      <c r="AL827" s="61"/>
      <c r="AM827" s="61"/>
      <c r="AN827" s="37"/>
      <c r="AO827" s="62"/>
      <c r="AP827" s="62"/>
      <c r="AQ827" s="62"/>
      <c r="AR827" s="62"/>
    </row>
    <row r="828" spans="25:44" x14ac:dyDescent="0.15">
      <c r="Y828" s="8"/>
      <c r="Z828" s="61"/>
      <c r="AA828" s="61"/>
      <c r="AB828" s="61"/>
      <c r="AC828" s="61"/>
      <c r="AD828" s="37"/>
      <c r="AE828" s="62"/>
      <c r="AF828" s="62"/>
      <c r="AG828" s="62"/>
      <c r="AH828" s="62"/>
      <c r="AI828" s="37"/>
      <c r="AJ828" s="61"/>
      <c r="AK828" s="61"/>
      <c r="AL828" s="61"/>
      <c r="AM828" s="61"/>
      <c r="AN828" s="37"/>
      <c r="AO828" s="62"/>
      <c r="AP828" s="62"/>
      <c r="AQ828" s="62"/>
      <c r="AR828" s="62"/>
    </row>
    <row r="829" spans="25:44" x14ac:dyDescent="0.15">
      <c r="Y829" s="8"/>
      <c r="Z829" s="61"/>
      <c r="AA829" s="61"/>
      <c r="AB829" s="61"/>
      <c r="AC829" s="61"/>
      <c r="AD829" s="37"/>
      <c r="AE829" s="62"/>
      <c r="AF829" s="62"/>
      <c r="AG829" s="62"/>
      <c r="AH829" s="62"/>
      <c r="AI829" s="37"/>
      <c r="AJ829" s="61"/>
      <c r="AK829" s="61"/>
      <c r="AL829" s="61"/>
      <c r="AM829" s="61"/>
      <c r="AN829" s="37"/>
      <c r="AO829" s="62"/>
      <c r="AP829" s="62"/>
      <c r="AQ829" s="62"/>
      <c r="AR829" s="62"/>
    </row>
    <row r="830" spans="25:44" x14ac:dyDescent="0.15">
      <c r="Y830" s="8"/>
      <c r="Z830" s="61"/>
      <c r="AA830" s="61"/>
      <c r="AB830" s="61"/>
      <c r="AC830" s="61"/>
      <c r="AD830" s="37"/>
      <c r="AE830" s="62"/>
      <c r="AF830" s="62"/>
      <c r="AG830" s="62"/>
      <c r="AH830" s="62"/>
      <c r="AI830" s="37"/>
      <c r="AJ830" s="61"/>
      <c r="AK830" s="61"/>
      <c r="AL830" s="61"/>
      <c r="AM830" s="61"/>
      <c r="AN830" s="37"/>
      <c r="AO830" s="62"/>
      <c r="AP830" s="62"/>
      <c r="AQ830" s="62"/>
      <c r="AR830" s="62"/>
    </row>
    <row r="831" spans="25:44" x14ac:dyDescent="0.15">
      <c r="Y831" s="8"/>
      <c r="Z831" s="61"/>
      <c r="AA831" s="61"/>
      <c r="AB831" s="61"/>
      <c r="AC831" s="61"/>
      <c r="AD831" s="37"/>
      <c r="AE831" s="62"/>
      <c r="AF831" s="62"/>
      <c r="AG831" s="62"/>
      <c r="AH831" s="62"/>
      <c r="AI831" s="37"/>
      <c r="AJ831" s="61"/>
      <c r="AK831" s="61"/>
      <c r="AL831" s="61"/>
      <c r="AM831" s="61"/>
      <c r="AN831" s="37"/>
      <c r="AO831" s="62"/>
      <c r="AP831" s="62"/>
      <c r="AQ831" s="62"/>
      <c r="AR831" s="62"/>
    </row>
    <row r="832" spans="25:44" x14ac:dyDescent="0.15">
      <c r="Y832" s="8"/>
      <c r="Z832" s="61"/>
      <c r="AA832" s="61"/>
      <c r="AB832" s="61"/>
      <c r="AC832" s="61"/>
      <c r="AD832" s="37"/>
      <c r="AE832" s="62"/>
      <c r="AF832" s="62"/>
      <c r="AG832" s="62"/>
      <c r="AH832" s="62"/>
      <c r="AI832" s="37"/>
      <c r="AJ832" s="61"/>
      <c r="AK832" s="61"/>
      <c r="AL832" s="61"/>
      <c r="AM832" s="61"/>
      <c r="AN832" s="37"/>
      <c r="AO832" s="62"/>
      <c r="AP832" s="62"/>
      <c r="AQ832" s="62"/>
      <c r="AR832" s="62"/>
    </row>
    <row r="833" spans="25:44" x14ac:dyDescent="0.15">
      <c r="Y833" s="8"/>
      <c r="Z833" s="61"/>
      <c r="AA833" s="61"/>
      <c r="AB833" s="61"/>
      <c r="AC833" s="61"/>
      <c r="AD833" s="37"/>
      <c r="AE833" s="62"/>
      <c r="AF833" s="62"/>
      <c r="AG833" s="62"/>
      <c r="AH833" s="62"/>
      <c r="AI833" s="37"/>
      <c r="AJ833" s="61"/>
      <c r="AK833" s="61"/>
      <c r="AL833" s="61"/>
      <c r="AM833" s="61"/>
      <c r="AN833" s="37"/>
      <c r="AO833" s="62"/>
      <c r="AP833" s="62"/>
      <c r="AQ833" s="62"/>
      <c r="AR833" s="62"/>
    </row>
    <row r="834" spans="25:44" x14ac:dyDescent="0.15">
      <c r="Y834" s="8"/>
      <c r="Z834" s="61"/>
      <c r="AA834" s="61"/>
      <c r="AB834" s="61"/>
      <c r="AC834" s="61"/>
      <c r="AD834" s="37"/>
      <c r="AE834" s="62"/>
      <c r="AF834" s="62"/>
      <c r="AG834" s="62"/>
      <c r="AH834" s="62"/>
      <c r="AI834" s="37"/>
      <c r="AJ834" s="61"/>
      <c r="AK834" s="61"/>
      <c r="AL834" s="61"/>
      <c r="AM834" s="61"/>
      <c r="AN834" s="37"/>
      <c r="AO834" s="62"/>
      <c r="AP834" s="62"/>
      <c r="AQ834" s="62"/>
      <c r="AR834" s="62"/>
    </row>
    <row r="835" spans="25:44" x14ac:dyDescent="0.15">
      <c r="Y835" s="8"/>
      <c r="Z835" s="61"/>
      <c r="AA835" s="61"/>
      <c r="AB835" s="61"/>
      <c r="AC835" s="61"/>
      <c r="AD835" s="37"/>
      <c r="AE835" s="62"/>
      <c r="AF835" s="62"/>
      <c r="AG835" s="62"/>
      <c r="AH835" s="62"/>
      <c r="AI835" s="37"/>
      <c r="AJ835" s="61"/>
      <c r="AK835" s="61"/>
      <c r="AL835" s="61"/>
      <c r="AM835" s="61"/>
      <c r="AN835" s="37"/>
      <c r="AO835" s="62"/>
      <c r="AP835" s="62"/>
      <c r="AQ835" s="62"/>
      <c r="AR835" s="62"/>
    </row>
    <row r="836" spans="25:44" x14ac:dyDescent="0.15">
      <c r="Y836" s="8"/>
      <c r="Z836" s="61"/>
      <c r="AA836" s="61"/>
      <c r="AB836" s="61"/>
      <c r="AC836" s="61"/>
      <c r="AD836" s="37"/>
      <c r="AE836" s="62"/>
      <c r="AF836" s="62"/>
      <c r="AG836" s="62"/>
      <c r="AH836" s="62"/>
      <c r="AI836" s="37"/>
      <c r="AJ836" s="61"/>
      <c r="AK836" s="61"/>
      <c r="AL836" s="61"/>
      <c r="AM836" s="61"/>
      <c r="AN836" s="37"/>
      <c r="AO836" s="62"/>
      <c r="AP836" s="62"/>
      <c r="AQ836" s="62"/>
      <c r="AR836" s="62"/>
    </row>
    <row r="837" spans="25:44" x14ac:dyDescent="0.15">
      <c r="Y837" s="8"/>
      <c r="Z837" s="61"/>
      <c r="AA837" s="61"/>
      <c r="AB837" s="61"/>
      <c r="AC837" s="61"/>
      <c r="AD837" s="37"/>
      <c r="AE837" s="62"/>
      <c r="AF837" s="62"/>
      <c r="AG837" s="62"/>
      <c r="AH837" s="62"/>
      <c r="AI837" s="37"/>
      <c r="AJ837" s="61"/>
      <c r="AK837" s="61"/>
      <c r="AL837" s="61"/>
      <c r="AM837" s="61"/>
      <c r="AN837" s="37"/>
      <c r="AO837" s="62"/>
      <c r="AP837" s="62"/>
      <c r="AQ837" s="62"/>
      <c r="AR837" s="62"/>
    </row>
    <row r="838" spans="25:44" x14ac:dyDescent="0.15">
      <c r="Y838" s="8"/>
      <c r="Z838" s="61"/>
      <c r="AA838" s="61"/>
      <c r="AB838" s="61"/>
      <c r="AC838" s="61"/>
      <c r="AD838" s="37"/>
      <c r="AE838" s="62"/>
      <c r="AF838" s="62"/>
      <c r="AG838" s="62"/>
      <c r="AH838" s="62"/>
      <c r="AI838" s="37"/>
      <c r="AJ838" s="61"/>
      <c r="AK838" s="61"/>
      <c r="AL838" s="61"/>
      <c r="AM838" s="61"/>
      <c r="AN838" s="37"/>
      <c r="AO838" s="62"/>
      <c r="AP838" s="62"/>
      <c r="AQ838" s="62"/>
      <c r="AR838" s="62"/>
    </row>
    <row r="839" spans="25:44" x14ac:dyDescent="0.15">
      <c r="Y839" s="8"/>
      <c r="Z839" s="61"/>
      <c r="AA839" s="61"/>
      <c r="AB839" s="61"/>
      <c r="AC839" s="61"/>
      <c r="AD839" s="37"/>
      <c r="AE839" s="62"/>
      <c r="AF839" s="62"/>
      <c r="AG839" s="62"/>
      <c r="AH839" s="62"/>
      <c r="AI839" s="37"/>
      <c r="AJ839" s="61"/>
      <c r="AK839" s="61"/>
      <c r="AL839" s="61"/>
      <c r="AM839" s="61"/>
      <c r="AN839" s="37"/>
      <c r="AO839" s="62"/>
      <c r="AP839" s="62"/>
      <c r="AQ839" s="62"/>
      <c r="AR839" s="62"/>
    </row>
    <row r="840" spans="25:44" x14ac:dyDescent="0.15">
      <c r="Y840" s="8"/>
      <c r="Z840" s="61"/>
      <c r="AA840" s="61"/>
      <c r="AB840" s="61"/>
      <c r="AC840" s="61"/>
      <c r="AD840" s="37"/>
      <c r="AE840" s="62"/>
      <c r="AF840" s="62"/>
      <c r="AG840" s="62"/>
      <c r="AH840" s="62"/>
      <c r="AI840" s="37"/>
      <c r="AJ840" s="61"/>
      <c r="AK840" s="61"/>
      <c r="AL840" s="61"/>
      <c r="AM840" s="61"/>
      <c r="AN840" s="37"/>
      <c r="AO840" s="62"/>
      <c r="AP840" s="62"/>
      <c r="AQ840" s="62"/>
      <c r="AR840" s="62"/>
    </row>
    <row r="841" spans="25:44" x14ac:dyDescent="0.15">
      <c r="Y841" s="8"/>
      <c r="Z841" s="61"/>
      <c r="AA841" s="61"/>
      <c r="AB841" s="61"/>
      <c r="AC841" s="61"/>
      <c r="AD841" s="37"/>
      <c r="AE841" s="62"/>
      <c r="AF841" s="62"/>
      <c r="AG841" s="62"/>
      <c r="AH841" s="62"/>
      <c r="AI841" s="37"/>
      <c r="AJ841" s="61"/>
      <c r="AK841" s="61"/>
      <c r="AL841" s="61"/>
      <c r="AM841" s="61"/>
      <c r="AN841" s="37"/>
      <c r="AO841" s="62"/>
      <c r="AP841" s="62"/>
      <c r="AQ841" s="62"/>
      <c r="AR841" s="62"/>
    </row>
    <row r="842" spans="25:44" x14ac:dyDescent="0.15">
      <c r="Y842" s="8"/>
      <c r="Z842" s="61"/>
      <c r="AA842" s="61"/>
      <c r="AB842" s="61"/>
      <c r="AC842" s="61"/>
      <c r="AD842" s="37"/>
      <c r="AE842" s="62"/>
      <c r="AF842" s="62"/>
      <c r="AG842" s="62"/>
      <c r="AH842" s="62"/>
      <c r="AI842" s="37"/>
      <c r="AJ842" s="61"/>
      <c r="AK842" s="61"/>
      <c r="AL842" s="61"/>
      <c r="AM842" s="61"/>
      <c r="AN842" s="37"/>
      <c r="AO842" s="62"/>
      <c r="AP842" s="62"/>
      <c r="AQ842" s="62"/>
      <c r="AR842" s="62"/>
    </row>
    <row r="843" spans="25:44" x14ac:dyDescent="0.15">
      <c r="Y843" s="8"/>
      <c r="Z843" s="61"/>
      <c r="AA843" s="61"/>
      <c r="AB843" s="61"/>
      <c r="AC843" s="61"/>
      <c r="AD843" s="37"/>
      <c r="AE843" s="62"/>
      <c r="AF843" s="62"/>
      <c r="AG843" s="62"/>
      <c r="AH843" s="62"/>
      <c r="AI843" s="37"/>
      <c r="AJ843" s="61"/>
      <c r="AK843" s="61"/>
      <c r="AL843" s="61"/>
      <c r="AM843" s="61"/>
      <c r="AN843" s="37"/>
      <c r="AO843" s="62"/>
      <c r="AP843" s="62"/>
      <c r="AQ843" s="62"/>
      <c r="AR843" s="62"/>
    </row>
    <row r="844" spans="25:44" x14ac:dyDescent="0.15">
      <c r="Y844" s="8"/>
      <c r="Z844" s="61"/>
      <c r="AA844" s="61"/>
      <c r="AB844" s="61"/>
      <c r="AC844" s="61"/>
      <c r="AD844" s="37"/>
      <c r="AE844" s="62"/>
      <c r="AF844" s="62"/>
      <c r="AG844" s="62"/>
      <c r="AH844" s="62"/>
      <c r="AI844" s="37"/>
      <c r="AJ844" s="61"/>
      <c r="AK844" s="61"/>
      <c r="AL844" s="61"/>
      <c r="AM844" s="61"/>
      <c r="AN844" s="37"/>
      <c r="AO844" s="62"/>
      <c r="AP844" s="62"/>
      <c r="AQ844" s="62"/>
      <c r="AR844" s="62"/>
    </row>
    <row r="845" spans="25:44" x14ac:dyDescent="0.15">
      <c r="Y845" s="8"/>
      <c r="Z845" s="61"/>
      <c r="AA845" s="61"/>
      <c r="AB845" s="61"/>
      <c r="AC845" s="61"/>
      <c r="AD845" s="37"/>
      <c r="AE845" s="62"/>
      <c r="AF845" s="62"/>
      <c r="AG845" s="62"/>
      <c r="AH845" s="62"/>
      <c r="AI845" s="37"/>
      <c r="AJ845" s="61"/>
      <c r="AK845" s="61"/>
      <c r="AL845" s="61"/>
      <c r="AM845" s="61"/>
      <c r="AN845" s="37"/>
      <c r="AO845" s="62"/>
      <c r="AP845" s="62"/>
      <c r="AQ845" s="62"/>
      <c r="AR845" s="62"/>
    </row>
    <row r="846" spans="25:44" x14ac:dyDescent="0.15">
      <c r="Y846" s="8"/>
      <c r="Z846" s="61"/>
      <c r="AA846" s="61"/>
      <c r="AB846" s="61"/>
      <c r="AC846" s="61"/>
      <c r="AD846" s="37"/>
      <c r="AE846" s="62"/>
      <c r="AF846" s="62"/>
      <c r="AG846" s="62"/>
      <c r="AH846" s="62"/>
      <c r="AI846" s="37"/>
      <c r="AJ846" s="61"/>
      <c r="AK846" s="61"/>
      <c r="AL846" s="61"/>
      <c r="AM846" s="61"/>
      <c r="AN846" s="37"/>
      <c r="AO846" s="62"/>
      <c r="AP846" s="62"/>
      <c r="AQ846" s="62"/>
      <c r="AR846" s="62"/>
    </row>
    <row r="847" spans="25:44" x14ac:dyDescent="0.15">
      <c r="Y847" s="8"/>
      <c r="Z847" s="61"/>
      <c r="AA847" s="61"/>
      <c r="AB847" s="61"/>
      <c r="AC847" s="61"/>
      <c r="AD847" s="37"/>
      <c r="AE847" s="62"/>
      <c r="AF847" s="62"/>
      <c r="AG847" s="62"/>
      <c r="AH847" s="62"/>
      <c r="AI847" s="37"/>
      <c r="AJ847" s="61"/>
      <c r="AK847" s="61"/>
      <c r="AL847" s="61"/>
      <c r="AM847" s="61"/>
      <c r="AN847" s="37"/>
      <c r="AO847" s="62"/>
      <c r="AP847" s="62"/>
      <c r="AQ847" s="62"/>
      <c r="AR847" s="62"/>
    </row>
    <row r="848" spans="25:44" x14ac:dyDescent="0.15">
      <c r="Y848" s="8"/>
      <c r="Z848" s="61"/>
      <c r="AA848" s="61"/>
      <c r="AB848" s="61"/>
      <c r="AC848" s="61"/>
      <c r="AD848" s="37"/>
      <c r="AE848" s="62"/>
      <c r="AF848" s="62"/>
      <c r="AG848" s="62"/>
      <c r="AH848" s="62"/>
      <c r="AI848" s="37"/>
      <c r="AJ848" s="61"/>
      <c r="AK848" s="61"/>
      <c r="AL848" s="61"/>
      <c r="AM848" s="61"/>
      <c r="AN848" s="37"/>
      <c r="AO848" s="62"/>
      <c r="AP848" s="62"/>
      <c r="AQ848" s="62"/>
      <c r="AR848" s="62"/>
    </row>
    <row r="849" spans="25:44" x14ac:dyDescent="0.15">
      <c r="Y849" s="8"/>
      <c r="Z849" s="61"/>
      <c r="AA849" s="61"/>
      <c r="AB849" s="61"/>
      <c r="AC849" s="61"/>
      <c r="AD849" s="37"/>
      <c r="AE849" s="62"/>
      <c r="AF849" s="62"/>
      <c r="AG849" s="62"/>
      <c r="AH849" s="62"/>
      <c r="AI849" s="37"/>
      <c r="AJ849" s="61"/>
      <c r="AK849" s="61"/>
      <c r="AL849" s="61"/>
      <c r="AM849" s="61"/>
      <c r="AN849" s="37"/>
      <c r="AO849" s="62"/>
      <c r="AP849" s="62"/>
      <c r="AQ849" s="62"/>
      <c r="AR849" s="62"/>
    </row>
    <row r="850" spans="25:44" x14ac:dyDescent="0.15">
      <c r="Y850" s="8"/>
      <c r="Z850" s="61"/>
      <c r="AA850" s="61"/>
      <c r="AB850" s="61"/>
      <c r="AC850" s="61"/>
      <c r="AD850" s="37"/>
      <c r="AE850" s="62"/>
      <c r="AF850" s="62"/>
      <c r="AG850" s="62"/>
      <c r="AH850" s="62"/>
      <c r="AI850" s="37"/>
      <c r="AJ850" s="61"/>
      <c r="AK850" s="61"/>
      <c r="AL850" s="61"/>
      <c r="AM850" s="61"/>
      <c r="AN850" s="37"/>
      <c r="AO850" s="62"/>
      <c r="AP850" s="62"/>
      <c r="AQ850" s="62"/>
      <c r="AR850" s="62"/>
    </row>
    <row r="851" spans="25:44" x14ac:dyDescent="0.15">
      <c r="Y851" s="8"/>
      <c r="Z851" s="61"/>
      <c r="AA851" s="61"/>
      <c r="AB851" s="61"/>
      <c r="AC851" s="61"/>
      <c r="AD851" s="37"/>
      <c r="AE851" s="62"/>
      <c r="AF851" s="62"/>
      <c r="AG851" s="62"/>
      <c r="AH851" s="62"/>
      <c r="AI851" s="37"/>
      <c r="AJ851" s="61"/>
      <c r="AK851" s="61"/>
      <c r="AL851" s="61"/>
      <c r="AM851" s="61"/>
      <c r="AN851" s="37"/>
      <c r="AO851" s="62"/>
      <c r="AP851" s="62"/>
      <c r="AQ851" s="62"/>
      <c r="AR851" s="62"/>
    </row>
    <row r="852" spans="25:44" x14ac:dyDescent="0.15">
      <c r="Y852" s="8"/>
      <c r="Z852" s="61"/>
      <c r="AA852" s="61"/>
      <c r="AB852" s="61"/>
      <c r="AC852" s="61"/>
      <c r="AD852" s="37"/>
      <c r="AE852" s="62"/>
      <c r="AF852" s="62"/>
      <c r="AG852" s="62"/>
      <c r="AH852" s="62"/>
      <c r="AI852" s="37"/>
      <c r="AJ852" s="61"/>
      <c r="AK852" s="61"/>
      <c r="AL852" s="61"/>
      <c r="AM852" s="61"/>
      <c r="AN852" s="37"/>
      <c r="AO852" s="62"/>
      <c r="AP852" s="62"/>
      <c r="AQ852" s="62"/>
      <c r="AR852" s="62"/>
    </row>
    <row r="853" spans="25:44" x14ac:dyDescent="0.15">
      <c r="Y853" s="8"/>
      <c r="Z853" s="61"/>
      <c r="AA853" s="61"/>
      <c r="AB853" s="61"/>
      <c r="AC853" s="61"/>
      <c r="AD853" s="37"/>
      <c r="AE853" s="62"/>
      <c r="AF853" s="62"/>
      <c r="AG853" s="62"/>
      <c r="AH853" s="62"/>
      <c r="AI853" s="37"/>
      <c r="AJ853" s="61"/>
      <c r="AK853" s="61"/>
      <c r="AL853" s="61"/>
      <c r="AM853" s="61"/>
      <c r="AN853" s="37"/>
      <c r="AO853" s="62"/>
      <c r="AP853" s="62"/>
      <c r="AQ853" s="62"/>
      <c r="AR853" s="62"/>
    </row>
    <row r="854" spans="25:44" x14ac:dyDescent="0.15">
      <c r="Y854" s="8"/>
      <c r="Z854" s="61"/>
      <c r="AA854" s="61"/>
      <c r="AB854" s="61"/>
      <c r="AC854" s="61"/>
      <c r="AD854" s="37"/>
      <c r="AE854" s="62"/>
      <c r="AF854" s="62"/>
      <c r="AG854" s="62"/>
      <c r="AH854" s="62"/>
      <c r="AI854" s="37"/>
      <c r="AJ854" s="61"/>
      <c r="AK854" s="61"/>
      <c r="AL854" s="61"/>
      <c r="AM854" s="61"/>
      <c r="AN854" s="37"/>
      <c r="AO854" s="62"/>
      <c r="AP854" s="62"/>
      <c r="AQ854" s="62"/>
      <c r="AR854" s="62"/>
    </row>
    <row r="855" spans="25:44" x14ac:dyDescent="0.15">
      <c r="Y855" s="8"/>
      <c r="Z855" s="61"/>
      <c r="AA855" s="61"/>
      <c r="AB855" s="61"/>
      <c r="AC855" s="61"/>
      <c r="AD855" s="37"/>
      <c r="AE855" s="62"/>
      <c r="AF855" s="62"/>
      <c r="AG855" s="62"/>
      <c r="AH855" s="62"/>
      <c r="AI855" s="37"/>
      <c r="AJ855" s="61"/>
      <c r="AK855" s="61"/>
      <c r="AL855" s="61"/>
      <c r="AM855" s="61"/>
      <c r="AN855" s="37"/>
      <c r="AO855" s="62"/>
      <c r="AP855" s="62"/>
      <c r="AQ855" s="62"/>
      <c r="AR855" s="62"/>
    </row>
    <row r="856" spans="25:44" x14ac:dyDescent="0.15">
      <c r="Y856" s="8"/>
      <c r="Z856" s="61"/>
      <c r="AA856" s="61"/>
      <c r="AB856" s="61"/>
      <c r="AC856" s="61"/>
      <c r="AD856" s="37"/>
      <c r="AE856" s="62"/>
      <c r="AF856" s="62"/>
      <c r="AG856" s="62"/>
      <c r="AH856" s="62"/>
      <c r="AI856" s="37"/>
      <c r="AJ856" s="61"/>
      <c r="AK856" s="61"/>
      <c r="AL856" s="61"/>
      <c r="AM856" s="61"/>
      <c r="AN856" s="37"/>
      <c r="AO856" s="62"/>
      <c r="AP856" s="62"/>
      <c r="AQ856" s="62"/>
      <c r="AR856" s="62"/>
    </row>
    <row r="857" spans="25:44" x14ac:dyDescent="0.15">
      <c r="Y857" s="8"/>
      <c r="Z857" s="61"/>
      <c r="AA857" s="61"/>
      <c r="AB857" s="61"/>
      <c r="AC857" s="61"/>
      <c r="AD857" s="37"/>
      <c r="AE857" s="62"/>
      <c r="AF857" s="62"/>
      <c r="AG857" s="62"/>
      <c r="AH857" s="62"/>
      <c r="AI857" s="37"/>
      <c r="AJ857" s="61"/>
      <c r="AK857" s="61"/>
      <c r="AL857" s="61"/>
      <c r="AM857" s="61"/>
      <c r="AN857" s="37"/>
      <c r="AO857" s="62"/>
      <c r="AP857" s="62"/>
      <c r="AQ857" s="62"/>
      <c r="AR857" s="62"/>
    </row>
    <row r="858" spans="25:44" x14ac:dyDescent="0.15">
      <c r="Y858" s="8"/>
      <c r="Z858" s="61"/>
      <c r="AA858" s="61"/>
      <c r="AB858" s="61"/>
      <c r="AC858" s="61"/>
      <c r="AD858" s="37"/>
      <c r="AE858" s="62"/>
      <c r="AF858" s="62"/>
      <c r="AG858" s="62"/>
      <c r="AH858" s="62"/>
      <c r="AI858" s="37"/>
      <c r="AJ858" s="61"/>
      <c r="AK858" s="61"/>
      <c r="AL858" s="61"/>
      <c r="AM858" s="61"/>
      <c r="AN858" s="37"/>
      <c r="AO858" s="62"/>
      <c r="AP858" s="62"/>
      <c r="AQ858" s="62"/>
      <c r="AR858" s="62"/>
    </row>
    <row r="859" spans="25:44" x14ac:dyDescent="0.15">
      <c r="Y859" s="8"/>
      <c r="Z859" s="61"/>
      <c r="AA859" s="61"/>
      <c r="AB859" s="61"/>
      <c r="AC859" s="61"/>
      <c r="AD859" s="37"/>
      <c r="AE859" s="62"/>
      <c r="AF859" s="62"/>
      <c r="AG859" s="62"/>
      <c r="AH859" s="62"/>
      <c r="AI859" s="37"/>
      <c r="AJ859" s="61"/>
      <c r="AK859" s="61"/>
      <c r="AL859" s="61"/>
      <c r="AM859" s="61"/>
      <c r="AN859" s="37"/>
      <c r="AO859" s="62"/>
      <c r="AP859" s="62"/>
      <c r="AQ859" s="62"/>
      <c r="AR859" s="62"/>
    </row>
    <row r="860" spans="25:44" x14ac:dyDescent="0.15">
      <c r="Y860" s="8"/>
      <c r="Z860" s="61"/>
      <c r="AA860" s="61"/>
      <c r="AB860" s="61"/>
      <c r="AC860" s="61"/>
      <c r="AD860" s="37"/>
      <c r="AE860" s="62"/>
      <c r="AF860" s="62"/>
      <c r="AG860" s="62"/>
      <c r="AH860" s="62"/>
      <c r="AI860" s="37"/>
      <c r="AJ860" s="61"/>
      <c r="AK860" s="61"/>
      <c r="AL860" s="61"/>
      <c r="AM860" s="61"/>
      <c r="AN860" s="37"/>
      <c r="AO860" s="62"/>
      <c r="AP860" s="62"/>
      <c r="AQ860" s="62"/>
      <c r="AR860" s="62"/>
    </row>
    <row r="861" spans="25:44" x14ac:dyDescent="0.15">
      <c r="Y861" s="8"/>
      <c r="Z861" s="61"/>
      <c r="AA861" s="61"/>
      <c r="AB861" s="61"/>
      <c r="AC861" s="61"/>
      <c r="AD861" s="37"/>
      <c r="AE861" s="62"/>
      <c r="AF861" s="62"/>
      <c r="AG861" s="62"/>
      <c r="AH861" s="62"/>
      <c r="AI861" s="37"/>
      <c r="AJ861" s="61"/>
      <c r="AK861" s="61"/>
      <c r="AL861" s="61"/>
      <c r="AM861" s="61"/>
      <c r="AN861" s="37"/>
      <c r="AO861" s="62"/>
      <c r="AP861" s="62"/>
      <c r="AQ861" s="62"/>
      <c r="AR861" s="62"/>
    </row>
    <row r="862" spans="25:44" x14ac:dyDescent="0.15">
      <c r="Y862" s="8"/>
      <c r="Z862" s="61"/>
      <c r="AA862" s="61"/>
      <c r="AB862" s="61"/>
      <c r="AC862" s="61"/>
      <c r="AD862" s="37"/>
      <c r="AE862" s="62"/>
      <c r="AF862" s="62"/>
      <c r="AG862" s="62"/>
      <c r="AH862" s="62"/>
      <c r="AI862" s="37"/>
      <c r="AJ862" s="61"/>
      <c r="AK862" s="61"/>
      <c r="AL862" s="61"/>
      <c r="AM862" s="61"/>
      <c r="AN862" s="37"/>
      <c r="AO862" s="62"/>
      <c r="AP862" s="62"/>
      <c r="AQ862" s="62"/>
      <c r="AR862" s="62"/>
    </row>
    <row r="863" spans="25:44" x14ac:dyDescent="0.15">
      <c r="Y863" s="8"/>
      <c r="Z863" s="61"/>
      <c r="AA863" s="61"/>
      <c r="AB863" s="61"/>
      <c r="AC863" s="61"/>
      <c r="AD863" s="37"/>
      <c r="AE863" s="62"/>
      <c r="AF863" s="62"/>
      <c r="AG863" s="62"/>
      <c r="AH863" s="62"/>
      <c r="AI863" s="37"/>
      <c r="AJ863" s="61"/>
      <c r="AK863" s="61"/>
      <c r="AL863" s="61"/>
      <c r="AM863" s="61"/>
      <c r="AN863" s="37"/>
      <c r="AO863" s="62"/>
      <c r="AP863" s="62"/>
      <c r="AQ863" s="62"/>
      <c r="AR863" s="62"/>
    </row>
    <row r="864" spans="25:44" x14ac:dyDescent="0.15">
      <c r="Y864" s="8"/>
      <c r="Z864" s="61"/>
      <c r="AA864" s="61"/>
      <c r="AB864" s="61"/>
      <c r="AC864" s="61"/>
      <c r="AD864" s="37"/>
      <c r="AE864" s="62"/>
      <c r="AF864" s="62"/>
      <c r="AG864" s="62"/>
      <c r="AH864" s="62"/>
      <c r="AI864" s="37"/>
      <c r="AJ864" s="61"/>
      <c r="AK864" s="61"/>
      <c r="AL864" s="61"/>
      <c r="AM864" s="61"/>
      <c r="AN864" s="37"/>
      <c r="AO864" s="62"/>
      <c r="AP864" s="62"/>
      <c r="AQ864" s="62"/>
      <c r="AR864" s="62"/>
    </row>
    <row r="865" spans="25:44" x14ac:dyDescent="0.15">
      <c r="Y865" s="8"/>
      <c r="Z865" s="61"/>
      <c r="AA865" s="61"/>
      <c r="AB865" s="61"/>
      <c r="AC865" s="61"/>
      <c r="AD865" s="37"/>
      <c r="AE865" s="62"/>
      <c r="AF865" s="62"/>
      <c r="AG865" s="62"/>
      <c r="AH865" s="62"/>
      <c r="AI865" s="37"/>
      <c r="AJ865" s="61"/>
      <c r="AK865" s="61"/>
      <c r="AL865" s="61"/>
      <c r="AM865" s="61"/>
      <c r="AN865" s="37"/>
      <c r="AO865" s="62"/>
      <c r="AP865" s="62"/>
      <c r="AQ865" s="62"/>
      <c r="AR865" s="62"/>
    </row>
    <row r="866" spans="25:44" x14ac:dyDescent="0.15">
      <c r="Y866" s="8"/>
      <c r="Z866" s="61"/>
      <c r="AA866" s="61"/>
      <c r="AB866" s="61"/>
      <c r="AC866" s="61"/>
      <c r="AD866" s="37"/>
      <c r="AE866" s="62"/>
      <c r="AF866" s="62"/>
      <c r="AG866" s="62"/>
      <c r="AH866" s="62"/>
      <c r="AI866" s="37"/>
      <c r="AJ866" s="61"/>
      <c r="AK866" s="61"/>
      <c r="AL866" s="61"/>
      <c r="AM866" s="61"/>
      <c r="AN866" s="37"/>
      <c r="AO866" s="62"/>
      <c r="AP866" s="62"/>
      <c r="AQ866" s="62"/>
      <c r="AR866" s="62"/>
    </row>
    <row r="867" spans="25:44" x14ac:dyDescent="0.15">
      <c r="Y867" s="8"/>
      <c r="Z867" s="61"/>
      <c r="AA867" s="61"/>
      <c r="AB867" s="61"/>
      <c r="AC867" s="61"/>
      <c r="AD867" s="37"/>
      <c r="AE867" s="62"/>
      <c r="AF867" s="62"/>
      <c r="AG867" s="62"/>
      <c r="AH867" s="62"/>
      <c r="AI867" s="37"/>
      <c r="AJ867" s="61"/>
      <c r="AK867" s="61"/>
      <c r="AL867" s="61"/>
      <c r="AM867" s="61"/>
      <c r="AN867" s="37"/>
      <c r="AO867" s="62"/>
      <c r="AP867" s="62"/>
      <c r="AQ867" s="62"/>
      <c r="AR867" s="62"/>
    </row>
    <row r="868" spans="25:44" x14ac:dyDescent="0.15">
      <c r="Y868" s="8"/>
      <c r="Z868" s="61"/>
      <c r="AA868" s="61"/>
      <c r="AB868" s="61"/>
      <c r="AC868" s="61"/>
      <c r="AD868" s="37"/>
      <c r="AE868" s="62"/>
      <c r="AF868" s="62"/>
      <c r="AG868" s="62"/>
      <c r="AH868" s="62"/>
      <c r="AI868" s="37"/>
      <c r="AJ868" s="61"/>
      <c r="AK868" s="61"/>
      <c r="AL868" s="61"/>
      <c r="AM868" s="61"/>
      <c r="AN868" s="37"/>
      <c r="AO868" s="62"/>
      <c r="AP868" s="62"/>
      <c r="AQ868" s="62"/>
      <c r="AR868" s="62"/>
    </row>
    <row r="869" spans="25:44" x14ac:dyDescent="0.15">
      <c r="Y869" s="8"/>
      <c r="Z869" s="61"/>
      <c r="AA869" s="61"/>
      <c r="AB869" s="61"/>
      <c r="AC869" s="61"/>
      <c r="AD869" s="37"/>
      <c r="AE869" s="62"/>
      <c r="AF869" s="62"/>
      <c r="AG869" s="62"/>
      <c r="AH869" s="62"/>
      <c r="AI869" s="37"/>
      <c r="AJ869" s="61"/>
      <c r="AK869" s="61"/>
      <c r="AL869" s="61"/>
      <c r="AM869" s="61"/>
      <c r="AN869" s="37"/>
      <c r="AO869" s="62"/>
      <c r="AP869" s="62"/>
      <c r="AQ869" s="62"/>
      <c r="AR869" s="62"/>
    </row>
    <row r="870" spans="25:44" x14ac:dyDescent="0.15">
      <c r="Y870" s="8"/>
      <c r="Z870" s="61"/>
      <c r="AA870" s="61"/>
      <c r="AB870" s="61"/>
      <c r="AC870" s="61"/>
      <c r="AD870" s="37"/>
      <c r="AE870" s="62"/>
      <c r="AF870" s="62"/>
      <c r="AG870" s="62"/>
      <c r="AH870" s="62"/>
      <c r="AI870" s="37"/>
      <c r="AJ870" s="61"/>
      <c r="AK870" s="61"/>
      <c r="AL870" s="61"/>
      <c r="AM870" s="61"/>
      <c r="AN870" s="37"/>
      <c r="AO870" s="62"/>
      <c r="AP870" s="62"/>
      <c r="AQ870" s="62"/>
      <c r="AR870" s="62"/>
    </row>
    <row r="871" spans="25:44" x14ac:dyDescent="0.15">
      <c r="Y871" s="8"/>
      <c r="Z871" s="61"/>
      <c r="AA871" s="61"/>
      <c r="AB871" s="61"/>
      <c r="AC871" s="61"/>
      <c r="AD871" s="37"/>
      <c r="AE871" s="62"/>
      <c r="AF871" s="62"/>
      <c r="AG871" s="62"/>
      <c r="AH871" s="62"/>
      <c r="AI871" s="37"/>
      <c r="AJ871" s="61"/>
      <c r="AK871" s="61"/>
      <c r="AL871" s="61"/>
      <c r="AM871" s="61"/>
      <c r="AN871" s="37"/>
      <c r="AO871" s="62"/>
      <c r="AP871" s="62"/>
      <c r="AQ871" s="62"/>
      <c r="AR871" s="62"/>
    </row>
    <row r="872" spans="25:44" x14ac:dyDescent="0.15">
      <c r="Y872" s="8"/>
      <c r="Z872" s="61"/>
      <c r="AA872" s="61"/>
      <c r="AB872" s="61"/>
      <c r="AC872" s="61"/>
      <c r="AD872" s="37"/>
      <c r="AE872" s="62"/>
      <c r="AF872" s="62"/>
      <c r="AG872" s="62"/>
      <c r="AH872" s="62"/>
      <c r="AI872" s="37"/>
      <c r="AJ872" s="61"/>
      <c r="AK872" s="61"/>
      <c r="AL872" s="61"/>
      <c r="AM872" s="61"/>
      <c r="AN872" s="37"/>
      <c r="AO872" s="62"/>
      <c r="AP872" s="62"/>
      <c r="AQ872" s="62"/>
      <c r="AR872" s="62"/>
    </row>
    <row r="873" spans="25:44" x14ac:dyDescent="0.15">
      <c r="Y873" s="8"/>
      <c r="Z873" s="61"/>
      <c r="AA873" s="61"/>
      <c r="AB873" s="61"/>
      <c r="AC873" s="61"/>
      <c r="AD873" s="37"/>
      <c r="AE873" s="62"/>
      <c r="AF873" s="62"/>
      <c r="AG873" s="62"/>
      <c r="AH873" s="62"/>
      <c r="AI873" s="37"/>
      <c r="AJ873" s="61"/>
      <c r="AK873" s="61"/>
      <c r="AL873" s="61"/>
      <c r="AM873" s="61"/>
      <c r="AN873" s="37"/>
      <c r="AO873" s="62"/>
      <c r="AP873" s="62"/>
      <c r="AQ873" s="62"/>
      <c r="AR873" s="62"/>
    </row>
    <row r="874" spans="25:44" x14ac:dyDescent="0.15">
      <c r="Y874" s="8"/>
      <c r="Z874" s="61"/>
      <c r="AA874" s="61"/>
      <c r="AB874" s="61"/>
      <c r="AC874" s="61"/>
      <c r="AD874" s="37"/>
      <c r="AE874" s="62"/>
      <c r="AF874" s="62"/>
      <c r="AG874" s="62"/>
      <c r="AH874" s="62"/>
      <c r="AI874" s="37"/>
      <c r="AJ874" s="61"/>
      <c r="AK874" s="61"/>
      <c r="AL874" s="61"/>
      <c r="AM874" s="61"/>
      <c r="AN874" s="37"/>
      <c r="AO874" s="62"/>
      <c r="AP874" s="62"/>
      <c r="AQ874" s="62"/>
      <c r="AR874" s="62"/>
    </row>
    <row r="875" spans="25:44" x14ac:dyDescent="0.15">
      <c r="Y875" s="8"/>
      <c r="Z875" s="61"/>
      <c r="AA875" s="61"/>
      <c r="AB875" s="61"/>
      <c r="AC875" s="61"/>
      <c r="AD875" s="37"/>
      <c r="AE875" s="62"/>
      <c r="AF875" s="62"/>
      <c r="AG875" s="62"/>
      <c r="AH875" s="62"/>
      <c r="AI875" s="37"/>
      <c r="AJ875" s="61"/>
      <c r="AK875" s="61"/>
      <c r="AL875" s="61"/>
      <c r="AM875" s="61"/>
      <c r="AN875" s="37"/>
      <c r="AO875" s="62"/>
      <c r="AP875" s="62"/>
      <c r="AQ875" s="62"/>
      <c r="AR875" s="62"/>
    </row>
    <row r="876" spans="25:44" x14ac:dyDescent="0.15">
      <c r="Y876" s="8"/>
      <c r="Z876" s="61"/>
      <c r="AA876" s="61"/>
      <c r="AB876" s="61"/>
      <c r="AC876" s="61"/>
      <c r="AD876" s="37"/>
      <c r="AE876" s="62"/>
      <c r="AF876" s="62"/>
      <c r="AG876" s="62"/>
      <c r="AH876" s="62"/>
      <c r="AI876" s="37"/>
      <c r="AJ876" s="61"/>
      <c r="AK876" s="61"/>
      <c r="AL876" s="61"/>
      <c r="AM876" s="61"/>
      <c r="AN876" s="37"/>
      <c r="AO876" s="62"/>
      <c r="AP876" s="62"/>
      <c r="AQ876" s="62"/>
      <c r="AR876" s="62"/>
    </row>
    <row r="877" spans="25:44" x14ac:dyDescent="0.15">
      <c r="Y877" s="8"/>
      <c r="Z877" s="61"/>
      <c r="AA877" s="61"/>
      <c r="AB877" s="61"/>
      <c r="AC877" s="61"/>
      <c r="AD877" s="37"/>
      <c r="AE877" s="62"/>
      <c r="AF877" s="62"/>
      <c r="AG877" s="62"/>
      <c r="AH877" s="62"/>
      <c r="AI877" s="37"/>
      <c r="AJ877" s="61"/>
      <c r="AK877" s="61"/>
      <c r="AL877" s="61"/>
      <c r="AM877" s="61"/>
      <c r="AN877" s="37"/>
      <c r="AO877" s="62"/>
      <c r="AP877" s="62"/>
      <c r="AQ877" s="62"/>
      <c r="AR877" s="62"/>
    </row>
    <row r="878" spans="25:44" x14ac:dyDescent="0.15">
      <c r="Y878" s="8"/>
      <c r="Z878" s="61"/>
      <c r="AA878" s="61"/>
      <c r="AB878" s="61"/>
      <c r="AC878" s="61"/>
      <c r="AD878" s="37"/>
      <c r="AE878" s="62"/>
      <c r="AF878" s="62"/>
      <c r="AG878" s="62"/>
      <c r="AH878" s="62"/>
      <c r="AI878" s="37"/>
      <c r="AJ878" s="61"/>
      <c r="AK878" s="61"/>
      <c r="AL878" s="61"/>
      <c r="AM878" s="61"/>
      <c r="AN878" s="37"/>
      <c r="AO878" s="62"/>
      <c r="AP878" s="62"/>
      <c r="AQ878" s="62"/>
      <c r="AR878" s="62"/>
    </row>
    <row r="879" spans="25:44" x14ac:dyDescent="0.15">
      <c r="Y879" s="8"/>
      <c r="Z879" s="61"/>
      <c r="AA879" s="61"/>
      <c r="AB879" s="61"/>
      <c r="AC879" s="61"/>
      <c r="AD879" s="37"/>
      <c r="AE879" s="62"/>
      <c r="AF879" s="62"/>
      <c r="AG879" s="62"/>
      <c r="AH879" s="62"/>
      <c r="AI879" s="37"/>
      <c r="AJ879" s="61"/>
      <c r="AK879" s="61"/>
      <c r="AL879" s="61"/>
      <c r="AM879" s="61"/>
      <c r="AN879" s="37"/>
      <c r="AO879" s="62"/>
      <c r="AP879" s="62"/>
      <c r="AQ879" s="62"/>
      <c r="AR879" s="62"/>
    </row>
    <row r="880" spans="25:44" x14ac:dyDescent="0.15">
      <c r="Y880" s="8"/>
      <c r="Z880" s="61"/>
      <c r="AA880" s="61"/>
      <c r="AB880" s="61"/>
      <c r="AC880" s="61"/>
      <c r="AD880" s="37"/>
      <c r="AE880" s="62"/>
      <c r="AF880" s="62"/>
      <c r="AG880" s="62"/>
      <c r="AH880" s="62"/>
      <c r="AI880" s="37"/>
      <c r="AJ880" s="61"/>
      <c r="AK880" s="61"/>
      <c r="AL880" s="61"/>
      <c r="AM880" s="61"/>
      <c r="AN880" s="37"/>
      <c r="AO880" s="62"/>
      <c r="AP880" s="62"/>
      <c r="AQ880" s="62"/>
      <c r="AR880" s="62"/>
    </row>
    <row r="881" spans="25:44" x14ac:dyDescent="0.15">
      <c r="Y881" s="8"/>
      <c r="Z881" s="61"/>
      <c r="AA881" s="61"/>
      <c r="AB881" s="61"/>
      <c r="AC881" s="61"/>
      <c r="AD881" s="37"/>
      <c r="AE881" s="62"/>
      <c r="AF881" s="62"/>
      <c r="AG881" s="62"/>
      <c r="AH881" s="62"/>
      <c r="AI881" s="37"/>
      <c r="AJ881" s="61"/>
      <c r="AK881" s="61"/>
      <c r="AL881" s="61"/>
      <c r="AM881" s="61"/>
      <c r="AN881" s="37"/>
      <c r="AO881" s="62"/>
      <c r="AP881" s="62"/>
      <c r="AQ881" s="62"/>
      <c r="AR881" s="62"/>
    </row>
    <row r="882" spans="25:44" x14ac:dyDescent="0.15">
      <c r="Y882" s="8"/>
      <c r="Z882" s="61"/>
      <c r="AA882" s="61"/>
      <c r="AB882" s="61"/>
      <c r="AC882" s="61"/>
      <c r="AD882" s="37"/>
      <c r="AE882" s="62"/>
      <c r="AF882" s="62"/>
      <c r="AG882" s="62"/>
      <c r="AH882" s="62"/>
      <c r="AI882" s="37"/>
      <c r="AJ882" s="61"/>
      <c r="AK882" s="61"/>
      <c r="AL882" s="61"/>
      <c r="AM882" s="61"/>
      <c r="AN882" s="37"/>
      <c r="AO882" s="62"/>
      <c r="AP882" s="62"/>
      <c r="AQ882" s="62"/>
      <c r="AR882" s="62"/>
    </row>
    <row r="883" spans="25:44" x14ac:dyDescent="0.15">
      <c r="Y883" s="8"/>
      <c r="Z883" s="61"/>
      <c r="AA883" s="61"/>
      <c r="AB883" s="61"/>
      <c r="AC883" s="61"/>
      <c r="AD883" s="37"/>
      <c r="AE883" s="62"/>
      <c r="AF883" s="62"/>
      <c r="AG883" s="62"/>
      <c r="AH883" s="62"/>
      <c r="AI883" s="37"/>
      <c r="AJ883" s="61"/>
      <c r="AK883" s="61"/>
      <c r="AL883" s="61"/>
      <c r="AM883" s="61"/>
      <c r="AN883" s="37"/>
      <c r="AO883" s="62"/>
      <c r="AP883" s="62"/>
      <c r="AQ883" s="62"/>
      <c r="AR883" s="62"/>
    </row>
    <row r="884" spans="25:44" x14ac:dyDescent="0.15">
      <c r="Y884" s="8"/>
      <c r="Z884" s="61"/>
      <c r="AA884" s="61"/>
      <c r="AB884" s="61"/>
      <c r="AC884" s="61"/>
      <c r="AD884" s="37"/>
      <c r="AE884" s="62"/>
      <c r="AF884" s="62"/>
      <c r="AG884" s="62"/>
      <c r="AH884" s="62"/>
      <c r="AI884" s="37"/>
      <c r="AJ884" s="61"/>
      <c r="AK884" s="61"/>
      <c r="AL884" s="61"/>
      <c r="AM884" s="61"/>
      <c r="AN884" s="37"/>
      <c r="AO884" s="62"/>
      <c r="AP884" s="62"/>
      <c r="AQ884" s="62"/>
      <c r="AR884" s="62"/>
    </row>
    <row r="885" spans="25:44" x14ac:dyDescent="0.15">
      <c r="Y885" s="8"/>
      <c r="Z885" s="61"/>
      <c r="AA885" s="61"/>
      <c r="AB885" s="61"/>
      <c r="AC885" s="61"/>
      <c r="AD885" s="37"/>
      <c r="AE885" s="62"/>
      <c r="AF885" s="62"/>
      <c r="AG885" s="62"/>
      <c r="AH885" s="62"/>
      <c r="AI885" s="37"/>
      <c r="AJ885" s="61"/>
      <c r="AK885" s="61"/>
      <c r="AL885" s="61"/>
      <c r="AM885" s="61"/>
      <c r="AN885" s="37"/>
      <c r="AO885" s="62"/>
      <c r="AP885" s="62"/>
      <c r="AQ885" s="62"/>
      <c r="AR885" s="62"/>
    </row>
    <row r="886" spans="25:44" x14ac:dyDescent="0.15">
      <c r="Y886" s="8"/>
      <c r="Z886" s="61"/>
      <c r="AA886" s="61"/>
      <c r="AB886" s="61"/>
      <c r="AC886" s="61"/>
      <c r="AD886" s="37"/>
      <c r="AE886" s="62"/>
      <c r="AF886" s="62"/>
      <c r="AG886" s="62"/>
      <c r="AH886" s="62"/>
      <c r="AI886" s="37"/>
      <c r="AJ886" s="61"/>
      <c r="AK886" s="61"/>
      <c r="AL886" s="61"/>
      <c r="AM886" s="61"/>
      <c r="AN886" s="37"/>
      <c r="AO886" s="62"/>
      <c r="AP886" s="62"/>
      <c r="AQ886" s="62"/>
      <c r="AR886" s="62"/>
    </row>
    <row r="887" spans="25:44" x14ac:dyDescent="0.15">
      <c r="Y887" s="8"/>
      <c r="Z887" s="61"/>
      <c r="AA887" s="61"/>
      <c r="AB887" s="61"/>
      <c r="AC887" s="61"/>
      <c r="AD887" s="37"/>
      <c r="AE887" s="62"/>
      <c r="AF887" s="62"/>
      <c r="AG887" s="62"/>
      <c r="AH887" s="62"/>
      <c r="AI887" s="37"/>
      <c r="AJ887" s="61"/>
      <c r="AK887" s="61"/>
      <c r="AL887" s="61"/>
      <c r="AM887" s="61"/>
      <c r="AN887" s="37"/>
      <c r="AO887" s="62"/>
      <c r="AP887" s="62"/>
      <c r="AQ887" s="62"/>
      <c r="AR887" s="62"/>
    </row>
    <row r="888" spans="25:44" x14ac:dyDescent="0.15">
      <c r="Y888" s="8"/>
      <c r="Z888" s="61"/>
      <c r="AA888" s="61"/>
      <c r="AB888" s="61"/>
      <c r="AC888" s="61"/>
      <c r="AD888" s="37"/>
      <c r="AE888" s="62"/>
      <c r="AF888" s="62"/>
      <c r="AG888" s="62"/>
      <c r="AH888" s="62"/>
      <c r="AI888" s="37"/>
      <c r="AJ888" s="61"/>
      <c r="AK888" s="61"/>
      <c r="AL888" s="61"/>
      <c r="AM888" s="61"/>
      <c r="AN888" s="37"/>
      <c r="AO888" s="62"/>
      <c r="AP888" s="62"/>
      <c r="AQ888" s="62"/>
      <c r="AR888" s="62"/>
    </row>
    <row r="889" spans="25:44" x14ac:dyDescent="0.15">
      <c r="Y889" s="8"/>
      <c r="Z889" s="61"/>
      <c r="AA889" s="61"/>
      <c r="AB889" s="61"/>
      <c r="AC889" s="61"/>
      <c r="AD889" s="37"/>
      <c r="AE889" s="62"/>
      <c r="AF889" s="62"/>
      <c r="AG889" s="62"/>
      <c r="AH889" s="62"/>
      <c r="AI889" s="37"/>
      <c r="AJ889" s="61"/>
      <c r="AK889" s="61"/>
      <c r="AL889" s="61"/>
      <c r="AM889" s="61"/>
      <c r="AN889" s="37"/>
      <c r="AO889" s="62"/>
      <c r="AP889" s="62"/>
      <c r="AQ889" s="62"/>
      <c r="AR889" s="62"/>
    </row>
    <row r="890" spans="25:44" x14ac:dyDescent="0.15">
      <c r="Y890" s="8"/>
      <c r="Z890" s="61"/>
      <c r="AA890" s="61"/>
      <c r="AB890" s="61"/>
      <c r="AC890" s="61"/>
      <c r="AD890" s="37"/>
      <c r="AE890" s="62"/>
      <c r="AF890" s="62"/>
      <c r="AG890" s="62"/>
      <c r="AH890" s="62"/>
      <c r="AI890" s="37"/>
      <c r="AJ890" s="61"/>
      <c r="AK890" s="61"/>
      <c r="AL890" s="61"/>
      <c r="AM890" s="61"/>
      <c r="AN890" s="37"/>
      <c r="AO890" s="62"/>
      <c r="AP890" s="62"/>
      <c r="AQ890" s="62"/>
      <c r="AR890" s="62"/>
    </row>
    <row r="891" spans="25:44" x14ac:dyDescent="0.15">
      <c r="Y891" s="8"/>
      <c r="Z891" s="61"/>
      <c r="AA891" s="61"/>
      <c r="AB891" s="61"/>
      <c r="AC891" s="61"/>
      <c r="AD891" s="37"/>
      <c r="AE891" s="62"/>
      <c r="AF891" s="62"/>
      <c r="AG891" s="62"/>
      <c r="AH891" s="62"/>
      <c r="AI891" s="37"/>
      <c r="AJ891" s="61"/>
      <c r="AK891" s="61"/>
      <c r="AL891" s="61"/>
      <c r="AM891" s="61"/>
      <c r="AN891" s="37"/>
      <c r="AO891" s="62"/>
      <c r="AP891" s="62"/>
      <c r="AQ891" s="62"/>
      <c r="AR891" s="62"/>
    </row>
    <row r="892" spans="25:44" x14ac:dyDescent="0.15">
      <c r="Y892" s="8"/>
      <c r="Z892" s="61"/>
      <c r="AA892" s="61"/>
      <c r="AB892" s="61"/>
      <c r="AC892" s="61"/>
      <c r="AD892" s="37"/>
      <c r="AE892" s="62"/>
      <c r="AF892" s="62"/>
      <c r="AG892" s="62"/>
      <c r="AH892" s="62"/>
      <c r="AI892" s="37"/>
      <c r="AJ892" s="61"/>
      <c r="AK892" s="61"/>
      <c r="AL892" s="61"/>
      <c r="AM892" s="61"/>
      <c r="AN892" s="37"/>
      <c r="AO892" s="62"/>
      <c r="AP892" s="62"/>
      <c r="AQ892" s="62"/>
      <c r="AR892" s="62"/>
    </row>
    <row r="893" spans="25:44" x14ac:dyDescent="0.15">
      <c r="Y893" s="8"/>
      <c r="Z893" s="61"/>
      <c r="AA893" s="61"/>
      <c r="AB893" s="61"/>
      <c r="AC893" s="61"/>
      <c r="AD893" s="37"/>
      <c r="AE893" s="62"/>
      <c r="AF893" s="62"/>
      <c r="AG893" s="62"/>
      <c r="AH893" s="62"/>
      <c r="AI893" s="37"/>
      <c r="AJ893" s="61"/>
      <c r="AK893" s="61"/>
      <c r="AL893" s="61"/>
      <c r="AM893" s="61"/>
      <c r="AN893" s="37"/>
      <c r="AO893" s="62"/>
      <c r="AP893" s="62"/>
      <c r="AQ893" s="62"/>
      <c r="AR893" s="62"/>
    </row>
    <row r="894" spans="25:44" x14ac:dyDescent="0.15">
      <c r="Y894" s="8"/>
      <c r="Z894" s="61"/>
      <c r="AA894" s="61"/>
      <c r="AB894" s="61"/>
      <c r="AC894" s="61"/>
      <c r="AD894" s="37"/>
      <c r="AE894" s="62"/>
      <c r="AF894" s="62"/>
      <c r="AG894" s="62"/>
      <c r="AH894" s="62"/>
      <c r="AI894" s="37"/>
      <c r="AJ894" s="61"/>
      <c r="AK894" s="61"/>
      <c r="AL894" s="61"/>
      <c r="AM894" s="61"/>
      <c r="AN894" s="37"/>
      <c r="AO894" s="62"/>
      <c r="AP894" s="62"/>
      <c r="AQ894" s="62"/>
      <c r="AR894" s="62"/>
    </row>
    <row r="895" spans="25:44" x14ac:dyDescent="0.15">
      <c r="Y895" s="8"/>
      <c r="Z895" s="61"/>
      <c r="AA895" s="61"/>
      <c r="AB895" s="61"/>
      <c r="AC895" s="61"/>
      <c r="AD895" s="37"/>
      <c r="AE895" s="62"/>
      <c r="AF895" s="62"/>
      <c r="AG895" s="62"/>
      <c r="AH895" s="62"/>
      <c r="AI895" s="37"/>
      <c r="AJ895" s="61"/>
      <c r="AK895" s="61"/>
      <c r="AL895" s="61"/>
      <c r="AM895" s="61"/>
      <c r="AN895" s="37"/>
      <c r="AO895" s="62"/>
      <c r="AP895" s="62"/>
      <c r="AQ895" s="62"/>
      <c r="AR895" s="62"/>
    </row>
    <row r="896" spans="25:44" x14ac:dyDescent="0.15">
      <c r="Y896" s="8"/>
      <c r="Z896" s="61"/>
      <c r="AA896" s="61"/>
      <c r="AB896" s="61"/>
      <c r="AC896" s="61"/>
      <c r="AD896" s="37"/>
      <c r="AE896" s="62"/>
      <c r="AF896" s="62"/>
      <c r="AG896" s="62"/>
      <c r="AH896" s="62"/>
      <c r="AI896" s="37"/>
      <c r="AJ896" s="61"/>
      <c r="AK896" s="61"/>
      <c r="AL896" s="61"/>
      <c r="AM896" s="61"/>
      <c r="AN896" s="37"/>
      <c r="AO896" s="62"/>
      <c r="AP896" s="62"/>
      <c r="AQ896" s="62"/>
      <c r="AR896" s="62"/>
    </row>
    <row r="897" spans="25:44" x14ac:dyDescent="0.15">
      <c r="Y897" s="8"/>
      <c r="Z897" s="61"/>
      <c r="AA897" s="61"/>
      <c r="AB897" s="61"/>
      <c r="AC897" s="61"/>
      <c r="AD897" s="37"/>
      <c r="AE897" s="62"/>
      <c r="AF897" s="62"/>
      <c r="AG897" s="62"/>
      <c r="AH897" s="62"/>
      <c r="AI897" s="37"/>
      <c r="AJ897" s="61"/>
      <c r="AK897" s="61"/>
      <c r="AL897" s="61"/>
      <c r="AM897" s="61"/>
      <c r="AN897" s="37"/>
      <c r="AO897" s="62"/>
      <c r="AP897" s="62"/>
      <c r="AQ897" s="62"/>
      <c r="AR897" s="62"/>
    </row>
    <row r="898" spans="25:44" x14ac:dyDescent="0.15">
      <c r="Y898" s="8"/>
      <c r="Z898" s="61"/>
      <c r="AA898" s="61"/>
      <c r="AB898" s="61"/>
      <c r="AC898" s="61"/>
      <c r="AD898" s="37"/>
      <c r="AE898" s="62"/>
      <c r="AF898" s="62"/>
      <c r="AG898" s="62"/>
      <c r="AH898" s="62"/>
      <c r="AI898" s="37"/>
      <c r="AJ898" s="61"/>
      <c r="AK898" s="61"/>
      <c r="AL898" s="61"/>
      <c r="AM898" s="61"/>
      <c r="AN898" s="37"/>
      <c r="AO898" s="62"/>
      <c r="AP898" s="62"/>
      <c r="AQ898" s="62"/>
      <c r="AR898" s="62"/>
    </row>
    <row r="899" spans="25:44" x14ac:dyDescent="0.15">
      <c r="Y899" s="8"/>
      <c r="Z899" s="61"/>
      <c r="AA899" s="61"/>
      <c r="AB899" s="61"/>
      <c r="AC899" s="61"/>
      <c r="AD899" s="37"/>
      <c r="AE899" s="62"/>
      <c r="AF899" s="62"/>
      <c r="AG899" s="62"/>
      <c r="AH899" s="62"/>
      <c r="AI899" s="37"/>
      <c r="AJ899" s="61"/>
      <c r="AK899" s="61"/>
      <c r="AL899" s="61"/>
      <c r="AM899" s="61"/>
      <c r="AN899" s="37"/>
      <c r="AO899" s="62"/>
      <c r="AP899" s="62"/>
      <c r="AQ899" s="62"/>
      <c r="AR899" s="62"/>
    </row>
    <row r="900" spans="25:44" x14ac:dyDescent="0.15">
      <c r="Y900" s="8"/>
      <c r="Z900" s="61"/>
      <c r="AA900" s="61"/>
      <c r="AB900" s="61"/>
      <c r="AC900" s="61"/>
      <c r="AD900" s="37"/>
      <c r="AE900" s="62"/>
      <c r="AF900" s="62"/>
      <c r="AG900" s="62"/>
      <c r="AH900" s="62"/>
      <c r="AI900" s="37"/>
      <c r="AJ900" s="61"/>
      <c r="AK900" s="61"/>
      <c r="AL900" s="61"/>
      <c r="AM900" s="61"/>
      <c r="AN900" s="37"/>
      <c r="AO900" s="62"/>
      <c r="AP900" s="62"/>
      <c r="AQ900" s="62"/>
      <c r="AR900" s="62"/>
    </row>
    <row r="901" spans="25:44" x14ac:dyDescent="0.15">
      <c r="Y901" s="8"/>
      <c r="Z901" s="61"/>
      <c r="AA901" s="61"/>
      <c r="AB901" s="61"/>
      <c r="AC901" s="61"/>
      <c r="AD901" s="37"/>
      <c r="AE901" s="62"/>
      <c r="AF901" s="62"/>
      <c r="AG901" s="62"/>
      <c r="AH901" s="62"/>
      <c r="AI901" s="37"/>
      <c r="AJ901" s="61"/>
      <c r="AK901" s="61"/>
      <c r="AL901" s="61"/>
      <c r="AM901" s="61"/>
      <c r="AN901" s="37"/>
      <c r="AO901" s="62"/>
      <c r="AP901" s="62"/>
      <c r="AQ901" s="62"/>
      <c r="AR901" s="62"/>
    </row>
    <row r="902" spans="25:44" x14ac:dyDescent="0.15">
      <c r="Y902" s="8"/>
      <c r="Z902" s="61"/>
      <c r="AA902" s="61"/>
      <c r="AB902" s="61"/>
      <c r="AC902" s="61"/>
      <c r="AD902" s="37"/>
      <c r="AE902" s="62"/>
      <c r="AF902" s="62"/>
      <c r="AG902" s="62"/>
      <c r="AH902" s="62"/>
      <c r="AI902" s="37"/>
      <c r="AJ902" s="61"/>
      <c r="AK902" s="61"/>
      <c r="AL902" s="61"/>
      <c r="AM902" s="61"/>
      <c r="AN902" s="37"/>
      <c r="AO902" s="62"/>
      <c r="AP902" s="62"/>
      <c r="AQ902" s="62"/>
      <c r="AR902" s="62"/>
    </row>
    <row r="903" spans="25:44" x14ac:dyDescent="0.15">
      <c r="Y903" s="8"/>
      <c r="Z903" s="61"/>
      <c r="AA903" s="61"/>
      <c r="AB903" s="61"/>
      <c r="AC903" s="61"/>
      <c r="AD903" s="37"/>
      <c r="AE903" s="62"/>
      <c r="AF903" s="62"/>
      <c r="AG903" s="62"/>
      <c r="AH903" s="62"/>
      <c r="AI903" s="37"/>
      <c r="AJ903" s="61"/>
      <c r="AK903" s="61"/>
      <c r="AL903" s="61"/>
      <c r="AM903" s="61"/>
      <c r="AN903" s="37"/>
      <c r="AO903" s="62"/>
      <c r="AP903" s="62"/>
      <c r="AQ903" s="62"/>
      <c r="AR903" s="62"/>
    </row>
    <row r="904" spans="25:44" x14ac:dyDescent="0.15">
      <c r="Y904" s="8"/>
      <c r="Z904" s="61"/>
      <c r="AA904" s="61"/>
      <c r="AB904" s="61"/>
      <c r="AC904" s="61"/>
      <c r="AD904" s="37"/>
      <c r="AE904" s="62"/>
      <c r="AF904" s="62"/>
      <c r="AG904" s="62"/>
      <c r="AH904" s="62"/>
      <c r="AI904" s="37"/>
      <c r="AJ904" s="61"/>
      <c r="AK904" s="61"/>
      <c r="AL904" s="61"/>
      <c r="AM904" s="61"/>
      <c r="AN904" s="37"/>
      <c r="AO904" s="62"/>
      <c r="AP904" s="62"/>
      <c r="AQ904" s="62"/>
      <c r="AR904" s="62"/>
    </row>
    <row r="905" spans="25:44" x14ac:dyDescent="0.15">
      <c r="Y905" s="8"/>
      <c r="Z905" s="61"/>
      <c r="AA905" s="61"/>
      <c r="AB905" s="61"/>
      <c r="AC905" s="61"/>
      <c r="AD905" s="37"/>
      <c r="AE905" s="62"/>
      <c r="AF905" s="62"/>
      <c r="AG905" s="62"/>
      <c r="AH905" s="62"/>
      <c r="AI905" s="37"/>
      <c r="AJ905" s="61"/>
      <c r="AK905" s="61"/>
      <c r="AL905" s="61"/>
      <c r="AM905" s="61"/>
      <c r="AN905" s="37"/>
      <c r="AO905" s="62"/>
      <c r="AP905" s="62"/>
      <c r="AQ905" s="62"/>
      <c r="AR905" s="62"/>
    </row>
    <row r="906" spans="25:44" x14ac:dyDescent="0.15">
      <c r="Y906" s="8"/>
      <c r="Z906" s="61"/>
      <c r="AA906" s="61"/>
      <c r="AB906" s="61"/>
      <c r="AC906" s="61"/>
      <c r="AD906" s="37"/>
      <c r="AE906" s="62"/>
      <c r="AF906" s="62"/>
      <c r="AG906" s="62"/>
      <c r="AH906" s="62"/>
      <c r="AI906" s="37"/>
      <c r="AJ906" s="61"/>
      <c r="AK906" s="61"/>
      <c r="AL906" s="61"/>
      <c r="AM906" s="61"/>
      <c r="AN906" s="37"/>
      <c r="AO906" s="62"/>
      <c r="AP906" s="62"/>
      <c r="AQ906" s="62"/>
      <c r="AR906" s="62"/>
    </row>
    <row r="907" spans="25:44" x14ac:dyDescent="0.15">
      <c r="Y907" s="8"/>
      <c r="Z907" s="61"/>
      <c r="AA907" s="61"/>
      <c r="AB907" s="61"/>
      <c r="AC907" s="61"/>
      <c r="AD907" s="37"/>
      <c r="AE907" s="62"/>
      <c r="AF907" s="62"/>
      <c r="AG907" s="62"/>
      <c r="AH907" s="62"/>
      <c r="AI907" s="37"/>
      <c r="AJ907" s="61"/>
      <c r="AK907" s="61"/>
      <c r="AL907" s="61"/>
      <c r="AM907" s="61"/>
      <c r="AN907" s="37"/>
      <c r="AO907" s="62"/>
      <c r="AP907" s="62"/>
      <c r="AQ907" s="62"/>
      <c r="AR907" s="62"/>
    </row>
    <row r="908" spans="25:44" x14ac:dyDescent="0.15">
      <c r="Y908" s="8"/>
      <c r="Z908" s="61"/>
      <c r="AA908" s="61"/>
      <c r="AB908" s="61"/>
      <c r="AC908" s="61"/>
      <c r="AD908" s="37"/>
      <c r="AE908" s="62"/>
      <c r="AF908" s="62"/>
      <c r="AG908" s="62"/>
      <c r="AH908" s="62"/>
      <c r="AI908" s="37"/>
      <c r="AJ908" s="61"/>
      <c r="AK908" s="61"/>
      <c r="AL908" s="61"/>
      <c r="AM908" s="61"/>
      <c r="AN908" s="37"/>
      <c r="AO908" s="62"/>
      <c r="AP908" s="62"/>
      <c r="AQ908" s="62"/>
      <c r="AR908" s="62"/>
    </row>
    <row r="909" spans="25:44" x14ac:dyDescent="0.15">
      <c r="Y909" s="8"/>
      <c r="Z909" s="61"/>
      <c r="AA909" s="61"/>
      <c r="AB909" s="61"/>
      <c r="AC909" s="61"/>
      <c r="AD909" s="37"/>
      <c r="AE909" s="62"/>
      <c r="AF909" s="62"/>
      <c r="AG909" s="62"/>
      <c r="AH909" s="62"/>
      <c r="AI909" s="37"/>
      <c r="AJ909" s="61"/>
      <c r="AK909" s="61"/>
      <c r="AL909" s="61"/>
      <c r="AM909" s="61"/>
      <c r="AN909" s="37"/>
      <c r="AO909" s="62"/>
      <c r="AP909" s="62"/>
      <c r="AQ909" s="62"/>
      <c r="AR909" s="62"/>
    </row>
    <row r="910" spans="25:44" x14ac:dyDescent="0.15">
      <c r="Y910" s="8"/>
      <c r="Z910" s="61"/>
      <c r="AA910" s="61"/>
      <c r="AB910" s="61"/>
      <c r="AC910" s="61"/>
      <c r="AD910" s="37"/>
      <c r="AE910" s="62"/>
      <c r="AF910" s="62"/>
      <c r="AG910" s="62"/>
      <c r="AH910" s="62"/>
      <c r="AI910" s="37"/>
      <c r="AJ910" s="61"/>
      <c r="AK910" s="61"/>
      <c r="AL910" s="61"/>
      <c r="AM910" s="61"/>
      <c r="AN910" s="37"/>
      <c r="AO910" s="62"/>
      <c r="AP910" s="62"/>
      <c r="AQ910" s="62"/>
      <c r="AR910" s="62"/>
    </row>
    <row r="911" spans="25:44" x14ac:dyDescent="0.15">
      <c r="Y911" s="8"/>
      <c r="Z911" s="61"/>
      <c r="AA911" s="61"/>
      <c r="AB911" s="61"/>
      <c r="AC911" s="61"/>
      <c r="AD911" s="37"/>
      <c r="AE911" s="62"/>
      <c r="AF911" s="62"/>
      <c r="AG911" s="62"/>
      <c r="AH911" s="62"/>
      <c r="AI911" s="37"/>
      <c r="AJ911" s="61"/>
      <c r="AK911" s="61"/>
      <c r="AL911" s="61"/>
      <c r="AM911" s="61"/>
      <c r="AN911" s="37"/>
      <c r="AO911" s="62"/>
      <c r="AP911" s="62"/>
      <c r="AQ911" s="62"/>
      <c r="AR911" s="62"/>
    </row>
    <row r="912" spans="25:44" x14ac:dyDescent="0.15">
      <c r="Y912" s="8"/>
      <c r="Z912" s="61"/>
      <c r="AA912" s="61"/>
      <c r="AB912" s="61"/>
      <c r="AC912" s="61"/>
      <c r="AD912" s="37"/>
      <c r="AE912" s="62"/>
      <c r="AF912" s="62"/>
      <c r="AG912" s="62"/>
      <c r="AH912" s="62"/>
      <c r="AI912" s="37"/>
      <c r="AJ912" s="61"/>
      <c r="AK912" s="61"/>
      <c r="AL912" s="61"/>
      <c r="AM912" s="61"/>
      <c r="AN912" s="37"/>
      <c r="AO912" s="62"/>
      <c r="AP912" s="62"/>
      <c r="AQ912" s="62"/>
      <c r="AR912" s="62"/>
    </row>
    <row r="913" spans="25:44" x14ac:dyDescent="0.15">
      <c r="Y913" s="8"/>
      <c r="Z913" s="61"/>
      <c r="AA913" s="61"/>
      <c r="AB913" s="61"/>
      <c r="AC913" s="61"/>
      <c r="AD913" s="37"/>
      <c r="AE913" s="62"/>
      <c r="AF913" s="62"/>
      <c r="AG913" s="62"/>
      <c r="AH913" s="62"/>
      <c r="AI913" s="37"/>
      <c r="AJ913" s="61"/>
      <c r="AK913" s="61"/>
      <c r="AL913" s="61"/>
      <c r="AM913" s="61"/>
      <c r="AN913" s="37"/>
      <c r="AO913" s="62"/>
      <c r="AP913" s="62"/>
      <c r="AQ913" s="62"/>
      <c r="AR913" s="62"/>
    </row>
    <row r="914" spans="25:44" x14ac:dyDescent="0.15">
      <c r="Y914" s="8"/>
      <c r="Z914" s="61"/>
      <c r="AA914" s="61"/>
      <c r="AB914" s="61"/>
      <c r="AC914" s="61"/>
      <c r="AD914" s="37"/>
      <c r="AE914" s="62"/>
      <c r="AF914" s="62"/>
      <c r="AG914" s="62"/>
      <c r="AH914" s="62"/>
      <c r="AI914" s="37"/>
      <c r="AJ914" s="61"/>
      <c r="AK914" s="61"/>
      <c r="AL914" s="61"/>
      <c r="AM914" s="61"/>
      <c r="AN914" s="37"/>
      <c r="AO914" s="62"/>
      <c r="AP914" s="62"/>
      <c r="AQ914" s="62"/>
      <c r="AR914" s="62"/>
    </row>
    <row r="915" spans="25:44" x14ac:dyDescent="0.15">
      <c r="Y915" s="8"/>
      <c r="Z915" s="61"/>
      <c r="AA915" s="61"/>
      <c r="AB915" s="61"/>
      <c r="AC915" s="61"/>
      <c r="AD915" s="37"/>
      <c r="AE915" s="62"/>
      <c r="AF915" s="62"/>
      <c r="AG915" s="62"/>
      <c r="AH915" s="62"/>
      <c r="AI915" s="37"/>
      <c r="AJ915" s="61"/>
      <c r="AK915" s="61"/>
      <c r="AL915" s="61"/>
      <c r="AM915" s="61"/>
      <c r="AN915" s="37"/>
      <c r="AO915" s="62"/>
      <c r="AP915" s="62"/>
      <c r="AQ915" s="62"/>
      <c r="AR915" s="62"/>
    </row>
    <row r="916" spans="25:44" x14ac:dyDescent="0.15">
      <c r="Y916" s="8"/>
      <c r="Z916" s="61"/>
      <c r="AA916" s="61"/>
      <c r="AB916" s="61"/>
      <c r="AC916" s="61"/>
      <c r="AD916" s="37"/>
      <c r="AE916" s="62"/>
      <c r="AF916" s="62"/>
      <c r="AG916" s="62"/>
      <c r="AH916" s="62"/>
      <c r="AI916" s="37"/>
      <c r="AJ916" s="61"/>
      <c r="AK916" s="61"/>
      <c r="AL916" s="61"/>
      <c r="AM916" s="61"/>
      <c r="AN916" s="37"/>
      <c r="AO916" s="62"/>
      <c r="AP916" s="62"/>
      <c r="AQ916" s="62"/>
      <c r="AR916" s="62"/>
    </row>
    <row r="917" spans="25:44" x14ac:dyDescent="0.15">
      <c r="Y917" s="8"/>
      <c r="Z917" s="61"/>
      <c r="AA917" s="61"/>
      <c r="AB917" s="61"/>
      <c r="AC917" s="61"/>
      <c r="AD917" s="37"/>
      <c r="AE917" s="62"/>
      <c r="AF917" s="62"/>
      <c r="AG917" s="62"/>
      <c r="AH917" s="62"/>
      <c r="AI917" s="37"/>
      <c r="AJ917" s="61"/>
      <c r="AK917" s="61"/>
      <c r="AL917" s="61"/>
      <c r="AM917" s="61"/>
      <c r="AN917" s="37"/>
      <c r="AO917" s="62"/>
      <c r="AP917" s="62"/>
      <c r="AQ917" s="62"/>
      <c r="AR917" s="62"/>
    </row>
    <row r="918" spans="25:44" x14ac:dyDescent="0.15">
      <c r="Y918" s="8"/>
      <c r="Z918" s="61"/>
      <c r="AA918" s="61"/>
      <c r="AB918" s="61"/>
      <c r="AC918" s="61"/>
      <c r="AD918" s="37"/>
      <c r="AE918" s="62"/>
      <c r="AF918" s="62"/>
      <c r="AG918" s="62"/>
      <c r="AH918" s="62"/>
      <c r="AI918" s="37"/>
      <c r="AJ918" s="61"/>
      <c r="AK918" s="61"/>
      <c r="AL918" s="61"/>
      <c r="AM918" s="61"/>
      <c r="AN918" s="37"/>
      <c r="AO918" s="62"/>
      <c r="AP918" s="62"/>
      <c r="AQ918" s="62"/>
      <c r="AR918" s="62"/>
    </row>
    <row r="919" spans="25:44" x14ac:dyDescent="0.15">
      <c r="Y919" s="8"/>
      <c r="Z919" s="61"/>
      <c r="AA919" s="61"/>
      <c r="AB919" s="61"/>
      <c r="AC919" s="61"/>
      <c r="AD919" s="37"/>
      <c r="AE919" s="62"/>
      <c r="AF919" s="62"/>
      <c r="AG919" s="62"/>
      <c r="AH919" s="62"/>
      <c r="AI919" s="37"/>
      <c r="AJ919" s="61"/>
      <c r="AK919" s="61"/>
      <c r="AL919" s="61"/>
      <c r="AM919" s="61"/>
      <c r="AN919" s="37"/>
      <c r="AO919" s="62"/>
      <c r="AP919" s="62"/>
      <c r="AQ919" s="62"/>
      <c r="AR919" s="62"/>
    </row>
    <row r="920" spans="25:44" x14ac:dyDescent="0.15">
      <c r="Y920" s="8"/>
      <c r="Z920" s="61"/>
      <c r="AA920" s="61"/>
      <c r="AB920" s="61"/>
      <c r="AC920" s="61"/>
      <c r="AD920" s="37"/>
      <c r="AE920" s="62"/>
      <c r="AF920" s="62"/>
      <c r="AG920" s="62"/>
      <c r="AH920" s="62"/>
      <c r="AI920" s="37"/>
      <c r="AJ920" s="61"/>
      <c r="AK920" s="61"/>
      <c r="AL920" s="61"/>
      <c r="AM920" s="61"/>
      <c r="AN920" s="37"/>
      <c r="AO920" s="62"/>
      <c r="AP920" s="62"/>
      <c r="AQ920" s="62"/>
      <c r="AR920" s="62"/>
    </row>
    <row r="921" spans="25:44" x14ac:dyDescent="0.15">
      <c r="Y921" s="8"/>
      <c r="Z921" s="61"/>
      <c r="AA921" s="61"/>
      <c r="AB921" s="61"/>
      <c r="AC921" s="61"/>
      <c r="AD921" s="37"/>
      <c r="AE921" s="62"/>
      <c r="AF921" s="62"/>
      <c r="AG921" s="62"/>
      <c r="AH921" s="62"/>
      <c r="AI921" s="37"/>
      <c r="AJ921" s="61"/>
      <c r="AK921" s="61"/>
      <c r="AL921" s="61"/>
      <c r="AM921" s="61"/>
      <c r="AN921" s="37"/>
      <c r="AO921" s="62"/>
      <c r="AP921" s="62"/>
      <c r="AQ921" s="62"/>
      <c r="AR921" s="62"/>
    </row>
    <row r="922" spans="25:44" x14ac:dyDescent="0.15">
      <c r="Y922" s="8"/>
      <c r="Z922" s="61"/>
      <c r="AA922" s="61"/>
      <c r="AB922" s="61"/>
      <c r="AC922" s="61"/>
      <c r="AD922" s="37"/>
      <c r="AE922" s="62"/>
      <c r="AF922" s="62"/>
      <c r="AG922" s="62"/>
      <c r="AH922" s="62"/>
      <c r="AI922" s="37"/>
      <c r="AJ922" s="61"/>
      <c r="AK922" s="61"/>
      <c r="AL922" s="61"/>
      <c r="AM922" s="61"/>
      <c r="AN922" s="37"/>
      <c r="AO922" s="62"/>
      <c r="AP922" s="62"/>
      <c r="AQ922" s="62"/>
      <c r="AR922" s="62"/>
    </row>
    <row r="923" spans="25:44" x14ac:dyDescent="0.15">
      <c r="Y923" s="8"/>
      <c r="Z923" s="61"/>
      <c r="AA923" s="61"/>
      <c r="AB923" s="61"/>
      <c r="AC923" s="61"/>
      <c r="AD923" s="37"/>
      <c r="AE923" s="62"/>
      <c r="AF923" s="62"/>
      <c r="AG923" s="62"/>
      <c r="AH923" s="62"/>
      <c r="AI923" s="37"/>
      <c r="AJ923" s="61"/>
      <c r="AK923" s="61"/>
      <c r="AL923" s="61"/>
      <c r="AM923" s="61"/>
      <c r="AN923" s="37"/>
      <c r="AO923" s="62"/>
      <c r="AP923" s="62"/>
      <c r="AQ923" s="62"/>
      <c r="AR923" s="62"/>
    </row>
    <row r="924" spans="25:44" x14ac:dyDescent="0.15">
      <c r="Y924" s="8"/>
      <c r="Z924" s="61"/>
      <c r="AA924" s="61"/>
      <c r="AB924" s="61"/>
      <c r="AC924" s="61"/>
      <c r="AD924" s="37"/>
      <c r="AE924" s="62"/>
      <c r="AF924" s="62"/>
      <c r="AG924" s="62"/>
      <c r="AH924" s="62"/>
      <c r="AI924" s="37"/>
      <c r="AJ924" s="61"/>
      <c r="AK924" s="61"/>
      <c r="AL924" s="61"/>
      <c r="AM924" s="61"/>
      <c r="AN924" s="37"/>
      <c r="AO924" s="62"/>
      <c r="AP924" s="62"/>
      <c r="AQ924" s="62"/>
      <c r="AR924" s="62"/>
    </row>
    <row r="925" spans="25:44" x14ac:dyDescent="0.15">
      <c r="Y925" s="8"/>
      <c r="Z925" s="61"/>
      <c r="AA925" s="61"/>
      <c r="AB925" s="61"/>
      <c r="AC925" s="61"/>
      <c r="AD925" s="37"/>
      <c r="AE925" s="62"/>
      <c r="AF925" s="62"/>
      <c r="AG925" s="62"/>
      <c r="AH925" s="62"/>
      <c r="AI925" s="37"/>
      <c r="AJ925" s="61"/>
      <c r="AK925" s="61"/>
      <c r="AL925" s="61"/>
      <c r="AM925" s="61"/>
      <c r="AN925" s="37"/>
      <c r="AO925" s="62"/>
      <c r="AP925" s="62"/>
      <c r="AQ925" s="62"/>
      <c r="AR925" s="62"/>
    </row>
    <row r="926" spans="25:44" x14ac:dyDescent="0.15">
      <c r="Y926" s="8"/>
      <c r="Z926" s="61"/>
      <c r="AA926" s="61"/>
      <c r="AB926" s="61"/>
      <c r="AC926" s="61"/>
      <c r="AD926" s="37"/>
      <c r="AE926" s="62"/>
      <c r="AF926" s="62"/>
      <c r="AG926" s="62"/>
      <c r="AH926" s="62"/>
      <c r="AI926" s="37"/>
      <c r="AJ926" s="61"/>
      <c r="AK926" s="61"/>
      <c r="AL926" s="61"/>
      <c r="AM926" s="61"/>
      <c r="AN926" s="37"/>
      <c r="AO926" s="62"/>
      <c r="AP926" s="62"/>
      <c r="AQ926" s="62"/>
      <c r="AR926" s="62"/>
    </row>
    <row r="927" spans="25:44" x14ac:dyDescent="0.15">
      <c r="Y927" s="8"/>
      <c r="Z927" s="61"/>
      <c r="AA927" s="61"/>
      <c r="AB927" s="61"/>
      <c r="AC927" s="61"/>
      <c r="AD927" s="37"/>
      <c r="AE927" s="62"/>
      <c r="AF927" s="62"/>
      <c r="AG927" s="62"/>
      <c r="AH927" s="62"/>
      <c r="AI927" s="37"/>
      <c r="AJ927" s="61"/>
      <c r="AK927" s="61"/>
      <c r="AL927" s="61"/>
      <c r="AM927" s="61"/>
      <c r="AN927" s="37"/>
      <c r="AO927" s="62"/>
      <c r="AP927" s="62"/>
      <c r="AQ927" s="62"/>
      <c r="AR927" s="62"/>
    </row>
    <row r="928" spans="25:44" x14ac:dyDescent="0.15">
      <c r="Y928" s="8"/>
      <c r="Z928" s="61"/>
      <c r="AA928" s="61"/>
      <c r="AB928" s="61"/>
      <c r="AC928" s="61"/>
      <c r="AD928" s="37"/>
      <c r="AE928" s="62"/>
      <c r="AF928" s="62"/>
      <c r="AG928" s="62"/>
      <c r="AH928" s="62"/>
      <c r="AI928" s="37"/>
      <c r="AJ928" s="61"/>
      <c r="AK928" s="61"/>
      <c r="AL928" s="61"/>
      <c r="AM928" s="61"/>
      <c r="AN928" s="37"/>
      <c r="AO928" s="62"/>
      <c r="AP928" s="62"/>
      <c r="AQ928" s="62"/>
      <c r="AR928" s="62"/>
    </row>
    <row r="929" spans="25:44" x14ac:dyDescent="0.15">
      <c r="Y929" s="8"/>
      <c r="Z929" s="61"/>
      <c r="AA929" s="61"/>
      <c r="AB929" s="61"/>
      <c r="AC929" s="61"/>
      <c r="AD929" s="37"/>
      <c r="AE929" s="62"/>
      <c r="AF929" s="62"/>
      <c r="AG929" s="62"/>
      <c r="AH929" s="62"/>
      <c r="AI929" s="37"/>
      <c r="AJ929" s="61"/>
      <c r="AK929" s="61"/>
      <c r="AL929" s="61"/>
      <c r="AM929" s="61"/>
      <c r="AN929" s="37"/>
      <c r="AO929" s="62"/>
      <c r="AP929" s="62"/>
      <c r="AQ929" s="62"/>
      <c r="AR929" s="62"/>
    </row>
    <row r="930" spans="25:44" x14ac:dyDescent="0.15">
      <c r="Y930" s="8"/>
      <c r="Z930" s="61"/>
      <c r="AA930" s="61"/>
      <c r="AB930" s="61"/>
      <c r="AC930" s="61"/>
      <c r="AD930" s="37"/>
      <c r="AE930" s="62"/>
      <c r="AF930" s="62"/>
      <c r="AG930" s="62"/>
      <c r="AH930" s="62"/>
      <c r="AI930" s="37"/>
      <c r="AJ930" s="61"/>
      <c r="AK930" s="61"/>
      <c r="AL930" s="61"/>
      <c r="AM930" s="61"/>
      <c r="AN930" s="37"/>
      <c r="AO930" s="62"/>
      <c r="AP930" s="62"/>
      <c r="AQ930" s="62"/>
      <c r="AR930" s="62"/>
    </row>
    <row r="931" spans="25:44" x14ac:dyDescent="0.15">
      <c r="Y931" s="8"/>
      <c r="Z931" s="61"/>
      <c r="AA931" s="61"/>
      <c r="AB931" s="61"/>
      <c r="AC931" s="61"/>
      <c r="AD931" s="37"/>
      <c r="AE931" s="62"/>
      <c r="AF931" s="62"/>
      <c r="AG931" s="62"/>
      <c r="AH931" s="62"/>
      <c r="AI931" s="37"/>
      <c r="AJ931" s="61"/>
      <c r="AK931" s="61"/>
      <c r="AL931" s="61"/>
      <c r="AM931" s="61"/>
      <c r="AN931" s="37"/>
      <c r="AO931" s="62"/>
      <c r="AP931" s="62"/>
      <c r="AQ931" s="62"/>
      <c r="AR931" s="62"/>
    </row>
    <row r="932" spans="25:44" x14ac:dyDescent="0.15">
      <c r="Y932" s="8"/>
      <c r="Z932" s="61"/>
      <c r="AA932" s="61"/>
      <c r="AB932" s="61"/>
      <c r="AC932" s="61"/>
      <c r="AD932" s="37"/>
      <c r="AE932" s="62"/>
      <c r="AF932" s="62"/>
      <c r="AG932" s="62"/>
      <c r="AH932" s="62"/>
      <c r="AI932" s="37"/>
      <c r="AJ932" s="61"/>
      <c r="AK932" s="61"/>
      <c r="AL932" s="61"/>
      <c r="AM932" s="61"/>
      <c r="AN932" s="37"/>
      <c r="AO932" s="62"/>
      <c r="AP932" s="62"/>
      <c r="AQ932" s="62"/>
      <c r="AR932" s="62"/>
    </row>
    <row r="933" spans="25:44" x14ac:dyDescent="0.15">
      <c r="Y933" s="8"/>
      <c r="Z933" s="61"/>
      <c r="AA933" s="61"/>
      <c r="AB933" s="61"/>
      <c r="AC933" s="61"/>
      <c r="AD933" s="37"/>
      <c r="AE933" s="62"/>
      <c r="AF933" s="62"/>
      <c r="AG933" s="62"/>
      <c r="AH933" s="62"/>
      <c r="AI933" s="37"/>
      <c r="AJ933" s="61"/>
      <c r="AK933" s="61"/>
      <c r="AL933" s="61"/>
      <c r="AM933" s="61"/>
      <c r="AN933" s="37"/>
      <c r="AO933" s="62"/>
      <c r="AP933" s="62"/>
      <c r="AQ933" s="62"/>
      <c r="AR933" s="62"/>
    </row>
    <row r="934" spans="25:44" x14ac:dyDescent="0.15">
      <c r="Y934" s="8"/>
      <c r="Z934" s="61"/>
      <c r="AA934" s="61"/>
      <c r="AB934" s="61"/>
      <c r="AC934" s="61"/>
      <c r="AD934" s="37"/>
      <c r="AE934" s="62"/>
      <c r="AF934" s="62"/>
      <c r="AG934" s="62"/>
      <c r="AH934" s="62"/>
      <c r="AI934" s="37"/>
      <c r="AJ934" s="61"/>
      <c r="AK934" s="61"/>
      <c r="AL934" s="61"/>
      <c r="AM934" s="61"/>
      <c r="AN934" s="37"/>
      <c r="AO934" s="62"/>
      <c r="AP934" s="62"/>
      <c r="AQ934" s="62"/>
      <c r="AR934" s="62"/>
    </row>
    <row r="935" spans="25:44" x14ac:dyDescent="0.15">
      <c r="Y935" s="8"/>
      <c r="Z935" s="61"/>
      <c r="AA935" s="61"/>
      <c r="AB935" s="61"/>
      <c r="AC935" s="61"/>
      <c r="AD935" s="37"/>
      <c r="AE935" s="62"/>
      <c r="AF935" s="62"/>
      <c r="AG935" s="62"/>
      <c r="AH935" s="62"/>
      <c r="AI935" s="37"/>
      <c r="AJ935" s="61"/>
      <c r="AK935" s="61"/>
      <c r="AL935" s="61"/>
      <c r="AM935" s="61"/>
      <c r="AN935" s="37"/>
      <c r="AO935" s="62"/>
      <c r="AP935" s="62"/>
      <c r="AQ935" s="62"/>
      <c r="AR935" s="62"/>
    </row>
    <row r="936" spans="25:44" x14ac:dyDescent="0.15">
      <c r="Y936" s="8"/>
      <c r="Z936" s="61"/>
      <c r="AA936" s="61"/>
      <c r="AB936" s="61"/>
      <c r="AC936" s="61"/>
      <c r="AD936" s="37"/>
      <c r="AE936" s="62"/>
      <c r="AF936" s="62"/>
      <c r="AG936" s="62"/>
      <c r="AH936" s="62"/>
      <c r="AI936" s="37"/>
      <c r="AJ936" s="61"/>
      <c r="AK936" s="61"/>
      <c r="AL936" s="61"/>
      <c r="AM936" s="61"/>
      <c r="AN936" s="37"/>
      <c r="AO936" s="62"/>
      <c r="AP936" s="62"/>
      <c r="AQ936" s="62"/>
      <c r="AR936" s="62"/>
    </row>
    <row r="937" spans="25:44" x14ac:dyDescent="0.15">
      <c r="Y937" s="8"/>
      <c r="Z937" s="61"/>
      <c r="AA937" s="61"/>
      <c r="AB937" s="61"/>
      <c r="AC937" s="61"/>
      <c r="AD937" s="37"/>
      <c r="AE937" s="62"/>
      <c r="AF937" s="62"/>
      <c r="AG937" s="62"/>
      <c r="AH937" s="62"/>
      <c r="AI937" s="37"/>
      <c r="AJ937" s="61"/>
      <c r="AK937" s="61"/>
      <c r="AL937" s="61"/>
      <c r="AM937" s="61"/>
      <c r="AN937" s="37"/>
      <c r="AO937" s="62"/>
      <c r="AP937" s="62"/>
      <c r="AQ937" s="62"/>
      <c r="AR937" s="62"/>
    </row>
    <row r="938" spans="25:44" x14ac:dyDescent="0.15">
      <c r="Y938" s="8"/>
      <c r="Z938" s="61"/>
      <c r="AA938" s="61"/>
      <c r="AB938" s="61"/>
      <c r="AC938" s="61"/>
      <c r="AD938" s="37"/>
      <c r="AE938" s="62"/>
      <c r="AF938" s="62"/>
      <c r="AG938" s="62"/>
      <c r="AH938" s="62"/>
      <c r="AI938" s="37"/>
      <c r="AJ938" s="61"/>
      <c r="AK938" s="61"/>
      <c r="AL938" s="61"/>
      <c r="AM938" s="61"/>
      <c r="AN938" s="37"/>
      <c r="AO938" s="62"/>
      <c r="AP938" s="62"/>
      <c r="AQ938" s="62"/>
      <c r="AR938" s="62"/>
    </row>
    <row r="939" spans="25:44" x14ac:dyDescent="0.15">
      <c r="Y939" s="8"/>
      <c r="Z939" s="61"/>
      <c r="AA939" s="61"/>
      <c r="AB939" s="61"/>
      <c r="AC939" s="61"/>
      <c r="AD939" s="37"/>
      <c r="AE939" s="62"/>
      <c r="AF939" s="62"/>
      <c r="AG939" s="62"/>
      <c r="AH939" s="62"/>
      <c r="AI939" s="37"/>
      <c r="AJ939" s="61"/>
      <c r="AK939" s="61"/>
      <c r="AL939" s="61"/>
      <c r="AM939" s="61"/>
      <c r="AN939" s="37"/>
      <c r="AO939" s="62"/>
      <c r="AP939" s="62"/>
      <c r="AQ939" s="62"/>
      <c r="AR939" s="62"/>
    </row>
    <row r="940" spans="25:44" x14ac:dyDescent="0.15">
      <c r="Y940" s="8"/>
      <c r="Z940" s="61"/>
      <c r="AA940" s="61"/>
      <c r="AB940" s="61"/>
      <c r="AC940" s="61"/>
      <c r="AD940" s="37"/>
      <c r="AE940" s="62"/>
      <c r="AF940" s="62"/>
      <c r="AG940" s="62"/>
      <c r="AH940" s="62"/>
      <c r="AI940" s="37"/>
      <c r="AJ940" s="61"/>
      <c r="AK940" s="61"/>
      <c r="AL940" s="61"/>
      <c r="AM940" s="61"/>
      <c r="AN940" s="37"/>
      <c r="AO940" s="62"/>
      <c r="AP940" s="62"/>
      <c r="AQ940" s="62"/>
      <c r="AR940" s="62"/>
    </row>
    <row r="941" spans="25:44" x14ac:dyDescent="0.15">
      <c r="Y941" s="8"/>
      <c r="Z941" s="61"/>
      <c r="AA941" s="61"/>
      <c r="AB941" s="61"/>
      <c r="AC941" s="61"/>
      <c r="AD941" s="37"/>
      <c r="AE941" s="62"/>
      <c r="AF941" s="62"/>
      <c r="AG941" s="62"/>
      <c r="AH941" s="62"/>
      <c r="AI941" s="37"/>
      <c r="AJ941" s="61"/>
      <c r="AK941" s="61"/>
      <c r="AL941" s="61"/>
      <c r="AM941" s="61"/>
      <c r="AN941" s="37"/>
      <c r="AO941" s="62"/>
      <c r="AP941" s="62"/>
      <c r="AQ941" s="62"/>
      <c r="AR941" s="62"/>
    </row>
    <row r="942" spans="25:44" x14ac:dyDescent="0.15">
      <c r="Y942" s="8"/>
      <c r="Z942" s="61"/>
      <c r="AA942" s="61"/>
      <c r="AB942" s="61"/>
      <c r="AC942" s="61"/>
      <c r="AD942" s="37"/>
      <c r="AE942" s="62"/>
      <c r="AF942" s="62"/>
      <c r="AG942" s="62"/>
      <c r="AH942" s="62"/>
      <c r="AI942" s="37"/>
      <c r="AJ942" s="61"/>
      <c r="AK942" s="61"/>
      <c r="AL942" s="61"/>
      <c r="AM942" s="61"/>
      <c r="AN942" s="37"/>
      <c r="AO942" s="62"/>
      <c r="AP942" s="62"/>
      <c r="AQ942" s="62"/>
      <c r="AR942" s="62"/>
    </row>
    <row r="943" spans="25:44" x14ac:dyDescent="0.15">
      <c r="Y943" s="8"/>
      <c r="Z943" s="61"/>
      <c r="AA943" s="61"/>
      <c r="AB943" s="61"/>
      <c r="AC943" s="61"/>
      <c r="AD943" s="37"/>
      <c r="AE943" s="62"/>
      <c r="AF943" s="62"/>
      <c r="AG943" s="62"/>
      <c r="AH943" s="62"/>
      <c r="AI943" s="37"/>
      <c r="AJ943" s="61"/>
      <c r="AK943" s="61"/>
      <c r="AL943" s="61"/>
      <c r="AM943" s="61"/>
      <c r="AN943" s="37"/>
      <c r="AO943" s="62"/>
      <c r="AP943" s="62"/>
      <c r="AQ943" s="62"/>
      <c r="AR943" s="62"/>
    </row>
    <row r="944" spans="25:44" x14ac:dyDescent="0.15">
      <c r="Y944" s="8"/>
      <c r="Z944" s="61"/>
      <c r="AA944" s="61"/>
      <c r="AB944" s="61"/>
      <c r="AC944" s="61"/>
      <c r="AD944" s="37"/>
      <c r="AE944" s="62"/>
      <c r="AF944" s="62"/>
      <c r="AG944" s="62"/>
      <c r="AH944" s="62"/>
      <c r="AI944" s="37"/>
      <c r="AJ944" s="61"/>
      <c r="AK944" s="61"/>
      <c r="AL944" s="61"/>
      <c r="AM944" s="61"/>
      <c r="AN944" s="37"/>
      <c r="AO944" s="62"/>
      <c r="AP944" s="62"/>
      <c r="AQ944" s="62"/>
      <c r="AR944" s="62"/>
    </row>
    <row r="945" spans="25:44" x14ac:dyDescent="0.15">
      <c r="Y945" s="8"/>
      <c r="Z945" s="61"/>
      <c r="AA945" s="61"/>
      <c r="AB945" s="61"/>
      <c r="AC945" s="61"/>
      <c r="AD945" s="37"/>
      <c r="AE945" s="62"/>
      <c r="AF945" s="62"/>
      <c r="AG945" s="62"/>
      <c r="AH945" s="62"/>
      <c r="AI945" s="37"/>
      <c r="AJ945" s="61"/>
      <c r="AK945" s="61"/>
      <c r="AL945" s="61"/>
      <c r="AM945" s="61"/>
      <c r="AN945" s="37"/>
      <c r="AO945" s="62"/>
      <c r="AP945" s="62"/>
      <c r="AQ945" s="62"/>
      <c r="AR945" s="62"/>
    </row>
    <row r="946" spans="25:44" x14ac:dyDescent="0.15">
      <c r="Y946" s="8"/>
      <c r="Z946" s="61"/>
      <c r="AA946" s="61"/>
      <c r="AB946" s="61"/>
      <c r="AC946" s="61"/>
      <c r="AD946" s="37"/>
      <c r="AE946" s="62"/>
      <c r="AF946" s="62"/>
      <c r="AG946" s="62"/>
      <c r="AH946" s="62"/>
      <c r="AI946" s="37"/>
      <c r="AJ946" s="61"/>
      <c r="AK946" s="61"/>
      <c r="AL946" s="61"/>
      <c r="AM946" s="61"/>
      <c r="AN946" s="37"/>
      <c r="AO946" s="62"/>
      <c r="AP946" s="62"/>
      <c r="AQ946" s="62"/>
      <c r="AR946" s="62"/>
    </row>
    <row r="947" spans="25:44" x14ac:dyDescent="0.15">
      <c r="Y947" s="8"/>
      <c r="Z947" s="61"/>
      <c r="AA947" s="61"/>
      <c r="AB947" s="61"/>
      <c r="AC947" s="61"/>
      <c r="AD947" s="37"/>
      <c r="AE947" s="62"/>
      <c r="AF947" s="62"/>
      <c r="AG947" s="62"/>
      <c r="AH947" s="62"/>
      <c r="AI947" s="37"/>
      <c r="AJ947" s="61"/>
      <c r="AK947" s="61"/>
      <c r="AL947" s="61"/>
      <c r="AM947" s="61"/>
      <c r="AN947" s="37"/>
      <c r="AO947" s="62"/>
      <c r="AP947" s="62"/>
      <c r="AQ947" s="62"/>
      <c r="AR947" s="62"/>
    </row>
    <row r="948" spans="25:44" x14ac:dyDescent="0.15">
      <c r="Y948" s="8"/>
      <c r="Z948" s="61"/>
      <c r="AA948" s="61"/>
      <c r="AB948" s="61"/>
      <c r="AC948" s="61"/>
      <c r="AD948" s="37"/>
      <c r="AE948" s="62"/>
      <c r="AF948" s="62"/>
      <c r="AG948" s="62"/>
      <c r="AH948" s="62"/>
      <c r="AI948" s="37"/>
      <c r="AJ948" s="61"/>
      <c r="AK948" s="61"/>
      <c r="AL948" s="61"/>
      <c r="AM948" s="61"/>
      <c r="AN948" s="37"/>
      <c r="AO948" s="62"/>
      <c r="AP948" s="62"/>
      <c r="AQ948" s="62"/>
      <c r="AR948" s="62"/>
    </row>
    <row r="949" spans="25:44" x14ac:dyDescent="0.15">
      <c r="Y949" s="8"/>
      <c r="Z949" s="61"/>
      <c r="AA949" s="61"/>
      <c r="AB949" s="61"/>
      <c r="AC949" s="61"/>
      <c r="AD949" s="37"/>
      <c r="AE949" s="62"/>
      <c r="AF949" s="62"/>
      <c r="AG949" s="62"/>
      <c r="AH949" s="62"/>
      <c r="AI949" s="37"/>
      <c r="AJ949" s="61"/>
      <c r="AK949" s="61"/>
      <c r="AL949" s="61"/>
      <c r="AM949" s="61"/>
      <c r="AN949" s="37"/>
      <c r="AO949" s="62"/>
      <c r="AP949" s="62"/>
      <c r="AQ949" s="62"/>
      <c r="AR949" s="62"/>
    </row>
    <row r="950" spans="25:44" x14ac:dyDescent="0.15">
      <c r="Y950" s="8"/>
      <c r="Z950" s="61"/>
      <c r="AA950" s="61"/>
      <c r="AB950" s="61"/>
      <c r="AC950" s="61"/>
      <c r="AD950" s="37"/>
      <c r="AE950" s="62"/>
      <c r="AF950" s="62"/>
      <c r="AG950" s="62"/>
      <c r="AH950" s="62"/>
      <c r="AI950" s="37"/>
      <c r="AJ950" s="61"/>
      <c r="AK950" s="61"/>
      <c r="AL950" s="61"/>
      <c r="AM950" s="61"/>
      <c r="AN950" s="37"/>
      <c r="AO950" s="62"/>
      <c r="AP950" s="62"/>
      <c r="AQ950" s="62"/>
      <c r="AR950" s="62"/>
    </row>
    <row r="951" spans="25:44" x14ac:dyDescent="0.15">
      <c r="Y951" s="8"/>
      <c r="Z951" s="61"/>
      <c r="AA951" s="61"/>
      <c r="AB951" s="61"/>
      <c r="AC951" s="61"/>
      <c r="AD951" s="37"/>
      <c r="AE951" s="62"/>
      <c r="AF951" s="62"/>
      <c r="AG951" s="62"/>
      <c r="AH951" s="62"/>
      <c r="AI951" s="37"/>
      <c r="AJ951" s="61"/>
      <c r="AK951" s="61"/>
      <c r="AL951" s="61"/>
      <c r="AM951" s="61"/>
      <c r="AN951" s="37"/>
      <c r="AO951" s="62"/>
      <c r="AP951" s="62"/>
      <c r="AQ951" s="62"/>
      <c r="AR951" s="62"/>
    </row>
    <row r="952" spans="25:44" x14ac:dyDescent="0.15">
      <c r="Y952" s="8"/>
      <c r="Z952" s="61"/>
      <c r="AA952" s="61"/>
      <c r="AB952" s="61"/>
      <c r="AC952" s="61"/>
      <c r="AD952" s="37"/>
      <c r="AE952" s="62"/>
      <c r="AF952" s="62"/>
      <c r="AG952" s="62"/>
      <c r="AH952" s="62"/>
      <c r="AI952" s="37"/>
      <c r="AJ952" s="61"/>
      <c r="AK952" s="61"/>
      <c r="AL952" s="61"/>
      <c r="AM952" s="61"/>
      <c r="AN952" s="37"/>
      <c r="AO952" s="62"/>
      <c r="AP952" s="62"/>
      <c r="AQ952" s="62"/>
      <c r="AR952" s="62"/>
    </row>
    <row r="953" spans="25:44" x14ac:dyDescent="0.15">
      <c r="Y953" s="8"/>
      <c r="Z953" s="61"/>
      <c r="AA953" s="61"/>
      <c r="AB953" s="61"/>
      <c r="AC953" s="61"/>
      <c r="AD953" s="37"/>
      <c r="AE953" s="62"/>
      <c r="AF953" s="62"/>
      <c r="AG953" s="62"/>
      <c r="AH953" s="62"/>
      <c r="AI953" s="37"/>
      <c r="AJ953" s="61"/>
      <c r="AK953" s="61"/>
      <c r="AL953" s="61"/>
      <c r="AM953" s="61"/>
      <c r="AN953" s="37"/>
      <c r="AO953" s="62"/>
      <c r="AP953" s="62"/>
      <c r="AQ953" s="62"/>
      <c r="AR953" s="62"/>
    </row>
    <row r="954" spans="25:44" x14ac:dyDescent="0.15">
      <c r="Y954" s="8"/>
      <c r="Z954" s="61"/>
      <c r="AA954" s="61"/>
      <c r="AB954" s="61"/>
      <c r="AC954" s="61"/>
      <c r="AD954" s="37"/>
      <c r="AE954" s="62"/>
      <c r="AF954" s="62"/>
      <c r="AG954" s="62"/>
      <c r="AH954" s="62"/>
      <c r="AI954" s="37"/>
      <c r="AJ954" s="61"/>
      <c r="AK954" s="61"/>
      <c r="AL954" s="61"/>
      <c r="AM954" s="61"/>
      <c r="AN954" s="37"/>
      <c r="AO954" s="62"/>
      <c r="AP954" s="62"/>
      <c r="AQ954" s="62"/>
      <c r="AR954" s="62"/>
    </row>
    <row r="955" spans="25:44" x14ac:dyDescent="0.15">
      <c r="Y955" s="8"/>
      <c r="Z955" s="61"/>
      <c r="AA955" s="61"/>
      <c r="AB955" s="61"/>
      <c r="AC955" s="61"/>
      <c r="AD955" s="37"/>
      <c r="AE955" s="62"/>
      <c r="AF955" s="62"/>
      <c r="AG955" s="62"/>
      <c r="AH955" s="62"/>
      <c r="AI955" s="37"/>
      <c r="AJ955" s="61"/>
      <c r="AK955" s="61"/>
      <c r="AL955" s="61"/>
      <c r="AM955" s="61"/>
      <c r="AN955" s="37"/>
      <c r="AO955" s="62"/>
      <c r="AP955" s="62"/>
      <c r="AQ955" s="62"/>
      <c r="AR955" s="62"/>
    </row>
    <row r="956" spans="25:44" x14ac:dyDescent="0.15">
      <c r="Y956" s="8"/>
      <c r="Z956" s="61"/>
      <c r="AA956" s="61"/>
      <c r="AB956" s="61"/>
      <c r="AC956" s="61"/>
      <c r="AD956" s="37"/>
      <c r="AE956" s="62"/>
      <c r="AF956" s="62"/>
      <c r="AG956" s="62"/>
      <c r="AH956" s="62"/>
      <c r="AI956" s="37"/>
      <c r="AJ956" s="61"/>
      <c r="AK956" s="61"/>
      <c r="AL956" s="61"/>
      <c r="AM956" s="61"/>
      <c r="AN956" s="37"/>
      <c r="AO956" s="62"/>
      <c r="AP956" s="62"/>
      <c r="AQ956" s="62"/>
      <c r="AR956" s="62"/>
    </row>
    <row r="957" spans="25:44" x14ac:dyDescent="0.15">
      <c r="Y957" s="8"/>
      <c r="Z957" s="61"/>
      <c r="AA957" s="61"/>
      <c r="AB957" s="61"/>
      <c r="AC957" s="61"/>
      <c r="AD957" s="37"/>
      <c r="AE957" s="62"/>
      <c r="AF957" s="62"/>
      <c r="AG957" s="62"/>
      <c r="AH957" s="62"/>
      <c r="AI957" s="37"/>
      <c r="AJ957" s="61"/>
      <c r="AK957" s="61"/>
      <c r="AL957" s="61"/>
      <c r="AM957" s="61"/>
      <c r="AN957" s="37"/>
      <c r="AO957" s="62"/>
      <c r="AP957" s="62"/>
      <c r="AQ957" s="62"/>
      <c r="AR957" s="62"/>
    </row>
    <row r="958" spans="25:44" x14ac:dyDescent="0.15">
      <c r="Y958" s="8"/>
      <c r="Z958" s="61"/>
      <c r="AA958" s="61"/>
      <c r="AB958" s="61"/>
      <c r="AC958" s="61"/>
      <c r="AD958" s="37"/>
      <c r="AE958" s="62"/>
      <c r="AF958" s="62"/>
      <c r="AG958" s="62"/>
      <c r="AH958" s="62"/>
      <c r="AI958" s="37"/>
      <c r="AJ958" s="61"/>
      <c r="AK958" s="61"/>
      <c r="AL958" s="61"/>
      <c r="AM958" s="61"/>
      <c r="AN958" s="37"/>
      <c r="AO958" s="62"/>
      <c r="AP958" s="62"/>
      <c r="AQ958" s="62"/>
      <c r="AR958" s="62"/>
    </row>
    <row r="959" spans="25:44" x14ac:dyDescent="0.15">
      <c r="Y959" s="8"/>
      <c r="Z959" s="61"/>
      <c r="AA959" s="61"/>
      <c r="AB959" s="61"/>
      <c r="AC959" s="61"/>
      <c r="AD959" s="37"/>
      <c r="AE959" s="62"/>
      <c r="AF959" s="62"/>
      <c r="AG959" s="62"/>
      <c r="AH959" s="62"/>
      <c r="AI959" s="37"/>
      <c r="AJ959" s="61"/>
      <c r="AK959" s="61"/>
      <c r="AL959" s="61"/>
      <c r="AM959" s="61"/>
      <c r="AN959" s="37"/>
      <c r="AO959" s="62"/>
      <c r="AP959" s="62"/>
      <c r="AQ959" s="62"/>
      <c r="AR959" s="62"/>
    </row>
    <row r="960" spans="25:44" x14ac:dyDescent="0.15">
      <c r="Y960" s="8"/>
      <c r="Z960" s="61"/>
      <c r="AA960" s="61"/>
      <c r="AB960" s="61"/>
      <c r="AC960" s="61"/>
      <c r="AD960" s="37"/>
      <c r="AE960" s="62"/>
      <c r="AF960" s="62"/>
      <c r="AG960" s="62"/>
      <c r="AH960" s="62"/>
      <c r="AI960" s="37"/>
      <c r="AJ960" s="61"/>
      <c r="AK960" s="61"/>
      <c r="AL960" s="61"/>
      <c r="AM960" s="61"/>
      <c r="AN960" s="37"/>
      <c r="AO960" s="62"/>
      <c r="AP960" s="62"/>
      <c r="AQ960" s="62"/>
      <c r="AR960" s="62"/>
    </row>
    <row r="961" spans="25:44" x14ac:dyDescent="0.15">
      <c r="Y961" s="8"/>
      <c r="Z961" s="61"/>
      <c r="AA961" s="61"/>
      <c r="AB961" s="61"/>
      <c r="AC961" s="61"/>
      <c r="AD961" s="37"/>
      <c r="AE961" s="62"/>
      <c r="AF961" s="62"/>
      <c r="AG961" s="62"/>
      <c r="AH961" s="62"/>
      <c r="AI961" s="37"/>
      <c r="AJ961" s="61"/>
      <c r="AK961" s="61"/>
      <c r="AL961" s="61"/>
      <c r="AM961" s="61"/>
      <c r="AN961" s="37"/>
      <c r="AO961" s="62"/>
      <c r="AP961" s="62"/>
      <c r="AQ961" s="62"/>
      <c r="AR961" s="62"/>
    </row>
    <row r="962" spans="25:44" x14ac:dyDescent="0.15">
      <c r="Y962" s="8"/>
      <c r="Z962" s="61"/>
      <c r="AA962" s="61"/>
      <c r="AB962" s="61"/>
      <c r="AC962" s="61"/>
      <c r="AD962" s="37"/>
      <c r="AE962" s="62"/>
      <c r="AF962" s="62"/>
      <c r="AG962" s="62"/>
      <c r="AH962" s="62"/>
      <c r="AI962" s="37"/>
      <c r="AJ962" s="61"/>
      <c r="AK962" s="61"/>
      <c r="AL962" s="61"/>
      <c r="AM962" s="61"/>
      <c r="AN962" s="37"/>
      <c r="AO962" s="62"/>
      <c r="AP962" s="62"/>
      <c r="AQ962" s="62"/>
      <c r="AR962" s="62"/>
    </row>
    <row r="963" spans="25:44" x14ac:dyDescent="0.15">
      <c r="Y963" s="8"/>
      <c r="Z963" s="61"/>
      <c r="AA963" s="61"/>
      <c r="AB963" s="61"/>
      <c r="AC963" s="61"/>
      <c r="AD963" s="37"/>
      <c r="AE963" s="62"/>
      <c r="AF963" s="62"/>
      <c r="AG963" s="62"/>
      <c r="AH963" s="62"/>
      <c r="AI963" s="37"/>
      <c r="AJ963" s="61"/>
      <c r="AK963" s="61"/>
      <c r="AL963" s="61"/>
      <c r="AM963" s="61"/>
      <c r="AN963" s="37"/>
      <c r="AO963" s="62"/>
      <c r="AP963" s="62"/>
      <c r="AQ963" s="62"/>
      <c r="AR963" s="62"/>
    </row>
    <row r="964" spans="25:44" x14ac:dyDescent="0.15">
      <c r="Y964" s="8"/>
      <c r="Z964" s="61"/>
      <c r="AA964" s="61"/>
      <c r="AB964" s="61"/>
      <c r="AC964" s="61"/>
      <c r="AD964" s="37"/>
      <c r="AE964" s="62"/>
      <c r="AF964" s="62"/>
      <c r="AG964" s="62"/>
      <c r="AH964" s="62"/>
      <c r="AI964" s="37"/>
      <c r="AJ964" s="61"/>
      <c r="AK964" s="61"/>
      <c r="AL964" s="61"/>
      <c r="AM964" s="61"/>
      <c r="AN964" s="37"/>
      <c r="AO964" s="62"/>
      <c r="AP964" s="62"/>
      <c r="AQ964" s="62"/>
      <c r="AR964" s="62"/>
    </row>
    <row r="965" spans="25:44" x14ac:dyDescent="0.15">
      <c r="Y965" s="8"/>
      <c r="Z965" s="61"/>
      <c r="AA965" s="61"/>
      <c r="AB965" s="61"/>
      <c r="AC965" s="61"/>
      <c r="AD965" s="37"/>
      <c r="AE965" s="62"/>
      <c r="AF965" s="62"/>
      <c r="AG965" s="62"/>
      <c r="AH965" s="62"/>
      <c r="AI965" s="37"/>
      <c r="AJ965" s="61"/>
      <c r="AK965" s="61"/>
      <c r="AL965" s="61"/>
      <c r="AM965" s="61"/>
      <c r="AN965" s="37"/>
      <c r="AO965" s="62"/>
      <c r="AP965" s="62"/>
      <c r="AQ965" s="62"/>
      <c r="AR965" s="62"/>
    </row>
    <row r="966" spans="25:44" x14ac:dyDescent="0.15">
      <c r="Y966" s="8"/>
      <c r="Z966" s="61"/>
      <c r="AA966" s="61"/>
      <c r="AB966" s="61"/>
      <c r="AC966" s="61"/>
      <c r="AD966" s="37"/>
      <c r="AE966" s="62"/>
      <c r="AF966" s="62"/>
      <c r="AG966" s="62"/>
      <c r="AH966" s="62"/>
      <c r="AI966" s="37"/>
      <c r="AJ966" s="61"/>
      <c r="AK966" s="61"/>
      <c r="AL966" s="61"/>
      <c r="AM966" s="61"/>
      <c r="AN966" s="37"/>
      <c r="AO966" s="62"/>
      <c r="AP966" s="62"/>
      <c r="AQ966" s="62"/>
      <c r="AR966" s="62"/>
    </row>
    <row r="967" spans="25:44" x14ac:dyDescent="0.15">
      <c r="Y967" s="8"/>
      <c r="Z967" s="61"/>
      <c r="AA967" s="61"/>
      <c r="AB967" s="61"/>
      <c r="AC967" s="61"/>
      <c r="AD967" s="37"/>
      <c r="AE967" s="62"/>
      <c r="AF967" s="62"/>
      <c r="AG967" s="62"/>
      <c r="AH967" s="62"/>
      <c r="AI967" s="37"/>
      <c r="AJ967" s="61"/>
      <c r="AK967" s="61"/>
      <c r="AL967" s="61"/>
      <c r="AM967" s="61"/>
      <c r="AN967" s="37"/>
      <c r="AO967" s="62"/>
      <c r="AP967" s="62"/>
      <c r="AQ967" s="62"/>
      <c r="AR967" s="62"/>
    </row>
    <row r="968" spans="25:44" x14ac:dyDescent="0.15">
      <c r="Y968" s="8"/>
      <c r="Z968" s="61"/>
      <c r="AA968" s="61"/>
      <c r="AB968" s="61"/>
      <c r="AC968" s="61"/>
      <c r="AD968" s="37"/>
      <c r="AE968" s="62"/>
      <c r="AF968" s="62"/>
      <c r="AG968" s="62"/>
      <c r="AH968" s="62"/>
      <c r="AI968" s="37"/>
      <c r="AJ968" s="61"/>
      <c r="AK968" s="61"/>
      <c r="AL968" s="61"/>
      <c r="AM968" s="61"/>
      <c r="AN968" s="37"/>
      <c r="AO968" s="62"/>
      <c r="AP968" s="62"/>
      <c r="AQ968" s="62"/>
      <c r="AR968" s="62"/>
    </row>
    <row r="969" spans="25:44" x14ac:dyDescent="0.15">
      <c r="Y969" s="8"/>
      <c r="Z969" s="61"/>
      <c r="AA969" s="61"/>
      <c r="AB969" s="61"/>
      <c r="AC969" s="61"/>
      <c r="AD969" s="37"/>
      <c r="AE969" s="62"/>
      <c r="AF969" s="62"/>
      <c r="AG969" s="62"/>
      <c r="AH969" s="62"/>
      <c r="AI969" s="37"/>
      <c r="AJ969" s="61"/>
      <c r="AK969" s="61"/>
      <c r="AL969" s="61"/>
      <c r="AM969" s="61"/>
      <c r="AN969" s="37"/>
      <c r="AO969" s="62"/>
      <c r="AP969" s="62"/>
      <c r="AQ969" s="62"/>
      <c r="AR969" s="62"/>
    </row>
    <row r="970" spans="25:44" x14ac:dyDescent="0.15">
      <c r="Y970" s="8"/>
      <c r="Z970" s="61"/>
      <c r="AA970" s="61"/>
      <c r="AB970" s="61"/>
      <c r="AC970" s="61"/>
      <c r="AD970" s="37"/>
      <c r="AE970" s="62"/>
      <c r="AF970" s="62"/>
      <c r="AG970" s="62"/>
      <c r="AH970" s="62"/>
      <c r="AI970" s="37"/>
      <c r="AJ970" s="61"/>
      <c r="AK970" s="61"/>
      <c r="AL970" s="61"/>
      <c r="AM970" s="61"/>
      <c r="AN970" s="37"/>
      <c r="AO970" s="62"/>
      <c r="AP970" s="62"/>
      <c r="AQ970" s="62"/>
      <c r="AR970" s="62"/>
    </row>
    <row r="971" spans="25:44" x14ac:dyDescent="0.15">
      <c r="Y971" s="8"/>
      <c r="Z971" s="61"/>
      <c r="AA971" s="61"/>
      <c r="AB971" s="61"/>
      <c r="AC971" s="61"/>
      <c r="AD971" s="37"/>
      <c r="AE971" s="62"/>
      <c r="AF971" s="62"/>
      <c r="AG971" s="62"/>
      <c r="AH971" s="62"/>
      <c r="AI971" s="37"/>
      <c r="AJ971" s="61"/>
      <c r="AK971" s="61"/>
      <c r="AL971" s="61"/>
      <c r="AM971" s="61"/>
      <c r="AN971" s="37"/>
      <c r="AO971" s="62"/>
      <c r="AP971" s="62"/>
      <c r="AQ971" s="62"/>
      <c r="AR971" s="62"/>
    </row>
    <row r="972" spans="25:44" x14ac:dyDescent="0.15">
      <c r="Y972" s="8"/>
      <c r="Z972" s="61"/>
      <c r="AA972" s="61"/>
      <c r="AB972" s="61"/>
      <c r="AC972" s="61"/>
      <c r="AD972" s="37"/>
      <c r="AE972" s="62"/>
      <c r="AF972" s="62"/>
      <c r="AG972" s="62"/>
      <c r="AH972" s="62"/>
      <c r="AI972" s="37"/>
      <c r="AJ972" s="61"/>
      <c r="AK972" s="61"/>
      <c r="AL972" s="61"/>
      <c r="AM972" s="61"/>
      <c r="AN972" s="37"/>
      <c r="AO972" s="62"/>
      <c r="AP972" s="62"/>
      <c r="AQ972" s="62"/>
      <c r="AR972" s="62"/>
    </row>
    <row r="973" spans="25:44" x14ac:dyDescent="0.15">
      <c r="Y973" s="8"/>
      <c r="Z973" s="61"/>
      <c r="AA973" s="61"/>
      <c r="AB973" s="61"/>
      <c r="AC973" s="61"/>
      <c r="AD973" s="37"/>
      <c r="AE973" s="62"/>
      <c r="AF973" s="62"/>
      <c r="AG973" s="62"/>
      <c r="AH973" s="62"/>
      <c r="AI973" s="37"/>
      <c r="AJ973" s="61"/>
      <c r="AK973" s="61"/>
      <c r="AL973" s="61"/>
      <c r="AM973" s="61"/>
      <c r="AN973" s="37"/>
      <c r="AO973" s="62"/>
      <c r="AP973" s="62"/>
      <c r="AQ973" s="62"/>
      <c r="AR973" s="62"/>
    </row>
    <row r="974" spans="25:44" x14ac:dyDescent="0.15">
      <c r="Y974" s="8"/>
      <c r="Z974" s="61"/>
      <c r="AA974" s="61"/>
      <c r="AB974" s="61"/>
      <c r="AC974" s="61"/>
      <c r="AD974" s="37"/>
      <c r="AE974" s="62"/>
      <c r="AF974" s="62"/>
      <c r="AG974" s="62"/>
      <c r="AH974" s="62"/>
      <c r="AI974" s="37"/>
      <c r="AJ974" s="61"/>
      <c r="AK974" s="61"/>
      <c r="AL974" s="61"/>
      <c r="AM974" s="61"/>
      <c r="AN974" s="37"/>
      <c r="AO974" s="62"/>
      <c r="AP974" s="62"/>
      <c r="AQ974" s="62"/>
      <c r="AR974" s="62"/>
    </row>
    <row r="975" spans="25:44" x14ac:dyDescent="0.15">
      <c r="Y975" s="8"/>
      <c r="Z975" s="61"/>
      <c r="AA975" s="61"/>
      <c r="AB975" s="61"/>
      <c r="AC975" s="61"/>
      <c r="AD975" s="37"/>
      <c r="AE975" s="62"/>
      <c r="AF975" s="62"/>
      <c r="AG975" s="62"/>
      <c r="AH975" s="62"/>
      <c r="AI975" s="37"/>
      <c r="AJ975" s="61"/>
      <c r="AK975" s="61"/>
      <c r="AL975" s="61"/>
      <c r="AM975" s="61"/>
      <c r="AN975" s="37"/>
      <c r="AO975" s="62"/>
      <c r="AP975" s="62"/>
      <c r="AQ975" s="62"/>
      <c r="AR975" s="62"/>
    </row>
    <row r="976" spans="25:44" x14ac:dyDescent="0.15">
      <c r="Y976" s="8"/>
      <c r="Z976" s="61"/>
      <c r="AA976" s="61"/>
      <c r="AB976" s="61"/>
      <c r="AC976" s="61"/>
      <c r="AD976" s="37"/>
      <c r="AE976" s="62"/>
      <c r="AF976" s="62"/>
      <c r="AG976" s="62"/>
      <c r="AH976" s="62"/>
      <c r="AI976" s="37"/>
      <c r="AJ976" s="61"/>
      <c r="AK976" s="61"/>
      <c r="AL976" s="61"/>
      <c r="AM976" s="61"/>
      <c r="AN976" s="37"/>
      <c r="AO976" s="62"/>
      <c r="AP976" s="62"/>
      <c r="AQ976" s="62"/>
      <c r="AR976" s="62"/>
    </row>
    <row r="977" spans="25:44" x14ac:dyDescent="0.15">
      <c r="Y977" s="8"/>
      <c r="Z977" s="61"/>
      <c r="AA977" s="61"/>
      <c r="AB977" s="61"/>
      <c r="AC977" s="61"/>
      <c r="AD977" s="37"/>
      <c r="AE977" s="62"/>
      <c r="AF977" s="62"/>
      <c r="AG977" s="62"/>
      <c r="AH977" s="62"/>
      <c r="AI977" s="37"/>
      <c r="AJ977" s="61"/>
      <c r="AK977" s="61"/>
      <c r="AL977" s="61"/>
      <c r="AM977" s="61"/>
      <c r="AN977" s="37"/>
      <c r="AO977" s="62"/>
      <c r="AP977" s="62"/>
      <c r="AQ977" s="62"/>
      <c r="AR977" s="62"/>
    </row>
    <row r="978" spans="25:44" x14ac:dyDescent="0.15">
      <c r="Y978" s="8"/>
      <c r="Z978" s="61"/>
      <c r="AA978" s="61"/>
      <c r="AB978" s="61"/>
      <c r="AC978" s="61"/>
      <c r="AD978" s="37"/>
      <c r="AE978" s="62"/>
      <c r="AF978" s="62"/>
      <c r="AG978" s="62"/>
      <c r="AH978" s="62"/>
      <c r="AI978" s="37"/>
      <c r="AJ978" s="61"/>
      <c r="AK978" s="61"/>
      <c r="AL978" s="61"/>
      <c r="AM978" s="61"/>
      <c r="AN978" s="37"/>
      <c r="AO978" s="62"/>
      <c r="AP978" s="62"/>
      <c r="AQ978" s="62"/>
      <c r="AR978" s="62"/>
    </row>
    <row r="979" spans="25:44" x14ac:dyDescent="0.15">
      <c r="Y979" s="8"/>
      <c r="Z979" s="61"/>
      <c r="AA979" s="61"/>
      <c r="AB979" s="61"/>
      <c r="AC979" s="61"/>
      <c r="AD979" s="37"/>
      <c r="AE979" s="62"/>
      <c r="AF979" s="62"/>
      <c r="AG979" s="62"/>
      <c r="AH979" s="62"/>
      <c r="AI979" s="37"/>
      <c r="AJ979" s="61"/>
      <c r="AK979" s="61"/>
      <c r="AL979" s="61"/>
      <c r="AM979" s="61"/>
      <c r="AN979" s="37"/>
      <c r="AO979" s="62"/>
      <c r="AP979" s="62"/>
      <c r="AQ979" s="62"/>
      <c r="AR979" s="62"/>
    </row>
    <row r="980" spans="25:44" x14ac:dyDescent="0.15">
      <c r="Y980" s="8"/>
      <c r="Z980" s="61"/>
      <c r="AA980" s="61"/>
      <c r="AB980" s="61"/>
      <c r="AC980" s="61"/>
      <c r="AD980" s="37"/>
      <c r="AE980" s="62"/>
      <c r="AF980" s="62"/>
      <c r="AG980" s="62"/>
      <c r="AH980" s="62"/>
      <c r="AI980" s="37"/>
      <c r="AJ980" s="61"/>
      <c r="AK980" s="61"/>
      <c r="AL980" s="61"/>
      <c r="AM980" s="61"/>
      <c r="AN980" s="37"/>
      <c r="AO980" s="62"/>
      <c r="AP980" s="62"/>
      <c r="AQ980" s="62"/>
      <c r="AR980" s="62"/>
    </row>
    <row r="981" spans="25:44" x14ac:dyDescent="0.15">
      <c r="Y981" s="8"/>
      <c r="Z981" s="61"/>
      <c r="AA981" s="61"/>
      <c r="AB981" s="61"/>
      <c r="AC981" s="61"/>
      <c r="AD981" s="37"/>
      <c r="AE981" s="62"/>
      <c r="AF981" s="62"/>
      <c r="AG981" s="62"/>
      <c r="AH981" s="62"/>
      <c r="AI981" s="37"/>
      <c r="AJ981" s="61"/>
      <c r="AK981" s="61"/>
      <c r="AL981" s="61"/>
      <c r="AM981" s="61"/>
      <c r="AN981" s="37"/>
      <c r="AO981" s="62"/>
      <c r="AP981" s="62"/>
      <c r="AQ981" s="62"/>
      <c r="AR981" s="62"/>
    </row>
    <row r="982" spans="25:44" x14ac:dyDescent="0.15">
      <c r="Y982" s="8"/>
      <c r="Z982" s="61"/>
      <c r="AA982" s="61"/>
      <c r="AB982" s="61"/>
      <c r="AC982" s="61"/>
      <c r="AD982" s="37"/>
      <c r="AE982" s="62"/>
      <c r="AF982" s="62"/>
      <c r="AG982" s="62"/>
      <c r="AH982" s="62"/>
      <c r="AI982" s="37"/>
      <c r="AJ982" s="61"/>
      <c r="AK982" s="61"/>
      <c r="AL982" s="61"/>
      <c r="AM982" s="61"/>
      <c r="AN982" s="37"/>
      <c r="AO982" s="62"/>
      <c r="AP982" s="62"/>
      <c r="AQ982" s="62"/>
      <c r="AR982" s="62"/>
    </row>
    <row r="983" spans="25:44" x14ac:dyDescent="0.15">
      <c r="Y983" s="8"/>
      <c r="Z983" s="61"/>
      <c r="AA983" s="61"/>
      <c r="AB983" s="61"/>
      <c r="AC983" s="61"/>
      <c r="AD983" s="37"/>
      <c r="AE983" s="62"/>
      <c r="AF983" s="62"/>
      <c r="AG983" s="62"/>
      <c r="AH983" s="62"/>
      <c r="AI983" s="37"/>
      <c r="AJ983" s="61"/>
      <c r="AK983" s="61"/>
      <c r="AL983" s="61"/>
      <c r="AM983" s="61"/>
      <c r="AN983" s="37"/>
      <c r="AO983" s="62"/>
      <c r="AP983" s="62"/>
      <c r="AQ983" s="62"/>
      <c r="AR983" s="62"/>
    </row>
    <row r="984" spans="25:44" x14ac:dyDescent="0.15">
      <c r="Y984" s="8"/>
      <c r="Z984" s="61"/>
      <c r="AA984" s="61"/>
      <c r="AB984" s="61"/>
      <c r="AC984" s="61"/>
      <c r="AD984" s="37"/>
      <c r="AE984" s="62"/>
      <c r="AF984" s="62"/>
      <c r="AG984" s="62"/>
      <c r="AH984" s="62"/>
      <c r="AI984" s="37"/>
      <c r="AJ984" s="61"/>
      <c r="AK984" s="61"/>
      <c r="AL984" s="61"/>
      <c r="AM984" s="61"/>
      <c r="AN984" s="37"/>
      <c r="AO984" s="62"/>
      <c r="AP984" s="62"/>
      <c r="AQ984" s="62"/>
      <c r="AR984" s="62"/>
    </row>
    <row r="985" spans="25:44" x14ac:dyDescent="0.15">
      <c r="Y985" s="8"/>
      <c r="Z985" s="61"/>
      <c r="AA985" s="61"/>
      <c r="AB985" s="61"/>
      <c r="AC985" s="61"/>
      <c r="AD985" s="37"/>
      <c r="AE985" s="62"/>
      <c r="AF985" s="62"/>
      <c r="AG985" s="62"/>
      <c r="AH985" s="62"/>
      <c r="AI985" s="37"/>
      <c r="AJ985" s="61"/>
      <c r="AK985" s="61"/>
      <c r="AL985" s="61"/>
      <c r="AM985" s="61"/>
      <c r="AN985" s="37"/>
      <c r="AO985" s="62"/>
      <c r="AP985" s="62"/>
      <c r="AQ985" s="62"/>
      <c r="AR985" s="62"/>
    </row>
    <row r="986" spans="25:44" x14ac:dyDescent="0.15">
      <c r="Y986" s="8"/>
      <c r="Z986" s="61"/>
      <c r="AA986" s="61"/>
      <c r="AB986" s="61"/>
      <c r="AC986" s="61"/>
      <c r="AD986" s="37"/>
      <c r="AE986" s="62"/>
      <c r="AF986" s="62"/>
      <c r="AG986" s="62"/>
      <c r="AH986" s="62"/>
      <c r="AI986" s="37"/>
      <c r="AJ986" s="61"/>
      <c r="AK986" s="61"/>
      <c r="AL986" s="61"/>
      <c r="AM986" s="61"/>
      <c r="AN986" s="37"/>
      <c r="AO986" s="62"/>
      <c r="AP986" s="62"/>
      <c r="AQ986" s="62"/>
      <c r="AR986" s="62"/>
    </row>
    <row r="987" spans="25:44" x14ac:dyDescent="0.15">
      <c r="Y987" s="8"/>
      <c r="Z987" s="61"/>
      <c r="AA987" s="61"/>
      <c r="AB987" s="61"/>
      <c r="AC987" s="61"/>
      <c r="AD987" s="37"/>
      <c r="AE987" s="62"/>
      <c r="AF987" s="62"/>
      <c r="AG987" s="62"/>
      <c r="AH987" s="62"/>
      <c r="AI987" s="37"/>
      <c r="AJ987" s="61"/>
      <c r="AK987" s="61"/>
      <c r="AL987" s="61"/>
      <c r="AM987" s="61"/>
      <c r="AN987" s="37"/>
      <c r="AO987" s="62"/>
      <c r="AP987" s="62"/>
      <c r="AQ987" s="62"/>
      <c r="AR987" s="62"/>
    </row>
    <row r="988" spans="25:44" x14ac:dyDescent="0.15">
      <c r="Y988" s="8"/>
      <c r="Z988" s="61"/>
      <c r="AA988" s="61"/>
      <c r="AB988" s="61"/>
      <c r="AC988" s="61"/>
      <c r="AD988" s="37"/>
      <c r="AE988" s="62"/>
      <c r="AF988" s="62"/>
      <c r="AG988" s="62"/>
      <c r="AH988" s="62"/>
      <c r="AI988" s="37"/>
      <c r="AJ988" s="61"/>
      <c r="AK988" s="61"/>
      <c r="AL988" s="61"/>
      <c r="AM988" s="61"/>
      <c r="AN988" s="37"/>
      <c r="AO988" s="62"/>
      <c r="AP988" s="62"/>
      <c r="AQ988" s="62"/>
      <c r="AR988" s="62"/>
    </row>
    <row r="989" spans="25:44" x14ac:dyDescent="0.15">
      <c r="Y989" s="8"/>
      <c r="Z989" s="61"/>
      <c r="AA989" s="61"/>
      <c r="AB989" s="61"/>
      <c r="AC989" s="61"/>
      <c r="AD989" s="37"/>
      <c r="AE989" s="62"/>
      <c r="AF989" s="62"/>
      <c r="AG989" s="62"/>
      <c r="AH989" s="62"/>
      <c r="AI989" s="37"/>
      <c r="AJ989" s="61"/>
      <c r="AK989" s="61"/>
      <c r="AL989" s="61"/>
      <c r="AM989" s="61"/>
      <c r="AN989" s="37"/>
      <c r="AO989" s="62"/>
      <c r="AP989" s="62"/>
      <c r="AQ989" s="62"/>
      <c r="AR989" s="62"/>
    </row>
    <row r="990" spans="25:44" x14ac:dyDescent="0.15">
      <c r="Y990" s="8"/>
      <c r="Z990" s="61"/>
      <c r="AA990" s="61"/>
      <c r="AB990" s="61"/>
      <c r="AC990" s="61"/>
      <c r="AD990" s="37"/>
      <c r="AE990" s="62"/>
      <c r="AF990" s="62"/>
      <c r="AG990" s="62"/>
      <c r="AH990" s="62"/>
      <c r="AI990" s="37"/>
      <c r="AJ990" s="61"/>
      <c r="AK990" s="61"/>
      <c r="AL990" s="61"/>
      <c r="AM990" s="61"/>
      <c r="AN990" s="37"/>
      <c r="AO990" s="62"/>
      <c r="AP990" s="62"/>
      <c r="AQ990" s="62"/>
      <c r="AR990" s="62"/>
    </row>
    <row r="991" spans="25:44" x14ac:dyDescent="0.15">
      <c r="Y991" s="8"/>
      <c r="Z991" s="61"/>
      <c r="AA991" s="61"/>
      <c r="AB991" s="61"/>
      <c r="AC991" s="61"/>
      <c r="AD991" s="37"/>
      <c r="AE991" s="62"/>
      <c r="AF991" s="62"/>
      <c r="AG991" s="62"/>
      <c r="AH991" s="62"/>
      <c r="AI991" s="37"/>
      <c r="AJ991" s="61"/>
      <c r="AK991" s="61"/>
      <c r="AL991" s="61"/>
      <c r="AM991" s="61"/>
      <c r="AN991" s="37"/>
      <c r="AO991" s="62"/>
      <c r="AP991" s="62"/>
      <c r="AQ991" s="62"/>
      <c r="AR991" s="62"/>
    </row>
    <row r="992" spans="25:44" x14ac:dyDescent="0.15">
      <c r="Y992" s="8"/>
      <c r="Z992" s="61"/>
      <c r="AA992" s="61"/>
      <c r="AB992" s="61"/>
      <c r="AC992" s="61"/>
      <c r="AD992" s="37"/>
      <c r="AE992" s="62"/>
      <c r="AF992" s="62"/>
      <c r="AG992" s="62"/>
      <c r="AH992" s="62"/>
      <c r="AI992" s="37"/>
      <c r="AJ992" s="61"/>
      <c r="AK992" s="61"/>
      <c r="AL992" s="61"/>
      <c r="AM992" s="61"/>
      <c r="AN992" s="37"/>
      <c r="AO992" s="62"/>
      <c r="AP992" s="62"/>
      <c r="AQ992" s="62"/>
      <c r="AR992" s="62"/>
    </row>
    <row r="993" spans="25:44" x14ac:dyDescent="0.15">
      <c r="Y993" s="8"/>
      <c r="Z993" s="61"/>
      <c r="AA993" s="61"/>
      <c r="AB993" s="61"/>
      <c r="AC993" s="61"/>
      <c r="AD993" s="37"/>
      <c r="AE993" s="62"/>
      <c r="AF993" s="62"/>
      <c r="AG993" s="62"/>
      <c r="AH993" s="62"/>
      <c r="AI993" s="37"/>
      <c r="AJ993" s="61"/>
      <c r="AK993" s="61"/>
      <c r="AL993" s="61"/>
      <c r="AM993" s="61"/>
      <c r="AN993" s="37"/>
      <c r="AO993" s="62"/>
      <c r="AP993" s="62"/>
      <c r="AQ993" s="62"/>
      <c r="AR993" s="62"/>
    </row>
    <row r="994" spans="25:44" x14ac:dyDescent="0.15">
      <c r="Y994" s="8"/>
      <c r="Z994" s="61"/>
      <c r="AA994" s="61"/>
      <c r="AB994" s="61"/>
      <c r="AC994" s="61"/>
      <c r="AD994" s="37"/>
      <c r="AE994" s="62"/>
      <c r="AF994" s="62"/>
      <c r="AG994" s="62"/>
      <c r="AH994" s="62"/>
      <c r="AI994" s="37"/>
      <c r="AJ994" s="61"/>
      <c r="AK994" s="61"/>
      <c r="AL994" s="61"/>
      <c r="AM994" s="61"/>
      <c r="AN994" s="37"/>
      <c r="AO994" s="62"/>
      <c r="AP994" s="62"/>
      <c r="AQ994" s="62"/>
      <c r="AR994" s="62"/>
    </row>
    <row r="995" spans="25:44" x14ac:dyDescent="0.15">
      <c r="Y995" s="8"/>
      <c r="Z995" s="61"/>
      <c r="AA995" s="61"/>
      <c r="AB995" s="61"/>
      <c r="AC995" s="61"/>
      <c r="AD995" s="37"/>
      <c r="AE995" s="62"/>
      <c r="AF995" s="62"/>
      <c r="AG995" s="62"/>
      <c r="AH995" s="62"/>
      <c r="AI995" s="37"/>
      <c r="AJ995" s="61"/>
      <c r="AK995" s="61"/>
      <c r="AL995" s="61"/>
      <c r="AM995" s="61"/>
      <c r="AN995" s="37"/>
      <c r="AO995" s="62"/>
      <c r="AP995" s="62"/>
      <c r="AQ995" s="62"/>
      <c r="AR995" s="62"/>
    </row>
    <row r="996" spans="25:44" x14ac:dyDescent="0.15">
      <c r="Y996" s="8"/>
      <c r="Z996" s="61"/>
      <c r="AA996" s="61"/>
      <c r="AB996" s="61"/>
      <c r="AC996" s="61"/>
      <c r="AD996" s="37"/>
      <c r="AE996" s="62"/>
      <c r="AF996" s="62"/>
      <c r="AG996" s="62"/>
      <c r="AH996" s="62"/>
      <c r="AI996" s="37"/>
      <c r="AJ996" s="61"/>
      <c r="AK996" s="61"/>
      <c r="AL996" s="61"/>
      <c r="AM996" s="61"/>
      <c r="AN996" s="37"/>
      <c r="AO996" s="62"/>
      <c r="AP996" s="62"/>
      <c r="AQ996" s="62"/>
      <c r="AR996" s="62"/>
    </row>
    <row r="997" spans="25:44" x14ac:dyDescent="0.15">
      <c r="Y997" s="8"/>
      <c r="Z997" s="61"/>
      <c r="AA997" s="61"/>
      <c r="AB997" s="61"/>
      <c r="AC997" s="61"/>
      <c r="AD997" s="37"/>
      <c r="AE997" s="62"/>
      <c r="AF997" s="62"/>
      <c r="AG997" s="62"/>
      <c r="AH997" s="62"/>
      <c r="AI997" s="37"/>
      <c r="AJ997" s="61"/>
      <c r="AK997" s="61"/>
      <c r="AL997" s="61"/>
      <c r="AM997" s="61"/>
      <c r="AN997" s="37"/>
      <c r="AO997" s="62"/>
      <c r="AP997" s="62"/>
      <c r="AQ997" s="62"/>
      <c r="AR997" s="62"/>
    </row>
    <row r="998" spans="25:44" x14ac:dyDescent="0.15">
      <c r="Y998" s="8"/>
      <c r="Z998" s="61"/>
      <c r="AA998" s="61"/>
      <c r="AB998" s="61"/>
      <c r="AC998" s="61"/>
      <c r="AD998" s="37"/>
      <c r="AE998" s="62"/>
      <c r="AF998" s="62"/>
      <c r="AG998" s="62"/>
      <c r="AH998" s="62"/>
      <c r="AI998" s="37"/>
      <c r="AJ998" s="61"/>
      <c r="AK998" s="61"/>
      <c r="AL998" s="61"/>
      <c r="AM998" s="61"/>
      <c r="AN998" s="37"/>
      <c r="AO998" s="62"/>
      <c r="AP998" s="62"/>
      <c r="AQ998" s="62"/>
      <c r="AR998" s="62"/>
    </row>
    <row r="999" spans="25:44" x14ac:dyDescent="0.15">
      <c r="Y999" s="8"/>
      <c r="Z999" s="61"/>
      <c r="AA999" s="61"/>
      <c r="AB999" s="61"/>
      <c r="AC999" s="61"/>
      <c r="AD999" s="37"/>
      <c r="AE999" s="62"/>
      <c r="AF999" s="62"/>
      <c r="AG999" s="62"/>
      <c r="AH999" s="62"/>
      <c r="AI999" s="37"/>
      <c r="AJ999" s="61"/>
      <c r="AK999" s="61"/>
      <c r="AL999" s="61"/>
      <c r="AM999" s="61"/>
      <c r="AN999" s="37"/>
      <c r="AO999" s="62"/>
      <c r="AP999" s="62"/>
      <c r="AQ999" s="62"/>
      <c r="AR999" s="62"/>
    </row>
    <row r="1000" spans="25:44" x14ac:dyDescent="0.15">
      <c r="Y1000" s="8"/>
      <c r="Z1000" s="61"/>
      <c r="AA1000" s="61"/>
      <c r="AB1000" s="61"/>
      <c r="AC1000" s="61"/>
      <c r="AD1000" s="37"/>
      <c r="AE1000" s="62"/>
      <c r="AF1000" s="62"/>
      <c r="AG1000" s="62"/>
      <c r="AH1000" s="62"/>
      <c r="AI1000" s="37"/>
      <c r="AJ1000" s="61"/>
      <c r="AK1000" s="61"/>
      <c r="AL1000" s="61"/>
      <c r="AM1000" s="61"/>
      <c r="AN1000" s="37"/>
      <c r="AO1000" s="62"/>
      <c r="AP1000" s="62"/>
      <c r="AQ1000" s="62"/>
      <c r="AR1000" s="62"/>
    </row>
    <row r="1001" spans="25:44" x14ac:dyDescent="0.15">
      <c r="Y1001" s="8"/>
      <c r="Z1001" s="61"/>
      <c r="AA1001" s="61"/>
      <c r="AB1001" s="61"/>
      <c r="AC1001" s="61"/>
      <c r="AD1001" s="37"/>
      <c r="AE1001" s="62"/>
      <c r="AF1001" s="62"/>
      <c r="AG1001" s="62"/>
      <c r="AH1001" s="62"/>
      <c r="AI1001" s="37"/>
      <c r="AJ1001" s="61"/>
      <c r="AK1001" s="61"/>
      <c r="AL1001" s="61"/>
      <c r="AM1001" s="61"/>
      <c r="AN1001" s="37"/>
      <c r="AO1001" s="62"/>
      <c r="AP1001" s="62"/>
      <c r="AQ1001" s="62"/>
      <c r="AR1001" s="62"/>
    </row>
    <row r="1002" spans="25:44" x14ac:dyDescent="0.15">
      <c r="Y1002" s="8"/>
      <c r="Z1002" s="61"/>
      <c r="AA1002" s="61"/>
      <c r="AB1002" s="61"/>
      <c r="AC1002" s="61"/>
      <c r="AD1002" s="37"/>
      <c r="AE1002" s="62"/>
      <c r="AF1002" s="62"/>
      <c r="AG1002" s="62"/>
      <c r="AH1002" s="62"/>
      <c r="AI1002" s="37"/>
      <c r="AJ1002" s="61"/>
      <c r="AK1002" s="61"/>
      <c r="AL1002" s="61"/>
      <c r="AM1002" s="61"/>
      <c r="AN1002" s="37"/>
      <c r="AO1002" s="62"/>
      <c r="AP1002" s="62"/>
      <c r="AQ1002" s="62"/>
      <c r="AR1002" s="62"/>
    </row>
    <row r="1003" spans="25:44" x14ac:dyDescent="0.15">
      <c r="Y1003" s="8"/>
      <c r="Z1003" s="61"/>
      <c r="AA1003" s="61"/>
      <c r="AB1003" s="61"/>
      <c r="AC1003" s="61"/>
      <c r="AD1003" s="37"/>
      <c r="AE1003" s="62"/>
      <c r="AF1003" s="62"/>
      <c r="AG1003" s="62"/>
      <c r="AH1003" s="62"/>
      <c r="AI1003" s="37"/>
      <c r="AJ1003" s="61"/>
      <c r="AK1003" s="61"/>
      <c r="AL1003" s="61"/>
      <c r="AM1003" s="61"/>
      <c r="AN1003" s="37"/>
      <c r="AO1003" s="62"/>
      <c r="AP1003" s="62"/>
      <c r="AQ1003" s="62"/>
      <c r="AR1003" s="62"/>
    </row>
    <row r="1004" spans="25:44" x14ac:dyDescent="0.15">
      <c r="Y1004" s="8"/>
      <c r="Z1004" s="61"/>
      <c r="AA1004" s="61"/>
      <c r="AB1004" s="61"/>
      <c r="AC1004" s="61"/>
      <c r="AD1004" s="37"/>
      <c r="AE1004" s="62"/>
      <c r="AF1004" s="62"/>
      <c r="AG1004" s="62"/>
      <c r="AH1004" s="62"/>
      <c r="AI1004" s="37"/>
      <c r="AJ1004" s="61"/>
      <c r="AK1004" s="61"/>
      <c r="AL1004" s="61"/>
      <c r="AM1004" s="61"/>
      <c r="AN1004" s="37"/>
      <c r="AO1004" s="62"/>
      <c r="AP1004" s="62"/>
      <c r="AQ1004" s="62"/>
      <c r="AR1004" s="62"/>
    </row>
    <row r="1005" spans="25:44" x14ac:dyDescent="0.15">
      <c r="Y1005" s="8"/>
      <c r="Z1005" s="61"/>
      <c r="AA1005" s="61"/>
      <c r="AB1005" s="61"/>
      <c r="AC1005" s="61"/>
      <c r="AD1005" s="37"/>
      <c r="AE1005" s="62"/>
      <c r="AF1005" s="62"/>
      <c r="AG1005" s="62"/>
      <c r="AH1005" s="62"/>
      <c r="AI1005" s="37"/>
      <c r="AJ1005" s="61"/>
      <c r="AK1005" s="61"/>
      <c r="AL1005" s="61"/>
      <c r="AM1005" s="61"/>
      <c r="AN1005" s="37"/>
      <c r="AO1005" s="62"/>
      <c r="AP1005" s="62"/>
      <c r="AQ1005" s="62"/>
      <c r="AR1005" s="62"/>
    </row>
    <row r="1006" spans="25:44" x14ac:dyDescent="0.15">
      <c r="Y1006" s="8"/>
      <c r="Z1006" s="61"/>
      <c r="AA1006" s="61"/>
      <c r="AB1006" s="61"/>
      <c r="AC1006" s="61"/>
      <c r="AD1006" s="37"/>
      <c r="AE1006" s="62"/>
      <c r="AF1006" s="62"/>
      <c r="AG1006" s="62"/>
      <c r="AH1006" s="62"/>
      <c r="AI1006" s="37"/>
      <c r="AJ1006" s="61"/>
      <c r="AK1006" s="61"/>
      <c r="AL1006" s="61"/>
      <c r="AM1006" s="61"/>
      <c r="AN1006" s="37"/>
      <c r="AO1006" s="62"/>
      <c r="AP1006" s="62"/>
      <c r="AQ1006" s="62"/>
      <c r="AR1006" s="62"/>
    </row>
    <row r="1007" spans="25:44" x14ac:dyDescent="0.15">
      <c r="Y1007" s="8"/>
      <c r="Z1007" s="61"/>
      <c r="AA1007" s="61"/>
      <c r="AB1007" s="61"/>
      <c r="AC1007" s="61"/>
      <c r="AD1007" s="37"/>
      <c r="AE1007" s="62"/>
      <c r="AF1007" s="62"/>
      <c r="AG1007" s="62"/>
      <c r="AH1007" s="62"/>
      <c r="AI1007" s="37"/>
      <c r="AJ1007" s="61"/>
      <c r="AK1007" s="61"/>
      <c r="AL1007" s="61"/>
      <c r="AM1007" s="61"/>
      <c r="AN1007" s="37"/>
      <c r="AO1007" s="62"/>
      <c r="AP1007" s="62"/>
      <c r="AQ1007" s="62"/>
      <c r="AR1007" s="62"/>
    </row>
    <row r="1008" spans="25:44" x14ac:dyDescent="0.15">
      <c r="Y1008" s="8"/>
      <c r="Z1008" s="61"/>
      <c r="AA1008" s="61"/>
      <c r="AB1008" s="61"/>
      <c r="AC1008" s="61"/>
      <c r="AD1008" s="37"/>
      <c r="AE1008" s="62"/>
      <c r="AF1008" s="62"/>
      <c r="AG1008" s="62"/>
      <c r="AH1008" s="62"/>
      <c r="AI1008" s="37"/>
      <c r="AJ1008" s="61"/>
      <c r="AK1008" s="61"/>
      <c r="AL1008" s="61"/>
      <c r="AM1008" s="61"/>
      <c r="AN1008" s="37"/>
      <c r="AO1008" s="62"/>
      <c r="AP1008" s="62"/>
      <c r="AQ1008" s="62"/>
      <c r="AR1008" s="62"/>
    </row>
    <row r="1009" spans="25:44" x14ac:dyDescent="0.15">
      <c r="Y1009" s="8"/>
      <c r="Z1009" s="61"/>
      <c r="AA1009" s="61"/>
      <c r="AB1009" s="61"/>
      <c r="AC1009" s="61"/>
      <c r="AD1009" s="37"/>
      <c r="AE1009" s="62"/>
      <c r="AF1009" s="62"/>
      <c r="AG1009" s="62"/>
      <c r="AH1009" s="62"/>
      <c r="AI1009" s="37"/>
      <c r="AJ1009" s="61"/>
      <c r="AK1009" s="61"/>
      <c r="AL1009" s="61"/>
      <c r="AM1009" s="61"/>
      <c r="AN1009" s="37"/>
      <c r="AO1009" s="62"/>
      <c r="AP1009" s="62"/>
      <c r="AQ1009" s="62"/>
      <c r="AR1009" s="62"/>
    </row>
    <row r="1010" spans="25:44" x14ac:dyDescent="0.15">
      <c r="Y1010" s="8"/>
      <c r="Z1010" s="61"/>
      <c r="AA1010" s="61"/>
      <c r="AB1010" s="61"/>
      <c r="AC1010" s="61"/>
      <c r="AD1010" s="37"/>
      <c r="AE1010" s="62"/>
      <c r="AF1010" s="62"/>
      <c r="AG1010" s="62"/>
      <c r="AH1010" s="62"/>
      <c r="AI1010" s="37"/>
      <c r="AJ1010" s="61"/>
      <c r="AK1010" s="61"/>
      <c r="AL1010" s="61"/>
      <c r="AM1010" s="61"/>
      <c r="AN1010" s="37"/>
      <c r="AO1010" s="62"/>
      <c r="AP1010" s="62"/>
      <c r="AQ1010" s="62"/>
      <c r="AR1010" s="62"/>
    </row>
    <row r="1011" spans="25:44" x14ac:dyDescent="0.15">
      <c r="Y1011" s="8"/>
      <c r="Z1011" s="61"/>
      <c r="AA1011" s="61"/>
      <c r="AB1011" s="61"/>
      <c r="AC1011" s="61"/>
      <c r="AD1011" s="37"/>
      <c r="AE1011" s="62"/>
      <c r="AF1011" s="62"/>
      <c r="AG1011" s="62"/>
      <c r="AH1011" s="62"/>
      <c r="AI1011" s="37"/>
      <c r="AJ1011" s="61"/>
      <c r="AK1011" s="61"/>
      <c r="AL1011" s="61"/>
      <c r="AM1011" s="61"/>
      <c r="AN1011" s="37"/>
      <c r="AO1011" s="62"/>
      <c r="AP1011" s="62"/>
      <c r="AQ1011" s="62"/>
      <c r="AR1011" s="62"/>
    </row>
    <row r="1012" spans="25:44" x14ac:dyDescent="0.15">
      <c r="Y1012" s="8"/>
      <c r="Z1012" s="61"/>
      <c r="AA1012" s="61"/>
      <c r="AB1012" s="61"/>
      <c r="AC1012" s="61"/>
      <c r="AD1012" s="37"/>
      <c r="AE1012" s="62"/>
      <c r="AF1012" s="62"/>
      <c r="AG1012" s="62"/>
      <c r="AH1012" s="62"/>
      <c r="AI1012" s="37"/>
      <c r="AJ1012" s="61"/>
      <c r="AK1012" s="61"/>
      <c r="AL1012" s="61"/>
      <c r="AM1012" s="61"/>
      <c r="AN1012" s="37"/>
      <c r="AO1012" s="62"/>
      <c r="AP1012" s="62"/>
      <c r="AQ1012" s="62"/>
      <c r="AR1012" s="62"/>
    </row>
    <row r="1013" spans="25:44" x14ac:dyDescent="0.15">
      <c r="Y1013" s="8"/>
      <c r="Z1013" s="61"/>
      <c r="AA1013" s="61"/>
      <c r="AB1013" s="61"/>
      <c r="AC1013" s="61"/>
      <c r="AD1013" s="37"/>
      <c r="AE1013" s="62"/>
      <c r="AF1013" s="62"/>
      <c r="AG1013" s="62"/>
      <c r="AH1013" s="62"/>
      <c r="AI1013" s="37"/>
      <c r="AJ1013" s="61"/>
      <c r="AK1013" s="61"/>
      <c r="AL1013" s="61"/>
      <c r="AM1013" s="61"/>
      <c r="AN1013" s="37"/>
      <c r="AO1013" s="62"/>
      <c r="AP1013" s="62"/>
      <c r="AQ1013" s="62"/>
      <c r="AR1013" s="62"/>
    </row>
    <row r="1014" spans="25:44" x14ac:dyDescent="0.15">
      <c r="Y1014" s="8"/>
      <c r="Z1014" s="61"/>
      <c r="AA1014" s="61"/>
      <c r="AB1014" s="61"/>
      <c r="AC1014" s="61"/>
      <c r="AD1014" s="37"/>
      <c r="AE1014" s="62"/>
      <c r="AF1014" s="62"/>
      <c r="AG1014" s="62"/>
      <c r="AH1014" s="62"/>
      <c r="AI1014" s="37"/>
      <c r="AJ1014" s="61"/>
      <c r="AK1014" s="61"/>
      <c r="AL1014" s="61"/>
      <c r="AM1014" s="61"/>
      <c r="AN1014" s="37"/>
      <c r="AO1014" s="62"/>
      <c r="AP1014" s="62"/>
      <c r="AQ1014" s="62"/>
      <c r="AR1014" s="62"/>
    </row>
    <row r="1015" spans="25:44" x14ac:dyDescent="0.15">
      <c r="Y1015" s="8"/>
      <c r="Z1015" s="61"/>
      <c r="AA1015" s="61"/>
      <c r="AB1015" s="61"/>
      <c r="AC1015" s="61"/>
      <c r="AD1015" s="37"/>
      <c r="AE1015" s="62"/>
      <c r="AF1015" s="62"/>
      <c r="AG1015" s="62"/>
      <c r="AH1015" s="62"/>
      <c r="AI1015" s="37"/>
      <c r="AJ1015" s="61"/>
      <c r="AK1015" s="61"/>
      <c r="AL1015" s="61"/>
      <c r="AM1015" s="61"/>
      <c r="AN1015" s="37"/>
      <c r="AO1015" s="62"/>
      <c r="AP1015" s="62"/>
      <c r="AQ1015" s="62"/>
      <c r="AR1015" s="62"/>
    </row>
    <row r="1016" spans="25:44" x14ac:dyDescent="0.15">
      <c r="Y1016" s="8"/>
      <c r="Z1016" s="61"/>
      <c r="AA1016" s="61"/>
      <c r="AB1016" s="61"/>
      <c r="AC1016" s="61"/>
      <c r="AD1016" s="37"/>
      <c r="AE1016" s="62"/>
      <c r="AF1016" s="62"/>
      <c r="AG1016" s="62"/>
      <c r="AH1016" s="62"/>
      <c r="AI1016" s="37"/>
      <c r="AJ1016" s="61"/>
      <c r="AK1016" s="61"/>
      <c r="AL1016" s="61"/>
      <c r="AM1016" s="61"/>
      <c r="AN1016" s="37"/>
      <c r="AO1016" s="62"/>
      <c r="AP1016" s="62"/>
      <c r="AQ1016" s="62"/>
      <c r="AR1016" s="62"/>
    </row>
    <row r="1017" spans="25:44" x14ac:dyDescent="0.15">
      <c r="Y1017" s="8"/>
      <c r="Z1017" s="61"/>
      <c r="AA1017" s="61"/>
      <c r="AB1017" s="61"/>
      <c r="AC1017" s="61"/>
      <c r="AD1017" s="37"/>
      <c r="AE1017" s="62"/>
      <c r="AF1017" s="62"/>
      <c r="AG1017" s="62"/>
      <c r="AH1017" s="62"/>
      <c r="AI1017" s="37"/>
      <c r="AJ1017" s="61"/>
      <c r="AK1017" s="61"/>
      <c r="AL1017" s="61"/>
      <c r="AM1017" s="61"/>
      <c r="AN1017" s="37"/>
      <c r="AO1017" s="62"/>
      <c r="AP1017" s="62"/>
      <c r="AQ1017" s="62"/>
      <c r="AR1017" s="62"/>
    </row>
    <row r="1018" spans="25:44" x14ac:dyDescent="0.15">
      <c r="Y1018" s="8"/>
      <c r="Z1018" s="61"/>
      <c r="AA1018" s="61"/>
      <c r="AB1018" s="61"/>
      <c r="AC1018" s="61"/>
      <c r="AD1018" s="37"/>
      <c r="AE1018" s="62"/>
      <c r="AF1018" s="62"/>
      <c r="AG1018" s="62"/>
      <c r="AH1018" s="62"/>
      <c r="AI1018" s="37"/>
      <c r="AJ1018" s="61"/>
      <c r="AK1018" s="61"/>
      <c r="AL1018" s="61"/>
      <c r="AM1018" s="61"/>
      <c r="AN1018" s="37"/>
      <c r="AO1018" s="62"/>
      <c r="AP1018" s="62"/>
      <c r="AQ1018" s="62"/>
      <c r="AR1018" s="62"/>
    </row>
    <row r="1019" spans="25:44" x14ac:dyDescent="0.15">
      <c r="Y1019" s="8"/>
      <c r="Z1019" s="61"/>
      <c r="AA1019" s="61"/>
      <c r="AB1019" s="61"/>
      <c r="AC1019" s="61"/>
      <c r="AD1019" s="37"/>
      <c r="AE1019" s="62"/>
      <c r="AF1019" s="62"/>
      <c r="AG1019" s="62"/>
      <c r="AH1019" s="62"/>
      <c r="AI1019" s="37"/>
      <c r="AJ1019" s="61"/>
      <c r="AK1019" s="61"/>
      <c r="AL1019" s="61"/>
      <c r="AM1019" s="61"/>
      <c r="AN1019" s="37"/>
      <c r="AO1019" s="62"/>
      <c r="AP1019" s="62"/>
      <c r="AQ1019" s="62"/>
      <c r="AR1019" s="62"/>
    </row>
    <row r="1020" spans="25:44" x14ac:dyDescent="0.15">
      <c r="Y1020" s="8"/>
      <c r="Z1020" s="61"/>
      <c r="AA1020" s="61"/>
      <c r="AB1020" s="61"/>
      <c r="AC1020" s="61"/>
      <c r="AD1020" s="37"/>
      <c r="AE1020" s="62"/>
      <c r="AF1020" s="62"/>
      <c r="AG1020" s="62"/>
      <c r="AH1020" s="62"/>
      <c r="AI1020" s="37"/>
      <c r="AJ1020" s="61"/>
      <c r="AK1020" s="61"/>
      <c r="AL1020" s="61"/>
      <c r="AM1020" s="61"/>
      <c r="AN1020" s="37"/>
      <c r="AO1020" s="62"/>
      <c r="AP1020" s="62"/>
      <c r="AQ1020" s="62"/>
      <c r="AR1020" s="62"/>
    </row>
    <row r="1021" spans="25:44" x14ac:dyDescent="0.15">
      <c r="Y1021" s="8"/>
      <c r="Z1021" s="61"/>
      <c r="AA1021" s="61"/>
      <c r="AB1021" s="61"/>
      <c r="AC1021" s="61"/>
      <c r="AD1021" s="37"/>
      <c r="AE1021" s="62"/>
      <c r="AF1021" s="62"/>
      <c r="AG1021" s="62"/>
      <c r="AH1021" s="62"/>
      <c r="AI1021" s="37"/>
      <c r="AJ1021" s="61"/>
      <c r="AK1021" s="61"/>
      <c r="AL1021" s="61"/>
      <c r="AM1021" s="61"/>
      <c r="AN1021" s="37"/>
      <c r="AO1021" s="62"/>
      <c r="AP1021" s="62"/>
      <c r="AQ1021" s="62"/>
      <c r="AR1021" s="62"/>
    </row>
    <row r="1022" spans="25:44" x14ac:dyDescent="0.15">
      <c r="Y1022" s="8"/>
      <c r="Z1022" s="61"/>
      <c r="AA1022" s="61"/>
      <c r="AB1022" s="61"/>
      <c r="AC1022" s="61"/>
      <c r="AD1022" s="37"/>
      <c r="AE1022" s="62"/>
      <c r="AF1022" s="62"/>
      <c r="AG1022" s="62"/>
      <c r="AH1022" s="62"/>
      <c r="AI1022" s="37"/>
      <c r="AJ1022" s="61"/>
      <c r="AK1022" s="61"/>
      <c r="AL1022" s="61"/>
      <c r="AM1022" s="61"/>
      <c r="AN1022" s="37"/>
      <c r="AO1022" s="62"/>
      <c r="AP1022" s="62"/>
      <c r="AQ1022" s="62"/>
      <c r="AR1022" s="62"/>
    </row>
    <row r="1023" spans="25:44" x14ac:dyDescent="0.15">
      <c r="Y1023" s="8"/>
      <c r="Z1023" s="61"/>
      <c r="AA1023" s="61"/>
      <c r="AB1023" s="61"/>
      <c r="AC1023" s="61"/>
      <c r="AD1023" s="37"/>
      <c r="AE1023" s="62"/>
      <c r="AF1023" s="62"/>
      <c r="AG1023" s="62"/>
      <c r="AH1023" s="62"/>
      <c r="AI1023" s="37"/>
      <c r="AJ1023" s="61"/>
      <c r="AK1023" s="61"/>
      <c r="AL1023" s="61"/>
      <c r="AM1023" s="61"/>
      <c r="AN1023" s="37"/>
      <c r="AO1023" s="62"/>
      <c r="AP1023" s="62"/>
      <c r="AQ1023" s="62"/>
      <c r="AR1023" s="62"/>
    </row>
    <row r="1024" spans="25:44" x14ac:dyDescent="0.15">
      <c r="Y1024" s="8"/>
      <c r="Z1024" s="61"/>
      <c r="AA1024" s="61"/>
      <c r="AB1024" s="61"/>
      <c r="AC1024" s="61"/>
      <c r="AD1024" s="37"/>
      <c r="AE1024" s="62"/>
      <c r="AF1024" s="62"/>
      <c r="AG1024" s="62"/>
      <c r="AH1024" s="62"/>
      <c r="AI1024" s="37"/>
      <c r="AJ1024" s="61"/>
      <c r="AK1024" s="61"/>
      <c r="AL1024" s="61"/>
      <c r="AM1024" s="61"/>
      <c r="AN1024" s="37"/>
      <c r="AO1024" s="62"/>
      <c r="AP1024" s="62"/>
      <c r="AQ1024" s="62"/>
      <c r="AR1024" s="62"/>
    </row>
    <row r="1025" spans="25:44" x14ac:dyDescent="0.15">
      <c r="Y1025" s="8"/>
      <c r="Z1025" s="61"/>
      <c r="AA1025" s="61"/>
      <c r="AB1025" s="61"/>
      <c r="AC1025" s="61"/>
      <c r="AD1025" s="37"/>
      <c r="AE1025" s="62"/>
      <c r="AF1025" s="62"/>
      <c r="AG1025" s="62"/>
      <c r="AH1025" s="62"/>
      <c r="AI1025" s="37"/>
      <c r="AJ1025" s="61"/>
      <c r="AK1025" s="61"/>
      <c r="AL1025" s="61"/>
      <c r="AM1025" s="61"/>
      <c r="AN1025" s="37"/>
      <c r="AO1025" s="62"/>
      <c r="AP1025" s="62"/>
      <c r="AQ1025" s="62"/>
      <c r="AR1025" s="62"/>
    </row>
    <row r="1026" spans="25:44" x14ac:dyDescent="0.15">
      <c r="Y1026" s="8"/>
      <c r="Z1026" s="61"/>
      <c r="AA1026" s="61"/>
      <c r="AB1026" s="61"/>
      <c r="AC1026" s="61"/>
      <c r="AD1026" s="37"/>
      <c r="AE1026" s="62"/>
      <c r="AF1026" s="62"/>
      <c r="AG1026" s="62"/>
      <c r="AH1026" s="62"/>
      <c r="AI1026" s="37"/>
      <c r="AJ1026" s="61"/>
      <c r="AK1026" s="61"/>
      <c r="AL1026" s="61"/>
      <c r="AM1026" s="61"/>
      <c r="AN1026" s="37"/>
      <c r="AO1026" s="62"/>
      <c r="AP1026" s="62"/>
      <c r="AQ1026" s="62"/>
      <c r="AR1026" s="62"/>
    </row>
    <row r="1027" spans="25:44" x14ac:dyDescent="0.15">
      <c r="Y1027" s="8"/>
      <c r="Z1027" s="61"/>
      <c r="AA1027" s="61"/>
      <c r="AB1027" s="61"/>
      <c r="AC1027" s="61"/>
      <c r="AD1027" s="37"/>
      <c r="AE1027" s="62"/>
      <c r="AF1027" s="62"/>
      <c r="AG1027" s="62"/>
      <c r="AH1027" s="62"/>
      <c r="AI1027" s="37"/>
      <c r="AJ1027" s="61"/>
      <c r="AK1027" s="61"/>
      <c r="AL1027" s="61"/>
      <c r="AM1027" s="61"/>
      <c r="AN1027" s="37"/>
      <c r="AO1027" s="62"/>
      <c r="AP1027" s="62"/>
      <c r="AQ1027" s="62"/>
      <c r="AR1027" s="62"/>
    </row>
    <row r="1028" spans="25:44" x14ac:dyDescent="0.15">
      <c r="Y1028" s="8"/>
      <c r="Z1028" s="61"/>
      <c r="AA1028" s="61"/>
      <c r="AB1028" s="61"/>
      <c r="AC1028" s="61"/>
      <c r="AD1028" s="37"/>
      <c r="AE1028" s="62"/>
      <c r="AF1028" s="62"/>
      <c r="AG1028" s="62"/>
      <c r="AH1028" s="62"/>
      <c r="AI1028" s="37"/>
      <c r="AJ1028" s="61"/>
      <c r="AK1028" s="61"/>
      <c r="AL1028" s="61"/>
      <c r="AM1028" s="61"/>
      <c r="AN1028" s="37"/>
      <c r="AO1028" s="62"/>
      <c r="AP1028" s="62"/>
      <c r="AQ1028" s="62"/>
      <c r="AR1028" s="62"/>
    </row>
    <row r="1029" spans="25:44" x14ac:dyDescent="0.15">
      <c r="Y1029" s="8"/>
      <c r="Z1029" s="61"/>
      <c r="AA1029" s="61"/>
      <c r="AB1029" s="61"/>
      <c r="AC1029" s="61"/>
      <c r="AD1029" s="37"/>
      <c r="AE1029" s="62"/>
      <c r="AF1029" s="62"/>
      <c r="AG1029" s="62"/>
      <c r="AH1029" s="62"/>
      <c r="AI1029" s="37"/>
      <c r="AJ1029" s="61"/>
      <c r="AK1029" s="61"/>
      <c r="AL1029" s="61"/>
      <c r="AM1029" s="61"/>
      <c r="AN1029" s="37"/>
      <c r="AO1029" s="62"/>
      <c r="AP1029" s="62"/>
      <c r="AQ1029" s="62"/>
      <c r="AR1029" s="62"/>
    </row>
    <row r="1030" spans="25:44" x14ac:dyDescent="0.15">
      <c r="Y1030" s="8"/>
      <c r="Z1030" s="61"/>
      <c r="AA1030" s="61"/>
      <c r="AB1030" s="61"/>
      <c r="AC1030" s="61"/>
      <c r="AD1030" s="37"/>
      <c r="AE1030" s="62"/>
      <c r="AF1030" s="62"/>
      <c r="AG1030" s="62"/>
      <c r="AH1030" s="62"/>
      <c r="AI1030" s="37"/>
      <c r="AJ1030" s="61"/>
      <c r="AK1030" s="61"/>
      <c r="AL1030" s="61"/>
      <c r="AM1030" s="61"/>
      <c r="AN1030" s="37"/>
      <c r="AO1030" s="62"/>
      <c r="AP1030" s="62"/>
      <c r="AQ1030" s="62"/>
      <c r="AR1030" s="62"/>
    </row>
    <row r="1031" spans="25:44" x14ac:dyDescent="0.15">
      <c r="Y1031" s="8"/>
      <c r="Z1031" s="61"/>
      <c r="AA1031" s="61"/>
      <c r="AB1031" s="61"/>
      <c r="AC1031" s="61"/>
      <c r="AD1031" s="37"/>
      <c r="AE1031" s="62"/>
      <c r="AF1031" s="62"/>
      <c r="AG1031" s="62"/>
      <c r="AH1031" s="62"/>
      <c r="AI1031" s="37"/>
      <c r="AJ1031" s="61"/>
      <c r="AK1031" s="61"/>
      <c r="AL1031" s="61"/>
      <c r="AM1031" s="61"/>
      <c r="AN1031" s="37"/>
      <c r="AO1031" s="62"/>
      <c r="AP1031" s="62"/>
      <c r="AQ1031" s="62"/>
      <c r="AR1031" s="62"/>
    </row>
    <row r="1032" spans="25:44" x14ac:dyDescent="0.15">
      <c r="Y1032" s="8"/>
      <c r="Z1032" s="61"/>
      <c r="AA1032" s="61"/>
      <c r="AB1032" s="61"/>
      <c r="AC1032" s="61"/>
      <c r="AD1032" s="37"/>
      <c r="AE1032" s="62"/>
      <c r="AF1032" s="62"/>
      <c r="AG1032" s="62"/>
      <c r="AH1032" s="62"/>
      <c r="AI1032" s="37"/>
      <c r="AJ1032" s="61"/>
      <c r="AK1032" s="61"/>
      <c r="AL1032" s="61"/>
      <c r="AM1032" s="61"/>
      <c r="AN1032" s="37"/>
      <c r="AO1032" s="62"/>
      <c r="AP1032" s="62"/>
      <c r="AQ1032" s="62"/>
      <c r="AR1032" s="62"/>
    </row>
    <row r="1033" spans="25:44" x14ac:dyDescent="0.15">
      <c r="Y1033" s="8"/>
      <c r="Z1033" s="61"/>
      <c r="AA1033" s="61"/>
      <c r="AB1033" s="61"/>
      <c r="AC1033" s="61"/>
      <c r="AD1033" s="37"/>
      <c r="AE1033" s="62"/>
      <c r="AF1033" s="62"/>
      <c r="AG1033" s="62"/>
      <c r="AH1033" s="62"/>
      <c r="AI1033" s="37"/>
      <c r="AJ1033" s="61"/>
      <c r="AK1033" s="61"/>
      <c r="AL1033" s="61"/>
      <c r="AM1033" s="61"/>
      <c r="AN1033" s="37"/>
      <c r="AO1033" s="62"/>
      <c r="AP1033" s="62"/>
      <c r="AQ1033" s="62"/>
      <c r="AR1033" s="62"/>
    </row>
    <row r="1034" spans="25:44" x14ac:dyDescent="0.15">
      <c r="Y1034" s="8"/>
      <c r="Z1034" s="61"/>
      <c r="AA1034" s="61"/>
      <c r="AB1034" s="61"/>
      <c r="AC1034" s="61"/>
      <c r="AD1034" s="37"/>
      <c r="AE1034" s="62"/>
      <c r="AF1034" s="62"/>
      <c r="AG1034" s="62"/>
      <c r="AH1034" s="62"/>
      <c r="AI1034" s="37"/>
      <c r="AJ1034" s="61"/>
      <c r="AK1034" s="61"/>
      <c r="AL1034" s="61"/>
      <c r="AM1034" s="61"/>
      <c r="AN1034" s="37"/>
      <c r="AO1034" s="62"/>
      <c r="AP1034" s="62"/>
      <c r="AQ1034" s="62"/>
      <c r="AR1034" s="62"/>
    </row>
    <row r="1035" spans="25:44" x14ac:dyDescent="0.15">
      <c r="Y1035" s="8"/>
      <c r="Z1035" s="61"/>
      <c r="AA1035" s="61"/>
      <c r="AB1035" s="61"/>
      <c r="AC1035" s="61"/>
      <c r="AD1035" s="37"/>
      <c r="AE1035" s="62"/>
      <c r="AF1035" s="62"/>
      <c r="AG1035" s="62"/>
      <c r="AH1035" s="62"/>
      <c r="AI1035" s="37"/>
      <c r="AJ1035" s="61"/>
      <c r="AK1035" s="61"/>
      <c r="AL1035" s="61"/>
      <c r="AM1035" s="61"/>
      <c r="AN1035" s="37"/>
      <c r="AO1035" s="62"/>
      <c r="AP1035" s="62"/>
      <c r="AQ1035" s="62"/>
      <c r="AR1035" s="62"/>
    </row>
    <row r="1036" spans="25:44" x14ac:dyDescent="0.15">
      <c r="Y1036" s="8"/>
      <c r="Z1036" s="61"/>
      <c r="AA1036" s="61"/>
      <c r="AB1036" s="61"/>
      <c r="AC1036" s="61"/>
      <c r="AD1036" s="37"/>
      <c r="AE1036" s="62"/>
      <c r="AF1036" s="62"/>
      <c r="AG1036" s="62"/>
      <c r="AH1036" s="62"/>
      <c r="AI1036" s="37"/>
      <c r="AJ1036" s="61"/>
      <c r="AK1036" s="61"/>
      <c r="AL1036" s="61"/>
      <c r="AM1036" s="61"/>
      <c r="AN1036" s="37"/>
      <c r="AO1036" s="62"/>
      <c r="AP1036" s="62"/>
      <c r="AQ1036" s="62"/>
      <c r="AR1036" s="62"/>
    </row>
    <row r="1037" spans="25:44" x14ac:dyDescent="0.15">
      <c r="Y1037" s="8"/>
      <c r="Z1037" s="61"/>
      <c r="AA1037" s="61"/>
      <c r="AB1037" s="61"/>
      <c r="AC1037" s="61"/>
      <c r="AD1037" s="37"/>
      <c r="AE1037" s="62"/>
      <c r="AF1037" s="62"/>
      <c r="AG1037" s="62"/>
      <c r="AH1037" s="62"/>
      <c r="AI1037" s="37"/>
      <c r="AJ1037" s="61"/>
      <c r="AK1037" s="61"/>
      <c r="AL1037" s="61"/>
      <c r="AM1037" s="61"/>
      <c r="AN1037" s="37"/>
      <c r="AO1037" s="62"/>
      <c r="AP1037" s="62"/>
      <c r="AQ1037" s="62"/>
      <c r="AR1037" s="62"/>
    </row>
    <row r="1038" spans="25:44" x14ac:dyDescent="0.15">
      <c r="Y1038" s="8"/>
      <c r="Z1038" s="61"/>
      <c r="AA1038" s="61"/>
      <c r="AB1038" s="61"/>
      <c r="AC1038" s="61"/>
      <c r="AD1038" s="37"/>
      <c r="AE1038" s="62"/>
      <c r="AF1038" s="62"/>
      <c r="AG1038" s="62"/>
      <c r="AH1038" s="62"/>
      <c r="AI1038" s="37"/>
      <c r="AJ1038" s="61"/>
      <c r="AK1038" s="61"/>
      <c r="AL1038" s="61"/>
      <c r="AM1038" s="61"/>
      <c r="AN1038" s="37"/>
      <c r="AO1038" s="62"/>
      <c r="AP1038" s="62"/>
      <c r="AQ1038" s="62"/>
      <c r="AR1038" s="62"/>
    </row>
    <row r="1039" spans="25:44" x14ac:dyDescent="0.15">
      <c r="Y1039" s="8"/>
      <c r="Z1039" s="61"/>
      <c r="AA1039" s="61"/>
      <c r="AB1039" s="61"/>
      <c r="AC1039" s="61"/>
      <c r="AD1039" s="37"/>
      <c r="AE1039" s="62"/>
      <c r="AF1039" s="62"/>
      <c r="AG1039" s="62"/>
      <c r="AH1039" s="62"/>
      <c r="AI1039" s="37"/>
      <c r="AJ1039" s="61"/>
      <c r="AK1039" s="61"/>
      <c r="AL1039" s="61"/>
      <c r="AM1039" s="61"/>
      <c r="AN1039" s="37"/>
      <c r="AO1039" s="62"/>
      <c r="AP1039" s="62"/>
      <c r="AQ1039" s="62"/>
      <c r="AR1039" s="62"/>
    </row>
    <row r="1040" spans="25:44" x14ac:dyDescent="0.15">
      <c r="Y1040" s="8"/>
      <c r="Z1040" s="61"/>
      <c r="AA1040" s="61"/>
      <c r="AB1040" s="61"/>
      <c r="AC1040" s="61"/>
      <c r="AD1040" s="37"/>
      <c r="AE1040" s="62"/>
      <c r="AF1040" s="62"/>
      <c r="AG1040" s="62"/>
      <c r="AH1040" s="62"/>
      <c r="AI1040" s="37"/>
      <c r="AJ1040" s="61"/>
      <c r="AK1040" s="61"/>
      <c r="AL1040" s="61"/>
      <c r="AM1040" s="61"/>
      <c r="AN1040" s="37"/>
      <c r="AO1040" s="62"/>
      <c r="AP1040" s="62"/>
      <c r="AQ1040" s="62"/>
      <c r="AR1040" s="62"/>
    </row>
    <row r="1041" spans="25:44" x14ac:dyDescent="0.15">
      <c r="Y1041" s="8"/>
      <c r="Z1041" s="61"/>
      <c r="AA1041" s="61"/>
      <c r="AB1041" s="61"/>
      <c r="AC1041" s="61"/>
      <c r="AD1041" s="37"/>
      <c r="AE1041" s="62"/>
      <c r="AF1041" s="62"/>
      <c r="AG1041" s="62"/>
      <c r="AH1041" s="62"/>
      <c r="AI1041" s="37"/>
      <c r="AJ1041" s="61"/>
      <c r="AK1041" s="61"/>
      <c r="AL1041" s="61"/>
      <c r="AM1041" s="61"/>
      <c r="AN1041" s="37"/>
      <c r="AO1041" s="62"/>
      <c r="AP1041" s="62"/>
      <c r="AQ1041" s="62"/>
      <c r="AR1041" s="62"/>
    </row>
    <row r="1042" spans="25:44" x14ac:dyDescent="0.15">
      <c r="Y1042" s="8"/>
      <c r="Z1042" s="61"/>
      <c r="AA1042" s="61"/>
      <c r="AB1042" s="61"/>
      <c r="AC1042" s="61"/>
      <c r="AD1042" s="37"/>
      <c r="AE1042" s="62"/>
      <c r="AF1042" s="62"/>
      <c r="AG1042" s="62"/>
      <c r="AH1042" s="62"/>
      <c r="AI1042" s="37"/>
      <c r="AJ1042" s="61"/>
      <c r="AK1042" s="61"/>
      <c r="AL1042" s="61"/>
      <c r="AM1042" s="61"/>
      <c r="AN1042" s="37"/>
      <c r="AO1042" s="62"/>
      <c r="AP1042" s="62"/>
      <c r="AQ1042" s="62"/>
      <c r="AR1042" s="62"/>
    </row>
    <row r="1043" spans="25:44" x14ac:dyDescent="0.15">
      <c r="Y1043" s="8"/>
      <c r="Z1043" s="61"/>
      <c r="AA1043" s="61"/>
      <c r="AB1043" s="61"/>
      <c r="AC1043" s="61"/>
      <c r="AD1043" s="37"/>
      <c r="AE1043" s="62"/>
      <c r="AF1043" s="62"/>
      <c r="AG1043" s="62"/>
      <c r="AH1043" s="62"/>
      <c r="AI1043" s="37"/>
      <c r="AJ1043" s="61"/>
      <c r="AK1043" s="61"/>
      <c r="AL1043" s="61"/>
      <c r="AM1043" s="61"/>
      <c r="AN1043" s="37"/>
      <c r="AO1043" s="62"/>
      <c r="AP1043" s="62"/>
      <c r="AQ1043" s="62"/>
      <c r="AR1043" s="62"/>
    </row>
    <row r="1044" spans="25:44" x14ac:dyDescent="0.15">
      <c r="Y1044" s="8"/>
      <c r="Z1044" s="61"/>
      <c r="AA1044" s="61"/>
      <c r="AB1044" s="61"/>
      <c r="AC1044" s="61"/>
      <c r="AD1044" s="37"/>
      <c r="AE1044" s="62"/>
      <c r="AF1044" s="62"/>
      <c r="AG1044" s="62"/>
      <c r="AH1044" s="62"/>
      <c r="AI1044" s="37"/>
      <c r="AJ1044" s="61"/>
      <c r="AK1044" s="61"/>
      <c r="AL1044" s="61"/>
      <c r="AM1044" s="61"/>
      <c r="AN1044" s="37"/>
      <c r="AO1044" s="62"/>
      <c r="AP1044" s="62"/>
      <c r="AQ1044" s="62"/>
      <c r="AR1044" s="62"/>
    </row>
    <row r="1045" spans="25:44" x14ac:dyDescent="0.15">
      <c r="Y1045" s="8"/>
      <c r="Z1045" s="61"/>
      <c r="AA1045" s="61"/>
      <c r="AB1045" s="61"/>
      <c r="AC1045" s="61"/>
      <c r="AD1045" s="37"/>
      <c r="AE1045" s="62"/>
      <c r="AF1045" s="62"/>
      <c r="AG1045" s="62"/>
      <c r="AH1045" s="62"/>
      <c r="AI1045" s="37"/>
      <c r="AJ1045" s="61"/>
      <c r="AK1045" s="61"/>
      <c r="AL1045" s="61"/>
      <c r="AM1045" s="61"/>
      <c r="AN1045" s="37"/>
      <c r="AO1045" s="62"/>
      <c r="AP1045" s="62"/>
      <c r="AQ1045" s="62"/>
      <c r="AR1045" s="62"/>
    </row>
    <row r="1046" spans="25:44" x14ac:dyDescent="0.15">
      <c r="Y1046" s="8"/>
      <c r="Z1046" s="61"/>
      <c r="AA1046" s="61"/>
      <c r="AB1046" s="61"/>
      <c r="AC1046" s="61"/>
      <c r="AD1046" s="37"/>
      <c r="AE1046" s="62"/>
      <c r="AF1046" s="62"/>
      <c r="AG1046" s="62"/>
      <c r="AH1046" s="62"/>
      <c r="AI1046" s="37"/>
      <c r="AJ1046" s="61"/>
      <c r="AK1046" s="61"/>
      <c r="AL1046" s="61"/>
      <c r="AM1046" s="61"/>
      <c r="AN1046" s="37"/>
      <c r="AO1046" s="62"/>
      <c r="AP1046" s="62"/>
      <c r="AQ1046" s="62"/>
      <c r="AR1046" s="62"/>
    </row>
    <row r="1047" spans="25:44" x14ac:dyDescent="0.15">
      <c r="Y1047" s="8"/>
      <c r="Z1047" s="61"/>
      <c r="AA1047" s="61"/>
      <c r="AB1047" s="61"/>
      <c r="AC1047" s="61"/>
      <c r="AD1047" s="37"/>
      <c r="AE1047" s="62"/>
      <c r="AF1047" s="62"/>
      <c r="AG1047" s="62"/>
      <c r="AH1047" s="62"/>
      <c r="AI1047" s="37"/>
      <c r="AJ1047" s="61"/>
      <c r="AK1047" s="61"/>
      <c r="AL1047" s="61"/>
      <c r="AM1047" s="61"/>
      <c r="AN1047" s="37"/>
      <c r="AO1047" s="62"/>
      <c r="AP1047" s="62"/>
      <c r="AQ1047" s="62"/>
      <c r="AR1047" s="62"/>
    </row>
    <row r="1048" spans="25:44" x14ac:dyDescent="0.15">
      <c r="Y1048" s="8"/>
      <c r="Z1048" s="61"/>
      <c r="AA1048" s="61"/>
      <c r="AB1048" s="61"/>
      <c r="AC1048" s="61"/>
      <c r="AD1048" s="37"/>
      <c r="AE1048" s="62"/>
      <c r="AF1048" s="62"/>
      <c r="AG1048" s="62"/>
      <c r="AH1048" s="62"/>
      <c r="AI1048" s="37"/>
      <c r="AJ1048" s="61"/>
      <c r="AK1048" s="61"/>
      <c r="AL1048" s="61"/>
      <c r="AM1048" s="61"/>
      <c r="AN1048" s="37"/>
      <c r="AO1048" s="62"/>
      <c r="AP1048" s="62"/>
      <c r="AQ1048" s="62"/>
      <c r="AR1048" s="62"/>
    </row>
    <row r="1049" spans="25:44" x14ac:dyDescent="0.15">
      <c r="Y1049" s="8"/>
      <c r="Z1049" s="61"/>
      <c r="AA1049" s="61"/>
      <c r="AB1049" s="61"/>
      <c r="AC1049" s="61"/>
      <c r="AD1049" s="37"/>
      <c r="AE1049" s="62"/>
      <c r="AF1049" s="62"/>
      <c r="AG1049" s="62"/>
      <c r="AH1049" s="62"/>
      <c r="AI1049" s="37"/>
      <c r="AJ1049" s="61"/>
      <c r="AK1049" s="61"/>
      <c r="AL1049" s="61"/>
      <c r="AM1049" s="61"/>
      <c r="AN1049" s="37"/>
      <c r="AO1049" s="62"/>
      <c r="AP1049" s="62"/>
      <c r="AQ1049" s="62"/>
      <c r="AR1049" s="62"/>
    </row>
    <row r="1050" spans="25:44" x14ac:dyDescent="0.15">
      <c r="Y1050" s="8"/>
      <c r="Z1050" s="61"/>
      <c r="AA1050" s="61"/>
      <c r="AB1050" s="61"/>
      <c r="AC1050" s="61"/>
      <c r="AD1050" s="37"/>
      <c r="AE1050" s="62"/>
      <c r="AF1050" s="62"/>
      <c r="AG1050" s="62"/>
      <c r="AH1050" s="62"/>
      <c r="AI1050" s="37"/>
      <c r="AJ1050" s="61"/>
      <c r="AK1050" s="61"/>
      <c r="AL1050" s="61"/>
      <c r="AM1050" s="61"/>
      <c r="AN1050" s="37"/>
      <c r="AO1050" s="62"/>
      <c r="AP1050" s="62"/>
      <c r="AQ1050" s="62"/>
      <c r="AR1050" s="62"/>
    </row>
    <row r="1051" spans="25:44" x14ac:dyDescent="0.15">
      <c r="Y1051" s="8"/>
      <c r="Z1051" s="61"/>
      <c r="AA1051" s="61"/>
      <c r="AB1051" s="61"/>
      <c r="AC1051" s="61"/>
      <c r="AD1051" s="37"/>
      <c r="AE1051" s="62"/>
      <c r="AF1051" s="62"/>
      <c r="AG1051" s="62"/>
      <c r="AH1051" s="62"/>
      <c r="AI1051" s="37"/>
      <c r="AJ1051" s="61"/>
      <c r="AK1051" s="61"/>
      <c r="AL1051" s="61"/>
      <c r="AM1051" s="61"/>
      <c r="AN1051" s="37"/>
      <c r="AO1051" s="62"/>
      <c r="AP1051" s="62"/>
      <c r="AQ1051" s="62"/>
      <c r="AR1051" s="62"/>
    </row>
    <row r="1052" spans="25:44" x14ac:dyDescent="0.15">
      <c r="Y1052" s="8"/>
      <c r="Z1052" s="61"/>
      <c r="AA1052" s="61"/>
      <c r="AB1052" s="61"/>
      <c r="AC1052" s="61"/>
      <c r="AD1052" s="37"/>
      <c r="AE1052" s="62"/>
      <c r="AF1052" s="62"/>
      <c r="AG1052" s="62"/>
      <c r="AH1052" s="62"/>
      <c r="AI1052" s="37"/>
      <c r="AJ1052" s="61"/>
      <c r="AK1052" s="61"/>
      <c r="AL1052" s="61"/>
      <c r="AM1052" s="61"/>
      <c r="AN1052" s="37"/>
      <c r="AO1052" s="62"/>
      <c r="AP1052" s="62"/>
      <c r="AQ1052" s="62"/>
      <c r="AR1052" s="62"/>
    </row>
    <row r="1053" spans="25:44" x14ac:dyDescent="0.15">
      <c r="Y1053" s="8"/>
      <c r="Z1053" s="61"/>
      <c r="AA1053" s="61"/>
      <c r="AB1053" s="61"/>
      <c r="AC1053" s="61"/>
      <c r="AD1053" s="37"/>
      <c r="AE1053" s="62"/>
      <c r="AF1053" s="62"/>
      <c r="AG1053" s="62"/>
      <c r="AH1053" s="62"/>
      <c r="AI1053" s="37"/>
      <c r="AJ1053" s="61"/>
      <c r="AK1053" s="61"/>
      <c r="AL1053" s="61"/>
      <c r="AM1053" s="61"/>
      <c r="AN1053" s="37"/>
      <c r="AO1053" s="62"/>
      <c r="AP1053" s="62"/>
      <c r="AQ1053" s="62"/>
      <c r="AR1053" s="62"/>
    </row>
    <row r="1054" spans="25:44" x14ac:dyDescent="0.15">
      <c r="Y1054" s="8"/>
      <c r="Z1054" s="61"/>
      <c r="AA1054" s="61"/>
      <c r="AB1054" s="61"/>
      <c r="AC1054" s="61"/>
      <c r="AD1054" s="37"/>
      <c r="AE1054" s="62"/>
      <c r="AF1054" s="62"/>
      <c r="AG1054" s="62"/>
      <c r="AH1054" s="62"/>
      <c r="AI1054" s="37"/>
      <c r="AJ1054" s="61"/>
      <c r="AK1054" s="61"/>
      <c r="AL1054" s="61"/>
      <c r="AM1054" s="61"/>
      <c r="AN1054" s="37"/>
      <c r="AO1054" s="62"/>
      <c r="AP1054" s="62"/>
      <c r="AQ1054" s="62"/>
      <c r="AR1054" s="62"/>
    </row>
    <row r="1055" spans="25:44" x14ac:dyDescent="0.15">
      <c r="Y1055" s="8"/>
      <c r="Z1055" s="61"/>
      <c r="AA1055" s="61"/>
      <c r="AB1055" s="61"/>
      <c r="AC1055" s="61"/>
      <c r="AD1055" s="37"/>
      <c r="AE1055" s="62"/>
      <c r="AF1055" s="62"/>
      <c r="AG1055" s="62"/>
      <c r="AH1055" s="62"/>
      <c r="AI1055" s="37"/>
      <c r="AJ1055" s="61"/>
      <c r="AK1055" s="61"/>
      <c r="AL1055" s="61"/>
      <c r="AM1055" s="61"/>
      <c r="AN1055" s="37"/>
      <c r="AO1055" s="62"/>
      <c r="AP1055" s="62"/>
      <c r="AQ1055" s="62"/>
      <c r="AR1055" s="62"/>
    </row>
    <row r="1056" spans="25:44" x14ac:dyDescent="0.15">
      <c r="Y1056" s="8"/>
      <c r="Z1056" s="61"/>
      <c r="AA1056" s="61"/>
      <c r="AB1056" s="61"/>
      <c r="AC1056" s="61"/>
      <c r="AD1056" s="37"/>
      <c r="AE1056" s="62"/>
      <c r="AF1056" s="62"/>
      <c r="AG1056" s="62"/>
      <c r="AH1056" s="62"/>
      <c r="AI1056" s="37"/>
      <c r="AJ1056" s="61"/>
      <c r="AK1056" s="61"/>
      <c r="AL1056" s="61"/>
      <c r="AM1056" s="61"/>
      <c r="AN1056" s="37"/>
      <c r="AO1056" s="62"/>
      <c r="AP1056" s="62"/>
      <c r="AQ1056" s="62"/>
      <c r="AR1056" s="62"/>
    </row>
    <row r="1057" spans="25:44" x14ac:dyDescent="0.15">
      <c r="Y1057" s="8"/>
      <c r="Z1057" s="61"/>
      <c r="AA1057" s="61"/>
      <c r="AB1057" s="61"/>
      <c r="AC1057" s="61"/>
      <c r="AD1057" s="37"/>
      <c r="AE1057" s="62"/>
      <c r="AF1057" s="62"/>
      <c r="AG1057" s="62"/>
      <c r="AH1057" s="62"/>
      <c r="AI1057" s="37"/>
      <c r="AJ1057" s="61"/>
      <c r="AK1057" s="61"/>
      <c r="AL1057" s="61"/>
      <c r="AM1057" s="61"/>
      <c r="AN1057" s="37"/>
      <c r="AO1057" s="62"/>
      <c r="AP1057" s="62"/>
      <c r="AQ1057" s="62"/>
      <c r="AR1057" s="62"/>
    </row>
    <row r="1058" spans="25:44" x14ac:dyDescent="0.15">
      <c r="Y1058" s="8"/>
      <c r="Z1058" s="61"/>
      <c r="AA1058" s="61"/>
      <c r="AB1058" s="61"/>
      <c r="AC1058" s="61"/>
      <c r="AD1058" s="37"/>
      <c r="AE1058" s="62"/>
      <c r="AF1058" s="62"/>
      <c r="AG1058" s="62"/>
      <c r="AH1058" s="62"/>
      <c r="AI1058" s="37"/>
      <c r="AJ1058" s="61"/>
      <c r="AK1058" s="61"/>
      <c r="AL1058" s="61"/>
      <c r="AM1058" s="61"/>
      <c r="AN1058" s="37"/>
      <c r="AO1058" s="62"/>
      <c r="AP1058" s="62"/>
      <c r="AQ1058" s="62"/>
      <c r="AR1058" s="62"/>
    </row>
    <row r="1059" spans="25:44" x14ac:dyDescent="0.15">
      <c r="Y1059" s="8"/>
      <c r="Z1059" s="61"/>
      <c r="AA1059" s="61"/>
      <c r="AB1059" s="61"/>
      <c r="AC1059" s="61"/>
      <c r="AD1059" s="37"/>
      <c r="AE1059" s="62"/>
      <c r="AF1059" s="62"/>
      <c r="AG1059" s="62"/>
      <c r="AH1059" s="62"/>
      <c r="AI1059" s="37"/>
      <c r="AJ1059" s="61"/>
      <c r="AK1059" s="61"/>
      <c r="AL1059" s="61"/>
      <c r="AM1059" s="61"/>
      <c r="AN1059" s="37"/>
      <c r="AO1059" s="62"/>
      <c r="AP1059" s="62"/>
      <c r="AQ1059" s="62"/>
      <c r="AR1059" s="62"/>
    </row>
    <row r="1060" spans="25:44" x14ac:dyDescent="0.15">
      <c r="Y1060" s="8"/>
      <c r="Z1060" s="61"/>
      <c r="AA1060" s="61"/>
      <c r="AB1060" s="61"/>
      <c r="AC1060" s="61"/>
      <c r="AD1060" s="37"/>
      <c r="AE1060" s="62"/>
      <c r="AF1060" s="62"/>
      <c r="AG1060" s="62"/>
      <c r="AH1060" s="62"/>
      <c r="AI1060" s="37"/>
      <c r="AJ1060" s="61"/>
      <c r="AK1060" s="61"/>
      <c r="AL1060" s="61"/>
      <c r="AM1060" s="61"/>
      <c r="AN1060" s="37"/>
      <c r="AO1060" s="62"/>
      <c r="AP1060" s="62"/>
      <c r="AQ1060" s="62"/>
      <c r="AR1060" s="62"/>
    </row>
    <row r="1061" spans="25:44" x14ac:dyDescent="0.15">
      <c r="Y1061" s="8"/>
      <c r="Z1061" s="61"/>
      <c r="AA1061" s="61"/>
      <c r="AB1061" s="61"/>
      <c r="AC1061" s="61"/>
      <c r="AD1061" s="37"/>
      <c r="AE1061" s="62"/>
      <c r="AF1061" s="62"/>
      <c r="AG1061" s="62"/>
      <c r="AH1061" s="62"/>
      <c r="AI1061" s="37"/>
      <c r="AJ1061" s="61"/>
      <c r="AK1061" s="61"/>
      <c r="AL1061" s="61"/>
      <c r="AM1061" s="61"/>
      <c r="AN1061" s="37"/>
      <c r="AO1061" s="62"/>
      <c r="AP1061" s="62"/>
      <c r="AQ1061" s="62"/>
      <c r="AR1061" s="62"/>
    </row>
    <row r="1062" spans="25:44" x14ac:dyDescent="0.15">
      <c r="Y1062" s="8"/>
      <c r="Z1062" s="61"/>
      <c r="AA1062" s="61"/>
      <c r="AB1062" s="61"/>
      <c r="AC1062" s="61"/>
      <c r="AD1062" s="37"/>
      <c r="AE1062" s="62"/>
      <c r="AF1062" s="62"/>
      <c r="AG1062" s="62"/>
      <c r="AH1062" s="62"/>
      <c r="AI1062" s="37"/>
      <c r="AJ1062" s="61"/>
      <c r="AK1062" s="61"/>
      <c r="AL1062" s="61"/>
      <c r="AM1062" s="61"/>
      <c r="AN1062" s="37"/>
      <c r="AO1062" s="62"/>
      <c r="AP1062" s="62"/>
      <c r="AQ1062" s="62"/>
      <c r="AR1062" s="62"/>
    </row>
    <row r="1063" spans="25:44" x14ac:dyDescent="0.15">
      <c r="Y1063" s="8"/>
      <c r="Z1063" s="61"/>
      <c r="AA1063" s="61"/>
      <c r="AB1063" s="61"/>
      <c r="AC1063" s="61"/>
      <c r="AD1063" s="37"/>
      <c r="AE1063" s="62"/>
      <c r="AF1063" s="62"/>
      <c r="AG1063" s="62"/>
      <c r="AH1063" s="62"/>
      <c r="AI1063" s="37"/>
      <c r="AJ1063" s="61"/>
      <c r="AK1063" s="61"/>
      <c r="AL1063" s="61"/>
      <c r="AM1063" s="61"/>
      <c r="AN1063" s="37"/>
      <c r="AO1063" s="62"/>
      <c r="AP1063" s="62"/>
      <c r="AQ1063" s="62"/>
      <c r="AR1063" s="62"/>
    </row>
    <row r="1064" spans="25:44" x14ac:dyDescent="0.15">
      <c r="Y1064" s="8"/>
      <c r="Z1064" s="61"/>
      <c r="AA1064" s="61"/>
      <c r="AB1064" s="61"/>
      <c r="AC1064" s="61"/>
      <c r="AD1064" s="37"/>
      <c r="AE1064" s="62"/>
      <c r="AF1064" s="62"/>
      <c r="AG1064" s="62"/>
      <c r="AH1064" s="62"/>
      <c r="AI1064" s="37"/>
      <c r="AJ1064" s="61"/>
      <c r="AK1064" s="61"/>
      <c r="AL1064" s="61"/>
      <c r="AM1064" s="61"/>
      <c r="AN1064" s="37"/>
      <c r="AO1064" s="62"/>
      <c r="AP1064" s="62"/>
      <c r="AQ1064" s="62"/>
      <c r="AR1064" s="62"/>
    </row>
    <row r="1065" spans="25:44" x14ac:dyDescent="0.15">
      <c r="Y1065" s="8"/>
      <c r="Z1065" s="61"/>
      <c r="AA1065" s="61"/>
      <c r="AB1065" s="61"/>
      <c r="AC1065" s="61"/>
      <c r="AD1065" s="37"/>
      <c r="AE1065" s="62"/>
      <c r="AF1065" s="62"/>
      <c r="AG1065" s="62"/>
      <c r="AH1065" s="62"/>
      <c r="AI1065" s="37"/>
      <c r="AJ1065" s="61"/>
      <c r="AK1065" s="61"/>
      <c r="AL1065" s="61"/>
      <c r="AM1065" s="61"/>
      <c r="AN1065" s="37"/>
      <c r="AO1065" s="62"/>
      <c r="AP1065" s="62"/>
      <c r="AQ1065" s="62"/>
      <c r="AR1065" s="62"/>
    </row>
    <row r="1066" spans="25:44" x14ac:dyDescent="0.15">
      <c r="Y1066" s="8"/>
      <c r="Z1066" s="61"/>
      <c r="AA1066" s="61"/>
      <c r="AB1066" s="61"/>
      <c r="AC1066" s="61"/>
      <c r="AD1066" s="37"/>
      <c r="AE1066" s="62"/>
      <c r="AF1066" s="62"/>
      <c r="AG1066" s="62"/>
      <c r="AH1066" s="62"/>
      <c r="AI1066" s="37"/>
      <c r="AJ1066" s="61"/>
      <c r="AK1066" s="61"/>
      <c r="AL1066" s="61"/>
      <c r="AM1066" s="61"/>
      <c r="AN1066" s="37"/>
      <c r="AO1066" s="62"/>
      <c r="AP1066" s="62"/>
      <c r="AQ1066" s="62"/>
      <c r="AR1066" s="62"/>
    </row>
    <row r="1067" spans="25:44" x14ac:dyDescent="0.15">
      <c r="Y1067" s="8"/>
      <c r="Z1067" s="61"/>
      <c r="AA1067" s="61"/>
      <c r="AB1067" s="61"/>
      <c r="AC1067" s="61"/>
      <c r="AD1067" s="37"/>
      <c r="AE1067" s="62"/>
      <c r="AF1067" s="62"/>
      <c r="AG1067" s="62"/>
      <c r="AH1067" s="62"/>
      <c r="AI1067" s="37"/>
      <c r="AJ1067" s="61"/>
      <c r="AK1067" s="61"/>
      <c r="AL1067" s="61"/>
      <c r="AM1067" s="61"/>
      <c r="AN1067" s="37"/>
      <c r="AO1067" s="62"/>
      <c r="AP1067" s="62"/>
      <c r="AQ1067" s="62"/>
      <c r="AR1067" s="62"/>
    </row>
    <row r="1068" spans="25:44" x14ac:dyDescent="0.15">
      <c r="Y1068" s="8"/>
      <c r="Z1068" s="61"/>
      <c r="AA1068" s="61"/>
      <c r="AB1068" s="61"/>
      <c r="AC1068" s="61"/>
      <c r="AD1068" s="37"/>
      <c r="AE1068" s="62"/>
      <c r="AF1068" s="62"/>
      <c r="AG1068" s="62"/>
      <c r="AH1068" s="62"/>
      <c r="AI1068" s="37"/>
      <c r="AJ1068" s="61"/>
      <c r="AK1068" s="61"/>
      <c r="AL1068" s="61"/>
      <c r="AM1068" s="61"/>
      <c r="AN1068" s="37"/>
      <c r="AO1068" s="62"/>
      <c r="AP1068" s="62"/>
      <c r="AQ1068" s="62"/>
      <c r="AR1068" s="62"/>
    </row>
    <row r="1069" spans="25:44" x14ac:dyDescent="0.15">
      <c r="Y1069" s="8"/>
      <c r="Z1069" s="61"/>
      <c r="AA1069" s="61"/>
      <c r="AB1069" s="61"/>
      <c r="AC1069" s="61"/>
      <c r="AD1069" s="37"/>
      <c r="AE1069" s="62"/>
      <c r="AF1069" s="62"/>
      <c r="AG1069" s="62"/>
      <c r="AH1069" s="62"/>
      <c r="AI1069" s="37"/>
      <c r="AJ1069" s="61"/>
      <c r="AK1069" s="61"/>
      <c r="AL1069" s="61"/>
      <c r="AM1069" s="61"/>
      <c r="AN1069" s="37"/>
      <c r="AO1069" s="62"/>
      <c r="AP1069" s="62"/>
      <c r="AQ1069" s="62"/>
      <c r="AR1069" s="62"/>
    </row>
    <row r="1070" spans="25:44" x14ac:dyDescent="0.15">
      <c r="Y1070" s="8"/>
      <c r="Z1070" s="61"/>
      <c r="AA1070" s="61"/>
      <c r="AB1070" s="61"/>
      <c r="AC1070" s="61"/>
      <c r="AD1070" s="37"/>
      <c r="AE1070" s="62"/>
      <c r="AF1070" s="62"/>
      <c r="AG1070" s="62"/>
      <c r="AH1070" s="62"/>
      <c r="AI1070" s="37"/>
      <c r="AJ1070" s="61"/>
      <c r="AK1070" s="61"/>
      <c r="AL1070" s="61"/>
      <c r="AM1070" s="61"/>
      <c r="AN1070" s="37"/>
      <c r="AO1070" s="62"/>
      <c r="AP1070" s="62"/>
      <c r="AQ1070" s="62"/>
      <c r="AR1070" s="62"/>
    </row>
    <row r="1071" spans="25:44" x14ac:dyDescent="0.15">
      <c r="Y1071" s="8"/>
      <c r="Z1071" s="61"/>
      <c r="AA1071" s="61"/>
      <c r="AB1071" s="61"/>
      <c r="AC1071" s="61"/>
      <c r="AD1071" s="37"/>
      <c r="AE1071" s="62"/>
      <c r="AF1071" s="62"/>
      <c r="AG1071" s="62"/>
      <c r="AH1071" s="62"/>
      <c r="AI1071" s="37"/>
      <c r="AJ1071" s="61"/>
      <c r="AK1071" s="61"/>
      <c r="AL1071" s="61"/>
      <c r="AM1071" s="61"/>
      <c r="AN1071" s="37"/>
      <c r="AO1071" s="62"/>
      <c r="AP1071" s="62"/>
      <c r="AQ1071" s="62"/>
      <c r="AR1071" s="62"/>
    </row>
    <row r="1072" spans="25:44" x14ac:dyDescent="0.15">
      <c r="Y1072" s="8"/>
      <c r="Z1072" s="61"/>
      <c r="AA1072" s="61"/>
      <c r="AB1072" s="61"/>
      <c r="AC1072" s="61"/>
      <c r="AD1072" s="37"/>
      <c r="AE1072" s="62"/>
      <c r="AF1072" s="62"/>
      <c r="AG1072" s="62"/>
      <c r="AH1072" s="62"/>
      <c r="AI1072" s="37"/>
      <c r="AJ1072" s="61"/>
      <c r="AK1072" s="61"/>
      <c r="AL1072" s="61"/>
      <c r="AM1072" s="61"/>
      <c r="AN1072" s="37"/>
      <c r="AO1072" s="62"/>
      <c r="AP1072" s="62"/>
      <c r="AQ1072" s="62"/>
      <c r="AR1072" s="62"/>
    </row>
    <row r="1073" spans="25:44" x14ac:dyDescent="0.15">
      <c r="Y1073" s="8"/>
      <c r="Z1073" s="61"/>
      <c r="AA1073" s="61"/>
      <c r="AB1073" s="61"/>
      <c r="AC1073" s="61"/>
      <c r="AD1073" s="37"/>
      <c r="AE1073" s="62"/>
      <c r="AF1073" s="62"/>
      <c r="AG1073" s="62"/>
      <c r="AH1073" s="62"/>
      <c r="AI1073" s="37"/>
      <c r="AJ1073" s="61"/>
      <c r="AK1073" s="61"/>
      <c r="AL1073" s="61"/>
      <c r="AM1073" s="61"/>
      <c r="AN1073" s="37"/>
      <c r="AO1073" s="62"/>
      <c r="AP1073" s="62"/>
      <c r="AQ1073" s="62"/>
      <c r="AR1073" s="62"/>
    </row>
    <row r="1074" spans="25:44" x14ac:dyDescent="0.15">
      <c r="Y1074" s="8"/>
      <c r="Z1074" s="61"/>
      <c r="AA1074" s="61"/>
      <c r="AB1074" s="61"/>
      <c r="AC1074" s="61"/>
      <c r="AD1074" s="37"/>
      <c r="AE1074" s="62"/>
      <c r="AF1074" s="62"/>
      <c r="AG1074" s="62"/>
      <c r="AH1074" s="62"/>
      <c r="AI1074" s="37"/>
      <c r="AJ1074" s="61"/>
      <c r="AK1074" s="61"/>
      <c r="AL1074" s="61"/>
      <c r="AM1074" s="61"/>
      <c r="AN1074" s="37"/>
      <c r="AO1074" s="62"/>
      <c r="AP1074" s="62"/>
      <c r="AQ1074" s="62"/>
      <c r="AR1074" s="62"/>
    </row>
    <row r="1075" spans="25:44" x14ac:dyDescent="0.15">
      <c r="Y1075" s="8"/>
      <c r="Z1075" s="61"/>
      <c r="AA1075" s="61"/>
      <c r="AB1075" s="61"/>
      <c r="AC1075" s="61"/>
      <c r="AD1075" s="37"/>
      <c r="AE1075" s="62"/>
      <c r="AF1075" s="62"/>
      <c r="AG1075" s="62"/>
      <c r="AH1075" s="62"/>
      <c r="AI1075" s="37"/>
      <c r="AJ1075" s="61"/>
      <c r="AK1075" s="61"/>
      <c r="AL1075" s="61"/>
      <c r="AM1075" s="61"/>
      <c r="AN1075" s="37"/>
      <c r="AO1075" s="62"/>
      <c r="AP1075" s="62"/>
      <c r="AQ1075" s="62"/>
      <c r="AR1075" s="62"/>
    </row>
    <row r="1076" spans="25:44" x14ac:dyDescent="0.15">
      <c r="Y1076" s="8"/>
      <c r="Z1076" s="61"/>
      <c r="AA1076" s="61"/>
      <c r="AB1076" s="61"/>
      <c r="AC1076" s="61"/>
      <c r="AD1076" s="37"/>
      <c r="AE1076" s="62"/>
      <c r="AF1076" s="62"/>
      <c r="AG1076" s="62"/>
      <c r="AH1076" s="62"/>
      <c r="AI1076" s="37"/>
      <c r="AJ1076" s="61"/>
      <c r="AK1076" s="61"/>
      <c r="AL1076" s="61"/>
      <c r="AM1076" s="61"/>
      <c r="AN1076" s="37"/>
      <c r="AO1076" s="62"/>
      <c r="AP1076" s="62"/>
      <c r="AQ1076" s="62"/>
      <c r="AR1076" s="62"/>
    </row>
    <row r="1077" spans="25:44" x14ac:dyDescent="0.15">
      <c r="Y1077" s="8"/>
      <c r="Z1077" s="61"/>
      <c r="AA1077" s="61"/>
      <c r="AB1077" s="61"/>
      <c r="AC1077" s="61"/>
      <c r="AD1077" s="37"/>
      <c r="AE1077" s="62"/>
      <c r="AF1077" s="62"/>
      <c r="AG1077" s="62"/>
      <c r="AH1077" s="62"/>
      <c r="AI1077" s="37"/>
      <c r="AJ1077" s="61"/>
      <c r="AK1077" s="61"/>
      <c r="AL1077" s="61"/>
      <c r="AM1077" s="61"/>
      <c r="AN1077" s="37"/>
      <c r="AO1077" s="62"/>
      <c r="AP1077" s="62"/>
      <c r="AQ1077" s="62"/>
      <c r="AR1077" s="62"/>
    </row>
    <row r="1078" spans="25:44" x14ac:dyDescent="0.15">
      <c r="Y1078" s="8"/>
      <c r="Z1078" s="61"/>
      <c r="AA1078" s="61"/>
      <c r="AB1078" s="61"/>
      <c r="AC1078" s="61"/>
      <c r="AD1078" s="37"/>
      <c r="AE1078" s="62"/>
      <c r="AF1078" s="62"/>
      <c r="AG1078" s="62"/>
      <c r="AH1078" s="62"/>
      <c r="AI1078" s="37"/>
      <c r="AJ1078" s="61"/>
      <c r="AK1078" s="61"/>
      <c r="AL1078" s="61"/>
      <c r="AM1078" s="61"/>
      <c r="AN1078" s="37"/>
      <c r="AO1078" s="62"/>
      <c r="AP1078" s="62"/>
      <c r="AQ1078" s="62"/>
      <c r="AR1078" s="62"/>
    </row>
    <row r="1079" spans="25:44" x14ac:dyDescent="0.15">
      <c r="Y1079" s="8"/>
      <c r="Z1079" s="61"/>
      <c r="AA1079" s="61"/>
      <c r="AB1079" s="61"/>
      <c r="AC1079" s="61"/>
      <c r="AD1079" s="37"/>
      <c r="AE1079" s="62"/>
      <c r="AF1079" s="62"/>
      <c r="AG1079" s="62"/>
      <c r="AH1079" s="62"/>
      <c r="AI1079" s="37"/>
      <c r="AJ1079" s="61"/>
      <c r="AK1079" s="61"/>
      <c r="AL1079" s="61"/>
      <c r="AM1079" s="61"/>
      <c r="AN1079" s="37"/>
      <c r="AO1079" s="62"/>
      <c r="AP1079" s="62"/>
      <c r="AQ1079" s="62"/>
      <c r="AR1079" s="62"/>
    </row>
    <row r="1080" spans="25:44" x14ac:dyDescent="0.15">
      <c r="Y1080" s="8"/>
      <c r="Z1080" s="61"/>
      <c r="AA1080" s="61"/>
      <c r="AB1080" s="61"/>
      <c r="AC1080" s="61"/>
      <c r="AD1080" s="37"/>
      <c r="AE1080" s="62"/>
      <c r="AF1080" s="62"/>
      <c r="AG1080" s="62"/>
      <c r="AH1080" s="62"/>
      <c r="AI1080" s="37"/>
      <c r="AJ1080" s="61"/>
      <c r="AK1080" s="61"/>
      <c r="AL1080" s="61"/>
      <c r="AM1080" s="61"/>
      <c r="AN1080" s="37"/>
      <c r="AO1080" s="62"/>
      <c r="AP1080" s="62"/>
      <c r="AQ1080" s="62"/>
      <c r="AR1080" s="62"/>
    </row>
    <row r="1081" spans="25:44" x14ac:dyDescent="0.15">
      <c r="Y1081" s="8"/>
      <c r="Z1081" s="61"/>
      <c r="AA1081" s="61"/>
      <c r="AB1081" s="61"/>
      <c r="AC1081" s="61"/>
      <c r="AD1081" s="37"/>
      <c r="AE1081" s="62"/>
      <c r="AF1081" s="62"/>
      <c r="AG1081" s="62"/>
      <c r="AH1081" s="62"/>
      <c r="AI1081" s="37"/>
      <c r="AJ1081" s="61"/>
      <c r="AK1081" s="61"/>
      <c r="AL1081" s="61"/>
      <c r="AM1081" s="61"/>
      <c r="AN1081" s="37"/>
      <c r="AO1081" s="62"/>
      <c r="AP1081" s="62"/>
      <c r="AQ1081" s="62"/>
      <c r="AR1081" s="62"/>
    </row>
    <row r="1082" spans="25:44" x14ac:dyDescent="0.15">
      <c r="Y1082" s="8"/>
      <c r="Z1082" s="61"/>
      <c r="AA1082" s="61"/>
      <c r="AB1082" s="61"/>
      <c r="AC1082" s="61"/>
      <c r="AD1082" s="37"/>
      <c r="AE1082" s="62"/>
      <c r="AF1082" s="62"/>
      <c r="AG1082" s="62"/>
      <c r="AH1082" s="62"/>
      <c r="AI1082" s="37"/>
      <c r="AJ1082" s="61"/>
      <c r="AK1082" s="61"/>
      <c r="AL1082" s="61"/>
      <c r="AM1082" s="61"/>
      <c r="AN1082" s="37"/>
      <c r="AO1082" s="62"/>
      <c r="AP1082" s="62"/>
      <c r="AQ1082" s="62"/>
      <c r="AR1082" s="62"/>
    </row>
    <row r="1083" spans="25:44" x14ac:dyDescent="0.15">
      <c r="Y1083" s="8"/>
      <c r="Z1083" s="61"/>
      <c r="AA1083" s="61"/>
      <c r="AB1083" s="61"/>
      <c r="AC1083" s="61"/>
      <c r="AD1083" s="37"/>
      <c r="AE1083" s="62"/>
      <c r="AF1083" s="62"/>
      <c r="AG1083" s="62"/>
      <c r="AH1083" s="62"/>
      <c r="AI1083" s="37"/>
      <c r="AJ1083" s="61"/>
      <c r="AK1083" s="61"/>
      <c r="AL1083" s="61"/>
      <c r="AM1083" s="61"/>
      <c r="AN1083" s="37"/>
      <c r="AO1083" s="62"/>
      <c r="AP1083" s="62"/>
      <c r="AQ1083" s="62"/>
      <c r="AR1083" s="62"/>
    </row>
    <row r="1084" spans="25:44" x14ac:dyDescent="0.15">
      <c r="Y1084" s="8"/>
      <c r="Z1084" s="61"/>
      <c r="AA1084" s="61"/>
      <c r="AB1084" s="61"/>
      <c r="AC1084" s="61"/>
      <c r="AD1084" s="37"/>
      <c r="AE1084" s="62"/>
      <c r="AF1084" s="62"/>
      <c r="AG1084" s="62"/>
      <c r="AH1084" s="62"/>
      <c r="AI1084" s="37"/>
      <c r="AJ1084" s="61"/>
      <c r="AK1084" s="61"/>
      <c r="AL1084" s="61"/>
      <c r="AM1084" s="61"/>
      <c r="AN1084" s="37"/>
      <c r="AO1084" s="62"/>
      <c r="AP1084" s="62"/>
      <c r="AQ1084" s="62"/>
      <c r="AR1084" s="62"/>
    </row>
    <row r="1085" spans="25:44" x14ac:dyDescent="0.15">
      <c r="Y1085" s="8"/>
      <c r="Z1085" s="61"/>
      <c r="AA1085" s="61"/>
      <c r="AB1085" s="61"/>
      <c r="AC1085" s="61"/>
      <c r="AD1085" s="37"/>
      <c r="AE1085" s="62"/>
      <c r="AF1085" s="62"/>
      <c r="AG1085" s="62"/>
      <c r="AH1085" s="62"/>
      <c r="AI1085" s="37"/>
      <c r="AJ1085" s="61"/>
      <c r="AK1085" s="61"/>
      <c r="AL1085" s="61"/>
      <c r="AM1085" s="61"/>
      <c r="AN1085" s="37"/>
      <c r="AO1085" s="62"/>
      <c r="AP1085" s="62"/>
      <c r="AQ1085" s="62"/>
      <c r="AR1085" s="62"/>
    </row>
    <row r="1086" spans="25:44" x14ac:dyDescent="0.15">
      <c r="Y1086" s="8"/>
      <c r="Z1086" s="61"/>
      <c r="AA1086" s="61"/>
      <c r="AB1086" s="61"/>
      <c r="AC1086" s="61"/>
      <c r="AD1086" s="37"/>
      <c r="AE1086" s="62"/>
      <c r="AF1086" s="62"/>
      <c r="AG1086" s="62"/>
      <c r="AH1086" s="62"/>
      <c r="AI1086" s="37"/>
      <c r="AJ1086" s="61"/>
      <c r="AK1086" s="61"/>
      <c r="AL1086" s="61"/>
      <c r="AM1086" s="61"/>
      <c r="AN1086" s="37"/>
      <c r="AO1086" s="62"/>
      <c r="AP1086" s="62"/>
      <c r="AQ1086" s="62"/>
      <c r="AR1086" s="62"/>
    </row>
    <row r="1087" spans="25:44" x14ac:dyDescent="0.15">
      <c r="Y1087" s="8"/>
      <c r="Z1087" s="61"/>
      <c r="AA1087" s="61"/>
      <c r="AB1087" s="61"/>
      <c r="AC1087" s="61"/>
      <c r="AD1087" s="37"/>
      <c r="AE1087" s="62"/>
      <c r="AF1087" s="62"/>
      <c r="AG1087" s="62"/>
      <c r="AH1087" s="62"/>
      <c r="AI1087" s="37"/>
      <c r="AJ1087" s="61"/>
      <c r="AK1087" s="61"/>
      <c r="AL1087" s="61"/>
      <c r="AM1087" s="61"/>
      <c r="AN1087" s="37"/>
      <c r="AO1087" s="62"/>
      <c r="AP1087" s="62"/>
      <c r="AQ1087" s="62"/>
      <c r="AR1087" s="62"/>
    </row>
    <row r="1088" spans="25:44" x14ac:dyDescent="0.15">
      <c r="Y1088" s="8"/>
      <c r="Z1088" s="61"/>
      <c r="AA1088" s="61"/>
      <c r="AB1088" s="61"/>
      <c r="AC1088" s="61"/>
      <c r="AD1088" s="37"/>
      <c r="AE1088" s="62"/>
      <c r="AF1088" s="62"/>
      <c r="AG1088" s="62"/>
      <c r="AH1088" s="62"/>
      <c r="AI1088" s="37"/>
      <c r="AJ1088" s="61"/>
      <c r="AK1088" s="61"/>
      <c r="AL1088" s="61"/>
      <c r="AM1088" s="61"/>
      <c r="AN1088" s="37"/>
      <c r="AO1088" s="62"/>
      <c r="AP1088" s="62"/>
      <c r="AQ1088" s="62"/>
      <c r="AR1088" s="62"/>
    </row>
    <row r="1089" spans="25:44" x14ac:dyDescent="0.15">
      <c r="Y1089" s="8"/>
      <c r="Z1089" s="61"/>
      <c r="AA1089" s="61"/>
      <c r="AB1089" s="61"/>
      <c r="AC1089" s="61"/>
      <c r="AD1089" s="37"/>
      <c r="AE1089" s="62"/>
      <c r="AF1089" s="62"/>
      <c r="AG1089" s="62"/>
      <c r="AH1089" s="62"/>
      <c r="AI1089" s="37"/>
      <c r="AJ1089" s="61"/>
      <c r="AK1089" s="61"/>
      <c r="AL1089" s="61"/>
      <c r="AM1089" s="61"/>
      <c r="AN1089" s="37"/>
      <c r="AO1089" s="62"/>
      <c r="AP1089" s="62"/>
      <c r="AQ1089" s="62"/>
      <c r="AR1089" s="62"/>
    </row>
    <row r="1090" spans="25:44" x14ac:dyDescent="0.15">
      <c r="Y1090" s="8"/>
      <c r="Z1090" s="61"/>
      <c r="AA1090" s="61"/>
      <c r="AB1090" s="61"/>
      <c r="AC1090" s="61"/>
      <c r="AD1090" s="37"/>
      <c r="AE1090" s="62"/>
      <c r="AF1090" s="62"/>
      <c r="AG1090" s="62"/>
      <c r="AH1090" s="62"/>
      <c r="AI1090" s="37"/>
      <c r="AJ1090" s="61"/>
      <c r="AK1090" s="61"/>
      <c r="AL1090" s="61"/>
      <c r="AM1090" s="61"/>
      <c r="AN1090" s="37"/>
      <c r="AO1090" s="62"/>
      <c r="AP1090" s="62"/>
      <c r="AQ1090" s="62"/>
      <c r="AR1090" s="62"/>
    </row>
    <row r="1091" spans="25:44" x14ac:dyDescent="0.15">
      <c r="Y1091" s="8"/>
      <c r="Z1091" s="61"/>
      <c r="AA1091" s="61"/>
      <c r="AB1091" s="61"/>
      <c r="AC1091" s="61"/>
      <c r="AD1091" s="37"/>
      <c r="AE1091" s="62"/>
      <c r="AF1091" s="62"/>
      <c r="AG1091" s="62"/>
      <c r="AH1091" s="62"/>
      <c r="AI1091" s="37"/>
      <c r="AJ1091" s="61"/>
      <c r="AK1091" s="61"/>
      <c r="AL1091" s="61"/>
      <c r="AM1091" s="61"/>
      <c r="AN1091" s="37"/>
      <c r="AO1091" s="62"/>
      <c r="AP1091" s="62"/>
      <c r="AQ1091" s="62"/>
      <c r="AR1091" s="62"/>
    </row>
    <row r="1092" spans="25:44" x14ac:dyDescent="0.15">
      <c r="Y1092" s="8"/>
      <c r="Z1092" s="61"/>
      <c r="AA1092" s="61"/>
      <c r="AB1092" s="61"/>
      <c r="AC1092" s="61"/>
      <c r="AD1092" s="37"/>
      <c r="AE1092" s="62"/>
      <c r="AF1092" s="62"/>
      <c r="AG1092" s="62"/>
      <c r="AH1092" s="62"/>
      <c r="AI1092" s="37"/>
      <c r="AJ1092" s="61"/>
      <c r="AK1092" s="61"/>
      <c r="AL1092" s="61"/>
      <c r="AM1092" s="61"/>
      <c r="AN1092" s="37"/>
      <c r="AO1092" s="62"/>
      <c r="AP1092" s="62"/>
      <c r="AQ1092" s="62"/>
      <c r="AR1092" s="62"/>
    </row>
    <row r="1093" spans="25:44" x14ac:dyDescent="0.15">
      <c r="Y1093" s="8"/>
      <c r="Z1093" s="61"/>
      <c r="AA1093" s="61"/>
      <c r="AB1093" s="61"/>
      <c r="AC1093" s="61"/>
      <c r="AD1093" s="37"/>
      <c r="AE1093" s="62"/>
      <c r="AF1093" s="62"/>
      <c r="AG1093" s="62"/>
      <c r="AH1093" s="62"/>
      <c r="AI1093" s="37"/>
      <c r="AJ1093" s="61"/>
      <c r="AK1093" s="61"/>
      <c r="AL1093" s="61"/>
      <c r="AM1093" s="61"/>
      <c r="AN1093" s="37"/>
      <c r="AO1093" s="62"/>
      <c r="AP1093" s="62"/>
      <c r="AQ1093" s="62"/>
      <c r="AR1093" s="62"/>
    </row>
    <row r="1094" spans="25:44" x14ac:dyDescent="0.15">
      <c r="Y1094" s="8"/>
      <c r="Z1094" s="61"/>
      <c r="AA1094" s="61"/>
      <c r="AB1094" s="61"/>
      <c r="AC1094" s="61"/>
      <c r="AD1094" s="37"/>
      <c r="AE1094" s="62"/>
      <c r="AF1094" s="62"/>
      <c r="AG1094" s="62"/>
      <c r="AH1094" s="62"/>
      <c r="AI1094" s="37"/>
      <c r="AJ1094" s="61"/>
      <c r="AK1094" s="61"/>
      <c r="AL1094" s="61"/>
      <c r="AM1094" s="61"/>
      <c r="AN1094" s="37"/>
      <c r="AO1094" s="62"/>
      <c r="AP1094" s="62"/>
      <c r="AQ1094" s="62"/>
      <c r="AR1094" s="62"/>
    </row>
    <row r="1095" spans="25:44" x14ac:dyDescent="0.15">
      <c r="Y1095" s="8"/>
      <c r="Z1095" s="61"/>
      <c r="AA1095" s="61"/>
      <c r="AB1095" s="61"/>
      <c r="AC1095" s="61"/>
      <c r="AD1095" s="37"/>
      <c r="AE1095" s="62"/>
      <c r="AF1095" s="62"/>
      <c r="AG1095" s="62"/>
      <c r="AH1095" s="62"/>
      <c r="AI1095" s="37"/>
      <c r="AJ1095" s="61"/>
      <c r="AK1095" s="61"/>
      <c r="AL1095" s="61"/>
      <c r="AM1095" s="61"/>
      <c r="AN1095" s="37"/>
      <c r="AO1095" s="62"/>
      <c r="AP1095" s="62"/>
      <c r="AQ1095" s="62"/>
      <c r="AR1095" s="62"/>
    </row>
    <row r="1096" spans="25:44" x14ac:dyDescent="0.15">
      <c r="Y1096" s="8"/>
      <c r="Z1096" s="61"/>
      <c r="AA1096" s="61"/>
      <c r="AB1096" s="61"/>
      <c r="AC1096" s="61"/>
      <c r="AD1096" s="37"/>
      <c r="AE1096" s="62"/>
      <c r="AF1096" s="62"/>
      <c r="AG1096" s="62"/>
      <c r="AH1096" s="62"/>
      <c r="AI1096" s="37"/>
      <c r="AJ1096" s="61"/>
      <c r="AK1096" s="61"/>
      <c r="AL1096" s="61"/>
      <c r="AM1096" s="61"/>
      <c r="AN1096" s="37"/>
      <c r="AO1096" s="62"/>
      <c r="AP1096" s="62"/>
      <c r="AQ1096" s="62"/>
      <c r="AR1096" s="62"/>
    </row>
    <row r="1097" spans="25:44" x14ac:dyDescent="0.15">
      <c r="Y1097" s="8"/>
      <c r="Z1097" s="61"/>
      <c r="AA1097" s="61"/>
      <c r="AB1097" s="61"/>
      <c r="AC1097" s="61"/>
      <c r="AD1097" s="37"/>
      <c r="AE1097" s="62"/>
      <c r="AF1097" s="62"/>
      <c r="AG1097" s="62"/>
      <c r="AH1097" s="62"/>
      <c r="AI1097" s="37"/>
      <c r="AJ1097" s="61"/>
      <c r="AK1097" s="61"/>
      <c r="AL1097" s="61"/>
      <c r="AM1097" s="61"/>
      <c r="AN1097" s="37"/>
      <c r="AO1097" s="62"/>
      <c r="AP1097" s="62"/>
      <c r="AQ1097" s="62"/>
      <c r="AR1097" s="62"/>
    </row>
    <row r="1098" spans="25:44" x14ac:dyDescent="0.15">
      <c r="Y1098" s="8"/>
      <c r="Z1098" s="61"/>
      <c r="AA1098" s="61"/>
      <c r="AB1098" s="61"/>
      <c r="AC1098" s="61"/>
      <c r="AD1098" s="37"/>
      <c r="AE1098" s="62"/>
      <c r="AF1098" s="62"/>
      <c r="AG1098" s="62"/>
      <c r="AH1098" s="62"/>
      <c r="AI1098" s="37"/>
      <c r="AJ1098" s="61"/>
      <c r="AK1098" s="61"/>
      <c r="AL1098" s="61"/>
      <c r="AM1098" s="61"/>
      <c r="AN1098" s="37"/>
      <c r="AO1098" s="62"/>
      <c r="AP1098" s="62"/>
      <c r="AQ1098" s="62"/>
      <c r="AR1098" s="62"/>
    </row>
    <row r="1099" spans="25:44" x14ac:dyDescent="0.15">
      <c r="Y1099" s="8"/>
      <c r="Z1099" s="61"/>
      <c r="AA1099" s="61"/>
      <c r="AB1099" s="61"/>
      <c r="AC1099" s="61"/>
      <c r="AD1099" s="37"/>
      <c r="AE1099" s="62"/>
      <c r="AF1099" s="62"/>
      <c r="AG1099" s="62"/>
      <c r="AH1099" s="62"/>
      <c r="AI1099" s="37"/>
      <c r="AJ1099" s="61"/>
      <c r="AK1099" s="61"/>
      <c r="AL1099" s="61"/>
      <c r="AM1099" s="61"/>
      <c r="AN1099" s="37"/>
      <c r="AO1099" s="62"/>
      <c r="AP1099" s="62"/>
      <c r="AQ1099" s="62"/>
      <c r="AR1099" s="62"/>
    </row>
    <row r="1100" spans="25:44" x14ac:dyDescent="0.15">
      <c r="Y1100" s="8"/>
      <c r="Z1100" s="61"/>
      <c r="AA1100" s="61"/>
      <c r="AB1100" s="61"/>
      <c r="AC1100" s="61"/>
      <c r="AD1100" s="37"/>
      <c r="AE1100" s="62"/>
      <c r="AF1100" s="62"/>
      <c r="AG1100" s="62"/>
      <c r="AH1100" s="62"/>
      <c r="AI1100" s="37"/>
      <c r="AJ1100" s="61"/>
      <c r="AK1100" s="61"/>
      <c r="AL1100" s="61"/>
      <c r="AM1100" s="61"/>
      <c r="AN1100" s="37"/>
      <c r="AO1100" s="62"/>
      <c r="AP1100" s="62"/>
      <c r="AQ1100" s="62"/>
      <c r="AR1100" s="62"/>
    </row>
    <row r="1101" spans="25:44" x14ac:dyDescent="0.15">
      <c r="Y1101" s="8"/>
      <c r="Z1101" s="61"/>
      <c r="AA1101" s="61"/>
      <c r="AB1101" s="61"/>
      <c r="AC1101" s="61"/>
      <c r="AD1101" s="37"/>
      <c r="AE1101" s="62"/>
      <c r="AF1101" s="62"/>
      <c r="AG1101" s="62"/>
      <c r="AH1101" s="62"/>
      <c r="AI1101" s="37"/>
      <c r="AJ1101" s="61"/>
      <c r="AK1101" s="61"/>
      <c r="AL1101" s="61"/>
      <c r="AM1101" s="61"/>
      <c r="AN1101" s="37"/>
      <c r="AO1101" s="62"/>
      <c r="AP1101" s="62"/>
      <c r="AQ1101" s="62"/>
      <c r="AR1101" s="62"/>
    </row>
    <row r="1102" spans="25:44" x14ac:dyDescent="0.15">
      <c r="Y1102" s="8"/>
      <c r="Z1102" s="61"/>
      <c r="AA1102" s="61"/>
      <c r="AB1102" s="61"/>
      <c r="AC1102" s="61"/>
      <c r="AD1102" s="37"/>
      <c r="AE1102" s="62"/>
      <c r="AF1102" s="62"/>
      <c r="AG1102" s="62"/>
      <c r="AH1102" s="62"/>
      <c r="AI1102" s="37"/>
      <c r="AJ1102" s="61"/>
      <c r="AK1102" s="61"/>
      <c r="AL1102" s="61"/>
      <c r="AM1102" s="61"/>
      <c r="AN1102" s="37"/>
      <c r="AO1102" s="62"/>
      <c r="AP1102" s="62"/>
      <c r="AQ1102" s="62"/>
      <c r="AR1102" s="62"/>
    </row>
    <row r="1103" spans="25:44" x14ac:dyDescent="0.15">
      <c r="Y1103" s="8"/>
      <c r="Z1103" s="61"/>
      <c r="AA1103" s="61"/>
      <c r="AB1103" s="61"/>
      <c r="AC1103" s="61"/>
      <c r="AD1103" s="37"/>
      <c r="AE1103" s="62"/>
      <c r="AF1103" s="62"/>
      <c r="AG1103" s="62"/>
      <c r="AH1103" s="62"/>
      <c r="AI1103" s="37"/>
      <c r="AJ1103" s="61"/>
      <c r="AK1103" s="61"/>
      <c r="AL1103" s="61"/>
      <c r="AM1103" s="61"/>
      <c r="AN1103" s="37"/>
      <c r="AO1103" s="62"/>
      <c r="AP1103" s="62"/>
      <c r="AQ1103" s="62"/>
      <c r="AR1103" s="62"/>
    </row>
    <row r="1104" spans="25:44" x14ac:dyDescent="0.15">
      <c r="Y1104" s="8"/>
      <c r="Z1104" s="61"/>
      <c r="AA1104" s="61"/>
      <c r="AB1104" s="61"/>
      <c r="AC1104" s="61"/>
      <c r="AD1104" s="37"/>
      <c r="AE1104" s="62"/>
      <c r="AF1104" s="62"/>
      <c r="AG1104" s="62"/>
      <c r="AH1104" s="62"/>
      <c r="AI1104" s="37"/>
      <c r="AJ1104" s="61"/>
      <c r="AK1104" s="61"/>
      <c r="AL1104" s="61"/>
      <c r="AM1104" s="61"/>
      <c r="AN1104" s="37"/>
      <c r="AO1104" s="62"/>
      <c r="AP1104" s="62"/>
      <c r="AQ1104" s="62"/>
      <c r="AR1104" s="62"/>
    </row>
    <row r="1105" spans="25:44" x14ac:dyDescent="0.15">
      <c r="Y1105" s="8"/>
      <c r="Z1105" s="61"/>
      <c r="AA1105" s="61"/>
      <c r="AB1105" s="61"/>
      <c r="AC1105" s="61"/>
      <c r="AD1105" s="37"/>
      <c r="AE1105" s="62"/>
      <c r="AF1105" s="62"/>
      <c r="AG1105" s="62"/>
      <c r="AH1105" s="62"/>
      <c r="AI1105" s="37"/>
      <c r="AJ1105" s="61"/>
      <c r="AK1105" s="61"/>
      <c r="AL1105" s="61"/>
      <c r="AM1105" s="61"/>
      <c r="AN1105" s="37"/>
      <c r="AO1105" s="62"/>
      <c r="AP1105" s="62"/>
      <c r="AQ1105" s="62"/>
      <c r="AR1105" s="62"/>
    </row>
    <row r="1106" spans="25:44" x14ac:dyDescent="0.15">
      <c r="Y1106" s="8"/>
      <c r="Z1106" s="61"/>
      <c r="AA1106" s="61"/>
      <c r="AB1106" s="61"/>
      <c r="AC1106" s="61"/>
      <c r="AD1106" s="37"/>
      <c r="AE1106" s="62"/>
      <c r="AF1106" s="62"/>
      <c r="AG1106" s="62"/>
      <c r="AH1106" s="62"/>
      <c r="AI1106" s="37"/>
      <c r="AJ1106" s="61"/>
      <c r="AK1106" s="61"/>
      <c r="AL1106" s="61"/>
      <c r="AM1106" s="61"/>
      <c r="AN1106" s="37"/>
      <c r="AO1106" s="62"/>
      <c r="AP1106" s="62"/>
      <c r="AQ1106" s="62"/>
      <c r="AR1106" s="62"/>
    </row>
    <row r="1107" spans="25:44" x14ac:dyDescent="0.15">
      <c r="Y1107" s="8"/>
      <c r="Z1107" s="61"/>
      <c r="AA1107" s="61"/>
      <c r="AB1107" s="61"/>
      <c r="AC1107" s="61"/>
      <c r="AD1107" s="37"/>
      <c r="AE1107" s="62"/>
      <c r="AF1107" s="62"/>
      <c r="AG1107" s="62"/>
      <c r="AH1107" s="62"/>
      <c r="AI1107" s="37"/>
      <c r="AJ1107" s="61"/>
      <c r="AK1107" s="61"/>
      <c r="AL1107" s="61"/>
      <c r="AM1107" s="61"/>
      <c r="AN1107" s="37"/>
      <c r="AO1107" s="62"/>
      <c r="AP1107" s="62"/>
      <c r="AQ1107" s="62"/>
      <c r="AR1107" s="62"/>
    </row>
    <row r="1108" spans="25:44" x14ac:dyDescent="0.15">
      <c r="Y1108" s="8"/>
      <c r="Z1108" s="61"/>
      <c r="AA1108" s="61"/>
      <c r="AB1108" s="61"/>
      <c r="AC1108" s="61"/>
      <c r="AD1108" s="37"/>
      <c r="AE1108" s="62"/>
      <c r="AF1108" s="62"/>
      <c r="AG1108" s="62"/>
      <c r="AH1108" s="62"/>
      <c r="AI1108" s="37"/>
      <c r="AJ1108" s="61"/>
      <c r="AK1108" s="61"/>
      <c r="AL1108" s="61"/>
      <c r="AM1108" s="61"/>
      <c r="AN1108" s="37"/>
      <c r="AO1108" s="62"/>
      <c r="AP1108" s="62"/>
      <c r="AQ1108" s="62"/>
      <c r="AR1108" s="62"/>
    </row>
    <row r="1109" spans="25:44" x14ac:dyDescent="0.15">
      <c r="Y1109" s="8"/>
      <c r="Z1109" s="61"/>
      <c r="AA1109" s="61"/>
      <c r="AB1109" s="61"/>
      <c r="AC1109" s="61"/>
      <c r="AD1109" s="37"/>
      <c r="AE1109" s="62"/>
      <c r="AF1109" s="62"/>
      <c r="AG1109" s="62"/>
      <c r="AH1109" s="62"/>
      <c r="AI1109" s="37"/>
      <c r="AJ1109" s="61"/>
      <c r="AK1109" s="61"/>
      <c r="AL1109" s="61"/>
      <c r="AM1109" s="61"/>
      <c r="AN1109" s="37"/>
      <c r="AO1109" s="62"/>
      <c r="AP1109" s="62"/>
      <c r="AQ1109" s="62"/>
      <c r="AR1109" s="62"/>
    </row>
    <row r="1110" spans="25:44" x14ac:dyDescent="0.15">
      <c r="Y1110" s="8"/>
      <c r="Z1110" s="61"/>
      <c r="AA1110" s="61"/>
      <c r="AB1110" s="61"/>
      <c r="AC1110" s="61"/>
      <c r="AD1110" s="37"/>
      <c r="AE1110" s="62"/>
      <c r="AF1110" s="62"/>
      <c r="AG1110" s="62"/>
      <c r="AH1110" s="62"/>
      <c r="AI1110" s="37"/>
      <c r="AJ1110" s="61"/>
      <c r="AK1110" s="61"/>
      <c r="AL1110" s="61"/>
      <c r="AM1110" s="61"/>
      <c r="AN1110" s="37"/>
      <c r="AO1110" s="62"/>
      <c r="AP1110" s="62"/>
      <c r="AQ1110" s="62"/>
      <c r="AR1110" s="62"/>
    </row>
    <row r="1111" spans="25:44" x14ac:dyDescent="0.15">
      <c r="Y1111" s="8"/>
      <c r="Z1111" s="61"/>
      <c r="AA1111" s="61"/>
      <c r="AB1111" s="61"/>
      <c r="AC1111" s="61"/>
      <c r="AD1111" s="37"/>
      <c r="AE1111" s="62"/>
      <c r="AF1111" s="62"/>
      <c r="AG1111" s="62"/>
      <c r="AH1111" s="62"/>
      <c r="AI1111" s="37"/>
      <c r="AJ1111" s="61"/>
      <c r="AK1111" s="61"/>
      <c r="AL1111" s="61"/>
      <c r="AM1111" s="61"/>
      <c r="AN1111" s="37"/>
      <c r="AO1111" s="62"/>
      <c r="AP1111" s="62"/>
      <c r="AQ1111" s="62"/>
      <c r="AR1111" s="62"/>
    </row>
    <row r="1112" spans="25:44" x14ac:dyDescent="0.15">
      <c r="Y1112" s="8"/>
      <c r="Z1112" s="61"/>
      <c r="AA1112" s="61"/>
      <c r="AB1112" s="61"/>
      <c r="AC1112" s="61"/>
      <c r="AD1112" s="37"/>
      <c r="AE1112" s="62"/>
      <c r="AF1112" s="62"/>
      <c r="AG1112" s="62"/>
      <c r="AH1112" s="62"/>
      <c r="AI1112" s="37"/>
      <c r="AJ1112" s="61"/>
      <c r="AK1112" s="61"/>
      <c r="AL1112" s="61"/>
      <c r="AM1112" s="61"/>
      <c r="AN1112" s="37"/>
      <c r="AO1112" s="62"/>
      <c r="AP1112" s="62"/>
      <c r="AQ1112" s="62"/>
      <c r="AR1112" s="62"/>
    </row>
    <row r="1113" spans="25:44" x14ac:dyDescent="0.15">
      <c r="Y1113" s="8"/>
      <c r="Z1113" s="61"/>
      <c r="AA1113" s="61"/>
      <c r="AB1113" s="61"/>
      <c r="AC1113" s="61"/>
      <c r="AD1113" s="37"/>
      <c r="AE1113" s="62"/>
      <c r="AF1113" s="62"/>
      <c r="AG1113" s="62"/>
      <c r="AH1113" s="62"/>
      <c r="AI1113" s="37"/>
      <c r="AJ1113" s="61"/>
      <c r="AK1113" s="61"/>
      <c r="AL1113" s="61"/>
      <c r="AM1113" s="61"/>
      <c r="AN1113" s="37"/>
      <c r="AO1113" s="62"/>
      <c r="AP1113" s="62"/>
      <c r="AQ1113" s="62"/>
      <c r="AR1113" s="62"/>
    </row>
    <row r="1114" spans="25:44" x14ac:dyDescent="0.15">
      <c r="Y1114" s="8"/>
      <c r="Z1114" s="61"/>
      <c r="AA1114" s="61"/>
      <c r="AB1114" s="61"/>
      <c r="AC1114" s="61"/>
      <c r="AD1114" s="37"/>
      <c r="AE1114" s="62"/>
      <c r="AF1114" s="62"/>
      <c r="AG1114" s="62"/>
      <c r="AH1114" s="62"/>
      <c r="AI1114" s="37"/>
      <c r="AJ1114" s="61"/>
      <c r="AK1114" s="61"/>
      <c r="AL1114" s="61"/>
      <c r="AM1114" s="61"/>
      <c r="AN1114" s="37"/>
      <c r="AO1114" s="62"/>
      <c r="AP1114" s="62"/>
      <c r="AQ1114" s="62"/>
      <c r="AR1114" s="62"/>
    </row>
    <row r="1115" spans="25:44" x14ac:dyDescent="0.15">
      <c r="Y1115" s="8"/>
      <c r="Z1115" s="61"/>
      <c r="AA1115" s="61"/>
      <c r="AB1115" s="61"/>
      <c r="AC1115" s="61"/>
      <c r="AD1115" s="37"/>
      <c r="AE1115" s="62"/>
      <c r="AF1115" s="62"/>
      <c r="AG1115" s="62"/>
      <c r="AH1115" s="62"/>
      <c r="AI1115" s="37"/>
      <c r="AJ1115" s="61"/>
      <c r="AK1115" s="61"/>
      <c r="AL1115" s="61"/>
      <c r="AM1115" s="61"/>
      <c r="AN1115" s="37"/>
      <c r="AO1115" s="62"/>
      <c r="AP1115" s="62"/>
      <c r="AQ1115" s="62"/>
      <c r="AR1115" s="62"/>
    </row>
    <row r="1116" spans="25:44" x14ac:dyDescent="0.15">
      <c r="Y1116" s="8"/>
      <c r="Z1116" s="61"/>
      <c r="AA1116" s="61"/>
      <c r="AB1116" s="61"/>
      <c r="AC1116" s="61"/>
      <c r="AD1116" s="37"/>
      <c r="AE1116" s="62"/>
      <c r="AF1116" s="62"/>
      <c r="AG1116" s="62"/>
      <c r="AH1116" s="62"/>
      <c r="AI1116" s="37"/>
      <c r="AJ1116" s="61"/>
      <c r="AK1116" s="61"/>
      <c r="AL1116" s="61"/>
      <c r="AM1116" s="61"/>
      <c r="AN1116" s="37"/>
      <c r="AO1116" s="62"/>
      <c r="AP1116" s="62"/>
      <c r="AQ1116" s="62"/>
      <c r="AR1116" s="62"/>
    </row>
    <row r="1117" spans="25:44" x14ac:dyDescent="0.15">
      <c r="Y1117" s="8"/>
      <c r="Z1117" s="61"/>
      <c r="AA1117" s="61"/>
      <c r="AB1117" s="61"/>
      <c r="AC1117" s="61"/>
      <c r="AD1117" s="37"/>
      <c r="AE1117" s="62"/>
      <c r="AF1117" s="62"/>
      <c r="AG1117" s="62"/>
      <c r="AH1117" s="62"/>
      <c r="AI1117" s="37"/>
      <c r="AJ1117" s="61"/>
      <c r="AK1117" s="61"/>
      <c r="AL1117" s="61"/>
      <c r="AM1117" s="61"/>
      <c r="AN1117" s="37"/>
      <c r="AO1117" s="62"/>
      <c r="AP1117" s="62"/>
      <c r="AQ1117" s="62"/>
      <c r="AR1117" s="62"/>
    </row>
    <row r="1118" spans="25:44" x14ac:dyDescent="0.15">
      <c r="Y1118" s="8"/>
      <c r="Z1118" s="61"/>
      <c r="AA1118" s="61"/>
      <c r="AB1118" s="61"/>
      <c r="AC1118" s="61"/>
      <c r="AD1118" s="37"/>
      <c r="AE1118" s="62"/>
      <c r="AF1118" s="62"/>
      <c r="AG1118" s="62"/>
      <c r="AH1118" s="62"/>
      <c r="AI1118" s="37"/>
      <c r="AJ1118" s="61"/>
      <c r="AK1118" s="61"/>
      <c r="AL1118" s="61"/>
      <c r="AM1118" s="61"/>
      <c r="AN1118" s="37"/>
      <c r="AO1118" s="62"/>
      <c r="AP1118" s="62"/>
      <c r="AQ1118" s="62"/>
      <c r="AR1118" s="62"/>
    </row>
    <row r="1119" spans="25:44" x14ac:dyDescent="0.15">
      <c r="Y1119" s="8"/>
      <c r="Z1119" s="61"/>
      <c r="AA1119" s="61"/>
      <c r="AB1119" s="61"/>
      <c r="AC1119" s="61"/>
      <c r="AD1119" s="37"/>
      <c r="AE1119" s="62"/>
      <c r="AF1119" s="62"/>
      <c r="AG1119" s="62"/>
      <c r="AH1119" s="62"/>
      <c r="AI1119" s="37"/>
      <c r="AJ1119" s="61"/>
      <c r="AK1119" s="61"/>
      <c r="AL1119" s="61"/>
      <c r="AM1119" s="61"/>
      <c r="AN1119" s="37"/>
      <c r="AO1119" s="62"/>
      <c r="AP1119" s="62"/>
      <c r="AQ1119" s="62"/>
      <c r="AR1119" s="62"/>
    </row>
    <row r="1120" spans="25:44" x14ac:dyDescent="0.15">
      <c r="Y1120" s="8"/>
      <c r="Z1120" s="61"/>
      <c r="AA1120" s="61"/>
      <c r="AB1120" s="61"/>
      <c r="AC1120" s="61"/>
      <c r="AD1120" s="37"/>
      <c r="AE1120" s="62"/>
      <c r="AF1120" s="62"/>
      <c r="AG1120" s="62"/>
      <c r="AH1120" s="62"/>
      <c r="AI1120" s="37"/>
      <c r="AJ1120" s="61"/>
      <c r="AK1120" s="61"/>
      <c r="AL1120" s="61"/>
      <c r="AM1120" s="61"/>
      <c r="AN1120" s="37"/>
      <c r="AO1120" s="62"/>
      <c r="AP1120" s="62"/>
      <c r="AQ1120" s="62"/>
      <c r="AR1120" s="62"/>
    </row>
    <row r="1121" spans="25:44" x14ac:dyDescent="0.15">
      <c r="Y1121" s="8"/>
      <c r="Z1121" s="61"/>
      <c r="AA1121" s="61"/>
      <c r="AB1121" s="61"/>
      <c r="AC1121" s="61"/>
      <c r="AD1121" s="37"/>
      <c r="AE1121" s="62"/>
      <c r="AF1121" s="62"/>
      <c r="AG1121" s="62"/>
      <c r="AH1121" s="62"/>
      <c r="AI1121" s="37"/>
      <c r="AJ1121" s="61"/>
      <c r="AK1121" s="61"/>
      <c r="AL1121" s="61"/>
      <c r="AM1121" s="61"/>
      <c r="AN1121" s="37"/>
      <c r="AO1121" s="62"/>
      <c r="AP1121" s="62"/>
      <c r="AQ1121" s="62"/>
      <c r="AR1121" s="62"/>
    </row>
    <row r="1122" spans="25:44" x14ac:dyDescent="0.15">
      <c r="Y1122" s="8"/>
      <c r="Z1122" s="61"/>
      <c r="AA1122" s="61"/>
      <c r="AB1122" s="61"/>
      <c r="AC1122" s="61"/>
      <c r="AD1122" s="37"/>
      <c r="AE1122" s="62"/>
      <c r="AF1122" s="62"/>
      <c r="AG1122" s="62"/>
      <c r="AH1122" s="62"/>
      <c r="AI1122" s="37"/>
      <c r="AJ1122" s="61"/>
      <c r="AK1122" s="61"/>
      <c r="AL1122" s="61"/>
      <c r="AM1122" s="61"/>
      <c r="AN1122" s="37"/>
      <c r="AO1122" s="62"/>
      <c r="AP1122" s="62"/>
      <c r="AQ1122" s="62"/>
      <c r="AR1122" s="62"/>
    </row>
    <row r="1123" spans="25:44" x14ac:dyDescent="0.15">
      <c r="Y1123" s="8"/>
      <c r="Z1123" s="61"/>
      <c r="AA1123" s="61"/>
      <c r="AB1123" s="61"/>
      <c r="AC1123" s="61"/>
      <c r="AD1123" s="37"/>
      <c r="AE1123" s="62"/>
      <c r="AF1123" s="62"/>
      <c r="AG1123" s="62"/>
      <c r="AH1123" s="62"/>
      <c r="AI1123" s="37"/>
      <c r="AJ1123" s="61"/>
      <c r="AK1123" s="61"/>
      <c r="AL1123" s="61"/>
      <c r="AM1123" s="61"/>
      <c r="AN1123" s="37"/>
      <c r="AO1123" s="62"/>
      <c r="AP1123" s="62"/>
      <c r="AQ1123" s="62"/>
      <c r="AR1123" s="62"/>
    </row>
    <row r="1124" spans="25:44" x14ac:dyDescent="0.15">
      <c r="Y1124" s="8"/>
      <c r="Z1124" s="61"/>
      <c r="AA1124" s="61"/>
      <c r="AB1124" s="61"/>
      <c r="AC1124" s="61"/>
      <c r="AD1124" s="37"/>
      <c r="AE1124" s="62"/>
      <c r="AF1124" s="62"/>
      <c r="AG1124" s="62"/>
      <c r="AH1124" s="62"/>
      <c r="AI1124" s="37"/>
      <c r="AJ1124" s="61"/>
      <c r="AK1124" s="61"/>
      <c r="AL1124" s="61"/>
      <c r="AM1124" s="61"/>
      <c r="AN1124" s="37"/>
      <c r="AO1124" s="62"/>
      <c r="AP1124" s="62"/>
      <c r="AQ1124" s="62"/>
      <c r="AR1124" s="62"/>
    </row>
    <row r="1125" spans="25:44" x14ac:dyDescent="0.15">
      <c r="Y1125" s="8"/>
      <c r="Z1125" s="61"/>
      <c r="AA1125" s="61"/>
      <c r="AB1125" s="61"/>
      <c r="AC1125" s="61"/>
      <c r="AD1125" s="37"/>
      <c r="AE1125" s="62"/>
      <c r="AF1125" s="62"/>
      <c r="AG1125" s="62"/>
      <c r="AH1125" s="62"/>
      <c r="AI1125" s="37"/>
      <c r="AJ1125" s="61"/>
      <c r="AK1125" s="61"/>
      <c r="AL1125" s="61"/>
      <c r="AM1125" s="61"/>
      <c r="AN1125" s="37"/>
      <c r="AO1125" s="62"/>
      <c r="AP1125" s="62"/>
      <c r="AQ1125" s="62"/>
      <c r="AR1125" s="62"/>
    </row>
    <row r="1126" spans="25:44" x14ac:dyDescent="0.15">
      <c r="Y1126" s="8"/>
      <c r="Z1126" s="61"/>
      <c r="AA1126" s="61"/>
      <c r="AB1126" s="61"/>
      <c r="AC1126" s="61"/>
      <c r="AD1126" s="37"/>
      <c r="AE1126" s="62"/>
      <c r="AF1126" s="62"/>
      <c r="AG1126" s="62"/>
      <c r="AH1126" s="62"/>
      <c r="AI1126" s="37"/>
      <c r="AJ1126" s="61"/>
      <c r="AK1126" s="61"/>
      <c r="AL1126" s="61"/>
      <c r="AM1126" s="61"/>
      <c r="AN1126" s="37"/>
      <c r="AO1126" s="62"/>
      <c r="AP1126" s="62"/>
      <c r="AQ1126" s="62"/>
      <c r="AR1126" s="62"/>
    </row>
    <row r="1127" spans="25:44" x14ac:dyDescent="0.15">
      <c r="Y1127" s="8"/>
      <c r="Z1127" s="61"/>
      <c r="AA1127" s="61"/>
      <c r="AB1127" s="61"/>
      <c r="AC1127" s="61"/>
      <c r="AD1127" s="37"/>
      <c r="AE1127" s="62"/>
      <c r="AF1127" s="62"/>
      <c r="AG1127" s="62"/>
      <c r="AH1127" s="62"/>
      <c r="AI1127" s="37"/>
      <c r="AJ1127" s="61"/>
      <c r="AK1127" s="61"/>
      <c r="AL1127" s="61"/>
      <c r="AM1127" s="61"/>
      <c r="AN1127" s="37"/>
      <c r="AO1127" s="62"/>
      <c r="AP1127" s="62"/>
      <c r="AQ1127" s="62"/>
      <c r="AR1127" s="62"/>
    </row>
    <row r="1128" spans="25:44" x14ac:dyDescent="0.15">
      <c r="Y1128" s="8"/>
      <c r="Z1128" s="61"/>
      <c r="AA1128" s="61"/>
      <c r="AB1128" s="61"/>
      <c r="AC1128" s="61"/>
      <c r="AD1128" s="37"/>
      <c r="AE1128" s="62"/>
      <c r="AF1128" s="62"/>
      <c r="AG1128" s="62"/>
      <c r="AH1128" s="62"/>
      <c r="AI1128" s="37"/>
      <c r="AJ1128" s="61"/>
      <c r="AK1128" s="61"/>
      <c r="AL1128" s="61"/>
      <c r="AM1128" s="61"/>
      <c r="AN1128" s="37"/>
      <c r="AO1128" s="62"/>
      <c r="AP1128" s="62"/>
      <c r="AQ1128" s="62"/>
      <c r="AR1128" s="62"/>
    </row>
    <row r="1129" spans="25:44" x14ac:dyDescent="0.15">
      <c r="Y1129" s="8"/>
      <c r="Z1129" s="61"/>
      <c r="AA1129" s="61"/>
      <c r="AB1129" s="61"/>
      <c r="AC1129" s="61"/>
      <c r="AD1129" s="37"/>
      <c r="AE1129" s="62"/>
      <c r="AF1129" s="62"/>
      <c r="AG1129" s="62"/>
      <c r="AH1129" s="62"/>
      <c r="AI1129" s="37"/>
      <c r="AJ1129" s="61"/>
      <c r="AK1129" s="61"/>
      <c r="AL1129" s="61"/>
      <c r="AM1129" s="61"/>
      <c r="AN1129" s="37"/>
      <c r="AO1129" s="62"/>
      <c r="AP1129" s="62"/>
      <c r="AQ1129" s="62"/>
      <c r="AR1129" s="62"/>
    </row>
    <row r="1130" spans="25:44" x14ac:dyDescent="0.15">
      <c r="Y1130" s="8"/>
      <c r="Z1130" s="61"/>
      <c r="AA1130" s="61"/>
      <c r="AB1130" s="61"/>
      <c r="AC1130" s="61"/>
      <c r="AD1130" s="37"/>
      <c r="AE1130" s="62"/>
      <c r="AF1130" s="62"/>
      <c r="AG1130" s="62"/>
      <c r="AH1130" s="62"/>
      <c r="AI1130" s="37"/>
      <c r="AJ1130" s="61"/>
      <c r="AK1130" s="61"/>
      <c r="AL1130" s="61"/>
      <c r="AM1130" s="61"/>
      <c r="AN1130" s="37"/>
      <c r="AO1130" s="62"/>
      <c r="AP1130" s="62"/>
      <c r="AQ1130" s="62"/>
      <c r="AR1130" s="62"/>
    </row>
    <row r="1131" spans="25:44" x14ac:dyDescent="0.15">
      <c r="Y1131" s="8"/>
      <c r="Z1131" s="61"/>
      <c r="AA1131" s="61"/>
      <c r="AB1131" s="61"/>
      <c r="AC1131" s="61"/>
      <c r="AD1131" s="37"/>
      <c r="AE1131" s="62"/>
      <c r="AF1131" s="62"/>
      <c r="AG1131" s="62"/>
      <c r="AH1131" s="62"/>
      <c r="AI1131" s="37"/>
      <c r="AJ1131" s="61"/>
      <c r="AK1131" s="61"/>
      <c r="AL1131" s="61"/>
      <c r="AM1131" s="61"/>
      <c r="AN1131" s="37"/>
      <c r="AO1131" s="62"/>
      <c r="AP1131" s="62"/>
      <c r="AQ1131" s="62"/>
      <c r="AR1131" s="62"/>
    </row>
    <row r="1132" spans="25:44" x14ac:dyDescent="0.15">
      <c r="Y1132" s="8"/>
      <c r="Z1132" s="61"/>
      <c r="AA1132" s="61"/>
      <c r="AB1132" s="61"/>
      <c r="AC1132" s="61"/>
      <c r="AD1132" s="37"/>
      <c r="AE1132" s="62"/>
      <c r="AF1132" s="62"/>
      <c r="AG1132" s="62"/>
      <c r="AH1132" s="62"/>
      <c r="AI1132" s="37"/>
      <c r="AJ1132" s="61"/>
      <c r="AK1132" s="61"/>
      <c r="AL1132" s="61"/>
      <c r="AM1132" s="61"/>
      <c r="AN1132" s="37"/>
      <c r="AO1132" s="62"/>
      <c r="AP1132" s="62"/>
      <c r="AQ1132" s="62"/>
      <c r="AR1132" s="62"/>
    </row>
    <row r="1133" spans="25:44" x14ac:dyDescent="0.15">
      <c r="Y1133" s="8"/>
      <c r="Z1133" s="61"/>
      <c r="AA1133" s="61"/>
      <c r="AB1133" s="61"/>
      <c r="AC1133" s="61"/>
      <c r="AD1133" s="37"/>
      <c r="AE1133" s="62"/>
      <c r="AF1133" s="62"/>
      <c r="AG1133" s="62"/>
      <c r="AH1133" s="62"/>
      <c r="AI1133" s="37"/>
      <c r="AJ1133" s="61"/>
      <c r="AK1133" s="61"/>
      <c r="AL1133" s="61"/>
      <c r="AM1133" s="61"/>
      <c r="AN1133" s="37"/>
      <c r="AO1133" s="62"/>
      <c r="AP1133" s="62"/>
      <c r="AQ1133" s="62"/>
      <c r="AR1133" s="62"/>
    </row>
    <row r="1134" spans="25:44" x14ac:dyDescent="0.15">
      <c r="Y1134" s="8"/>
      <c r="Z1134" s="61"/>
      <c r="AA1134" s="61"/>
      <c r="AB1134" s="61"/>
      <c r="AC1134" s="61"/>
      <c r="AD1134" s="37"/>
      <c r="AE1134" s="62"/>
      <c r="AF1134" s="62"/>
      <c r="AG1134" s="62"/>
      <c r="AH1134" s="62"/>
      <c r="AI1134" s="37"/>
      <c r="AJ1134" s="61"/>
      <c r="AK1134" s="61"/>
      <c r="AL1134" s="61"/>
      <c r="AM1134" s="61"/>
      <c r="AN1134" s="37"/>
      <c r="AO1134" s="62"/>
      <c r="AP1134" s="62"/>
      <c r="AQ1134" s="62"/>
      <c r="AR1134" s="62"/>
    </row>
    <row r="1135" spans="25:44" x14ac:dyDescent="0.15">
      <c r="Y1135" s="8"/>
      <c r="Z1135" s="61"/>
      <c r="AA1135" s="61"/>
      <c r="AB1135" s="61"/>
      <c r="AC1135" s="61"/>
      <c r="AD1135" s="37"/>
      <c r="AE1135" s="62"/>
      <c r="AF1135" s="62"/>
      <c r="AG1135" s="62"/>
      <c r="AH1135" s="62"/>
      <c r="AI1135" s="37"/>
      <c r="AJ1135" s="61"/>
      <c r="AK1135" s="61"/>
      <c r="AL1135" s="61"/>
      <c r="AM1135" s="61"/>
      <c r="AN1135" s="37"/>
      <c r="AO1135" s="62"/>
      <c r="AP1135" s="62"/>
      <c r="AQ1135" s="62"/>
      <c r="AR1135" s="62"/>
    </row>
    <row r="1136" spans="25:44" x14ac:dyDescent="0.15">
      <c r="Y1136" s="8"/>
      <c r="Z1136" s="61"/>
      <c r="AA1136" s="61"/>
      <c r="AB1136" s="61"/>
      <c r="AC1136" s="61"/>
      <c r="AD1136" s="37"/>
      <c r="AE1136" s="62"/>
      <c r="AF1136" s="62"/>
      <c r="AG1136" s="62"/>
      <c r="AH1136" s="62"/>
      <c r="AI1136" s="37"/>
      <c r="AJ1136" s="61"/>
      <c r="AK1136" s="61"/>
      <c r="AL1136" s="61"/>
      <c r="AM1136" s="61"/>
      <c r="AN1136" s="37"/>
      <c r="AO1136" s="62"/>
      <c r="AP1136" s="62"/>
      <c r="AQ1136" s="62"/>
      <c r="AR1136" s="62"/>
    </row>
    <row r="1137" spans="25:44" x14ac:dyDescent="0.15">
      <c r="Y1137" s="8"/>
      <c r="Z1137" s="61"/>
      <c r="AA1137" s="61"/>
      <c r="AB1137" s="61"/>
      <c r="AC1137" s="61"/>
      <c r="AD1137" s="37"/>
      <c r="AE1137" s="62"/>
      <c r="AF1137" s="62"/>
      <c r="AG1137" s="62"/>
      <c r="AH1137" s="62"/>
      <c r="AI1137" s="37"/>
      <c r="AJ1137" s="61"/>
      <c r="AK1137" s="61"/>
      <c r="AL1137" s="61"/>
      <c r="AM1137" s="61"/>
      <c r="AN1137" s="37"/>
      <c r="AO1137" s="62"/>
      <c r="AP1137" s="62"/>
      <c r="AQ1137" s="62"/>
      <c r="AR1137" s="62"/>
    </row>
    <row r="1138" spans="25:44" x14ac:dyDescent="0.15">
      <c r="Y1138" s="8"/>
      <c r="Z1138" s="61"/>
      <c r="AA1138" s="61"/>
      <c r="AB1138" s="61"/>
      <c r="AC1138" s="61"/>
      <c r="AD1138" s="37"/>
      <c r="AE1138" s="62"/>
      <c r="AF1138" s="62"/>
      <c r="AG1138" s="62"/>
      <c r="AH1138" s="62"/>
      <c r="AI1138" s="37"/>
      <c r="AJ1138" s="61"/>
      <c r="AK1138" s="61"/>
      <c r="AL1138" s="61"/>
      <c r="AM1138" s="61"/>
      <c r="AN1138" s="37"/>
      <c r="AO1138" s="62"/>
      <c r="AP1138" s="62"/>
      <c r="AQ1138" s="62"/>
      <c r="AR1138" s="62"/>
    </row>
    <row r="1139" spans="25:44" x14ac:dyDescent="0.15">
      <c r="Y1139" s="8"/>
      <c r="Z1139" s="61"/>
      <c r="AA1139" s="61"/>
      <c r="AB1139" s="61"/>
      <c r="AC1139" s="61"/>
      <c r="AD1139" s="37"/>
      <c r="AE1139" s="62"/>
      <c r="AF1139" s="62"/>
      <c r="AG1139" s="62"/>
      <c r="AH1139" s="62"/>
      <c r="AI1139" s="37"/>
      <c r="AJ1139" s="61"/>
      <c r="AK1139" s="61"/>
      <c r="AL1139" s="61"/>
      <c r="AM1139" s="61"/>
      <c r="AN1139" s="37"/>
      <c r="AO1139" s="62"/>
      <c r="AP1139" s="62"/>
      <c r="AQ1139" s="62"/>
      <c r="AR1139" s="62"/>
    </row>
    <row r="1140" spans="25:44" x14ac:dyDescent="0.15">
      <c r="Y1140" s="8"/>
      <c r="Z1140" s="61"/>
      <c r="AA1140" s="61"/>
      <c r="AB1140" s="61"/>
      <c r="AC1140" s="61"/>
      <c r="AD1140" s="37"/>
      <c r="AE1140" s="62"/>
      <c r="AF1140" s="62"/>
      <c r="AG1140" s="62"/>
      <c r="AH1140" s="62"/>
      <c r="AI1140" s="37"/>
      <c r="AJ1140" s="61"/>
      <c r="AK1140" s="61"/>
      <c r="AL1140" s="61"/>
      <c r="AM1140" s="61"/>
      <c r="AN1140" s="37"/>
      <c r="AO1140" s="62"/>
      <c r="AP1140" s="62"/>
      <c r="AQ1140" s="62"/>
      <c r="AR1140" s="62"/>
    </row>
    <row r="1141" spans="25:44" x14ac:dyDescent="0.15">
      <c r="Y1141" s="8"/>
      <c r="Z1141" s="61"/>
      <c r="AA1141" s="61"/>
      <c r="AB1141" s="61"/>
      <c r="AC1141" s="61"/>
      <c r="AD1141" s="37"/>
      <c r="AE1141" s="62"/>
      <c r="AF1141" s="62"/>
      <c r="AG1141" s="62"/>
      <c r="AH1141" s="62"/>
      <c r="AI1141" s="37"/>
      <c r="AJ1141" s="61"/>
      <c r="AK1141" s="61"/>
      <c r="AL1141" s="61"/>
      <c r="AM1141" s="61"/>
      <c r="AN1141" s="37"/>
      <c r="AO1141" s="62"/>
      <c r="AP1141" s="62"/>
      <c r="AQ1141" s="62"/>
      <c r="AR1141" s="62"/>
    </row>
    <row r="1142" spans="25:44" x14ac:dyDescent="0.15">
      <c r="Y1142" s="8"/>
      <c r="Z1142" s="61"/>
      <c r="AA1142" s="61"/>
      <c r="AB1142" s="61"/>
      <c r="AC1142" s="61"/>
      <c r="AD1142" s="37"/>
      <c r="AE1142" s="62"/>
      <c r="AF1142" s="62"/>
      <c r="AG1142" s="62"/>
      <c r="AH1142" s="62"/>
      <c r="AI1142" s="37"/>
      <c r="AJ1142" s="61"/>
      <c r="AK1142" s="61"/>
      <c r="AL1142" s="61"/>
      <c r="AM1142" s="61"/>
      <c r="AN1142" s="37"/>
      <c r="AO1142" s="62"/>
      <c r="AP1142" s="62"/>
      <c r="AQ1142" s="62"/>
      <c r="AR1142" s="62"/>
    </row>
    <row r="1143" spans="25:44" x14ac:dyDescent="0.15">
      <c r="Y1143" s="8"/>
      <c r="Z1143" s="61"/>
      <c r="AA1143" s="61"/>
      <c r="AB1143" s="61"/>
      <c r="AC1143" s="61"/>
      <c r="AD1143" s="37"/>
      <c r="AE1143" s="62"/>
      <c r="AF1143" s="62"/>
      <c r="AG1143" s="62"/>
      <c r="AH1143" s="62"/>
      <c r="AI1143" s="37"/>
      <c r="AJ1143" s="61"/>
      <c r="AK1143" s="61"/>
      <c r="AL1143" s="61"/>
      <c r="AM1143" s="61"/>
      <c r="AN1143" s="37"/>
      <c r="AO1143" s="62"/>
      <c r="AP1143" s="62"/>
      <c r="AQ1143" s="62"/>
      <c r="AR1143" s="62"/>
    </row>
    <row r="1144" spans="25:44" x14ac:dyDescent="0.15">
      <c r="Y1144" s="8"/>
      <c r="Z1144" s="61"/>
      <c r="AA1144" s="61"/>
      <c r="AB1144" s="61"/>
      <c r="AC1144" s="61"/>
      <c r="AD1144" s="37"/>
      <c r="AE1144" s="62"/>
      <c r="AF1144" s="62"/>
      <c r="AG1144" s="62"/>
      <c r="AH1144" s="62"/>
      <c r="AI1144" s="37"/>
      <c r="AJ1144" s="61"/>
      <c r="AK1144" s="61"/>
      <c r="AL1144" s="61"/>
      <c r="AM1144" s="61"/>
      <c r="AN1144" s="37"/>
      <c r="AO1144" s="62"/>
      <c r="AP1144" s="62"/>
      <c r="AQ1144" s="62"/>
      <c r="AR1144" s="62"/>
    </row>
    <row r="1145" spans="25:44" x14ac:dyDescent="0.15">
      <c r="Y1145" s="8"/>
      <c r="Z1145" s="61"/>
      <c r="AA1145" s="61"/>
      <c r="AB1145" s="61"/>
      <c r="AC1145" s="61"/>
      <c r="AD1145" s="37"/>
      <c r="AE1145" s="62"/>
      <c r="AF1145" s="62"/>
      <c r="AG1145" s="62"/>
      <c r="AH1145" s="62"/>
      <c r="AI1145" s="37"/>
      <c r="AJ1145" s="61"/>
      <c r="AK1145" s="61"/>
      <c r="AL1145" s="61"/>
      <c r="AM1145" s="61"/>
      <c r="AN1145" s="37"/>
      <c r="AO1145" s="62"/>
      <c r="AP1145" s="62"/>
      <c r="AQ1145" s="62"/>
      <c r="AR1145" s="62"/>
    </row>
    <row r="1146" spans="25:44" x14ac:dyDescent="0.15">
      <c r="Y1146" s="8"/>
      <c r="Z1146" s="61"/>
      <c r="AA1146" s="61"/>
      <c r="AB1146" s="61"/>
      <c r="AC1146" s="61"/>
      <c r="AD1146" s="37"/>
      <c r="AE1146" s="62"/>
      <c r="AF1146" s="62"/>
      <c r="AG1146" s="62"/>
      <c r="AH1146" s="62"/>
      <c r="AI1146" s="37"/>
      <c r="AJ1146" s="61"/>
      <c r="AK1146" s="61"/>
      <c r="AL1146" s="61"/>
      <c r="AM1146" s="61"/>
      <c r="AN1146" s="37"/>
      <c r="AO1146" s="62"/>
      <c r="AP1146" s="62"/>
      <c r="AQ1146" s="62"/>
      <c r="AR1146" s="62"/>
    </row>
    <row r="1147" spans="25:44" x14ac:dyDescent="0.15">
      <c r="Y1147" s="8"/>
      <c r="Z1147" s="61"/>
      <c r="AA1147" s="61"/>
      <c r="AB1147" s="61"/>
      <c r="AC1147" s="61"/>
      <c r="AD1147" s="37"/>
      <c r="AE1147" s="62"/>
      <c r="AF1147" s="62"/>
      <c r="AG1147" s="62"/>
      <c r="AH1147" s="62"/>
      <c r="AI1147" s="37"/>
      <c r="AJ1147" s="61"/>
      <c r="AK1147" s="61"/>
      <c r="AL1147" s="61"/>
      <c r="AM1147" s="61"/>
      <c r="AN1147" s="37"/>
      <c r="AO1147" s="62"/>
      <c r="AP1147" s="62"/>
      <c r="AQ1147" s="62"/>
      <c r="AR1147" s="62"/>
    </row>
    <row r="1148" spans="25:44" x14ac:dyDescent="0.15">
      <c r="Y1148" s="8"/>
      <c r="Z1148" s="61"/>
      <c r="AA1148" s="61"/>
      <c r="AB1148" s="61"/>
      <c r="AC1148" s="61"/>
      <c r="AD1148" s="37"/>
      <c r="AE1148" s="62"/>
      <c r="AF1148" s="62"/>
      <c r="AG1148" s="62"/>
      <c r="AH1148" s="62"/>
      <c r="AI1148" s="37"/>
      <c r="AJ1148" s="61"/>
      <c r="AK1148" s="61"/>
      <c r="AL1148" s="61"/>
      <c r="AM1148" s="61"/>
      <c r="AN1148" s="37"/>
      <c r="AO1148" s="62"/>
      <c r="AP1148" s="62"/>
      <c r="AQ1148" s="62"/>
      <c r="AR1148" s="62"/>
    </row>
    <row r="1149" spans="25:44" x14ac:dyDescent="0.15">
      <c r="Y1149" s="8"/>
      <c r="Z1149" s="61"/>
      <c r="AA1149" s="61"/>
      <c r="AB1149" s="61"/>
      <c r="AC1149" s="61"/>
      <c r="AD1149" s="37"/>
      <c r="AE1149" s="62"/>
      <c r="AF1149" s="62"/>
      <c r="AG1149" s="62"/>
      <c r="AH1149" s="62"/>
      <c r="AI1149" s="37"/>
      <c r="AJ1149" s="61"/>
      <c r="AK1149" s="61"/>
      <c r="AL1149" s="61"/>
      <c r="AM1149" s="61"/>
      <c r="AN1149" s="37"/>
      <c r="AO1149" s="62"/>
      <c r="AP1149" s="62"/>
      <c r="AQ1149" s="62"/>
      <c r="AR1149" s="62"/>
    </row>
    <row r="1150" spans="25:44" x14ac:dyDescent="0.15">
      <c r="Y1150" s="8"/>
      <c r="Z1150" s="61"/>
      <c r="AA1150" s="61"/>
      <c r="AB1150" s="61"/>
      <c r="AC1150" s="61"/>
      <c r="AD1150" s="37"/>
      <c r="AE1150" s="62"/>
      <c r="AF1150" s="62"/>
      <c r="AG1150" s="62"/>
      <c r="AH1150" s="62"/>
      <c r="AI1150" s="37"/>
      <c r="AJ1150" s="61"/>
      <c r="AK1150" s="61"/>
      <c r="AL1150" s="61"/>
      <c r="AM1150" s="61"/>
      <c r="AN1150" s="37"/>
      <c r="AO1150" s="62"/>
      <c r="AP1150" s="62"/>
      <c r="AQ1150" s="62"/>
      <c r="AR1150" s="62"/>
    </row>
    <row r="1151" spans="25:44" x14ac:dyDescent="0.15">
      <c r="Y1151" s="8"/>
      <c r="Z1151" s="61"/>
      <c r="AA1151" s="61"/>
      <c r="AB1151" s="61"/>
      <c r="AC1151" s="61"/>
      <c r="AD1151" s="37"/>
      <c r="AE1151" s="62"/>
      <c r="AF1151" s="62"/>
      <c r="AG1151" s="62"/>
      <c r="AH1151" s="62"/>
      <c r="AI1151" s="37"/>
      <c r="AJ1151" s="61"/>
      <c r="AK1151" s="61"/>
      <c r="AL1151" s="61"/>
      <c r="AM1151" s="61"/>
      <c r="AN1151" s="37"/>
      <c r="AO1151" s="62"/>
      <c r="AP1151" s="62"/>
      <c r="AQ1151" s="62"/>
      <c r="AR1151" s="62"/>
    </row>
    <row r="1152" spans="25:44" x14ac:dyDescent="0.15">
      <c r="Y1152" s="8"/>
      <c r="Z1152" s="61"/>
      <c r="AA1152" s="61"/>
      <c r="AB1152" s="61"/>
      <c r="AC1152" s="61"/>
      <c r="AD1152" s="37"/>
      <c r="AE1152" s="62"/>
      <c r="AF1152" s="62"/>
      <c r="AG1152" s="62"/>
      <c r="AH1152" s="62"/>
      <c r="AI1152" s="37"/>
      <c r="AJ1152" s="61"/>
      <c r="AK1152" s="61"/>
      <c r="AL1152" s="61"/>
      <c r="AM1152" s="61"/>
      <c r="AN1152" s="37"/>
      <c r="AO1152" s="62"/>
      <c r="AP1152" s="62"/>
      <c r="AQ1152" s="62"/>
      <c r="AR1152" s="62"/>
    </row>
    <row r="1153" spans="25:44" x14ac:dyDescent="0.15">
      <c r="Y1153" s="8"/>
      <c r="Z1153" s="61"/>
      <c r="AA1153" s="61"/>
      <c r="AB1153" s="61"/>
      <c r="AC1153" s="61"/>
      <c r="AD1153" s="37"/>
      <c r="AE1153" s="62"/>
      <c r="AF1153" s="62"/>
      <c r="AG1153" s="62"/>
      <c r="AH1153" s="62"/>
      <c r="AI1153" s="37"/>
      <c r="AJ1153" s="61"/>
      <c r="AK1153" s="61"/>
      <c r="AL1153" s="61"/>
      <c r="AM1153" s="61"/>
      <c r="AN1153" s="37"/>
      <c r="AO1153" s="62"/>
      <c r="AP1153" s="62"/>
      <c r="AQ1153" s="62"/>
      <c r="AR1153" s="62"/>
    </row>
    <row r="1154" spans="25:44" x14ac:dyDescent="0.15">
      <c r="Y1154" s="8"/>
      <c r="Z1154" s="61"/>
      <c r="AA1154" s="61"/>
      <c r="AB1154" s="61"/>
      <c r="AC1154" s="61"/>
      <c r="AD1154" s="37"/>
      <c r="AE1154" s="62"/>
      <c r="AF1154" s="62"/>
      <c r="AG1154" s="62"/>
      <c r="AH1154" s="62"/>
      <c r="AI1154" s="37"/>
      <c r="AJ1154" s="61"/>
      <c r="AK1154" s="61"/>
      <c r="AL1154" s="61"/>
      <c r="AM1154" s="61"/>
      <c r="AN1154" s="37"/>
      <c r="AO1154" s="62"/>
      <c r="AP1154" s="62"/>
      <c r="AQ1154" s="62"/>
      <c r="AR1154" s="62"/>
    </row>
    <row r="1155" spans="25:44" x14ac:dyDescent="0.15">
      <c r="Y1155" s="8"/>
      <c r="Z1155" s="61"/>
      <c r="AA1155" s="61"/>
      <c r="AB1155" s="61"/>
      <c r="AC1155" s="61"/>
      <c r="AD1155" s="37"/>
      <c r="AE1155" s="62"/>
      <c r="AF1155" s="62"/>
      <c r="AG1155" s="62"/>
      <c r="AH1155" s="62"/>
      <c r="AI1155" s="37"/>
      <c r="AJ1155" s="61"/>
      <c r="AK1155" s="61"/>
      <c r="AL1155" s="61"/>
      <c r="AM1155" s="61"/>
      <c r="AN1155" s="37"/>
      <c r="AO1155" s="62"/>
      <c r="AP1155" s="62"/>
      <c r="AQ1155" s="62"/>
      <c r="AR1155" s="62"/>
    </row>
    <row r="1156" spans="25:44" x14ac:dyDescent="0.15">
      <c r="Y1156" s="8"/>
      <c r="Z1156" s="61"/>
      <c r="AA1156" s="61"/>
      <c r="AB1156" s="61"/>
      <c r="AC1156" s="61"/>
      <c r="AD1156" s="37"/>
      <c r="AE1156" s="62"/>
      <c r="AF1156" s="62"/>
      <c r="AG1156" s="62"/>
      <c r="AH1156" s="62"/>
      <c r="AI1156" s="37"/>
      <c r="AJ1156" s="61"/>
      <c r="AK1156" s="61"/>
      <c r="AL1156" s="61"/>
      <c r="AM1156" s="61"/>
      <c r="AN1156" s="37"/>
      <c r="AO1156" s="62"/>
      <c r="AP1156" s="62"/>
      <c r="AQ1156" s="62"/>
      <c r="AR1156" s="62"/>
    </row>
    <row r="1157" spans="25:44" x14ac:dyDescent="0.15">
      <c r="Y1157" s="8"/>
      <c r="Z1157" s="61"/>
      <c r="AA1157" s="61"/>
      <c r="AB1157" s="61"/>
      <c r="AC1157" s="61"/>
      <c r="AD1157" s="37"/>
      <c r="AE1157" s="62"/>
      <c r="AF1157" s="62"/>
      <c r="AG1157" s="62"/>
      <c r="AH1157" s="62"/>
      <c r="AI1157" s="37"/>
      <c r="AJ1157" s="61"/>
      <c r="AK1157" s="61"/>
      <c r="AL1157" s="61"/>
      <c r="AM1157" s="61"/>
      <c r="AN1157" s="37"/>
      <c r="AO1157" s="62"/>
      <c r="AP1157" s="62"/>
      <c r="AQ1157" s="62"/>
      <c r="AR1157" s="62"/>
    </row>
    <row r="1158" spans="25:44" x14ac:dyDescent="0.15">
      <c r="Y1158" s="8"/>
      <c r="Z1158" s="61"/>
      <c r="AA1158" s="61"/>
      <c r="AB1158" s="61"/>
      <c r="AC1158" s="61"/>
      <c r="AD1158" s="37"/>
      <c r="AE1158" s="62"/>
      <c r="AF1158" s="62"/>
      <c r="AG1158" s="62"/>
      <c r="AH1158" s="62"/>
      <c r="AI1158" s="37"/>
      <c r="AJ1158" s="61"/>
      <c r="AK1158" s="61"/>
      <c r="AL1158" s="61"/>
      <c r="AM1158" s="61"/>
      <c r="AN1158" s="37"/>
      <c r="AO1158" s="62"/>
      <c r="AP1158" s="62"/>
      <c r="AQ1158" s="62"/>
      <c r="AR1158" s="62"/>
    </row>
    <row r="1159" spans="25:44" x14ac:dyDescent="0.15">
      <c r="Y1159" s="8"/>
      <c r="Z1159" s="61"/>
      <c r="AA1159" s="61"/>
      <c r="AB1159" s="61"/>
      <c r="AC1159" s="61"/>
      <c r="AD1159" s="37"/>
      <c r="AE1159" s="62"/>
      <c r="AF1159" s="62"/>
      <c r="AG1159" s="62"/>
      <c r="AH1159" s="62"/>
      <c r="AI1159" s="37"/>
      <c r="AJ1159" s="61"/>
      <c r="AK1159" s="61"/>
      <c r="AL1159" s="61"/>
      <c r="AM1159" s="61"/>
      <c r="AN1159" s="37"/>
      <c r="AO1159" s="62"/>
      <c r="AP1159" s="62"/>
      <c r="AQ1159" s="62"/>
      <c r="AR1159" s="62"/>
    </row>
    <row r="1160" spans="25:44" x14ac:dyDescent="0.15">
      <c r="Y1160" s="8"/>
      <c r="Z1160" s="61"/>
      <c r="AA1160" s="61"/>
      <c r="AB1160" s="61"/>
      <c r="AC1160" s="61"/>
      <c r="AD1160" s="37"/>
      <c r="AE1160" s="62"/>
      <c r="AF1160" s="62"/>
      <c r="AG1160" s="62"/>
      <c r="AH1160" s="62"/>
      <c r="AI1160" s="37"/>
      <c r="AJ1160" s="61"/>
      <c r="AK1160" s="61"/>
      <c r="AL1160" s="61"/>
      <c r="AM1160" s="61"/>
      <c r="AN1160" s="37"/>
      <c r="AO1160" s="62"/>
      <c r="AP1160" s="62"/>
      <c r="AQ1160" s="62"/>
      <c r="AR1160" s="62"/>
    </row>
    <row r="1161" spans="25:44" x14ac:dyDescent="0.15">
      <c r="Y1161" s="8"/>
      <c r="Z1161" s="61"/>
      <c r="AA1161" s="61"/>
      <c r="AB1161" s="61"/>
      <c r="AC1161" s="61"/>
      <c r="AD1161" s="37"/>
      <c r="AE1161" s="62"/>
      <c r="AF1161" s="62"/>
      <c r="AG1161" s="62"/>
      <c r="AH1161" s="62"/>
      <c r="AI1161" s="37"/>
      <c r="AJ1161" s="61"/>
      <c r="AK1161" s="61"/>
      <c r="AL1161" s="61"/>
      <c r="AM1161" s="61"/>
      <c r="AN1161" s="37"/>
      <c r="AO1161" s="62"/>
      <c r="AP1161" s="62"/>
      <c r="AQ1161" s="62"/>
      <c r="AR1161" s="62"/>
    </row>
    <row r="1162" spans="25:44" x14ac:dyDescent="0.15">
      <c r="Y1162" s="8"/>
      <c r="Z1162" s="61"/>
      <c r="AA1162" s="61"/>
      <c r="AB1162" s="61"/>
      <c r="AC1162" s="61"/>
      <c r="AD1162" s="37"/>
      <c r="AE1162" s="62"/>
      <c r="AF1162" s="62"/>
      <c r="AG1162" s="62"/>
      <c r="AH1162" s="62"/>
      <c r="AI1162" s="37"/>
      <c r="AJ1162" s="61"/>
      <c r="AK1162" s="61"/>
      <c r="AL1162" s="61"/>
      <c r="AM1162" s="61"/>
      <c r="AN1162" s="37"/>
      <c r="AO1162" s="62"/>
      <c r="AP1162" s="62"/>
      <c r="AQ1162" s="62"/>
      <c r="AR1162" s="62"/>
    </row>
    <row r="1163" spans="25:44" x14ac:dyDescent="0.15">
      <c r="Y1163" s="8"/>
      <c r="Z1163" s="61"/>
      <c r="AA1163" s="61"/>
      <c r="AB1163" s="61"/>
      <c r="AC1163" s="61"/>
      <c r="AD1163" s="37"/>
      <c r="AE1163" s="62"/>
      <c r="AF1163" s="62"/>
      <c r="AG1163" s="62"/>
      <c r="AH1163" s="62"/>
      <c r="AI1163" s="37"/>
      <c r="AJ1163" s="61"/>
      <c r="AK1163" s="61"/>
      <c r="AL1163" s="61"/>
      <c r="AM1163" s="61"/>
      <c r="AN1163" s="37"/>
      <c r="AO1163" s="62"/>
      <c r="AP1163" s="62"/>
      <c r="AQ1163" s="62"/>
      <c r="AR1163" s="62"/>
    </row>
    <row r="1164" spans="25:44" x14ac:dyDescent="0.15">
      <c r="Y1164" s="8"/>
      <c r="Z1164" s="61"/>
      <c r="AA1164" s="61"/>
      <c r="AB1164" s="61"/>
      <c r="AC1164" s="61"/>
      <c r="AD1164" s="37"/>
      <c r="AE1164" s="62"/>
      <c r="AF1164" s="62"/>
      <c r="AG1164" s="62"/>
      <c r="AH1164" s="62"/>
      <c r="AI1164" s="37"/>
      <c r="AJ1164" s="61"/>
      <c r="AK1164" s="61"/>
      <c r="AL1164" s="61"/>
      <c r="AM1164" s="61"/>
      <c r="AN1164" s="37"/>
      <c r="AO1164" s="62"/>
      <c r="AP1164" s="62"/>
      <c r="AQ1164" s="62"/>
      <c r="AR1164" s="62"/>
    </row>
    <row r="1165" spans="25:44" x14ac:dyDescent="0.15">
      <c r="Y1165" s="8"/>
      <c r="Z1165" s="61"/>
      <c r="AA1165" s="61"/>
      <c r="AB1165" s="61"/>
      <c r="AC1165" s="61"/>
      <c r="AD1165" s="37"/>
      <c r="AE1165" s="62"/>
      <c r="AF1165" s="62"/>
      <c r="AG1165" s="62"/>
      <c r="AH1165" s="62"/>
      <c r="AI1165" s="37"/>
      <c r="AJ1165" s="61"/>
      <c r="AK1165" s="61"/>
      <c r="AL1165" s="61"/>
      <c r="AM1165" s="61"/>
      <c r="AN1165" s="37"/>
      <c r="AO1165" s="62"/>
      <c r="AP1165" s="62"/>
      <c r="AQ1165" s="62"/>
      <c r="AR1165" s="62"/>
    </row>
    <row r="1166" spans="25:44" x14ac:dyDescent="0.15">
      <c r="Y1166" s="8"/>
      <c r="Z1166" s="61"/>
      <c r="AA1166" s="61"/>
      <c r="AB1166" s="61"/>
      <c r="AC1166" s="61"/>
      <c r="AD1166" s="37"/>
      <c r="AE1166" s="62"/>
      <c r="AF1166" s="62"/>
      <c r="AG1166" s="62"/>
      <c r="AH1166" s="62"/>
      <c r="AI1166" s="37"/>
      <c r="AJ1166" s="61"/>
      <c r="AK1166" s="61"/>
      <c r="AL1166" s="61"/>
      <c r="AM1166" s="61"/>
      <c r="AN1166" s="37"/>
      <c r="AO1166" s="62"/>
      <c r="AP1166" s="62"/>
      <c r="AQ1166" s="62"/>
      <c r="AR1166" s="62"/>
    </row>
    <row r="1167" spans="25:44" x14ac:dyDescent="0.15">
      <c r="Y1167" s="8"/>
      <c r="Z1167" s="61"/>
      <c r="AA1167" s="61"/>
      <c r="AB1167" s="61"/>
      <c r="AC1167" s="61"/>
      <c r="AD1167" s="37"/>
      <c r="AE1167" s="62"/>
      <c r="AF1167" s="62"/>
      <c r="AG1167" s="62"/>
      <c r="AH1167" s="62"/>
      <c r="AI1167" s="37"/>
      <c r="AJ1167" s="61"/>
      <c r="AK1167" s="61"/>
      <c r="AL1167" s="61"/>
      <c r="AM1167" s="61"/>
      <c r="AN1167" s="37"/>
      <c r="AO1167" s="62"/>
      <c r="AP1167" s="62"/>
      <c r="AQ1167" s="62"/>
      <c r="AR1167" s="62"/>
    </row>
    <row r="1168" spans="25:44" x14ac:dyDescent="0.15">
      <c r="Y1168" s="8"/>
      <c r="Z1168" s="61"/>
      <c r="AA1168" s="61"/>
      <c r="AB1168" s="61"/>
      <c r="AC1168" s="61"/>
      <c r="AD1168" s="37"/>
      <c r="AE1168" s="62"/>
      <c r="AF1168" s="62"/>
      <c r="AG1168" s="62"/>
      <c r="AH1168" s="62"/>
      <c r="AI1168" s="37"/>
      <c r="AJ1168" s="61"/>
      <c r="AK1168" s="61"/>
      <c r="AL1168" s="61"/>
      <c r="AM1168" s="61"/>
      <c r="AN1168" s="37"/>
      <c r="AO1168" s="62"/>
      <c r="AP1168" s="62"/>
      <c r="AQ1168" s="62"/>
      <c r="AR1168" s="62"/>
    </row>
    <row r="1169" spans="25:44" x14ac:dyDescent="0.15">
      <c r="Y1169" s="8"/>
      <c r="Z1169" s="61"/>
      <c r="AA1169" s="61"/>
      <c r="AB1169" s="61"/>
      <c r="AC1169" s="61"/>
      <c r="AD1169" s="37"/>
      <c r="AE1169" s="62"/>
      <c r="AF1169" s="62"/>
      <c r="AG1169" s="62"/>
      <c r="AH1169" s="62"/>
      <c r="AI1169" s="37"/>
      <c r="AJ1169" s="61"/>
      <c r="AK1169" s="61"/>
      <c r="AL1169" s="61"/>
      <c r="AM1169" s="61"/>
      <c r="AN1169" s="37"/>
      <c r="AO1169" s="62"/>
      <c r="AP1169" s="62"/>
      <c r="AQ1169" s="62"/>
      <c r="AR1169" s="62"/>
    </row>
    <row r="1170" spans="25:44" x14ac:dyDescent="0.15">
      <c r="Y1170" s="8"/>
      <c r="Z1170" s="61"/>
      <c r="AA1170" s="61"/>
      <c r="AB1170" s="61"/>
      <c r="AC1170" s="61"/>
      <c r="AD1170" s="37"/>
      <c r="AE1170" s="62"/>
      <c r="AF1170" s="62"/>
      <c r="AG1170" s="62"/>
      <c r="AH1170" s="62"/>
      <c r="AI1170" s="37"/>
      <c r="AJ1170" s="61"/>
      <c r="AK1170" s="61"/>
      <c r="AL1170" s="61"/>
      <c r="AM1170" s="61"/>
      <c r="AN1170" s="37"/>
      <c r="AO1170" s="62"/>
      <c r="AP1170" s="62"/>
      <c r="AQ1170" s="62"/>
      <c r="AR1170" s="62"/>
    </row>
    <row r="1171" spans="25:44" x14ac:dyDescent="0.15">
      <c r="Y1171" s="8"/>
      <c r="Z1171" s="61"/>
      <c r="AA1171" s="61"/>
      <c r="AB1171" s="61"/>
      <c r="AC1171" s="61"/>
      <c r="AD1171" s="37"/>
      <c r="AE1171" s="62"/>
      <c r="AF1171" s="62"/>
      <c r="AG1171" s="62"/>
      <c r="AH1171" s="62"/>
      <c r="AI1171" s="37"/>
      <c r="AJ1171" s="61"/>
      <c r="AK1171" s="61"/>
      <c r="AL1171" s="61"/>
      <c r="AM1171" s="61"/>
      <c r="AN1171" s="37"/>
      <c r="AO1171" s="62"/>
      <c r="AP1171" s="62"/>
      <c r="AQ1171" s="62"/>
      <c r="AR1171" s="62"/>
    </row>
    <row r="1172" spans="25:44" x14ac:dyDescent="0.15">
      <c r="Y1172" s="8"/>
      <c r="Z1172" s="61"/>
      <c r="AA1172" s="61"/>
      <c r="AB1172" s="61"/>
      <c r="AC1172" s="61"/>
      <c r="AD1172" s="37"/>
      <c r="AE1172" s="62"/>
      <c r="AF1172" s="62"/>
      <c r="AG1172" s="62"/>
      <c r="AH1172" s="62"/>
      <c r="AI1172" s="37"/>
      <c r="AJ1172" s="61"/>
      <c r="AK1172" s="61"/>
      <c r="AL1172" s="61"/>
      <c r="AM1172" s="61"/>
      <c r="AN1172" s="37"/>
      <c r="AO1172" s="62"/>
      <c r="AP1172" s="62"/>
      <c r="AQ1172" s="62"/>
      <c r="AR1172" s="62"/>
    </row>
    <row r="1173" spans="25:44" x14ac:dyDescent="0.15">
      <c r="Y1173" s="8"/>
      <c r="Z1173" s="61"/>
      <c r="AA1173" s="61"/>
      <c r="AB1173" s="61"/>
      <c r="AC1173" s="61"/>
      <c r="AD1173" s="37"/>
      <c r="AE1173" s="62"/>
      <c r="AF1173" s="62"/>
      <c r="AG1173" s="62"/>
      <c r="AH1173" s="62"/>
      <c r="AI1173" s="37"/>
      <c r="AJ1173" s="61"/>
      <c r="AK1173" s="61"/>
      <c r="AL1173" s="61"/>
      <c r="AM1173" s="61"/>
      <c r="AN1173" s="37"/>
      <c r="AO1173" s="62"/>
      <c r="AP1173" s="62"/>
      <c r="AQ1173" s="62"/>
      <c r="AR1173" s="62"/>
    </row>
    <row r="1174" spans="25:44" x14ac:dyDescent="0.15">
      <c r="Y1174" s="8"/>
      <c r="Z1174" s="61"/>
      <c r="AA1174" s="61"/>
      <c r="AB1174" s="61"/>
      <c r="AC1174" s="61"/>
      <c r="AD1174" s="37"/>
      <c r="AE1174" s="62"/>
      <c r="AF1174" s="62"/>
      <c r="AG1174" s="62"/>
      <c r="AH1174" s="62"/>
      <c r="AI1174" s="37"/>
      <c r="AJ1174" s="61"/>
      <c r="AK1174" s="61"/>
      <c r="AL1174" s="61"/>
      <c r="AM1174" s="61"/>
      <c r="AN1174" s="37"/>
      <c r="AO1174" s="62"/>
      <c r="AP1174" s="62"/>
      <c r="AQ1174" s="62"/>
      <c r="AR1174" s="62"/>
    </row>
    <row r="1175" spans="25:44" x14ac:dyDescent="0.15">
      <c r="Y1175" s="8"/>
      <c r="Z1175" s="61"/>
      <c r="AA1175" s="61"/>
      <c r="AB1175" s="61"/>
      <c r="AC1175" s="61"/>
      <c r="AD1175" s="37"/>
      <c r="AE1175" s="62"/>
      <c r="AF1175" s="62"/>
      <c r="AG1175" s="62"/>
      <c r="AH1175" s="62"/>
      <c r="AI1175" s="37"/>
      <c r="AJ1175" s="61"/>
      <c r="AK1175" s="61"/>
      <c r="AL1175" s="61"/>
      <c r="AM1175" s="61"/>
      <c r="AN1175" s="37"/>
      <c r="AO1175" s="62"/>
      <c r="AP1175" s="62"/>
      <c r="AQ1175" s="62"/>
      <c r="AR1175" s="62"/>
    </row>
    <row r="1176" spans="25:44" x14ac:dyDescent="0.15">
      <c r="Y1176" s="8"/>
      <c r="Z1176" s="61"/>
      <c r="AA1176" s="61"/>
      <c r="AB1176" s="61"/>
      <c r="AC1176" s="61"/>
      <c r="AD1176" s="37"/>
      <c r="AE1176" s="62"/>
      <c r="AF1176" s="62"/>
      <c r="AG1176" s="62"/>
      <c r="AH1176" s="62"/>
      <c r="AI1176" s="37"/>
      <c r="AJ1176" s="61"/>
      <c r="AK1176" s="61"/>
      <c r="AL1176" s="61"/>
      <c r="AM1176" s="61"/>
      <c r="AN1176" s="37"/>
      <c r="AO1176" s="62"/>
      <c r="AP1176" s="62"/>
      <c r="AQ1176" s="62"/>
      <c r="AR1176" s="62"/>
    </row>
    <row r="1177" spans="25:44" x14ac:dyDescent="0.15">
      <c r="Y1177" s="8"/>
      <c r="Z1177" s="61"/>
      <c r="AA1177" s="61"/>
      <c r="AB1177" s="61"/>
      <c r="AC1177" s="61"/>
      <c r="AD1177" s="37"/>
      <c r="AE1177" s="62"/>
      <c r="AF1177" s="62"/>
      <c r="AG1177" s="62"/>
      <c r="AH1177" s="62"/>
      <c r="AI1177" s="37"/>
      <c r="AJ1177" s="61"/>
      <c r="AK1177" s="61"/>
      <c r="AL1177" s="61"/>
      <c r="AM1177" s="61"/>
      <c r="AN1177" s="37"/>
      <c r="AO1177" s="62"/>
      <c r="AP1177" s="62"/>
      <c r="AQ1177" s="62"/>
      <c r="AR1177" s="62"/>
    </row>
    <row r="1178" spans="25:44" x14ac:dyDescent="0.15">
      <c r="Y1178" s="8"/>
      <c r="Z1178" s="61"/>
      <c r="AA1178" s="61"/>
      <c r="AB1178" s="61"/>
      <c r="AC1178" s="61"/>
      <c r="AD1178" s="37"/>
      <c r="AE1178" s="62"/>
      <c r="AF1178" s="62"/>
      <c r="AG1178" s="62"/>
      <c r="AH1178" s="62"/>
      <c r="AI1178" s="37"/>
      <c r="AJ1178" s="61"/>
      <c r="AK1178" s="61"/>
      <c r="AL1178" s="61"/>
      <c r="AM1178" s="61"/>
      <c r="AN1178" s="37"/>
      <c r="AO1178" s="62"/>
      <c r="AP1178" s="62"/>
      <c r="AQ1178" s="62"/>
      <c r="AR1178" s="62"/>
    </row>
    <row r="1179" spans="25:44" x14ac:dyDescent="0.15">
      <c r="Y1179" s="8"/>
      <c r="Z1179" s="61"/>
      <c r="AA1179" s="61"/>
      <c r="AB1179" s="61"/>
      <c r="AC1179" s="61"/>
      <c r="AD1179" s="37"/>
      <c r="AE1179" s="62"/>
      <c r="AF1179" s="62"/>
      <c r="AG1179" s="62"/>
      <c r="AH1179" s="62"/>
      <c r="AI1179" s="37"/>
      <c r="AJ1179" s="61"/>
      <c r="AK1179" s="61"/>
      <c r="AL1179" s="61"/>
      <c r="AM1179" s="61"/>
      <c r="AN1179" s="37"/>
      <c r="AO1179" s="62"/>
      <c r="AP1179" s="62"/>
      <c r="AQ1179" s="62"/>
      <c r="AR1179" s="62"/>
    </row>
    <row r="1180" spans="25:44" x14ac:dyDescent="0.15">
      <c r="Y1180" s="8"/>
      <c r="Z1180" s="61"/>
      <c r="AA1180" s="61"/>
      <c r="AB1180" s="61"/>
      <c r="AC1180" s="61"/>
      <c r="AD1180" s="37"/>
      <c r="AE1180" s="62"/>
      <c r="AF1180" s="62"/>
      <c r="AG1180" s="62"/>
      <c r="AH1180" s="62"/>
      <c r="AI1180" s="37"/>
      <c r="AJ1180" s="61"/>
      <c r="AK1180" s="61"/>
      <c r="AL1180" s="61"/>
      <c r="AM1180" s="61"/>
      <c r="AN1180" s="37"/>
      <c r="AO1180" s="62"/>
      <c r="AP1180" s="62"/>
      <c r="AQ1180" s="62"/>
      <c r="AR1180" s="62"/>
    </row>
    <row r="1181" spans="25:44" x14ac:dyDescent="0.15">
      <c r="Y1181" s="8"/>
      <c r="Z1181" s="61"/>
      <c r="AA1181" s="61"/>
      <c r="AB1181" s="61"/>
      <c r="AC1181" s="61"/>
      <c r="AD1181" s="37"/>
      <c r="AE1181" s="62"/>
      <c r="AF1181" s="62"/>
      <c r="AG1181" s="62"/>
      <c r="AH1181" s="62"/>
      <c r="AI1181" s="37"/>
      <c r="AJ1181" s="61"/>
      <c r="AK1181" s="61"/>
      <c r="AL1181" s="61"/>
      <c r="AM1181" s="61"/>
      <c r="AN1181" s="37"/>
      <c r="AO1181" s="62"/>
      <c r="AP1181" s="62"/>
      <c r="AQ1181" s="62"/>
      <c r="AR1181" s="62"/>
    </row>
    <row r="1182" spans="25:44" x14ac:dyDescent="0.15">
      <c r="Y1182" s="8"/>
      <c r="Z1182" s="61"/>
      <c r="AA1182" s="61"/>
      <c r="AB1182" s="61"/>
      <c r="AC1182" s="61"/>
      <c r="AD1182" s="37"/>
      <c r="AE1182" s="62"/>
      <c r="AF1182" s="62"/>
      <c r="AG1182" s="62"/>
      <c r="AH1182" s="62"/>
      <c r="AI1182" s="37"/>
      <c r="AJ1182" s="61"/>
      <c r="AK1182" s="61"/>
      <c r="AL1182" s="61"/>
      <c r="AM1182" s="61"/>
      <c r="AN1182" s="37"/>
      <c r="AO1182" s="62"/>
      <c r="AP1182" s="62"/>
      <c r="AQ1182" s="62"/>
      <c r="AR1182" s="62"/>
    </row>
    <row r="1183" spans="25:44" x14ac:dyDescent="0.15">
      <c r="Y1183" s="8"/>
      <c r="Z1183" s="61"/>
      <c r="AA1183" s="61"/>
      <c r="AB1183" s="61"/>
      <c r="AC1183" s="61"/>
      <c r="AD1183" s="37"/>
      <c r="AE1183" s="62"/>
      <c r="AF1183" s="62"/>
      <c r="AG1183" s="62"/>
      <c r="AH1183" s="62"/>
      <c r="AI1183" s="37"/>
      <c r="AJ1183" s="61"/>
      <c r="AK1183" s="61"/>
      <c r="AL1183" s="61"/>
      <c r="AM1183" s="61"/>
      <c r="AN1183" s="37"/>
      <c r="AO1183" s="62"/>
      <c r="AP1183" s="62"/>
      <c r="AQ1183" s="62"/>
      <c r="AR1183" s="62"/>
    </row>
    <row r="1184" spans="25:44" x14ac:dyDescent="0.15">
      <c r="Y1184" s="8"/>
      <c r="Z1184" s="61"/>
      <c r="AA1184" s="61"/>
      <c r="AB1184" s="61"/>
      <c r="AC1184" s="61"/>
      <c r="AD1184" s="37"/>
      <c r="AE1184" s="62"/>
      <c r="AF1184" s="62"/>
      <c r="AG1184" s="62"/>
      <c r="AH1184" s="62"/>
      <c r="AI1184" s="37"/>
      <c r="AJ1184" s="61"/>
      <c r="AK1184" s="61"/>
      <c r="AL1184" s="61"/>
      <c r="AM1184" s="61"/>
      <c r="AN1184" s="37"/>
      <c r="AO1184" s="62"/>
      <c r="AP1184" s="62"/>
      <c r="AQ1184" s="62"/>
      <c r="AR1184" s="62"/>
    </row>
    <row r="1185" spans="25:44" x14ac:dyDescent="0.15">
      <c r="Y1185" s="8"/>
      <c r="Z1185" s="61"/>
      <c r="AA1185" s="61"/>
      <c r="AB1185" s="61"/>
      <c r="AC1185" s="61"/>
      <c r="AD1185" s="37"/>
      <c r="AE1185" s="62"/>
      <c r="AF1185" s="62"/>
      <c r="AG1185" s="62"/>
      <c r="AH1185" s="62"/>
      <c r="AI1185" s="37"/>
      <c r="AJ1185" s="61"/>
      <c r="AK1185" s="61"/>
      <c r="AL1185" s="61"/>
      <c r="AM1185" s="61"/>
      <c r="AN1185" s="37"/>
      <c r="AO1185" s="62"/>
      <c r="AP1185" s="62"/>
      <c r="AQ1185" s="62"/>
      <c r="AR1185" s="62"/>
    </row>
    <row r="1186" spans="25:44" x14ac:dyDescent="0.15">
      <c r="Y1186" s="8"/>
      <c r="Z1186" s="61"/>
      <c r="AA1186" s="61"/>
      <c r="AB1186" s="61"/>
      <c r="AC1186" s="61"/>
      <c r="AD1186" s="37"/>
      <c r="AE1186" s="62"/>
      <c r="AF1186" s="62"/>
      <c r="AG1186" s="62"/>
      <c r="AH1186" s="62"/>
      <c r="AI1186" s="37"/>
      <c r="AJ1186" s="61"/>
      <c r="AK1186" s="61"/>
      <c r="AL1186" s="61"/>
      <c r="AM1186" s="61"/>
      <c r="AN1186" s="37"/>
      <c r="AO1186" s="62"/>
      <c r="AP1186" s="62"/>
      <c r="AQ1186" s="62"/>
      <c r="AR1186" s="62"/>
    </row>
    <row r="1187" spans="25:44" x14ac:dyDescent="0.15">
      <c r="Y1187" s="8"/>
      <c r="Z1187" s="61"/>
      <c r="AA1187" s="61"/>
      <c r="AB1187" s="61"/>
      <c r="AC1187" s="61"/>
      <c r="AD1187" s="37"/>
      <c r="AE1187" s="62"/>
      <c r="AF1187" s="62"/>
      <c r="AG1187" s="62"/>
      <c r="AH1187" s="62"/>
      <c r="AI1187" s="37"/>
      <c r="AJ1187" s="61"/>
      <c r="AK1187" s="61"/>
      <c r="AL1187" s="61"/>
      <c r="AM1187" s="61"/>
      <c r="AN1187" s="37"/>
      <c r="AO1187" s="62"/>
      <c r="AP1187" s="62"/>
      <c r="AQ1187" s="62"/>
      <c r="AR1187" s="62"/>
    </row>
    <row r="1188" spans="25:44" x14ac:dyDescent="0.15">
      <c r="Y1188" s="8"/>
      <c r="Z1188" s="61"/>
      <c r="AA1188" s="61"/>
      <c r="AB1188" s="61"/>
      <c r="AC1188" s="61"/>
      <c r="AD1188" s="37"/>
      <c r="AE1188" s="62"/>
      <c r="AF1188" s="62"/>
      <c r="AG1188" s="62"/>
      <c r="AH1188" s="62"/>
      <c r="AI1188" s="37"/>
      <c r="AJ1188" s="61"/>
      <c r="AK1188" s="61"/>
      <c r="AL1188" s="61"/>
      <c r="AM1188" s="61"/>
      <c r="AN1188" s="37"/>
      <c r="AO1188" s="62"/>
      <c r="AP1188" s="62"/>
      <c r="AQ1188" s="62"/>
      <c r="AR1188" s="62"/>
    </row>
    <row r="1189" spans="25:44" x14ac:dyDescent="0.15">
      <c r="Y1189" s="8"/>
      <c r="Z1189" s="61"/>
      <c r="AA1189" s="61"/>
      <c r="AB1189" s="61"/>
      <c r="AC1189" s="61"/>
      <c r="AD1189" s="37"/>
      <c r="AE1189" s="62"/>
      <c r="AF1189" s="62"/>
      <c r="AG1189" s="62"/>
      <c r="AH1189" s="62"/>
      <c r="AI1189" s="37"/>
      <c r="AJ1189" s="61"/>
      <c r="AK1189" s="61"/>
      <c r="AL1189" s="61"/>
      <c r="AM1189" s="61"/>
      <c r="AN1189" s="37"/>
      <c r="AO1189" s="62"/>
      <c r="AP1189" s="62"/>
      <c r="AQ1189" s="62"/>
      <c r="AR1189" s="62"/>
    </row>
    <row r="1190" spans="25:44" x14ac:dyDescent="0.15">
      <c r="Y1190" s="8"/>
      <c r="Z1190" s="61"/>
      <c r="AA1190" s="61"/>
      <c r="AB1190" s="61"/>
      <c r="AC1190" s="61"/>
      <c r="AD1190" s="37"/>
      <c r="AE1190" s="62"/>
      <c r="AF1190" s="62"/>
      <c r="AG1190" s="62"/>
      <c r="AH1190" s="62"/>
      <c r="AI1190" s="37"/>
      <c r="AJ1190" s="61"/>
      <c r="AK1190" s="61"/>
      <c r="AL1190" s="61"/>
      <c r="AM1190" s="61"/>
      <c r="AN1190" s="37"/>
      <c r="AO1190" s="62"/>
      <c r="AP1190" s="62"/>
      <c r="AQ1190" s="62"/>
      <c r="AR1190" s="62"/>
    </row>
    <row r="1191" spans="25:44" x14ac:dyDescent="0.15">
      <c r="Y1191" s="8"/>
      <c r="Z1191" s="61"/>
      <c r="AA1191" s="61"/>
      <c r="AB1191" s="61"/>
      <c r="AC1191" s="61"/>
      <c r="AD1191" s="37"/>
      <c r="AE1191" s="62"/>
      <c r="AF1191" s="62"/>
      <c r="AG1191" s="62"/>
      <c r="AH1191" s="62"/>
      <c r="AI1191" s="37"/>
      <c r="AJ1191" s="61"/>
      <c r="AK1191" s="61"/>
      <c r="AL1191" s="61"/>
      <c r="AM1191" s="61"/>
      <c r="AN1191" s="37"/>
      <c r="AO1191" s="62"/>
      <c r="AP1191" s="62"/>
      <c r="AQ1191" s="62"/>
      <c r="AR1191" s="62"/>
    </row>
    <row r="1192" spans="25:44" x14ac:dyDescent="0.15">
      <c r="Y1192" s="8"/>
      <c r="Z1192" s="61"/>
      <c r="AA1192" s="61"/>
      <c r="AB1192" s="61"/>
      <c r="AC1192" s="61"/>
      <c r="AD1192" s="37"/>
      <c r="AE1192" s="62"/>
      <c r="AF1192" s="62"/>
      <c r="AG1192" s="62"/>
      <c r="AH1192" s="62"/>
      <c r="AI1192" s="37"/>
      <c r="AJ1192" s="61"/>
      <c r="AK1192" s="61"/>
      <c r="AL1192" s="61"/>
      <c r="AM1192" s="61"/>
      <c r="AN1192" s="37"/>
      <c r="AO1192" s="62"/>
      <c r="AP1192" s="62"/>
      <c r="AQ1192" s="62"/>
      <c r="AR1192" s="62"/>
    </row>
    <row r="1193" spans="25:44" x14ac:dyDescent="0.15">
      <c r="Y1193" s="8"/>
      <c r="Z1193" s="61"/>
      <c r="AA1193" s="61"/>
      <c r="AB1193" s="61"/>
      <c r="AC1193" s="61"/>
      <c r="AD1193" s="37"/>
      <c r="AE1193" s="62"/>
      <c r="AF1193" s="62"/>
      <c r="AG1193" s="62"/>
      <c r="AH1193" s="62"/>
      <c r="AI1193" s="37"/>
      <c r="AJ1193" s="61"/>
      <c r="AK1193" s="61"/>
      <c r="AL1193" s="61"/>
      <c r="AM1193" s="61"/>
      <c r="AN1193" s="37"/>
      <c r="AO1193" s="62"/>
      <c r="AP1193" s="62"/>
      <c r="AQ1193" s="62"/>
      <c r="AR1193" s="62"/>
    </row>
    <row r="1194" spans="25:44" x14ac:dyDescent="0.15">
      <c r="Y1194" s="8"/>
      <c r="Z1194" s="61"/>
      <c r="AA1194" s="61"/>
      <c r="AB1194" s="61"/>
      <c r="AC1194" s="61"/>
      <c r="AD1194" s="37"/>
      <c r="AE1194" s="62"/>
      <c r="AF1194" s="62"/>
      <c r="AG1194" s="62"/>
      <c r="AH1194" s="62"/>
      <c r="AI1194" s="37"/>
      <c r="AJ1194" s="61"/>
      <c r="AK1194" s="61"/>
      <c r="AL1194" s="61"/>
      <c r="AM1194" s="61"/>
      <c r="AN1194" s="37"/>
      <c r="AO1194" s="62"/>
      <c r="AP1194" s="62"/>
      <c r="AQ1194" s="62"/>
      <c r="AR1194" s="62"/>
    </row>
    <row r="1195" spans="25:44" x14ac:dyDescent="0.15">
      <c r="Y1195" s="8"/>
      <c r="Z1195" s="61"/>
      <c r="AA1195" s="61"/>
      <c r="AB1195" s="61"/>
      <c r="AC1195" s="61"/>
      <c r="AD1195" s="37"/>
      <c r="AE1195" s="62"/>
      <c r="AF1195" s="62"/>
      <c r="AG1195" s="62"/>
      <c r="AH1195" s="62"/>
      <c r="AI1195" s="37"/>
      <c r="AJ1195" s="61"/>
      <c r="AK1195" s="61"/>
      <c r="AL1195" s="61"/>
      <c r="AM1195" s="61"/>
      <c r="AN1195" s="37"/>
      <c r="AO1195" s="62"/>
      <c r="AP1195" s="62"/>
      <c r="AQ1195" s="62"/>
      <c r="AR1195" s="62"/>
    </row>
    <row r="1196" spans="25:44" x14ac:dyDescent="0.15">
      <c r="Y1196" s="8"/>
      <c r="Z1196" s="61"/>
      <c r="AA1196" s="61"/>
      <c r="AB1196" s="61"/>
      <c r="AC1196" s="61"/>
      <c r="AD1196" s="37"/>
      <c r="AE1196" s="62"/>
      <c r="AF1196" s="62"/>
      <c r="AG1196" s="62"/>
      <c r="AH1196" s="62"/>
      <c r="AI1196" s="37"/>
      <c r="AJ1196" s="61"/>
      <c r="AK1196" s="61"/>
      <c r="AL1196" s="61"/>
      <c r="AM1196" s="61"/>
      <c r="AN1196" s="37"/>
      <c r="AO1196" s="62"/>
      <c r="AP1196" s="62"/>
      <c r="AQ1196" s="62"/>
      <c r="AR1196" s="62"/>
    </row>
    <row r="1197" spans="25:44" x14ac:dyDescent="0.15">
      <c r="Y1197" s="8"/>
      <c r="Z1197" s="61"/>
      <c r="AA1197" s="61"/>
      <c r="AB1197" s="61"/>
      <c r="AC1197" s="61"/>
      <c r="AD1197" s="37"/>
      <c r="AE1197" s="62"/>
      <c r="AF1197" s="62"/>
      <c r="AG1197" s="62"/>
      <c r="AH1197" s="62"/>
      <c r="AI1197" s="37"/>
      <c r="AJ1197" s="61"/>
      <c r="AK1197" s="61"/>
      <c r="AL1197" s="61"/>
      <c r="AM1197" s="61"/>
      <c r="AN1197" s="37"/>
      <c r="AO1197" s="62"/>
      <c r="AP1197" s="62"/>
      <c r="AQ1197" s="62"/>
      <c r="AR1197" s="62"/>
    </row>
    <row r="1198" spans="25:44" x14ac:dyDescent="0.15">
      <c r="Y1198" s="8"/>
      <c r="Z1198" s="61"/>
      <c r="AA1198" s="61"/>
      <c r="AB1198" s="61"/>
      <c r="AC1198" s="61"/>
      <c r="AD1198" s="37"/>
      <c r="AE1198" s="62"/>
      <c r="AF1198" s="62"/>
      <c r="AG1198" s="62"/>
      <c r="AH1198" s="62"/>
      <c r="AI1198" s="37"/>
      <c r="AJ1198" s="61"/>
      <c r="AK1198" s="61"/>
      <c r="AL1198" s="61"/>
      <c r="AM1198" s="61"/>
      <c r="AN1198" s="37"/>
      <c r="AO1198" s="62"/>
      <c r="AP1198" s="62"/>
      <c r="AQ1198" s="62"/>
      <c r="AR1198" s="62"/>
    </row>
    <row r="1199" spans="25:44" x14ac:dyDescent="0.15">
      <c r="Y1199" s="8"/>
      <c r="Z1199" s="61"/>
      <c r="AA1199" s="61"/>
      <c r="AB1199" s="61"/>
      <c r="AC1199" s="61"/>
      <c r="AD1199" s="37"/>
      <c r="AE1199" s="62"/>
      <c r="AF1199" s="62"/>
      <c r="AG1199" s="62"/>
      <c r="AH1199" s="62"/>
      <c r="AI1199" s="37"/>
      <c r="AJ1199" s="61"/>
      <c r="AK1199" s="61"/>
      <c r="AL1199" s="61"/>
      <c r="AM1199" s="61"/>
      <c r="AN1199" s="37"/>
      <c r="AO1199" s="62"/>
      <c r="AP1199" s="62"/>
      <c r="AQ1199" s="62"/>
      <c r="AR1199" s="62"/>
    </row>
    <row r="1200" spans="25:44" x14ac:dyDescent="0.15">
      <c r="Y1200" s="8"/>
      <c r="Z1200" s="61"/>
      <c r="AA1200" s="61"/>
      <c r="AB1200" s="61"/>
      <c r="AC1200" s="61"/>
      <c r="AD1200" s="37"/>
      <c r="AE1200" s="62"/>
      <c r="AF1200" s="62"/>
      <c r="AG1200" s="62"/>
      <c r="AH1200" s="62"/>
      <c r="AI1200" s="37"/>
      <c r="AJ1200" s="61"/>
      <c r="AK1200" s="61"/>
      <c r="AL1200" s="61"/>
      <c r="AM1200" s="61"/>
      <c r="AN1200" s="37"/>
      <c r="AO1200" s="62"/>
      <c r="AP1200" s="62"/>
      <c r="AQ1200" s="62"/>
      <c r="AR1200" s="62"/>
    </row>
    <row r="1201" spans="25:44" x14ac:dyDescent="0.15">
      <c r="Y1201" s="8"/>
      <c r="Z1201" s="61"/>
      <c r="AA1201" s="61"/>
      <c r="AB1201" s="61"/>
      <c r="AC1201" s="61"/>
      <c r="AD1201" s="37"/>
      <c r="AE1201" s="62"/>
      <c r="AF1201" s="62"/>
      <c r="AG1201" s="62"/>
      <c r="AH1201" s="62"/>
      <c r="AI1201" s="37"/>
      <c r="AJ1201" s="61"/>
      <c r="AK1201" s="61"/>
      <c r="AL1201" s="61"/>
      <c r="AM1201" s="61"/>
      <c r="AN1201" s="37"/>
      <c r="AO1201" s="62"/>
      <c r="AP1201" s="62"/>
      <c r="AQ1201" s="62"/>
      <c r="AR1201" s="62"/>
    </row>
    <row r="1202" spans="25:44" x14ac:dyDescent="0.15">
      <c r="Y1202" s="8"/>
      <c r="Z1202" s="61"/>
      <c r="AA1202" s="61"/>
      <c r="AB1202" s="61"/>
      <c r="AC1202" s="61"/>
      <c r="AD1202" s="37"/>
      <c r="AE1202" s="62"/>
      <c r="AF1202" s="62"/>
      <c r="AG1202" s="62"/>
      <c r="AH1202" s="62"/>
      <c r="AI1202" s="37"/>
      <c r="AJ1202" s="61"/>
      <c r="AK1202" s="61"/>
      <c r="AL1202" s="61"/>
      <c r="AM1202" s="61"/>
      <c r="AN1202" s="37"/>
      <c r="AO1202" s="62"/>
      <c r="AP1202" s="62"/>
      <c r="AQ1202" s="62"/>
      <c r="AR1202" s="62"/>
    </row>
    <row r="1203" spans="25:44" x14ac:dyDescent="0.15">
      <c r="Y1203" s="8"/>
      <c r="Z1203" s="61"/>
      <c r="AA1203" s="61"/>
      <c r="AB1203" s="61"/>
      <c r="AC1203" s="61"/>
      <c r="AD1203" s="37"/>
      <c r="AE1203" s="62"/>
      <c r="AF1203" s="62"/>
      <c r="AG1203" s="62"/>
      <c r="AH1203" s="62"/>
      <c r="AI1203" s="37"/>
      <c r="AJ1203" s="61"/>
      <c r="AK1203" s="61"/>
      <c r="AL1203" s="61"/>
      <c r="AM1203" s="61"/>
      <c r="AN1203" s="37"/>
      <c r="AO1203" s="62"/>
      <c r="AP1203" s="62"/>
      <c r="AQ1203" s="62"/>
      <c r="AR1203" s="62"/>
    </row>
    <row r="1204" spans="25:44" x14ac:dyDescent="0.15">
      <c r="Y1204" s="8"/>
      <c r="Z1204" s="61"/>
      <c r="AA1204" s="61"/>
      <c r="AB1204" s="61"/>
      <c r="AC1204" s="61"/>
      <c r="AD1204" s="37"/>
      <c r="AE1204" s="62"/>
      <c r="AF1204" s="62"/>
      <c r="AG1204" s="62"/>
      <c r="AH1204" s="62"/>
      <c r="AI1204" s="37"/>
      <c r="AJ1204" s="61"/>
      <c r="AK1204" s="61"/>
      <c r="AL1204" s="61"/>
      <c r="AM1204" s="61"/>
      <c r="AN1204" s="37"/>
      <c r="AO1204" s="62"/>
      <c r="AP1204" s="62"/>
      <c r="AQ1204" s="62"/>
      <c r="AR1204" s="62"/>
    </row>
    <row r="1205" spans="25:44" x14ac:dyDescent="0.15">
      <c r="Y1205" s="8"/>
      <c r="Z1205" s="61"/>
      <c r="AA1205" s="61"/>
      <c r="AB1205" s="61"/>
      <c r="AC1205" s="61"/>
      <c r="AD1205" s="37"/>
      <c r="AE1205" s="62"/>
      <c r="AF1205" s="62"/>
      <c r="AG1205" s="62"/>
      <c r="AH1205" s="62"/>
      <c r="AI1205" s="37"/>
      <c r="AJ1205" s="61"/>
      <c r="AK1205" s="61"/>
      <c r="AL1205" s="61"/>
      <c r="AM1205" s="61"/>
      <c r="AN1205" s="37"/>
      <c r="AO1205" s="62"/>
      <c r="AP1205" s="62"/>
      <c r="AQ1205" s="62"/>
      <c r="AR1205" s="62"/>
    </row>
    <row r="1206" spans="25:44" x14ac:dyDescent="0.15">
      <c r="Y1206" s="8"/>
      <c r="Z1206" s="61"/>
      <c r="AA1206" s="61"/>
      <c r="AB1206" s="61"/>
      <c r="AC1206" s="61"/>
      <c r="AD1206" s="37"/>
      <c r="AE1206" s="62"/>
      <c r="AF1206" s="62"/>
      <c r="AG1206" s="62"/>
      <c r="AH1206" s="62"/>
      <c r="AI1206" s="37"/>
      <c r="AJ1206" s="61"/>
      <c r="AK1206" s="61"/>
      <c r="AL1206" s="61"/>
      <c r="AM1206" s="61"/>
      <c r="AN1206" s="37"/>
      <c r="AO1206" s="62"/>
      <c r="AP1206" s="62"/>
      <c r="AQ1206" s="62"/>
      <c r="AR1206" s="62"/>
    </row>
    <row r="1207" spans="25:44" x14ac:dyDescent="0.15">
      <c r="Y1207" s="8"/>
      <c r="Z1207" s="61"/>
      <c r="AA1207" s="61"/>
      <c r="AB1207" s="61"/>
      <c r="AC1207" s="61"/>
      <c r="AD1207" s="37"/>
      <c r="AE1207" s="62"/>
      <c r="AF1207" s="62"/>
      <c r="AG1207" s="62"/>
      <c r="AH1207" s="62"/>
      <c r="AI1207" s="37"/>
      <c r="AJ1207" s="61"/>
      <c r="AK1207" s="61"/>
      <c r="AL1207" s="61"/>
      <c r="AM1207" s="61"/>
      <c r="AN1207" s="37"/>
      <c r="AO1207" s="62"/>
      <c r="AP1207" s="62"/>
      <c r="AQ1207" s="62"/>
      <c r="AR1207" s="62"/>
    </row>
    <row r="1208" spans="25:44" x14ac:dyDescent="0.15">
      <c r="Y1208" s="8"/>
      <c r="Z1208" s="61"/>
      <c r="AA1208" s="61"/>
      <c r="AB1208" s="61"/>
      <c r="AC1208" s="61"/>
      <c r="AD1208" s="37"/>
      <c r="AE1208" s="62"/>
      <c r="AF1208" s="62"/>
      <c r="AG1208" s="62"/>
      <c r="AH1208" s="62"/>
      <c r="AI1208" s="37"/>
      <c r="AJ1208" s="61"/>
      <c r="AK1208" s="61"/>
      <c r="AL1208" s="61"/>
      <c r="AM1208" s="61"/>
      <c r="AN1208" s="37"/>
      <c r="AO1208" s="62"/>
      <c r="AP1208" s="62"/>
      <c r="AQ1208" s="62"/>
      <c r="AR1208" s="62"/>
    </row>
    <row r="1209" spans="25:44" x14ac:dyDescent="0.15">
      <c r="Y1209" s="8"/>
      <c r="Z1209" s="61"/>
      <c r="AA1209" s="61"/>
      <c r="AB1209" s="61"/>
      <c r="AC1209" s="61"/>
      <c r="AD1209" s="37"/>
      <c r="AE1209" s="62"/>
      <c r="AF1209" s="62"/>
      <c r="AG1209" s="62"/>
      <c r="AH1209" s="62"/>
      <c r="AI1209" s="37"/>
      <c r="AJ1209" s="61"/>
      <c r="AK1209" s="61"/>
      <c r="AL1209" s="61"/>
      <c r="AM1209" s="61"/>
      <c r="AN1209" s="37"/>
      <c r="AO1209" s="62"/>
      <c r="AP1209" s="62"/>
      <c r="AQ1209" s="62"/>
      <c r="AR1209" s="62"/>
    </row>
    <row r="1210" spans="25:44" x14ac:dyDescent="0.15">
      <c r="Y1210" s="8"/>
      <c r="Z1210" s="61"/>
      <c r="AA1210" s="61"/>
      <c r="AB1210" s="61"/>
      <c r="AC1210" s="61"/>
      <c r="AD1210" s="37"/>
      <c r="AE1210" s="62"/>
      <c r="AF1210" s="62"/>
      <c r="AG1210" s="62"/>
      <c r="AH1210" s="62"/>
      <c r="AI1210" s="37"/>
      <c r="AJ1210" s="61"/>
      <c r="AK1210" s="61"/>
      <c r="AL1210" s="61"/>
      <c r="AM1210" s="61"/>
      <c r="AN1210" s="37"/>
      <c r="AO1210" s="62"/>
      <c r="AP1210" s="62"/>
      <c r="AQ1210" s="62"/>
      <c r="AR1210" s="62"/>
    </row>
    <row r="1211" spans="25:44" x14ac:dyDescent="0.15">
      <c r="Y1211" s="8"/>
      <c r="Z1211" s="61"/>
      <c r="AA1211" s="61"/>
      <c r="AB1211" s="61"/>
      <c r="AC1211" s="61"/>
      <c r="AD1211" s="37"/>
      <c r="AE1211" s="62"/>
      <c r="AF1211" s="62"/>
      <c r="AG1211" s="62"/>
      <c r="AH1211" s="62"/>
      <c r="AI1211" s="37"/>
      <c r="AJ1211" s="61"/>
      <c r="AK1211" s="61"/>
      <c r="AL1211" s="61"/>
      <c r="AM1211" s="61"/>
      <c r="AN1211" s="37"/>
      <c r="AO1211" s="62"/>
      <c r="AP1211" s="62"/>
      <c r="AQ1211" s="62"/>
      <c r="AR1211" s="62"/>
    </row>
    <row r="1212" spans="25:44" x14ac:dyDescent="0.15">
      <c r="Y1212" s="8"/>
      <c r="Z1212" s="61"/>
      <c r="AA1212" s="61"/>
      <c r="AB1212" s="61"/>
      <c r="AC1212" s="61"/>
      <c r="AD1212" s="37"/>
      <c r="AE1212" s="62"/>
      <c r="AF1212" s="62"/>
      <c r="AG1212" s="62"/>
      <c r="AH1212" s="62"/>
      <c r="AI1212" s="37"/>
      <c r="AJ1212" s="61"/>
      <c r="AK1212" s="61"/>
      <c r="AL1212" s="61"/>
      <c r="AM1212" s="61"/>
      <c r="AN1212" s="37"/>
      <c r="AO1212" s="62"/>
      <c r="AP1212" s="62"/>
      <c r="AQ1212" s="62"/>
      <c r="AR1212" s="62"/>
    </row>
    <row r="1213" spans="25:44" x14ac:dyDescent="0.15">
      <c r="Y1213" s="8"/>
      <c r="Z1213" s="61"/>
      <c r="AA1213" s="61"/>
      <c r="AB1213" s="61"/>
      <c r="AC1213" s="61"/>
      <c r="AD1213" s="37"/>
      <c r="AE1213" s="62"/>
      <c r="AF1213" s="62"/>
      <c r="AG1213" s="62"/>
      <c r="AH1213" s="62"/>
      <c r="AI1213" s="37"/>
      <c r="AJ1213" s="61"/>
      <c r="AK1213" s="61"/>
      <c r="AL1213" s="61"/>
      <c r="AM1213" s="61"/>
      <c r="AN1213" s="37"/>
      <c r="AO1213" s="62"/>
      <c r="AP1213" s="62"/>
      <c r="AQ1213" s="62"/>
      <c r="AR1213" s="62"/>
    </row>
    <row r="1214" spans="25:44" x14ac:dyDescent="0.15">
      <c r="Y1214" s="8"/>
      <c r="Z1214" s="61"/>
      <c r="AA1214" s="61"/>
      <c r="AB1214" s="61"/>
      <c r="AC1214" s="61"/>
      <c r="AD1214" s="37"/>
      <c r="AE1214" s="62"/>
      <c r="AF1214" s="62"/>
      <c r="AG1214" s="62"/>
      <c r="AH1214" s="62"/>
      <c r="AI1214" s="37"/>
      <c r="AJ1214" s="61"/>
      <c r="AK1214" s="61"/>
      <c r="AL1214" s="61"/>
      <c r="AM1214" s="61"/>
      <c r="AN1214" s="37"/>
      <c r="AO1214" s="62"/>
      <c r="AP1214" s="62"/>
      <c r="AQ1214" s="62"/>
      <c r="AR1214" s="62"/>
    </row>
    <row r="1215" spans="25:44" x14ac:dyDescent="0.15">
      <c r="Y1215" s="8"/>
      <c r="Z1215" s="61"/>
      <c r="AA1215" s="61"/>
      <c r="AB1215" s="61"/>
      <c r="AC1215" s="61"/>
      <c r="AD1215" s="37"/>
      <c r="AE1215" s="62"/>
      <c r="AF1215" s="62"/>
      <c r="AG1215" s="62"/>
      <c r="AH1215" s="62"/>
      <c r="AI1215" s="37"/>
      <c r="AJ1215" s="61"/>
      <c r="AK1215" s="61"/>
      <c r="AL1215" s="61"/>
      <c r="AM1215" s="61"/>
      <c r="AN1215" s="37"/>
      <c r="AO1215" s="62"/>
      <c r="AP1215" s="62"/>
      <c r="AQ1215" s="62"/>
      <c r="AR1215" s="62"/>
    </row>
    <row r="1216" spans="25:44" x14ac:dyDescent="0.15">
      <c r="Y1216" s="8"/>
      <c r="Z1216" s="61"/>
      <c r="AA1216" s="61"/>
      <c r="AB1216" s="61"/>
      <c r="AC1216" s="61"/>
      <c r="AD1216" s="37"/>
      <c r="AE1216" s="62"/>
      <c r="AF1216" s="62"/>
      <c r="AG1216" s="62"/>
      <c r="AH1216" s="62"/>
      <c r="AI1216" s="37"/>
      <c r="AJ1216" s="61"/>
      <c r="AK1216" s="61"/>
      <c r="AL1216" s="61"/>
      <c r="AM1216" s="61"/>
      <c r="AN1216" s="37"/>
      <c r="AO1216" s="62"/>
      <c r="AP1216" s="62"/>
      <c r="AQ1216" s="62"/>
      <c r="AR1216" s="62"/>
    </row>
    <row r="1217" spans="25:44" x14ac:dyDescent="0.15">
      <c r="Y1217" s="8"/>
      <c r="Z1217" s="61"/>
      <c r="AA1217" s="61"/>
      <c r="AB1217" s="61"/>
      <c r="AC1217" s="61"/>
      <c r="AD1217" s="37"/>
      <c r="AE1217" s="62"/>
      <c r="AF1217" s="62"/>
      <c r="AG1217" s="62"/>
      <c r="AH1217" s="62"/>
      <c r="AI1217" s="37"/>
      <c r="AJ1217" s="61"/>
      <c r="AK1217" s="61"/>
      <c r="AL1217" s="61"/>
      <c r="AM1217" s="61"/>
      <c r="AN1217" s="37"/>
      <c r="AO1217" s="62"/>
      <c r="AP1217" s="62"/>
      <c r="AQ1217" s="62"/>
      <c r="AR1217" s="62"/>
    </row>
    <row r="1218" spans="25:44" x14ac:dyDescent="0.15">
      <c r="Y1218" s="8"/>
      <c r="Z1218" s="61"/>
      <c r="AA1218" s="61"/>
      <c r="AB1218" s="61"/>
      <c r="AC1218" s="61"/>
      <c r="AD1218" s="37"/>
      <c r="AE1218" s="62"/>
      <c r="AF1218" s="62"/>
      <c r="AG1218" s="62"/>
      <c r="AH1218" s="62"/>
      <c r="AI1218" s="37"/>
      <c r="AJ1218" s="61"/>
      <c r="AK1218" s="61"/>
      <c r="AL1218" s="61"/>
      <c r="AM1218" s="61"/>
      <c r="AN1218" s="37"/>
      <c r="AO1218" s="62"/>
      <c r="AP1218" s="62"/>
      <c r="AQ1218" s="62"/>
      <c r="AR1218" s="62"/>
    </row>
    <row r="1219" spans="25:44" x14ac:dyDescent="0.15">
      <c r="Y1219" s="8"/>
      <c r="Z1219" s="61"/>
      <c r="AA1219" s="61"/>
      <c r="AB1219" s="61"/>
      <c r="AC1219" s="61"/>
      <c r="AD1219" s="37"/>
      <c r="AE1219" s="62"/>
      <c r="AF1219" s="62"/>
      <c r="AG1219" s="62"/>
      <c r="AH1219" s="62"/>
      <c r="AI1219" s="37"/>
      <c r="AJ1219" s="61"/>
      <c r="AK1219" s="61"/>
      <c r="AL1219" s="61"/>
      <c r="AM1219" s="61"/>
      <c r="AN1219" s="37"/>
      <c r="AO1219" s="62"/>
      <c r="AP1219" s="62"/>
      <c r="AQ1219" s="62"/>
      <c r="AR1219" s="62"/>
    </row>
    <row r="1220" spans="25:44" x14ac:dyDescent="0.15">
      <c r="Y1220" s="8"/>
      <c r="Z1220" s="61"/>
      <c r="AA1220" s="61"/>
      <c r="AB1220" s="61"/>
      <c r="AC1220" s="61"/>
      <c r="AD1220" s="37"/>
      <c r="AE1220" s="62"/>
      <c r="AF1220" s="62"/>
      <c r="AG1220" s="62"/>
      <c r="AH1220" s="62"/>
      <c r="AI1220" s="37"/>
      <c r="AJ1220" s="61"/>
      <c r="AK1220" s="61"/>
      <c r="AL1220" s="61"/>
      <c r="AM1220" s="61"/>
      <c r="AN1220" s="37"/>
      <c r="AO1220" s="62"/>
      <c r="AP1220" s="62"/>
      <c r="AQ1220" s="62"/>
      <c r="AR1220" s="62"/>
    </row>
    <row r="1221" spans="25:44" x14ac:dyDescent="0.15">
      <c r="Y1221" s="8"/>
      <c r="Z1221" s="61"/>
      <c r="AA1221" s="61"/>
      <c r="AB1221" s="61"/>
      <c r="AC1221" s="61"/>
      <c r="AD1221" s="37"/>
      <c r="AE1221" s="62"/>
      <c r="AF1221" s="62"/>
      <c r="AG1221" s="62"/>
      <c r="AH1221" s="62"/>
      <c r="AI1221" s="37"/>
      <c r="AJ1221" s="61"/>
      <c r="AK1221" s="61"/>
      <c r="AL1221" s="61"/>
      <c r="AM1221" s="61"/>
      <c r="AN1221" s="37"/>
      <c r="AO1221" s="62"/>
      <c r="AP1221" s="62"/>
      <c r="AQ1221" s="62"/>
      <c r="AR1221" s="62"/>
    </row>
    <row r="1222" spans="25:44" x14ac:dyDescent="0.15">
      <c r="Y1222" s="8"/>
      <c r="Z1222" s="61"/>
      <c r="AA1222" s="61"/>
      <c r="AB1222" s="61"/>
      <c r="AC1222" s="61"/>
      <c r="AD1222" s="37"/>
      <c r="AE1222" s="62"/>
      <c r="AF1222" s="62"/>
      <c r="AG1222" s="62"/>
      <c r="AH1222" s="62"/>
      <c r="AI1222" s="37"/>
      <c r="AJ1222" s="61"/>
      <c r="AK1222" s="61"/>
      <c r="AL1222" s="61"/>
      <c r="AM1222" s="61"/>
      <c r="AN1222" s="37"/>
      <c r="AO1222" s="62"/>
      <c r="AP1222" s="62"/>
      <c r="AQ1222" s="62"/>
      <c r="AR1222" s="62"/>
    </row>
    <row r="1223" spans="25:44" x14ac:dyDescent="0.15">
      <c r="Y1223" s="8"/>
      <c r="Z1223" s="61"/>
      <c r="AA1223" s="61"/>
      <c r="AB1223" s="61"/>
      <c r="AC1223" s="61"/>
      <c r="AD1223" s="37"/>
      <c r="AE1223" s="62"/>
      <c r="AF1223" s="62"/>
      <c r="AG1223" s="62"/>
      <c r="AH1223" s="62"/>
      <c r="AI1223" s="37"/>
      <c r="AJ1223" s="61"/>
      <c r="AK1223" s="61"/>
      <c r="AL1223" s="61"/>
      <c r="AM1223" s="61"/>
      <c r="AN1223" s="37"/>
      <c r="AO1223" s="62"/>
      <c r="AP1223" s="62"/>
      <c r="AQ1223" s="62"/>
      <c r="AR1223" s="62"/>
    </row>
    <row r="1224" spans="25:44" x14ac:dyDescent="0.15">
      <c r="Y1224" s="8"/>
      <c r="Z1224" s="61"/>
      <c r="AA1224" s="61"/>
      <c r="AB1224" s="61"/>
      <c r="AC1224" s="61"/>
      <c r="AD1224" s="37"/>
      <c r="AE1224" s="62"/>
      <c r="AF1224" s="62"/>
      <c r="AG1224" s="62"/>
      <c r="AH1224" s="62"/>
      <c r="AI1224" s="37"/>
      <c r="AJ1224" s="61"/>
      <c r="AK1224" s="61"/>
      <c r="AL1224" s="61"/>
      <c r="AM1224" s="61"/>
      <c r="AN1224" s="37"/>
      <c r="AO1224" s="62"/>
      <c r="AP1224" s="62"/>
      <c r="AQ1224" s="62"/>
      <c r="AR1224" s="62"/>
    </row>
    <row r="1225" spans="25:44" x14ac:dyDescent="0.15">
      <c r="Y1225" s="8"/>
      <c r="Z1225" s="61"/>
      <c r="AA1225" s="61"/>
      <c r="AB1225" s="61"/>
      <c r="AC1225" s="61"/>
      <c r="AD1225" s="37"/>
      <c r="AE1225" s="62"/>
      <c r="AF1225" s="62"/>
      <c r="AG1225" s="62"/>
      <c r="AH1225" s="62"/>
      <c r="AI1225" s="37"/>
      <c r="AJ1225" s="61"/>
      <c r="AK1225" s="61"/>
      <c r="AL1225" s="61"/>
      <c r="AM1225" s="61"/>
      <c r="AN1225" s="37"/>
      <c r="AO1225" s="62"/>
      <c r="AP1225" s="62"/>
      <c r="AQ1225" s="62"/>
      <c r="AR1225" s="62"/>
    </row>
    <row r="1226" spans="25:44" x14ac:dyDescent="0.15">
      <c r="Y1226" s="8"/>
      <c r="Z1226" s="61"/>
      <c r="AA1226" s="61"/>
      <c r="AB1226" s="61"/>
      <c r="AC1226" s="61"/>
      <c r="AD1226" s="37"/>
      <c r="AE1226" s="62"/>
      <c r="AF1226" s="62"/>
      <c r="AG1226" s="62"/>
      <c r="AH1226" s="62"/>
      <c r="AI1226" s="37"/>
      <c r="AJ1226" s="61"/>
      <c r="AK1226" s="61"/>
      <c r="AL1226" s="61"/>
      <c r="AM1226" s="61"/>
      <c r="AN1226" s="37"/>
      <c r="AO1226" s="62"/>
      <c r="AP1226" s="62"/>
      <c r="AQ1226" s="62"/>
      <c r="AR1226" s="62"/>
    </row>
    <row r="1227" spans="25:44" x14ac:dyDescent="0.15">
      <c r="Y1227" s="8"/>
      <c r="Z1227" s="61"/>
      <c r="AA1227" s="61"/>
      <c r="AB1227" s="61"/>
      <c r="AC1227" s="61"/>
      <c r="AD1227" s="37"/>
      <c r="AE1227" s="62"/>
      <c r="AF1227" s="62"/>
      <c r="AG1227" s="62"/>
      <c r="AH1227" s="62"/>
      <c r="AI1227" s="37"/>
      <c r="AJ1227" s="61"/>
      <c r="AK1227" s="61"/>
      <c r="AL1227" s="61"/>
      <c r="AM1227" s="61"/>
      <c r="AN1227" s="37"/>
      <c r="AO1227" s="62"/>
      <c r="AP1227" s="62"/>
      <c r="AQ1227" s="62"/>
      <c r="AR1227" s="62"/>
    </row>
    <row r="1228" spans="25:44" x14ac:dyDescent="0.15">
      <c r="Y1228" s="8"/>
      <c r="Z1228" s="61"/>
      <c r="AA1228" s="61"/>
      <c r="AB1228" s="61"/>
      <c r="AC1228" s="61"/>
      <c r="AD1228" s="37"/>
      <c r="AE1228" s="62"/>
      <c r="AF1228" s="62"/>
      <c r="AG1228" s="62"/>
      <c r="AH1228" s="62"/>
      <c r="AI1228" s="37"/>
      <c r="AJ1228" s="61"/>
      <c r="AK1228" s="61"/>
      <c r="AL1228" s="61"/>
      <c r="AM1228" s="61"/>
      <c r="AN1228" s="37"/>
      <c r="AO1228" s="62"/>
      <c r="AP1228" s="62"/>
      <c r="AQ1228" s="62"/>
      <c r="AR1228" s="62"/>
    </row>
    <row r="1229" spans="25:44" x14ac:dyDescent="0.15">
      <c r="Y1229" s="8"/>
      <c r="Z1229" s="61"/>
      <c r="AA1229" s="61"/>
      <c r="AB1229" s="61"/>
      <c r="AC1229" s="61"/>
      <c r="AD1229" s="37"/>
      <c r="AE1229" s="62"/>
      <c r="AF1229" s="62"/>
      <c r="AG1229" s="62"/>
      <c r="AH1229" s="62"/>
      <c r="AI1229" s="37"/>
      <c r="AJ1229" s="61"/>
      <c r="AK1229" s="61"/>
      <c r="AL1229" s="61"/>
      <c r="AM1229" s="61"/>
      <c r="AN1229" s="37"/>
      <c r="AO1229" s="62"/>
      <c r="AP1229" s="62"/>
      <c r="AQ1229" s="62"/>
      <c r="AR1229" s="62"/>
    </row>
    <row r="1230" spans="25:44" x14ac:dyDescent="0.15">
      <c r="Y1230" s="8"/>
      <c r="Z1230" s="61"/>
      <c r="AA1230" s="61"/>
      <c r="AB1230" s="61"/>
      <c r="AC1230" s="61"/>
      <c r="AD1230" s="37"/>
      <c r="AE1230" s="62"/>
      <c r="AF1230" s="62"/>
      <c r="AG1230" s="62"/>
      <c r="AH1230" s="62"/>
      <c r="AI1230" s="37"/>
      <c r="AJ1230" s="61"/>
      <c r="AK1230" s="61"/>
      <c r="AL1230" s="61"/>
      <c r="AM1230" s="61"/>
      <c r="AN1230" s="37"/>
      <c r="AO1230" s="62"/>
      <c r="AP1230" s="62"/>
      <c r="AQ1230" s="62"/>
      <c r="AR1230" s="62"/>
    </row>
    <row r="1231" spans="25:44" x14ac:dyDescent="0.15">
      <c r="Y1231" s="8"/>
      <c r="Z1231" s="61"/>
      <c r="AA1231" s="61"/>
      <c r="AB1231" s="61"/>
      <c r="AC1231" s="61"/>
      <c r="AD1231" s="37"/>
      <c r="AE1231" s="62"/>
      <c r="AF1231" s="62"/>
      <c r="AG1231" s="62"/>
      <c r="AH1231" s="62"/>
      <c r="AI1231" s="37"/>
      <c r="AJ1231" s="61"/>
      <c r="AK1231" s="61"/>
      <c r="AL1231" s="61"/>
      <c r="AM1231" s="61"/>
      <c r="AN1231" s="37"/>
      <c r="AO1231" s="62"/>
      <c r="AP1231" s="62"/>
      <c r="AQ1231" s="62"/>
      <c r="AR1231" s="62"/>
    </row>
    <row r="1232" spans="25:44" x14ac:dyDescent="0.15">
      <c r="Y1232" s="8"/>
      <c r="Z1232" s="61"/>
      <c r="AA1232" s="61"/>
      <c r="AB1232" s="61"/>
      <c r="AC1232" s="61"/>
      <c r="AD1232" s="37"/>
      <c r="AE1232" s="62"/>
      <c r="AF1232" s="62"/>
      <c r="AG1232" s="62"/>
      <c r="AH1232" s="62"/>
      <c r="AI1232" s="37"/>
      <c r="AJ1232" s="61"/>
      <c r="AK1232" s="61"/>
      <c r="AL1232" s="61"/>
      <c r="AM1232" s="61"/>
      <c r="AN1232" s="37"/>
      <c r="AO1232" s="62"/>
      <c r="AP1232" s="62"/>
      <c r="AQ1232" s="62"/>
      <c r="AR1232" s="62"/>
    </row>
    <row r="1233" spans="25:44" x14ac:dyDescent="0.15">
      <c r="Y1233" s="8"/>
      <c r="Z1233" s="61"/>
      <c r="AA1233" s="61"/>
      <c r="AB1233" s="61"/>
      <c r="AC1233" s="61"/>
      <c r="AD1233" s="37"/>
      <c r="AE1233" s="62"/>
      <c r="AF1233" s="62"/>
      <c r="AG1233" s="62"/>
      <c r="AH1233" s="62"/>
      <c r="AI1233" s="37"/>
      <c r="AJ1233" s="61"/>
      <c r="AK1233" s="61"/>
      <c r="AL1233" s="61"/>
      <c r="AM1233" s="61"/>
      <c r="AN1233" s="37"/>
      <c r="AO1233" s="62"/>
      <c r="AP1233" s="62"/>
      <c r="AQ1233" s="62"/>
      <c r="AR1233" s="62"/>
    </row>
    <row r="1234" spans="25:44" x14ac:dyDescent="0.15">
      <c r="Y1234" s="8"/>
      <c r="Z1234" s="61"/>
      <c r="AA1234" s="61"/>
      <c r="AB1234" s="61"/>
      <c r="AC1234" s="61"/>
      <c r="AD1234" s="37"/>
      <c r="AE1234" s="62"/>
      <c r="AF1234" s="62"/>
      <c r="AG1234" s="62"/>
      <c r="AH1234" s="62"/>
      <c r="AI1234" s="37"/>
      <c r="AJ1234" s="61"/>
      <c r="AK1234" s="61"/>
      <c r="AL1234" s="61"/>
      <c r="AM1234" s="61"/>
      <c r="AN1234" s="37"/>
      <c r="AO1234" s="62"/>
      <c r="AP1234" s="62"/>
      <c r="AQ1234" s="62"/>
      <c r="AR1234" s="62"/>
    </row>
    <row r="1235" spans="25:44" x14ac:dyDescent="0.15">
      <c r="Y1235" s="8"/>
      <c r="Z1235" s="61"/>
      <c r="AA1235" s="61"/>
      <c r="AB1235" s="61"/>
      <c r="AC1235" s="61"/>
      <c r="AD1235" s="37"/>
      <c r="AE1235" s="62"/>
      <c r="AF1235" s="62"/>
      <c r="AG1235" s="62"/>
      <c r="AH1235" s="62"/>
      <c r="AI1235" s="37"/>
      <c r="AJ1235" s="61"/>
      <c r="AK1235" s="61"/>
      <c r="AL1235" s="61"/>
      <c r="AM1235" s="61"/>
      <c r="AN1235" s="37"/>
      <c r="AO1235" s="62"/>
      <c r="AP1235" s="62"/>
      <c r="AQ1235" s="62"/>
      <c r="AR1235" s="62"/>
    </row>
    <row r="1236" spans="25:44" x14ac:dyDescent="0.15">
      <c r="Y1236" s="8"/>
      <c r="Z1236" s="61"/>
      <c r="AA1236" s="61"/>
      <c r="AB1236" s="61"/>
      <c r="AC1236" s="61"/>
      <c r="AD1236" s="37"/>
      <c r="AE1236" s="62"/>
      <c r="AF1236" s="62"/>
      <c r="AG1236" s="62"/>
      <c r="AH1236" s="62"/>
      <c r="AI1236" s="37"/>
      <c r="AJ1236" s="61"/>
      <c r="AK1236" s="61"/>
      <c r="AL1236" s="61"/>
      <c r="AM1236" s="61"/>
      <c r="AN1236" s="37"/>
      <c r="AO1236" s="62"/>
      <c r="AP1236" s="62"/>
      <c r="AQ1236" s="62"/>
      <c r="AR1236" s="62"/>
    </row>
    <row r="1237" spans="25:44" x14ac:dyDescent="0.15">
      <c r="Y1237" s="8"/>
      <c r="Z1237" s="61"/>
      <c r="AA1237" s="61"/>
      <c r="AB1237" s="61"/>
      <c r="AC1237" s="61"/>
      <c r="AD1237" s="37"/>
      <c r="AE1237" s="62"/>
      <c r="AF1237" s="62"/>
      <c r="AG1237" s="62"/>
      <c r="AH1237" s="62"/>
      <c r="AI1237" s="37"/>
      <c r="AJ1237" s="61"/>
      <c r="AK1237" s="61"/>
      <c r="AL1237" s="61"/>
      <c r="AM1237" s="61"/>
      <c r="AN1237" s="37"/>
      <c r="AO1237" s="62"/>
      <c r="AP1237" s="62"/>
      <c r="AQ1237" s="62"/>
      <c r="AR1237" s="62"/>
    </row>
    <row r="1238" spans="25:44" x14ac:dyDescent="0.15">
      <c r="Y1238" s="8"/>
      <c r="Z1238" s="61"/>
      <c r="AA1238" s="61"/>
      <c r="AB1238" s="61"/>
      <c r="AC1238" s="61"/>
      <c r="AD1238" s="37"/>
      <c r="AE1238" s="62"/>
      <c r="AF1238" s="62"/>
      <c r="AG1238" s="62"/>
      <c r="AH1238" s="62"/>
      <c r="AI1238" s="37"/>
      <c r="AJ1238" s="61"/>
      <c r="AK1238" s="61"/>
      <c r="AL1238" s="61"/>
      <c r="AM1238" s="61"/>
      <c r="AN1238" s="37"/>
      <c r="AO1238" s="62"/>
      <c r="AP1238" s="62"/>
      <c r="AQ1238" s="62"/>
      <c r="AR1238" s="62"/>
    </row>
    <row r="1239" spans="25:44" x14ac:dyDescent="0.15">
      <c r="Y1239" s="8"/>
      <c r="Z1239" s="61"/>
      <c r="AA1239" s="61"/>
      <c r="AB1239" s="61"/>
      <c r="AC1239" s="61"/>
      <c r="AD1239" s="37"/>
      <c r="AE1239" s="62"/>
      <c r="AF1239" s="62"/>
      <c r="AG1239" s="62"/>
      <c r="AH1239" s="62"/>
      <c r="AI1239" s="37"/>
      <c r="AJ1239" s="61"/>
      <c r="AK1239" s="61"/>
      <c r="AL1239" s="61"/>
      <c r="AM1239" s="61"/>
      <c r="AN1239" s="37"/>
      <c r="AO1239" s="62"/>
      <c r="AP1239" s="62"/>
      <c r="AQ1239" s="62"/>
      <c r="AR1239" s="62"/>
    </row>
    <row r="1240" spans="25:44" x14ac:dyDescent="0.15">
      <c r="Y1240" s="8"/>
      <c r="Z1240" s="61"/>
      <c r="AA1240" s="61"/>
      <c r="AB1240" s="61"/>
      <c r="AC1240" s="61"/>
      <c r="AD1240" s="37"/>
      <c r="AE1240" s="62"/>
      <c r="AF1240" s="62"/>
      <c r="AG1240" s="62"/>
      <c r="AH1240" s="62"/>
      <c r="AI1240" s="37"/>
      <c r="AJ1240" s="61"/>
      <c r="AK1240" s="61"/>
      <c r="AL1240" s="61"/>
      <c r="AM1240" s="61"/>
      <c r="AN1240" s="37"/>
      <c r="AO1240" s="62"/>
      <c r="AP1240" s="62"/>
      <c r="AQ1240" s="62"/>
      <c r="AR1240" s="62"/>
    </row>
    <row r="1241" spans="25:44" x14ac:dyDescent="0.15">
      <c r="Y1241" s="8"/>
      <c r="Z1241" s="61"/>
      <c r="AA1241" s="61"/>
      <c r="AB1241" s="61"/>
      <c r="AC1241" s="61"/>
      <c r="AD1241" s="37"/>
      <c r="AE1241" s="62"/>
      <c r="AF1241" s="62"/>
      <c r="AG1241" s="62"/>
      <c r="AH1241" s="62"/>
      <c r="AI1241" s="37"/>
      <c r="AJ1241" s="61"/>
      <c r="AK1241" s="61"/>
      <c r="AL1241" s="61"/>
      <c r="AM1241" s="61"/>
      <c r="AN1241" s="37"/>
      <c r="AO1241" s="62"/>
      <c r="AP1241" s="62"/>
      <c r="AQ1241" s="62"/>
      <c r="AR1241" s="62"/>
    </row>
    <row r="1242" spans="25:44" x14ac:dyDescent="0.15">
      <c r="Y1242" s="8"/>
      <c r="Z1242" s="61"/>
      <c r="AA1242" s="61"/>
      <c r="AB1242" s="61"/>
      <c r="AC1242" s="61"/>
      <c r="AD1242" s="37"/>
      <c r="AE1242" s="62"/>
      <c r="AF1242" s="62"/>
      <c r="AG1242" s="62"/>
      <c r="AH1242" s="62"/>
      <c r="AI1242" s="37"/>
      <c r="AJ1242" s="61"/>
      <c r="AK1242" s="61"/>
      <c r="AL1242" s="61"/>
      <c r="AM1242" s="61"/>
      <c r="AN1242" s="37"/>
      <c r="AO1242" s="62"/>
      <c r="AP1242" s="62"/>
      <c r="AQ1242" s="62"/>
      <c r="AR1242" s="62"/>
    </row>
    <row r="1243" spans="25:44" x14ac:dyDescent="0.15">
      <c r="Y1243" s="8"/>
      <c r="Z1243" s="61"/>
      <c r="AA1243" s="61"/>
      <c r="AB1243" s="61"/>
      <c r="AC1243" s="61"/>
      <c r="AD1243" s="37"/>
      <c r="AE1243" s="62"/>
      <c r="AF1243" s="62"/>
      <c r="AG1243" s="62"/>
      <c r="AH1243" s="62"/>
      <c r="AI1243" s="37"/>
      <c r="AJ1243" s="61"/>
      <c r="AK1243" s="61"/>
      <c r="AL1243" s="61"/>
      <c r="AM1243" s="61"/>
      <c r="AN1243" s="37"/>
      <c r="AO1243" s="62"/>
      <c r="AP1243" s="62"/>
      <c r="AQ1243" s="62"/>
      <c r="AR1243" s="62"/>
    </row>
    <row r="1244" spans="25:44" x14ac:dyDescent="0.15">
      <c r="Y1244" s="8"/>
      <c r="Z1244" s="61"/>
      <c r="AA1244" s="61"/>
      <c r="AB1244" s="61"/>
      <c r="AC1244" s="61"/>
      <c r="AD1244" s="37"/>
      <c r="AE1244" s="62"/>
      <c r="AF1244" s="62"/>
      <c r="AG1244" s="62"/>
      <c r="AH1244" s="62"/>
      <c r="AI1244" s="37"/>
      <c r="AJ1244" s="61"/>
      <c r="AK1244" s="61"/>
      <c r="AL1244" s="61"/>
      <c r="AM1244" s="61"/>
      <c r="AN1244" s="37"/>
      <c r="AO1244" s="62"/>
      <c r="AP1244" s="62"/>
      <c r="AQ1244" s="62"/>
      <c r="AR1244" s="62"/>
    </row>
    <row r="1245" spans="25:44" x14ac:dyDescent="0.15">
      <c r="Y1245" s="8"/>
      <c r="Z1245" s="61"/>
      <c r="AA1245" s="61"/>
      <c r="AB1245" s="61"/>
      <c r="AC1245" s="61"/>
      <c r="AD1245" s="37"/>
      <c r="AE1245" s="62"/>
      <c r="AF1245" s="62"/>
      <c r="AG1245" s="62"/>
      <c r="AH1245" s="62"/>
      <c r="AI1245" s="37"/>
      <c r="AJ1245" s="61"/>
      <c r="AK1245" s="61"/>
      <c r="AL1245" s="61"/>
      <c r="AM1245" s="61"/>
      <c r="AN1245" s="37"/>
      <c r="AO1245" s="62"/>
      <c r="AP1245" s="62"/>
      <c r="AQ1245" s="62"/>
      <c r="AR1245" s="62"/>
    </row>
    <row r="1246" spans="25:44" x14ac:dyDescent="0.15">
      <c r="Y1246" s="8"/>
      <c r="Z1246" s="61"/>
      <c r="AA1246" s="61"/>
      <c r="AB1246" s="61"/>
      <c r="AC1246" s="61"/>
      <c r="AD1246" s="37"/>
      <c r="AE1246" s="62"/>
      <c r="AF1246" s="62"/>
      <c r="AG1246" s="62"/>
      <c r="AH1246" s="62"/>
      <c r="AI1246" s="37"/>
      <c r="AJ1246" s="61"/>
      <c r="AK1246" s="61"/>
      <c r="AL1246" s="61"/>
      <c r="AM1246" s="61"/>
      <c r="AN1246" s="37"/>
      <c r="AO1246" s="62"/>
      <c r="AP1246" s="62"/>
      <c r="AQ1246" s="62"/>
      <c r="AR1246" s="62"/>
    </row>
    <row r="1247" spans="25:44" x14ac:dyDescent="0.15">
      <c r="Y1247" s="8"/>
      <c r="Z1247" s="61"/>
      <c r="AA1247" s="61"/>
      <c r="AB1247" s="61"/>
      <c r="AC1247" s="61"/>
      <c r="AD1247" s="37"/>
      <c r="AE1247" s="62"/>
      <c r="AF1247" s="62"/>
      <c r="AG1247" s="62"/>
      <c r="AH1247" s="62"/>
      <c r="AI1247" s="37"/>
      <c r="AJ1247" s="61"/>
      <c r="AK1247" s="61"/>
      <c r="AL1247" s="61"/>
      <c r="AM1247" s="61"/>
      <c r="AN1247" s="37"/>
      <c r="AO1247" s="62"/>
      <c r="AP1247" s="62"/>
      <c r="AQ1247" s="62"/>
      <c r="AR1247" s="62"/>
    </row>
    <row r="1248" spans="25:44" x14ac:dyDescent="0.15">
      <c r="Y1248" s="8"/>
      <c r="Z1248" s="61"/>
      <c r="AA1248" s="61"/>
      <c r="AB1248" s="61"/>
      <c r="AC1248" s="61"/>
      <c r="AD1248" s="37"/>
      <c r="AE1248" s="62"/>
      <c r="AF1248" s="62"/>
      <c r="AG1248" s="62"/>
      <c r="AH1248" s="62"/>
      <c r="AI1248" s="37"/>
      <c r="AJ1248" s="61"/>
      <c r="AK1248" s="61"/>
      <c r="AL1248" s="61"/>
      <c r="AM1248" s="61"/>
      <c r="AN1248" s="37"/>
      <c r="AO1248" s="62"/>
      <c r="AP1248" s="62"/>
      <c r="AQ1248" s="62"/>
      <c r="AR1248" s="62"/>
    </row>
    <row r="1249" spans="25:44" x14ac:dyDescent="0.15">
      <c r="Y1249" s="8"/>
      <c r="Z1249" s="61"/>
      <c r="AA1249" s="61"/>
      <c r="AB1249" s="61"/>
      <c r="AC1249" s="61"/>
      <c r="AD1249" s="37"/>
      <c r="AE1249" s="62"/>
      <c r="AF1249" s="62"/>
      <c r="AG1249" s="62"/>
      <c r="AH1249" s="62"/>
      <c r="AI1249" s="37"/>
      <c r="AJ1249" s="61"/>
      <c r="AK1249" s="61"/>
      <c r="AL1249" s="61"/>
      <c r="AM1249" s="61"/>
      <c r="AN1249" s="37"/>
      <c r="AO1249" s="62"/>
      <c r="AP1249" s="62"/>
      <c r="AQ1249" s="62"/>
      <c r="AR1249" s="62"/>
    </row>
    <row r="1250" spans="25:44" x14ac:dyDescent="0.15">
      <c r="Y1250" s="8"/>
      <c r="Z1250" s="61"/>
      <c r="AA1250" s="61"/>
      <c r="AB1250" s="61"/>
      <c r="AC1250" s="61"/>
      <c r="AD1250" s="37"/>
      <c r="AE1250" s="62"/>
      <c r="AF1250" s="62"/>
      <c r="AG1250" s="62"/>
      <c r="AH1250" s="62"/>
      <c r="AI1250" s="37"/>
      <c r="AJ1250" s="61"/>
      <c r="AK1250" s="61"/>
      <c r="AL1250" s="61"/>
      <c r="AM1250" s="61"/>
      <c r="AN1250" s="37"/>
      <c r="AO1250" s="62"/>
      <c r="AP1250" s="62"/>
      <c r="AQ1250" s="62"/>
      <c r="AR1250" s="62"/>
    </row>
    <row r="1251" spans="25:44" x14ac:dyDescent="0.15">
      <c r="Y1251" s="8"/>
      <c r="Z1251" s="61"/>
      <c r="AA1251" s="61"/>
      <c r="AB1251" s="61"/>
      <c r="AC1251" s="61"/>
      <c r="AD1251" s="37"/>
      <c r="AE1251" s="62"/>
      <c r="AF1251" s="62"/>
      <c r="AG1251" s="62"/>
      <c r="AH1251" s="62"/>
      <c r="AI1251" s="37"/>
      <c r="AJ1251" s="61"/>
      <c r="AK1251" s="61"/>
      <c r="AL1251" s="61"/>
      <c r="AM1251" s="61"/>
      <c r="AN1251" s="37"/>
      <c r="AO1251" s="62"/>
      <c r="AP1251" s="62"/>
      <c r="AQ1251" s="62"/>
      <c r="AR1251" s="62"/>
    </row>
    <row r="1252" spans="25:44" x14ac:dyDescent="0.15">
      <c r="Y1252" s="8"/>
      <c r="Z1252" s="61"/>
      <c r="AA1252" s="61"/>
      <c r="AB1252" s="61"/>
      <c r="AC1252" s="61"/>
      <c r="AD1252" s="37"/>
      <c r="AE1252" s="62"/>
      <c r="AF1252" s="62"/>
      <c r="AG1252" s="62"/>
      <c r="AH1252" s="62"/>
      <c r="AI1252" s="37"/>
      <c r="AJ1252" s="61"/>
      <c r="AK1252" s="61"/>
      <c r="AL1252" s="61"/>
      <c r="AM1252" s="61"/>
      <c r="AN1252" s="37"/>
      <c r="AO1252" s="62"/>
      <c r="AP1252" s="62"/>
      <c r="AQ1252" s="62"/>
      <c r="AR1252" s="62"/>
    </row>
    <row r="1253" spans="25:44" x14ac:dyDescent="0.15">
      <c r="Y1253" s="8"/>
      <c r="Z1253" s="61"/>
      <c r="AA1253" s="61"/>
      <c r="AB1253" s="61"/>
      <c r="AC1253" s="61"/>
      <c r="AD1253" s="37"/>
      <c r="AE1253" s="62"/>
      <c r="AF1253" s="62"/>
      <c r="AG1253" s="62"/>
      <c r="AH1253" s="62"/>
      <c r="AI1253" s="37"/>
      <c r="AJ1253" s="61"/>
      <c r="AK1253" s="61"/>
      <c r="AL1253" s="61"/>
      <c r="AM1253" s="61"/>
      <c r="AN1253" s="37"/>
      <c r="AO1253" s="62"/>
      <c r="AP1253" s="62"/>
      <c r="AQ1253" s="62"/>
      <c r="AR1253" s="62"/>
    </row>
    <row r="1254" spans="25:44" x14ac:dyDescent="0.15">
      <c r="Y1254" s="8"/>
      <c r="Z1254" s="61"/>
      <c r="AA1254" s="61"/>
      <c r="AB1254" s="61"/>
      <c r="AC1254" s="61"/>
      <c r="AD1254" s="37"/>
      <c r="AE1254" s="62"/>
      <c r="AF1254" s="62"/>
      <c r="AG1254" s="62"/>
      <c r="AH1254" s="62"/>
      <c r="AI1254" s="37"/>
      <c r="AJ1254" s="61"/>
      <c r="AK1254" s="61"/>
      <c r="AL1254" s="61"/>
      <c r="AM1254" s="61"/>
      <c r="AN1254" s="37"/>
      <c r="AO1254" s="62"/>
      <c r="AP1254" s="62"/>
      <c r="AQ1254" s="62"/>
      <c r="AR1254" s="62"/>
    </row>
    <row r="1255" spans="25:44" x14ac:dyDescent="0.15">
      <c r="Y1255" s="8"/>
      <c r="Z1255" s="61"/>
      <c r="AA1255" s="61"/>
      <c r="AB1255" s="61"/>
      <c r="AC1255" s="61"/>
      <c r="AD1255" s="37"/>
      <c r="AE1255" s="62"/>
      <c r="AF1255" s="62"/>
      <c r="AG1255" s="62"/>
      <c r="AH1255" s="62"/>
      <c r="AI1255" s="37"/>
      <c r="AJ1255" s="61"/>
      <c r="AK1255" s="61"/>
      <c r="AL1255" s="61"/>
      <c r="AM1255" s="61"/>
      <c r="AN1255" s="37"/>
      <c r="AO1255" s="62"/>
      <c r="AP1255" s="62"/>
      <c r="AQ1255" s="62"/>
      <c r="AR1255" s="62"/>
    </row>
    <row r="1256" spans="25:44" x14ac:dyDescent="0.15">
      <c r="Y1256" s="8"/>
      <c r="Z1256" s="61"/>
      <c r="AA1256" s="61"/>
      <c r="AB1256" s="61"/>
      <c r="AC1256" s="61"/>
      <c r="AD1256" s="37"/>
      <c r="AE1256" s="62"/>
      <c r="AF1256" s="62"/>
      <c r="AG1256" s="62"/>
      <c r="AH1256" s="62"/>
      <c r="AI1256" s="37"/>
      <c r="AJ1256" s="61"/>
      <c r="AK1256" s="61"/>
      <c r="AL1256" s="61"/>
      <c r="AM1256" s="61"/>
      <c r="AN1256" s="37"/>
      <c r="AO1256" s="62"/>
      <c r="AP1256" s="62"/>
      <c r="AQ1256" s="62"/>
      <c r="AR1256" s="62"/>
    </row>
    <row r="1257" spans="25:44" x14ac:dyDescent="0.15">
      <c r="Y1257" s="8"/>
      <c r="Z1257" s="61"/>
      <c r="AA1257" s="61"/>
      <c r="AB1257" s="61"/>
      <c r="AC1257" s="61"/>
      <c r="AD1257" s="37"/>
      <c r="AE1257" s="62"/>
      <c r="AF1257" s="62"/>
      <c r="AG1257" s="62"/>
      <c r="AH1257" s="62"/>
      <c r="AI1257" s="37"/>
      <c r="AJ1257" s="61"/>
      <c r="AK1257" s="61"/>
      <c r="AL1257" s="61"/>
      <c r="AM1257" s="61"/>
      <c r="AN1257" s="37"/>
      <c r="AO1257" s="62"/>
      <c r="AP1257" s="62"/>
      <c r="AQ1257" s="62"/>
      <c r="AR1257" s="62"/>
    </row>
    <row r="1258" spans="25:44" x14ac:dyDescent="0.15">
      <c r="Y1258" s="8"/>
      <c r="Z1258" s="61"/>
      <c r="AA1258" s="61"/>
      <c r="AB1258" s="61"/>
      <c r="AC1258" s="61"/>
      <c r="AD1258" s="37"/>
      <c r="AE1258" s="62"/>
      <c r="AF1258" s="62"/>
      <c r="AG1258" s="62"/>
      <c r="AH1258" s="62"/>
      <c r="AI1258" s="37"/>
      <c r="AJ1258" s="61"/>
      <c r="AK1258" s="61"/>
      <c r="AL1258" s="61"/>
      <c r="AM1258" s="61"/>
      <c r="AN1258" s="37"/>
      <c r="AO1258" s="62"/>
      <c r="AP1258" s="62"/>
      <c r="AQ1258" s="62"/>
      <c r="AR1258" s="62"/>
    </row>
    <row r="1259" spans="25:44" x14ac:dyDescent="0.15">
      <c r="Y1259" s="8"/>
      <c r="Z1259" s="61"/>
      <c r="AA1259" s="61"/>
      <c r="AB1259" s="61"/>
      <c r="AC1259" s="61"/>
      <c r="AD1259" s="37"/>
      <c r="AE1259" s="62"/>
      <c r="AF1259" s="62"/>
      <c r="AG1259" s="62"/>
      <c r="AH1259" s="62"/>
      <c r="AI1259" s="37"/>
      <c r="AJ1259" s="61"/>
      <c r="AK1259" s="61"/>
      <c r="AL1259" s="61"/>
      <c r="AM1259" s="61"/>
      <c r="AN1259" s="37"/>
      <c r="AO1259" s="62"/>
      <c r="AP1259" s="62"/>
      <c r="AQ1259" s="62"/>
      <c r="AR1259" s="62"/>
    </row>
    <row r="1260" spans="25:44" x14ac:dyDescent="0.15">
      <c r="Y1260" s="8"/>
      <c r="Z1260" s="61"/>
      <c r="AA1260" s="61"/>
      <c r="AB1260" s="61"/>
      <c r="AC1260" s="61"/>
      <c r="AD1260" s="37"/>
      <c r="AE1260" s="62"/>
      <c r="AF1260" s="62"/>
      <c r="AG1260" s="62"/>
      <c r="AH1260" s="62"/>
      <c r="AI1260" s="37"/>
      <c r="AJ1260" s="61"/>
      <c r="AK1260" s="61"/>
      <c r="AL1260" s="61"/>
      <c r="AM1260" s="61"/>
      <c r="AN1260" s="37"/>
      <c r="AO1260" s="62"/>
      <c r="AP1260" s="62"/>
      <c r="AQ1260" s="62"/>
      <c r="AR1260" s="62"/>
    </row>
    <row r="1261" spans="25:44" x14ac:dyDescent="0.15">
      <c r="Y1261" s="8"/>
      <c r="Z1261" s="61"/>
      <c r="AA1261" s="61"/>
      <c r="AB1261" s="61"/>
      <c r="AC1261" s="61"/>
      <c r="AD1261" s="37"/>
      <c r="AE1261" s="62"/>
      <c r="AF1261" s="62"/>
      <c r="AG1261" s="62"/>
      <c r="AH1261" s="62"/>
      <c r="AI1261" s="37"/>
      <c r="AJ1261" s="61"/>
      <c r="AK1261" s="61"/>
      <c r="AL1261" s="61"/>
      <c r="AM1261" s="61"/>
      <c r="AN1261" s="37"/>
      <c r="AO1261" s="62"/>
      <c r="AP1261" s="62"/>
      <c r="AQ1261" s="62"/>
      <c r="AR1261" s="62"/>
    </row>
    <row r="1262" spans="25:44" x14ac:dyDescent="0.15">
      <c r="Y1262" s="8"/>
      <c r="Z1262" s="61"/>
      <c r="AA1262" s="61"/>
      <c r="AB1262" s="61"/>
      <c r="AC1262" s="61"/>
      <c r="AD1262" s="37"/>
      <c r="AE1262" s="62"/>
      <c r="AF1262" s="62"/>
      <c r="AG1262" s="62"/>
      <c r="AH1262" s="62"/>
      <c r="AI1262" s="37"/>
      <c r="AJ1262" s="61"/>
      <c r="AK1262" s="61"/>
      <c r="AL1262" s="61"/>
      <c r="AM1262" s="61"/>
      <c r="AN1262" s="37"/>
      <c r="AO1262" s="62"/>
      <c r="AP1262" s="62"/>
      <c r="AQ1262" s="62"/>
      <c r="AR1262" s="62"/>
    </row>
    <row r="1263" spans="25:44" x14ac:dyDescent="0.15">
      <c r="Y1263" s="8"/>
      <c r="Z1263" s="61"/>
      <c r="AA1263" s="61"/>
      <c r="AB1263" s="61"/>
      <c r="AC1263" s="61"/>
      <c r="AD1263" s="37"/>
      <c r="AE1263" s="62"/>
      <c r="AF1263" s="62"/>
      <c r="AG1263" s="62"/>
      <c r="AH1263" s="62"/>
      <c r="AI1263" s="37"/>
      <c r="AJ1263" s="61"/>
      <c r="AK1263" s="61"/>
      <c r="AL1263" s="61"/>
      <c r="AM1263" s="61"/>
      <c r="AN1263" s="37"/>
      <c r="AO1263" s="62"/>
      <c r="AP1263" s="62"/>
      <c r="AQ1263" s="62"/>
      <c r="AR1263" s="62"/>
    </row>
    <row r="1264" spans="25:44" x14ac:dyDescent="0.15">
      <c r="Y1264" s="8"/>
      <c r="Z1264" s="61"/>
      <c r="AA1264" s="61"/>
      <c r="AB1264" s="61"/>
      <c r="AC1264" s="61"/>
      <c r="AD1264" s="37"/>
      <c r="AE1264" s="62"/>
      <c r="AF1264" s="62"/>
      <c r="AG1264" s="62"/>
      <c r="AH1264" s="62"/>
      <c r="AI1264" s="37"/>
      <c r="AJ1264" s="61"/>
      <c r="AK1264" s="61"/>
      <c r="AL1264" s="61"/>
      <c r="AM1264" s="61"/>
      <c r="AN1264" s="37"/>
      <c r="AO1264" s="62"/>
      <c r="AP1264" s="62"/>
      <c r="AQ1264" s="62"/>
      <c r="AR1264" s="62"/>
    </row>
    <row r="1265" spans="25:44" x14ac:dyDescent="0.15">
      <c r="Y1265" s="8"/>
      <c r="Z1265" s="61"/>
      <c r="AA1265" s="61"/>
      <c r="AB1265" s="61"/>
      <c r="AC1265" s="61"/>
      <c r="AD1265" s="37"/>
      <c r="AE1265" s="62"/>
      <c r="AF1265" s="62"/>
      <c r="AG1265" s="62"/>
      <c r="AH1265" s="62"/>
      <c r="AI1265" s="37"/>
      <c r="AJ1265" s="61"/>
      <c r="AK1265" s="61"/>
      <c r="AL1265" s="61"/>
      <c r="AM1265" s="61"/>
      <c r="AN1265" s="37"/>
      <c r="AO1265" s="62"/>
      <c r="AP1265" s="62"/>
      <c r="AQ1265" s="62"/>
      <c r="AR1265" s="62"/>
    </row>
    <row r="1266" spans="25:44" x14ac:dyDescent="0.15">
      <c r="Y1266" s="8"/>
      <c r="Z1266" s="61"/>
      <c r="AA1266" s="61"/>
      <c r="AB1266" s="61"/>
      <c r="AC1266" s="61"/>
      <c r="AD1266" s="37"/>
      <c r="AE1266" s="62"/>
      <c r="AF1266" s="62"/>
      <c r="AG1266" s="62"/>
      <c r="AH1266" s="62"/>
      <c r="AI1266" s="37"/>
      <c r="AJ1266" s="61"/>
      <c r="AK1266" s="61"/>
      <c r="AL1266" s="61"/>
      <c r="AM1266" s="61"/>
      <c r="AN1266" s="37"/>
      <c r="AO1266" s="62"/>
      <c r="AP1266" s="62"/>
      <c r="AQ1266" s="62"/>
      <c r="AR1266" s="62"/>
    </row>
    <row r="1267" spans="25:44" x14ac:dyDescent="0.15">
      <c r="Y1267" s="8"/>
      <c r="Z1267" s="61"/>
      <c r="AA1267" s="61"/>
      <c r="AB1267" s="61"/>
      <c r="AC1267" s="61"/>
      <c r="AD1267" s="37"/>
      <c r="AE1267" s="62"/>
      <c r="AF1267" s="62"/>
      <c r="AG1267" s="62"/>
      <c r="AH1267" s="62"/>
      <c r="AI1267" s="37"/>
      <c r="AJ1267" s="61"/>
      <c r="AK1267" s="61"/>
      <c r="AL1267" s="61"/>
      <c r="AM1267" s="61"/>
      <c r="AN1267" s="37"/>
      <c r="AO1267" s="62"/>
      <c r="AP1267" s="62"/>
      <c r="AQ1267" s="62"/>
      <c r="AR1267" s="62"/>
    </row>
    <row r="1268" spans="25:44" x14ac:dyDescent="0.15">
      <c r="Y1268" s="8"/>
      <c r="Z1268" s="61"/>
      <c r="AA1268" s="61"/>
      <c r="AB1268" s="61"/>
      <c r="AC1268" s="61"/>
      <c r="AD1268" s="37"/>
      <c r="AE1268" s="62"/>
      <c r="AF1268" s="62"/>
      <c r="AG1268" s="62"/>
      <c r="AH1268" s="62"/>
      <c r="AI1268" s="37"/>
      <c r="AJ1268" s="61"/>
      <c r="AK1268" s="61"/>
      <c r="AL1268" s="61"/>
      <c r="AM1268" s="61"/>
      <c r="AN1268" s="37"/>
      <c r="AO1268" s="62"/>
      <c r="AP1268" s="62"/>
      <c r="AQ1268" s="62"/>
      <c r="AR1268" s="62"/>
    </row>
    <row r="1269" spans="25:44" x14ac:dyDescent="0.15">
      <c r="Y1269" s="8"/>
      <c r="Z1269" s="61"/>
      <c r="AA1269" s="61"/>
      <c r="AB1269" s="61"/>
      <c r="AC1269" s="61"/>
      <c r="AD1269" s="37"/>
      <c r="AE1269" s="62"/>
      <c r="AF1269" s="62"/>
      <c r="AG1269" s="62"/>
      <c r="AH1269" s="62"/>
      <c r="AI1269" s="37"/>
      <c r="AJ1269" s="61"/>
      <c r="AK1269" s="61"/>
      <c r="AL1269" s="61"/>
      <c r="AM1269" s="61"/>
      <c r="AN1269" s="37"/>
      <c r="AO1269" s="62"/>
      <c r="AP1269" s="62"/>
      <c r="AQ1269" s="62"/>
      <c r="AR1269" s="62"/>
    </row>
    <row r="1270" spans="25:44" x14ac:dyDescent="0.15">
      <c r="Y1270" s="8"/>
      <c r="Z1270" s="61"/>
      <c r="AA1270" s="61"/>
      <c r="AB1270" s="61"/>
      <c r="AC1270" s="61"/>
      <c r="AD1270" s="37"/>
      <c r="AE1270" s="62"/>
      <c r="AF1270" s="62"/>
      <c r="AG1270" s="62"/>
      <c r="AH1270" s="62"/>
      <c r="AI1270" s="37"/>
      <c r="AJ1270" s="61"/>
      <c r="AK1270" s="61"/>
      <c r="AL1270" s="61"/>
      <c r="AM1270" s="61"/>
      <c r="AN1270" s="37"/>
      <c r="AO1270" s="62"/>
      <c r="AP1270" s="62"/>
      <c r="AQ1270" s="62"/>
      <c r="AR1270" s="62"/>
    </row>
    <row r="1271" spans="25:44" x14ac:dyDescent="0.15">
      <c r="Y1271" s="8"/>
      <c r="Z1271" s="61"/>
      <c r="AA1271" s="61"/>
      <c r="AB1271" s="61"/>
      <c r="AC1271" s="61"/>
      <c r="AD1271" s="37"/>
      <c r="AE1271" s="62"/>
      <c r="AF1271" s="62"/>
      <c r="AG1271" s="62"/>
      <c r="AH1271" s="62"/>
      <c r="AI1271" s="37"/>
      <c r="AJ1271" s="61"/>
      <c r="AK1271" s="61"/>
      <c r="AL1271" s="61"/>
      <c r="AM1271" s="61"/>
      <c r="AN1271" s="37"/>
      <c r="AO1271" s="62"/>
      <c r="AP1271" s="62"/>
      <c r="AQ1271" s="62"/>
      <c r="AR1271" s="62"/>
    </row>
    <row r="1272" spans="25:44" x14ac:dyDescent="0.15">
      <c r="Y1272" s="8"/>
      <c r="Z1272" s="61"/>
      <c r="AA1272" s="61"/>
      <c r="AB1272" s="61"/>
      <c r="AC1272" s="61"/>
      <c r="AD1272" s="37"/>
      <c r="AE1272" s="62"/>
      <c r="AF1272" s="62"/>
      <c r="AG1272" s="62"/>
      <c r="AH1272" s="62"/>
      <c r="AI1272" s="37"/>
      <c r="AJ1272" s="61"/>
      <c r="AK1272" s="61"/>
      <c r="AL1272" s="61"/>
      <c r="AM1272" s="61"/>
      <c r="AN1272" s="37"/>
      <c r="AO1272" s="62"/>
      <c r="AP1272" s="62"/>
      <c r="AQ1272" s="62"/>
      <c r="AR1272" s="62"/>
    </row>
    <row r="1273" spans="25:44" x14ac:dyDescent="0.15">
      <c r="Y1273" s="8"/>
      <c r="Z1273" s="61"/>
      <c r="AA1273" s="61"/>
      <c r="AB1273" s="61"/>
      <c r="AC1273" s="61"/>
      <c r="AD1273" s="37"/>
      <c r="AE1273" s="62"/>
      <c r="AF1273" s="62"/>
      <c r="AG1273" s="62"/>
      <c r="AH1273" s="62"/>
      <c r="AI1273" s="37"/>
      <c r="AJ1273" s="61"/>
      <c r="AK1273" s="61"/>
      <c r="AL1273" s="61"/>
      <c r="AM1273" s="61"/>
      <c r="AN1273" s="37"/>
      <c r="AO1273" s="62"/>
      <c r="AP1273" s="62"/>
      <c r="AQ1273" s="62"/>
      <c r="AR1273" s="62"/>
    </row>
    <row r="1274" spans="25:44" x14ac:dyDescent="0.15">
      <c r="Y1274" s="8"/>
      <c r="Z1274" s="61"/>
      <c r="AA1274" s="61"/>
      <c r="AB1274" s="61"/>
      <c r="AC1274" s="61"/>
      <c r="AD1274" s="37"/>
      <c r="AE1274" s="62"/>
      <c r="AF1274" s="62"/>
      <c r="AG1274" s="62"/>
      <c r="AH1274" s="62"/>
      <c r="AI1274" s="37"/>
      <c r="AJ1274" s="61"/>
      <c r="AK1274" s="61"/>
      <c r="AL1274" s="61"/>
      <c r="AM1274" s="61"/>
      <c r="AN1274" s="37"/>
      <c r="AO1274" s="62"/>
      <c r="AP1274" s="62"/>
      <c r="AQ1274" s="62"/>
      <c r="AR1274" s="62"/>
    </row>
    <row r="1275" spans="25:44" x14ac:dyDescent="0.15">
      <c r="Y1275" s="8"/>
      <c r="Z1275" s="61"/>
      <c r="AA1275" s="61"/>
      <c r="AB1275" s="61"/>
      <c r="AC1275" s="61"/>
      <c r="AD1275" s="37"/>
      <c r="AE1275" s="62"/>
      <c r="AF1275" s="62"/>
      <c r="AG1275" s="62"/>
      <c r="AH1275" s="62"/>
      <c r="AI1275" s="37"/>
      <c r="AJ1275" s="61"/>
      <c r="AK1275" s="61"/>
      <c r="AL1275" s="61"/>
      <c r="AM1275" s="61"/>
      <c r="AN1275" s="37"/>
      <c r="AO1275" s="62"/>
      <c r="AP1275" s="62"/>
      <c r="AQ1275" s="62"/>
      <c r="AR1275" s="62"/>
    </row>
    <row r="1276" spans="25:44" x14ac:dyDescent="0.15">
      <c r="Y1276" s="8"/>
      <c r="Z1276" s="61"/>
      <c r="AA1276" s="61"/>
      <c r="AB1276" s="61"/>
      <c r="AC1276" s="61"/>
      <c r="AD1276" s="37"/>
      <c r="AE1276" s="62"/>
      <c r="AF1276" s="62"/>
      <c r="AG1276" s="62"/>
      <c r="AH1276" s="62"/>
      <c r="AI1276" s="37"/>
      <c r="AJ1276" s="61"/>
      <c r="AK1276" s="61"/>
      <c r="AL1276" s="61"/>
      <c r="AM1276" s="61"/>
      <c r="AN1276" s="37"/>
      <c r="AO1276" s="62"/>
      <c r="AP1276" s="62"/>
      <c r="AQ1276" s="62"/>
      <c r="AR1276" s="62"/>
    </row>
    <row r="1277" spans="25:44" x14ac:dyDescent="0.15">
      <c r="Y1277" s="8"/>
      <c r="Z1277" s="61"/>
      <c r="AA1277" s="61"/>
      <c r="AB1277" s="61"/>
      <c r="AC1277" s="61"/>
      <c r="AD1277" s="37"/>
      <c r="AE1277" s="62"/>
      <c r="AF1277" s="62"/>
      <c r="AG1277" s="62"/>
      <c r="AH1277" s="62"/>
      <c r="AI1277" s="37"/>
      <c r="AJ1277" s="61"/>
      <c r="AK1277" s="61"/>
      <c r="AL1277" s="61"/>
      <c r="AM1277" s="61"/>
      <c r="AN1277" s="37"/>
      <c r="AO1277" s="62"/>
      <c r="AP1277" s="62"/>
      <c r="AQ1277" s="62"/>
      <c r="AR1277" s="62"/>
    </row>
    <row r="1278" spans="25:44" x14ac:dyDescent="0.15">
      <c r="Y1278" s="8"/>
      <c r="Z1278" s="61"/>
      <c r="AA1278" s="61"/>
      <c r="AB1278" s="61"/>
      <c r="AC1278" s="61"/>
      <c r="AD1278" s="37"/>
      <c r="AE1278" s="62"/>
      <c r="AF1278" s="62"/>
      <c r="AG1278" s="62"/>
      <c r="AH1278" s="62"/>
      <c r="AI1278" s="37"/>
      <c r="AJ1278" s="61"/>
      <c r="AK1278" s="61"/>
      <c r="AL1278" s="61"/>
      <c r="AM1278" s="61"/>
      <c r="AN1278" s="37"/>
      <c r="AO1278" s="62"/>
      <c r="AP1278" s="62"/>
      <c r="AQ1278" s="62"/>
      <c r="AR1278" s="62"/>
    </row>
    <row r="1279" spans="25:44" x14ac:dyDescent="0.15">
      <c r="Y1279" s="8"/>
      <c r="Z1279" s="61"/>
      <c r="AA1279" s="61"/>
      <c r="AB1279" s="61"/>
      <c r="AC1279" s="61"/>
      <c r="AD1279" s="37"/>
      <c r="AE1279" s="62"/>
      <c r="AF1279" s="62"/>
      <c r="AG1279" s="62"/>
      <c r="AH1279" s="62"/>
      <c r="AI1279" s="37"/>
      <c r="AJ1279" s="61"/>
      <c r="AK1279" s="61"/>
      <c r="AL1279" s="61"/>
      <c r="AM1279" s="61"/>
      <c r="AN1279" s="37"/>
      <c r="AO1279" s="62"/>
      <c r="AP1279" s="62"/>
      <c r="AQ1279" s="62"/>
      <c r="AR1279" s="62"/>
    </row>
    <row r="1280" spans="25:44" x14ac:dyDescent="0.15">
      <c r="Y1280" s="8"/>
      <c r="Z1280" s="61"/>
      <c r="AA1280" s="61"/>
      <c r="AB1280" s="61"/>
      <c r="AC1280" s="61"/>
      <c r="AD1280" s="37"/>
      <c r="AE1280" s="62"/>
      <c r="AF1280" s="62"/>
      <c r="AG1280" s="62"/>
      <c r="AH1280" s="62"/>
      <c r="AI1280" s="37"/>
      <c r="AJ1280" s="61"/>
      <c r="AK1280" s="61"/>
      <c r="AL1280" s="61"/>
      <c r="AM1280" s="61"/>
      <c r="AN1280" s="37"/>
      <c r="AO1280" s="62"/>
      <c r="AP1280" s="62"/>
      <c r="AQ1280" s="62"/>
      <c r="AR1280" s="62"/>
    </row>
    <row r="1281" spans="25:44" x14ac:dyDescent="0.15">
      <c r="Y1281" s="8"/>
      <c r="Z1281" s="61"/>
      <c r="AA1281" s="61"/>
      <c r="AB1281" s="61"/>
      <c r="AC1281" s="61"/>
      <c r="AD1281" s="37"/>
      <c r="AE1281" s="62"/>
      <c r="AF1281" s="62"/>
      <c r="AG1281" s="62"/>
      <c r="AH1281" s="62"/>
      <c r="AI1281" s="37"/>
      <c r="AJ1281" s="61"/>
      <c r="AK1281" s="61"/>
      <c r="AL1281" s="61"/>
      <c r="AM1281" s="61"/>
      <c r="AN1281" s="37"/>
      <c r="AO1281" s="62"/>
      <c r="AP1281" s="62"/>
      <c r="AQ1281" s="62"/>
      <c r="AR1281" s="62"/>
    </row>
    <row r="1282" spans="25:44" x14ac:dyDescent="0.15">
      <c r="Y1282" s="8"/>
      <c r="Z1282" s="61"/>
      <c r="AA1282" s="61"/>
      <c r="AB1282" s="61"/>
      <c r="AC1282" s="61"/>
      <c r="AD1282" s="37"/>
      <c r="AE1282" s="62"/>
      <c r="AF1282" s="62"/>
      <c r="AG1282" s="62"/>
      <c r="AH1282" s="62"/>
      <c r="AI1282" s="37"/>
      <c r="AJ1282" s="61"/>
      <c r="AK1282" s="61"/>
      <c r="AL1282" s="61"/>
      <c r="AM1282" s="61"/>
      <c r="AN1282" s="37"/>
      <c r="AO1282" s="62"/>
      <c r="AP1282" s="62"/>
      <c r="AQ1282" s="62"/>
      <c r="AR1282" s="62"/>
    </row>
    <row r="1283" spans="25:44" x14ac:dyDescent="0.15">
      <c r="Y1283" s="8"/>
      <c r="Z1283" s="61"/>
      <c r="AA1283" s="61"/>
      <c r="AB1283" s="61"/>
      <c r="AC1283" s="61"/>
      <c r="AD1283" s="37"/>
      <c r="AE1283" s="62"/>
      <c r="AF1283" s="62"/>
      <c r="AG1283" s="62"/>
      <c r="AH1283" s="62"/>
      <c r="AI1283" s="37"/>
      <c r="AJ1283" s="61"/>
      <c r="AK1283" s="61"/>
      <c r="AL1283" s="61"/>
      <c r="AM1283" s="61"/>
      <c r="AN1283" s="37"/>
      <c r="AO1283" s="62"/>
      <c r="AP1283" s="62"/>
      <c r="AQ1283" s="62"/>
      <c r="AR1283" s="62"/>
    </row>
    <row r="1284" spans="25:44" x14ac:dyDescent="0.15">
      <c r="Y1284" s="8"/>
      <c r="Z1284" s="61"/>
      <c r="AA1284" s="61"/>
      <c r="AB1284" s="61"/>
      <c r="AC1284" s="61"/>
      <c r="AD1284" s="37"/>
      <c r="AE1284" s="62"/>
      <c r="AF1284" s="62"/>
      <c r="AG1284" s="62"/>
      <c r="AH1284" s="62"/>
      <c r="AI1284" s="37"/>
      <c r="AJ1284" s="61"/>
      <c r="AK1284" s="61"/>
      <c r="AL1284" s="61"/>
      <c r="AM1284" s="61"/>
      <c r="AN1284" s="37"/>
      <c r="AO1284" s="62"/>
      <c r="AP1284" s="62"/>
      <c r="AQ1284" s="62"/>
      <c r="AR1284" s="62"/>
    </row>
    <row r="1285" spans="25:44" x14ac:dyDescent="0.15">
      <c r="Y1285" s="8"/>
      <c r="Z1285" s="61"/>
      <c r="AA1285" s="61"/>
      <c r="AB1285" s="61"/>
      <c r="AC1285" s="61"/>
      <c r="AD1285" s="37"/>
      <c r="AE1285" s="62"/>
      <c r="AF1285" s="62"/>
      <c r="AG1285" s="62"/>
      <c r="AH1285" s="62"/>
      <c r="AI1285" s="37"/>
      <c r="AJ1285" s="61"/>
      <c r="AK1285" s="61"/>
      <c r="AL1285" s="61"/>
      <c r="AM1285" s="61"/>
      <c r="AN1285" s="37"/>
      <c r="AO1285" s="62"/>
      <c r="AP1285" s="62"/>
      <c r="AQ1285" s="62"/>
      <c r="AR1285" s="62"/>
    </row>
    <row r="1286" spans="25:44" x14ac:dyDescent="0.15">
      <c r="Y1286" s="8"/>
      <c r="Z1286" s="61"/>
      <c r="AA1286" s="61"/>
      <c r="AB1286" s="61"/>
      <c r="AC1286" s="61"/>
      <c r="AD1286" s="37"/>
      <c r="AE1286" s="62"/>
      <c r="AF1286" s="62"/>
      <c r="AG1286" s="62"/>
      <c r="AH1286" s="62"/>
      <c r="AI1286" s="37"/>
      <c r="AJ1286" s="61"/>
      <c r="AK1286" s="61"/>
      <c r="AL1286" s="61"/>
      <c r="AM1286" s="61"/>
      <c r="AN1286" s="37"/>
      <c r="AO1286" s="62"/>
      <c r="AP1286" s="62"/>
      <c r="AQ1286" s="62"/>
      <c r="AR1286" s="62"/>
    </row>
    <row r="1287" spans="25:44" x14ac:dyDescent="0.15">
      <c r="Y1287" s="8"/>
      <c r="Z1287" s="61"/>
      <c r="AA1287" s="61"/>
      <c r="AB1287" s="61"/>
      <c r="AC1287" s="61"/>
      <c r="AD1287" s="37"/>
      <c r="AE1287" s="62"/>
      <c r="AF1287" s="62"/>
      <c r="AG1287" s="62"/>
      <c r="AH1287" s="62"/>
      <c r="AI1287" s="37"/>
      <c r="AJ1287" s="61"/>
      <c r="AK1287" s="61"/>
      <c r="AL1287" s="61"/>
      <c r="AM1287" s="61"/>
      <c r="AN1287" s="37"/>
      <c r="AO1287" s="62"/>
      <c r="AP1287" s="62"/>
      <c r="AQ1287" s="62"/>
      <c r="AR1287" s="62"/>
    </row>
    <row r="1288" spans="25:44" x14ac:dyDescent="0.15">
      <c r="Y1288" s="8"/>
      <c r="Z1288" s="61"/>
      <c r="AA1288" s="61"/>
      <c r="AB1288" s="61"/>
      <c r="AC1288" s="61"/>
      <c r="AD1288" s="37"/>
      <c r="AE1288" s="62"/>
      <c r="AF1288" s="62"/>
      <c r="AG1288" s="62"/>
      <c r="AH1288" s="62"/>
      <c r="AI1288" s="37"/>
      <c r="AJ1288" s="61"/>
      <c r="AK1288" s="61"/>
      <c r="AL1288" s="61"/>
      <c r="AM1288" s="61"/>
      <c r="AN1288" s="37"/>
      <c r="AO1288" s="62"/>
      <c r="AP1288" s="62"/>
      <c r="AQ1288" s="62"/>
      <c r="AR1288" s="62"/>
    </row>
    <row r="1289" spans="25:44" x14ac:dyDescent="0.15">
      <c r="Y1289" s="8"/>
      <c r="Z1289" s="61"/>
      <c r="AA1289" s="61"/>
      <c r="AB1289" s="61"/>
      <c r="AC1289" s="61"/>
      <c r="AD1289" s="37"/>
      <c r="AE1289" s="62"/>
      <c r="AF1289" s="62"/>
      <c r="AG1289" s="62"/>
      <c r="AH1289" s="62"/>
      <c r="AI1289" s="37"/>
      <c r="AJ1289" s="61"/>
      <c r="AK1289" s="61"/>
      <c r="AL1289" s="61"/>
      <c r="AM1289" s="61"/>
      <c r="AN1289" s="37"/>
      <c r="AO1289" s="62"/>
      <c r="AP1289" s="62"/>
      <c r="AQ1289" s="62"/>
      <c r="AR1289" s="62"/>
    </row>
    <row r="1290" spans="25:44" x14ac:dyDescent="0.15">
      <c r="Y1290" s="8"/>
      <c r="Z1290" s="61"/>
      <c r="AA1290" s="61"/>
      <c r="AB1290" s="61"/>
      <c r="AC1290" s="61"/>
      <c r="AD1290" s="37"/>
      <c r="AE1290" s="62"/>
      <c r="AF1290" s="62"/>
      <c r="AG1290" s="62"/>
      <c r="AH1290" s="62"/>
      <c r="AI1290" s="37"/>
      <c r="AJ1290" s="61"/>
      <c r="AK1290" s="61"/>
      <c r="AL1290" s="61"/>
      <c r="AM1290" s="61"/>
      <c r="AN1290" s="37"/>
      <c r="AO1290" s="62"/>
      <c r="AP1290" s="62"/>
      <c r="AQ1290" s="62"/>
      <c r="AR1290" s="62"/>
    </row>
    <row r="1291" spans="25:44" x14ac:dyDescent="0.15">
      <c r="Y1291" s="8"/>
      <c r="Z1291" s="61"/>
      <c r="AA1291" s="61"/>
      <c r="AB1291" s="61"/>
      <c r="AC1291" s="61"/>
      <c r="AD1291" s="37"/>
      <c r="AE1291" s="62"/>
      <c r="AF1291" s="62"/>
      <c r="AG1291" s="62"/>
      <c r="AH1291" s="62"/>
      <c r="AI1291" s="37"/>
      <c r="AJ1291" s="61"/>
      <c r="AK1291" s="61"/>
      <c r="AL1291" s="61"/>
      <c r="AM1291" s="61"/>
      <c r="AN1291" s="37"/>
      <c r="AO1291" s="62"/>
      <c r="AP1291" s="62"/>
      <c r="AQ1291" s="62"/>
      <c r="AR1291" s="62"/>
    </row>
    <row r="1292" spans="25:44" x14ac:dyDescent="0.15">
      <c r="Y1292" s="8"/>
      <c r="Z1292" s="61"/>
      <c r="AA1292" s="61"/>
      <c r="AB1292" s="61"/>
      <c r="AC1292" s="61"/>
      <c r="AD1292" s="37"/>
      <c r="AE1292" s="62"/>
      <c r="AF1292" s="62"/>
      <c r="AG1292" s="62"/>
      <c r="AH1292" s="62"/>
      <c r="AI1292" s="37"/>
      <c r="AJ1292" s="61"/>
      <c r="AK1292" s="61"/>
      <c r="AL1292" s="61"/>
      <c r="AM1292" s="61"/>
      <c r="AN1292" s="37"/>
      <c r="AO1292" s="62"/>
      <c r="AP1292" s="62"/>
      <c r="AQ1292" s="62"/>
      <c r="AR1292" s="62"/>
    </row>
    <row r="1293" spans="25:44" x14ac:dyDescent="0.15">
      <c r="Y1293" s="8"/>
      <c r="Z1293" s="61"/>
      <c r="AA1293" s="61"/>
      <c r="AB1293" s="61"/>
      <c r="AC1293" s="61"/>
      <c r="AD1293" s="37"/>
      <c r="AE1293" s="62"/>
      <c r="AF1293" s="62"/>
      <c r="AG1293" s="62"/>
      <c r="AH1293" s="62"/>
      <c r="AI1293" s="37"/>
      <c r="AJ1293" s="61"/>
      <c r="AK1293" s="61"/>
      <c r="AL1293" s="61"/>
      <c r="AM1293" s="61"/>
      <c r="AN1293" s="37"/>
      <c r="AO1293" s="62"/>
      <c r="AP1293" s="62"/>
      <c r="AQ1293" s="62"/>
      <c r="AR1293" s="62"/>
    </row>
    <row r="1294" spans="25:44" x14ac:dyDescent="0.15">
      <c r="Y1294" s="8"/>
      <c r="Z1294" s="61"/>
      <c r="AA1294" s="61"/>
      <c r="AB1294" s="61"/>
      <c r="AC1294" s="61"/>
      <c r="AD1294" s="37"/>
      <c r="AE1294" s="62"/>
      <c r="AF1294" s="62"/>
      <c r="AG1294" s="62"/>
      <c r="AH1294" s="62"/>
      <c r="AI1294" s="37"/>
      <c r="AJ1294" s="61"/>
      <c r="AK1294" s="61"/>
      <c r="AL1294" s="61"/>
      <c r="AM1294" s="61"/>
      <c r="AN1294" s="37"/>
      <c r="AO1294" s="62"/>
      <c r="AP1294" s="62"/>
      <c r="AQ1294" s="62"/>
      <c r="AR1294" s="62"/>
    </row>
    <row r="1295" spans="25:44" x14ac:dyDescent="0.15">
      <c r="Y1295" s="8"/>
      <c r="Z1295" s="61"/>
      <c r="AA1295" s="61"/>
      <c r="AB1295" s="61"/>
      <c r="AC1295" s="61"/>
      <c r="AD1295" s="37"/>
      <c r="AE1295" s="62"/>
      <c r="AF1295" s="62"/>
      <c r="AG1295" s="62"/>
      <c r="AH1295" s="62"/>
      <c r="AI1295" s="37"/>
      <c r="AJ1295" s="61"/>
      <c r="AK1295" s="61"/>
      <c r="AL1295" s="61"/>
      <c r="AM1295" s="61"/>
      <c r="AN1295" s="37"/>
      <c r="AO1295" s="62"/>
      <c r="AP1295" s="62"/>
      <c r="AQ1295" s="62"/>
      <c r="AR1295" s="62"/>
    </row>
    <row r="1296" spans="25:44" x14ac:dyDescent="0.15">
      <c r="Y1296" s="8"/>
      <c r="Z1296" s="61"/>
      <c r="AA1296" s="61"/>
      <c r="AB1296" s="61"/>
      <c r="AC1296" s="61"/>
      <c r="AD1296" s="37"/>
      <c r="AE1296" s="62"/>
      <c r="AF1296" s="62"/>
      <c r="AG1296" s="62"/>
      <c r="AH1296" s="62"/>
      <c r="AI1296" s="37"/>
      <c r="AJ1296" s="61"/>
      <c r="AK1296" s="61"/>
      <c r="AL1296" s="61"/>
      <c r="AM1296" s="61"/>
      <c r="AN1296" s="37"/>
      <c r="AO1296" s="62"/>
      <c r="AP1296" s="62"/>
      <c r="AQ1296" s="62"/>
      <c r="AR1296" s="62"/>
    </row>
    <row r="1297" spans="25:44" x14ac:dyDescent="0.15">
      <c r="Y1297" s="8"/>
      <c r="Z1297" s="61"/>
      <c r="AA1297" s="61"/>
      <c r="AB1297" s="61"/>
      <c r="AC1297" s="61"/>
      <c r="AD1297" s="37"/>
      <c r="AE1297" s="62"/>
      <c r="AF1297" s="62"/>
      <c r="AG1297" s="62"/>
      <c r="AH1297" s="62"/>
      <c r="AI1297" s="37"/>
      <c r="AJ1297" s="61"/>
      <c r="AK1297" s="61"/>
      <c r="AL1297" s="61"/>
      <c r="AM1297" s="61"/>
      <c r="AN1297" s="37"/>
      <c r="AO1297" s="62"/>
      <c r="AP1297" s="62"/>
      <c r="AQ1297" s="62"/>
      <c r="AR1297" s="62"/>
    </row>
    <row r="1298" spans="25:44" x14ac:dyDescent="0.15">
      <c r="Y1298" s="8"/>
      <c r="Z1298" s="61"/>
      <c r="AA1298" s="61"/>
      <c r="AB1298" s="61"/>
      <c r="AC1298" s="61"/>
      <c r="AD1298" s="37"/>
      <c r="AE1298" s="62"/>
      <c r="AF1298" s="62"/>
      <c r="AG1298" s="62"/>
      <c r="AH1298" s="62"/>
      <c r="AI1298" s="37"/>
      <c r="AJ1298" s="61"/>
      <c r="AK1298" s="61"/>
      <c r="AL1298" s="61"/>
      <c r="AM1298" s="61"/>
      <c r="AN1298" s="37"/>
      <c r="AO1298" s="62"/>
      <c r="AP1298" s="62"/>
      <c r="AQ1298" s="62"/>
      <c r="AR1298" s="62"/>
    </row>
    <row r="1299" spans="25:44" x14ac:dyDescent="0.15">
      <c r="Y1299" s="8"/>
      <c r="Z1299" s="61"/>
      <c r="AA1299" s="61"/>
      <c r="AB1299" s="61"/>
      <c r="AC1299" s="61"/>
      <c r="AD1299" s="37"/>
      <c r="AE1299" s="62"/>
      <c r="AF1299" s="62"/>
      <c r="AG1299" s="62"/>
      <c r="AH1299" s="62"/>
      <c r="AI1299" s="37"/>
      <c r="AJ1299" s="61"/>
      <c r="AK1299" s="61"/>
      <c r="AL1299" s="61"/>
      <c r="AM1299" s="61"/>
      <c r="AN1299" s="37"/>
      <c r="AO1299" s="62"/>
      <c r="AP1299" s="62"/>
      <c r="AQ1299" s="62"/>
      <c r="AR1299" s="62"/>
    </row>
    <row r="1300" spans="25:44" x14ac:dyDescent="0.15">
      <c r="Y1300" s="8"/>
      <c r="Z1300" s="61"/>
      <c r="AA1300" s="61"/>
      <c r="AB1300" s="61"/>
      <c r="AC1300" s="61"/>
      <c r="AD1300" s="37"/>
      <c r="AE1300" s="62"/>
      <c r="AF1300" s="62"/>
      <c r="AG1300" s="62"/>
      <c r="AH1300" s="62"/>
      <c r="AI1300" s="37"/>
      <c r="AJ1300" s="61"/>
      <c r="AK1300" s="61"/>
      <c r="AL1300" s="61"/>
      <c r="AM1300" s="61"/>
      <c r="AN1300" s="37"/>
      <c r="AO1300" s="62"/>
      <c r="AP1300" s="62"/>
      <c r="AQ1300" s="62"/>
      <c r="AR1300" s="62"/>
    </row>
    <row r="1301" spans="25:44" x14ac:dyDescent="0.15">
      <c r="Y1301" s="8"/>
      <c r="Z1301" s="61"/>
      <c r="AA1301" s="61"/>
      <c r="AB1301" s="61"/>
      <c r="AC1301" s="61"/>
      <c r="AD1301" s="37"/>
      <c r="AE1301" s="62"/>
      <c r="AF1301" s="62"/>
      <c r="AG1301" s="62"/>
      <c r="AH1301" s="62"/>
      <c r="AI1301" s="37"/>
      <c r="AJ1301" s="61"/>
      <c r="AK1301" s="61"/>
      <c r="AL1301" s="61"/>
      <c r="AM1301" s="61"/>
      <c r="AN1301" s="37"/>
      <c r="AO1301" s="62"/>
      <c r="AP1301" s="62"/>
      <c r="AQ1301" s="62"/>
      <c r="AR1301" s="62"/>
    </row>
    <row r="1302" spans="25:44" x14ac:dyDescent="0.15">
      <c r="Y1302" s="8"/>
      <c r="Z1302" s="61"/>
      <c r="AA1302" s="61"/>
      <c r="AB1302" s="61"/>
      <c r="AC1302" s="61"/>
      <c r="AD1302" s="37"/>
      <c r="AE1302" s="62"/>
      <c r="AF1302" s="62"/>
      <c r="AG1302" s="62"/>
      <c r="AH1302" s="62"/>
      <c r="AI1302" s="37"/>
      <c r="AJ1302" s="61"/>
      <c r="AK1302" s="61"/>
      <c r="AL1302" s="61"/>
      <c r="AM1302" s="61"/>
      <c r="AN1302" s="37"/>
      <c r="AO1302" s="62"/>
      <c r="AP1302" s="62"/>
      <c r="AQ1302" s="62"/>
      <c r="AR1302" s="62"/>
    </row>
    <row r="1303" spans="25:44" x14ac:dyDescent="0.15">
      <c r="Y1303" s="8"/>
      <c r="Z1303" s="61"/>
      <c r="AA1303" s="61"/>
      <c r="AB1303" s="61"/>
      <c r="AC1303" s="61"/>
      <c r="AD1303" s="37"/>
      <c r="AE1303" s="62"/>
      <c r="AF1303" s="62"/>
      <c r="AG1303" s="62"/>
      <c r="AH1303" s="62"/>
      <c r="AI1303" s="37"/>
      <c r="AJ1303" s="61"/>
      <c r="AK1303" s="61"/>
      <c r="AL1303" s="61"/>
      <c r="AM1303" s="61"/>
      <c r="AN1303" s="37"/>
      <c r="AO1303" s="62"/>
      <c r="AP1303" s="62"/>
      <c r="AQ1303" s="62"/>
      <c r="AR1303" s="62"/>
    </row>
    <row r="1304" spans="25:44" x14ac:dyDescent="0.15">
      <c r="Y1304" s="8"/>
      <c r="Z1304" s="61"/>
      <c r="AA1304" s="61"/>
      <c r="AB1304" s="61"/>
      <c r="AC1304" s="61"/>
      <c r="AD1304" s="37"/>
      <c r="AE1304" s="62"/>
      <c r="AF1304" s="62"/>
      <c r="AG1304" s="62"/>
      <c r="AH1304" s="62"/>
      <c r="AI1304" s="37"/>
      <c r="AJ1304" s="61"/>
      <c r="AK1304" s="61"/>
      <c r="AL1304" s="61"/>
      <c r="AM1304" s="61"/>
      <c r="AN1304" s="37"/>
      <c r="AO1304" s="62"/>
      <c r="AP1304" s="62"/>
      <c r="AQ1304" s="62"/>
      <c r="AR1304" s="62"/>
    </row>
    <row r="1305" spans="25:44" x14ac:dyDescent="0.15">
      <c r="Y1305" s="8"/>
      <c r="Z1305" s="61"/>
      <c r="AA1305" s="61"/>
      <c r="AB1305" s="61"/>
      <c r="AC1305" s="61"/>
      <c r="AD1305" s="37"/>
      <c r="AE1305" s="62"/>
      <c r="AF1305" s="62"/>
      <c r="AG1305" s="62"/>
      <c r="AH1305" s="62"/>
      <c r="AI1305" s="37"/>
      <c r="AJ1305" s="61"/>
      <c r="AK1305" s="61"/>
      <c r="AL1305" s="61"/>
      <c r="AM1305" s="61"/>
      <c r="AN1305" s="37"/>
      <c r="AO1305" s="62"/>
      <c r="AP1305" s="62"/>
      <c r="AQ1305" s="62"/>
      <c r="AR1305" s="62"/>
    </row>
    <row r="1306" spans="25:44" x14ac:dyDescent="0.15">
      <c r="Y1306" s="8"/>
      <c r="Z1306" s="61"/>
      <c r="AA1306" s="61"/>
      <c r="AB1306" s="61"/>
      <c r="AC1306" s="61"/>
      <c r="AD1306" s="37"/>
      <c r="AE1306" s="62"/>
      <c r="AF1306" s="62"/>
      <c r="AG1306" s="62"/>
      <c r="AH1306" s="62"/>
      <c r="AI1306" s="37"/>
      <c r="AJ1306" s="61"/>
      <c r="AK1306" s="61"/>
      <c r="AL1306" s="61"/>
      <c r="AM1306" s="61"/>
      <c r="AN1306" s="37"/>
      <c r="AO1306" s="62"/>
      <c r="AP1306" s="62"/>
      <c r="AQ1306" s="62"/>
      <c r="AR1306" s="62"/>
    </row>
    <row r="1307" spans="25:44" x14ac:dyDescent="0.15">
      <c r="Y1307" s="8"/>
      <c r="Z1307" s="61"/>
      <c r="AA1307" s="61"/>
      <c r="AB1307" s="61"/>
      <c r="AC1307" s="61"/>
      <c r="AD1307" s="37"/>
      <c r="AE1307" s="62"/>
      <c r="AF1307" s="62"/>
      <c r="AG1307" s="62"/>
      <c r="AH1307" s="62"/>
      <c r="AI1307" s="37"/>
      <c r="AJ1307" s="61"/>
      <c r="AK1307" s="61"/>
      <c r="AL1307" s="61"/>
      <c r="AM1307" s="61"/>
      <c r="AN1307" s="37"/>
      <c r="AO1307" s="62"/>
      <c r="AP1307" s="62"/>
      <c r="AQ1307" s="62"/>
      <c r="AR1307" s="62"/>
    </row>
    <row r="1308" spans="25:44" x14ac:dyDescent="0.15">
      <c r="Y1308" s="8"/>
      <c r="Z1308" s="61"/>
      <c r="AA1308" s="61"/>
      <c r="AB1308" s="61"/>
      <c r="AC1308" s="61"/>
      <c r="AD1308" s="37"/>
      <c r="AE1308" s="62"/>
      <c r="AF1308" s="62"/>
      <c r="AG1308" s="62"/>
      <c r="AH1308" s="62"/>
      <c r="AI1308" s="37"/>
      <c r="AJ1308" s="61"/>
      <c r="AK1308" s="61"/>
      <c r="AL1308" s="61"/>
      <c r="AM1308" s="61"/>
      <c r="AN1308" s="37"/>
      <c r="AO1308" s="62"/>
      <c r="AP1308" s="62"/>
      <c r="AQ1308" s="62"/>
      <c r="AR1308" s="62"/>
    </row>
    <row r="1309" spans="25:44" x14ac:dyDescent="0.15">
      <c r="Y1309" s="8"/>
      <c r="Z1309" s="61"/>
      <c r="AA1309" s="61"/>
      <c r="AB1309" s="61"/>
      <c r="AC1309" s="61"/>
      <c r="AD1309" s="37"/>
      <c r="AE1309" s="62"/>
      <c r="AF1309" s="62"/>
      <c r="AG1309" s="62"/>
      <c r="AH1309" s="62"/>
      <c r="AI1309" s="37"/>
      <c r="AJ1309" s="61"/>
      <c r="AK1309" s="61"/>
      <c r="AL1309" s="61"/>
      <c r="AM1309" s="61"/>
      <c r="AN1309" s="37"/>
      <c r="AO1309" s="62"/>
      <c r="AP1309" s="62"/>
      <c r="AQ1309" s="62"/>
      <c r="AR1309" s="62"/>
    </row>
    <row r="1310" spans="25:44" x14ac:dyDescent="0.15">
      <c r="Y1310" s="8"/>
      <c r="Z1310" s="61"/>
      <c r="AA1310" s="61"/>
      <c r="AB1310" s="61"/>
      <c r="AC1310" s="61"/>
      <c r="AD1310" s="37"/>
      <c r="AE1310" s="62"/>
      <c r="AF1310" s="62"/>
      <c r="AG1310" s="62"/>
      <c r="AH1310" s="62"/>
      <c r="AI1310" s="37"/>
      <c r="AJ1310" s="61"/>
      <c r="AK1310" s="61"/>
      <c r="AL1310" s="61"/>
      <c r="AM1310" s="61"/>
      <c r="AN1310" s="37"/>
      <c r="AO1310" s="62"/>
      <c r="AP1310" s="62"/>
      <c r="AQ1310" s="62"/>
      <c r="AR1310" s="62"/>
    </row>
    <row r="1311" spans="25:44" x14ac:dyDescent="0.15">
      <c r="Y1311" s="8"/>
      <c r="Z1311" s="61"/>
      <c r="AA1311" s="61"/>
      <c r="AB1311" s="61"/>
      <c r="AC1311" s="61"/>
      <c r="AD1311" s="37"/>
      <c r="AE1311" s="62"/>
      <c r="AF1311" s="62"/>
      <c r="AG1311" s="62"/>
      <c r="AH1311" s="62"/>
      <c r="AI1311" s="37"/>
      <c r="AJ1311" s="61"/>
      <c r="AK1311" s="61"/>
      <c r="AL1311" s="61"/>
      <c r="AM1311" s="61"/>
      <c r="AN1311" s="37"/>
      <c r="AO1311" s="62"/>
      <c r="AP1311" s="62"/>
      <c r="AQ1311" s="62"/>
      <c r="AR1311" s="62"/>
    </row>
    <row r="1312" spans="25:44" x14ac:dyDescent="0.15">
      <c r="Y1312" s="8"/>
      <c r="Z1312" s="61"/>
      <c r="AA1312" s="61"/>
      <c r="AB1312" s="61"/>
      <c r="AC1312" s="61"/>
      <c r="AD1312" s="37"/>
      <c r="AE1312" s="62"/>
      <c r="AF1312" s="62"/>
      <c r="AG1312" s="62"/>
      <c r="AH1312" s="62"/>
      <c r="AI1312" s="37"/>
      <c r="AJ1312" s="61"/>
      <c r="AK1312" s="61"/>
      <c r="AL1312" s="61"/>
      <c r="AM1312" s="61"/>
      <c r="AN1312" s="37"/>
      <c r="AO1312" s="62"/>
      <c r="AP1312" s="62"/>
      <c r="AQ1312" s="62"/>
      <c r="AR1312" s="62"/>
    </row>
    <row r="1313" spans="25:44" x14ac:dyDescent="0.15">
      <c r="Y1313" s="8"/>
      <c r="Z1313" s="61"/>
      <c r="AA1313" s="61"/>
      <c r="AB1313" s="61"/>
      <c r="AC1313" s="61"/>
      <c r="AD1313" s="37"/>
      <c r="AE1313" s="62"/>
      <c r="AF1313" s="62"/>
      <c r="AG1313" s="62"/>
      <c r="AH1313" s="62"/>
      <c r="AI1313" s="37"/>
      <c r="AJ1313" s="61"/>
      <c r="AK1313" s="61"/>
      <c r="AL1313" s="61"/>
      <c r="AM1313" s="61"/>
      <c r="AN1313" s="37"/>
      <c r="AO1313" s="62"/>
      <c r="AP1313" s="62"/>
      <c r="AQ1313" s="62"/>
      <c r="AR1313" s="62"/>
    </row>
    <row r="1314" spans="25:44" x14ac:dyDescent="0.15">
      <c r="Y1314" s="8"/>
      <c r="Z1314" s="61"/>
      <c r="AA1314" s="61"/>
      <c r="AB1314" s="61"/>
      <c r="AC1314" s="61"/>
      <c r="AD1314" s="37"/>
      <c r="AE1314" s="62"/>
      <c r="AF1314" s="62"/>
      <c r="AG1314" s="62"/>
      <c r="AH1314" s="62"/>
      <c r="AI1314" s="37"/>
      <c r="AJ1314" s="61"/>
      <c r="AK1314" s="61"/>
      <c r="AL1314" s="61"/>
      <c r="AM1314" s="61"/>
      <c r="AN1314" s="37"/>
      <c r="AO1314" s="62"/>
      <c r="AP1314" s="62"/>
      <c r="AQ1314" s="62"/>
      <c r="AR1314" s="62"/>
    </row>
    <row r="1315" spans="25:44" x14ac:dyDescent="0.15">
      <c r="Y1315" s="8"/>
      <c r="Z1315" s="61"/>
      <c r="AA1315" s="61"/>
      <c r="AB1315" s="61"/>
      <c r="AC1315" s="61"/>
      <c r="AD1315" s="37"/>
      <c r="AE1315" s="62"/>
      <c r="AF1315" s="62"/>
      <c r="AG1315" s="62"/>
      <c r="AH1315" s="62"/>
      <c r="AI1315" s="37"/>
      <c r="AJ1315" s="61"/>
      <c r="AK1315" s="61"/>
      <c r="AL1315" s="61"/>
      <c r="AM1315" s="61"/>
      <c r="AN1315" s="37"/>
      <c r="AO1315" s="62"/>
      <c r="AP1315" s="62"/>
      <c r="AQ1315" s="62"/>
      <c r="AR1315" s="62"/>
    </row>
    <row r="1316" spans="25:44" x14ac:dyDescent="0.15">
      <c r="Y1316" s="8"/>
      <c r="Z1316" s="61"/>
      <c r="AA1316" s="61"/>
      <c r="AB1316" s="61"/>
      <c r="AC1316" s="61"/>
      <c r="AD1316" s="37"/>
      <c r="AE1316" s="62"/>
      <c r="AF1316" s="62"/>
      <c r="AG1316" s="62"/>
      <c r="AH1316" s="62"/>
      <c r="AI1316" s="37"/>
      <c r="AJ1316" s="61"/>
      <c r="AK1316" s="61"/>
      <c r="AL1316" s="61"/>
      <c r="AM1316" s="61"/>
      <c r="AN1316" s="37"/>
      <c r="AO1316" s="62"/>
      <c r="AP1316" s="62"/>
      <c r="AQ1316" s="62"/>
      <c r="AR1316" s="62"/>
    </row>
    <row r="1317" spans="25:44" x14ac:dyDescent="0.15">
      <c r="Y1317" s="8"/>
      <c r="Z1317" s="61"/>
      <c r="AA1317" s="61"/>
      <c r="AB1317" s="61"/>
      <c r="AC1317" s="61"/>
      <c r="AD1317" s="37"/>
      <c r="AE1317" s="62"/>
      <c r="AF1317" s="62"/>
      <c r="AG1317" s="62"/>
      <c r="AH1317" s="62"/>
      <c r="AI1317" s="37"/>
      <c r="AJ1317" s="61"/>
      <c r="AK1317" s="61"/>
      <c r="AL1317" s="61"/>
      <c r="AM1317" s="61"/>
      <c r="AN1317" s="37"/>
      <c r="AO1317" s="62"/>
      <c r="AP1317" s="62"/>
      <c r="AQ1317" s="62"/>
      <c r="AR1317" s="62"/>
    </row>
    <row r="1318" spans="25:44" x14ac:dyDescent="0.15">
      <c r="Y1318" s="8"/>
      <c r="Z1318" s="61"/>
      <c r="AA1318" s="61"/>
      <c r="AB1318" s="61"/>
      <c r="AC1318" s="61"/>
      <c r="AD1318" s="37"/>
      <c r="AE1318" s="62"/>
      <c r="AF1318" s="62"/>
      <c r="AG1318" s="62"/>
      <c r="AH1318" s="62"/>
      <c r="AI1318" s="37"/>
      <c r="AJ1318" s="61"/>
      <c r="AK1318" s="61"/>
      <c r="AL1318" s="61"/>
      <c r="AM1318" s="61"/>
      <c r="AN1318" s="37"/>
      <c r="AO1318" s="62"/>
      <c r="AP1318" s="62"/>
      <c r="AQ1318" s="62"/>
      <c r="AR1318" s="62"/>
    </row>
    <row r="1319" spans="25:44" x14ac:dyDescent="0.15">
      <c r="Y1319" s="8"/>
      <c r="Z1319" s="61"/>
      <c r="AA1319" s="61"/>
      <c r="AB1319" s="61"/>
      <c r="AC1319" s="61"/>
      <c r="AD1319" s="37"/>
      <c r="AE1319" s="62"/>
      <c r="AF1319" s="62"/>
      <c r="AG1319" s="62"/>
      <c r="AH1319" s="62"/>
      <c r="AI1319" s="37"/>
      <c r="AJ1319" s="61"/>
      <c r="AK1319" s="61"/>
      <c r="AL1319" s="61"/>
      <c r="AM1319" s="61"/>
      <c r="AN1319" s="37"/>
      <c r="AO1319" s="62"/>
      <c r="AP1319" s="62"/>
      <c r="AQ1319" s="62"/>
      <c r="AR1319" s="62"/>
    </row>
    <row r="1320" spans="25:44" x14ac:dyDescent="0.15">
      <c r="Y1320" s="8"/>
      <c r="Z1320" s="61"/>
      <c r="AA1320" s="61"/>
      <c r="AB1320" s="61"/>
      <c r="AC1320" s="61"/>
      <c r="AD1320" s="37"/>
      <c r="AE1320" s="62"/>
      <c r="AF1320" s="62"/>
      <c r="AG1320" s="62"/>
      <c r="AH1320" s="62"/>
      <c r="AI1320" s="37"/>
      <c r="AJ1320" s="61"/>
      <c r="AK1320" s="61"/>
      <c r="AL1320" s="61"/>
      <c r="AM1320" s="61"/>
      <c r="AN1320" s="37"/>
      <c r="AO1320" s="62"/>
      <c r="AP1320" s="62"/>
      <c r="AQ1320" s="62"/>
      <c r="AR1320" s="62"/>
    </row>
    <row r="1321" spans="25:44" x14ac:dyDescent="0.15">
      <c r="Y1321" s="8"/>
      <c r="Z1321" s="61"/>
      <c r="AA1321" s="61"/>
      <c r="AB1321" s="61"/>
      <c r="AC1321" s="61"/>
      <c r="AD1321" s="37"/>
      <c r="AE1321" s="62"/>
      <c r="AF1321" s="62"/>
      <c r="AG1321" s="62"/>
      <c r="AH1321" s="62"/>
      <c r="AI1321" s="37"/>
      <c r="AJ1321" s="61"/>
      <c r="AK1321" s="61"/>
      <c r="AL1321" s="61"/>
      <c r="AM1321" s="61"/>
      <c r="AN1321" s="37"/>
      <c r="AO1321" s="62"/>
      <c r="AP1321" s="62"/>
      <c r="AQ1321" s="62"/>
      <c r="AR1321" s="62"/>
    </row>
    <row r="1322" spans="25:44" x14ac:dyDescent="0.15">
      <c r="Y1322" s="8"/>
      <c r="Z1322" s="61"/>
      <c r="AA1322" s="61"/>
      <c r="AB1322" s="61"/>
      <c r="AC1322" s="61"/>
      <c r="AD1322" s="37"/>
      <c r="AE1322" s="62"/>
      <c r="AF1322" s="62"/>
      <c r="AG1322" s="62"/>
      <c r="AH1322" s="62"/>
      <c r="AI1322" s="37"/>
      <c r="AJ1322" s="61"/>
      <c r="AK1322" s="61"/>
      <c r="AL1322" s="61"/>
      <c r="AM1322" s="61"/>
      <c r="AN1322" s="37"/>
      <c r="AO1322" s="62"/>
      <c r="AP1322" s="62"/>
      <c r="AQ1322" s="62"/>
      <c r="AR1322" s="62"/>
    </row>
    <row r="1323" spans="25:44" x14ac:dyDescent="0.15">
      <c r="Y1323" s="8"/>
      <c r="Z1323" s="61"/>
      <c r="AA1323" s="61"/>
      <c r="AB1323" s="61"/>
      <c r="AC1323" s="61"/>
      <c r="AD1323" s="37"/>
      <c r="AE1323" s="62"/>
      <c r="AF1323" s="62"/>
      <c r="AG1323" s="62"/>
      <c r="AH1323" s="62"/>
      <c r="AI1323" s="37"/>
      <c r="AJ1323" s="61"/>
      <c r="AK1323" s="61"/>
      <c r="AL1323" s="61"/>
      <c r="AM1323" s="61"/>
      <c r="AN1323" s="37"/>
      <c r="AO1323" s="62"/>
      <c r="AP1323" s="62"/>
      <c r="AQ1323" s="62"/>
      <c r="AR1323" s="62"/>
    </row>
    <row r="1324" spans="25:44" x14ac:dyDescent="0.15">
      <c r="Y1324" s="8"/>
      <c r="Z1324" s="61"/>
      <c r="AA1324" s="61"/>
      <c r="AB1324" s="61"/>
      <c r="AC1324" s="61"/>
      <c r="AD1324" s="37"/>
      <c r="AE1324" s="62"/>
      <c r="AF1324" s="62"/>
      <c r="AG1324" s="62"/>
      <c r="AH1324" s="62"/>
      <c r="AI1324" s="37"/>
      <c r="AJ1324" s="61"/>
      <c r="AK1324" s="61"/>
      <c r="AL1324" s="61"/>
      <c r="AM1324" s="61"/>
      <c r="AN1324" s="37"/>
      <c r="AO1324" s="62"/>
      <c r="AP1324" s="62"/>
      <c r="AQ1324" s="62"/>
      <c r="AR1324" s="62"/>
    </row>
    <row r="1325" spans="25:44" x14ac:dyDescent="0.15">
      <c r="Y1325" s="8"/>
      <c r="Z1325" s="61"/>
      <c r="AA1325" s="61"/>
      <c r="AB1325" s="61"/>
      <c r="AC1325" s="61"/>
      <c r="AD1325" s="37"/>
      <c r="AE1325" s="62"/>
      <c r="AF1325" s="62"/>
      <c r="AG1325" s="62"/>
      <c r="AH1325" s="62"/>
      <c r="AI1325" s="37"/>
      <c r="AJ1325" s="61"/>
      <c r="AK1325" s="61"/>
      <c r="AL1325" s="61"/>
      <c r="AM1325" s="61"/>
      <c r="AN1325" s="37"/>
      <c r="AO1325" s="62"/>
      <c r="AP1325" s="62"/>
      <c r="AQ1325" s="62"/>
      <c r="AR1325" s="62"/>
    </row>
    <row r="1326" spans="25:44" x14ac:dyDescent="0.15">
      <c r="Y1326" s="8"/>
      <c r="Z1326" s="61"/>
      <c r="AA1326" s="61"/>
      <c r="AB1326" s="61"/>
      <c r="AC1326" s="61"/>
      <c r="AD1326" s="37"/>
      <c r="AE1326" s="62"/>
      <c r="AF1326" s="62"/>
      <c r="AG1326" s="62"/>
      <c r="AH1326" s="62"/>
      <c r="AI1326" s="37"/>
      <c r="AJ1326" s="61"/>
      <c r="AK1326" s="61"/>
      <c r="AL1326" s="61"/>
      <c r="AM1326" s="61"/>
      <c r="AN1326" s="37"/>
      <c r="AO1326" s="62"/>
      <c r="AP1326" s="62"/>
      <c r="AQ1326" s="62"/>
      <c r="AR1326" s="62"/>
    </row>
    <row r="1327" spans="25:44" x14ac:dyDescent="0.15">
      <c r="Y1327" s="8"/>
      <c r="Z1327" s="61"/>
      <c r="AA1327" s="61"/>
      <c r="AB1327" s="61"/>
      <c r="AC1327" s="61"/>
      <c r="AD1327" s="37"/>
      <c r="AE1327" s="62"/>
      <c r="AF1327" s="62"/>
      <c r="AG1327" s="62"/>
      <c r="AH1327" s="62"/>
      <c r="AI1327" s="37"/>
      <c r="AJ1327" s="61"/>
      <c r="AK1327" s="61"/>
      <c r="AL1327" s="61"/>
      <c r="AM1327" s="61"/>
      <c r="AN1327" s="37"/>
      <c r="AO1327" s="62"/>
      <c r="AP1327" s="62"/>
      <c r="AQ1327" s="62"/>
      <c r="AR1327" s="62"/>
    </row>
    <row r="1328" spans="25:44" x14ac:dyDescent="0.15">
      <c r="Y1328" s="8"/>
      <c r="Z1328" s="61"/>
      <c r="AA1328" s="61"/>
      <c r="AB1328" s="61"/>
      <c r="AC1328" s="61"/>
      <c r="AD1328" s="37"/>
      <c r="AE1328" s="62"/>
      <c r="AF1328" s="62"/>
      <c r="AG1328" s="62"/>
      <c r="AH1328" s="62"/>
      <c r="AI1328" s="37"/>
      <c r="AJ1328" s="61"/>
      <c r="AK1328" s="61"/>
      <c r="AL1328" s="61"/>
      <c r="AM1328" s="61"/>
      <c r="AN1328" s="37"/>
      <c r="AO1328" s="62"/>
      <c r="AP1328" s="62"/>
      <c r="AQ1328" s="62"/>
      <c r="AR1328" s="62"/>
    </row>
    <row r="1329" spans="25:44" x14ac:dyDescent="0.15">
      <c r="Y1329" s="8"/>
      <c r="Z1329" s="61"/>
      <c r="AA1329" s="61"/>
      <c r="AB1329" s="61"/>
      <c r="AC1329" s="61"/>
      <c r="AD1329" s="37"/>
      <c r="AE1329" s="62"/>
      <c r="AF1329" s="62"/>
      <c r="AG1329" s="62"/>
      <c r="AH1329" s="62"/>
      <c r="AI1329" s="37"/>
      <c r="AJ1329" s="61"/>
      <c r="AK1329" s="61"/>
      <c r="AL1329" s="61"/>
      <c r="AM1329" s="61"/>
      <c r="AN1329" s="37"/>
      <c r="AO1329" s="62"/>
      <c r="AP1329" s="62"/>
      <c r="AQ1329" s="62"/>
      <c r="AR1329" s="62"/>
    </row>
    <row r="1330" spans="25:44" x14ac:dyDescent="0.15">
      <c r="Y1330" s="8"/>
      <c r="Z1330" s="61"/>
      <c r="AA1330" s="61"/>
      <c r="AB1330" s="61"/>
      <c r="AC1330" s="61"/>
      <c r="AD1330" s="37"/>
      <c r="AE1330" s="62"/>
      <c r="AF1330" s="62"/>
      <c r="AG1330" s="62"/>
      <c r="AH1330" s="62"/>
      <c r="AI1330" s="37"/>
      <c r="AJ1330" s="61"/>
      <c r="AK1330" s="61"/>
      <c r="AL1330" s="61"/>
      <c r="AM1330" s="61"/>
      <c r="AN1330" s="37"/>
      <c r="AO1330" s="62"/>
      <c r="AP1330" s="62"/>
      <c r="AQ1330" s="62"/>
      <c r="AR1330" s="62"/>
    </row>
    <row r="1331" spans="25:44" x14ac:dyDescent="0.15">
      <c r="Y1331" s="8"/>
      <c r="Z1331" s="61"/>
      <c r="AA1331" s="61"/>
      <c r="AB1331" s="61"/>
      <c r="AC1331" s="61"/>
      <c r="AD1331" s="37"/>
      <c r="AE1331" s="62"/>
      <c r="AF1331" s="62"/>
      <c r="AG1331" s="62"/>
      <c r="AH1331" s="62"/>
      <c r="AI1331" s="37"/>
      <c r="AJ1331" s="61"/>
      <c r="AK1331" s="61"/>
      <c r="AL1331" s="61"/>
      <c r="AM1331" s="61"/>
      <c r="AN1331" s="37"/>
      <c r="AO1331" s="62"/>
      <c r="AP1331" s="62"/>
      <c r="AQ1331" s="62"/>
      <c r="AR1331" s="62"/>
    </row>
    <row r="1332" spans="25:44" x14ac:dyDescent="0.15">
      <c r="Y1332" s="8"/>
      <c r="Z1332" s="61"/>
      <c r="AA1332" s="61"/>
      <c r="AB1332" s="61"/>
      <c r="AC1332" s="61"/>
      <c r="AD1332" s="37"/>
      <c r="AE1332" s="62"/>
      <c r="AF1332" s="62"/>
      <c r="AG1332" s="62"/>
      <c r="AH1332" s="62"/>
      <c r="AI1332" s="37"/>
      <c r="AJ1332" s="61"/>
      <c r="AK1332" s="61"/>
      <c r="AL1332" s="61"/>
      <c r="AM1332" s="61"/>
      <c r="AN1332" s="37"/>
      <c r="AO1332" s="62"/>
      <c r="AP1332" s="62"/>
      <c r="AQ1332" s="62"/>
      <c r="AR1332" s="62"/>
    </row>
    <row r="1333" spans="25:44" x14ac:dyDescent="0.15">
      <c r="Y1333" s="8"/>
      <c r="Z1333" s="61"/>
      <c r="AA1333" s="61"/>
      <c r="AB1333" s="61"/>
      <c r="AC1333" s="61"/>
      <c r="AD1333" s="37"/>
      <c r="AE1333" s="62"/>
      <c r="AF1333" s="62"/>
      <c r="AG1333" s="62"/>
      <c r="AH1333" s="62"/>
      <c r="AI1333" s="37"/>
      <c r="AJ1333" s="61"/>
      <c r="AK1333" s="61"/>
      <c r="AL1333" s="61"/>
      <c r="AM1333" s="61"/>
      <c r="AN1333" s="37"/>
      <c r="AO1333" s="62"/>
      <c r="AP1333" s="62"/>
      <c r="AQ1333" s="62"/>
      <c r="AR1333" s="62"/>
    </row>
    <row r="1334" spans="25:44" x14ac:dyDescent="0.15">
      <c r="Y1334" s="8"/>
      <c r="Z1334" s="61"/>
      <c r="AA1334" s="61"/>
      <c r="AB1334" s="61"/>
      <c r="AC1334" s="61"/>
      <c r="AD1334" s="37"/>
      <c r="AE1334" s="62"/>
      <c r="AF1334" s="62"/>
      <c r="AG1334" s="62"/>
      <c r="AH1334" s="62"/>
      <c r="AI1334" s="37"/>
      <c r="AJ1334" s="61"/>
      <c r="AK1334" s="61"/>
      <c r="AL1334" s="61"/>
      <c r="AM1334" s="61"/>
      <c r="AN1334" s="37"/>
      <c r="AO1334" s="62"/>
      <c r="AP1334" s="62"/>
      <c r="AQ1334" s="62"/>
      <c r="AR1334" s="62"/>
    </row>
    <row r="1335" spans="25:44" x14ac:dyDescent="0.15">
      <c r="Y1335" s="8"/>
      <c r="Z1335" s="61"/>
      <c r="AA1335" s="61"/>
      <c r="AB1335" s="61"/>
      <c r="AC1335" s="61"/>
      <c r="AD1335" s="37"/>
      <c r="AE1335" s="62"/>
      <c r="AF1335" s="62"/>
      <c r="AG1335" s="62"/>
      <c r="AH1335" s="62"/>
      <c r="AI1335" s="37"/>
      <c r="AJ1335" s="61"/>
      <c r="AK1335" s="61"/>
      <c r="AL1335" s="61"/>
      <c r="AM1335" s="61"/>
      <c r="AN1335" s="37"/>
      <c r="AO1335" s="62"/>
      <c r="AP1335" s="62"/>
      <c r="AQ1335" s="62"/>
      <c r="AR1335" s="62"/>
    </row>
    <row r="1336" spans="25:44" x14ac:dyDescent="0.15">
      <c r="Y1336" s="8"/>
      <c r="Z1336" s="61"/>
      <c r="AA1336" s="61"/>
      <c r="AB1336" s="61"/>
      <c r="AC1336" s="61"/>
      <c r="AD1336" s="37"/>
      <c r="AE1336" s="62"/>
      <c r="AF1336" s="62"/>
      <c r="AG1336" s="62"/>
      <c r="AH1336" s="62"/>
      <c r="AI1336" s="37"/>
      <c r="AJ1336" s="61"/>
      <c r="AK1336" s="61"/>
      <c r="AL1336" s="61"/>
      <c r="AM1336" s="61"/>
      <c r="AN1336" s="37"/>
      <c r="AO1336" s="62"/>
      <c r="AP1336" s="62"/>
      <c r="AQ1336" s="62"/>
      <c r="AR1336" s="62"/>
    </row>
    <row r="1337" spans="25:44" x14ac:dyDescent="0.15">
      <c r="Y1337" s="8"/>
      <c r="Z1337" s="61"/>
      <c r="AA1337" s="61"/>
      <c r="AB1337" s="61"/>
      <c r="AC1337" s="61"/>
      <c r="AD1337" s="37"/>
      <c r="AE1337" s="62"/>
      <c r="AF1337" s="62"/>
      <c r="AG1337" s="62"/>
      <c r="AH1337" s="62"/>
      <c r="AI1337" s="37"/>
      <c r="AJ1337" s="61"/>
      <c r="AK1337" s="61"/>
      <c r="AL1337" s="61"/>
      <c r="AM1337" s="61"/>
      <c r="AN1337" s="37"/>
      <c r="AO1337" s="62"/>
      <c r="AP1337" s="62"/>
      <c r="AQ1337" s="62"/>
      <c r="AR1337" s="62"/>
    </row>
    <row r="1338" spans="25:44" x14ac:dyDescent="0.15">
      <c r="Y1338" s="8"/>
      <c r="Z1338" s="61"/>
      <c r="AA1338" s="61"/>
      <c r="AB1338" s="61"/>
      <c r="AC1338" s="61"/>
      <c r="AD1338" s="37"/>
      <c r="AE1338" s="62"/>
      <c r="AF1338" s="62"/>
      <c r="AG1338" s="62"/>
      <c r="AH1338" s="62"/>
      <c r="AI1338" s="37"/>
      <c r="AJ1338" s="61"/>
      <c r="AK1338" s="61"/>
      <c r="AL1338" s="61"/>
      <c r="AM1338" s="61"/>
      <c r="AN1338" s="37"/>
      <c r="AO1338" s="62"/>
      <c r="AP1338" s="62"/>
      <c r="AQ1338" s="62"/>
      <c r="AR1338" s="62"/>
    </row>
    <row r="1339" spans="25:44" x14ac:dyDescent="0.15">
      <c r="Y1339" s="8"/>
      <c r="Z1339" s="61"/>
      <c r="AA1339" s="61"/>
      <c r="AB1339" s="61"/>
      <c r="AC1339" s="61"/>
      <c r="AD1339" s="37"/>
      <c r="AE1339" s="62"/>
      <c r="AF1339" s="62"/>
      <c r="AG1339" s="62"/>
      <c r="AH1339" s="62"/>
      <c r="AI1339" s="37"/>
      <c r="AJ1339" s="61"/>
      <c r="AK1339" s="61"/>
      <c r="AL1339" s="61"/>
      <c r="AM1339" s="61"/>
      <c r="AN1339" s="37"/>
      <c r="AO1339" s="62"/>
      <c r="AP1339" s="62"/>
      <c r="AQ1339" s="62"/>
      <c r="AR1339" s="62"/>
    </row>
    <row r="1340" spans="25:44" x14ac:dyDescent="0.15">
      <c r="Y1340" s="8"/>
      <c r="Z1340" s="61"/>
      <c r="AA1340" s="61"/>
      <c r="AB1340" s="61"/>
      <c r="AC1340" s="61"/>
      <c r="AD1340" s="37"/>
      <c r="AE1340" s="62"/>
      <c r="AF1340" s="62"/>
      <c r="AG1340" s="62"/>
      <c r="AH1340" s="62"/>
      <c r="AI1340" s="37"/>
      <c r="AJ1340" s="61"/>
      <c r="AK1340" s="61"/>
      <c r="AL1340" s="61"/>
      <c r="AM1340" s="61"/>
      <c r="AN1340" s="37"/>
      <c r="AO1340" s="62"/>
      <c r="AP1340" s="62"/>
      <c r="AQ1340" s="62"/>
      <c r="AR1340" s="62"/>
    </row>
    <row r="1341" spans="25:44" x14ac:dyDescent="0.15">
      <c r="Y1341" s="8"/>
      <c r="Z1341" s="61"/>
      <c r="AA1341" s="61"/>
      <c r="AB1341" s="61"/>
      <c r="AC1341" s="61"/>
      <c r="AD1341" s="37"/>
      <c r="AE1341" s="62"/>
      <c r="AF1341" s="62"/>
      <c r="AG1341" s="62"/>
      <c r="AH1341" s="62"/>
      <c r="AI1341" s="37"/>
      <c r="AJ1341" s="61"/>
      <c r="AK1341" s="61"/>
      <c r="AL1341" s="61"/>
      <c r="AM1341" s="61"/>
      <c r="AN1341" s="37"/>
      <c r="AO1341" s="62"/>
      <c r="AP1341" s="62"/>
      <c r="AQ1341" s="62"/>
      <c r="AR1341" s="62"/>
    </row>
    <row r="1342" spans="25:44" x14ac:dyDescent="0.15">
      <c r="Y1342" s="8"/>
      <c r="Z1342" s="61"/>
      <c r="AA1342" s="61"/>
      <c r="AB1342" s="61"/>
      <c r="AC1342" s="61"/>
      <c r="AD1342" s="37"/>
      <c r="AE1342" s="62"/>
      <c r="AF1342" s="62"/>
      <c r="AG1342" s="62"/>
      <c r="AH1342" s="62"/>
      <c r="AI1342" s="37"/>
      <c r="AJ1342" s="61"/>
      <c r="AK1342" s="61"/>
      <c r="AL1342" s="61"/>
      <c r="AM1342" s="61"/>
      <c r="AN1342" s="37"/>
      <c r="AO1342" s="62"/>
      <c r="AP1342" s="62"/>
      <c r="AQ1342" s="62"/>
      <c r="AR1342" s="62"/>
    </row>
    <row r="1343" spans="25:44" x14ac:dyDescent="0.15">
      <c r="Y1343" s="8"/>
      <c r="Z1343" s="61"/>
      <c r="AA1343" s="61"/>
      <c r="AB1343" s="61"/>
      <c r="AC1343" s="61"/>
      <c r="AD1343" s="37"/>
      <c r="AE1343" s="62"/>
      <c r="AF1343" s="62"/>
      <c r="AG1343" s="62"/>
      <c r="AH1343" s="62"/>
      <c r="AI1343" s="37"/>
      <c r="AJ1343" s="61"/>
      <c r="AK1343" s="61"/>
      <c r="AL1343" s="61"/>
      <c r="AM1343" s="61"/>
      <c r="AN1343" s="37"/>
      <c r="AO1343" s="62"/>
      <c r="AP1343" s="62"/>
      <c r="AQ1343" s="62"/>
      <c r="AR1343" s="62"/>
    </row>
    <row r="1344" spans="25:44" x14ac:dyDescent="0.15">
      <c r="Y1344" s="8"/>
      <c r="Z1344" s="61"/>
      <c r="AA1344" s="61"/>
      <c r="AB1344" s="61"/>
      <c r="AC1344" s="61"/>
      <c r="AD1344" s="37"/>
      <c r="AE1344" s="62"/>
      <c r="AF1344" s="62"/>
      <c r="AG1344" s="62"/>
      <c r="AH1344" s="62"/>
      <c r="AI1344" s="37"/>
      <c r="AJ1344" s="61"/>
      <c r="AK1344" s="61"/>
      <c r="AL1344" s="61"/>
      <c r="AM1344" s="61"/>
      <c r="AN1344" s="37"/>
      <c r="AO1344" s="62"/>
      <c r="AP1344" s="62"/>
      <c r="AQ1344" s="62"/>
      <c r="AR1344" s="62"/>
    </row>
    <row r="1345" spans="25:44" x14ac:dyDescent="0.15">
      <c r="Y1345" s="8"/>
      <c r="Z1345" s="61"/>
      <c r="AA1345" s="61"/>
      <c r="AB1345" s="61"/>
      <c r="AC1345" s="61"/>
      <c r="AD1345" s="37"/>
      <c r="AE1345" s="62"/>
      <c r="AF1345" s="62"/>
      <c r="AG1345" s="62"/>
      <c r="AH1345" s="62"/>
      <c r="AI1345" s="37"/>
      <c r="AJ1345" s="61"/>
      <c r="AK1345" s="61"/>
      <c r="AL1345" s="61"/>
      <c r="AM1345" s="61"/>
      <c r="AN1345" s="37"/>
      <c r="AO1345" s="62"/>
      <c r="AP1345" s="62"/>
      <c r="AQ1345" s="62"/>
      <c r="AR1345" s="62"/>
    </row>
    <row r="1346" spans="25:44" x14ac:dyDescent="0.15">
      <c r="Y1346" s="8"/>
      <c r="Z1346" s="61"/>
      <c r="AA1346" s="61"/>
      <c r="AB1346" s="61"/>
      <c r="AC1346" s="61"/>
      <c r="AD1346" s="37"/>
      <c r="AE1346" s="62"/>
      <c r="AF1346" s="62"/>
      <c r="AG1346" s="62"/>
      <c r="AH1346" s="62"/>
      <c r="AI1346" s="37"/>
      <c r="AJ1346" s="61"/>
      <c r="AK1346" s="61"/>
      <c r="AL1346" s="61"/>
      <c r="AM1346" s="61"/>
      <c r="AN1346" s="37"/>
      <c r="AO1346" s="62"/>
      <c r="AP1346" s="62"/>
      <c r="AQ1346" s="62"/>
      <c r="AR1346" s="62"/>
    </row>
    <row r="1347" spans="25:44" x14ac:dyDescent="0.15">
      <c r="Y1347" s="8"/>
      <c r="Z1347" s="61"/>
      <c r="AA1347" s="61"/>
      <c r="AB1347" s="61"/>
      <c r="AC1347" s="61"/>
      <c r="AD1347" s="37"/>
      <c r="AE1347" s="62"/>
      <c r="AF1347" s="62"/>
      <c r="AG1347" s="62"/>
      <c r="AH1347" s="62"/>
      <c r="AI1347" s="37"/>
      <c r="AJ1347" s="61"/>
      <c r="AK1347" s="61"/>
      <c r="AL1347" s="61"/>
      <c r="AM1347" s="61"/>
      <c r="AN1347" s="37"/>
      <c r="AO1347" s="62"/>
      <c r="AP1347" s="62"/>
      <c r="AQ1347" s="62"/>
      <c r="AR1347" s="62"/>
    </row>
    <row r="1348" spans="25:44" x14ac:dyDescent="0.15">
      <c r="Y1348" s="8"/>
      <c r="Z1348" s="61"/>
      <c r="AA1348" s="61"/>
      <c r="AB1348" s="61"/>
      <c r="AC1348" s="61"/>
      <c r="AD1348" s="37"/>
      <c r="AE1348" s="62"/>
      <c r="AF1348" s="62"/>
      <c r="AG1348" s="62"/>
      <c r="AH1348" s="62"/>
      <c r="AI1348" s="37"/>
      <c r="AJ1348" s="61"/>
      <c r="AK1348" s="61"/>
      <c r="AL1348" s="61"/>
      <c r="AM1348" s="61"/>
      <c r="AN1348" s="37"/>
      <c r="AO1348" s="62"/>
      <c r="AP1348" s="62"/>
      <c r="AQ1348" s="62"/>
      <c r="AR1348" s="62"/>
    </row>
    <row r="1349" spans="25:44" x14ac:dyDescent="0.15">
      <c r="Y1349" s="8"/>
      <c r="Z1349" s="61"/>
      <c r="AA1349" s="61"/>
      <c r="AB1349" s="61"/>
      <c r="AC1349" s="61"/>
      <c r="AD1349" s="37"/>
      <c r="AE1349" s="62"/>
      <c r="AF1349" s="62"/>
      <c r="AG1349" s="62"/>
      <c r="AH1349" s="62"/>
      <c r="AI1349" s="37"/>
      <c r="AJ1349" s="61"/>
      <c r="AK1349" s="61"/>
      <c r="AL1349" s="61"/>
      <c r="AM1349" s="61"/>
      <c r="AN1349" s="37"/>
      <c r="AO1349" s="62"/>
      <c r="AP1349" s="62"/>
      <c r="AQ1349" s="62"/>
      <c r="AR1349" s="62"/>
    </row>
    <row r="1350" spans="25:44" x14ac:dyDescent="0.15">
      <c r="Y1350" s="8"/>
      <c r="Z1350" s="61"/>
      <c r="AA1350" s="61"/>
      <c r="AB1350" s="61"/>
      <c r="AC1350" s="61"/>
      <c r="AD1350" s="37"/>
      <c r="AE1350" s="62"/>
      <c r="AF1350" s="62"/>
      <c r="AG1350" s="62"/>
      <c r="AH1350" s="62"/>
      <c r="AI1350" s="37"/>
      <c r="AJ1350" s="61"/>
      <c r="AK1350" s="61"/>
      <c r="AL1350" s="61"/>
      <c r="AM1350" s="61"/>
      <c r="AN1350" s="37"/>
      <c r="AO1350" s="62"/>
      <c r="AP1350" s="62"/>
      <c r="AQ1350" s="62"/>
      <c r="AR1350" s="62"/>
    </row>
    <row r="1351" spans="25:44" x14ac:dyDescent="0.15">
      <c r="Y1351" s="8"/>
      <c r="Z1351" s="61"/>
      <c r="AA1351" s="61"/>
      <c r="AB1351" s="61"/>
      <c r="AC1351" s="61"/>
      <c r="AD1351" s="37"/>
      <c r="AE1351" s="62"/>
      <c r="AF1351" s="62"/>
      <c r="AG1351" s="62"/>
      <c r="AH1351" s="62"/>
      <c r="AI1351" s="37"/>
      <c r="AJ1351" s="61"/>
      <c r="AK1351" s="61"/>
      <c r="AL1351" s="61"/>
      <c r="AM1351" s="61"/>
      <c r="AN1351" s="37"/>
      <c r="AO1351" s="62"/>
      <c r="AP1351" s="62"/>
      <c r="AQ1351" s="62"/>
      <c r="AR1351" s="62"/>
    </row>
    <row r="1352" spans="25:44" x14ac:dyDescent="0.15">
      <c r="Y1352" s="8"/>
      <c r="Z1352" s="61"/>
      <c r="AA1352" s="61"/>
      <c r="AB1352" s="61"/>
      <c r="AC1352" s="61"/>
      <c r="AD1352" s="37"/>
      <c r="AE1352" s="62"/>
      <c r="AF1352" s="62"/>
      <c r="AG1352" s="62"/>
      <c r="AH1352" s="62"/>
      <c r="AI1352" s="37"/>
      <c r="AJ1352" s="61"/>
      <c r="AK1352" s="61"/>
      <c r="AL1352" s="61"/>
      <c r="AM1352" s="61"/>
      <c r="AN1352" s="37"/>
      <c r="AO1352" s="62"/>
      <c r="AP1352" s="62"/>
      <c r="AQ1352" s="62"/>
      <c r="AR1352" s="62"/>
    </row>
    <row r="1353" spans="25:44" x14ac:dyDescent="0.15">
      <c r="Y1353" s="8"/>
      <c r="Z1353" s="61"/>
      <c r="AA1353" s="61"/>
      <c r="AB1353" s="61"/>
      <c r="AC1353" s="61"/>
      <c r="AD1353" s="37"/>
      <c r="AE1353" s="62"/>
      <c r="AF1353" s="62"/>
      <c r="AG1353" s="62"/>
      <c r="AH1353" s="62"/>
      <c r="AI1353" s="37"/>
      <c r="AJ1353" s="61"/>
      <c r="AK1353" s="61"/>
      <c r="AL1353" s="61"/>
      <c r="AM1353" s="61"/>
      <c r="AN1353" s="37"/>
      <c r="AO1353" s="62"/>
      <c r="AP1353" s="62"/>
      <c r="AQ1353" s="62"/>
      <c r="AR1353" s="62"/>
    </row>
    <row r="1354" spans="25:44" x14ac:dyDescent="0.15">
      <c r="Y1354" s="8"/>
      <c r="Z1354" s="61"/>
      <c r="AA1354" s="61"/>
      <c r="AB1354" s="61"/>
      <c r="AC1354" s="61"/>
      <c r="AD1354" s="37"/>
      <c r="AE1354" s="62"/>
      <c r="AF1354" s="62"/>
      <c r="AG1354" s="62"/>
      <c r="AH1354" s="62"/>
      <c r="AI1354" s="37"/>
      <c r="AJ1354" s="61"/>
      <c r="AK1354" s="61"/>
      <c r="AL1354" s="61"/>
      <c r="AM1354" s="61"/>
      <c r="AN1354" s="37"/>
      <c r="AO1354" s="62"/>
      <c r="AP1354" s="62"/>
      <c r="AQ1354" s="62"/>
      <c r="AR1354" s="62"/>
    </row>
    <row r="1355" spans="25:44" x14ac:dyDescent="0.15">
      <c r="Y1355" s="8"/>
      <c r="Z1355" s="61"/>
      <c r="AA1355" s="61"/>
      <c r="AB1355" s="61"/>
      <c r="AC1355" s="61"/>
      <c r="AD1355" s="37"/>
      <c r="AE1355" s="62"/>
      <c r="AF1355" s="62"/>
      <c r="AG1355" s="62"/>
      <c r="AH1355" s="62"/>
      <c r="AI1355" s="37"/>
      <c r="AJ1355" s="61"/>
      <c r="AK1355" s="61"/>
      <c r="AL1355" s="61"/>
      <c r="AM1355" s="61"/>
      <c r="AN1355" s="37"/>
      <c r="AO1355" s="62"/>
      <c r="AP1355" s="62"/>
      <c r="AQ1355" s="62"/>
      <c r="AR1355" s="62"/>
    </row>
    <row r="1356" spans="25:44" x14ac:dyDescent="0.15">
      <c r="Y1356" s="8"/>
      <c r="Z1356" s="61"/>
      <c r="AA1356" s="61"/>
      <c r="AB1356" s="61"/>
      <c r="AC1356" s="61"/>
      <c r="AD1356" s="37"/>
      <c r="AE1356" s="62"/>
      <c r="AF1356" s="62"/>
      <c r="AG1356" s="62"/>
      <c r="AH1356" s="62"/>
      <c r="AI1356" s="37"/>
      <c r="AJ1356" s="61"/>
      <c r="AK1356" s="61"/>
      <c r="AL1356" s="61"/>
      <c r="AM1356" s="61"/>
      <c r="AN1356" s="37"/>
      <c r="AO1356" s="62"/>
      <c r="AP1356" s="62"/>
      <c r="AQ1356" s="62"/>
      <c r="AR1356" s="62"/>
    </row>
    <row r="1357" spans="25:44" x14ac:dyDescent="0.15">
      <c r="Y1357" s="8"/>
      <c r="Z1357" s="61"/>
      <c r="AA1357" s="61"/>
      <c r="AB1357" s="61"/>
      <c r="AC1357" s="61"/>
      <c r="AD1357" s="37"/>
      <c r="AE1357" s="62"/>
      <c r="AF1357" s="62"/>
      <c r="AG1357" s="62"/>
      <c r="AH1357" s="62"/>
      <c r="AI1357" s="37"/>
      <c r="AJ1357" s="61"/>
      <c r="AK1357" s="61"/>
      <c r="AL1357" s="61"/>
      <c r="AM1357" s="61"/>
      <c r="AN1357" s="37"/>
      <c r="AO1357" s="62"/>
      <c r="AP1357" s="62"/>
      <c r="AQ1357" s="62"/>
      <c r="AR1357" s="62"/>
    </row>
    <row r="1358" spans="25:44" x14ac:dyDescent="0.15">
      <c r="Y1358" s="8"/>
      <c r="Z1358" s="61"/>
      <c r="AA1358" s="61"/>
      <c r="AB1358" s="61"/>
      <c r="AC1358" s="61"/>
      <c r="AD1358" s="37"/>
      <c r="AE1358" s="62"/>
      <c r="AF1358" s="62"/>
      <c r="AG1358" s="62"/>
      <c r="AH1358" s="62"/>
      <c r="AI1358" s="37"/>
      <c r="AJ1358" s="61"/>
      <c r="AK1358" s="61"/>
      <c r="AL1358" s="61"/>
      <c r="AM1358" s="61"/>
      <c r="AN1358" s="37"/>
      <c r="AO1358" s="62"/>
      <c r="AP1358" s="62"/>
      <c r="AQ1358" s="62"/>
      <c r="AR1358" s="62"/>
    </row>
    <row r="1359" spans="25:44" x14ac:dyDescent="0.15">
      <c r="Y1359" s="8"/>
      <c r="Z1359" s="61"/>
      <c r="AA1359" s="61"/>
      <c r="AB1359" s="61"/>
      <c r="AC1359" s="61"/>
      <c r="AD1359" s="37"/>
      <c r="AE1359" s="62"/>
      <c r="AF1359" s="62"/>
      <c r="AG1359" s="62"/>
      <c r="AH1359" s="62"/>
      <c r="AI1359" s="37"/>
      <c r="AJ1359" s="61"/>
      <c r="AK1359" s="61"/>
      <c r="AL1359" s="61"/>
      <c r="AM1359" s="61"/>
      <c r="AN1359" s="37"/>
      <c r="AO1359" s="62"/>
      <c r="AP1359" s="62"/>
      <c r="AQ1359" s="62"/>
      <c r="AR1359" s="62"/>
    </row>
    <row r="1360" spans="25:44" x14ac:dyDescent="0.15">
      <c r="Y1360" s="8"/>
      <c r="Z1360" s="61"/>
      <c r="AA1360" s="61"/>
      <c r="AB1360" s="61"/>
      <c r="AC1360" s="61"/>
      <c r="AD1360" s="37"/>
      <c r="AE1360" s="62"/>
      <c r="AF1360" s="62"/>
      <c r="AG1360" s="62"/>
      <c r="AH1360" s="62"/>
      <c r="AI1360" s="37"/>
      <c r="AJ1360" s="61"/>
      <c r="AK1360" s="61"/>
      <c r="AL1360" s="61"/>
      <c r="AM1360" s="61"/>
      <c r="AN1360" s="37"/>
      <c r="AO1360" s="62"/>
      <c r="AP1360" s="62"/>
      <c r="AQ1360" s="62"/>
      <c r="AR1360" s="62"/>
    </row>
    <row r="1361" spans="25:44" x14ac:dyDescent="0.15">
      <c r="Y1361" s="8"/>
      <c r="Z1361" s="61"/>
      <c r="AA1361" s="61"/>
      <c r="AB1361" s="61"/>
      <c r="AC1361" s="61"/>
      <c r="AD1361" s="37"/>
      <c r="AE1361" s="62"/>
      <c r="AF1361" s="62"/>
      <c r="AG1361" s="62"/>
      <c r="AH1361" s="62"/>
      <c r="AI1361" s="37"/>
      <c r="AJ1361" s="61"/>
      <c r="AK1361" s="61"/>
      <c r="AL1361" s="61"/>
      <c r="AM1361" s="61"/>
      <c r="AN1361" s="37"/>
      <c r="AO1361" s="62"/>
      <c r="AP1361" s="62"/>
      <c r="AQ1361" s="62"/>
      <c r="AR1361" s="62"/>
    </row>
    <row r="1362" spans="25:44" x14ac:dyDescent="0.15">
      <c r="Y1362" s="8"/>
      <c r="Z1362" s="61"/>
      <c r="AA1362" s="61"/>
      <c r="AB1362" s="61"/>
      <c r="AC1362" s="61"/>
      <c r="AD1362" s="37"/>
      <c r="AE1362" s="62"/>
      <c r="AF1362" s="62"/>
      <c r="AG1362" s="62"/>
      <c r="AH1362" s="62"/>
      <c r="AI1362" s="37"/>
      <c r="AJ1362" s="61"/>
      <c r="AK1362" s="61"/>
      <c r="AL1362" s="61"/>
      <c r="AM1362" s="61"/>
      <c r="AN1362" s="37"/>
      <c r="AO1362" s="62"/>
      <c r="AP1362" s="62"/>
      <c r="AQ1362" s="62"/>
      <c r="AR1362" s="62"/>
    </row>
    <row r="1363" spans="25:44" x14ac:dyDescent="0.15">
      <c r="Y1363" s="8"/>
      <c r="Z1363" s="61"/>
      <c r="AA1363" s="61"/>
      <c r="AB1363" s="61"/>
      <c r="AC1363" s="61"/>
      <c r="AD1363" s="37"/>
      <c r="AE1363" s="62"/>
      <c r="AF1363" s="62"/>
      <c r="AG1363" s="62"/>
      <c r="AH1363" s="62"/>
      <c r="AI1363" s="37"/>
      <c r="AJ1363" s="61"/>
      <c r="AK1363" s="61"/>
      <c r="AL1363" s="61"/>
      <c r="AM1363" s="61"/>
      <c r="AN1363" s="37"/>
      <c r="AO1363" s="62"/>
      <c r="AP1363" s="62"/>
      <c r="AQ1363" s="62"/>
      <c r="AR1363" s="62"/>
    </row>
    <row r="1364" spans="25:44" x14ac:dyDescent="0.15">
      <c r="Y1364" s="8"/>
      <c r="Z1364" s="61"/>
      <c r="AA1364" s="61"/>
      <c r="AB1364" s="61"/>
      <c r="AC1364" s="61"/>
      <c r="AD1364" s="37"/>
      <c r="AE1364" s="62"/>
      <c r="AF1364" s="62"/>
      <c r="AG1364" s="62"/>
      <c r="AH1364" s="62"/>
      <c r="AI1364" s="37"/>
      <c r="AJ1364" s="61"/>
      <c r="AK1364" s="61"/>
      <c r="AL1364" s="61"/>
      <c r="AM1364" s="61"/>
      <c r="AN1364" s="37"/>
      <c r="AO1364" s="62"/>
      <c r="AP1364" s="62"/>
      <c r="AQ1364" s="62"/>
      <c r="AR1364" s="62"/>
    </row>
    <row r="1365" spans="25:44" x14ac:dyDescent="0.15">
      <c r="Y1365" s="8"/>
      <c r="Z1365" s="61"/>
      <c r="AA1365" s="61"/>
      <c r="AB1365" s="61"/>
      <c r="AC1365" s="61"/>
      <c r="AD1365" s="37"/>
      <c r="AE1365" s="62"/>
      <c r="AF1365" s="62"/>
      <c r="AG1365" s="62"/>
      <c r="AH1365" s="62"/>
      <c r="AI1365" s="37"/>
      <c r="AJ1365" s="61"/>
      <c r="AK1365" s="61"/>
      <c r="AL1365" s="61"/>
      <c r="AM1365" s="61"/>
      <c r="AN1365" s="37"/>
      <c r="AO1365" s="62"/>
      <c r="AP1365" s="62"/>
      <c r="AQ1365" s="62"/>
      <c r="AR1365" s="62"/>
    </row>
    <row r="1366" spans="25:44" x14ac:dyDescent="0.15">
      <c r="Y1366" s="8"/>
      <c r="Z1366" s="61"/>
      <c r="AA1366" s="61"/>
      <c r="AB1366" s="61"/>
      <c r="AC1366" s="61"/>
      <c r="AD1366" s="37"/>
      <c r="AE1366" s="62"/>
      <c r="AF1366" s="62"/>
      <c r="AG1366" s="62"/>
      <c r="AH1366" s="62"/>
      <c r="AI1366" s="37"/>
      <c r="AJ1366" s="61"/>
      <c r="AK1366" s="61"/>
      <c r="AL1366" s="61"/>
      <c r="AM1366" s="61"/>
      <c r="AN1366" s="37"/>
      <c r="AO1366" s="62"/>
      <c r="AP1366" s="62"/>
      <c r="AQ1366" s="62"/>
      <c r="AR1366" s="62"/>
    </row>
    <row r="1367" spans="25:44" x14ac:dyDescent="0.15">
      <c r="Y1367" s="8"/>
      <c r="Z1367" s="61"/>
      <c r="AA1367" s="61"/>
      <c r="AB1367" s="61"/>
      <c r="AC1367" s="61"/>
      <c r="AD1367" s="37"/>
      <c r="AE1367" s="62"/>
      <c r="AF1367" s="62"/>
      <c r="AG1367" s="62"/>
      <c r="AH1367" s="62"/>
      <c r="AI1367" s="37"/>
      <c r="AJ1367" s="61"/>
      <c r="AK1367" s="61"/>
      <c r="AL1367" s="61"/>
      <c r="AM1367" s="61"/>
      <c r="AN1367" s="37"/>
      <c r="AO1367" s="62"/>
      <c r="AP1367" s="62"/>
      <c r="AQ1367" s="62"/>
      <c r="AR1367" s="62"/>
    </row>
    <row r="1368" spans="25:44" x14ac:dyDescent="0.15">
      <c r="Y1368" s="8"/>
      <c r="Z1368" s="61"/>
      <c r="AA1368" s="61"/>
      <c r="AB1368" s="61"/>
      <c r="AC1368" s="61"/>
      <c r="AD1368" s="37"/>
      <c r="AE1368" s="62"/>
      <c r="AF1368" s="62"/>
      <c r="AG1368" s="62"/>
      <c r="AH1368" s="62"/>
      <c r="AI1368" s="37"/>
      <c r="AJ1368" s="61"/>
      <c r="AK1368" s="61"/>
      <c r="AL1368" s="61"/>
      <c r="AM1368" s="61"/>
      <c r="AN1368" s="37"/>
      <c r="AO1368" s="62"/>
      <c r="AP1368" s="62"/>
      <c r="AQ1368" s="62"/>
      <c r="AR1368" s="62"/>
    </row>
    <row r="1369" spans="25:44" x14ac:dyDescent="0.15">
      <c r="Y1369" s="8"/>
      <c r="Z1369" s="61"/>
      <c r="AA1369" s="61"/>
      <c r="AB1369" s="61"/>
      <c r="AC1369" s="61"/>
      <c r="AD1369" s="37"/>
      <c r="AE1369" s="62"/>
      <c r="AF1369" s="62"/>
      <c r="AG1369" s="62"/>
      <c r="AH1369" s="62"/>
      <c r="AI1369" s="37"/>
      <c r="AJ1369" s="61"/>
      <c r="AK1369" s="61"/>
      <c r="AL1369" s="61"/>
      <c r="AM1369" s="61"/>
      <c r="AN1369" s="37"/>
      <c r="AO1369" s="62"/>
      <c r="AP1369" s="62"/>
      <c r="AQ1369" s="62"/>
      <c r="AR1369" s="62"/>
    </row>
    <row r="1370" spans="25:44" x14ac:dyDescent="0.15">
      <c r="Y1370" s="8"/>
      <c r="Z1370" s="61"/>
      <c r="AA1370" s="61"/>
      <c r="AB1370" s="61"/>
      <c r="AC1370" s="61"/>
      <c r="AD1370" s="37"/>
      <c r="AE1370" s="62"/>
      <c r="AF1370" s="62"/>
      <c r="AG1370" s="62"/>
      <c r="AH1370" s="62"/>
      <c r="AI1370" s="37"/>
      <c r="AJ1370" s="61"/>
      <c r="AK1370" s="61"/>
      <c r="AL1370" s="61"/>
      <c r="AM1370" s="61"/>
      <c r="AN1370" s="37"/>
      <c r="AO1370" s="62"/>
      <c r="AP1370" s="62"/>
      <c r="AQ1370" s="62"/>
      <c r="AR1370" s="62"/>
    </row>
    <row r="1371" spans="25:44" x14ac:dyDescent="0.15">
      <c r="Y1371" s="8"/>
      <c r="Z1371" s="61"/>
      <c r="AA1371" s="61"/>
      <c r="AB1371" s="61"/>
      <c r="AC1371" s="61"/>
      <c r="AD1371" s="37"/>
      <c r="AE1371" s="62"/>
      <c r="AF1371" s="62"/>
      <c r="AG1371" s="62"/>
      <c r="AH1371" s="62"/>
      <c r="AI1371" s="37"/>
      <c r="AJ1371" s="61"/>
      <c r="AK1371" s="61"/>
      <c r="AL1371" s="61"/>
      <c r="AM1371" s="61"/>
      <c r="AN1371" s="37"/>
      <c r="AO1371" s="62"/>
      <c r="AP1371" s="62"/>
      <c r="AQ1371" s="62"/>
      <c r="AR1371" s="62"/>
    </row>
    <row r="1372" spans="25:44" x14ac:dyDescent="0.15">
      <c r="Y1372" s="8"/>
      <c r="Z1372" s="61"/>
      <c r="AA1372" s="61"/>
      <c r="AB1372" s="61"/>
      <c r="AC1372" s="61"/>
      <c r="AD1372" s="37"/>
      <c r="AE1372" s="62"/>
      <c r="AF1372" s="62"/>
      <c r="AG1372" s="62"/>
      <c r="AH1372" s="62"/>
      <c r="AI1372" s="37"/>
      <c r="AJ1372" s="61"/>
      <c r="AK1372" s="61"/>
      <c r="AL1372" s="61"/>
      <c r="AM1372" s="61"/>
      <c r="AN1372" s="37"/>
      <c r="AO1372" s="62"/>
      <c r="AP1372" s="62"/>
      <c r="AQ1372" s="62"/>
      <c r="AR1372" s="62"/>
    </row>
    <row r="1373" spans="25:44" x14ac:dyDescent="0.15">
      <c r="Y1373" s="8"/>
      <c r="Z1373" s="61"/>
      <c r="AA1373" s="61"/>
      <c r="AB1373" s="61"/>
      <c r="AC1373" s="61"/>
      <c r="AD1373" s="37"/>
      <c r="AE1373" s="62"/>
      <c r="AF1373" s="62"/>
      <c r="AG1373" s="62"/>
      <c r="AH1373" s="62"/>
      <c r="AI1373" s="37"/>
      <c r="AJ1373" s="61"/>
      <c r="AK1373" s="61"/>
      <c r="AL1373" s="61"/>
      <c r="AM1373" s="61"/>
      <c r="AN1373" s="37"/>
      <c r="AO1373" s="62"/>
      <c r="AP1373" s="62"/>
      <c r="AQ1373" s="62"/>
      <c r="AR1373" s="62"/>
    </row>
    <row r="1374" spans="25:44" x14ac:dyDescent="0.15">
      <c r="Y1374" s="8"/>
      <c r="Z1374" s="61"/>
      <c r="AA1374" s="61"/>
      <c r="AB1374" s="61"/>
      <c r="AC1374" s="61"/>
      <c r="AD1374" s="37"/>
      <c r="AE1374" s="62"/>
      <c r="AF1374" s="62"/>
      <c r="AG1374" s="62"/>
      <c r="AH1374" s="62"/>
      <c r="AI1374" s="37"/>
      <c r="AJ1374" s="61"/>
      <c r="AK1374" s="61"/>
      <c r="AL1374" s="61"/>
      <c r="AM1374" s="61"/>
      <c r="AN1374" s="37"/>
      <c r="AO1374" s="62"/>
      <c r="AP1374" s="62"/>
      <c r="AQ1374" s="62"/>
      <c r="AR1374" s="62"/>
    </row>
    <row r="1375" spans="25:44" x14ac:dyDescent="0.15">
      <c r="Y1375" s="8"/>
      <c r="Z1375" s="61"/>
      <c r="AA1375" s="61"/>
      <c r="AB1375" s="61"/>
      <c r="AC1375" s="61"/>
      <c r="AD1375" s="37"/>
      <c r="AE1375" s="62"/>
      <c r="AF1375" s="62"/>
      <c r="AG1375" s="62"/>
      <c r="AH1375" s="62"/>
      <c r="AI1375" s="37"/>
      <c r="AJ1375" s="61"/>
      <c r="AK1375" s="61"/>
      <c r="AL1375" s="61"/>
      <c r="AM1375" s="61"/>
      <c r="AN1375" s="37"/>
      <c r="AO1375" s="62"/>
      <c r="AP1375" s="62"/>
      <c r="AQ1375" s="62"/>
      <c r="AR1375" s="62"/>
    </row>
    <row r="1376" spans="25:44" x14ac:dyDescent="0.15">
      <c r="Y1376" s="8"/>
      <c r="Z1376" s="61"/>
      <c r="AA1376" s="61"/>
      <c r="AB1376" s="61"/>
      <c r="AC1376" s="61"/>
      <c r="AD1376" s="37"/>
      <c r="AE1376" s="62"/>
      <c r="AF1376" s="62"/>
      <c r="AG1376" s="62"/>
      <c r="AH1376" s="62"/>
      <c r="AI1376" s="37"/>
      <c r="AJ1376" s="61"/>
      <c r="AK1376" s="61"/>
      <c r="AL1376" s="61"/>
      <c r="AM1376" s="61"/>
      <c r="AN1376" s="37"/>
      <c r="AO1376" s="62"/>
      <c r="AP1376" s="62"/>
      <c r="AQ1376" s="62"/>
      <c r="AR1376" s="62"/>
    </row>
    <row r="1377" spans="25:44" x14ac:dyDescent="0.15">
      <c r="Y1377" s="8"/>
      <c r="Z1377" s="61"/>
      <c r="AA1377" s="61"/>
      <c r="AB1377" s="61"/>
      <c r="AC1377" s="61"/>
      <c r="AD1377" s="37"/>
      <c r="AE1377" s="62"/>
      <c r="AF1377" s="62"/>
      <c r="AG1377" s="62"/>
      <c r="AH1377" s="62"/>
      <c r="AI1377" s="37"/>
      <c r="AJ1377" s="61"/>
      <c r="AK1377" s="61"/>
      <c r="AL1377" s="61"/>
      <c r="AM1377" s="61"/>
      <c r="AN1377" s="37"/>
      <c r="AO1377" s="62"/>
      <c r="AP1377" s="62"/>
      <c r="AQ1377" s="62"/>
      <c r="AR1377" s="62"/>
    </row>
    <row r="1378" spans="25:44" x14ac:dyDescent="0.15">
      <c r="Y1378" s="8"/>
      <c r="Z1378" s="61"/>
      <c r="AA1378" s="61"/>
      <c r="AB1378" s="61"/>
      <c r="AC1378" s="61"/>
      <c r="AD1378" s="37"/>
      <c r="AE1378" s="62"/>
      <c r="AF1378" s="62"/>
      <c r="AG1378" s="62"/>
      <c r="AH1378" s="62"/>
      <c r="AI1378" s="37"/>
      <c r="AJ1378" s="61"/>
      <c r="AK1378" s="61"/>
      <c r="AL1378" s="61"/>
      <c r="AM1378" s="61"/>
      <c r="AN1378" s="37"/>
      <c r="AO1378" s="62"/>
      <c r="AP1378" s="62"/>
      <c r="AQ1378" s="62"/>
      <c r="AR1378" s="62"/>
    </row>
    <row r="1379" spans="25:44" x14ac:dyDescent="0.15">
      <c r="Y1379" s="8"/>
      <c r="Z1379" s="61"/>
      <c r="AA1379" s="61"/>
      <c r="AB1379" s="61"/>
      <c r="AC1379" s="61"/>
      <c r="AD1379" s="37"/>
      <c r="AE1379" s="62"/>
      <c r="AF1379" s="62"/>
      <c r="AG1379" s="62"/>
      <c r="AH1379" s="62"/>
      <c r="AI1379" s="37"/>
      <c r="AJ1379" s="61"/>
      <c r="AK1379" s="61"/>
      <c r="AL1379" s="61"/>
      <c r="AM1379" s="61"/>
      <c r="AN1379" s="37"/>
      <c r="AO1379" s="62"/>
      <c r="AP1379" s="62"/>
      <c r="AQ1379" s="62"/>
      <c r="AR1379" s="62"/>
    </row>
    <row r="1380" spans="25:44" x14ac:dyDescent="0.15">
      <c r="Y1380" s="8"/>
      <c r="Z1380" s="61"/>
      <c r="AA1380" s="61"/>
      <c r="AB1380" s="61"/>
      <c r="AC1380" s="61"/>
      <c r="AD1380" s="37"/>
      <c r="AE1380" s="62"/>
      <c r="AF1380" s="62"/>
      <c r="AG1380" s="62"/>
      <c r="AH1380" s="62"/>
      <c r="AI1380" s="37"/>
      <c r="AJ1380" s="61"/>
      <c r="AK1380" s="61"/>
      <c r="AL1380" s="61"/>
      <c r="AM1380" s="61"/>
      <c r="AN1380" s="37"/>
      <c r="AO1380" s="62"/>
      <c r="AP1380" s="62"/>
      <c r="AQ1380" s="62"/>
      <c r="AR1380" s="62"/>
    </row>
    <row r="1381" spans="25:44" x14ac:dyDescent="0.15">
      <c r="Y1381" s="8"/>
      <c r="Z1381" s="61"/>
      <c r="AA1381" s="61"/>
      <c r="AB1381" s="61"/>
      <c r="AC1381" s="61"/>
      <c r="AD1381" s="37"/>
      <c r="AE1381" s="62"/>
      <c r="AF1381" s="62"/>
      <c r="AG1381" s="62"/>
      <c r="AH1381" s="62"/>
      <c r="AI1381" s="37"/>
      <c r="AJ1381" s="61"/>
      <c r="AK1381" s="61"/>
      <c r="AL1381" s="61"/>
      <c r="AM1381" s="61"/>
      <c r="AN1381" s="37"/>
      <c r="AO1381" s="62"/>
      <c r="AP1381" s="62"/>
      <c r="AQ1381" s="62"/>
      <c r="AR1381" s="62"/>
    </row>
    <row r="1382" spans="25:44" x14ac:dyDescent="0.15">
      <c r="Y1382" s="8"/>
      <c r="Z1382" s="61"/>
      <c r="AA1382" s="61"/>
      <c r="AB1382" s="61"/>
      <c r="AC1382" s="61"/>
      <c r="AD1382" s="37"/>
      <c r="AE1382" s="62"/>
      <c r="AF1382" s="62"/>
      <c r="AG1382" s="62"/>
      <c r="AH1382" s="62"/>
      <c r="AI1382" s="37"/>
      <c r="AJ1382" s="61"/>
      <c r="AK1382" s="61"/>
      <c r="AL1382" s="61"/>
      <c r="AM1382" s="61"/>
      <c r="AN1382" s="37"/>
      <c r="AO1382" s="62"/>
      <c r="AP1382" s="62"/>
      <c r="AQ1382" s="62"/>
      <c r="AR1382" s="62"/>
    </row>
    <row r="1383" spans="25:44" x14ac:dyDescent="0.15">
      <c r="Y1383" s="8"/>
      <c r="Z1383" s="61"/>
      <c r="AA1383" s="61"/>
      <c r="AB1383" s="61"/>
      <c r="AC1383" s="61"/>
      <c r="AD1383" s="37"/>
      <c r="AE1383" s="62"/>
      <c r="AF1383" s="62"/>
      <c r="AG1383" s="62"/>
      <c r="AH1383" s="62"/>
      <c r="AI1383" s="37"/>
      <c r="AJ1383" s="61"/>
      <c r="AK1383" s="61"/>
      <c r="AL1383" s="61"/>
      <c r="AM1383" s="61"/>
      <c r="AN1383" s="37"/>
      <c r="AO1383" s="62"/>
      <c r="AP1383" s="62"/>
      <c r="AQ1383" s="62"/>
      <c r="AR1383" s="62"/>
    </row>
    <row r="1384" spans="25:44" x14ac:dyDescent="0.15">
      <c r="Y1384" s="8"/>
      <c r="Z1384" s="61"/>
      <c r="AA1384" s="61"/>
      <c r="AB1384" s="61"/>
      <c r="AC1384" s="61"/>
      <c r="AD1384" s="37"/>
      <c r="AE1384" s="62"/>
      <c r="AF1384" s="62"/>
      <c r="AG1384" s="62"/>
      <c r="AH1384" s="62"/>
      <c r="AI1384" s="37"/>
      <c r="AJ1384" s="61"/>
      <c r="AK1384" s="61"/>
      <c r="AL1384" s="61"/>
      <c r="AM1384" s="61"/>
      <c r="AN1384" s="37"/>
      <c r="AO1384" s="62"/>
      <c r="AP1384" s="62"/>
      <c r="AQ1384" s="62"/>
      <c r="AR1384" s="62"/>
    </row>
    <row r="1385" spans="25:44" x14ac:dyDescent="0.15">
      <c r="Y1385" s="8"/>
      <c r="Z1385" s="61"/>
      <c r="AA1385" s="61"/>
      <c r="AB1385" s="61"/>
      <c r="AC1385" s="61"/>
      <c r="AD1385" s="37"/>
      <c r="AE1385" s="62"/>
      <c r="AF1385" s="62"/>
      <c r="AG1385" s="62"/>
      <c r="AH1385" s="62"/>
      <c r="AI1385" s="37"/>
      <c r="AJ1385" s="61"/>
      <c r="AK1385" s="61"/>
      <c r="AL1385" s="61"/>
      <c r="AM1385" s="61"/>
      <c r="AN1385" s="37"/>
      <c r="AO1385" s="62"/>
      <c r="AP1385" s="62"/>
      <c r="AQ1385" s="62"/>
      <c r="AR1385" s="62"/>
    </row>
    <row r="1386" spans="25:44" x14ac:dyDescent="0.15">
      <c r="Y1386" s="8"/>
      <c r="Z1386" s="61"/>
      <c r="AA1386" s="61"/>
      <c r="AB1386" s="61"/>
      <c r="AC1386" s="61"/>
      <c r="AD1386" s="37"/>
      <c r="AE1386" s="62"/>
      <c r="AF1386" s="62"/>
      <c r="AG1386" s="62"/>
      <c r="AH1386" s="62"/>
      <c r="AI1386" s="37"/>
      <c r="AJ1386" s="61"/>
      <c r="AK1386" s="61"/>
      <c r="AL1386" s="61"/>
      <c r="AM1386" s="61"/>
      <c r="AN1386" s="37"/>
      <c r="AO1386" s="62"/>
      <c r="AP1386" s="62"/>
      <c r="AQ1386" s="62"/>
      <c r="AR1386" s="62"/>
    </row>
    <row r="1387" spans="25:44" x14ac:dyDescent="0.15">
      <c r="Y1387" s="8"/>
      <c r="Z1387" s="61"/>
      <c r="AA1387" s="61"/>
      <c r="AB1387" s="61"/>
      <c r="AC1387" s="61"/>
      <c r="AD1387" s="37"/>
      <c r="AE1387" s="62"/>
      <c r="AF1387" s="62"/>
      <c r="AG1387" s="62"/>
      <c r="AH1387" s="62"/>
      <c r="AI1387" s="37"/>
      <c r="AJ1387" s="61"/>
      <c r="AK1387" s="61"/>
      <c r="AL1387" s="61"/>
      <c r="AM1387" s="61"/>
      <c r="AN1387" s="37"/>
      <c r="AO1387" s="62"/>
      <c r="AP1387" s="62"/>
      <c r="AQ1387" s="62"/>
      <c r="AR1387" s="62"/>
    </row>
    <row r="1388" spans="25:44" x14ac:dyDescent="0.15">
      <c r="Y1388" s="8"/>
      <c r="Z1388" s="61"/>
      <c r="AA1388" s="61"/>
      <c r="AB1388" s="61"/>
      <c r="AC1388" s="61"/>
      <c r="AD1388" s="37"/>
      <c r="AE1388" s="62"/>
      <c r="AF1388" s="62"/>
      <c r="AG1388" s="62"/>
      <c r="AH1388" s="62"/>
      <c r="AI1388" s="37"/>
      <c r="AJ1388" s="61"/>
      <c r="AK1388" s="61"/>
      <c r="AL1388" s="61"/>
      <c r="AM1388" s="61"/>
      <c r="AN1388" s="37"/>
      <c r="AO1388" s="62"/>
      <c r="AP1388" s="62"/>
      <c r="AQ1388" s="62"/>
      <c r="AR1388" s="62"/>
    </row>
    <row r="1389" spans="25:44" x14ac:dyDescent="0.15">
      <c r="Y1389" s="8"/>
      <c r="Z1389" s="61"/>
      <c r="AA1389" s="61"/>
      <c r="AB1389" s="61"/>
      <c r="AC1389" s="61"/>
      <c r="AD1389" s="37"/>
      <c r="AE1389" s="62"/>
      <c r="AF1389" s="62"/>
      <c r="AG1389" s="62"/>
      <c r="AH1389" s="62"/>
      <c r="AI1389" s="37"/>
      <c r="AJ1389" s="61"/>
      <c r="AK1389" s="61"/>
      <c r="AL1389" s="61"/>
      <c r="AM1389" s="61"/>
      <c r="AN1389" s="37"/>
      <c r="AO1389" s="62"/>
      <c r="AP1389" s="62"/>
      <c r="AQ1389" s="62"/>
      <c r="AR1389" s="62"/>
    </row>
    <row r="1390" spans="25:44" x14ac:dyDescent="0.15">
      <c r="Y1390" s="8"/>
      <c r="Z1390" s="61"/>
      <c r="AA1390" s="61"/>
      <c r="AB1390" s="61"/>
      <c r="AC1390" s="61"/>
      <c r="AD1390" s="37"/>
      <c r="AE1390" s="62"/>
      <c r="AF1390" s="62"/>
      <c r="AG1390" s="62"/>
      <c r="AH1390" s="62"/>
      <c r="AI1390" s="37"/>
      <c r="AJ1390" s="61"/>
      <c r="AK1390" s="61"/>
      <c r="AL1390" s="61"/>
      <c r="AM1390" s="61"/>
      <c r="AN1390" s="37"/>
      <c r="AO1390" s="62"/>
      <c r="AP1390" s="62"/>
      <c r="AQ1390" s="62"/>
      <c r="AR1390" s="62"/>
    </row>
    <row r="1391" spans="25:44" x14ac:dyDescent="0.15">
      <c r="Y1391" s="8"/>
      <c r="Z1391" s="61"/>
      <c r="AA1391" s="61"/>
      <c r="AB1391" s="61"/>
      <c r="AC1391" s="61"/>
      <c r="AD1391" s="37"/>
      <c r="AE1391" s="62"/>
      <c r="AF1391" s="62"/>
      <c r="AG1391" s="62"/>
      <c r="AH1391" s="62"/>
      <c r="AI1391" s="37"/>
      <c r="AJ1391" s="61"/>
      <c r="AK1391" s="61"/>
      <c r="AL1391" s="61"/>
      <c r="AM1391" s="61"/>
      <c r="AN1391" s="37"/>
      <c r="AO1391" s="62"/>
      <c r="AP1391" s="62"/>
      <c r="AQ1391" s="62"/>
      <c r="AR1391" s="62"/>
    </row>
    <row r="1392" spans="25:44" x14ac:dyDescent="0.15">
      <c r="Y1392" s="8"/>
      <c r="Z1392" s="61"/>
      <c r="AA1392" s="61"/>
      <c r="AB1392" s="61"/>
      <c r="AC1392" s="61"/>
      <c r="AD1392" s="37"/>
      <c r="AE1392" s="62"/>
      <c r="AF1392" s="62"/>
      <c r="AG1392" s="62"/>
      <c r="AH1392" s="62"/>
      <c r="AI1392" s="37"/>
      <c r="AJ1392" s="61"/>
      <c r="AK1392" s="61"/>
      <c r="AL1392" s="61"/>
      <c r="AM1392" s="61"/>
      <c r="AN1392" s="37"/>
      <c r="AO1392" s="62"/>
      <c r="AP1392" s="62"/>
      <c r="AQ1392" s="62"/>
      <c r="AR1392" s="62"/>
    </row>
    <row r="1393" spans="25:44" x14ac:dyDescent="0.15">
      <c r="Y1393" s="8"/>
      <c r="Z1393" s="61"/>
      <c r="AA1393" s="61"/>
      <c r="AB1393" s="61"/>
      <c r="AC1393" s="61"/>
      <c r="AD1393" s="37"/>
      <c r="AE1393" s="62"/>
      <c r="AF1393" s="62"/>
      <c r="AG1393" s="62"/>
      <c r="AH1393" s="62"/>
      <c r="AI1393" s="37"/>
      <c r="AJ1393" s="61"/>
      <c r="AK1393" s="61"/>
      <c r="AL1393" s="61"/>
      <c r="AM1393" s="61"/>
      <c r="AN1393" s="37"/>
      <c r="AO1393" s="62"/>
      <c r="AP1393" s="62"/>
      <c r="AQ1393" s="62"/>
      <c r="AR1393" s="62"/>
    </row>
    <row r="1394" spans="25:44" x14ac:dyDescent="0.15">
      <c r="Y1394" s="8"/>
      <c r="Z1394" s="61"/>
      <c r="AA1394" s="61"/>
      <c r="AB1394" s="61"/>
      <c r="AC1394" s="61"/>
      <c r="AD1394" s="37"/>
      <c r="AE1394" s="62"/>
      <c r="AF1394" s="62"/>
      <c r="AG1394" s="62"/>
      <c r="AH1394" s="62"/>
      <c r="AI1394" s="37"/>
      <c r="AJ1394" s="61"/>
      <c r="AK1394" s="61"/>
      <c r="AL1394" s="61"/>
      <c r="AM1394" s="61"/>
      <c r="AN1394" s="37"/>
      <c r="AO1394" s="62"/>
      <c r="AP1394" s="62"/>
      <c r="AQ1394" s="62"/>
      <c r="AR1394" s="62"/>
    </row>
    <row r="1395" spans="25:44" x14ac:dyDescent="0.15">
      <c r="Y1395" s="8"/>
      <c r="Z1395" s="61"/>
      <c r="AA1395" s="61"/>
      <c r="AB1395" s="61"/>
      <c r="AC1395" s="61"/>
      <c r="AD1395" s="37"/>
      <c r="AE1395" s="62"/>
      <c r="AF1395" s="62"/>
      <c r="AG1395" s="62"/>
      <c r="AH1395" s="62"/>
      <c r="AI1395" s="37"/>
      <c r="AJ1395" s="61"/>
      <c r="AK1395" s="61"/>
      <c r="AL1395" s="61"/>
      <c r="AM1395" s="61"/>
      <c r="AN1395" s="37"/>
      <c r="AO1395" s="62"/>
      <c r="AP1395" s="62"/>
      <c r="AQ1395" s="62"/>
      <c r="AR1395" s="62"/>
    </row>
    <row r="1396" spans="25:44" x14ac:dyDescent="0.15">
      <c r="Y1396" s="8"/>
      <c r="Z1396" s="61"/>
      <c r="AA1396" s="61"/>
      <c r="AB1396" s="61"/>
      <c r="AC1396" s="61"/>
      <c r="AD1396" s="37"/>
      <c r="AE1396" s="62"/>
      <c r="AF1396" s="62"/>
      <c r="AG1396" s="62"/>
      <c r="AH1396" s="62"/>
      <c r="AI1396" s="37"/>
      <c r="AJ1396" s="61"/>
      <c r="AK1396" s="61"/>
      <c r="AL1396" s="61"/>
      <c r="AM1396" s="61"/>
      <c r="AN1396" s="37"/>
      <c r="AO1396" s="62"/>
      <c r="AP1396" s="62"/>
      <c r="AQ1396" s="62"/>
      <c r="AR1396" s="62"/>
    </row>
    <row r="1397" spans="25:44" x14ac:dyDescent="0.15">
      <c r="Y1397" s="8"/>
      <c r="Z1397" s="61"/>
      <c r="AA1397" s="61"/>
      <c r="AB1397" s="61"/>
      <c r="AC1397" s="61"/>
      <c r="AD1397" s="37"/>
      <c r="AE1397" s="62"/>
      <c r="AF1397" s="62"/>
      <c r="AG1397" s="62"/>
      <c r="AH1397" s="62"/>
      <c r="AI1397" s="37"/>
      <c r="AJ1397" s="61"/>
      <c r="AK1397" s="61"/>
      <c r="AL1397" s="61"/>
      <c r="AM1397" s="61"/>
      <c r="AN1397" s="37"/>
      <c r="AO1397" s="62"/>
      <c r="AP1397" s="62"/>
      <c r="AQ1397" s="62"/>
      <c r="AR1397" s="62"/>
    </row>
    <row r="1398" spans="25:44" x14ac:dyDescent="0.15">
      <c r="Y1398" s="8"/>
      <c r="Z1398" s="61"/>
      <c r="AA1398" s="61"/>
      <c r="AB1398" s="61"/>
      <c r="AC1398" s="61"/>
      <c r="AD1398" s="37"/>
      <c r="AE1398" s="62"/>
      <c r="AF1398" s="62"/>
      <c r="AG1398" s="62"/>
      <c r="AH1398" s="62"/>
      <c r="AI1398" s="37"/>
      <c r="AJ1398" s="61"/>
      <c r="AK1398" s="61"/>
      <c r="AL1398" s="61"/>
      <c r="AM1398" s="61"/>
      <c r="AN1398" s="37"/>
      <c r="AO1398" s="62"/>
      <c r="AP1398" s="62"/>
      <c r="AQ1398" s="62"/>
      <c r="AR1398" s="62"/>
    </row>
    <row r="1399" spans="25:44" x14ac:dyDescent="0.15">
      <c r="Y1399" s="8"/>
      <c r="Z1399" s="61"/>
      <c r="AA1399" s="61"/>
      <c r="AB1399" s="61"/>
      <c r="AC1399" s="61"/>
      <c r="AD1399" s="37"/>
      <c r="AE1399" s="62"/>
      <c r="AF1399" s="62"/>
      <c r="AG1399" s="62"/>
      <c r="AH1399" s="62"/>
      <c r="AI1399" s="37"/>
      <c r="AJ1399" s="61"/>
      <c r="AK1399" s="61"/>
      <c r="AL1399" s="61"/>
      <c r="AM1399" s="61"/>
      <c r="AN1399" s="37"/>
      <c r="AO1399" s="62"/>
      <c r="AP1399" s="62"/>
      <c r="AQ1399" s="62"/>
      <c r="AR1399" s="62"/>
    </row>
    <row r="1400" spans="25:44" x14ac:dyDescent="0.15">
      <c r="Y1400" s="8"/>
      <c r="Z1400" s="61"/>
      <c r="AA1400" s="61"/>
      <c r="AB1400" s="61"/>
      <c r="AC1400" s="61"/>
      <c r="AD1400" s="37"/>
      <c r="AE1400" s="62"/>
      <c r="AF1400" s="62"/>
      <c r="AG1400" s="62"/>
      <c r="AH1400" s="62"/>
      <c r="AI1400" s="37"/>
      <c r="AJ1400" s="61"/>
      <c r="AK1400" s="61"/>
      <c r="AL1400" s="61"/>
      <c r="AM1400" s="61"/>
      <c r="AN1400" s="37"/>
      <c r="AO1400" s="62"/>
      <c r="AP1400" s="62"/>
      <c r="AQ1400" s="62"/>
      <c r="AR1400" s="62"/>
    </row>
    <row r="1401" spans="25:44" x14ac:dyDescent="0.15">
      <c r="Y1401" s="8"/>
      <c r="Z1401" s="61"/>
      <c r="AA1401" s="61"/>
      <c r="AB1401" s="61"/>
      <c r="AC1401" s="61"/>
      <c r="AD1401" s="37"/>
      <c r="AE1401" s="62"/>
      <c r="AF1401" s="62"/>
      <c r="AG1401" s="62"/>
      <c r="AH1401" s="62"/>
      <c r="AI1401" s="37"/>
      <c r="AJ1401" s="61"/>
      <c r="AK1401" s="61"/>
      <c r="AL1401" s="61"/>
      <c r="AM1401" s="61"/>
      <c r="AN1401" s="37"/>
      <c r="AO1401" s="62"/>
      <c r="AP1401" s="62"/>
      <c r="AQ1401" s="62"/>
      <c r="AR1401" s="62"/>
    </row>
    <row r="1402" spans="25:44" x14ac:dyDescent="0.15">
      <c r="Y1402" s="8"/>
      <c r="Z1402" s="61"/>
      <c r="AA1402" s="61"/>
      <c r="AB1402" s="61"/>
      <c r="AC1402" s="61"/>
      <c r="AD1402" s="37"/>
      <c r="AE1402" s="62"/>
      <c r="AF1402" s="62"/>
      <c r="AG1402" s="62"/>
      <c r="AH1402" s="62"/>
      <c r="AI1402" s="37"/>
      <c r="AJ1402" s="61"/>
      <c r="AK1402" s="61"/>
      <c r="AL1402" s="61"/>
      <c r="AM1402" s="61"/>
      <c r="AN1402" s="37"/>
      <c r="AO1402" s="62"/>
      <c r="AP1402" s="62"/>
      <c r="AQ1402" s="62"/>
      <c r="AR1402" s="62"/>
    </row>
    <row r="1403" spans="25:44" x14ac:dyDescent="0.15">
      <c r="Y1403" s="8"/>
      <c r="Z1403" s="61"/>
      <c r="AA1403" s="61"/>
      <c r="AB1403" s="61"/>
      <c r="AC1403" s="61"/>
      <c r="AD1403" s="37"/>
      <c r="AE1403" s="62"/>
      <c r="AF1403" s="62"/>
      <c r="AG1403" s="62"/>
      <c r="AH1403" s="62"/>
      <c r="AI1403" s="37"/>
      <c r="AJ1403" s="61"/>
      <c r="AK1403" s="61"/>
      <c r="AL1403" s="61"/>
      <c r="AM1403" s="61"/>
      <c r="AN1403" s="37"/>
      <c r="AO1403" s="62"/>
      <c r="AP1403" s="62"/>
      <c r="AQ1403" s="62"/>
      <c r="AR1403" s="62"/>
    </row>
    <row r="1404" spans="25:44" x14ac:dyDescent="0.15">
      <c r="Y1404" s="8"/>
      <c r="Z1404" s="61"/>
      <c r="AA1404" s="61"/>
      <c r="AB1404" s="61"/>
      <c r="AC1404" s="61"/>
      <c r="AD1404" s="37"/>
      <c r="AE1404" s="62"/>
      <c r="AF1404" s="62"/>
      <c r="AG1404" s="62"/>
      <c r="AH1404" s="62"/>
      <c r="AI1404" s="37"/>
      <c r="AJ1404" s="61"/>
      <c r="AK1404" s="61"/>
      <c r="AL1404" s="61"/>
      <c r="AM1404" s="61"/>
      <c r="AN1404" s="37"/>
      <c r="AO1404" s="62"/>
      <c r="AP1404" s="62"/>
      <c r="AQ1404" s="62"/>
      <c r="AR1404" s="62"/>
    </row>
    <row r="1405" spans="25:44" x14ac:dyDescent="0.15">
      <c r="Y1405" s="8"/>
      <c r="Z1405" s="61"/>
      <c r="AA1405" s="61"/>
      <c r="AB1405" s="61"/>
      <c r="AC1405" s="61"/>
      <c r="AD1405" s="37"/>
      <c r="AE1405" s="62"/>
      <c r="AF1405" s="62"/>
      <c r="AG1405" s="62"/>
      <c r="AH1405" s="62"/>
      <c r="AI1405" s="37"/>
      <c r="AJ1405" s="61"/>
      <c r="AK1405" s="61"/>
      <c r="AL1405" s="61"/>
      <c r="AM1405" s="61"/>
      <c r="AN1405" s="37"/>
      <c r="AO1405" s="62"/>
      <c r="AP1405" s="62"/>
      <c r="AQ1405" s="62"/>
      <c r="AR1405" s="62"/>
    </row>
    <row r="1406" spans="25:44" x14ac:dyDescent="0.15">
      <c r="Y1406" s="8"/>
      <c r="Z1406" s="61"/>
      <c r="AA1406" s="61"/>
      <c r="AB1406" s="61"/>
      <c r="AC1406" s="61"/>
      <c r="AD1406" s="37"/>
      <c r="AE1406" s="62"/>
      <c r="AF1406" s="62"/>
      <c r="AG1406" s="62"/>
      <c r="AH1406" s="62"/>
      <c r="AI1406" s="37"/>
      <c r="AJ1406" s="61"/>
      <c r="AK1406" s="61"/>
      <c r="AL1406" s="61"/>
      <c r="AM1406" s="61"/>
      <c r="AN1406" s="37"/>
      <c r="AO1406" s="62"/>
      <c r="AP1406" s="62"/>
      <c r="AQ1406" s="62"/>
      <c r="AR1406" s="62"/>
    </row>
    <row r="1407" spans="25:44" x14ac:dyDescent="0.15">
      <c r="Y1407" s="8"/>
      <c r="Z1407" s="61"/>
      <c r="AA1407" s="61"/>
      <c r="AB1407" s="61"/>
      <c r="AC1407" s="61"/>
      <c r="AD1407" s="37"/>
      <c r="AE1407" s="62"/>
      <c r="AF1407" s="62"/>
      <c r="AG1407" s="62"/>
      <c r="AH1407" s="62"/>
      <c r="AI1407" s="37"/>
      <c r="AJ1407" s="61"/>
      <c r="AK1407" s="61"/>
      <c r="AL1407" s="61"/>
      <c r="AM1407" s="61"/>
      <c r="AN1407" s="37"/>
      <c r="AO1407" s="62"/>
      <c r="AP1407" s="62"/>
      <c r="AQ1407" s="62"/>
      <c r="AR1407" s="62"/>
    </row>
    <row r="1408" spans="25:44" x14ac:dyDescent="0.15">
      <c r="Y1408" s="8"/>
      <c r="Z1408" s="61"/>
      <c r="AA1408" s="61"/>
      <c r="AB1408" s="61"/>
      <c r="AC1408" s="61"/>
      <c r="AD1408" s="37"/>
      <c r="AE1408" s="62"/>
      <c r="AF1408" s="62"/>
      <c r="AG1408" s="62"/>
      <c r="AH1408" s="62"/>
      <c r="AI1408" s="37"/>
      <c r="AJ1408" s="61"/>
      <c r="AK1408" s="61"/>
      <c r="AL1408" s="61"/>
      <c r="AM1408" s="61"/>
      <c r="AN1408" s="37"/>
      <c r="AO1408" s="62"/>
      <c r="AP1408" s="62"/>
      <c r="AQ1408" s="62"/>
      <c r="AR1408" s="62"/>
    </row>
    <row r="1409" spans="25:44" x14ac:dyDescent="0.15">
      <c r="Y1409" s="8"/>
      <c r="Z1409" s="61"/>
      <c r="AA1409" s="61"/>
      <c r="AB1409" s="61"/>
      <c r="AC1409" s="61"/>
      <c r="AD1409" s="37"/>
      <c r="AE1409" s="62"/>
      <c r="AF1409" s="62"/>
      <c r="AG1409" s="62"/>
      <c r="AH1409" s="62"/>
      <c r="AI1409" s="37"/>
      <c r="AJ1409" s="61"/>
      <c r="AK1409" s="61"/>
      <c r="AL1409" s="61"/>
      <c r="AM1409" s="61"/>
      <c r="AN1409" s="37"/>
      <c r="AO1409" s="62"/>
      <c r="AP1409" s="62"/>
      <c r="AQ1409" s="62"/>
      <c r="AR1409" s="62"/>
    </row>
    <row r="1410" spans="25:44" x14ac:dyDescent="0.15">
      <c r="Y1410" s="8"/>
      <c r="Z1410" s="61"/>
      <c r="AA1410" s="61"/>
      <c r="AB1410" s="61"/>
      <c r="AC1410" s="61"/>
      <c r="AD1410" s="37"/>
      <c r="AE1410" s="62"/>
      <c r="AF1410" s="62"/>
      <c r="AG1410" s="62"/>
      <c r="AH1410" s="62"/>
      <c r="AI1410" s="37"/>
      <c r="AJ1410" s="61"/>
      <c r="AK1410" s="61"/>
      <c r="AL1410" s="61"/>
      <c r="AM1410" s="61"/>
      <c r="AN1410" s="37"/>
      <c r="AO1410" s="62"/>
      <c r="AP1410" s="62"/>
      <c r="AQ1410" s="62"/>
      <c r="AR1410" s="62"/>
    </row>
    <row r="1411" spans="25:44" x14ac:dyDescent="0.15">
      <c r="Y1411" s="8"/>
      <c r="Z1411" s="61"/>
      <c r="AA1411" s="61"/>
      <c r="AB1411" s="61"/>
      <c r="AC1411" s="61"/>
      <c r="AD1411" s="37"/>
      <c r="AE1411" s="62"/>
      <c r="AF1411" s="62"/>
      <c r="AG1411" s="62"/>
      <c r="AH1411" s="62"/>
      <c r="AI1411" s="37"/>
      <c r="AJ1411" s="61"/>
      <c r="AK1411" s="61"/>
      <c r="AL1411" s="61"/>
      <c r="AM1411" s="61"/>
      <c r="AN1411" s="37"/>
      <c r="AO1411" s="62"/>
      <c r="AP1411" s="62"/>
      <c r="AQ1411" s="62"/>
      <c r="AR1411" s="62"/>
    </row>
    <row r="1412" spans="25:44" x14ac:dyDescent="0.15">
      <c r="Y1412" s="8"/>
      <c r="Z1412" s="61"/>
      <c r="AA1412" s="61"/>
      <c r="AB1412" s="61"/>
      <c r="AC1412" s="61"/>
      <c r="AD1412" s="37"/>
      <c r="AE1412" s="62"/>
      <c r="AF1412" s="62"/>
      <c r="AG1412" s="62"/>
      <c r="AH1412" s="62"/>
      <c r="AI1412" s="37"/>
      <c r="AJ1412" s="61"/>
      <c r="AK1412" s="61"/>
      <c r="AL1412" s="61"/>
      <c r="AM1412" s="61"/>
      <c r="AN1412" s="37"/>
      <c r="AO1412" s="62"/>
      <c r="AP1412" s="62"/>
      <c r="AQ1412" s="62"/>
      <c r="AR1412" s="62"/>
    </row>
    <row r="1413" spans="25:44" x14ac:dyDescent="0.15">
      <c r="Y1413" s="8"/>
      <c r="Z1413" s="61"/>
      <c r="AA1413" s="61"/>
      <c r="AB1413" s="61"/>
      <c r="AC1413" s="61"/>
      <c r="AD1413" s="37"/>
      <c r="AE1413" s="62"/>
      <c r="AF1413" s="62"/>
      <c r="AG1413" s="62"/>
      <c r="AH1413" s="62"/>
      <c r="AI1413" s="37"/>
      <c r="AJ1413" s="61"/>
      <c r="AK1413" s="61"/>
      <c r="AL1413" s="61"/>
      <c r="AM1413" s="61"/>
      <c r="AN1413" s="37"/>
      <c r="AO1413" s="62"/>
      <c r="AP1413" s="62"/>
      <c r="AQ1413" s="62"/>
      <c r="AR1413" s="62"/>
    </row>
    <row r="1414" spans="25:44" x14ac:dyDescent="0.15">
      <c r="Y1414" s="8"/>
      <c r="Z1414" s="61"/>
      <c r="AA1414" s="61"/>
      <c r="AB1414" s="61"/>
      <c r="AC1414" s="61"/>
      <c r="AD1414" s="37"/>
      <c r="AE1414" s="62"/>
      <c r="AF1414" s="62"/>
      <c r="AG1414" s="62"/>
      <c r="AH1414" s="62"/>
      <c r="AI1414" s="37"/>
      <c r="AJ1414" s="61"/>
      <c r="AK1414" s="61"/>
      <c r="AL1414" s="61"/>
      <c r="AM1414" s="61"/>
      <c r="AN1414" s="37"/>
      <c r="AO1414" s="62"/>
      <c r="AP1414" s="62"/>
      <c r="AQ1414" s="62"/>
      <c r="AR1414" s="62"/>
    </row>
    <row r="1415" spans="25:44" x14ac:dyDescent="0.15">
      <c r="Y1415" s="8"/>
      <c r="Z1415" s="61"/>
      <c r="AA1415" s="61"/>
      <c r="AB1415" s="61"/>
      <c r="AC1415" s="61"/>
      <c r="AD1415" s="37"/>
      <c r="AE1415" s="62"/>
      <c r="AF1415" s="62"/>
      <c r="AG1415" s="62"/>
      <c r="AH1415" s="62"/>
      <c r="AI1415" s="37"/>
      <c r="AJ1415" s="61"/>
      <c r="AK1415" s="61"/>
      <c r="AL1415" s="61"/>
      <c r="AM1415" s="61"/>
      <c r="AN1415" s="37"/>
      <c r="AO1415" s="62"/>
      <c r="AP1415" s="62"/>
      <c r="AQ1415" s="62"/>
      <c r="AR1415" s="62"/>
    </row>
    <row r="1416" spans="25:44" x14ac:dyDescent="0.15">
      <c r="Y1416" s="8"/>
      <c r="Z1416" s="61"/>
      <c r="AA1416" s="61"/>
      <c r="AB1416" s="61"/>
      <c r="AC1416" s="61"/>
      <c r="AD1416" s="37"/>
      <c r="AE1416" s="62"/>
      <c r="AF1416" s="62"/>
      <c r="AG1416" s="62"/>
      <c r="AH1416" s="62"/>
      <c r="AI1416" s="37"/>
      <c r="AJ1416" s="61"/>
      <c r="AK1416" s="61"/>
      <c r="AL1416" s="61"/>
      <c r="AM1416" s="61"/>
      <c r="AN1416" s="37"/>
      <c r="AO1416" s="62"/>
      <c r="AP1416" s="62"/>
      <c r="AQ1416" s="62"/>
      <c r="AR1416" s="62"/>
    </row>
    <row r="1417" spans="25:44" x14ac:dyDescent="0.15">
      <c r="Y1417" s="8"/>
      <c r="Z1417" s="61"/>
      <c r="AA1417" s="61"/>
      <c r="AB1417" s="61"/>
      <c r="AC1417" s="61"/>
      <c r="AD1417" s="37"/>
      <c r="AE1417" s="62"/>
      <c r="AF1417" s="62"/>
      <c r="AG1417" s="62"/>
      <c r="AH1417" s="62"/>
      <c r="AI1417" s="37"/>
      <c r="AJ1417" s="61"/>
      <c r="AK1417" s="61"/>
      <c r="AL1417" s="61"/>
      <c r="AM1417" s="61"/>
      <c r="AN1417" s="37"/>
      <c r="AO1417" s="62"/>
      <c r="AP1417" s="62"/>
      <c r="AQ1417" s="62"/>
      <c r="AR1417" s="62"/>
    </row>
    <row r="1418" spans="25:44" x14ac:dyDescent="0.15">
      <c r="Y1418" s="8"/>
      <c r="Z1418" s="61"/>
      <c r="AA1418" s="61"/>
      <c r="AB1418" s="61"/>
      <c r="AC1418" s="61"/>
      <c r="AD1418" s="37"/>
      <c r="AE1418" s="62"/>
      <c r="AF1418" s="62"/>
      <c r="AG1418" s="62"/>
      <c r="AH1418" s="62"/>
      <c r="AI1418" s="37"/>
      <c r="AJ1418" s="61"/>
      <c r="AK1418" s="61"/>
      <c r="AL1418" s="61"/>
      <c r="AM1418" s="61"/>
      <c r="AN1418" s="37"/>
      <c r="AO1418" s="62"/>
      <c r="AP1418" s="62"/>
      <c r="AQ1418" s="62"/>
      <c r="AR1418" s="62"/>
    </row>
    <row r="1419" spans="25:44" x14ac:dyDescent="0.15">
      <c r="Y1419" s="8"/>
      <c r="Z1419" s="61"/>
      <c r="AA1419" s="61"/>
      <c r="AB1419" s="61"/>
      <c r="AC1419" s="61"/>
      <c r="AD1419" s="37"/>
      <c r="AE1419" s="62"/>
      <c r="AF1419" s="62"/>
      <c r="AG1419" s="62"/>
      <c r="AH1419" s="62"/>
      <c r="AI1419" s="37"/>
      <c r="AJ1419" s="61"/>
      <c r="AK1419" s="61"/>
      <c r="AL1419" s="61"/>
      <c r="AM1419" s="61"/>
      <c r="AN1419" s="37"/>
      <c r="AO1419" s="62"/>
      <c r="AP1419" s="62"/>
      <c r="AQ1419" s="62"/>
      <c r="AR1419" s="62"/>
    </row>
    <row r="1420" spans="25:44" x14ac:dyDescent="0.15">
      <c r="Y1420" s="8"/>
      <c r="Z1420" s="61"/>
      <c r="AA1420" s="61"/>
      <c r="AB1420" s="61"/>
      <c r="AC1420" s="61"/>
      <c r="AD1420" s="37"/>
      <c r="AE1420" s="62"/>
      <c r="AF1420" s="62"/>
      <c r="AG1420" s="62"/>
      <c r="AH1420" s="62"/>
      <c r="AI1420" s="37"/>
      <c r="AJ1420" s="61"/>
      <c r="AK1420" s="61"/>
      <c r="AL1420" s="61"/>
      <c r="AM1420" s="61"/>
      <c r="AN1420" s="37"/>
      <c r="AO1420" s="62"/>
      <c r="AP1420" s="62"/>
      <c r="AQ1420" s="62"/>
      <c r="AR1420" s="62"/>
    </row>
    <row r="1421" spans="25:44" x14ac:dyDescent="0.15">
      <c r="Y1421" s="8"/>
      <c r="Z1421" s="61"/>
      <c r="AA1421" s="61"/>
      <c r="AB1421" s="61"/>
      <c r="AC1421" s="61"/>
      <c r="AD1421" s="37"/>
      <c r="AE1421" s="62"/>
      <c r="AF1421" s="62"/>
      <c r="AG1421" s="62"/>
      <c r="AH1421" s="62"/>
      <c r="AI1421" s="37"/>
      <c r="AJ1421" s="61"/>
      <c r="AK1421" s="61"/>
      <c r="AL1421" s="61"/>
      <c r="AM1421" s="61"/>
      <c r="AN1421" s="37"/>
      <c r="AO1421" s="62"/>
      <c r="AP1421" s="62"/>
      <c r="AQ1421" s="62"/>
      <c r="AR1421" s="62"/>
    </row>
    <row r="1422" spans="25:44" x14ac:dyDescent="0.15">
      <c r="Y1422" s="8"/>
      <c r="Z1422" s="61"/>
      <c r="AA1422" s="61"/>
      <c r="AB1422" s="61"/>
      <c r="AC1422" s="61"/>
      <c r="AD1422" s="37"/>
      <c r="AE1422" s="62"/>
      <c r="AF1422" s="62"/>
      <c r="AG1422" s="62"/>
      <c r="AH1422" s="62"/>
      <c r="AI1422" s="37"/>
      <c r="AJ1422" s="61"/>
      <c r="AK1422" s="61"/>
      <c r="AL1422" s="61"/>
      <c r="AM1422" s="61"/>
      <c r="AN1422" s="37"/>
      <c r="AO1422" s="62"/>
      <c r="AP1422" s="62"/>
      <c r="AQ1422" s="62"/>
      <c r="AR1422" s="62"/>
    </row>
    <row r="1423" spans="25:44" x14ac:dyDescent="0.15">
      <c r="Y1423" s="8"/>
      <c r="Z1423" s="61"/>
      <c r="AA1423" s="61"/>
      <c r="AB1423" s="61"/>
      <c r="AC1423" s="61"/>
      <c r="AD1423" s="37"/>
      <c r="AE1423" s="62"/>
      <c r="AF1423" s="62"/>
      <c r="AG1423" s="62"/>
      <c r="AH1423" s="62"/>
      <c r="AI1423" s="37"/>
      <c r="AJ1423" s="61"/>
      <c r="AK1423" s="61"/>
      <c r="AL1423" s="61"/>
      <c r="AM1423" s="61"/>
      <c r="AN1423" s="37"/>
      <c r="AO1423" s="62"/>
      <c r="AP1423" s="62"/>
      <c r="AQ1423" s="62"/>
      <c r="AR1423" s="62"/>
    </row>
    <row r="1424" spans="25:44" x14ac:dyDescent="0.15">
      <c r="Y1424" s="8"/>
      <c r="Z1424" s="61"/>
      <c r="AA1424" s="61"/>
      <c r="AB1424" s="61"/>
      <c r="AC1424" s="61"/>
      <c r="AD1424" s="37"/>
      <c r="AE1424" s="62"/>
      <c r="AF1424" s="62"/>
      <c r="AG1424" s="62"/>
      <c r="AH1424" s="62"/>
      <c r="AI1424" s="37"/>
      <c r="AJ1424" s="61"/>
      <c r="AK1424" s="61"/>
      <c r="AL1424" s="61"/>
      <c r="AM1424" s="61"/>
      <c r="AN1424" s="37"/>
      <c r="AO1424" s="62"/>
      <c r="AP1424" s="62"/>
      <c r="AQ1424" s="62"/>
      <c r="AR1424" s="62"/>
    </row>
    <row r="1425" spans="25:44" x14ac:dyDescent="0.15">
      <c r="Y1425" s="8"/>
      <c r="Z1425" s="61"/>
      <c r="AA1425" s="61"/>
      <c r="AB1425" s="61"/>
      <c r="AC1425" s="61"/>
      <c r="AD1425" s="37"/>
      <c r="AE1425" s="62"/>
      <c r="AF1425" s="62"/>
      <c r="AG1425" s="62"/>
      <c r="AH1425" s="62"/>
      <c r="AI1425" s="37"/>
      <c r="AJ1425" s="61"/>
      <c r="AK1425" s="61"/>
      <c r="AL1425" s="61"/>
      <c r="AM1425" s="61"/>
      <c r="AN1425" s="37"/>
      <c r="AO1425" s="62"/>
      <c r="AP1425" s="62"/>
      <c r="AQ1425" s="62"/>
      <c r="AR1425" s="62"/>
    </row>
    <row r="1426" spans="25:44" x14ac:dyDescent="0.15">
      <c r="Y1426" s="8"/>
      <c r="Z1426" s="61"/>
      <c r="AA1426" s="61"/>
      <c r="AB1426" s="61"/>
      <c r="AC1426" s="61"/>
      <c r="AD1426" s="37"/>
      <c r="AE1426" s="62"/>
      <c r="AF1426" s="62"/>
      <c r="AG1426" s="62"/>
      <c r="AH1426" s="62"/>
      <c r="AI1426" s="37"/>
      <c r="AJ1426" s="61"/>
      <c r="AK1426" s="61"/>
      <c r="AL1426" s="61"/>
      <c r="AM1426" s="61"/>
      <c r="AN1426" s="37"/>
      <c r="AO1426" s="62"/>
      <c r="AP1426" s="62"/>
      <c r="AQ1426" s="62"/>
      <c r="AR1426" s="62"/>
    </row>
    <row r="1427" spans="25:44" x14ac:dyDescent="0.15">
      <c r="Y1427" s="8"/>
      <c r="Z1427" s="61"/>
      <c r="AA1427" s="61"/>
      <c r="AB1427" s="61"/>
      <c r="AC1427" s="61"/>
      <c r="AD1427" s="37"/>
      <c r="AE1427" s="62"/>
      <c r="AF1427" s="62"/>
      <c r="AG1427" s="62"/>
      <c r="AH1427" s="62"/>
      <c r="AI1427" s="37"/>
      <c r="AJ1427" s="61"/>
      <c r="AK1427" s="61"/>
      <c r="AL1427" s="61"/>
      <c r="AM1427" s="61"/>
      <c r="AN1427" s="37"/>
      <c r="AO1427" s="62"/>
      <c r="AP1427" s="62"/>
      <c r="AQ1427" s="62"/>
      <c r="AR1427" s="62"/>
    </row>
    <row r="1428" spans="25:44" x14ac:dyDescent="0.15">
      <c r="Y1428" s="8"/>
      <c r="Z1428" s="61"/>
      <c r="AA1428" s="61"/>
      <c r="AB1428" s="61"/>
      <c r="AC1428" s="61"/>
      <c r="AD1428" s="37"/>
      <c r="AE1428" s="62"/>
      <c r="AF1428" s="62"/>
      <c r="AG1428" s="62"/>
      <c r="AH1428" s="62"/>
      <c r="AI1428" s="37"/>
      <c r="AJ1428" s="61"/>
      <c r="AK1428" s="61"/>
      <c r="AL1428" s="61"/>
      <c r="AM1428" s="61"/>
      <c r="AN1428" s="37"/>
      <c r="AO1428" s="62"/>
      <c r="AP1428" s="62"/>
      <c r="AQ1428" s="62"/>
      <c r="AR1428" s="62"/>
    </row>
    <row r="1429" spans="25:44" x14ac:dyDescent="0.15">
      <c r="Y1429" s="8"/>
      <c r="Z1429" s="61"/>
      <c r="AA1429" s="61"/>
      <c r="AB1429" s="61"/>
      <c r="AC1429" s="61"/>
      <c r="AD1429" s="37"/>
      <c r="AE1429" s="62"/>
      <c r="AF1429" s="62"/>
      <c r="AG1429" s="62"/>
      <c r="AH1429" s="62"/>
      <c r="AI1429" s="37"/>
      <c r="AJ1429" s="61"/>
      <c r="AK1429" s="61"/>
      <c r="AL1429" s="61"/>
      <c r="AM1429" s="61"/>
      <c r="AN1429" s="37"/>
      <c r="AO1429" s="62"/>
      <c r="AP1429" s="62"/>
      <c r="AQ1429" s="62"/>
      <c r="AR1429" s="62"/>
    </row>
    <row r="1430" spans="25:44" x14ac:dyDescent="0.15">
      <c r="Y1430" s="8"/>
      <c r="Z1430" s="61"/>
      <c r="AA1430" s="61"/>
      <c r="AB1430" s="61"/>
      <c r="AC1430" s="61"/>
      <c r="AD1430" s="37"/>
      <c r="AE1430" s="62"/>
      <c r="AF1430" s="62"/>
      <c r="AG1430" s="62"/>
      <c r="AH1430" s="62"/>
      <c r="AI1430" s="37"/>
      <c r="AJ1430" s="61"/>
      <c r="AK1430" s="61"/>
      <c r="AL1430" s="61"/>
      <c r="AM1430" s="61"/>
      <c r="AN1430" s="37"/>
      <c r="AO1430" s="62"/>
      <c r="AP1430" s="62"/>
      <c r="AQ1430" s="62"/>
      <c r="AR1430" s="62"/>
    </row>
    <row r="1431" spans="25:44" x14ac:dyDescent="0.15">
      <c r="Y1431" s="8"/>
      <c r="Z1431" s="61"/>
      <c r="AA1431" s="61"/>
      <c r="AB1431" s="61"/>
      <c r="AC1431" s="61"/>
      <c r="AD1431" s="37"/>
      <c r="AE1431" s="62"/>
      <c r="AF1431" s="62"/>
      <c r="AG1431" s="62"/>
      <c r="AH1431" s="62"/>
      <c r="AI1431" s="37"/>
      <c r="AJ1431" s="61"/>
      <c r="AK1431" s="61"/>
      <c r="AL1431" s="61"/>
      <c r="AM1431" s="61"/>
      <c r="AN1431" s="37"/>
      <c r="AO1431" s="62"/>
      <c r="AP1431" s="62"/>
      <c r="AQ1431" s="62"/>
      <c r="AR1431" s="62"/>
    </row>
    <row r="1432" spans="25:44" x14ac:dyDescent="0.15">
      <c r="Y1432" s="8"/>
      <c r="Z1432" s="61"/>
      <c r="AA1432" s="61"/>
      <c r="AB1432" s="61"/>
      <c r="AC1432" s="61"/>
      <c r="AD1432" s="37"/>
      <c r="AE1432" s="62"/>
      <c r="AF1432" s="62"/>
      <c r="AG1432" s="62"/>
      <c r="AH1432" s="62"/>
      <c r="AI1432" s="37"/>
      <c r="AJ1432" s="61"/>
      <c r="AK1432" s="61"/>
      <c r="AL1432" s="61"/>
      <c r="AM1432" s="61"/>
      <c r="AN1432" s="37"/>
      <c r="AO1432" s="62"/>
      <c r="AP1432" s="62"/>
      <c r="AQ1432" s="62"/>
      <c r="AR1432" s="62"/>
    </row>
    <row r="1433" spans="25:44" x14ac:dyDescent="0.15">
      <c r="Y1433" s="8"/>
      <c r="Z1433" s="61"/>
      <c r="AA1433" s="61"/>
      <c r="AB1433" s="61"/>
      <c r="AC1433" s="61"/>
      <c r="AD1433" s="37"/>
      <c r="AE1433" s="62"/>
      <c r="AF1433" s="62"/>
      <c r="AG1433" s="62"/>
      <c r="AH1433" s="62"/>
      <c r="AI1433" s="37"/>
      <c r="AJ1433" s="61"/>
      <c r="AK1433" s="61"/>
      <c r="AL1433" s="61"/>
      <c r="AM1433" s="61"/>
      <c r="AN1433" s="37"/>
      <c r="AO1433" s="62"/>
      <c r="AP1433" s="62"/>
      <c r="AQ1433" s="62"/>
      <c r="AR1433" s="62"/>
    </row>
    <row r="1434" spans="25:44" x14ac:dyDescent="0.15">
      <c r="Y1434" s="8"/>
      <c r="Z1434" s="61"/>
      <c r="AA1434" s="61"/>
      <c r="AB1434" s="61"/>
      <c r="AC1434" s="61"/>
      <c r="AD1434" s="37"/>
      <c r="AE1434" s="62"/>
      <c r="AF1434" s="62"/>
      <c r="AG1434" s="62"/>
      <c r="AH1434" s="62"/>
      <c r="AI1434" s="37"/>
      <c r="AJ1434" s="61"/>
      <c r="AK1434" s="61"/>
      <c r="AL1434" s="61"/>
      <c r="AM1434" s="61"/>
      <c r="AN1434" s="37"/>
      <c r="AO1434" s="62"/>
      <c r="AP1434" s="62"/>
      <c r="AQ1434" s="62"/>
      <c r="AR1434" s="62"/>
    </row>
    <row r="1435" spans="25:44" x14ac:dyDescent="0.15">
      <c r="Y1435" s="8"/>
      <c r="Z1435" s="61"/>
      <c r="AA1435" s="61"/>
      <c r="AB1435" s="61"/>
      <c r="AC1435" s="61"/>
      <c r="AD1435" s="37"/>
      <c r="AE1435" s="62"/>
      <c r="AF1435" s="62"/>
      <c r="AG1435" s="62"/>
      <c r="AH1435" s="62"/>
      <c r="AI1435" s="37"/>
      <c r="AJ1435" s="61"/>
      <c r="AK1435" s="61"/>
      <c r="AL1435" s="61"/>
      <c r="AM1435" s="61"/>
      <c r="AN1435" s="37"/>
      <c r="AO1435" s="62"/>
      <c r="AP1435" s="62"/>
      <c r="AQ1435" s="62"/>
      <c r="AR1435" s="62"/>
    </row>
    <row r="1436" spans="25:44" x14ac:dyDescent="0.15">
      <c r="Y1436" s="8"/>
      <c r="Z1436" s="61"/>
      <c r="AA1436" s="61"/>
      <c r="AB1436" s="61"/>
      <c r="AC1436" s="61"/>
      <c r="AD1436" s="37"/>
      <c r="AE1436" s="62"/>
      <c r="AF1436" s="62"/>
      <c r="AG1436" s="62"/>
      <c r="AH1436" s="62"/>
      <c r="AI1436" s="37"/>
      <c r="AJ1436" s="61"/>
      <c r="AK1436" s="61"/>
      <c r="AL1436" s="61"/>
      <c r="AM1436" s="61"/>
      <c r="AN1436" s="37"/>
      <c r="AO1436" s="62"/>
      <c r="AP1436" s="62"/>
      <c r="AQ1436" s="62"/>
      <c r="AR1436" s="62"/>
    </row>
    <row r="1437" spans="25:44" x14ac:dyDescent="0.15">
      <c r="Y1437" s="8"/>
      <c r="Z1437" s="61"/>
      <c r="AA1437" s="61"/>
      <c r="AB1437" s="61"/>
      <c r="AC1437" s="61"/>
      <c r="AD1437" s="37"/>
      <c r="AE1437" s="62"/>
      <c r="AF1437" s="62"/>
      <c r="AG1437" s="62"/>
      <c r="AH1437" s="62"/>
      <c r="AI1437" s="37"/>
      <c r="AJ1437" s="61"/>
      <c r="AK1437" s="61"/>
      <c r="AL1437" s="61"/>
      <c r="AM1437" s="61"/>
      <c r="AN1437" s="37"/>
      <c r="AO1437" s="62"/>
      <c r="AP1437" s="62"/>
      <c r="AQ1437" s="62"/>
      <c r="AR1437" s="62"/>
    </row>
    <row r="1438" spans="25:44" x14ac:dyDescent="0.15">
      <c r="Y1438" s="8"/>
      <c r="Z1438" s="61"/>
      <c r="AA1438" s="61"/>
      <c r="AB1438" s="61"/>
      <c r="AC1438" s="61"/>
      <c r="AD1438" s="37"/>
      <c r="AE1438" s="62"/>
      <c r="AF1438" s="62"/>
      <c r="AG1438" s="62"/>
      <c r="AH1438" s="62"/>
      <c r="AI1438" s="37"/>
      <c r="AJ1438" s="61"/>
      <c r="AK1438" s="61"/>
      <c r="AL1438" s="61"/>
      <c r="AM1438" s="61"/>
      <c r="AN1438" s="37"/>
      <c r="AO1438" s="62"/>
      <c r="AP1438" s="62"/>
      <c r="AQ1438" s="62"/>
      <c r="AR1438" s="62"/>
    </row>
    <row r="1439" spans="25:44" x14ac:dyDescent="0.15">
      <c r="Y1439" s="8"/>
      <c r="Z1439" s="61"/>
      <c r="AA1439" s="61"/>
      <c r="AB1439" s="61"/>
      <c r="AC1439" s="61"/>
      <c r="AD1439" s="37"/>
      <c r="AE1439" s="62"/>
      <c r="AF1439" s="62"/>
      <c r="AG1439" s="62"/>
      <c r="AH1439" s="62"/>
      <c r="AI1439" s="37"/>
      <c r="AJ1439" s="61"/>
      <c r="AK1439" s="61"/>
      <c r="AL1439" s="61"/>
      <c r="AM1439" s="61"/>
      <c r="AN1439" s="37"/>
      <c r="AO1439" s="62"/>
      <c r="AP1439" s="62"/>
      <c r="AQ1439" s="62"/>
      <c r="AR1439" s="62"/>
    </row>
    <row r="1440" spans="25:44" x14ac:dyDescent="0.15">
      <c r="Y1440" s="8"/>
      <c r="Z1440" s="61"/>
      <c r="AA1440" s="61"/>
      <c r="AB1440" s="61"/>
      <c r="AC1440" s="61"/>
      <c r="AD1440" s="37"/>
      <c r="AE1440" s="62"/>
      <c r="AF1440" s="62"/>
      <c r="AG1440" s="62"/>
      <c r="AH1440" s="62"/>
      <c r="AI1440" s="37"/>
      <c r="AJ1440" s="61"/>
      <c r="AK1440" s="61"/>
      <c r="AL1440" s="61"/>
      <c r="AM1440" s="61"/>
      <c r="AN1440" s="37"/>
      <c r="AO1440" s="62"/>
      <c r="AP1440" s="62"/>
      <c r="AQ1440" s="62"/>
      <c r="AR1440" s="62"/>
    </row>
    <row r="1441" spans="25:44" x14ac:dyDescent="0.15">
      <c r="Y1441" s="8"/>
      <c r="Z1441" s="61"/>
      <c r="AA1441" s="61"/>
      <c r="AB1441" s="61"/>
      <c r="AC1441" s="61"/>
      <c r="AD1441" s="37"/>
      <c r="AE1441" s="62"/>
      <c r="AF1441" s="62"/>
      <c r="AG1441" s="62"/>
      <c r="AH1441" s="62"/>
      <c r="AI1441" s="37"/>
      <c r="AJ1441" s="61"/>
      <c r="AK1441" s="61"/>
      <c r="AL1441" s="61"/>
      <c r="AM1441" s="61"/>
      <c r="AN1441" s="37"/>
      <c r="AO1441" s="62"/>
      <c r="AP1441" s="62"/>
      <c r="AQ1441" s="62"/>
      <c r="AR1441" s="62"/>
    </row>
    <row r="1442" spans="25:44" x14ac:dyDescent="0.15">
      <c r="Y1442" s="8"/>
      <c r="Z1442" s="61"/>
      <c r="AA1442" s="61"/>
      <c r="AB1442" s="61"/>
      <c r="AC1442" s="61"/>
      <c r="AD1442" s="37"/>
      <c r="AE1442" s="62"/>
      <c r="AF1442" s="62"/>
      <c r="AG1442" s="62"/>
      <c r="AH1442" s="62"/>
      <c r="AI1442" s="37"/>
      <c r="AJ1442" s="61"/>
      <c r="AK1442" s="61"/>
      <c r="AL1442" s="61"/>
      <c r="AM1442" s="61"/>
      <c r="AN1442" s="37"/>
      <c r="AO1442" s="62"/>
      <c r="AP1442" s="62"/>
      <c r="AQ1442" s="62"/>
      <c r="AR1442" s="62"/>
    </row>
    <row r="1443" spans="25:44" x14ac:dyDescent="0.15">
      <c r="Y1443" s="8"/>
      <c r="Z1443" s="61"/>
      <c r="AA1443" s="61"/>
      <c r="AB1443" s="61"/>
      <c r="AC1443" s="61"/>
      <c r="AD1443" s="37"/>
      <c r="AE1443" s="62"/>
      <c r="AF1443" s="62"/>
      <c r="AG1443" s="62"/>
      <c r="AH1443" s="62"/>
      <c r="AI1443" s="37"/>
      <c r="AJ1443" s="61"/>
      <c r="AK1443" s="61"/>
      <c r="AL1443" s="61"/>
      <c r="AM1443" s="61"/>
      <c r="AN1443" s="37"/>
      <c r="AO1443" s="62"/>
      <c r="AP1443" s="62"/>
      <c r="AQ1443" s="62"/>
      <c r="AR1443" s="62"/>
    </row>
    <row r="1444" spans="25:44" x14ac:dyDescent="0.15">
      <c r="Y1444" s="8"/>
      <c r="Z1444" s="61"/>
      <c r="AA1444" s="61"/>
      <c r="AB1444" s="61"/>
      <c r="AC1444" s="61"/>
      <c r="AD1444" s="37"/>
      <c r="AE1444" s="62"/>
      <c r="AF1444" s="62"/>
      <c r="AG1444" s="62"/>
      <c r="AH1444" s="62"/>
      <c r="AI1444" s="37"/>
      <c r="AJ1444" s="61"/>
      <c r="AK1444" s="61"/>
      <c r="AL1444" s="61"/>
      <c r="AM1444" s="61"/>
      <c r="AN1444" s="37"/>
      <c r="AO1444" s="62"/>
      <c r="AP1444" s="62"/>
      <c r="AQ1444" s="62"/>
      <c r="AR1444" s="62"/>
    </row>
    <row r="1445" spans="25:44" x14ac:dyDescent="0.15">
      <c r="Y1445" s="8"/>
      <c r="Z1445" s="61"/>
      <c r="AA1445" s="61"/>
      <c r="AB1445" s="61"/>
      <c r="AC1445" s="61"/>
      <c r="AD1445" s="37"/>
      <c r="AE1445" s="62"/>
      <c r="AF1445" s="62"/>
      <c r="AG1445" s="62"/>
      <c r="AH1445" s="62"/>
      <c r="AI1445" s="37"/>
      <c r="AJ1445" s="61"/>
      <c r="AK1445" s="61"/>
      <c r="AL1445" s="61"/>
      <c r="AM1445" s="61"/>
      <c r="AN1445" s="37"/>
      <c r="AO1445" s="62"/>
      <c r="AP1445" s="62"/>
      <c r="AQ1445" s="62"/>
      <c r="AR1445" s="62"/>
    </row>
    <row r="1446" spans="25:44" x14ac:dyDescent="0.15">
      <c r="Y1446" s="8"/>
      <c r="Z1446" s="61"/>
      <c r="AA1446" s="61"/>
      <c r="AB1446" s="61"/>
      <c r="AC1446" s="61"/>
      <c r="AD1446" s="37"/>
      <c r="AE1446" s="62"/>
      <c r="AF1446" s="62"/>
      <c r="AG1446" s="62"/>
      <c r="AH1446" s="62"/>
      <c r="AI1446" s="37"/>
      <c r="AJ1446" s="61"/>
      <c r="AK1446" s="61"/>
      <c r="AL1446" s="61"/>
      <c r="AM1446" s="61"/>
      <c r="AN1446" s="37"/>
      <c r="AO1446" s="62"/>
      <c r="AP1446" s="62"/>
      <c r="AQ1446" s="62"/>
      <c r="AR1446" s="62"/>
    </row>
    <row r="1447" spans="25:44" x14ac:dyDescent="0.15">
      <c r="Y1447" s="8"/>
      <c r="Z1447" s="61"/>
      <c r="AA1447" s="61"/>
      <c r="AB1447" s="61"/>
      <c r="AC1447" s="61"/>
      <c r="AD1447" s="37"/>
      <c r="AE1447" s="62"/>
      <c r="AF1447" s="62"/>
      <c r="AG1447" s="62"/>
      <c r="AH1447" s="62"/>
      <c r="AI1447" s="37"/>
      <c r="AJ1447" s="61"/>
      <c r="AK1447" s="61"/>
      <c r="AL1447" s="61"/>
      <c r="AM1447" s="61"/>
      <c r="AN1447" s="37"/>
      <c r="AO1447" s="62"/>
      <c r="AP1447" s="62"/>
      <c r="AQ1447" s="62"/>
      <c r="AR1447" s="62"/>
    </row>
    <row r="1448" spans="25:44" x14ac:dyDescent="0.15">
      <c r="Y1448" s="8"/>
      <c r="Z1448" s="61"/>
      <c r="AA1448" s="61"/>
      <c r="AB1448" s="61"/>
      <c r="AC1448" s="61"/>
      <c r="AD1448" s="37"/>
      <c r="AE1448" s="62"/>
      <c r="AF1448" s="62"/>
      <c r="AG1448" s="62"/>
      <c r="AH1448" s="62"/>
      <c r="AI1448" s="37"/>
      <c r="AJ1448" s="61"/>
      <c r="AK1448" s="61"/>
      <c r="AL1448" s="61"/>
      <c r="AM1448" s="61"/>
      <c r="AN1448" s="37"/>
      <c r="AO1448" s="62"/>
      <c r="AP1448" s="62"/>
      <c r="AQ1448" s="62"/>
      <c r="AR1448" s="62"/>
    </row>
    <row r="1449" spans="25:44" x14ac:dyDescent="0.15">
      <c r="Y1449" s="8"/>
      <c r="Z1449" s="61"/>
      <c r="AA1449" s="61"/>
      <c r="AB1449" s="61"/>
      <c r="AC1449" s="61"/>
      <c r="AD1449" s="37"/>
      <c r="AE1449" s="62"/>
      <c r="AF1449" s="62"/>
      <c r="AG1449" s="62"/>
      <c r="AH1449" s="62"/>
      <c r="AI1449" s="37"/>
      <c r="AJ1449" s="61"/>
      <c r="AK1449" s="61"/>
      <c r="AL1449" s="61"/>
      <c r="AM1449" s="61"/>
      <c r="AN1449" s="37"/>
      <c r="AO1449" s="62"/>
      <c r="AP1449" s="62"/>
      <c r="AQ1449" s="62"/>
      <c r="AR1449" s="62"/>
    </row>
    <row r="1450" spans="25:44" x14ac:dyDescent="0.15">
      <c r="Y1450" s="8"/>
      <c r="Z1450" s="61"/>
      <c r="AA1450" s="61"/>
      <c r="AB1450" s="61"/>
      <c r="AC1450" s="61"/>
      <c r="AD1450" s="37"/>
      <c r="AE1450" s="62"/>
      <c r="AF1450" s="62"/>
      <c r="AG1450" s="62"/>
      <c r="AH1450" s="62"/>
      <c r="AI1450" s="37"/>
      <c r="AJ1450" s="61"/>
      <c r="AK1450" s="61"/>
      <c r="AL1450" s="61"/>
      <c r="AM1450" s="61"/>
      <c r="AN1450" s="37"/>
      <c r="AO1450" s="62"/>
      <c r="AP1450" s="62"/>
      <c r="AQ1450" s="62"/>
      <c r="AR1450" s="62"/>
    </row>
    <row r="1451" spans="25:44" x14ac:dyDescent="0.15">
      <c r="Y1451" s="8"/>
      <c r="Z1451" s="61"/>
      <c r="AA1451" s="61"/>
      <c r="AB1451" s="61"/>
      <c r="AC1451" s="61"/>
      <c r="AD1451" s="37"/>
      <c r="AE1451" s="62"/>
      <c r="AF1451" s="62"/>
      <c r="AG1451" s="62"/>
      <c r="AH1451" s="62"/>
      <c r="AI1451" s="37"/>
      <c r="AJ1451" s="61"/>
      <c r="AK1451" s="61"/>
      <c r="AL1451" s="61"/>
      <c r="AM1451" s="61"/>
      <c r="AN1451" s="37"/>
      <c r="AO1451" s="62"/>
      <c r="AP1451" s="62"/>
      <c r="AQ1451" s="62"/>
      <c r="AR1451" s="62"/>
    </row>
    <row r="1452" spans="25:44" x14ac:dyDescent="0.15">
      <c r="Y1452" s="8"/>
      <c r="Z1452" s="61"/>
      <c r="AA1452" s="61"/>
      <c r="AB1452" s="61"/>
      <c r="AC1452" s="61"/>
      <c r="AD1452" s="37"/>
      <c r="AE1452" s="62"/>
      <c r="AF1452" s="62"/>
      <c r="AG1452" s="62"/>
      <c r="AH1452" s="62"/>
      <c r="AI1452" s="37"/>
      <c r="AJ1452" s="61"/>
      <c r="AK1452" s="61"/>
      <c r="AL1452" s="61"/>
      <c r="AM1452" s="61"/>
      <c r="AN1452" s="37"/>
      <c r="AO1452" s="62"/>
      <c r="AP1452" s="62"/>
      <c r="AQ1452" s="62"/>
      <c r="AR1452" s="62"/>
    </row>
    <row r="1453" spans="25:44" x14ac:dyDescent="0.15">
      <c r="Y1453" s="8"/>
      <c r="Z1453" s="61"/>
      <c r="AA1453" s="61"/>
      <c r="AB1453" s="61"/>
      <c r="AC1453" s="61"/>
      <c r="AD1453" s="37"/>
      <c r="AE1453" s="62"/>
      <c r="AF1453" s="62"/>
      <c r="AG1453" s="62"/>
      <c r="AH1453" s="62"/>
      <c r="AI1453" s="37"/>
      <c r="AJ1453" s="61"/>
      <c r="AK1453" s="61"/>
      <c r="AL1453" s="61"/>
      <c r="AM1453" s="61"/>
      <c r="AN1453" s="37"/>
      <c r="AO1453" s="62"/>
      <c r="AP1453" s="62"/>
      <c r="AQ1453" s="62"/>
      <c r="AR1453" s="62"/>
    </row>
    <row r="1454" spans="25:44" x14ac:dyDescent="0.15">
      <c r="Y1454" s="8"/>
      <c r="Z1454" s="61"/>
      <c r="AA1454" s="61"/>
      <c r="AB1454" s="61"/>
      <c r="AC1454" s="61"/>
      <c r="AD1454" s="37"/>
      <c r="AE1454" s="62"/>
      <c r="AF1454" s="62"/>
      <c r="AG1454" s="62"/>
      <c r="AH1454" s="62"/>
      <c r="AI1454" s="37"/>
      <c r="AJ1454" s="61"/>
      <c r="AK1454" s="61"/>
      <c r="AL1454" s="61"/>
      <c r="AM1454" s="61"/>
      <c r="AN1454" s="37"/>
      <c r="AO1454" s="62"/>
      <c r="AP1454" s="62"/>
      <c r="AQ1454" s="62"/>
      <c r="AR1454" s="62"/>
    </row>
    <row r="1455" spans="25:44" x14ac:dyDescent="0.15">
      <c r="Y1455" s="8"/>
      <c r="Z1455" s="61"/>
      <c r="AA1455" s="61"/>
      <c r="AB1455" s="61"/>
      <c r="AC1455" s="61"/>
      <c r="AD1455" s="37"/>
      <c r="AE1455" s="62"/>
      <c r="AF1455" s="62"/>
      <c r="AG1455" s="62"/>
      <c r="AH1455" s="62"/>
      <c r="AI1455" s="37"/>
      <c r="AJ1455" s="61"/>
      <c r="AK1455" s="61"/>
      <c r="AL1455" s="61"/>
      <c r="AM1455" s="61"/>
      <c r="AN1455" s="37"/>
      <c r="AO1455" s="62"/>
      <c r="AP1455" s="62"/>
      <c r="AQ1455" s="62"/>
      <c r="AR1455" s="62"/>
    </row>
    <row r="1456" spans="25:44" x14ac:dyDescent="0.15">
      <c r="Y1456" s="8"/>
      <c r="Z1456" s="61"/>
      <c r="AA1456" s="61"/>
      <c r="AB1456" s="61"/>
      <c r="AC1456" s="61"/>
      <c r="AD1456" s="37"/>
      <c r="AE1456" s="62"/>
      <c r="AF1456" s="62"/>
      <c r="AG1456" s="62"/>
      <c r="AH1456" s="62"/>
      <c r="AI1456" s="37"/>
      <c r="AJ1456" s="61"/>
      <c r="AK1456" s="61"/>
      <c r="AL1456" s="61"/>
      <c r="AM1456" s="61"/>
      <c r="AN1456" s="37"/>
      <c r="AO1456" s="62"/>
      <c r="AP1456" s="62"/>
      <c r="AQ1456" s="62"/>
      <c r="AR1456" s="62"/>
    </row>
    <row r="1457" spans="25:44" x14ac:dyDescent="0.15">
      <c r="Y1457" s="8"/>
      <c r="Z1457" s="61"/>
      <c r="AA1457" s="61"/>
      <c r="AB1457" s="61"/>
      <c r="AC1457" s="61"/>
      <c r="AD1457" s="37"/>
      <c r="AE1457" s="62"/>
      <c r="AF1457" s="62"/>
      <c r="AG1457" s="62"/>
      <c r="AH1457" s="62"/>
      <c r="AI1457" s="37"/>
      <c r="AJ1457" s="61"/>
      <c r="AK1457" s="61"/>
      <c r="AL1457" s="61"/>
      <c r="AM1457" s="61"/>
      <c r="AN1457" s="37"/>
      <c r="AO1457" s="62"/>
      <c r="AP1457" s="62"/>
      <c r="AQ1457" s="62"/>
      <c r="AR1457" s="62"/>
    </row>
    <row r="1458" spans="25:44" x14ac:dyDescent="0.15">
      <c r="Y1458" s="8"/>
      <c r="Z1458" s="61"/>
      <c r="AA1458" s="61"/>
      <c r="AB1458" s="61"/>
      <c r="AC1458" s="61"/>
      <c r="AD1458" s="37"/>
      <c r="AE1458" s="62"/>
      <c r="AF1458" s="62"/>
      <c r="AG1458" s="62"/>
      <c r="AH1458" s="62"/>
      <c r="AI1458" s="37"/>
      <c r="AJ1458" s="61"/>
      <c r="AK1458" s="61"/>
      <c r="AL1458" s="61"/>
      <c r="AM1458" s="61"/>
      <c r="AN1458" s="37"/>
      <c r="AO1458" s="62"/>
      <c r="AP1458" s="62"/>
      <c r="AQ1458" s="62"/>
      <c r="AR1458" s="62"/>
    </row>
    <row r="1459" spans="25:44" x14ac:dyDescent="0.15">
      <c r="Y1459" s="8"/>
      <c r="Z1459" s="61"/>
      <c r="AA1459" s="61"/>
      <c r="AB1459" s="61"/>
      <c r="AC1459" s="61"/>
      <c r="AD1459" s="37"/>
      <c r="AE1459" s="62"/>
      <c r="AF1459" s="62"/>
      <c r="AG1459" s="62"/>
      <c r="AH1459" s="62"/>
      <c r="AI1459" s="37"/>
      <c r="AJ1459" s="61"/>
      <c r="AK1459" s="61"/>
      <c r="AL1459" s="61"/>
      <c r="AM1459" s="61"/>
      <c r="AN1459" s="37"/>
      <c r="AO1459" s="62"/>
      <c r="AP1459" s="62"/>
      <c r="AQ1459" s="62"/>
      <c r="AR1459" s="62"/>
    </row>
    <row r="1460" spans="25:44" x14ac:dyDescent="0.15">
      <c r="Y1460" s="8"/>
      <c r="Z1460" s="61"/>
      <c r="AA1460" s="61"/>
      <c r="AB1460" s="61"/>
      <c r="AC1460" s="61"/>
      <c r="AD1460" s="37"/>
      <c r="AE1460" s="62"/>
      <c r="AF1460" s="62"/>
      <c r="AG1460" s="62"/>
      <c r="AH1460" s="62"/>
      <c r="AI1460" s="37"/>
      <c r="AJ1460" s="61"/>
      <c r="AK1460" s="61"/>
      <c r="AL1460" s="61"/>
      <c r="AM1460" s="61"/>
      <c r="AN1460" s="37"/>
      <c r="AO1460" s="62"/>
      <c r="AP1460" s="62"/>
      <c r="AQ1460" s="62"/>
      <c r="AR1460" s="62"/>
    </row>
    <row r="1461" spans="25:44" x14ac:dyDescent="0.15">
      <c r="Y1461" s="8"/>
      <c r="Z1461" s="61"/>
      <c r="AA1461" s="61"/>
      <c r="AB1461" s="61"/>
      <c r="AC1461" s="61"/>
      <c r="AD1461" s="37"/>
      <c r="AE1461" s="62"/>
      <c r="AF1461" s="62"/>
      <c r="AG1461" s="62"/>
      <c r="AH1461" s="62"/>
      <c r="AI1461" s="37"/>
      <c r="AJ1461" s="61"/>
      <c r="AK1461" s="61"/>
      <c r="AL1461" s="61"/>
      <c r="AM1461" s="61"/>
      <c r="AN1461" s="37"/>
      <c r="AO1461" s="62"/>
      <c r="AP1461" s="62"/>
      <c r="AQ1461" s="62"/>
      <c r="AR1461" s="62"/>
    </row>
    <row r="1462" spans="25:44" x14ac:dyDescent="0.15">
      <c r="Y1462" s="8"/>
      <c r="Z1462" s="61"/>
      <c r="AA1462" s="61"/>
      <c r="AB1462" s="61"/>
      <c r="AC1462" s="61"/>
      <c r="AD1462" s="37"/>
      <c r="AE1462" s="62"/>
      <c r="AF1462" s="62"/>
      <c r="AG1462" s="62"/>
      <c r="AH1462" s="62"/>
      <c r="AI1462" s="37"/>
      <c r="AJ1462" s="61"/>
      <c r="AK1462" s="61"/>
      <c r="AL1462" s="61"/>
      <c r="AM1462" s="61"/>
      <c r="AN1462" s="37"/>
      <c r="AO1462" s="62"/>
      <c r="AP1462" s="62"/>
      <c r="AQ1462" s="62"/>
      <c r="AR1462" s="62"/>
    </row>
    <row r="1463" spans="25:44" x14ac:dyDescent="0.15">
      <c r="Y1463" s="8"/>
      <c r="Z1463" s="61"/>
      <c r="AA1463" s="61"/>
      <c r="AB1463" s="61"/>
      <c r="AC1463" s="61"/>
      <c r="AD1463" s="37"/>
      <c r="AE1463" s="62"/>
      <c r="AF1463" s="62"/>
      <c r="AG1463" s="62"/>
      <c r="AH1463" s="62"/>
      <c r="AI1463" s="37"/>
      <c r="AJ1463" s="61"/>
      <c r="AK1463" s="61"/>
      <c r="AL1463" s="61"/>
      <c r="AM1463" s="61"/>
      <c r="AN1463" s="37"/>
      <c r="AO1463" s="62"/>
      <c r="AP1463" s="62"/>
      <c r="AQ1463" s="62"/>
      <c r="AR1463" s="62"/>
    </row>
    <row r="1464" spans="25:44" x14ac:dyDescent="0.15">
      <c r="Y1464" s="8"/>
      <c r="Z1464" s="61"/>
      <c r="AA1464" s="61"/>
      <c r="AB1464" s="61"/>
      <c r="AC1464" s="61"/>
      <c r="AD1464" s="37"/>
      <c r="AE1464" s="62"/>
      <c r="AF1464" s="62"/>
      <c r="AG1464" s="62"/>
      <c r="AH1464" s="62"/>
      <c r="AI1464" s="37"/>
      <c r="AJ1464" s="61"/>
      <c r="AK1464" s="61"/>
      <c r="AL1464" s="61"/>
      <c r="AM1464" s="61"/>
      <c r="AN1464" s="37"/>
      <c r="AO1464" s="62"/>
      <c r="AP1464" s="62"/>
      <c r="AQ1464" s="62"/>
      <c r="AR1464" s="62"/>
    </row>
    <row r="1465" spans="25:44" x14ac:dyDescent="0.15">
      <c r="Y1465" s="8"/>
      <c r="Z1465" s="61"/>
      <c r="AA1465" s="61"/>
      <c r="AB1465" s="61"/>
      <c r="AC1465" s="61"/>
      <c r="AD1465" s="37"/>
      <c r="AE1465" s="62"/>
      <c r="AF1465" s="62"/>
      <c r="AG1465" s="62"/>
      <c r="AH1465" s="62"/>
      <c r="AI1465" s="37"/>
      <c r="AJ1465" s="61"/>
      <c r="AK1465" s="61"/>
      <c r="AL1465" s="61"/>
      <c r="AM1465" s="61"/>
      <c r="AN1465" s="37"/>
      <c r="AO1465" s="62"/>
      <c r="AP1465" s="62"/>
      <c r="AQ1465" s="62"/>
      <c r="AR1465" s="62"/>
    </row>
    <row r="1466" spans="25:44" x14ac:dyDescent="0.15">
      <c r="Y1466" s="8"/>
      <c r="Z1466" s="61"/>
      <c r="AA1466" s="61"/>
      <c r="AB1466" s="61"/>
      <c r="AC1466" s="61"/>
      <c r="AD1466" s="37"/>
      <c r="AE1466" s="62"/>
      <c r="AF1466" s="62"/>
      <c r="AG1466" s="62"/>
      <c r="AH1466" s="62"/>
      <c r="AI1466" s="37"/>
      <c r="AJ1466" s="61"/>
      <c r="AK1466" s="61"/>
      <c r="AL1466" s="61"/>
      <c r="AM1466" s="61"/>
      <c r="AN1466" s="37"/>
      <c r="AO1466" s="62"/>
      <c r="AP1466" s="62"/>
      <c r="AQ1466" s="62"/>
      <c r="AR1466" s="62"/>
    </row>
    <row r="1467" spans="25:44" x14ac:dyDescent="0.15">
      <c r="Y1467" s="8"/>
      <c r="Z1467" s="61"/>
      <c r="AA1467" s="61"/>
      <c r="AB1467" s="61"/>
      <c r="AC1467" s="61"/>
      <c r="AD1467" s="37"/>
      <c r="AE1467" s="62"/>
      <c r="AF1467" s="62"/>
      <c r="AG1467" s="62"/>
      <c r="AH1467" s="62"/>
      <c r="AI1467" s="37"/>
      <c r="AJ1467" s="61"/>
      <c r="AK1467" s="61"/>
      <c r="AL1467" s="61"/>
      <c r="AM1467" s="61"/>
      <c r="AN1467" s="37"/>
      <c r="AO1467" s="62"/>
      <c r="AP1467" s="62"/>
      <c r="AQ1467" s="62"/>
      <c r="AR1467" s="62"/>
    </row>
    <row r="1468" spans="25:44" x14ac:dyDescent="0.15">
      <c r="Y1468" s="8"/>
      <c r="Z1468" s="61"/>
      <c r="AA1468" s="61"/>
      <c r="AB1468" s="61"/>
      <c r="AC1468" s="61"/>
      <c r="AD1468" s="37"/>
      <c r="AE1468" s="62"/>
      <c r="AF1468" s="62"/>
      <c r="AG1468" s="62"/>
      <c r="AH1468" s="62"/>
      <c r="AI1468" s="37"/>
      <c r="AJ1468" s="61"/>
      <c r="AK1468" s="61"/>
      <c r="AL1468" s="61"/>
      <c r="AM1468" s="61"/>
      <c r="AN1468" s="37"/>
      <c r="AO1468" s="62"/>
      <c r="AP1468" s="62"/>
      <c r="AQ1468" s="62"/>
      <c r="AR1468" s="62"/>
    </row>
    <row r="1469" spans="25:44" x14ac:dyDescent="0.15">
      <c r="Y1469" s="8"/>
      <c r="Z1469" s="61"/>
      <c r="AA1469" s="61"/>
      <c r="AB1469" s="61"/>
      <c r="AC1469" s="61"/>
      <c r="AD1469" s="37"/>
      <c r="AE1469" s="62"/>
      <c r="AF1469" s="62"/>
      <c r="AG1469" s="62"/>
      <c r="AH1469" s="62"/>
      <c r="AI1469" s="37"/>
      <c r="AJ1469" s="61"/>
      <c r="AK1469" s="61"/>
      <c r="AL1469" s="61"/>
      <c r="AM1469" s="61"/>
      <c r="AN1469" s="37"/>
      <c r="AO1469" s="62"/>
      <c r="AP1469" s="62"/>
      <c r="AQ1469" s="62"/>
      <c r="AR1469" s="62"/>
    </row>
    <row r="1470" spans="25:44" x14ac:dyDescent="0.15">
      <c r="Y1470" s="8"/>
      <c r="Z1470" s="61"/>
      <c r="AA1470" s="61"/>
      <c r="AB1470" s="61"/>
      <c r="AC1470" s="61"/>
      <c r="AD1470" s="37"/>
      <c r="AE1470" s="62"/>
      <c r="AF1470" s="62"/>
      <c r="AG1470" s="62"/>
      <c r="AH1470" s="62"/>
      <c r="AI1470" s="37"/>
      <c r="AJ1470" s="61"/>
      <c r="AK1470" s="61"/>
      <c r="AL1470" s="61"/>
      <c r="AM1470" s="61"/>
      <c r="AN1470" s="37"/>
      <c r="AO1470" s="62"/>
      <c r="AP1470" s="62"/>
      <c r="AQ1470" s="62"/>
      <c r="AR1470" s="62"/>
    </row>
    <row r="1471" spans="25:44" x14ac:dyDescent="0.15">
      <c r="Y1471" s="8"/>
      <c r="Z1471" s="61"/>
      <c r="AA1471" s="61"/>
      <c r="AB1471" s="61"/>
      <c r="AC1471" s="61"/>
      <c r="AD1471" s="37"/>
      <c r="AE1471" s="62"/>
      <c r="AF1471" s="62"/>
      <c r="AG1471" s="62"/>
      <c r="AH1471" s="62"/>
      <c r="AI1471" s="37"/>
      <c r="AJ1471" s="61"/>
      <c r="AK1471" s="61"/>
      <c r="AL1471" s="61"/>
      <c r="AM1471" s="61"/>
      <c r="AN1471" s="37"/>
      <c r="AO1471" s="62"/>
      <c r="AP1471" s="62"/>
      <c r="AQ1471" s="62"/>
      <c r="AR1471" s="62"/>
    </row>
    <row r="1472" spans="25:44" x14ac:dyDescent="0.15">
      <c r="Y1472" s="8"/>
      <c r="Z1472" s="61"/>
      <c r="AA1472" s="61"/>
      <c r="AB1472" s="61"/>
      <c r="AC1472" s="61"/>
      <c r="AD1472" s="37"/>
      <c r="AE1472" s="62"/>
      <c r="AF1472" s="62"/>
      <c r="AG1472" s="62"/>
      <c r="AH1472" s="62"/>
      <c r="AI1472" s="37"/>
      <c r="AJ1472" s="61"/>
      <c r="AK1472" s="61"/>
      <c r="AL1472" s="61"/>
      <c r="AM1472" s="61"/>
      <c r="AN1472" s="37"/>
      <c r="AO1472" s="62"/>
      <c r="AP1472" s="62"/>
      <c r="AQ1472" s="62"/>
      <c r="AR1472" s="62"/>
    </row>
    <row r="1473" spans="25:44" x14ac:dyDescent="0.15">
      <c r="Y1473" s="8"/>
      <c r="Z1473" s="61"/>
      <c r="AA1473" s="61"/>
      <c r="AB1473" s="61"/>
      <c r="AC1473" s="61"/>
      <c r="AD1473" s="37"/>
      <c r="AE1473" s="62"/>
      <c r="AF1473" s="62"/>
      <c r="AG1473" s="62"/>
      <c r="AH1473" s="62"/>
      <c r="AI1473" s="37"/>
      <c r="AJ1473" s="61"/>
      <c r="AK1473" s="61"/>
      <c r="AL1473" s="61"/>
      <c r="AM1473" s="61"/>
      <c r="AN1473" s="37"/>
      <c r="AO1473" s="62"/>
      <c r="AP1473" s="62"/>
      <c r="AQ1473" s="62"/>
      <c r="AR1473" s="62"/>
    </row>
    <row r="1474" spans="25:44" x14ac:dyDescent="0.15">
      <c r="Y1474" s="8"/>
      <c r="Z1474" s="61"/>
      <c r="AA1474" s="61"/>
      <c r="AB1474" s="61"/>
      <c r="AC1474" s="61"/>
      <c r="AD1474" s="37"/>
      <c r="AE1474" s="62"/>
      <c r="AF1474" s="62"/>
      <c r="AG1474" s="62"/>
      <c r="AH1474" s="62"/>
      <c r="AI1474" s="37"/>
      <c r="AJ1474" s="61"/>
      <c r="AK1474" s="61"/>
      <c r="AL1474" s="61"/>
      <c r="AM1474" s="61"/>
      <c r="AN1474" s="37"/>
      <c r="AO1474" s="62"/>
      <c r="AP1474" s="62"/>
      <c r="AQ1474" s="62"/>
      <c r="AR1474" s="62"/>
    </row>
    <row r="1475" spans="25:44" x14ac:dyDescent="0.15">
      <c r="Y1475" s="8"/>
      <c r="Z1475" s="61"/>
      <c r="AA1475" s="61"/>
      <c r="AB1475" s="61"/>
      <c r="AC1475" s="61"/>
      <c r="AD1475" s="37"/>
      <c r="AE1475" s="62"/>
      <c r="AF1475" s="62"/>
      <c r="AG1475" s="62"/>
      <c r="AH1475" s="62"/>
      <c r="AI1475" s="37"/>
      <c r="AJ1475" s="61"/>
      <c r="AK1475" s="61"/>
      <c r="AL1475" s="61"/>
      <c r="AM1475" s="61"/>
      <c r="AN1475" s="37"/>
      <c r="AO1475" s="62"/>
      <c r="AP1475" s="62"/>
      <c r="AQ1475" s="62"/>
      <c r="AR1475" s="62"/>
    </row>
    <row r="1476" spans="25:44" x14ac:dyDescent="0.15">
      <c r="Y1476" s="8"/>
      <c r="Z1476" s="61"/>
      <c r="AA1476" s="61"/>
      <c r="AB1476" s="61"/>
      <c r="AC1476" s="61"/>
      <c r="AD1476" s="37"/>
      <c r="AE1476" s="62"/>
      <c r="AF1476" s="62"/>
      <c r="AG1476" s="62"/>
      <c r="AH1476" s="62"/>
      <c r="AI1476" s="37"/>
      <c r="AJ1476" s="61"/>
      <c r="AK1476" s="61"/>
      <c r="AL1476" s="61"/>
      <c r="AM1476" s="61"/>
      <c r="AN1476" s="37"/>
      <c r="AO1476" s="62"/>
      <c r="AP1476" s="62"/>
      <c r="AQ1476" s="62"/>
      <c r="AR1476" s="62"/>
    </row>
    <row r="1477" spans="25:44" x14ac:dyDescent="0.15">
      <c r="Y1477" s="8"/>
      <c r="Z1477" s="61"/>
      <c r="AA1477" s="61"/>
      <c r="AB1477" s="61"/>
      <c r="AC1477" s="61"/>
      <c r="AD1477" s="37"/>
      <c r="AE1477" s="62"/>
      <c r="AF1477" s="62"/>
      <c r="AG1477" s="62"/>
      <c r="AH1477" s="62"/>
      <c r="AI1477" s="37"/>
      <c r="AJ1477" s="61"/>
      <c r="AK1477" s="61"/>
      <c r="AL1477" s="61"/>
      <c r="AM1477" s="61"/>
      <c r="AN1477" s="37"/>
      <c r="AO1477" s="62"/>
      <c r="AP1477" s="62"/>
      <c r="AQ1477" s="62"/>
      <c r="AR1477" s="62"/>
    </row>
    <row r="1478" spans="25:44" x14ac:dyDescent="0.15">
      <c r="Y1478" s="8"/>
      <c r="Z1478" s="61"/>
      <c r="AA1478" s="61"/>
      <c r="AB1478" s="61"/>
      <c r="AC1478" s="61"/>
      <c r="AD1478" s="37"/>
      <c r="AE1478" s="62"/>
      <c r="AF1478" s="62"/>
      <c r="AG1478" s="62"/>
      <c r="AH1478" s="62"/>
      <c r="AI1478" s="37"/>
      <c r="AJ1478" s="61"/>
      <c r="AK1478" s="61"/>
      <c r="AL1478" s="61"/>
      <c r="AM1478" s="61"/>
      <c r="AN1478" s="37"/>
      <c r="AO1478" s="62"/>
      <c r="AP1478" s="62"/>
      <c r="AQ1478" s="62"/>
      <c r="AR1478" s="62"/>
    </row>
    <row r="1479" spans="25:44" x14ac:dyDescent="0.15">
      <c r="Y1479" s="8"/>
      <c r="Z1479" s="61"/>
      <c r="AA1479" s="61"/>
      <c r="AB1479" s="61"/>
      <c r="AC1479" s="61"/>
      <c r="AD1479" s="37"/>
      <c r="AE1479" s="62"/>
      <c r="AF1479" s="62"/>
      <c r="AG1479" s="62"/>
      <c r="AH1479" s="62"/>
      <c r="AI1479" s="37"/>
      <c r="AJ1479" s="61"/>
      <c r="AK1479" s="61"/>
      <c r="AL1479" s="61"/>
      <c r="AM1479" s="61"/>
      <c r="AN1479" s="37"/>
      <c r="AO1479" s="62"/>
      <c r="AP1479" s="62"/>
      <c r="AQ1479" s="62"/>
      <c r="AR1479" s="62"/>
    </row>
    <row r="1480" spans="25:44" x14ac:dyDescent="0.15">
      <c r="Y1480" s="8"/>
      <c r="Z1480" s="61"/>
      <c r="AA1480" s="61"/>
      <c r="AB1480" s="61"/>
      <c r="AC1480" s="61"/>
      <c r="AD1480" s="37"/>
      <c r="AE1480" s="62"/>
      <c r="AF1480" s="62"/>
      <c r="AG1480" s="62"/>
      <c r="AH1480" s="62"/>
      <c r="AI1480" s="37"/>
      <c r="AJ1480" s="61"/>
      <c r="AK1480" s="61"/>
      <c r="AL1480" s="61"/>
      <c r="AM1480" s="61"/>
      <c r="AN1480" s="37"/>
      <c r="AO1480" s="62"/>
      <c r="AP1480" s="62"/>
      <c r="AQ1480" s="62"/>
      <c r="AR1480" s="62"/>
    </row>
    <row r="1481" spans="25:44" x14ac:dyDescent="0.15">
      <c r="Y1481" s="8"/>
      <c r="Z1481" s="61"/>
      <c r="AA1481" s="61"/>
      <c r="AB1481" s="61"/>
      <c r="AC1481" s="61"/>
      <c r="AD1481" s="37"/>
      <c r="AE1481" s="62"/>
      <c r="AF1481" s="62"/>
      <c r="AG1481" s="62"/>
      <c r="AH1481" s="62"/>
      <c r="AI1481" s="37"/>
      <c r="AJ1481" s="61"/>
      <c r="AK1481" s="61"/>
      <c r="AL1481" s="61"/>
      <c r="AM1481" s="61"/>
      <c r="AN1481" s="37"/>
      <c r="AO1481" s="62"/>
      <c r="AP1481" s="62"/>
      <c r="AQ1481" s="62"/>
      <c r="AR1481" s="62"/>
    </row>
    <row r="1482" spans="25:44" x14ac:dyDescent="0.15">
      <c r="Y1482" s="8"/>
      <c r="Z1482" s="61"/>
      <c r="AA1482" s="61"/>
      <c r="AB1482" s="61"/>
      <c r="AC1482" s="61"/>
      <c r="AD1482" s="37"/>
      <c r="AE1482" s="62"/>
      <c r="AF1482" s="62"/>
      <c r="AG1482" s="62"/>
      <c r="AH1482" s="62"/>
      <c r="AI1482" s="37"/>
      <c r="AJ1482" s="61"/>
      <c r="AK1482" s="61"/>
      <c r="AL1482" s="61"/>
      <c r="AM1482" s="61"/>
      <c r="AN1482" s="37"/>
      <c r="AO1482" s="62"/>
      <c r="AP1482" s="62"/>
      <c r="AQ1482" s="62"/>
      <c r="AR1482" s="62"/>
    </row>
    <row r="1483" spans="25:44" x14ac:dyDescent="0.15">
      <c r="Y1483" s="8"/>
      <c r="Z1483" s="61"/>
      <c r="AA1483" s="61"/>
      <c r="AB1483" s="61"/>
      <c r="AC1483" s="61"/>
      <c r="AD1483" s="37"/>
      <c r="AE1483" s="62"/>
      <c r="AF1483" s="62"/>
      <c r="AG1483" s="62"/>
      <c r="AH1483" s="62"/>
      <c r="AI1483" s="37"/>
      <c r="AJ1483" s="61"/>
      <c r="AK1483" s="61"/>
      <c r="AL1483" s="61"/>
      <c r="AM1483" s="61"/>
      <c r="AN1483" s="37"/>
      <c r="AO1483" s="62"/>
      <c r="AP1483" s="62"/>
      <c r="AQ1483" s="62"/>
      <c r="AR1483" s="62"/>
    </row>
    <row r="1484" spans="25:44" x14ac:dyDescent="0.15">
      <c r="Y1484" s="8"/>
      <c r="Z1484" s="61"/>
      <c r="AA1484" s="61"/>
      <c r="AB1484" s="61"/>
      <c r="AC1484" s="61"/>
      <c r="AD1484" s="37"/>
      <c r="AE1484" s="62"/>
      <c r="AF1484" s="62"/>
      <c r="AG1484" s="62"/>
      <c r="AH1484" s="62"/>
      <c r="AI1484" s="37"/>
      <c r="AJ1484" s="61"/>
      <c r="AK1484" s="61"/>
      <c r="AL1484" s="61"/>
      <c r="AM1484" s="61"/>
      <c r="AN1484" s="37"/>
      <c r="AO1484" s="62"/>
      <c r="AP1484" s="62"/>
      <c r="AQ1484" s="62"/>
      <c r="AR1484" s="62"/>
    </row>
    <row r="1485" spans="25:44" x14ac:dyDescent="0.15">
      <c r="Y1485" s="8"/>
      <c r="Z1485" s="61"/>
      <c r="AA1485" s="61"/>
      <c r="AB1485" s="61"/>
      <c r="AC1485" s="61"/>
      <c r="AD1485" s="37"/>
      <c r="AE1485" s="62"/>
      <c r="AF1485" s="62"/>
      <c r="AG1485" s="62"/>
      <c r="AH1485" s="62"/>
      <c r="AI1485" s="37"/>
      <c r="AJ1485" s="61"/>
      <c r="AK1485" s="61"/>
      <c r="AL1485" s="61"/>
      <c r="AM1485" s="61"/>
      <c r="AN1485" s="37"/>
      <c r="AO1485" s="62"/>
      <c r="AP1485" s="62"/>
      <c r="AQ1485" s="62"/>
      <c r="AR1485" s="62"/>
    </row>
    <row r="1486" spans="25:44" x14ac:dyDescent="0.15">
      <c r="Y1486" s="8"/>
      <c r="Z1486" s="61"/>
      <c r="AA1486" s="61"/>
      <c r="AB1486" s="61"/>
      <c r="AC1486" s="61"/>
      <c r="AD1486" s="37"/>
      <c r="AE1486" s="62"/>
      <c r="AF1486" s="62"/>
      <c r="AG1486" s="62"/>
      <c r="AH1486" s="62"/>
      <c r="AI1486" s="37"/>
      <c r="AJ1486" s="61"/>
      <c r="AK1486" s="61"/>
      <c r="AL1486" s="61"/>
      <c r="AM1486" s="61"/>
      <c r="AN1486" s="37"/>
      <c r="AO1486" s="62"/>
      <c r="AP1486" s="62"/>
      <c r="AQ1486" s="62"/>
      <c r="AR1486" s="62"/>
    </row>
    <row r="1487" spans="25:44" x14ac:dyDescent="0.15">
      <c r="Y1487" s="8"/>
      <c r="Z1487" s="61"/>
      <c r="AA1487" s="61"/>
      <c r="AB1487" s="61"/>
      <c r="AC1487" s="61"/>
      <c r="AD1487" s="37"/>
      <c r="AE1487" s="62"/>
      <c r="AF1487" s="62"/>
      <c r="AG1487" s="62"/>
      <c r="AH1487" s="62"/>
      <c r="AI1487" s="37"/>
      <c r="AJ1487" s="61"/>
      <c r="AK1487" s="61"/>
      <c r="AL1487" s="61"/>
      <c r="AM1487" s="61"/>
      <c r="AN1487" s="37"/>
      <c r="AO1487" s="62"/>
      <c r="AP1487" s="62"/>
      <c r="AQ1487" s="62"/>
      <c r="AR1487" s="62"/>
    </row>
    <row r="1488" spans="25:44" x14ac:dyDescent="0.15">
      <c r="Y1488" s="8"/>
      <c r="Z1488" s="61"/>
      <c r="AA1488" s="61"/>
      <c r="AB1488" s="61"/>
      <c r="AC1488" s="61"/>
      <c r="AD1488" s="37"/>
      <c r="AE1488" s="62"/>
      <c r="AF1488" s="62"/>
      <c r="AG1488" s="62"/>
      <c r="AH1488" s="62"/>
      <c r="AI1488" s="37"/>
      <c r="AJ1488" s="61"/>
      <c r="AK1488" s="61"/>
      <c r="AL1488" s="61"/>
      <c r="AM1488" s="61"/>
      <c r="AN1488" s="37"/>
      <c r="AO1488" s="62"/>
      <c r="AP1488" s="62"/>
      <c r="AQ1488" s="62"/>
      <c r="AR1488" s="62"/>
    </row>
    <row r="1489" spans="25:44" x14ac:dyDescent="0.15">
      <c r="Y1489" s="8"/>
      <c r="Z1489" s="61"/>
      <c r="AA1489" s="61"/>
      <c r="AB1489" s="61"/>
      <c r="AC1489" s="61"/>
      <c r="AD1489" s="37"/>
      <c r="AE1489" s="62"/>
      <c r="AF1489" s="62"/>
      <c r="AG1489" s="62"/>
      <c r="AH1489" s="62"/>
      <c r="AI1489" s="37"/>
      <c r="AJ1489" s="61"/>
      <c r="AK1489" s="61"/>
      <c r="AL1489" s="61"/>
      <c r="AM1489" s="61"/>
      <c r="AN1489" s="37"/>
      <c r="AO1489" s="62"/>
      <c r="AP1489" s="62"/>
      <c r="AQ1489" s="62"/>
      <c r="AR1489" s="62"/>
    </row>
    <row r="1490" spans="25:44" x14ac:dyDescent="0.15">
      <c r="Y1490" s="8"/>
      <c r="Z1490" s="61"/>
      <c r="AA1490" s="61"/>
      <c r="AB1490" s="61"/>
      <c r="AC1490" s="61"/>
      <c r="AD1490" s="37"/>
      <c r="AE1490" s="62"/>
      <c r="AF1490" s="62"/>
      <c r="AG1490" s="62"/>
      <c r="AH1490" s="62"/>
      <c r="AI1490" s="37"/>
      <c r="AJ1490" s="61"/>
      <c r="AK1490" s="61"/>
      <c r="AL1490" s="61"/>
      <c r="AM1490" s="61"/>
      <c r="AN1490" s="37"/>
      <c r="AO1490" s="62"/>
      <c r="AP1490" s="62"/>
      <c r="AQ1490" s="62"/>
      <c r="AR1490" s="62"/>
    </row>
    <row r="1491" spans="25:44" x14ac:dyDescent="0.15">
      <c r="Y1491" s="8"/>
      <c r="Z1491" s="61"/>
      <c r="AA1491" s="61"/>
      <c r="AB1491" s="61"/>
      <c r="AC1491" s="61"/>
      <c r="AD1491" s="37"/>
      <c r="AE1491" s="62"/>
      <c r="AF1491" s="62"/>
      <c r="AG1491" s="62"/>
      <c r="AH1491" s="62"/>
      <c r="AI1491" s="37"/>
      <c r="AJ1491" s="61"/>
      <c r="AK1491" s="61"/>
      <c r="AL1491" s="61"/>
      <c r="AM1491" s="61"/>
      <c r="AN1491" s="37"/>
      <c r="AO1491" s="62"/>
      <c r="AP1491" s="62"/>
      <c r="AQ1491" s="62"/>
      <c r="AR1491" s="62"/>
    </row>
    <row r="1492" spans="25:44" x14ac:dyDescent="0.15">
      <c r="Y1492" s="8"/>
      <c r="Z1492" s="61"/>
      <c r="AA1492" s="61"/>
      <c r="AB1492" s="61"/>
      <c r="AC1492" s="61"/>
      <c r="AD1492" s="37"/>
      <c r="AE1492" s="62"/>
      <c r="AF1492" s="62"/>
      <c r="AG1492" s="62"/>
      <c r="AH1492" s="62"/>
      <c r="AI1492" s="37"/>
      <c r="AJ1492" s="61"/>
      <c r="AK1492" s="61"/>
      <c r="AL1492" s="61"/>
      <c r="AM1492" s="61"/>
      <c r="AN1492" s="37"/>
      <c r="AO1492" s="62"/>
      <c r="AP1492" s="62"/>
      <c r="AQ1492" s="62"/>
      <c r="AR1492" s="62"/>
    </row>
    <row r="1493" spans="25:44" x14ac:dyDescent="0.15">
      <c r="Y1493" s="8"/>
      <c r="Z1493" s="61"/>
      <c r="AA1493" s="61"/>
      <c r="AB1493" s="61"/>
      <c r="AC1493" s="61"/>
      <c r="AD1493" s="37"/>
      <c r="AE1493" s="62"/>
      <c r="AF1493" s="62"/>
      <c r="AG1493" s="62"/>
      <c r="AH1493" s="62"/>
      <c r="AI1493" s="37"/>
      <c r="AJ1493" s="61"/>
      <c r="AK1493" s="61"/>
      <c r="AL1493" s="61"/>
      <c r="AM1493" s="61"/>
      <c r="AN1493" s="37"/>
      <c r="AO1493" s="62"/>
      <c r="AP1493" s="62"/>
      <c r="AQ1493" s="62"/>
      <c r="AR1493" s="62"/>
    </row>
    <row r="1494" spans="25:44" x14ac:dyDescent="0.15">
      <c r="Y1494" s="8"/>
      <c r="Z1494" s="61"/>
      <c r="AA1494" s="61"/>
      <c r="AB1494" s="61"/>
      <c r="AC1494" s="61"/>
      <c r="AD1494" s="37"/>
      <c r="AE1494" s="62"/>
      <c r="AF1494" s="62"/>
      <c r="AG1494" s="62"/>
      <c r="AH1494" s="62"/>
      <c r="AI1494" s="37"/>
      <c r="AJ1494" s="61"/>
      <c r="AK1494" s="61"/>
      <c r="AL1494" s="61"/>
      <c r="AM1494" s="61"/>
      <c r="AN1494" s="37"/>
      <c r="AO1494" s="62"/>
      <c r="AP1494" s="62"/>
      <c r="AQ1494" s="62"/>
      <c r="AR1494" s="62"/>
    </row>
    <row r="1495" spans="25:44" x14ac:dyDescent="0.15">
      <c r="Y1495" s="8"/>
      <c r="Z1495" s="61"/>
      <c r="AA1495" s="61"/>
      <c r="AB1495" s="61"/>
      <c r="AC1495" s="61"/>
      <c r="AD1495" s="37"/>
      <c r="AE1495" s="62"/>
      <c r="AF1495" s="62"/>
      <c r="AG1495" s="62"/>
      <c r="AH1495" s="62"/>
      <c r="AI1495" s="37"/>
      <c r="AJ1495" s="61"/>
      <c r="AK1495" s="61"/>
      <c r="AL1495" s="61"/>
      <c r="AM1495" s="61"/>
      <c r="AN1495" s="37"/>
      <c r="AO1495" s="62"/>
      <c r="AP1495" s="62"/>
      <c r="AQ1495" s="62"/>
      <c r="AR1495" s="62"/>
    </row>
    <row r="1496" spans="25:44" x14ac:dyDescent="0.15">
      <c r="Y1496" s="8"/>
      <c r="Z1496" s="61"/>
      <c r="AA1496" s="61"/>
      <c r="AB1496" s="61"/>
      <c r="AC1496" s="61"/>
      <c r="AD1496" s="37"/>
      <c r="AE1496" s="62"/>
      <c r="AF1496" s="62"/>
      <c r="AG1496" s="62"/>
      <c r="AH1496" s="62"/>
      <c r="AI1496" s="37"/>
      <c r="AJ1496" s="61"/>
      <c r="AK1496" s="61"/>
      <c r="AL1496" s="61"/>
      <c r="AM1496" s="61"/>
      <c r="AN1496" s="37"/>
      <c r="AO1496" s="62"/>
      <c r="AP1496" s="62"/>
      <c r="AQ1496" s="62"/>
      <c r="AR1496" s="62"/>
    </row>
    <row r="1497" spans="25:44" x14ac:dyDescent="0.15">
      <c r="Y1497" s="8"/>
      <c r="Z1497" s="61"/>
      <c r="AA1497" s="61"/>
      <c r="AB1497" s="61"/>
      <c r="AC1497" s="61"/>
      <c r="AD1497" s="37"/>
      <c r="AE1497" s="62"/>
      <c r="AF1497" s="62"/>
      <c r="AG1497" s="62"/>
      <c r="AH1497" s="62"/>
      <c r="AI1497" s="37"/>
      <c r="AJ1497" s="61"/>
      <c r="AK1497" s="61"/>
      <c r="AL1497" s="61"/>
      <c r="AM1497" s="61"/>
      <c r="AN1497" s="37"/>
      <c r="AO1497" s="62"/>
      <c r="AP1497" s="62"/>
      <c r="AQ1497" s="62"/>
      <c r="AR1497" s="62"/>
    </row>
    <row r="1498" spans="25:44" x14ac:dyDescent="0.15">
      <c r="Y1498" s="8"/>
      <c r="Z1498" s="61"/>
      <c r="AA1498" s="61"/>
      <c r="AB1498" s="61"/>
      <c r="AC1498" s="61"/>
      <c r="AD1498" s="37"/>
      <c r="AE1498" s="62"/>
      <c r="AF1498" s="62"/>
      <c r="AG1498" s="62"/>
      <c r="AH1498" s="62"/>
      <c r="AI1498" s="37"/>
      <c r="AJ1498" s="61"/>
      <c r="AK1498" s="61"/>
      <c r="AL1498" s="61"/>
      <c r="AM1498" s="61"/>
      <c r="AN1498" s="37"/>
      <c r="AO1498" s="62"/>
      <c r="AP1498" s="62"/>
      <c r="AQ1498" s="62"/>
      <c r="AR1498" s="62"/>
    </row>
    <row r="1499" spans="25:44" x14ac:dyDescent="0.15">
      <c r="Y1499" s="8"/>
      <c r="Z1499" s="61"/>
      <c r="AA1499" s="61"/>
      <c r="AB1499" s="61"/>
      <c r="AC1499" s="61"/>
      <c r="AD1499" s="37"/>
      <c r="AE1499" s="62"/>
      <c r="AF1499" s="62"/>
      <c r="AG1499" s="62"/>
      <c r="AH1499" s="62"/>
      <c r="AI1499" s="37"/>
      <c r="AJ1499" s="61"/>
      <c r="AK1499" s="61"/>
      <c r="AL1499" s="61"/>
      <c r="AM1499" s="61"/>
      <c r="AN1499" s="37"/>
      <c r="AO1499" s="62"/>
      <c r="AP1499" s="62"/>
      <c r="AQ1499" s="62"/>
      <c r="AR1499" s="62"/>
    </row>
    <row r="1500" spans="25:44" x14ac:dyDescent="0.15">
      <c r="Y1500" s="8"/>
      <c r="Z1500" s="61"/>
      <c r="AA1500" s="61"/>
      <c r="AB1500" s="61"/>
      <c r="AC1500" s="61"/>
      <c r="AD1500" s="37"/>
      <c r="AE1500" s="62"/>
      <c r="AF1500" s="62"/>
      <c r="AG1500" s="62"/>
      <c r="AH1500" s="62"/>
      <c r="AI1500" s="37"/>
      <c r="AJ1500" s="61"/>
      <c r="AK1500" s="61"/>
      <c r="AL1500" s="61"/>
      <c r="AM1500" s="61"/>
      <c r="AN1500" s="37"/>
      <c r="AO1500" s="62"/>
      <c r="AP1500" s="62"/>
      <c r="AQ1500" s="62"/>
      <c r="AR1500" s="62"/>
    </row>
    <row r="1501" spans="25:44" x14ac:dyDescent="0.15">
      <c r="Y1501" s="8"/>
      <c r="Z1501" s="61"/>
      <c r="AA1501" s="61"/>
      <c r="AB1501" s="61"/>
      <c r="AC1501" s="61"/>
      <c r="AD1501" s="37"/>
      <c r="AE1501" s="62"/>
      <c r="AF1501" s="62"/>
      <c r="AG1501" s="62"/>
      <c r="AH1501" s="62"/>
      <c r="AI1501" s="37"/>
      <c r="AJ1501" s="61"/>
      <c r="AK1501" s="61"/>
      <c r="AL1501" s="61"/>
      <c r="AM1501" s="61"/>
      <c r="AN1501" s="37"/>
      <c r="AO1501" s="62"/>
      <c r="AP1501" s="62"/>
      <c r="AQ1501" s="62"/>
      <c r="AR1501" s="62"/>
    </row>
    <row r="1502" spans="25:44" x14ac:dyDescent="0.15">
      <c r="Y1502" s="8"/>
      <c r="Z1502" s="61"/>
      <c r="AA1502" s="61"/>
      <c r="AB1502" s="61"/>
      <c r="AC1502" s="61"/>
      <c r="AD1502" s="37"/>
      <c r="AE1502" s="62"/>
      <c r="AF1502" s="62"/>
      <c r="AG1502" s="62"/>
      <c r="AH1502" s="62"/>
      <c r="AI1502" s="37"/>
      <c r="AJ1502" s="61"/>
      <c r="AK1502" s="61"/>
      <c r="AL1502" s="61"/>
      <c r="AM1502" s="61"/>
      <c r="AN1502" s="37"/>
      <c r="AO1502" s="62"/>
      <c r="AP1502" s="62"/>
      <c r="AQ1502" s="62"/>
      <c r="AR1502" s="62"/>
    </row>
    <row r="1503" spans="25:44" x14ac:dyDescent="0.15">
      <c r="Y1503" s="8"/>
      <c r="Z1503" s="61"/>
      <c r="AA1503" s="61"/>
      <c r="AB1503" s="61"/>
      <c r="AC1503" s="61"/>
      <c r="AD1503" s="37"/>
      <c r="AE1503" s="62"/>
      <c r="AF1503" s="62"/>
      <c r="AG1503" s="62"/>
      <c r="AH1503" s="62"/>
      <c r="AI1503" s="37"/>
      <c r="AJ1503" s="61"/>
      <c r="AK1503" s="61"/>
      <c r="AL1503" s="61"/>
      <c r="AM1503" s="61"/>
      <c r="AN1503" s="37"/>
      <c r="AO1503" s="62"/>
      <c r="AP1503" s="62"/>
      <c r="AQ1503" s="62"/>
      <c r="AR1503" s="62"/>
    </row>
    <row r="1504" spans="25:44" x14ac:dyDescent="0.15">
      <c r="Y1504" s="8"/>
      <c r="Z1504" s="61"/>
      <c r="AA1504" s="61"/>
      <c r="AB1504" s="61"/>
      <c r="AC1504" s="61"/>
      <c r="AD1504" s="37"/>
      <c r="AE1504" s="62"/>
      <c r="AF1504" s="62"/>
      <c r="AG1504" s="62"/>
      <c r="AH1504" s="62"/>
      <c r="AI1504" s="37"/>
      <c r="AJ1504" s="61"/>
      <c r="AK1504" s="61"/>
      <c r="AL1504" s="61"/>
      <c r="AM1504" s="61"/>
      <c r="AN1504" s="37"/>
      <c r="AO1504" s="62"/>
      <c r="AP1504" s="62"/>
      <c r="AQ1504" s="62"/>
      <c r="AR1504" s="62"/>
    </row>
    <row r="1505" spans="25:44" x14ac:dyDescent="0.15">
      <c r="Y1505" s="8"/>
      <c r="Z1505" s="61"/>
      <c r="AA1505" s="61"/>
      <c r="AB1505" s="61"/>
      <c r="AC1505" s="61"/>
      <c r="AD1505" s="37"/>
      <c r="AE1505" s="62"/>
      <c r="AF1505" s="62"/>
      <c r="AG1505" s="62"/>
      <c r="AH1505" s="62"/>
      <c r="AI1505" s="37"/>
      <c r="AJ1505" s="61"/>
      <c r="AK1505" s="61"/>
      <c r="AL1505" s="61"/>
      <c r="AM1505" s="61"/>
      <c r="AN1505" s="37"/>
      <c r="AO1505" s="62"/>
      <c r="AP1505" s="62"/>
      <c r="AQ1505" s="62"/>
      <c r="AR1505" s="62"/>
    </row>
    <row r="1506" spans="25:44" x14ac:dyDescent="0.15">
      <c r="Y1506" s="8"/>
      <c r="Z1506" s="61"/>
      <c r="AA1506" s="61"/>
      <c r="AB1506" s="61"/>
      <c r="AC1506" s="61"/>
      <c r="AD1506" s="37"/>
      <c r="AE1506" s="62"/>
      <c r="AF1506" s="62"/>
      <c r="AG1506" s="62"/>
      <c r="AH1506" s="62"/>
      <c r="AI1506" s="37"/>
      <c r="AJ1506" s="61"/>
      <c r="AK1506" s="61"/>
      <c r="AL1506" s="61"/>
      <c r="AM1506" s="61"/>
      <c r="AN1506" s="37"/>
      <c r="AO1506" s="62"/>
      <c r="AP1506" s="62"/>
      <c r="AQ1506" s="62"/>
      <c r="AR1506" s="62"/>
    </row>
    <row r="1507" spans="25:44" x14ac:dyDescent="0.15">
      <c r="Y1507" s="8"/>
      <c r="Z1507" s="61"/>
      <c r="AA1507" s="61"/>
      <c r="AB1507" s="61"/>
      <c r="AC1507" s="61"/>
      <c r="AD1507" s="37"/>
      <c r="AE1507" s="62"/>
      <c r="AF1507" s="62"/>
      <c r="AG1507" s="62"/>
      <c r="AH1507" s="62"/>
      <c r="AI1507" s="37"/>
      <c r="AJ1507" s="61"/>
      <c r="AK1507" s="61"/>
      <c r="AL1507" s="61"/>
      <c r="AM1507" s="61"/>
      <c r="AN1507" s="37"/>
      <c r="AO1507" s="62"/>
      <c r="AP1507" s="62"/>
      <c r="AQ1507" s="62"/>
      <c r="AR1507" s="62"/>
    </row>
    <row r="1508" spans="25:44" x14ac:dyDescent="0.15">
      <c r="Y1508" s="8"/>
      <c r="Z1508" s="61"/>
      <c r="AA1508" s="61"/>
      <c r="AB1508" s="61"/>
      <c r="AC1508" s="61"/>
      <c r="AD1508" s="37"/>
      <c r="AE1508" s="62"/>
      <c r="AF1508" s="62"/>
      <c r="AG1508" s="62"/>
      <c r="AH1508" s="62"/>
      <c r="AI1508" s="37"/>
      <c r="AJ1508" s="61"/>
      <c r="AK1508" s="61"/>
      <c r="AL1508" s="61"/>
      <c r="AM1508" s="61"/>
      <c r="AN1508" s="37"/>
      <c r="AO1508" s="62"/>
      <c r="AP1508" s="62"/>
      <c r="AQ1508" s="62"/>
      <c r="AR1508" s="62"/>
    </row>
    <row r="1509" spans="25:44" x14ac:dyDescent="0.15">
      <c r="Y1509" s="8"/>
      <c r="Z1509" s="61"/>
      <c r="AA1509" s="61"/>
      <c r="AB1509" s="61"/>
      <c r="AC1509" s="61"/>
      <c r="AD1509" s="37"/>
      <c r="AE1509" s="62"/>
      <c r="AF1509" s="62"/>
      <c r="AG1509" s="62"/>
      <c r="AH1509" s="62"/>
      <c r="AI1509" s="37"/>
      <c r="AJ1509" s="61"/>
      <c r="AK1509" s="61"/>
      <c r="AL1509" s="61"/>
      <c r="AM1509" s="61"/>
      <c r="AN1509" s="37"/>
      <c r="AO1509" s="62"/>
      <c r="AP1509" s="62"/>
      <c r="AQ1509" s="62"/>
      <c r="AR1509" s="62"/>
    </row>
    <row r="1510" spans="25:44" x14ac:dyDescent="0.15">
      <c r="Y1510" s="8"/>
      <c r="Z1510" s="61"/>
      <c r="AA1510" s="61"/>
      <c r="AB1510" s="61"/>
      <c r="AC1510" s="61"/>
      <c r="AD1510" s="37"/>
      <c r="AE1510" s="62"/>
      <c r="AF1510" s="62"/>
      <c r="AG1510" s="62"/>
      <c r="AH1510" s="62"/>
      <c r="AI1510" s="37"/>
      <c r="AJ1510" s="61"/>
      <c r="AK1510" s="61"/>
      <c r="AL1510" s="61"/>
      <c r="AM1510" s="61"/>
      <c r="AN1510" s="37"/>
      <c r="AO1510" s="62"/>
      <c r="AP1510" s="62"/>
      <c r="AQ1510" s="62"/>
      <c r="AR1510" s="62"/>
    </row>
    <row r="1511" spans="25:44" x14ac:dyDescent="0.15">
      <c r="Y1511" s="8"/>
      <c r="Z1511" s="61"/>
      <c r="AA1511" s="61"/>
      <c r="AB1511" s="61"/>
      <c r="AC1511" s="61"/>
      <c r="AD1511" s="37"/>
      <c r="AE1511" s="62"/>
      <c r="AF1511" s="62"/>
      <c r="AG1511" s="62"/>
      <c r="AH1511" s="62"/>
      <c r="AI1511" s="37"/>
      <c r="AJ1511" s="61"/>
      <c r="AK1511" s="61"/>
      <c r="AL1511" s="61"/>
      <c r="AM1511" s="61"/>
      <c r="AN1511" s="37"/>
      <c r="AO1511" s="62"/>
      <c r="AP1511" s="62"/>
      <c r="AQ1511" s="62"/>
      <c r="AR1511" s="62"/>
    </row>
    <row r="1512" spans="25:44" x14ac:dyDescent="0.15">
      <c r="Y1512" s="8"/>
      <c r="Z1512" s="61"/>
      <c r="AA1512" s="61"/>
      <c r="AB1512" s="61"/>
      <c r="AC1512" s="61"/>
      <c r="AD1512" s="37"/>
      <c r="AE1512" s="62"/>
      <c r="AF1512" s="62"/>
      <c r="AG1512" s="62"/>
      <c r="AH1512" s="62"/>
      <c r="AI1512" s="37"/>
      <c r="AJ1512" s="61"/>
      <c r="AK1512" s="61"/>
      <c r="AL1512" s="61"/>
      <c r="AM1512" s="61"/>
      <c r="AN1512" s="37"/>
      <c r="AO1512" s="62"/>
      <c r="AP1512" s="62"/>
      <c r="AQ1512" s="62"/>
      <c r="AR1512" s="62"/>
    </row>
    <row r="1513" spans="25:44" x14ac:dyDescent="0.15">
      <c r="Y1513" s="8"/>
      <c r="Z1513" s="61"/>
      <c r="AA1513" s="61"/>
      <c r="AB1513" s="61"/>
      <c r="AC1513" s="61"/>
      <c r="AD1513" s="37"/>
      <c r="AE1513" s="62"/>
      <c r="AF1513" s="62"/>
      <c r="AG1513" s="62"/>
      <c r="AH1513" s="62"/>
      <c r="AI1513" s="37"/>
      <c r="AJ1513" s="61"/>
      <c r="AK1513" s="61"/>
      <c r="AL1513" s="61"/>
      <c r="AM1513" s="61"/>
      <c r="AN1513" s="37"/>
      <c r="AO1513" s="62"/>
      <c r="AP1513" s="62"/>
      <c r="AQ1513" s="62"/>
      <c r="AR1513" s="62"/>
    </row>
    <row r="1514" spans="25:44" x14ac:dyDescent="0.15">
      <c r="Y1514" s="8"/>
      <c r="Z1514" s="61"/>
      <c r="AA1514" s="61"/>
      <c r="AB1514" s="61"/>
      <c r="AC1514" s="61"/>
      <c r="AD1514" s="37"/>
      <c r="AE1514" s="62"/>
      <c r="AF1514" s="62"/>
      <c r="AG1514" s="62"/>
      <c r="AH1514" s="62"/>
      <c r="AI1514" s="37"/>
      <c r="AJ1514" s="61"/>
      <c r="AK1514" s="61"/>
      <c r="AL1514" s="61"/>
      <c r="AM1514" s="61"/>
      <c r="AN1514" s="37"/>
      <c r="AO1514" s="62"/>
      <c r="AP1514" s="62"/>
      <c r="AQ1514" s="62"/>
      <c r="AR1514" s="62"/>
    </row>
    <row r="1515" spans="25:44" x14ac:dyDescent="0.15">
      <c r="Y1515" s="8"/>
      <c r="Z1515" s="61"/>
      <c r="AA1515" s="61"/>
      <c r="AB1515" s="61"/>
      <c r="AC1515" s="61"/>
      <c r="AD1515" s="37"/>
      <c r="AE1515" s="62"/>
      <c r="AF1515" s="62"/>
      <c r="AG1515" s="62"/>
      <c r="AH1515" s="62"/>
      <c r="AI1515" s="37"/>
      <c r="AJ1515" s="61"/>
      <c r="AK1515" s="61"/>
      <c r="AL1515" s="61"/>
      <c r="AM1515" s="61"/>
      <c r="AN1515" s="37"/>
      <c r="AO1515" s="62"/>
      <c r="AP1515" s="62"/>
      <c r="AQ1515" s="62"/>
      <c r="AR1515" s="62"/>
    </row>
    <row r="1516" spans="25:44" x14ac:dyDescent="0.15">
      <c r="Y1516" s="8"/>
      <c r="Z1516" s="61"/>
      <c r="AA1516" s="61"/>
      <c r="AB1516" s="61"/>
      <c r="AC1516" s="61"/>
      <c r="AD1516" s="37"/>
      <c r="AE1516" s="62"/>
      <c r="AF1516" s="62"/>
      <c r="AG1516" s="62"/>
      <c r="AH1516" s="62"/>
      <c r="AI1516" s="37"/>
      <c r="AJ1516" s="61"/>
      <c r="AK1516" s="61"/>
      <c r="AL1516" s="61"/>
      <c r="AM1516" s="61"/>
      <c r="AN1516" s="37"/>
      <c r="AO1516" s="62"/>
      <c r="AP1516" s="62"/>
      <c r="AQ1516" s="62"/>
      <c r="AR1516" s="62"/>
    </row>
    <row r="1517" spans="25:44" x14ac:dyDescent="0.15">
      <c r="Y1517" s="8"/>
      <c r="Z1517" s="61"/>
      <c r="AA1517" s="61"/>
      <c r="AB1517" s="61"/>
      <c r="AC1517" s="61"/>
      <c r="AD1517" s="37"/>
      <c r="AE1517" s="62"/>
      <c r="AF1517" s="62"/>
      <c r="AG1517" s="62"/>
      <c r="AH1517" s="62"/>
      <c r="AI1517" s="37"/>
      <c r="AJ1517" s="61"/>
      <c r="AK1517" s="61"/>
      <c r="AL1517" s="61"/>
      <c r="AM1517" s="61"/>
      <c r="AN1517" s="37"/>
      <c r="AO1517" s="62"/>
      <c r="AP1517" s="62"/>
      <c r="AQ1517" s="62"/>
      <c r="AR1517" s="62"/>
    </row>
    <row r="1518" spans="25:44" x14ac:dyDescent="0.15">
      <c r="Y1518" s="8"/>
      <c r="Z1518" s="61"/>
      <c r="AA1518" s="61"/>
      <c r="AB1518" s="61"/>
      <c r="AC1518" s="61"/>
      <c r="AD1518" s="37"/>
      <c r="AE1518" s="62"/>
      <c r="AF1518" s="62"/>
      <c r="AG1518" s="62"/>
      <c r="AH1518" s="62"/>
      <c r="AI1518" s="37"/>
      <c r="AJ1518" s="61"/>
      <c r="AK1518" s="61"/>
      <c r="AL1518" s="61"/>
      <c r="AM1518" s="61"/>
      <c r="AN1518" s="37"/>
      <c r="AO1518" s="62"/>
      <c r="AP1518" s="62"/>
      <c r="AQ1518" s="62"/>
      <c r="AR1518" s="62"/>
    </row>
    <row r="1519" spans="25:44" x14ac:dyDescent="0.15">
      <c r="Y1519" s="8"/>
      <c r="Z1519" s="61"/>
      <c r="AA1519" s="61"/>
      <c r="AB1519" s="61"/>
      <c r="AC1519" s="61"/>
      <c r="AD1519" s="37"/>
      <c r="AE1519" s="62"/>
      <c r="AF1519" s="62"/>
      <c r="AG1519" s="62"/>
      <c r="AH1519" s="62"/>
      <c r="AI1519" s="37"/>
      <c r="AJ1519" s="61"/>
      <c r="AK1519" s="61"/>
      <c r="AL1519" s="61"/>
      <c r="AM1519" s="61"/>
      <c r="AN1519" s="37"/>
      <c r="AO1519" s="62"/>
      <c r="AP1519" s="62"/>
      <c r="AQ1519" s="62"/>
      <c r="AR1519" s="62"/>
    </row>
    <row r="1520" spans="25:44" x14ac:dyDescent="0.15">
      <c r="Y1520" s="8"/>
      <c r="Z1520" s="61"/>
      <c r="AA1520" s="61"/>
      <c r="AB1520" s="61"/>
      <c r="AC1520" s="61"/>
      <c r="AD1520" s="37"/>
      <c r="AE1520" s="62"/>
      <c r="AF1520" s="62"/>
      <c r="AG1520" s="62"/>
      <c r="AH1520" s="62"/>
      <c r="AI1520" s="37"/>
      <c r="AJ1520" s="61"/>
      <c r="AK1520" s="61"/>
      <c r="AL1520" s="61"/>
      <c r="AM1520" s="61"/>
      <c r="AN1520" s="37"/>
      <c r="AO1520" s="62"/>
      <c r="AP1520" s="62"/>
      <c r="AQ1520" s="62"/>
      <c r="AR1520" s="62"/>
    </row>
    <row r="1521" spans="25:44" x14ac:dyDescent="0.15">
      <c r="Y1521" s="8"/>
      <c r="Z1521" s="61"/>
      <c r="AA1521" s="61"/>
      <c r="AB1521" s="61"/>
      <c r="AC1521" s="61"/>
      <c r="AD1521" s="37"/>
      <c r="AE1521" s="62"/>
      <c r="AF1521" s="62"/>
      <c r="AG1521" s="62"/>
      <c r="AH1521" s="62"/>
      <c r="AI1521" s="37"/>
      <c r="AJ1521" s="61"/>
      <c r="AK1521" s="61"/>
      <c r="AL1521" s="61"/>
      <c r="AM1521" s="61"/>
      <c r="AN1521" s="37"/>
      <c r="AO1521" s="62"/>
      <c r="AP1521" s="62"/>
      <c r="AQ1521" s="62"/>
      <c r="AR1521" s="62"/>
    </row>
    <row r="1522" spans="25:44" x14ac:dyDescent="0.15">
      <c r="Y1522" s="8"/>
      <c r="Z1522" s="61"/>
      <c r="AA1522" s="61"/>
      <c r="AB1522" s="61"/>
      <c r="AC1522" s="61"/>
      <c r="AD1522" s="37"/>
      <c r="AE1522" s="62"/>
      <c r="AF1522" s="62"/>
      <c r="AG1522" s="62"/>
      <c r="AH1522" s="62"/>
      <c r="AI1522" s="37"/>
      <c r="AJ1522" s="61"/>
      <c r="AK1522" s="61"/>
      <c r="AL1522" s="61"/>
      <c r="AM1522" s="61"/>
      <c r="AN1522" s="37"/>
      <c r="AO1522" s="62"/>
      <c r="AP1522" s="62"/>
      <c r="AQ1522" s="62"/>
      <c r="AR1522" s="62"/>
    </row>
    <row r="1523" spans="25:44" x14ac:dyDescent="0.15">
      <c r="Y1523" s="8"/>
      <c r="Z1523" s="61"/>
      <c r="AA1523" s="61"/>
      <c r="AB1523" s="61"/>
      <c r="AC1523" s="61"/>
      <c r="AD1523" s="37"/>
      <c r="AE1523" s="62"/>
      <c r="AF1523" s="62"/>
      <c r="AG1523" s="62"/>
      <c r="AH1523" s="62"/>
      <c r="AI1523" s="37"/>
      <c r="AJ1523" s="61"/>
      <c r="AK1523" s="61"/>
      <c r="AL1523" s="61"/>
      <c r="AM1523" s="61"/>
      <c r="AN1523" s="37"/>
      <c r="AO1523" s="62"/>
      <c r="AP1523" s="62"/>
      <c r="AQ1523" s="62"/>
      <c r="AR1523" s="62"/>
    </row>
    <row r="1524" spans="25:44" x14ac:dyDescent="0.15">
      <c r="Y1524" s="8"/>
      <c r="Z1524" s="61"/>
      <c r="AA1524" s="61"/>
      <c r="AB1524" s="61"/>
      <c r="AC1524" s="61"/>
      <c r="AD1524" s="37"/>
      <c r="AE1524" s="62"/>
      <c r="AF1524" s="62"/>
      <c r="AG1524" s="62"/>
      <c r="AH1524" s="62"/>
      <c r="AI1524" s="37"/>
      <c r="AJ1524" s="61"/>
      <c r="AK1524" s="61"/>
      <c r="AL1524" s="61"/>
      <c r="AM1524" s="61"/>
      <c r="AN1524" s="37"/>
      <c r="AO1524" s="62"/>
      <c r="AP1524" s="62"/>
      <c r="AQ1524" s="62"/>
      <c r="AR1524" s="62"/>
    </row>
    <row r="1525" spans="25:44" x14ac:dyDescent="0.15">
      <c r="Y1525" s="8"/>
      <c r="Z1525" s="61"/>
      <c r="AA1525" s="61"/>
      <c r="AB1525" s="61"/>
      <c r="AC1525" s="61"/>
      <c r="AD1525" s="37"/>
      <c r="AE1525" s="62"/>
      <c r="AF1525" s="62"/>
      <c r="AG1525" s="62"/>
      <c r="AH1525" s="62"/>
      <c r="AI1525" s="37"/>
      <c r="AJ1525" s="61"/>
      <c r="AK1525" s="61"/>
      <c r="AL1525" s="61"/>
      <c r="AM1525" s="61"/>
      <c r="AN1525" s="37"/>
      <c r="AO1525" s="62"/>
      <c r="AP1525" s="62"/>
      <c r="AQ1525" s="62"/>
      <c r="AR1525" s="62"/>
    </row>
    <row r="1526" spans="25:44" x14ac:dyDescent="0.15">
      <c r="Y1526" s="8"/>
      <c r="Z1526" s="61"/>
      <c r="AA1526" s="61"/>
      <c r="AB1526" s="61"/>
      <c r="AC1526" s="61"/>
      <c r="AD1526" s="37"/>
      <c r="AE1526" s="62"/>
      <c r="AF1526" s="62"/>
      <c r="AG1526" s="62"/>
      <c r="AH1526" s="62"/>
      <c r="AI1526" s="37"/>
      <c r="AJ1526" s="61"/>
      <c r="AK1526" s="61"/>
      <c r="AL1526" s="61"/>
      <c r="AM1526" s="61"/>
      <c r="AN1526" s="37"/>
      <c r="AO1526" s="62"/>
      <c r="AP1526" s="62"/>
      <c r="AQ1526" s="62"/>
      <c r="AR1526" s="62"/>
    </row>
    <row r="1527" spans="25:44" x14ac:dyDescent="0.15">
      <c r="Y1527" s="8"/>
      <c r="Z1527" s="61"/>
      <c r="AA1527" s="61"/>
      <c r="AB1527" s="61"/>
      <c r="AC1527" s="61"/>
      <c r="AD1527" s="37"/>
      <c r="AE1527" s="62"/>
      <c r="AF1527" s="62"/>
      <c r="AG1527" s="62"/>
      <c r="AH1527" s="62"/>
      <c r="AI1527" s="37"/>
      <c r="AJ1527" s="61"/>
      <c r="AK1527" s="61"/>
      <c r="AL1527" s="61"/>
      <c r="AM1527" s="61"/>
      <c r="AN1527" s="37"/>
      <c r="AO1527" s="62"/>
      <c r="AP1527" s="62"/>
      <c r="AQ1527" s="62"/>
      <c r="AR1527" s="62"/>
    </row>
    <row r="1528" spans="25:44" x14ac:dyDescent="0.15">
      <c r="Y1528" s="8"/>
      <c r="Z1528" s="61"/>
      <c r="AA1528" s="61"/>
      <c r="AB1528" s="61"/>
      <c r="AC1528" s="61"/>
      <c r="AD1528" s="37"/>
      <c r="AE1528" s="62"/>
      <c r="AF1528" s="62"/>
      <c r="AG1528" s="62"/>
      <c r="AH1528" s="62"/>
      <c r="AI1528" s="37"/>
      <c r="AJ1528" s="61"/>
      <c r="AK1528" s="61"/>
      <c r="AL1528" s="61"/>
      <c r="AM1528" s="61"/>
      <c r="AN1528" s="37"/>
      <c r="AO1528" s="62"/>
      <c r="AP1528" s="62"/>
      <c r="AQ1528" s="62"/>
      <c r="AR1528" s="62"/>
    </row>
    <row r="1529" spans="25:44" x14ac:dyDescent="0.15">
      <c r="Y1529" s="8"/>
      <c r="Z1529" s="61"/>
      <c r="AA1529" s="61"/>
      <c r="AB1529" s="61"/>
      <c r="AC1529" s="61"/>
      <c r="AD1529" s="37"/>
      <c r="AE1529" s="62"/>
      <c r="AF1529" s="62"/>
      <c r="AG1529" s="62"/>
      <c r="AH1529" s="62"/>
      <c r="AI1529" s="37"/>
      <c r="AJ1529" s="61"/>
      <c r="AK1529" s="61"/>
      <c r="AL1529" s="61"/>
      <c r="AM1529" s="61"/>
      <c r="AN1529" s="37"/>
      <c r="AO1529" s="62"/>
      <c r="AP1529" s="62"/>
      <c r="AQ1529" s="62"/>
      <c r="AR1529" s="62"/>
    </row>
    <row r="1530" spans="25:44" x14ac:dyDescent="0.15">
      <c r="Y1530" s="8"/>
      <c r="Z1530" s="61"/>
      <c r="AA1530" s="61"/>
      <c r="AB1530" s="61"/>
      <c r="AC1530" s="61"/>
      <c r="AD1530" s="37"/>
      <c r="AE1530" s="62"/>
      <c r="AF1530" s="62"/>
      <c r="AG1530" s="62"/>
      <c r="AH1530" s="62"/>
      <c r="AI1530" s="37"/>
      <c r="AJ1530" s="61"/>
      <c r="AK1530" s="61"/>
      <c r="AL1530" s="61"/>
      <c r="AM1530" s="61"/>
      <c r="AN1530" s="37"/>
      <c r="AO1530" s="62"/>
      <c r="AP1530" s="62"/>
      <c r="AQ1530" s="62"/>
      <c r="AR1530" s="62"/>
    </row>
    <row r="1531" spans="25:44" x14ac:dyDescent="0.15">
      <c r="Y1531" s="8"/>
      <c r="Z1531" s="61"/>
      <c r="AA1531" s="61"/>
      <c r="AB1531" s="61"/>
      <c r="AC1531" s="61"/>
      <c r="AD1531" s="37"/>
      <c r="AE1531" s="62"/>
      <c r="AF1531" s="62"/>
      <c r="AG1531" s="62"/>
      <c r="AH1531" s="62"/>
      <c r="AI1531" s="37"/>
      <c r="AJ1531" s="61"/>
      <c r="AK1531" s="61"/>
      <c r="AL1531" s="61"/>
      <c r="AM1531" s="61"/>
      <c r="AN1531" s="37"/>
      <c r="AO1531" s="62"/>
      <c r="AP1531" s="62"/>
      <c r="AQ1531" s="62"/>
      <c r="AR1531" s="62"/>
    </row>
    <row r="1532" spans="25:44" x14ac:dyDescent="0.15">
      <c r="Y1532" s="8"/>
      <c r="Z1532" s="61"/>
      <c r="AA1532" s="61"/>
      <c r="AB1532" s="61"/>
      <c r="AC1532" s="61"/>
      <c r="AD1532" s="37"/>
      <c r="AE1532" s="62"/>
      <c r="AF1532" s="62"/>
      <c r="AG1532" s="62"/>
      <c r="AH1532" s="62"/>
      <c r="AI1532" s="37"/>
      <c r="AJ1532" s="61"/>
      <c r="AK1532" s="61"/>
      <c r="AL1532" s="61"/>
      <c r="AM1532" s="61"/>
      <c r="AN1532" s="37"/>
      <c r="AO1532" s="62"/>
      <c r="AP1532" s="62"/>
      <c r="AQ1532" s="62"/>
      <c r="AR1532" s="62"/>
    </row>
    <row r="1533" spans="25:44" x14ac:dyDescent="0.15">
      <c r="Y1533" s="8"/>
      <c r="Z1533" s="61"/>
      <c r="AA1533" s="61"/>
      <c r="AB1533" s="61"/>
      <c r="AC1533" s="61"/>
      <c r="AD1533" s="37"/>
      <c r="AE1533" s="62"/>
      <c r="AF1533" s="62"/>
      <c r="AG1533" s="62"/>
      <c r="AH1533" s="62"/>
      <c r="AI1533" s="37"/>
      <c r="AJ1533" s="61"/>
      <c r="AK1533" s="61"/>
      <c r="AL1533" s="61"/>
      <c r="AM1533" s="61"/>
      <c r="AN1533" s="37"/>
      <c r="AO1533" s="62"/>
      <c r="AP1533" s="62"/>
      <c r="AQ1533" s="62"/>
      <c r="AR1533" s="62"/>
    </row>
    <row r="1534" spans="25:44" x14ac:dyDescent="0.15">
      <c r="Y1534" s="8"/>
      <c r="Z1534" s="61"/>
      <c r="AA1534" s="61"/>
      <c r="AB1534" s="61"/>
      <c r="AC1534" s="61"/>
      <c r="AD1534" s="37"/>
      <c r="AE1534" s="62"/>
      <c r="AF1534" s="62"/>
      <c r="AG1534" s="62"/>
      <c r="AH1534" s="62"/>
      <c r="AI1534" s="37"/>
      <c r="AJ1534" s="61"/>
      <c r="AK1534" s="61"/>
      <c r="AL1534" s="61"/>
      <c r="AM1534" s="61"/>
      <c r="AN1534" s="37"/>
      <c r="AO1534" s="62"/>
      <c r="AP1534" s="62"/>
      <c r="AQ1534" s="62"/>
      <c r="AR1534" s="62"/>
    </row>
    <row r="1535" spans="25:44" x14ac:dyDescent="0.15">
      <c r="Y1535" s="8"/>
      <c r="Z1535" s="61"/>
      <c r="AA1535" s="61"/>
      <c r="AB1535" s="61"/>
      <c r="AC1535" s="61"/>
      <c r="AD1535" s="37"/>
      <c r="AE1535" s="62"/>
      <c r="AF1535" s="62"/>
      <c r="AG1535" s="62"/>
      <c r="AH1535" s="62"/>
      <c r="AI1535" s="37"/>
      <c r="AJ1535" s="61"/>
      <c r="AK1535" s="61"/>
      <c r="AL1535" s="61"/>
      <c r="AM1535" s="61"/>
      <c r="AN1535" s="37"/>
      <c r="AO1535" s="62"/>
      <c r="AP1535" s="62"/>
      <c r="AQ1535" s="62"/>
      <c r="AR1535" s="62"/>
    </row>
    <row r="1536" spans="25:44" x14ac:dyDescent="0.15">
      <c r="Y1536" s="8"/>
      <c r="Z1536" s="61"/>
      <c r="AA1536" s="61"/>
      <c r="AB1536" s="61"/>
      <c r="AC1536" s="61"/>
      <c r="AD1536" s="37"/>
      <c r="AE1536" s="62"/>
      <c r="AF1536" s="62"/>
      <c r="AG1536" s="62"/>
      <c r="AH1536" s="62"/>
      <c r="AI1536" s="37"/>
      <c r="AJ1536" s="61"/>
      <c r="AK1536" s="61"/>
      <c r="AL1536" s="61"/>
      <c r="AM1536" s="61"/>
      <c r="AN1536" s="37"/>
      <c r="AO1536" s="62"/>
      <c r="AP1536" s="62"/>
      <c r="AQ1536" s="62"/>
      <c r="AR1536" s="62"/>
    </row>
    <row r="1537" spans="25:44" x14ac:dyDescent="0.15">
      <c r="Y1537" s="8"/>
      <c r="Z1537" s="61"/>
      <c r="AA1537" s="61"/>
      <c r="AB1537" s="61"/>
      <c r="AC1537" s="61"/>
      <c r="AD1537" s="37"/>
      <c r="AE1537" s="62"/>
      <c r="AF1537" s="62"/>
      <c r="AG1537" s="62"/>
      <c r="AH1537" s="62"/>
      <c r="AI1537" s="37"/>
      <c r="AJ1537" s="61"/>
      <c r="AK1537" s="61"/>
      <c r="AL1537" s="61"/>
      <c r="AM1537" s="61"/>
      <c r="AN1537" s="37"/>
      <c r="AO1537" s="62"/>
      <c r="AP1537" s="62"/>
      <c r="AQ1537" s="62"/>
      <c r="AR1537" s="62"/>
    </row>
    <row r="1538" spans="25:44" x14ac:dyDescent="0.15">
      <c r="Y1538" s="8"/>
      <c r="Z1538" s="61"/>
      <c r="AA1538" s="61"/>
      <c r="AB1538" s="61"/>
      <c r="AC1538" s="61"/>
      <c r="AD1538" s="37"/>
      <c r="AE1538" s="62"/>
      <c r="AF1538" s="62"/>
      <c r="AG1538" s="62"/>
      <c r="AH1538" s="62"/>
      <c r="AI1538" s="37"/>
      <c r="AJ1538" s="61"/>
      <c r="AK1538" s="61"/>
      <c r="AL1538" s="61"/>
      <c r="AM1538" s="61"/>
      <c r="AN1538" s="37"/>
      <c r="AO1538" s="62"/>
      <c r="AP1538" s="62"/>
      <c r="AQ1538" s="62"/>
      <c r="AR1538" s="62"/>
    </row>
    <row r="1539" spans="25:44" x14ac:dyDescent="0.15">
      <c r="Y1539" s="8"/>
      <c r="Z1539" s="61"/>
      <c r="AA1539" s="61"/>
      <c r="AB1539" s="61"/>
      <c r="AC1539" s="61"/>
      <c r="AD1539" s="37"/>
      <c r="AE1539" s="62"/>
      <c r="AF1539" s="62"/>
      <c r="AG1539" s="62"/>
      <c r="AH1539" s="62"/>
      <c r="AI1539" s="37"/>
      <c r="AJ1539" s="61"/>
      <c r="AK1539" s="61"/>
      <c r="AL1539" s="61"/>
      <c r="AM1539" s="61"/>
      <c r="AN1539" s="37"/>
      <c r="AO1539" s="62"/>
      <c r="AP1539" s="62"/>
      <c r="AQ1539" s="62"/>
      <c r="AR1539" s="62"/>
    </row>
    <row r="1540" spans="25:44" x14ac:dyDescent="0.15">
      <c r="Y1540" s="8"/>
      <c r="Z1540" s="61"/>
      <c r="AA1540" s="61"/>
      <c r="AB1540" s="61"/>
      <c r="AC1540" s="61"/>
      <c r="AD1540" s="37"/>
      <c r="AE1540" s="62"/>
      <c r="AF1540" s="62"/>
      <c r="AG1540" s="62"/>
      <c r="AH1540" s="62"/>
      <c r="AI1540" s="37"/>
      <c r="AJ1540" s="61"/>
      <c r="AK1540" s="61"/>
      <c r="AL1540" s="61"/>
      <c r="AM1540" s="61"/>
      <c r="AN1540" s="37"/>
      <c r="AO1540" s="62"/>
      <c r="AP1540" s="62"/>
      <c r="AQ1540" s="62"/>
      <c r="AR1540" s="62"/>
    </row>
    <row r="1541" spans="25:44" x14ac:dyDescent="0.15">
      <c r="Y1541" s="8"/>
      <c r="Z1541" s="61"/>
      <c r="AA1541" s="61"/>
      <c r="AB1541" s="61"/>
      <c r="AC1541" s="61"/>
      <c r="AD1541" s="37"/>
      <c r="AE1541" s="62"/>
      <c r="AF1541" s="62"/>
      <c r="AG1541" s="62"/>
      <c r="AH1541" s="62"/>
      <c r="AI1541" s="37"/>
      <c r="AJ1541" s="61"/>
      <c r="AK1541" s="61"/>
      <c r="AL1541" s="61"/>
      <c r="AM1541" s="61"/>
      <c r="AN1541" s="37"/>
      <c r="AO1541" s="62"/>
      <c r="AP1541" s="62"/>
      <c r="AQ1541" s="62"/>
      <c r="AR1541" s="62"/>
    </row>
    <row r="1542" spans="25:44" x14ac:dyDescent="0.15">
      <c r="Y1542" s="8"/>
      <c r="Z1542" s="61"/>
      <c r="AA1542" s="61"/>
      <c r="AB1542" s="61"/>
      <c r="AC1542" s="61"/>
      <c r="AD1542" s="37"/>
      <c r="AE1542" s="62"/>
      <c r="AF1542" s="62"/>
      <c r="AG1542" s="62"/>
      <c r="AH1542" s="62"/>
      <c r="AI1542" s="37"/>
      <c r="AJ1542" s="61"/>
      <c r="AK1542" s="61"/>
      <c r="AL1542" s="61"/>
      <c r="AM1542" s="61"/>
      <c r="AN1542" s="37"/>
      <c r="AO1542" s="62"/>
      <c r="AP1542" s="62"/>
      <c r="AQ1542" s="62"/>
      <c r="AR1542" s="62"/>
    </row>
    <row r="1543" spans="25:44" x14ac:dyDescent="0.15">
      <c r="Y1543" s="8"/>
      <c r="Z1543" s="61"/>
      <c r="AA1543" s="61"/>
      <c r="AB1543" s="61"/>
      <c r="AC1543" s="61"/>
      <c r="AD1543" s="37"/>
      <c r="AE1543" s="62"/>
      <c r="AF1543" s="62"/>
      <c r="AG1543" s="62"/>
      <c r="AH1543" s="62"/>
      <c r="AI1543" s="37"/>
      <c r="AJ1543" s="61"/>
      <c r="AK1543" s="61"/>
      <c r="AL1543" s="61"/>
      <c r="AM1543" s="61"/>
      <c r="AN1543" s="37"/>
      <c r="AO1543" s="62"/>
      <c r="AP1543" s="62"/>
      <c r="AQ1543" s="62"/>
      <c r="AR1543" s="62"/>
    </row>
    <row r="1544" spans="25:44" x14ac:dyDescent="0.15">
      <c r="Y1544" s="8"/>
      <c r="Z1544" s="61"/>
      <c r="AA1544" s="61"/>
      <c r="AB1544" s="61"/>
      <c r="AC1544" s="61"/>
      <c r="AD1544" s="37"/>
      <c r="AE1544" s="62"/>
      <c r="AF1544" s="62"/>
      <c r="AG1544" s="62"/>
      <c r="AH1544" s="62"/>
      <c r="AI1544" s="37"/>
      <c r="AJ1544" s="61"/>
      <c r="AK1544" s="61"/>
      <c r="AL1544" s="61"/>
      <c r="AM1544" s="61"/>
      <c r="AN1544" s="37"/>
      <c r="AO1544" s="62"/>
      <c r="AP1544" s="62"/>
      <c r="AQ1544" s="62"/>
      <c r="AR1544" s="62"/>
    </row>
    <row r="1545" spans="25:44" x14ac:dyDescent="0.15">
      <c r="Y1545" s="8"/>
      <c r="Z1545" s="61"/>
      <c r="AA1545" s="61"/>
      <c r="AB1545" s="61"/>
      <c r="AC1545" s="61"/>
      <c r="AD1545" s="37"/>
      <c r="AE1545" s="62"/>
      <c r="AF1545" s="62"/>
      <c r="AG1545" s="62"/>
      <c r="AH1545" s="62"/>
      <c r="AI1545" s="37"/>
      <c r="AJ1545" s="61"/>
      <c r="AK1545" s="61"/>
      <c r="AL1545" s="61"/>
      <c r="AM1545" s="61"/>
      <c r="AN1545" s="37"/>
      <c r="AO1545" s="62"/>
      <c r="AP1545" s="62"/>
      <c r="AQ1545" s="62"/>
      <c r="AR1545" s="62"/>
    </row>
    <row r="1546" spans="25:44" x14ac:dyDescent="0.15">
      <c r="Y1546" s="8"/>
      <c r="Z1546" s="61"/>
      <c r="AA1546" s="61"/>
      <c r="AB1546" s="61"/>
      <c r="AC1546" s="61"/>
      <c r="AD1546" s="37"/>
      <c r="AE1546" s="62"/>
      <c r="AF1546" s="62"/>
      <c r="AG1546" s="62"/>
      <c r="AH1546" s="62"/>
      <c r="AI1546" s="37"/>
      <c r="AJ1546" s="61"/>
      <c r="AK1546" s="61"/>
      <c r="AL1546" s="61"/>
      <c r="AM1546" s="61"/>
      <c r="AN1546" s="37"/>
      <c r="AO1546" s="62"/>
      <c r="AP1546" s="62"/>
      <c r="AQ1546" s="62"/>
      <c r="AR1546" s="62"/>
    </row>
    <row r="1547" spans="25:44" x14ac:dyDescent="0.15">
      <c r="Y1547" s="8"/>
      <c r="Z1547" s="61"/>
      <c r="AA1547" s="61"/>
      <c r="AB1547" s="61"/>
      <c r="AC1547" s="61"/>
      <c r="AD1547" s="37"/>
      <c r="AE1547" s="62"/>
      <c r="AF1547" s="62"/>
      <c r="AG1547" s="62"/>
      <c r="AH1547" s="62"/>
      <c r="AI1547" s="37"/>
      <c r="AJ1547" s="61"/>
      <c r="AK1547" s="61"/>
      <c r="AL1547" s="61"/>
      <c r="AM1547" s="61"/>
      <c r="AN1547" s="37"/>
      <c r="AO1547" s="62"/>
      <c r="AP1547" s="62"/>
      <c r="AQ1547" s="62"/>
      <c r="AR1547" s="62"/>
    </row>
    <row r="1548" spans="25:44" x14ac:dyDescent="0.15">
      <c r="Y1548" s="8"/>
      <c r="Z1548" s="61"/>
      <c r="AA1548" s="61"/>
      <c r="AB1548" s="61"/>
      <c r="AC1548" s="61"/>
      <c r="AD1548" s="37"/>
      <c r="AE1548" s="62"/>
      <c r="AF1548" s="62"/>
      <c r="AG1548" s="62"/>
      <c r="AH1548" s="62"/>
      <c r="AI1548" s="37"/>
      <c r="AJ1548" s="61"/>
      <c r="AK1548" s="61"/>
      <c r="AL1548" s="61"/>
      <c r="AM1548" s="61"/>
      <c r="AN1548" s="37"/>
      <c r="AO1548" s="62"/>
      <c r="AP1548" s="62"/>
      <c r="AQ1548" s="62"/>
      <c r="AR1548" s="62"/>
    </row>
    <row r="1549" spans="25:44" x14ac:dyDescent="0.15">
      <c r="Y1549" s="8"/>
      <c r="Z1549" s="61"/>
      <c r="AA1549" s="61"/>
      <c r="AB1549" s="61"/>
      <c r="AC1549" s="61"/>
      <c r="AD1549" s="37"/>
      <c r="AE1549" s="62"/>
      <c r="AF1549" s="62"/>
      <c r="AG1549" s="62"/>
      <c r="AH1549" s="62"/>
      <c r="AI1549" s="37"/>
      <c r="AJ1549" s="61"/>
      <c r="AK1549" s="61"/>
      <c r="AL1549" s="61"/>
      <c r="AM1549" s="61"/>
      <c r="AN1549" s="37"/>
      <c r="AO1549" s="62"/>
      <c r="AP1549" s="62"/>
      <c r="AQ1549" s="62"/>
      <c r="AR1549" s="62"/>
    </row>
    <row r="1550" spans="25:44" x14ac:dyDescent="0.15">
      <c r="Y1550" s="8"/>
      <c r="Z1550" s="61"/>
      <c r="AA1550" s="61"/>
      <c r="AB1550" s="61"/>
      <c r="AC1550" s="61"/>
      <c r="AD1550" s="37"/>
      <c r="AE1550" s="62"/>
      <c r="AF1550" s="62"/>
      <c r="AG1550" s="62"/>
      <c r="AH1550" s="62"/>
      <c r="AI1550" s="37"/>
      <c r="AJ1550" s="61"/>
      <c r="AK1550" s="61"/>
      <c r="AL1550" s="61"/>
      <c r="AM1550" s="61"/>
      <c r="AN1550" s="37"/>
      <c r="AO1550" s="62"/>
      <c r="AP1550" s="62"/>
      <c r="AQ1550" s="62"/>
      <c r="AR1550" s="62"/>
    </row>
    <row r="1551" spans="25:44" x14ac:dyDescent="0.15">
      <c r="Y1551" s="8"/>
      <c r="Z1551" s="61"/>
      <c r="AA1551" s="61"/>
      <c r="AB1551" s="61"/>
      <c r="AC1551" s="61"/>
      <c r="AD1551" s="37"/>
      <c r="AE1551" s="62"/>
      <c r="AF1551" s="62"/>
      <c r="AG1551" s="62"/>
      <c r="AH1551" s="62"/>
      <c r="AI1551" s="37"/>
      <c r="AJ1551" s="61"/>
      <c r="AK1551" s="61"/>
      <c r="AL1551" s="61"/>
      <c r="AM1551" s="61"/>
      <c r="AN1551" s="37"/>
      <c r="AO1551" s="62"/>
      <c r="AP1551" s="62"/>
      <c r="AQ1551" s="62"/>
      <c r="AR1551" s="62"/>
    </row>
    <row r="1552" spans="25:44" x14ac:dyDescent="0.15">
      <c r="Y1552" s="8"/>
      <c r="Z1552" s="61"/>
      <c r="AA1552" s="61"/>
      <c r="AB1552" s="61"/>
      <c r="AC1552" s="61"/>
      <c r="AD1552" s="37"/>
      <c r="AE1552" s="62"/>
      <c r="AF1552" s="62"/>
      <c r="AG1552" s="62"/>
      <c r="AH1552" s="62"/>
      <c r="AI1552" s="37"/>
      <c r="AJ1552" s="61"/>
      <c r="AK1552" s="61"/>
      <c r="AL1552" s="61"/>
      <c r="AM1552" s="61"/>
      <c r="AN1552" s="37"/>
      <c r="AO1552" s="62"/>
      <c r="AP1552" s="62"/>
      <c r="AQ1552" s="62"/>
      <c r="AR1552" s="62"/>
    </row>
    <row r="1553" spans="25:44" x14ac:dyDescent="0.15">
      <c r="Y1553" s="8"/>
      <c r="Z1553" s="61"/>
      <c r="AA1553" s="61"/>
      <c r="AB1553" s="61"/>
      <c r="AC1553" s="61"/>
      <c r="AD1553" s="37"/>
      <c r="AE1553" s="62"/>
      <c r="AF1553" s="62"/>
      <c r="AG1553" s="62"/>
      <c r="AH1553" s="62"/>
      <c r="AI1553" s="37"/>
      <c r="AJ1553" s="61"/>
      <c r="AK1553" s="61"/>
      <c r="AL1553" s="61"/>
      <c r="AM1553" s="61"/>
      <c r="AN1553" s="37"/>
      <c r="AO1553" s="62"/>
      <c r="AP1553" s="62"/>
      <c r="AQ1553" s="62"/>
      <c r="AR1553" s="62"/>
    </row>
    <row r="1554" spans="25:44" x14ac:dyDescent="0.15">
      <c r="Y1554" s="8"/>
      <c r="Z1554" s="61"/>
      <c r="AA1554" s="61"/>
      <c r="AB1554" s="61"/>
      <c r="AC1554" s="61"/>
      <c r="AD1554" s="37"/>
      <c r="AE1554" s="62"/>
      <c r="AF1554" s="62"/>
      <c r="AG1554" s="62"/>
      <c r="AH1554" s="62"/>
      <c r="AI1554" s="37"/>
      <c r="AJ1554" s="61"/>
      <c r="AK1554" s="61"/>
      <c r="AL1554" s="61"/>
      <c r="AM1554" s="61"/>
      <c r="AN1554" s="37"/>
      <c r="AO1554" s="62"/>
      <c r="AP1554" s="62"/>
      <c r="AQ1554" s="62"/>
      <c r="AR1554" s="62"/>
    </row>
    <row r="1555" spans="25:44" x14ac:dyDescent="0.15">
      <c r="Y1555" s="8"/>
      <c r="Z1555" s="61"/>
      <c r="AA1555" s="61"/>
      <c r="AB1555" s="61"/>
      <c r="AC1555" s="61"/>
      <c r="AD1555" s="37"/>
      <c r="AE1555" s="62"/>
      <c r="AF1555" s="62"/>
      <c r="AG1555" s="62"/>
      <c r="AH1555" s="62"/>
      <c r="AI1555" s="37"/>
      <c r="AJ1555" s="61"/>
      <c r="AK1555" s="61"/>
      <c r="AL1555" s="61"/>
      <c r="AM1555" s="61"/>
      <c r="AN1555" s="37"/>
      <c r="AO1555" s="62"/>
      <c r="AP1555" s="62"/>
      <c r="AQ1555" s="62"/>
      <c r="AR1555" s="62"/>
    </row>
    <row r="1556" spans="25:44" x14ac:dyDescent="0.15">
      <c r="Y1556" s="8"/>
      <c r="Z1556" s="61"/>
      <c r="AA1556" s="61"/>
      <c r="AB1556" s="61"/>
      <c r="AC1556" s="61"/>
      <c r="AD1556" s="37"/>
      <c r="AE1556" s="62"/>
      <c r="AF1556" s="62"/>
      <c r="AG1556" s="62"/>
      <c r="AH1556" s="62"/>
      <c r="AI1556" s="37"/>
      <c r="AJ1556" s="61"/>
      <c r="AK1556" s="61"/>
      <c r="AL1556" s="61"/>
      <c r="AM1556" s="61"/>
      <c r="AN1556" s="37"/>
      <c r="AO1556" s="62"/>
      <c r="AP1556" s="62"/>
      <c r="AQ1556" s="62"/>
      <c r="AR1556" s="62"/>
    </row>
    <row r="1557" spans="25:44" x14ac:dyDescent="0.15">
      <c r="Y1557" s="8"/>
      <c r="Z1557" s="61"/>
      <c r="AA1557" s="61"/>
      <c r="AB1557" s="61"/>
      <c r="AC1557" s="61"/>
      <c r="AD1557" s="37"/>
      <c r="AE1557" s="62"/>
      <c r="AF1557" s="62"/>
      <c r="AG1557" s="62"/>
      <c r="AH1557" s="62"/>
      <c r="AI1557" s="37"/>
      <c r="AJ1557" s="61"/>
      <c r="AK1557" s="61"/>
      <c r="AL1557" s="61"/>
      <c r="AM1557" s="61"/>
      <c r="AN1557" s="37"/>
      <c r="AO1557" s="62"/>
      <c r="AP1557" s="62"/>
      <c r="AQ1557" s="62"/>
      <c r="AR1557" s="62"/>
    </row>
    <row r="1558" spans="25:44" x14ac:dyDescent="0.15">
      <c r="Y1558" s="8"/>
      <c r="Z1558" s="61"/>
      <c r="AA1558" s="61"/>
      <c r="AB1558" s="61"/>
      <c r="AC1558" s="61"/>
      <c r="AD1558" s="37"/>
      <c r="AE1558" s="62"/>
      <c r="AF1558" s="62"/>
      <c r="AG1558" s="62"/>
      <c r="AH1558" s="62"/>
      <c r="AI1558" s="37"/>
      <c r="AJ1558" s="61"/>
      <c r="AK1558" s="61"/>
      <c r="AL1558" s="61"/>
      <c r="AM1558" s="61"/>
      <c r="AN1558" s="37"/>
      <c r="AO1558" s="62"/>
      <c r="AP1558" s="62"/>
      <c r="AQ1558" s="62"/>
      <c r="AR1558" s="62"/>
    </row>
    <row r="1559" spans="25:44" x14ac:dyDescent="0.15">
      <c r="Y1559" s="8"/>
      <c r="Z1559" s="61"/>
      <c r="AA1559" s="61"/>
      <c r="AB1559" s="61"/>
      <c r="AC1559" s="61"/>
      <c r="AD1559" s="37"/>
      <c r="AE1559" s="62"/>
      <c r="AF1559" s="62"/>
      <c r="AG1559" s="62"/>
      <c r="AH1559" s="62"/>
      <c r="AI1559" s="37"/>
      <c r="AJ1559" s="61"/>
      <c r="AK1559" s="61"/>
      <c r="AL1559" s="61"/>
      <c r="AM1559" s="61"/>
      <c r="AN1559" s="37"/>
      <c r="AO1559" s="62"/>
      <c r="AP1559" s="62"/>
      <c r="AQ1559" s="62"/>
      <c r="AR1559" s="62"/>
    </row>
    <row r="1560" spans="25:44" x14ac:dyDescent="0.15">
      <c r="Y1560" s="8"/>
      <c r="Z1560" s="61"/>
      <c r="AA1560" s="61"/>
      <c r="AB1560" s="61"/>
      <c r="AC1560" s="61"/>
      <c r="AD1560" s="37"/>
      <c r="AE1560" s="62"/>
      <c r="AF1560" s="62"/>
      <c r="AG1560" s="62"/>
      <c r="AH1560" s="62"/>
      <c r="AI1560" s="37"/>
      <c r="AJ1560" s="61"/>
      <c r="AK1560" s="61"/>
      <c r="AL1560" s="61"/>
      <c r="AM1560" s="61"/>
      <c r="AN1560" s="37"/>
      <c r="AO1560" s="62"/>
      <c r="AP1560" s="62"/>
      <c r="AQ1560" s="62"/>
      <c r="AR1560" s="62"/>
    </row>
    <row r="1561" spans="25:44" x14ac:dyDescent="0.15">
      <c r="Y1561" s="8"/>
      <c r="Z1561" s="61"/>
      <c r="AA1561" s="61"/>
      <c r="AB1561" s="61"/>
      <c r="AC1561" s="61"/>
      <c r="AD1561" s="37"/>
      <c r="AE1561" s="62"/>
      <c r="AF1561" s="62"/>
      <c r="AG1561" s="62"/>
      <c r="AH1561" s="62"/>
      <c r="AI1561" s="37"/>
      <c r="AJ1561" s="61"/>
      <c r="AK1561" s="61"/>
      <c r="AL1561" s="61"/>
      <c r="AM1561" s="61"/>
      <c r="AN1561" s="37"/>
      <c r="AO1561" s="62"/>
      <c r="AP1561" s="62"/>
      <c r="AQ1561" s="62"/>
      <c r="AR1561" s="62"/>
    </row>
    <row r="1562" spans="25:44" x14ac:dyDescent="0.15">
      <c r="Y1562" s="8"/>
      <c r="Z1562" s="61"/>
      <c r="AA1562" s="61"/>
      <c r="AB1562" s="61"/>
      <c r="AC1562" s="61"/>
      <c r="AD1562" s="37"/>
      <c r="AE1562" s="62"/>
      <c r="AF1562" s="62"/>
      <c r="AG1562" s="62"/>
      <c r="AH1562" s="62"/>
      <c r="AI1562" s="37"/>
      <c r="AJ1562" s="61"/>
      <c r="AK1562" s="61"/>
      <c r="AL1562" s="61"/>
      <c r="AM1562" s="61"/>
      <c r="AN1562" s="37"/>
      <c r="AO1562" s="62"/>
      <c r="AP1562" s="62"/>
      <c r="AQ1562" s="62"/>
      <c r="AR1562" s="62"/>
    </row>
    <row r="1563" spans="25:44" x14ac:dyDescent="0.15">
      <c r="Y1563" s="8"/>
      <c r="Z1563" s="61"/>
      <c r="AA1563" s="61"/>
      <c r="AB1563" s="61"/>
      <c r="AC1563" s="61"/>
      <c r="AD1563" s="37"/>
      <c r="AE1563" s="62"/>
      <c r="AF1563" s="62"/>
      <c r="AG1563" s="62"/>
      <c r="AH1563" s="62"/>
      <c r="AI1563" s="37"/>
      <c r="AJ1563" s="61"/>
      <c r="AK1563" s="61"/>
      <c r="AL1563" s="61"/>
      <c r="AM1563" s="61"/>
      <c r="AN1563" s="37"/>
      <c r="AO1563" s="62"/>
      <c r="AP1563" s="62"/>
      <c r="AQ1563" s="62"/>
      <c r="AR1563" s="62"/>
    </row>
    <row r="1564" spans="25:44" x14ac:dyDescent="0.15">
      <c r="Y1564" s="8"/>
      <c r="Z1564" s="61"/>
      <c r="AA1564" s="61"/>
      <c r="AB1564" s="61"/>
      <c r="AC1564" s="61"/>
      <c r="AD1564" s="37"/>
      <c r="AE1564" s="62"/>
      <c r="AF1564" s="62"/>
      <c r="AG1564" s="62"/>
      <c r="AH1564" s="62"/>
      <c r="AI1564" s="37"/>
      <c r="AJ1564" s="61"/>
      <c r="AK1564" s="61"/>
      <c r="AL1564" s="61"/>
      <c r="AM1564" s="61"/>
      <c r="AN1564" s="37"/>
      <c r="AO1564" s="62"/>
      <c r="AP1564" s="62"/>
      <c r="AQ1564" s="62"/>
      <c r="AR1564" s="62"/>
    </row>
    <row r="1565" spans="25:44" x14ac:dyDescent="0.15">
      <c r="Y1565" s="8"/>
      <c r="Z1565" s="61"/>
      <c r="AA1565" s="61"/>
      <c r="AB1565" s="61"/>
      <c r="AC1565" s="61"/>
      <c r="AD1565" s="37"/>
      <c r="AE1565" s="62"/>
      <c r="AF1565" s="62"/>
      <c r="AG1565" s="62"/>
      <c r="AH1565" s="62"/>
      <c r="AI1565" s="37"/>
      <c r="AJ1565" s="61"/>
      <c r="AK1565" s="61"/>
      <c r="AL1565" s="61"/>
      <c r="AM1565" s="61"/>
      <c r="AN1565" s="37"/>
      <c r="AO1565" s="62"/>
      <c r="AP1565" s="62"/>
      <c r="AQ1565" s="62"/>
      <c r="AR1565" s="62"/>
    </row>
    <row r="1566" spans="25:44" x14ac:dyDescent="0.15">
      <c r="Y1566" s="8"/>
      <c r="Z1566" s="61"/>
      <c r="AA1566" s="61"/>
      <c r="AB1566" s="61"/>
      <c r="AC1566" s="61"/>
      <c r="AD1566" s="37"/>
      <c r="AE1566" s="62"/>
      <c r="AF1566" s="62"/>
      <c r="AG1566" s="62"/>
      <c r="AH1566" s="62"/>
      <c r="AI1566" s="37"/>
      <c r="AJ1566" s="61"/>
      <c r="AK1566" s="61"/>
      <c r="AL1566" s="61"/>
      <c r="AM1566" s="61"/>
      <c r="AN1566" s="37"/>
      <c r="AO1566" s="62"/>
      <c r="AP1566" s="62"/>
      <c r="AQ1566" s="62"/>
      <c r="AR1566" s="62"/>
    </row>
    <row r="1567" spans="25:44" x14ac:dyDescent="0.15">
      <c r="Y1567" s="8"/>
      <c r="Z1567" s="61"/>
      <c r="AA1567" s="61"/>
      <c r="AB1567" s="61"/>
      <c r="AC1567" s="61"/>
      <c r="AD1567" s="37"/>
      <c r="AE1567" s="62"/>
      <c r="AF1567" s="62"/>
      <c r="AG1567" s="62"/>
      <c r="AH1567" s="62"/>
      <c r="AI1567" s="37"/>
      <c r="AJ1567" s="61"/>
      <c r="AK1567" s="61"/>
      <c r="AL1567" s="61"/>
      <c r="AM1567" s="61"/>
      <c r="AN1567" s="37"/>
      <c r="AO1567" s="62"/>
      <c r="AP1567" s="62"/>
      <c r="AQ1567" s="62"/>
      <c r="AR1567" s="62"/>
    </row>
    <row r="1568" spans="25:44" x14ac:dyDescent="0.15">
      <c r="Y1568" s="8"/>
      <c r="Z1568" s="61"/>
      <c r="AA1568" s="61"/>
      <c r="AB1568" s="61"/>
      <c r="AC1568" s="61"/>
      <c r="AD1568" s="37"/>
      <c r="AE1568" s="62"/>
      <c r="AF1568" s="62"/>
      <c r="AG1568" s="62"/>
      <c r="AH1568" s="62"/>
      <c r="AI1568" s="37"/>
      <c r="AJ1568" s="61"/>
      <c r="AK1568" s="61"/>
      <c r="AL1568" s="61"/>
      <c r="AM1568" s="61"/>
      <c r="AN1568" s="37"/>
      <c r="AO1568" s="62"/>
      <c r="AP1568" s="62"/>
      <c r="AQ1568" s="62"/>
      <c r="AR1568" s="62"/>
    </row>
    <row r="1569" spans="25:44" x14ac:dyDescent="0.15">
      <c r="Y1569" s="8"/>
      <c r="Z1569" s="61"/>
      <c r="AA1569" s="61"/>
      <c r="AB1569" s="61"/>
      <c r="AC1569" s="61"/>
      <c r="AD1569" s="37"/>
      <c r="AE1569" s="62"/>
      <c r="AF1569" s="62"/>
      <c r="AG1569" s="62"/>
      <c r="AH1569" s="62"/>
      <c r="AI1569" s="37"/>
      <c r="AJ1569" s="61"/>
      <c r="AK1569" s="61"/>
      <c r="AL1569" s="61"/>
      <c r="AM1569" s="61"/>
      <c r="AN1569" s="37"/>
      <c r="AO1569" s="62"/>
      <c r="AP1569" s="62"/>
      <c r="AQ1569" s="62"/>
      <c r="AR1569" s="62"/>
    </row>
    <row r="1570" spans="25:44" x14ac:dyDescent="0.15">
      <c r="Y1570" s="8"/>
      <c r="Z1570" s="61"/>
      <c r="AA1570" s="61"/>
      <c r="AB1570" s="61"/>
      <c r="AC1570" s="61"/>
      <c r="AD1570" s="37"/>
      <c r="AE1570" s="62"/>
      <c r="AF1570" s="62"/>
      <c r="AG1570" s="62"/>
      <c r="AH1570" s="62"/>
      <c r="AI1570" s="37"/>
      <c r="AJ1570" s="61"/>
      <c r="AK1570" s="61"/>
      <c r="AL1570" s="61"/>
      <c r="AM1570" s="61"/>
      <c r="AN1570" s="37"/>
      <c r="AO1570" s="62"/>
      <c r="AP1570" s="62"/>
      <c r="AQ1570" s="62"/>
      <c r="AR1570" s="62"/>
    </row>
    <row r="1571" spans="25:44" x14ac:dyDescent="0.15">
      <c r="Y1571" s="8"/>
      <c r="Z1571" s="61"/>
      <c r="AA1571" s="61"/>
      <c r="AB1571" s="61"/>
      <c r="AC1571" s="61"/>
      <c r="AD1571" s="37"/>
      <c r="AE1571" s="62"/>
      <c r="AF1571" s="62"/>
      <c r="AG1571" s="62"/>
      <c r="AH1571" s="62"/>
      <c r="AI1571" s="37"/>
      <c r="AJ1571" s="61"/>
      <c r="AK1571" s="61"/>
      <c r="AL1571" s="61"/>
      <c r="AM1571" s="61"/>
      <c r="AN1571" s="37"/>
      <c r="AO1571" s="62"/>
      <c r="AP1571" s="62"/>
      <c r="AQ1571" s="62"/>
      <c r="AR1571" s="62"/>
    </row>
    <row r="1572" spans="25:44" x14ac:dyDescent="0.15">
      <c r="Y1572" s="8"/>
      <c r="Z1572" s="61"/>
      <c r="AA1572" s="61"/>
      <c r="AB1572" s="61"/>
      <c r="AC1572" s="61"/>
      <c r="AD1572" s="37"/>
      <c r="AE1572" s="62"/>
      <c r="AF1572" s="62"/>
      <c r="AG1572" s="62"/>
      <c r="AH1572" s="62"/>
      <c r="AI1572" s="37"/>
      <c r="AJ1572" s="61"/>
      <c r="AK1572" s="61"/>
      <c r="AL1572" s="61"/>
      <c r="AM1572" s="61"/>
      <c r="AN1572" s="37"/>
      <c r="AO1572" s="62"/>
      <c r="AP1572" s="62"/>
      <c r="AQ1572" s="62"/>
      <c r="AR1572" s="62"/>
    </row>
    <row r="1573" spans="25:44" x14ac:dyDescent="0.15">
      <c r="Y1573" s="8"/>
      <c r="Z1573" s="61"/>
      <c r="AA1573" s="61"/>
      <c r="AB1573" s="61"/>
      <c r="AC1573" s="61"/>
      <c r="AD1573" s="37"/>
      <c r="AE1573" s="62"/>
      <c r="AF1573" s="62"/>
      <c r="AG1573" s="62"/>
      <c r="AH1573" s="62"/>
      <c r="AI1573" s="37"/>
      <c r="AJ1573" s="61"/>
      <c r="AK1573" s="61"/>
      <c r="AL1573" s="61"/>
      <c r="AM1573" s="61"/>
      <c r="AN1573" s="37"/>
      <c r="AO1573" s="62"/>
      <c r="AP1573" s="62"/>
      <c r="AQ1573" s="62"/>
      <c r="AR1573" s="62"/>
    </row>
    <row r="1574" spans="25:44" x14ac:dyDescent="0.15">
      <c r="Y1574" s="8"/>
      <c r="Z1574" s="61"/>
      <c r="AA1574" s="61"/>
      <c r="AB1574" s="61"/>
      <c r="AC1574" s="61"/>
      <c r="AD1574" s="37"/>
      <c r="AE1574" s="62"/>
      <c r="AF1574" s="62"/>
      <c r="AG1574" s="62"/>
      <c r="AH1574" s="62"/>
      <c r="AI1574" s="37"/>
      <c r="AJ1574" s="61"/>
      <c r="AK1574" s="61"/>
      <c r="AL1574" s="61"/>
      <c r="AM1574" s="61"/>
      <c r="AN1574" s="37"/>
      <c r="AO1574" s="62"/>
      <c r="AP1574" s="62"/>
      <c r="AQ1574" s="62"/>
      <c r="AR1574" s="62"/>
    </row>
    <row r="1575" spans="25:44" x14ac:dyDescent="0.15">
      <c r="Y1575" s="8"/>
      <c r="Z1575" s="61"/>
      <c r="AA1575" s="61"/>
      <c r="AB1575" s="61"/>
      <c r="AC1575" s="61"/>
      <c r="AD1575" s="37"/>
      <c r="AE1575" s="62"/>
      <c r="AF1575" s="62"/>
      <c r="AG1575" s="62"/>
      <c r="AH1575" s="62"/>
      <c r="AI1575" s="37"/>
      <c r="AJ1575" s="61"/>
      <c r="AK1575" s="61"/>
      <c r="AL1575" s="61"/>
      <c r="AM1575" s="61"/>
      <c r="AN1575" s="37"/>
      <c r="AO1575" s="62"/>
      <c r="AP1575" s="62"/>
      <c r="AQ1575" s="62"/>
      <c r="AR1575" s="62"/>
    </row>
    <row r="1576" spans="25:44" x14ac:dyDescent="0.15">
      <c r="Y1576" s="8"/>
      <c r="Z1576" s="61"/>
      <c r="AA1576" s="61"/>
      <c r="AB1576" s="61"/>
      <c r="AC1576" s="61"/>
      <c r="AD1576" s="37"/>
      <c r="AE1576" s="62"/>
      <c r="AF1576" s="62"/>
      <c r="AG1576" s="62"/>
      <c r="AH1576" s="62"/>
      <c r="AI1576" s="37"/>
      <c r="AJ1576" s="61"/>
      <c r="AK1576" s="61"/>
      <c r="AL1576" s="61"/>
      <c r="AM1576" s="61"/>
      <c r="AN1576" s="37"/>
      <c r="AO1576" s="62"/>
      <c r="AP1576" s="62"/>
      <c r="AQ1576" s="62"/>
      <c r="AR1576" s="62"/>
    </row>
    <row r="1577" spans="25:44" x14ac:dyDescent="0.15">
      <c r="Y1577" s="8"/>
      <c r="Z1577" s="61"/>
      <c r="AA1577" s="61"/>
      <c r="AB1577" s="61"/>
      <c r="AC1577" s="61"/>
      <c r="AD1577" s="37"/>
      <c r="AE1577" s="62"/>
      <c r="AF1577" s="62"/>
      <c r="AG1577" s="62"/>
      <c r="AH1577" s="62"/>
      <c r="AI1577" s="37"/>
      <c r="AJ1577" s="61"/>
      <c r="AK1577" s="61"/>
      <c r="AL1577" s="61"/>
      <c r="AM1577" s="61"/>
      <c r="AN1577" s="37"/>
      <c r="AO1577" s="62"/>
      <c r="AP1577" s="62"/>
      <c r="AQ1577" s="62"/>
      <c r="AR1577" s="62"/>
    </row>
    <row r="1578" spans="25:44" x14ac:dyDescent="0.15">
      <c r="Y1578" s="8"/>
      <c r="Z1578" s="61"/>
      <c r="AA1578" s="61"/>
      <c r="AB1578" s="61"/>
      <c r="AC1578" s="61"/>
      <c r="AD1578" s="37"/>
      <c r="AE1578" s="62"/>
      <c r="AF1578" s="62"/>
      <c r="AG1578" s="62"/>
      <c r="AH1578" s="62"/>
      <c r="AI1578" s="37"/>
      <c r="AJ1578" s="61"/>
      <c r="AK1578" s="61"/>
      <c r="AL1578" s="61"/>
      <c r="AM1578" s="61"/>
      <c r="AN1578" s="37"/>
      <c r="AO1578" s="62"/>
      <c r="AP1578" s="62"/>
      <c r="AQ1578" s="62"/>
      <c r="AR1578" s="62"/>
    </row>
    <row r="1579" spans="25:44" x14ac:dyDescent="0.15">
      <c r="Y1579" s="8"/>
      <c r="Z1579" s="61"/>
      <c r="AA1579" s="61"/>
      <c r="AB1579" s="61"/>
      <c r="AC1579" s="61"/>
      <c r="AD1579" s="37"/>
      <c r="AE1579" s="62"/>
      <c r="AF1579" s="62"/>
      <c r="AG1579" s="62"/>
      <c r="AH1579" s="62"/>
      <c r="AI1579" s="37"/>
      <c r="AJ1579" s="61"/>
      <c r="AK1579" s="61"/>
      <c r="AL1579" s="61"/>
      <c r="AM1579" s="61"/>
      <c r="AN1579" s="37"/>
      <c r="AO1579" s="62"/>
      <c r="AP1579" s="62"/>
      <c r="AQ1579" s="62"/>
      <c r="AR1579" s="62"/>
    </row>
    <row r="1580" spans="25:44" x14ac:dyDescent="0.15">
      <c r="Y1580" s="8"/>
      <c r="Z1580" s="61"/>
      <c r="AA1580" s="61"/>
      <c r="AB1580" s="61"/>
      <c r="AC1580" s="61"/>
      <c r="AD1580" s="37"/>
      <c r="AE1580" s="62"/>
      <c r="AF1580" s="62"/>
      <c r="AG1580" s="62"/>
      <c r="AH1580" s="62"/>
      <c r="AI1580" s="37"/>
      <c r="AJ1580" s="61"/>
      <c r="AK1580" s="61"/>
      <c r="AL1580" s="61"/>
      <c r="AM1580" s="61"/>
      <c r="AN1580" s="37"/>
      <c r="AO1580" s="62"/>
      <c r="AP1580" s="62"/>
      <c r="AQ1580" s="62"/>
      <c r="AR1580" s="62"/>
    </row>
    <row r="1581" spans="25:44" x14ac:dyDescent="0.15">
      <c r="Y1581" s="8"/>
      <c r="Z1581" s="61"/>
      <c r="AA1581" s="61"/>
      <c r="AB1581" s="61"/>
      <c r="AC1581" s="61"/>
      <c r="AD1581" s="37"/>
      <c r="AE1581" s="62"/>
      <c r="AF1581" s="62"/>
      <c r="AG1581" s="62"/>
      <c r="AH1581" s="62"/>
      <c r="AI1581" s="37"/>
      <c r="AJ1581" s="61"/>
      <c r="AK1581" s="61"/>
      <c r="AL1581" s="61"/>
      <c r="AM1581" s="61"/>
      <c r="AN1581" s="37"/>
      <c r="AO1581" s="62"/>
      <c r="AP1581" s="62"/>
      <c r="AQ1581" s="62"/>
      <c r="AR1581" s="62"/>
    </row>
    <row r="1582" spans="25:44" x14ac:dyDescent="0.15">
      <c r="Y1582" s="8"/>
      <c r="Z1582" s="61"/>
      <c r="AA1582" s="61"/>
      <c r="AB1582" s="61"/>
      <c r="AC1582" s="61"/>
      <c r="AD1582" s="37"/>
      <c r="AE1582" s="62"/>
      <c r="AF1582" s="62"/>
      <c r="AG1582" s="62"/>
      <c r="AH1582" s="62"/>
      <c r="AI1582" s="37"/>
      <c r="AJ1582" s="61"/>
      <c r="AK1582" s="61"/>
      <c r="AL1582" s="61"/>
      <c r="AM1582" s="61"/>
      <c r="AN1582" s="37"/>
      <c r="AO1582" s="62"/>
      <c r="AP1582" s="62"/>
      <c r="AQ1582" s="62"/>
      <c r="AR1582" s="62"/>
    </row>
    <row r="1583" spans="25:44" x14ac:dyDescent="0.15">
      <c r="Y1583" s="8"/>
      <c r="Z1583" s="61"/>
      <c r="AA1583" s="61"/>
      <c r="AB1583" s="61"/>
      <c r="AC1583" s="61"/>
      <c r="AD1583" s="37"/>
      <c r="AE1583" s="62"/>
      <c r="AF1583" s="62"/>
      <c r="AG1583" s="62"/>
      <c r="AH1583" s="62"/>
      <c r="AI1583" s="37"/>
      <c r="AJ1583" s="61"/>
      <c r="AK1583" s="61"/>
      <c r="AL1583" s="61"/>
      <c r="AM1583" s="61"/>
      <c r="AN1583" s="37"/>
      <c r="AO1583" s="62"/>
      <c r="AP1583" s="62"/>
      <c r="AQ1583" s="62"/>
      <c r="AR1583" s="62"/>
    </row>
    <row r="1584" spans="25:44" x14ac:dyDescent="0.15">
      <c r="Y1584" s="8"/>
      <c r="Z1584" s="61"/>
      <c r="AA1584" s="61"/>
      <c r="AB1584" s="61"/>
      <c r="AC1584" s="61"/>
      <c r="AD1584" s="37"/>
      <c r="AE1584" s="62"/>
      <c r="AF1584" s="62"/>
      <c r="AG1584" s="62"/>
      <c r="AH1584" s="62"/>
      <c r="AI1584" s="37"/>
      <c r="AJ1584" s="61"/>
      <c r="AK1584" s="61"/>
      <c r="AL1584" s="61"/>
      <c r="AM1584" s="61"/>
      <c r="AN1584" s="37"/>
      <c r="AO1584" s="62"/>
      <c r="AP1584" s="62"/>
      <c r="AQ1584" s="62"/>
      <c r="AR1584" s="62"/>
    </row>
    <row r="1585" spans="25:44" x14ac:dyDescent="0.15">
      <c r="Y1585" s="8"/>
      <c r="Z1585" s="61"/>
      <c r="AA1585" s="61"/>
      <c r="AB1585" s="61"/>
      <c r="AC1585" s="61"/>
      <c r="AD1585" s="37"/>
      <c r="AE1585" s="62"/>
      <c r="AF1585" s="62"/>
      <c r="AG1585" s="62"/>
      <c r="AH1585" s="62"/>
      <c r="AI1585" s="37"/>
      <c r="AJ1585" s="61"/>
      <c r="AK1585" s="61"/>
      <c r="AL1585" s="61"/>
      <c r="AM1585" s="61"/>
      <c r="AN1585" s="37"/>
      <c r="AO1585" s="62"/>
      <c r="AP1585" s="62"/>
      <c r="AQ1585" s="62"/>
      <c r="AR1585" s="62"/>
    </row>
    <row r="1586" spans="25:44" x14ac:dyDescent="0.15">
      <c r="Y1586" s="8"/>
      <c r="Z1586" s="61"/>
      <c r="AA1586" s="61"/>
      <c r="AB1586" s="61"/>
      <c r="AC1586" s="61"/>
      <c r="AD1586" s="37"/>
      <c r="AE1586" s="62"/>
      <c r="AF1586" s="62"/>
      <c r="AG1586" s="62"/>
      <c r="AH1586" s="62"/>
      <c r="AI1586" s="37"/>
      <c r="AJ1586" s="61"/>
      <c r="AK1586" s="61"/>
      <c r="AL1586" s="61"/>
      <c r="AM1586" s="61"/>
      <c r="AN1586" s="37"/>
      <c r="AO1586" s="62"/>
      <c r="AP1586" s="62"/>
      <c r="AQ1586" s="62"/>
      <c r="AR1586" s="62"/>
    </row>
    <row r="1587" spans="25:44" x14ac:dyDescent="0.15">
      <c r="Y1587" s="8"/>
      <c r="Z1587" s="61"/>
      <c r="AA1587" s="61"/>
      <c r="AB1587" s="61"/>
      <c r="AC1587" s="61"/>
      <c r="AD1587" s="37"/>
      <c r="AE1587" s="62"/>
      <c r="AF1587" s="62"/>
      <c r="AG1587" s="62"/>
      <c r="AH1587" s="62"/>
      <c r="AI1587" s="37"/>
      <c r="AJ1587" s="61"/>
      <c r="AK1587" s="61"/>
      <c r="AL1587" s="61"/>
      <c r="AM1587" s="61"/>
      <c r="AN1587" s="37"/>
      <c r="AO1587" s="62"/>
      <c r="AP1587" s="62"/>
      <c r="AQ1587" s="62"/>
      <c r="AR1587" s="62"/>
    </row>
    <row r="1588" spans="25:44" x14ac:dyDescent="0.15">
      <c r="Y1588" s="8"/>
      <c r="Z1588" s="61"/>
      <c r="AA1588" s="61"/>
      <c r="AB1588" s="61"/>
      <c r="AC1588" s="61"/>
      <c r="AD1588" s="37"/>
      <c r="AE1588" s="62"/>
      <c r="AF1588" s="62"/>
      <c r="AG1588" s="62"/>
      <c r="AH1588" s="62"/>
      <c r="AI1588" s="37"/>
      <c r="AJ1588" s="61"/>
      <c r="AK1588" s="61"/>
      <c r="AL1588" s="61"/>
      <c r="AM1588" s="61"/>
      <c r="AN1588" s="37"/>
      <c r="AO1588" s="62"/>
      <c r="AP1588" s="62"/>
      <c r="AQ1588" s="62"/>
      <c r="AR1588" s="62"/>
    </row>
    <row r="1589" spans="25:44" x14ac:dyDescent="0.15">
      <c r="Y1589" s="8"/>
      <c r="Z1589" s="61"/>
      <c r="AA1589" s="61"/>
      <c r="AB1589" s="61"/>
      <c r="AC1589" s="61"/>
      <c r="AD1589" s="37"/>
      <c r="AE1589" s="62"/>
      <c r="AF1589" s="62"/>
      <c r="AG1589" s="62"/>
      <c r="AH1589" s="62"/>
      <c r="AI1589" s="37"/>
      <c r="AJ1589" s="61"/>
      <c r="AK1589" s="61"/>
      <c r="AL1589" s="61"/>
      <c r="AM1589" s="61"/>
      <c r="AN1589" s="37"/>
      <c r="AO1589" s="62"/>
      <c r="AP1589" s="62"/>
      <c r="AQ1589" s="62"/>
      <c r="AR1589" s="62"/>
    </row>
    <row r="1590" spans="25:44" x14ac:dyDescent="0.15">
      <c r="Y1590" s="8"/>
      <c r="Z1590" s="61"/>
      <c r="AA1590" s="61"/>
      <c r="AB1590" s="61"/>
      <c r="AC1590" s="61"/>
      <c r="AD1590" s="37"/>
      <c r="AE1590" s="62"/>
      <c r="AF1590" s="62"/>
      <c r="AG1590" s="62"/>
      <c r="AH1590" s="62"/>
      <c r="AI1590" s="37"/>
      <c r="AJ1590" s="61"/>
      <c r="AK1590" s="61"/>
      <c r="AL1590" s="61"/>
      <c r="AM1590" s="61"/>
      <c r="AN1590" s="37"/>
      <c r="AO1590" s="62"/>
      <c r="AP1590" s="62"/>
      <c r="AQ1590" s="62"/>
      <c r="AR1590" s="62"/>
    </row>
    <row r="1591" spans="25:44" x14ac:dyDescent="0.15">
      <c r="Y1591" s="8"/>
      <c r="Z1591" s="61"/>
      <c r="AA1591" s="61"/>
      <c r="AB1591" s="61"/>
      <c r="AC1591" s="61"/>
      <c r="AD1591" s="37"/>
      <c r="AE1591" s="62"/>
      <c r="AF1591" s="62"/>
      <c r="AG1591" s="62"/>
      <c r="AH1591" s="62"/>
      <c r="AI1591" s="37"/>
      <c r="AJ1591" s="61"/>
      <c r="AK1591" s="61"/>
      <c r="AL1591" s="61"/>
      <c r="AM1591" s="61"/>
      <c r="AN1591" s="37"/>
      <c r="AO1591" s="62"/>
      <c r="AP1591" s="62"/>
      <c r="AQ1591" s="62"/>
      <c r="AR1591" s="62"/>
    </row>
    <row r="1592" spans="25:44" x14ac:dyDescent="0.15">
      <c r="Y1592" s="8"/>
      <c r="Z1592" s="61"/>
      <c r="AA1592" s="61"/>
      <c r="AB1592" s="61"/>
      <c r="AC1592" s="61"/>
      <c r="AD1592" s="37"/>
      <c r="AE1592" s="62"/>
      <c r="AF1592" s="62"/>
      <c r="AG1592" s="62"/>
      <c r="AH1592" s="62"/>
      <c r="AI1592" s="37"/>
      <c r="AJ1592" s="61"/>
      <c r="AK1592" s="61"/>
      <c r="AL1592" s="61"/>
      <c r="AM1592" s="61"/>
      <c r="AN1592" s="37"/>
      <c r="AO1592" s="62"/>
      <c r="AP1592" s="62"/>
      <c r="AQ1592" s="62"/>
      <c r="AR1592" s="62"/>
    </row>
    <row r="1593" spans="25:44" x14ac:dyDescent="0.15">
      <c r="Y1593" s="8"/>
      <c r="Z1593" s="61"/>
      <c r="AA1593" s="61"/>
      <c r="AB1593" s="61"/>
      <c r="AC1593" s="61"/>
      <c r="AD1593" s="37"/>
      <c r="AE1593" s="62"/>
      <c r="AF1593" s="62"/>
      <c r="AG1593" s="62"/>
      <c r="AH1593" s="62"/>
      <c r="AI1593" s="37"/>
      <c r="AJ1593" s="61"/>
      <c r="AK1593" s="61"/>
      <c r="AL1593" s="61"/>
      <c r="AM1593" s="61"/>
      <c r="AN1593" s="37"/>
      <c r="AO1593" s="62"/>
      <c r="AP1593" s="62"/>
      <c r="AQ1593" s="62"/>
      <c r="AR1593" s="62"/>
    </row>
    <row r="1594" spans="25:44" x14ac:dyDescent="0.15">
      <c r="Y1594" s="8"/>
      <c r="Z1594" s="61"/>
      <c r="AA1594" s="61"/>
      <c r="AB1594" s="61"/>
      <c r="AC1594" s="61"/>
      <c r="AD1594" s="37"/>
      <c r="AE1594" s="62"/>
      <c r="AF1594" s="62"/>
      <c r="AG1594" s="62"/>
      <c r="AH1594" s="62"/>
      <c r="AI1594" s="37"/>
      <c r="AJ1594" s="61"/>
      <c r="AK1594" s="61"/>
      <c r="AL1594" s="61"/>
      <c r="AM1594" s="61"/>
      <c r="AN1594" s="37"/>
      <c r="AO1594" s="62"/>
      <c r="AP1594" s="62"/>
      <c r="AQ1594" s="62"/>
      <c r="AR1594" s="62"/>
    </row>
    <row r="1595" spans="25:44" x14ac:dyDescent="0.15">
      <c r="Y1595" s="8"/>
      <c r="Z1595" s="61"/>
      <c r="AA1595" s="61"/>
      <c r="AB1595" s="61"/>
      <c r="AC1595" s="61"/>
      <c r="AD1595" s="37"/>
      <c r="AE1595" s="62"/>
      <c r="AF1595" s="62"/>
      <c r="AG1595" s="62"/>
      <c r="AH1595" s="62"/>
      <c r="AI1595" s="37"/>
      <c r="AJ1595" s="61"/>
      <c r="AK1595" s="61"/>
      <c r="AL1595" s="61"/>
      <c r="AM1595" s="61"/>
      <c r="AN1595" s="37"/>
      <c r="AO1595" s="62"/>
      <c r="AP1595" s="62"/>
      <c r="AQ1595" s="62"/>
      <c r="AR1595" s="62"/>
    </row>
    <row r="1596" spans="25:44" x14ac:dyDescent="0.15">
      <c r="Y1596" s="8"/>
      <c r="Z1596" s="61"/>
      <c r="AA1596" s="61"/>
      <c r="AB1596" s="61"/>
      <c r="AC1596" s="61"/>
      <c r="AD1596" s="37"/>
      <c r="AE1596" s="62"/>
      <c r="AF1596" s="62"/>
      <c r="AG1596" s="62"/>
      <c r="AH1596" s="62"/>
      <c r="AI1596" s="37"/>
      <c r="AJ1596" s="61"/>
      <c r="AK1596" s="61"/>
      <c r="AL1596" s="61"/>
      <c r="AM1596" s="61"/>
      <c r="AN1596" s="37"/>
      <c r="AO1596" s="62"/>
      <c r="AP1596" s="62"/>
      <c r="AQ1596" s="62"/>
      <c r="AR1596" s="62"/>
    </row>
    <row r="1597" spans="25:44" x14ac:dyDescent="0.15">
      <c r="Y1597" s="8"/>
      <c r="Z1597" s="61"/>
      <c r="AA1597" s="61"/>
      <c r="AB1597" s="61"/>
      <c r="AC1597" s="61"/>
      <c r="AD1597" s="37"/>
      <c r="AE1597" s="62"/>
      <c r="AF1597" s="62"/>
      <c r="AG1597" s="62"/>
      <c r="AH1597" s="62"/>
      <c r="AI1597" s="37"/>
      <c r="AJ1597" s="61"/>
      <c r="AK1597" s="61"/>
      <c r="AL1597" s="61"/>
      <c r="AM1597" s="61"/>
      <c r="AN1597" s="37"/>
      <c r="AO1597" s="62"/>
      <c r="AP1597" s="62"/>
      <c r="AQ1597" s="62"/>
      <c r="AR1597" s="62"/>
    </row>
    <row r="1598" spans="25:44" x14ac:dyDescent="0.15">
      <c r="Y1598" s="8"/>
      <c r="Z1598" s="61"/>
      <c r="AA1598" s="61"/>
      <c r="AB1598" s="61"/>
      <c r="AC1598" s="61"/>
      <c r="AD1598" s="37"/>
      <c r="AE1598" s="62"/>
      <c r="AF1598" s="62"/>
      <c r="AG1598" s="62"/>
      <c r="AH1598" s="62"/>
      <c r="AI1598" s="37"/>
      <c r="AJ1598" s="61"/>
      <c r="AK1598" s="61"/>
      <c r="AL1598" s="61"/>
      <c r="AM1598" s="61"/>
      <c r="AN1598" s="37"/>
      <c r="AO1598" s="62"/>
      <c r="AP1598" s="62"/>
      <c r="AQ1598" s="62"/>
      <c r="AR1598" s="62"/>
    </row>
    <row r="1599" spans="25:44" x14ac:dyDescent="0.15">
      <c r="Y1599" s="8"/>
      <c r="Z1599" s="61"/>
      <c r="AA1599" s="61"/>
      <c r="AB1599" s="61"/>
      <c r="AC1599" s="61"/>
      <c r="AD1599" s="37"/>
      <c r="AE1599" s="62"/>
      <c r="AF1599" s="62"/>
      <c r="AG1599" s="62"/>
      <c r="AH1599" s="62"/>
      <c r="AI1599" s="37"/>
      <c r="AJ1599" s="61"/>
      <c r="AK1599" s="61"/>
      <c r="AL1599" s="61"/>
      <c r="AM1599" s="61"/>
      <c r="AN1599" s="37"/>
      <c r="AO1599" s="62"/>
      <c r="AP1599" s="62"/>
      <c r="AQ1599" s="62"/>
      <c r="AR1599" s="62"/>
    </row>
    <row r="1600" spans="25:44" x14ac:dyDescent="0.15">
      <c r="Y1600" s="8"/>
      <c r="Z1600" s="61"/>
      <c r="AA1600" s="61"/>
      <c r="AB1600" s="61"/>
      <c r="AC1600" s="61"/>
      <c r="AD1600" s="37"/>
      <c r="AE1600" s="62"/>
      <c r="AF1600" s="62"/>
      <c r="AG1600" s="62"/>
      <c r="AH1600" s="62"/>
      <c r="AI1600" s="37"/>
      <c r="AJ1600" s="61"/>
      <c r="AK1600" s="61"/>
      <c r="AL1600" s="61"/>
      <c r="AM1600" s="61"/>
      <c r="AN1600" s="37"/>
      <c r="AO1600" s="62"/>
      <c r="AP1600" s="62"/>
      <c r="AQ1600" s="62"/>
      <c r="AR1600" s="62"/>
    </row>
    <row r="1601" spans="25:44" x14ac:dyDescent="0.15">
      <c r="Y1601" s="8"/>
      <c r="Z1601" s="61"/>
      <c r="AA1601" s="61"/>
      <c r="AB1601" s="61"/>
      <c r="AC1601" s="61"/>
      <c r="AD1601" s="37"/>
      <c r="AE1601" s="62"/>
      <c r="AF1601" s="62"/>
      <c r="AG1601" s="62"/>
      <c r="AH1601" s="62"/>
      <c r="AI1601" s="37"/>
      <c r="AJ1601" s="61"/>
      <c r="AK1601" s="61"/>
      <c r="AL1601" s="61"/>
      <c r="AM1601" s="61"/>
      <c r="AN1601" s="37"/>
      <c r="AO1601" s="62"/>
      <c r="AP1601" s="62"/>
      <c r="AQ1601" s="62"/>
      <c r="AR1601" s="62"/>
    </row>
    <row r="1602" spans="25:44" x14ac:dyDescent="0.15">
      <c r="Y1602" s="8"/>
      <c r="Z1602" s="61"/>
      <c r="AA1602" s="61"/>
      <c r="AB1602" s="61"/>
      <c r="AC1602" s="61"/>
      <c r="AD1602" s="37"/>
      <c r="AE1602" s="62"/>
      <c r="AF1602" s="62"/>
      <c r="AG1602" s="62"/>
      <c r="AH1602" s="62"/>
      <c r="AI1602" s="37"/>
      <c r="AJ1602" s="61"/>
      <c r="AK1602" s="61"/>
      <c r="AL1602" s="61"/>
      <c r="AM1602" s="61"/>
      <c r="AN1602" s="37"/>
      <c r="AO1602" s="62"/>
      <c r="AP1602" s="62"/>
      <c r="AQ1602" s="62"/>
      <c r="AR1602" s="62"/>
    </row>
    <row r="1603" spans="25:44" x14ac:dyDescent="0.15">
      <c r="Y1603" s="8"/>
      <c r="Z1603" s="61"/>
      <c r="AA1603" s="61"/>
      <c r="AB1603" s="61"/>
      <c r="AC1603" s="61"/>
      <c r="AD1603" s="37"/>
      <c r="AE1603" s="62"/>
      <c r="AF1603" s="62"/>
      <c r="AG1603" s="62"/>
      <c r="AH1603" s="62"/>
      <c r="AI1603" s="37"/>
      <c r="AJ1603" s="61"/>
      <c r="AK1603" s="61"/>
      <c r="AL1603" s="61"/>
      <c r="AM1603" s="61"/>
      <c r="AN1603" s="37"/>
      <c r="AO1603" s="62"/>
      <c r="AP1603" s="62"/>
      <c r="AQ1603" s="62"/>
      <c r="AR1603" s="62"/>
    </row>
    <row r="1604" spans="25:44" x14ac:dyDescent="0.15">
      <c r="Y1604" s="8"/>
      <c r="Z1604" s="61"/>
      <c r="AA1604" s="61"/>
      <c r="AB1604" s="61"/>
      <c r="AC1604" s="61"/>
      <c r="AD1604" s="37"/>
      <c r="AE1604" s="62"/>
      <c r="AF1604" s="62"/>
      <c r="AG1604" s="62"/>
      <c r="AH1604" s="62"/>
      <c r="AI1604" s="37"/>
      <c r="AJ1604" s="61"/>
      <c r="AK1604" s="61"/>
      <c r="AL1604" s="61"/>
      <c r="AM1604" s="61"/>
      <c r="AN1604" s="37"/>
      <c r="AO1604" s="62"/>
      <c r="AP1604" s="62"/>
      <c r="AQ1604" s="62"/>
      <c r="AR1604" s="62"/>
    </row>
    <row r="1605" spans="25:44" x14ac:dyDescent="0.15">
      <c r="Y1605" s="8"/>
      <c r="Z1605" s="61"/>
      <c r="AA1605" s="61"/>
      <c r="AB1605" s="61"/>
      <c r="AC1605" s="61"/>
      <c r="AD1605" s="37"/>
      <c r="AE1605" s="62"/>
      <c r="AF1605" s="62"/>
      <c r="AG1605" s="62"/>
      <c r="AH1605" s="62"/>
      <c r="AI1605" s="37"/>
      <c r="AJ1605" s="61"/>
      <c r="AK1605" s="61"/>
      <c r="AL1605" s="61"/>
      <c r="AM1605" s="61"/>
      <c r="AN1605" s="37"/>
      <c r="AO1605" s="62"/>
      <c r="AP1605" s="62"/>
      <c r="AQ1605" s="62"/>
      <c r="AR1605" s="62"/>
    </row>
    <row r="1606" spans="25:44" x14ac:dyDescent="0.15">
      <c r="Y1606" s="8"/>
      <c r="Z1606" s="61"/>
      <c r="AA1606" s="61"/>
      <c r="AB1606" s="61"/>
      <c r="AC1606" s="61"/>
      <c r="AD1606" s="37"/>
      <c r="AE1606" s="62"/>
      <c r="AF1606" s="62"/>
      <c r="AG1606" s="62"/>
      <c r="AH1606" s="62"/>
      <c r="AI1606" s="37"/>
      <c r="AJ1606" s="61"/>
      <c r="AK1606" s="61"/>
      <c r="AL1606" s="61"/>
      <c r="AM1606" s="61"/>
      <c r="AN1606" s="37"/>
      <c r="AO1606" s="62"/>
      <c r="AP1606" s="62"/>
      <c r="AQ1606" s="62"/>
      <c r="AR1606" s="62"/>
    </row>
    <row r="1607" spans="25:44" x14ac:dyDescent="0.15">
      <c r="Y1607" s="8"/>
      <c r="Z1607" s="61"/>
      <c r="AA1607" s="61"/>
      <c r="AB1607" s="61"/>
      <c r="AC1607" s="61"/>
      <c r="AD1607" s="37"/>
      <c r="AE1607" s="62"/>
      <c r="AF1607" s="62"/>
      <c r="AG1607" s="62"/>
      <c r="AH1607" s="62"/>
      <c r="AI1607" s="37"/>
      <c r="AJ1607" s="61"/>
      <c r="AK1607" s="61"/>
      <c r="AL1607" s="61"/>
      <c r="AM1607" s="61"/>
      <c r="AN1607" s="37"/>
      <c r="AO1607" s="62"/>
      <c r="AP1607" s="62"/>
      <c r="AQ1607" s="62"/>
      <c r="AR1607" s="62"/>
    </row>
    <row r="1608" spans="25:44" x14ac:dyDescent="0.15">
      <c r="Y1608" s="8"/>
      <c r="Z1608" s="61"/>
      <c r="AA1608" s="61"/>
      <c r="AB1608" s="61"/>
      <c r="AC1608" s="61"/>
      <c r="AD1608" s="37"/>
      <c r="AE1608" s="62"/>
      <c r="AF1608" s="62"/>
      <c r="AG1608" s="62"/>
      <c r="AH1608" s="62"/>
      <c r="AI1608" s="37"/>
      <c r="AJ1608" s="61"/>
      <c r="AK1608" s="61"/>
      <c r="AL1608" s="61"/>
      <c r="AM1608" s="61"/>
      <c r="AN1608" s="37"/>
      <c r="AO1608" s="62"/>
      <c r="AP1608" s="62"/>
      <c r="AQ1608" s="62"/>
      <c r="AR1608" s="62"/>
    </row>
    <row r="1609" spans="25:44" x14ac:dyDescent="0.15">
      <c r="Y1609" s="8"/>
      <c r="Z1609" s="61"/>
      <c r="AA1609" s="61"/>
      <c r="AB1609" s="61"/>
      <c r="AC1609" s="61"/>
      <c r="AD1609" s="37"/>
      <c r="AE1609" s="62"/>
      <c r="AF1609" s="62"/>
      <c r="AG1609" s="62"/>
      <c r="AH1609" s="62"/>
      <c r="AI1609" s="37"/>
      <c r="AJ1609" s="61"/>
      <c r="AK1609" s="61"/>
      <c r="AL1609" s="61"/>
      <c r="AM1609" s="61"/>
      <c r="AN1609" s="37"/>
      <c r="AO1609" s="62"/>
      <c r="AP1609" s="62"/>
      <c r="AQ1609" s="62"/>
      <c r="AR1609" s="62"/>
    </row>
    <row r="1610" spans="25:44" x14ac:dyDescent="0.15">
      <c r="Y1610" s="8"/>
      <c r="Z1610" s="61"/>
      <c r="AA1610" s="61"/>
      <c r="AB1610" s="61"/>
      <c r="AC1610" s="61"/>
      <c r="AD1610" s="37"/>
      <c r="AE1610" s="62"/>
      <c r="AF1610" s="62"/>
      <c r="AG1610" s="62"/>
      <c r="AH1610" s="62"/>
      <c r="AI1610" s="37"/>
      <c r="AJ1610" s="61"/>
      <c r="AK1610" s="61"/>
      <c r="AL1610" s="61"/>
      <c r="AM1610" s="61"/>
      <c r="AN1610" s="37"/>
      <c r="AO1610" s="62"/>
      <c r="AP1610" s="62"/>
      <c r="AQ1610" s="62"/>
      <c r="AR1610" s="62"/>
    </row>
    <row r="1611" spans="25:44" x14ac:dyDescent="0.15">
      <c r="Y1611" s="8"/>
      <c r="Z1611" s="61"/>
      <c r="AA1611" s="61"/>
      <c r="AB1611" s="61"/>
      <c r="AC1611" s="61"/>
      <c r="AD1611" s="37"/>
      <c r="AE1611" s="62"/>
      <c r="AF1611" s="62"/>
      <c r="AG1611" s="62"/>
      <c r="AH1611" s="62"/>
      <c r="AI1611" s="37"/>
      <c r="AJ1611" s="61"/>
      <c r="AK1611" s="61"/>
      <c r="AL1611" s="61"/>
      <c r="AM1611" s="61"/>
      <c r="AN1611" s="37"/>
      <c r="AO1611" s="62"/>
      <c r="AP1611" s="62"/>
      <c r="AQ1611" s="62"/>
      <c r="AR1611" s="62"/>
    </row>
    <row r="1612" spans="25:44" x14ac:dyDescent="0.15">
      <c r="Y1612" s="8"/>
      <c r="Z1612" s="61"/>
      <c r="AA1612" s="61"/>
      <c r="AB1612" s="61"/>
      <c r="AC1612" s="61"/>
      <c r="AD1612" s="37"/>
      <c r="AE1612" s="62"/>
      <c r="AF1612" s="62"/>
      <c r="AG1612" s="62"/>
      <c r="AH1612" s="62"/>
      <c r="AI1612" s="37"/>
      <c r="AJ1612" s="61"/>
      <c r="AK1612" s="61"/>
      <c r="AL1612" s="61"/>
      <c r="AM1612" s="61"/>
      <c r="AN1612" s="37"/>
      <c r="AO1612" s="62"/>
      <c r="AP1612" s="62"/>
      <c r="AQ1612" s="62"/>
      <c r="AR1612" s="62"/>
    </row>
    <row r="1613" spans="25:44" x14ac:dyDescent="0.15">
      <c r="Y1613" s="8"/>
      <c r="Z1613" s="61"/>
      <c r="AA1613" s="61"/>
      <c r="AB1613" s="61"/>
      <c r="AC1613" s="61"/>
      <c r="AD1613" s="37"/>
      <c r="AE1613" s="62"/>
      <c r="AF1613" s="62"/>
      <c r="AG1613" s="62"/>
      <c r="AH1613" s="62"/>
      <c r="AI1613" s="37"/>
      <c r="AJ1613" s="61"/>
      <c r="AK1613" s="61"/>
      <c r="AL1613" s="61"/>
      <c r="AM1613" s="61"/>
      <c r="AN1613" s="37"/>
      <c r="AO1613" s="62"/>
      <c r="AP1613" s="62"/>
      <c r="AQ1613" s="62"/>
      <c r="AR1613" s="62"/>
    </row>
    <row r="1614" spans="25:44" x14ac:dyDescent="0.15">
      <c r="Y1614" s="8"/>
      <c r="Z1614" s="61"/>
      <c r="AA1614" s="61"/>
      <c r="AB1614" s="61"/>
      <c r="AC1614" s="61"/>
      <c r="AD1614" s="37"/>
      <c r="AE1614" s="62"/>
      <c r="AF1614" s="62"/>
      <c r="AG1614" s="62"/>
      <c r="AH1614" s="62"/>
      <c r="AI1614" s="37"/>
      <c r="AJ1614" s="61"/>
      <c r="AK1614" s="61"/>
      <c r="AL1614" s="61"/>
      <c r="AM1614" s="61"/>
      <c r="AN1614" s="37"/>
      <c r="AO1614" s="62"/>
      <c r="AP1614" s="62"/>
      <c r="AQ1614" s="62"/>
      <c r="AR1614" s="62"/>
    </row>
    <row r="1615" spans="25:44" x14ac:dyDescent="0.15">
      <c r="Y1615" s="8"/>
      <c r="Z1615" s="61"/>
      <c r="AA1615" s="61"/>
      <c r="AB1615" s="61"/>
      <c r="AC1615" s="61"/>
      <c r="AD1615" s="37"/>
      <c r="AE1615" s="62"/>
      <c r="AF1615" s="62"/>
      <c r="AG1615" s="62"/>
      <c r="AH1615" s="62"/>
      <c r="AI1615" s="37"/>
      <c r="AJ1615" s="61"/>
      <c r="AK1615" s="61"/>
      <c r="AL1615" s="61"/>
      <c r="AM1615" s="61"/>
      <c r="AN1615" s="37"/>
      <c r="AO1615" s="62"/>
      <c r="AP1615" s="62"/>
      <c r="AQ1615" s="62"/>
      <c r="AR1615" s="62"/>
    </row>
    <row r="1616" spans="25:44" x14ac:dyDescent="0.15">
      <c r="Y1616" s="8"/>
      <c r="Z1616" s="61"/>
      <c r="AA1616" s="61"/>
      <c r="AB1616" s="61"/>
      <c r="AC1616" s="61"/>
      <c r="AD1616" s="37"/>
      <c r="AE1616" s="62"/>
      <c r="AF1616" s="62"/>
      <c r="AG1616" s="62"/>
      <c r="AH1616" s="62"/>
      <c r="AI1616" s="37"/>
      <c r="AJ1616" s="61"/>
      <c r="AK1616" s="61"/>
      <c r="AL1616" s="61"/>
      <c r="AM1616" s="61"/>
      <c r="AN1616" s="37"/>
      <c r="AO1616" s="62"/>
      <c r="AP1616" s="62"/>
      <c r="AQ1616" s="62"/>
      <c r="AR1616" s="62"/>
    </row>
    <row r="1617" spans="25:44" x14ac:dyDescent="0.15">
      <c r="Y1617" s="8"/>
      <c r="Z1617" s="61"/>
      <c r="AA1617" s="61"/>
      <c r="AB1617" s="61"/>
      <c r="AC1617" s="61"/>
      <c r="AD1617" s="37"/>
      <c r="AE1617" s="62"/>
      <c r="AF1617" s="62"/>
      <c r="AG1617" s="62"/>
      <c r="AH1617" s="62"/>
      <c r="AI1617" s="37"/>
      <c r="AJ1617" s="61"/>
      <c r="AK1617" s="61"/>
      <c r="AL1617" s="61"/>
      <c r="AM1617" s="61"/>
      <c r="AN1617" s="37"/>
      <c r="AO1617" s="62"/>
      <c r="AP1617" s="62"/>
      <c r="AQ1617" s="62"/>
      <c r="AR1617" s="62"/>
    </row>
    <row r="1618" spans="25:44" x14ac:dyDescent="0.15">
      <c r="Y1618" s="8"/>
      <c r="Z1618" s="61"/>
      <c r="AA1618" s="61"/>
      <c r="AB1618" s="61"/>
      <c r="AC1618" s="61"/>
      <c r="AD1618" s="37"/>
      <c r="AE1618" s="62"/>
      <c r="AF1618" s="62"/>
      <c r="AG1618" s="62"/>
      <c r="AH1618" s="62"/>
      <c r="AI1618" s="37"/>
      <c r="AJ1618" s="61"/>
      <c r="AK1618" s="61"/>
      <c r="AL1618" s="61"/>
      <c r="AM1618" s="61"/>
      <c r="AN1618" s="37"/>
      <c r="AO1618" s="62"/>
      <c r="AP1618" s="62"/>
      <c r="AQ1618" s="62"/>
      <c r="AR1618" s="62"/>
    </row>
    <row r="1619" spans="25:44" x14ac:dyDescent="0.15">
      <c r="Y1619" s="8"/>
      <c r="Z1619" s="61"/>
      <c r="AA1619" s="61"/>
      <c r="AB1619" s="61"/>
      <c r="AC1619" s="61"/>
      <c r="AD1619" s="37"/>
      <c r="AE1619" s="62"/>
      <c r="AF1619" s="62"/>
      <c r="AG1619" s="62"/>
      <c r="AH1619" s="62"/>
      <c r="AI1619" s="37"/>
      <c r="AJ1619" s="61"/>
      <c r="AK1619" s="61"/>
      <c r="AL1619" s="61"/>
      <c r="AM1619" s="61"/>
      <c r="AN1619" s="37"/>
      <c r="AO1619" s="62"/>
      <c r="AP1619" s="62"/>
      <c r="AQ1619" s="62"/>
      <c r="AR1619" s="62"/>
    </row>
    <row r="1620" spans="25:44" x14ac:dyDescent="0.15">
      <c r="Y1620" s="8"/>
      <c r="Z1620" s="61"/>
      <c r="AA1620" s="61"/>
      <c r="AB1620" s="61"/>
      <c r="AC1620" s="61"/>
      <c r="AD1620" s="37"/>
      <c r="AE1620" s="62"/>
      <c r="AF1620" s="62"/>
      <c r="AG1620" s="62"/>
      <c r="AH1620" s="62"/>
      <c r="AI1620" s="37"/>
      <c r="AJ1620" s="61"/>
      <c r="AK1620" s="61"/>
      <c r="AL1620" s="61"/>
      <c r="AM1620" s="61"/>
      <c r="AN1620" s="37"/>
      <c r="AO1620" s="62"/>
      <c r="AP1620" s="62"/>
      <c r="AQ1620" s="62"/>
      <c r="AR1620" s="62"/>
    </row>
    <row r="1621" spans="25:44" x14ac:dyDescent="0.15">
      <c r="Y1621" s="8"/>
      <c r="Z1621" s="61"/>
      <c r="AA1621" s="61"/>
      <c r="AB1621" s="61"/>
      <c r="AC1621" s="61"/>
      <c r="AD1621" s="37"/>
      <c r="AE1621" s="62"/>
      <c r="AF1621" s="62"/>
      <c r="AG1621" s="62"/>
      <c r="AH1621" s="62"/>
      <c r="AI1621" s="37"/>
      <c r="AJ1621" s="61"/>
      <c r="AK1621" s="61"/>
      <c r="AL1621" s="61"/>
      <c r="AM1621" s="61"/>
      <c r="AN1621" s="37"/>
      <c r="AO1621" s="62"/>
      <c r="AP1621" s="62"/>
      <c r="AQ1621" s="62"/>
      <c r="AR1621" s="62"/>
    </row>
    <row r="1622" spans="25:44" x14ac:dyDescent="0.15">
      <c r="Y1622" s="8"/>
      <c r="Z1622" s="61"/>
      <c r="AA1622" s="61"/>
      <c r="AB1622" s="61"/>
      <c r="AC1622" s="61"/>
      <c r="AD1622" s="37"/>
      <c r="AE1622" s="62"/>
      <c r="AF1622" s="62"/>
      <c r="AG1622" s="62"/>
      <c r="AH1622" s="62"/>
      <c r="AI1622" s="37"/>
      <c r="AJ1622" s="61"/>
      <c r="AK1622" s="61"/>
      <c r="AL1622" s="61"/>
      <c r="AM1622" s="61"/>
      <c r="AN1622" s="37"/>
      <c r="AO1622" s="62"/>
      <c r="AP1622" s="62"/>
      <c r="AQ1622" s="62"/>
      <c r="AR1622" s="62"/>
    </row>
    <row r="1623" spans="25:44" x14ac:dyDescent="0.15">
      <c r="Y1623" s="8"/>
      <c r="Z1623" s="61"/>
      <c r="AA1623" s="61"/>
      <c r="AB1623" s="61"/>
      <c r="AC1623" s="61"/>
      <c r="AD1623" s="37"/>
      <c r="AE1623" s="62"/>
      <c r="AF1623" s="62"/>
      <c r="AG1623" s="62"/>
      <c r="AH1623" s="62"/>
      <c r="AI1623" s="37"/>
      <c r="AJ1623" s="61"/>
      <c r="AK1623" s="61"/>
      <c r="AL1623" s="61"/>
      <c r="AM1623" s="61"/>
      <c r="AN1623" s="37"/>
      <c r="AO1623" s="62"/>
      <c r="AP1623" s="62"/>
      <c r="AQ1623" s="62"/>
      <c r="AR1623" s="62"/>
    </row>
    <row r="1624" spans="25:44" x14ac:dyDescent="0.15">
      <c r="Y1624" s="8"/>
      <c r="Z1624" s="61"/>
      <c r="AA1624" s="61"/>
      <c r="AB1624" s="61"/>
      <c r="AC1624" s="61"/>
      <c r="AD1624" s="37"/>
      <c r="AE1624" s="62"/>
      <c r="AF1624" s="62"/>
      <c r="AG1624" s="62"/>
      <c r="AH1624" s="62"/>
      <c r="AI1624" s="37"/>
      <c r="AJ1624" s="61"/>
      <c r="AK1624" s="61"/>
      <c r="AL1624" s="61"/>
      <c r="AM1624" s="61"/>
      <c r="AN1624" s="37"/>
      <c r="AO1624" s="62"/>
      <c r="AP1624" s="62"/>
      <c r="AQ1624" s="62"/>
      <c r="AR1624" s="62"/>
    </row>
    <row r="1625" spans="25:44" x14ac:dyDescent="0.15">
      <c r="Y1625" s="8"/>
      <c r="Z1625" s="61"/>
      <c r="AA1625" s="61"/>
      <c r="AB1625" s="61"/>
      <c r="AC1625" s="61"/>
      <c r="AD1625" s="37"/>
      <c r="AE1625" s="62"/>
      <c r="AF1625" s="62"/>
      <c r="AG1625" s="62"/>
      <c r="AH1625" s="62"/>
      <c r="AI1625" s="37"/>
      <c r="AJ1625" s="61"/>
      <c r="AK1625" s="61"/>
      <c r="AL1625" s="61"/>
      <c r="AM1625" s="61"/>
      <c r="AN1625" s="37"/>
      <c r="AO1625" s="62"/>
      <c r="AP1625" s="62"/>
      <c r="AQ1625" s="62"/>
      <c r="AR1625" s="62"/>
    </row>
    <row r="1626" spans="25:44" x14ac:dyDescent="0.15">
      <c r="Y1626" s="8"/>
      <c r="Z1626" s="61"/>
      <c r="AA1626" s="61"/>
      <c r="AB1626" s="61"/>
      <c r="AC1626" s="61"/>
      <c r="AD1626" s="37"/>
      <c r="AE1626" s="62"/>
      <c r="AF1626" s="62"/>
      <c r="AG1626" s="62"/>
      <c r="AH1626" s="62"/>
      <c r="AI1626" s="37"/>
      <c r="AJ1626" s="61"/>
      <c r="AK1626" s="61"/>
      <c r="AL1626" s="61"/>
      <c r="AM1626" s="61"/>
      <c r="AN1626" s="37"/>
      <c r="AO1626" s="62"/>
      <c r="AP1626" s="62"/>
      <c r="AQ1626" s="62"/>
      <c r="AR1626" s="62"/>
    </row>
    <row r="1627" spans="25:44" x14ac:dyDescent="0.15">
      <c r="Y1627" s="8"/>
      <c r="Z1627" s="61"/>
      <c r="AA1627" s="61"/>
      <c r="AB1627" s="61"/>
      <c r="AC1627" s="61"/>
      <c r="AD1627" s="37"/>
      <c r="AE1627" s="62"/>
      <c r="AF1627" s="62"/>
      <c r="AG1627" s="62"/>
      <c r="AH1627" s="62"/>
      <c r="AI1627" s="37"/>
      <c r="AJ1627" s="61"/>
      <c r="AK1627" s="61"/>
      <c r="AL1627" s="61"/>
      <c r="AM1627" s="61"/>
      <c r="AN1627" s="37"/>
      <c r="AO1627" s="62"/>
      <c r="AP1627" s="62"/>
      <c r="AQ1627" s="62"/>
      <c r="AR1627" s="62"/>
    </row>
    <row r="1628" spans="25:44" x14ac:dyDescent="0.15">
      <c r="Y1628" s="8"/>
      <c r="Z1628" s="61"/>
      <c r="AA1628" s="61"/>
      <c r="AB1628" s="61"/>
      <c r="AC1628" s="61"/>
      <c r="AD1628" s="37"/>
      <c r="AE1628" s="62"/>
      <c r="AF1628" s="62"/>
      <c r="AG1628" s="62"/>
      <c r="AH1628" s="62"/>
      <c r="AI1628" s="37"/>
      <c r="AJ1628" s="61"/>
      <c r="AK1628" s="61"/>
      <c r="AL1628" s="61"/>
      <c r="AM1628" s="61"/>
      <c r="AN1628" s="37"/>
      <c r="AO1628" s="62"/>
      <c r="AP1628" s="62"/>
      <c r="AQ1628" s="62"/>
      <c r="AR1628" s="62"/>
    </row>
    <row r="1629" spans="25:44" x14ac:dyDescent="0.15">
      <c r="Y1629" s="8"/>
      <c r="Z1629" s="61"/>
      <c r="AA1629" s="61"/>
      <c r="AB1629" s="61"/>
      <c r="AC1629" s="61"/>
      <c r="AD1629" s="37"/>
      <c r="AE1629" s="62"/>
      <c r="AF1629" s="62"/>
      <c r="AG1629" s="62"/>
      <c r="AH1629" s="62"/>
      <c r="AI1629" s="37"/>
      <c r="AJ1629" s="61"/>
      <c r="AK1629" s="61"/>
      <c r="AL1629" s="61"/>
      <c r="AM1629" s="61"/>
      <c r="AN1629" s="37"/>
      <c r="AO1629" s="62"/>
      <c r="AP1629" s="62"/>
      <c r="AQ1629" s="62"/>
      <c r="AR1629" s="62"/>
    </row>
    <row r="1630" spans="25:44" x14ac:dyDescent="0.15">
      <c r="Y1630" s="8"/>
      <c r="Z1630" s="61"/>
      <c r="AA1630" s="61"/>
      <c r="AB1630" s="61"/>
      <c r="AC1630" s="61"/>
      <c r="AD1630" s="37"/>
      <c r="AE1630" s="62"/>
      <c r="AF1630" s="62"/>
      <c r="AG1630" s="62"/>
      <c r="AH1630" s="62"/>
      <c r="AI1630" s="37"/>
      <c r="AJ1630" s="61"/>
      <c r="AK1630" s="61"/>
      <c r="AL1630" s="61"/>
      <c r="AM1630" s="61"/>
      <c r="AN1630" s="37"/>
      <c r="AO1630" s="62"/>
      <c r="AP1630" s="62"/>
      <c r="AQ1630" s="62"/>
      <c r="AR1630" s="62"/>
    </row>
    <row r="1631" spans="25:44" x14ac:dyDescent="0.15">
      <c r="Y1631" s="8"/>
      <c r="Z1631" s="61"/>
      <c r="AA1631" s="61"/>
      <c r="AB1631" s="61"/>
      <c r="AC1631" s="61"/>
      <c r="AD1631" s="37"/>
      <c r="AE1631" s="62"/>
      <c r="AF1631" s="62"/>
      <c r="AG1631" s="62"/>
      <c r="AH1631" s="62"/>
      <c r="AI1631" s="37"/>
      <c r="AJ1631" s="61"/>
      <c r="AK1631" s="61"/>
      <c r="AL1631" s="61"/>
      <c r="AM1631" s="61"/>
      <c r="AN1631" s="37"/>
      <c r="AO1631" s="62"/>
      <c r="AP1631" s="62"/>
      <c r="AQ1631" s="62"/>
      <c r="AR1631" s="62"/>
    </row>
    <row r="1632" spans="25:44" x14ac:dyDescent="0.15">
      <c r="Y1632" s="8"/>
      <c r="Z1632" s="61"/>
      <c r="AA1632" s="61"/>
      <c r="AB1632" s="61"/>
      <c r="AC1632" s="61"/>
      <c r="AD1632" s="37"/>
      <c r="AE1632" s="62"/>
      <c r="AF1632" s="62"/>
      <c r="AG1632" s="62"/>
      <c r="AH1632" s="62"/>
      <c r="AI1632" s="37"/>
      <c r="AJ1632" s="61"/>
      <c r="AK1632" s="61"/>
      <c r="AL1632" s="61"/>
      <c r="AM1632" s="61"/>
      <c r="AN1632" s="37"/>
      <c r="AO1632" s="62"/>
      <c r="AP1632" s="62"/>
      <c r="AQ1632" s="62"/>
      <c r="AR1632" s="62"/>
    </row>
    <row r="1633" spans="25:44" x14ac:dyDescent="0.15">
      <c r="Y1633" s="8"/>
      <c r="Z1633" s="61"/>
      <c r="AA1633" s="61"/>
      <c r="AB1633" s="61"/>
      <c r="AC1633" s="61"/>
      <c r="AD1633" s="37"/>
      <c r="AE1633" s="62"/>
      <c r="AF1633" s="62"/>
      <c r="AG1633" s="62"/>
      <c r="AH1633" s="62"/>
      <c r="AI1633" s="37"/>
      <c r="AJ1633" s="61"/>
      <c r="AK1633" s="61"/>
      <c r="AL1633" s="61"/>
      <c r="AM1633" s="61"/>
      <c r="AN1633" s="37"/>
      <c r="AO1633" s="62"/>
      <c r="AP1633" s="62"/>
      <c r="AQ1633" s="62"/>
      <c r="AR1633" s="62"/>
    </row>
    <row r="1634" spans="25:44" x14ac:dyDescent="0.15">
      <c r="Y1634" s="8"/>
      <c r="Z1634" s="61"/>
      <c r="AA1634" s="61"/>
      <c r="AB1634" s="61"/>
      <c r="AC1634" s="61"/>
      <c r="AD1634" s="37"/>
      <c r="AE1634" s="62"/>
      <c r="AF1634" s="62"/>
      <c r="AG1634" s="62"/>
      <c r="AH1634" s="62"/>
      <c r="AI1634" s="37"/>
      <c r="AJ1634" s="61"/>
      <c r="AK1634" s="61"/>
      <c r="AL1634" s="61"/>
      <c r="AM1634" s="61"/>
      <c r="AN1634" s="37"/>
      <c r="AO1634" s="62"/>
      <c r="AP1634" s="62"/>
      <c r="AQ1634" s="62"/>
      <c r="AR1634" s="62"/>
    </row>
    <row r="1635" spans="25:44" x14ac:dyDescent="0.15">
      <c r="Y1635" s="8"/>
      <c r="Z1635" s="61"/>
      <c r="AA1635" s="61"/>
      <c r="AB1635" s="61"/>
      <c r="AC1635" s="61"/>
      <c r="AD1635" s="37"/>
      <c r="AE1635" s="62"/>
      <c r="AF1635" s="62"/>
      <c r="AG1635" s="62"/>
      <c r="AH1635" s="62"/>
      <c r="AI1635" s="37"/>
      <c r="AJ1635" s="61"/>
      <c r="AK1635" s="61"/>
      <c r="AL1635" s="61"/>
      <c r="AM1635" s="61"/>
      <c r="AN1635" s="37"/>
      <c r="AO1635" s="62"/>
      <c r="AP1635" s="62"/>
      <c r="AQ1635" s="62"/>
      <c r="AR1635" s="62"/>
    </row>
    <row r="1636" spans="25:44" x14ac:dyDescent="0.15">
      <c r="Y1636" s="8"/>
      <c r="Z1636" s="61"/>
      <c r="AA1636" s="61"/>
      <c r="AB1636" s="61"/>
      <c r="AC1636" s="61"/>
      <c r="AD1636" s="37"/>
      <c r="AE1636" s="62"/>
      <c r="AF1636" s="62"/>
      <c r="AG1636" s="62"/>
      <c r="AH1636" s="62"/>
      <c r="AI1636" s="37"/>
      <c r="AJ1636" s="61"/>
      <c r="AK1636" s="61"/>
      <c r="AL1636" s="61"/>
      <c r="AM1636" s="61"/>
      <c r="AN1636" s="37"/>
      <c r="AO1636" s="62"/>
      <c r="AP1636" s="62"/>
      <c r="AQ1636" s="62"/>
      <c r="AR1636" s="62"/>
    </row>
    <row r="1637" spans="25:44" x14ac:dyDescent="0.15">
      <c r="Y1637" s="8"/>
      <c r="Z1637" s="61"/>
      <c r="AA1637" s="61"/>
      <c r="AB1637" s="61"/>
      <c r="AC1637" s="61"/>
      <c r="AD1637" s="37"/>
      <c r="AE1637" s="62"/>
      <c r="AF1637" s="62"/>
      <c r="AG1637" s="62"/>
      <c r="AH1637" s="62"/>
      <c r="AI1637" s="37"/>
      <c r="AJ1637" s="61"/>
      <c r="AK1637" s="61"/>
      <c r="AL1637" s="61"/>
      <c r="AM1637" s="61"/>
      <c r="AN1637" s="37"/>
      <c r="AO1637" s="62"/>
      <c r="AP1637" s="62"/>
      <c r="AQ1637" s="62"/>
      <c r="AR1637" s="62"/>
    </row>
    <row r="1638" spans="25:44" x14ac:dyDescent="0.15">
      <c r="Y1638" s="8"/>
      <c r="Z1638" s="61"/>
      <c r="AA1638" s="61"/>
      <c r="AB1638" s="61"/>
      <c r="AC1638" s="61"/>
      <c r="AD1638" s="37"/>
      <c r="AE1638" s="62"/>
      <c r="AF1638" s="62"/>
      <c r="AG1638" s="62"/>
      <c r="AH1638" s="62"/>
      <c r="AI1638" s="37"/>
      <c r="AJ1638" s="61"/>
      <c r="AK1638" s="61"/>
      <c r="AL1638" s="61"/>
      <c r="AM1638" s="61"/>
      <c r="AN1638" s="37"/>
      <c r="AO1638" s="62"/>
      <c r="AP1638" s="62"/>
      <c r="AQ1638" s="62"/>
      <c r="AR1638" s="62"/>
    </row>
    <row r="1639" spans="25:44" x14ac:dyDescent="0.15">
      <c r="Y1639" s="8"/>
      <c r="Z1639" s="61"/>
      <c r="AA1639" s="61"/>
      <c r="AB1639" s="61"/>
      <c r="AC1639" s="61"/>
      <c r="AD1639" s="37"/>
      <c r="AE1639" s="62"/>
      <c r="AF1639" s="62"/>
      <c r="AG1639" s="62"/>
      <c r="AH1639" s="62"/>
      <c r="AI1639" s="37"/>
      <c r="AJ1639" s="61"/>
      <c r="AK1639" s="61"/>
      <c r="AL1639" s="61"/>
      <c r="AM1639" s="61"/>
      <c r="AN1639" s="37"/>
      <c r="AO1639" s="62"/>
      <c r="AP1639" s="62"/>
      <c r="AQ1639" s="62"/>
      <c r="AR1639" s="62"/>
    </row>
    <row r="1640" spans="25:44" x14ac:dyDescent="0.15">
      <c r="Y1640" s="8"/>
      <c r="Z1640" s="61"/>
      <c r="AA1640" s="61"/>
      <c r="AB1640" s="61"/>
      <c r="AC1640" s="61"/>
      <c r="AD1640" s="37"/>
      <c r="AE1640" s="62"/>
      <c r="AF1640" s="62"/>
      <c r="AG1640" s="62"/>
      <c r="AH1640" s="62"/>
      <c r="AI1640" s="37"/>
      <c r="AJ1640" s="61"/>
      <c r="AK1640" s="61"/>
      <c r="AL1640" s="61"/>
      <c r="AM1640" s="61"/>
      <c r="AN1640" s="37"/>
      <c r="AO1640" s="62"/>
      <c r="AP1640" s="62"/>
      <c r="AQ1640" s="62"/>
      <c r="AR1640" s="62"/>
    </row>
    <row r="1641" spans="25:44" x14ac:dyDescent="0.15">
      <c r="Y1641" s="8"/>
      <c r="Z1641" s="61"/>
      <c r="AA1641" s="61"/>
      <c r="AB1641" s="61"/>
      <c r="AC1641" s="61"/>
      <c r="AD1641" s="37"/>
      <c r="AE1641" s="62"/>
      <c r="AF1641" s="62"/>
      <c r="AG1641" s="62"/>
      <c r="AH1641" s="62"/>
      <c r="AI1641" s="37"/>
      <c r="AJ1641" s="61"/>
      <c r="AK1641" s="61"/>
      <c r="AL1641" s="61"/>
      <c r="AM1641" s="61"/>
      <c r="AN1641" s="37"/>
      <c r="AO1641" s="62"/>
      <c r="AP1641" s="62"/>
      <c r="AQ1641" s="62"/>
      <c r="AR1641" s="62"/>
    </row>
    <row r="1642" spans="25:44" x14ac:dyDescent="0.15">
      <c r="Y1642" s="8"/>
      <c r="Z1642" s="61"/>
      <c r="AA1642" s="61"/>
      <c r="AB1642" s="61"/>
      <c r="AC1642" s="61"/>
      <c r="AD1642" s="37"/>
      <c r="AE1642" s="62"/>
      <c r="AF1642" s="62"/>
      <c r="AG1642" s="62"/>
      <c r="AH1642" s="62"/>
      <c r="AI1642" s="37"/>
      <c r="AJ1642" s="61"/>
      <c r="AK1642" s="61"/>
      <c r="AL1642" s="61"/>
      <c r="AM1642" s="61"/>
      <c r="AN1642" s="37"/>
      <c r="AO1642" s="62"/>
      <c r="AP1642" s="62"/>
      <c r="AQ1642" s="62"/>
      <c r="AR1642" s="62"/>
    </row>
    <row r="1643" spans="25:44" x14ac:dyDescent="0.15">
      <c r="Y1643" s="8"/>
      <c r="Z1643" s="61"/>
      <c r="AA1643" s="61"/>
      <c r="AB1643" s="61"/>
      <c r="AC1643" s="61"/>
      <c r="AD1643" s="37"/>
      <c r="AE1643" s="62"/>
      <c r="AF1643" s="62"/>
      <c r="AG1643" s="62"/>
      <c r="AH1643" s="62"/>
      <c r="AI1643" s="37"/>
      <c r="AJ1643" s="61"/>
      <c r="AK1643" s="61"/>
      <c r="AL1643" s="61"/>
      <c r="AM1643" s="61"/>
      <c r="AN1643" s="37"/>
      <c r="AO1643" s="62"/>
      <c r="AP1643" s="62"/>
      <c r="AQ1643" s="62"/>
      <c r="AR1643" s="62"/>
    </row>
    <row r="1644" spans="25:44" x14ac:dyDescent="0.15">
      <c r="Y1644" s="8"/>
      <c r="Z1644" s="61"/>
      <c r="AA1644" s="61"/>
      <c r="AB1644" s="61"/>
      <c r="AC1644" s="61"/>
      <c r="AD1644" s="37"/>
      <c r="AE1644" s="62"/>
      <c r="AF1644" s="62"/>
      <c r="AG1644" s="62"/>
      <c r="AH1644" s="62"/>
      <c r="AI1644" s="37"/>
      <c r="AJ1644" s="61"/>
      <c r="AK1644" s="61"/>
      <c r="AL1644" s="61"/>
      <c r="AM1644" s="61"/>
      <c r="AN1644" s="37"/>
      <c r="AO1644" s="62"/>
      <c r="AP1644" s="62"/>
      <c r="AQ1644" s="62"/>
      <c r="AR1644" s="62"/>
    </row>
    <row r="1645" spans="25:44" x14ac:dyDescent="0.15">
      <c r="Y1645" s="8"/>
      <c r="Z1645" s="61"/>
      <c r="AA1645" s="61"/>
      <c r="AB1645" s="61"/>
      <c r="AC1645" s="61"/>
      <c r="AD1645" s="37"/>
      <c r="AE1645" s="62"/>
      <c r="AF1645" s="62"/>
      <c r="AG1645" s="62"/>
      <c r="AH1645" s="62"/>
      <c r="AI1645" s="37"/>
      <c r="AJ1645" s="61"/>
      <c r="AK1645" s="61"/>
      <c r="AL1645" s="61"/>
      <c r="AM1645" s="61"/>
      <c r="AN1645" s="37"/>
      <c r="AO1645" s="62"/>
      <c r="AP1645" s="62"/>
      <c r="AQ1645" s="62"/>
      <c r="AR1645" s="62"/>
    </row>
    <row r="1646" spans="25:44" x14ac:dyDescent="0.15">
      <c r="Y1646" s="8"/>
      <c r="Z1646" s="61"/>
      <c r="AA1646" s="61"/>
      <c r="AB1646" s="61"/>
      <c r="AC1646" s="61"/>
      <c r="AD1646" s="37"/>
      <c r="AE1646" s="62"/>
      <c r="AF1646" s="62"/>
      <c r="AG1646" s="62"/>
      <c r="AH1646" s="62"/>
      <c r="AI1646" s="37"/>
      <c r="AJ1646" s="61"/>
      <c r="AK1646" s="61"/>
      <c r="AL1646" s="61"/>
      <c r="AM1646" s="61"/>
      <c r="AN1646" s="37"/>
      <c r="AO1646" s="62"/>
      <c r="AP1646" s="62"/>
      <c r="AQ1646" s="62"/>
      <c r="AR1646" s="62"/>
    </row>
    <row r="1647" spans="25:44" x14ac:dyDescent="0.15">
      <c r="Y1647" s="8"/>
      <c r="Z1647" s="61"/>
      <c r="AA1647" s="61"/>
      <c r="AB1647" s="61"/>
      <c r="AC1647" s="61"/>
      <c r="AD1647" s="37"/>
      <c r="AE1647" s="62"/>
      <c r="AF1647" s="62"/>
      <c r="AG1647" s="62"/>
      <c r="AH1647" s="62"/>
      <c r="AI1647" s="37"/>
      <c r="AJ1647" s="61"/>
      <c r="AK1647" s="61"/>
      <c r="AL1647" s="61"/>
      <c r="AM1647" s="61"/>
      <c r="AN1647" s="37"/>
      <c r="AO1647" s="62"/>
      <c r="AP1647" s="62"/>
      <c r="AQ1647" s="62"/>
      <c r="AR1647" s="62"/>
    </row>
    <row r="1648" spans="25:44" x14ac:dyDescent="0.15">
      <c r="Y1648" s="8"/>
      <c r="Z1648" s="61"/>
      <c r="AA1648" s="61"/>
      <c r="AB1648" s="61"/>
      <c r="AC1648" s="61"/>
      <c r="AD1648" s="37"/>
      <c r="AE1648" s="62"/>
      <c r="AF1648" s="62"/>
      <c r="AG1648" s="62"/>
      <c r="AH1648" s="62"/>
      <c r="AI1648" s="37"/>
      <c r="AJ1648" s="61"/>
      <c r="AK1648" s="61"/>
      <c r="AL1648" s="61"/>
      <c r="AM1648" s="61"/>
      <c r="AN1648" s="37"/>
      <c r="AO1648" s="62"/>
      <c r="AP1648" s="62"/>
      <c r="AQ1648" s="62"/>
      <c r="AR1648" s="62"/>
    </row>
    <row r="1649" spans="25:44" x14ac:dyDescent="0.15">
      <c r="Y1649" s="8"/>
      <c r="Z1649" s="61"/>
      <c r="AA1649" s="61"/>
      <c r="AB1649" s="61"/>
      <c r="AC1649" s="61"/>
      <c r="AD1649" s="37"/>
      <c r="AE1649" s="62"/>
      <c r="AF1649" s="62"/>
      <c r="AG1649" s="62"/>
      <c r="AH1649" s="62"/>
      <c r="AI1649" s="37"/>
      <c r="AJ1649" s="61"/>
      <c r="AK1649" s="61"/>
      <c r="AL1649" s="61"/>
      <c r="AM1649" s="61"/>
      <c r="AN1649" s="37"/>
      <c r="AO1649" s="62"/>
      <c r="AP1649" s="62"/>
      <c r="AQ1649" s="62"/>
      <c r="AR1649" s="62"/>
    </row>
    <row r="1650" spans="25:44" x14ac:dyDescent="0.15">
      <c r="Y1650" s="8"/>
      <c r="Z1650" s="61"/>
      <c r="AA1650" s="61"/>
      <c r="AB1650" s="61"/>
      <c r="AC1650" s="61"/>
      <c r="AD1650" s="37"/>
      <c r="AE1650" s="62"/>
      <c r="AF1650" s="62"/>
      <c r="AG1650" s="62"/>
      <c r="AH1650" s="62"/>
      <c r="AI1650" s="37"/>
      <c r="AJ1650" s="61"/>
      <c r="AK1650" s="61"/>
      <c r="AL1650" s="61"/>
      <c r="AM1650" s="61"/>
      <c r="AN1650" s="37"/>
      <c r="AO1650" s="62"/>
      <c r="AP1650" s="62"/>
      <c r="AQ1650" s="62"/>
      <c r="AR1650" s="62"/>
    </row>
    <row r="1651" spans="25:44" x14ac:dyDescent="0.15">
      <c r="Y1651" s="8"/>
      <c r="Z1651" s="61"/>
      <c r="AA1651" s="61"/>
      <c r="AB1651" s="61"/>
      <c r="AC1651" s="61"/>
      <c r="AD1651" s="37"/>
      <c r="AE1651" s="62"/>
      <c r="AF1651" s="62"/>
      <c r="AG1651" s="62"/>
      <c r="AH1651" s="62"/>
      <c r="AI1651" s="37"/>
      <c r="AJ1651" s="61"/>
      <c r="AK1651" s="61"/>
      <c r="AL1651" s="61"/>
      <c r="AM1651" s="61"/>
      <c r="AN1651" s="37"/>
      <c r="AO1651" s="62"/>
      <c r="AP1651" s="62"/>
      <c r="AQ1651" s="62"/>
      <c r="AR1651" s="62"/>
    </row>
    <row r="1652" spans="25:44" x14ac:dyDescent="0.15">
      <c r="Y1652" s="8"/>
      <c r="Z1652" s="61"/>
      <c r="AA1652" s="61"/>
      <c r="AB1652" s="61"/>
      <c r="AC1652" s="61"/>
      <c r="AD1652" s="37"/>
      <c r="AE1652" s="62"/>
      <c r="AF1652" s="62"/>
      <c r="AG1652" s="62"/>
      <c r="AH1652" s="62"/>
      <c r="AI1652" s="37"/>
      <c r="AJ1652" s="61"/>
      <c r="AK1652" s="61"/>
      <c r="AL1652" s="61"/>
      <c r="AM1652" s="61"/>
      <c r="AN1652" s="37"/>
      <c r="AO1652" s="62"/>
      <c r="AP1652" s="62"/>
      <c r="AQ1652" s="62"/>
      <c r="AR1652" s="62"/>
    </row>
    <row r="1653" spans="25:44" x14ac:dyDescent="0.15">
      <c r="Y1653" s="8"/>
      <c r="Z1653" s="61"/>
      <c r="AA1653" s="61"/>
      <c r="AB1653" s="61"/>
      <c r="AC1653" s="61"/>
      <c r="AD1653" s="37"/>
      <c r="AE1653" s="62"/>
      <c r="AF1653" s="62"/>
      <c r="AG1653" s="62"/>
      <c r="AH1653" s="62"/>
      <c r="AI1653" s="37"/>
      <c r="AJ1653" s="61"/>
      <c r="AK1653" s="61"/>
      <c r="AL1653" s="61"/>
      <c r="AM1653" s="61"/>
      <c r="AN1653" s="37"/>
      <c r="AO1653" s="62"/>
      <c r="AP1653" s="62"/>
      <c r="AQ1653" s="62"/>
      <c r="AR1653" s="62"/>
    </row>
    <row r="1654" spans="25:44" x14ac:dyDescent="0.15">
      <c r="Y1654" s="8"/>
      <c r="Z1654" s="61"/>
      <c r="AA1654" s="61"/>
      <c r="AB1654" s="61"/>
      <c r="AC1654" s="61"/>
      <c r="AD1654" s="37"/>
      <c r="AE1654" s="62"/>
      <c r="AF1654" s="62"/>
      <c r="AG1654" s="62"/>
      <c r="AH1654" s="62"/>
      <c r="AI1654" s="37"/>
      <c r="AJ1654" s="61"/>
      <c r="AK1654" s="61"/>
      <c r="AL1654" s="61"/>
      <c r="AM1654" s="61"/>
      <c r="AN1654" s="37"/>
      <c r="AO1654" s="62"/>
      <c r="AP1654" s="62"/>
      <c r="AQ1654" s="62"/>
      <c r="AR1654" s="62"/>
    </row>
    <row r="1655" spans="25:44" x14ac:dyDescent="0.15">
      <c r="Y1655" s="8"/>
      <c r="Z1655" s="61"/>
      <c r="AA1655" s="61"/>
      <c r="AB1655" s="61"/>
      <c r="AC1655" s="61"/>
      <c r="AD1655" s="37"/>
      <c r="AE1655" s="62"/>
      <c r="AF1655" s="62"/>
      <c r="AG1655" s="62"/>
      <c r="AH1655" s="62"/>
      <c r="AI1655" s="37"/>
      <c r="AJ1655" s="61"/>
      <c r="AK1655" s="61"/>
      <c r="AL1655" s="61"/>
      <c r="AM1655" s="61"/>
      <c r="AN1655" s="37"/>
      <c r="AO1655" s="62"/>
      <c r="AP1655" s="62"/>
      <c r="AQ1655" s="62"/>
      <c r="AR1655" s="62"/>
    </row>
    <row r="1656" spans="25:44" x14ac:dyDescent="0.15">
      <c r="Y1656" s="8"/>
      <c r="Z1656" s="61"/>
      <c r="AA1656" s="61"/>
      <c r="AB1656" s="61"/>
      <c r="AC1656" s="61"/>
      <c r="AD1656" s="37"/>
      <c r="AE1656" s="62"/>
      <c r="AF1656" s="62"/>
      <c r="AG1656" s="62"/>
      <c r="AH1656" s="62"/>
      <c r="AI1656" s="37"/>
      <c r="AJ1656" s="61"/>
      <c r="AK1656" s="61"/>
      <c r="AL1656" s="61"/>
      <c r="AM1656" s="61"/>
      <c r="AN1656" s="37"/>
      <c r="AO1656" s="62"/>
      <c r="AP1656" s="62"/>
      <c r="AQ1656" s="62"/>
      <c r="AR1656" s="62"/>
    </row>
    <row r="1657" spans="25:44" x14ac:dyDescent="0.15">
      <c r="Y1657" s="8"/>
      <c r="Z1657" s="61"/>
      <c r="AA1657" s="61"/>
      <c r="AB1657" s="61"/>
      <c r="AC1657" s="61"/>
      <c r="AD1657" s="37"/>
      <c r="AE1657" s="62"/>
      <c r="AF1657" s="62"/>
      <c r="AG1657" s="62"/>
      <c r="AH1657" s="62"/>
      <c r="AI1657" s="37"/>
      <c r="AJ1657" s="61"/>
      <c r="AK1657" s="61"/>
      <c r="AL1657" s="61"/>
      <c r="AM1657" s="61"/>
      <c r="AN1657" s="37"/>
      <c r="AO1657" s="62"/>
      <c r="AP1657" s="62"/>
      <c r="AQ1657" s="62"/>
      <c r="AR1657" s="62"/>
    </row>
    <row r="1658" spans="25:44" x14ac:dyDescent="0.15">
      <c r="Y1658" s="8"/>
      <c r="Z1658" s="61"/>
      <c r="AA1658" s="61"/>
      <c r="AB1658" s="61"/>
      <c r="AC1658" s="61"/>
      <c r="AD1658" s="37"/>
      <c r="AE1658" s="62"/>
      <c r="AF1658" s="62"/>
      <c r="AG1658" s="62"/>
      <c r="AH1658" s="62"/>
      <c r="AI1658" s="37"/>
      <c r="AJ1658" s="61"/>
      <c r="AK1658" s="61"/>
      <c r="AL1658" s="61"/>
      <c r="AM1658" s="61"/>
      <c r="AN1658" s="37"/>
      <c r="AO1658" s="62"/>
      <c r="AP1658" s="62"/>
      <c r="AQ1658" s="62"/>
      <c r="AR1658" s="62"/>
    </row>
    <row r="1659" spans="25:44" x14ac:dyDescent="0.15">
      <c r="Y1659" s="8"/>
      <c r="Z1659" s="61"/>
      <c r="AA1659" s="61"/>
      <c r="AB1659" s="61"/>
      <c r="AC1659" s="61"/>
      <c r="AD1659" s="37"/>
      <c r="AE1659" s="62"/>
      <c r="AF1659" s="62"/>
      <c r="AG1659" s="62"/>
      <c r="AH1659" s="62"/>
      <c r="AI1659" s="37"/>
      <c r="AJ1659" s="61"/>
      <c r="AK1659" s="61"/>
      <c r="AL1659" s="61"/>
      <c r="AM1659" s="61"/>
      <c r="AN1659" s="37"/>
      <c r="AO1659" s="62"/>
      <c r="AP1659" s="62"/>
      <c r="AQ1659" s="62"/>
      <c r="AR1659" s="62"/>
    </row>
    <row r="1660" spans="25:44" x14ac:dyDescent="0.15">
      <c r="Y1660" s="8"/>
      <c r="Z1660" s="61"/>
      <c r="AA1660" s="61"/>
      <c r="AB1660" s="61"/>
      <c r="AC1660" s="61"/>
      <c r="AD1660" s="37"/>
      <c r="AE1660" s="62"/>
      <c r="AF1660" s="62"/>
      <c r="AG1660" s="62"/>
      <c r="AH1660" s="62"/>
      <c r="AI1660" s="37"/>
      <c r="AJ1660" s="61"/>
      <c r="AK1660" s="61"/>
      <c r="AL1660" s="61"/>
      <c r="AM1660" s="61"/>
      <c r="AN1660" s="37"/>
      <c r="AO1660" s="62"/>
      <c r="AP1660" s="62"/>
      <c r="AQ1660" s="62"/>
      <c r="AR1660" s="62"/>
    </row>
    <row r="1661" spans="25:44" x14ac:dyDescent="0.15">
      <c r="Y1661" s="8"/>
      <c r="Z1661" s="61"/>
      <c r="AA1661" s="61"/>
      <c r="AB1661" s="61"/>
      <c r="AC1661" s="61"/>
      <c r="AD1661" s="37"/>
      <c r="AE1661" s="62"/>
      <c r="AF1661" s="62"/>
      <c r="AG1661" s="62"/>
      <c r="AH1661" s="62"/>
      <c r="AI1661" s="37"/>
      <c r="AJ1661" s="61"/>
      <c r="AK1661" s="61"/>
      <c r="AL1661" s="61"/>
      <c r="AM1661" s="61"/>
      <c r="AN1661" s="37"/>
      <c r="AO1661" s="62"/>
      <c r="AP1661" s="62"/>
      <c r="AQ1661" s="62"/>
      <c r="AR1661" s="62"/>
    </row>
    <row r="1662" spans="25:44" x14ac:dyDescent="0.15">
      <c r="Y1662" s="8"/>
      <c r="Z1662" s="61"/>
      <c r="AA1662" s="61"/>
      <c r="AB1662" s="61"/>
      <c r="AC1662" s="61"/>
      <c r="AD1662" s="37"/>
      <c r="AE1662" s="62"/>
      <c r="AF1662" s="62"/>
      <c r="AG1662" s="62"/>
      <c r="AH1662" s="62"/>
      <c r="AI1662" s="37"/>
      <c r="AJ1662" s="61"/>
      <c r="AK1662" s="61"/>
      <c r="AL1662" s="61"/>
      <c r="AM1662" s="61"/>
      <c r="AN1662" s="37"/>
      <c r="AO1662" s="62"/>
      <c r="AP1662" s="62"/>
      <c r="AQ1662" s="62"/>
      <c r="AR1662" s="62"/>
    </row>
    <row r="1663" spans="25:44" x14ac:dyDescent="0.15">
      <c r="Y1663" s="8"/>
      <c r="Z1663" s="61"/>
      <c r="AA1663" s="61"/>
      <c r="AB1663" s="61"/>
      <c r="AC1663" s="61"/>
      <c r="AD1663" s="37"/>
      <c r="AE1663" s="62"/>
      <c r="AF1663" s="62"/>
      <c r="AG1663" s="62"/>
      <c r="AH1663" s="62"/>
      <c r="AI1663" s="37"/>
      <c r="AJ1663" s="61"/>
      <c r="AK1663" s="61"/>
      <c r="AL1663" s="61"/>
      <c r="AM1663" s="61"/>
      <c r="AN1663" s="37"/>
      <c r="AO1663" s="62"/>
      <c r="AP1663" s="62"/>
      <c r="AQ1663" s="62"/>
      <c r="AR1663" s="62"/>
    </row>
    <row r="1664" spans="25:44" x14ac:dyDescent="0.15">
      <c r="Y1664" s="8"/>
      <c r="Z1664" s="61"/>
      <c r="AA1664" s="61"/>
      <c r="AB1664" s="61"/>
      <c r="AC1664" s="61"/>
      <c r="AD1664" s="37"/>
      <c r="AE1664" s="62"/>
      <c r="AF1664" s="62"/>
      <c r="AG1664" s="62"/>
      <c r="AH1664" s="62"/>
      <c r="AI1664" s="37"/>
      <c r="AJ1664" s="61"/>
      <c r="AK1664" s="61"/>
      <c r="AL1664" s="61"/>
      <c r="AM1664" s="61"/>
      <c r="AN1664" s="37"/>
      <c r="AO1664" s="62"/>
      <c r="AP1664" s="62"/>
      <c r="AQ1664" s="62"/>
      <c r="AR1664" s="62"/>
    </row>
    <row r="1665" spans="25:44" x14ac:dyDescent="0.15">
      <c r="Y1665" s="8"/>
      <c r="Z1665" s="61"/>
      <c r="AA1665" s="61"/>
      <c r="AB1665" s="61"/>
      <c r="AC1665" s="61"/>
      <c r="AD1665" s="37"/>
      <c r="AE1665" s="62"/>
      <c r="AF1665" s="62"/>
      <c r="AG1665" s="62"/>
      <c r="AH1665" s="62"/>
      <c r="AI1665" s="37"/>
      <c r="AJ1665" s="61"/>
      <c r="AK1665" s="61"/>
      <c r="AL1665" s="61"/>
      <c r="AM1665" s="61"/>
      <c r="AN1665" s="37"/>
      <c r="AO1665" s="62"/>
      <c r="AP1665" s="62"/>
      <c r="AQ1665" s="62"/>
      <c r="AR1665" s="62"/>
    </row>
    <row r="1666" spans="25:44" x14ac:dyDescent="0.15">
      <c r="Y1666" s="8"/>
      <c r="Z1666" s="61"/>
      <c r="AA1666" s="61"/>
      <c r="AB1666" s="61"/>
      <c r="AC1666" s="61"/>
      <c r="AD1666" s="37"/>
      <c r="AE1666" s="62"/>
      <c r="AF1666" s="62"/>
      <c r="AG1666" s="62"/>
      <c r="AH1666" s="62"/>
      <c r="AI1666" s="37"/>
      <c r="AJ1666" s="61"/>
      <c r="AK1666" s="61"/>
      <c r="AL1666" s="61"/>
      <c r="AM1666" s="61"/>
      <c r="AN1666" s="37"/>
      <c r="AO1666" s="62"/>
      <c r="AP1666" s="62"/>
      <c r="AQ1666" s="62"/>
      <c r="AR1666" s="62"/>
    </row>
    <row r="1667" spans="25:44" x14ac:dyDescent="0.15">
      <c r="Y1667" s="8"/>
      <c r="Z1667" s="61"/>
      <c r="AA1667" s="61"/>
      <c r="AB1667" s="61"/>
      <c r="AC1667" s="61"/>
      <c r="AD1667" s="37"/>
      <c r="AE1667" s="62"/>
      <c r="AF1667" s="62"/>
      <c r="AG1667" s="62"/>
      <c r="AH1667" s="62"/>
      <c r="AI1667" s="37"/>
      <c r="AJ1667" s="61"/>
      <c r="AK1667" s="61"/>
      <c r="AL1667" s="61"/>
      <c r="AM1667" s="61"/>
      <c r="AN1667" s="37"/>
      <c r="AO1667" s="62"/>
      <c r="AP1667" s="62"/>
      <c r="AQ1667" s="62"/>
      <c r="AR1667" s="62"/>
    </row>
    <row r="1668" spans="25:44" x14ac:dyDescent="0.15">
      <c r="Y1668" s="8"/>
      <c r="Z1668" s="61"/>
      <c r="AA1668" s="61"/>
      <c r="AB1668" s="61"/>
      <c r="AC1668" s="61"/>
      <c r="AD1668" s="37"/>
      <c r="AE1668" s="62"/>
      <c r="AF1668" s="62"/>
      <c r="AG1668" s="62"/>
      <c r="AH1668" s="62"/>
      <c r="AI1668" s="37"/>
      <c r="AJ1668" s="61"/>
      <c r="AK1668" s="61"/>
      <c r="AL1668" s="61"/>
      <c r="AM1668" s="61"/>
      <c r="AN1668" s="37"/>
      <c r="AO1668" s="62"/>
      <c r="AP1668" s="62"/>
      <c r="AQ1668" s="62"/>
      <c r="AR1668" s="62"/>
    </row>
    <row r="1669" spans="25:44" x14ac:dyDescent="0.15">
      <c r="Y1669" s="8"/>
      <c r="Z1669" s="61"/>
      <c r="AA1669" s="61"/>
      <c r="AB1669" s="61"/>
      <c r="AC1669" s="61"/>
      <c r="AD1669" s="37"/>
      <c r="AE1669" s="62"/>
      <c r="AF1669" s="62"/>
      <c r="AG1669" s="62"/>
      <c r="AH1669" s="62"/>
      <c r="AI1669" s="37"/>
      <c r="AJ1669" s="61"/>
      <c r="AK1669" s="61"/>
      <c r="AL1669" s="61"/>
      <c r="AM1669" s="61"/>
      <c r="AN1669" s="37"/>
      <c r="AO1669" s="62"/>
      <c r="AP1669" s="62"/>
      <c r="AQ1669" s="62"/>
      <c r="AR1669" s="62"/>
    </row>
    <row r="1670" spans="25:44" x14ac:dyDescent="0.15">
      <c r="Y1670" s="8"/>
      <c r="Z1670" s="61"/>
      <c r="AA1670" s="61"/>
      <c r="AB1670" s="61"/>
      <c r="AC1670" s="61"/>
      <c r="AD1670" s="37"/>
      <c r="AE1670" s="62"/>
      <c r="AF1670" s="62"/>
      <c r="AG1670" s="62"/>
      <c r="AH1670" s="62"/>
      <c r="AI1670" s="37"/>
      <c r="AJ1670" s="61"/>
      <c r="AK1670" s="61"/>
      <c r="AL1670" s="61"/>
      <c r="AM1670" s="61"/>
      <c r="AN1670" s="37"/>
      <c r="AO1670" s="62"/>
      <c r="AP1670" s="62"/>
      <c r="AQ1670" s="62"/>
      <c r="AR1670" s="62"/>
    </row>
    <row r="1671" spans="25:44" x14ac:dyDescent="0.15">
      <c r="Y1671" s="8"/>
      <c r="Z1671" s="61"/>
      <c r="AA1671" s="61"/>
      <c r="AB1671" s="61"/>
      <c r="AC1671" s="61"/>
      <c r="AD1671" s="37"/>
      <c r="AE1671" s="62"/>
      <c r="AF1671" s="62"/>
      <c r="AG1671" s="62"/>
      <c r="AH1671" s="62"/>
      <c r="AI1671" s="37"/>
      <c r="AJ1671" s="61"/>
      <c r="AK1671" s="61"/>
      <c r="AL1671" s="61"/>
      <c r="AM1671" s="61"/>
      <c r="AN1671" s="37"/>
      <c r="AO1671" s="62"/>
      <c r="AP1671" s="62"/>
      <c r="AQ1671" s="62"/>
      <c r="AR1671" s="62"/>
    </row>
    <row r="1672" spans="25:44" x14ac:dyDescent="0.15">
      <c r="Y1672" s="8"/>
      <c r="Z1672" s="61"/>
      <c r="AA1672" s="61"/>
      <c r="AB1672" s="61"/>
      <c r="AC1672" s="61"/>
      <c r="AD1672" s="37"/>
      <c r="AE1672" s="62"/>
      <c r="AF1672" s="62"/>
      <c r="AG1672" s="62"/>
      <c r="AH1672" s="62"/>
      <c r="AI1672" s="37"/>
      <c r="AJ1672" s="61"/>
      <c r="AK1672" s="61"/>
      <c r="AL1672" s="61"/>
      <c r="AM1672" s="61"/>
      <c r="AN1672" s="37"/>
      <c r="AO1672" s="62"/>
      <c r="AP1672" s="62"/>
      <c r="AQ1672" s="62"/>
      <c r="AR1672" s="62"/>
    </row>
    <row r="1673" spans="25:44" x14ac:dyDescent="0.15">
      <c r="Y1673" s="8"/>
      <c r="Z1673" s="61"/>
      <c r="AA1673" s="61"/>
      <c r="AB1673" s="61"/>
      <c r="AC1673" s="61"/>
      <c r="AD1673" s="37"/>
      <c r="AE1673" s="62"/>
      <c r="AF1673" s="62"/>
      <c r="AG1673" s="62"/>
      <c r="AH1673" s="62"/>
      <c r="AI1673" s="37"/>
      <c r="AJ1673" s="61"/>
      <c r="AK1673" s="61"/>
      <c r="AL1673" s="61"/>
      <c r="AM1673" s="61"/>
      <c r="AN1673" s="37"/>
      <c r="AO1673" s="62"/>
      <c r="AP1673" s="62"/>
      <c r="AQ1673" s="62"/>
      <c r="AR1673" s="62"/>
    </row>
    <row r="1674" spans="25:44" x14ac:dyDescent="0.15">
      <c r="Y1674" s="8"/>
      <c r="Z1674" s="61"/>
      <c r="AA1674" s="61"/>
      <c r="AB1674" s="61"/>
      <c r="AC1674" s="61"/>
      <c r="AD1674" s="37"/>
      <c r="AE1674" s="62"/>
      <c r="AF1674" s="62"/>
      <c r="AG1674" s="62"/>
      <c r="AH1674" s="62"/>
      <c r="AI1674" s="37"/>
      <c r="AJ1674" s="61"/>
      <c r="AK1674" s="61"/>
      <c r="AL1674" s="61"/>
      <c r="AM1674" s="61"/>
      <c r="AN1674" s="37"/>
      <c r="AO1674" s="62"/>
      <c r="AP1674" s="62"/>
      <c r="AQ1674" s="62"/>
      <c r="AR1674" s="62"/>
    </row>
    <row r="1675" spans="25:44" x14ac:dyDescent="0.15">
      <c r="Y1675" s="8"/>
      <c r="Z1675" s="61"/>
      <c r="AA1675" s="61"/>
      <c r="AB1675" s="61"/>
      <c r="AC1675" s="61"/>
      <c r="AD1675" s="37"/>
      <c r="AE1675" s="62"/>
      <c r="AF1675" s="62"/>
      <c r="AG1675" s="62"/>
      <c r="AH1675" s="62"/>
      <c r="AI1675" s="37"/>
      <c r="AJ1675" s="61"/>
      <c r="AK1675" s="61"/>
      <c r="AL1675" s="61"/>
      <c r="AM1675" s="61"/>
      <c r="AN1675" s="37"/>
      <c r="AO1675" s="62"/>
      <c r="AP1675" s="62"/>
      <c r="AQ1675" s="62"/>
      <c r="AR1675" s="62"/>
    </row>
    <row r="1676" spans="25:44" x14ac:dyDescent="0.15">
      <c r="Y1676" s="8"/>
      <c r="Z1676" s="61"/>
      <c r="AA1676" s="61"/>
      <c r="AB1676" s="61"/>
      <c r="AC1676" s="61"/>
      <c r="AD1676" s="37"/>
      <c r="AE1676" s="62"/>
      <c r="AF1676" s="62"/>
      <c r="AG1676" s="62"/>
      <c r="AH1676" s="62"/>
      <c r="AI1676" s="37"/>
      <c r="AJ1676" s="61"/>
      <c r="AK1676" s="61"/>
      <c r="AL1676" s="61"/>
      <c r="AM1676" s="61"/>
      <c r="AN1676" s="37"/>
      <c r="AO1676" s="62"/>
      <c r="AP1676" s="62"/>
      <c r="AQ1676" s="62"/>
      <c r="AR1676" s="62"/>
    </row>
    <row r="1677" spans="25:44" x14ac:dyDescent="0.15">
      <c r="Y1677" s="8"/>
      <c r="Z1677" s="61"/>
      <c r="AA1677" s="61"/>
      <c r="AB1677" s="61"/>
      <c r="AC1677" s="61"/>
      <c r="AD1677" s="37"/>
      <c r="AE1677" s="62"/>
      <c r="AF1677" s="62"/>
      <c r="AG1677" s="62"/>
      <c r="AH1677" s="62"/>
      <c r="AI1677" s="37"/>
      <c r="AJ1677" s="61"/>
      <c r="AK1677" s="61"/>
      <c r="AL1677" s="61"/>
      <c r="AM1677" s="61"/>
      <c r="AN1677" s="37"/>
      <c r="AO1677" s="62"/>
      <c r="AP1677" s="62"/>
      <c r="AQ1677" s="62"/>
      <c r="AR1677" s="62"/>
    </row>
    <row r="1678" spans="25:44" x14ac:dyDescent="0.15">
      <c r="Y1678" s="8"/>
      <c r="Z1678" s="61"/>
      <c r="AA1678" s="61"/>
      <c r="AB1678" s="61"/>
      <c r="AC1678" s="61"/>
      <c r="AD1678" s="37"/>
      <c r="AE1678" s="62"/>
      <c r="AF1678" s="62"/>
      <c r="AG1678" s="62"/>
      <c r="AH1678" s="62"/>
      <c r="AI1678" s="37"/>
      <c r="AJ1678" s="61"/>
      <c r="AK1678" s="61"/>
      <c r="AL1678" s="61"/>
      <c r="AM1678" s="61"/>
      <c r="AN1678" s="37"/>
      <c r="AO1678" s="62"/>
      <c r="AP1678" s="62"/>
      <c r="AQ1678" s="62"/>
      <c r="AR1678" s="62"/>
    </row>
    <row r="1679" spans="25:44" x14ac:dyDescent="0.15">
      <c r="Y1679" s="8"/>
      <c r="Z1679" s="61"/>
      <c r="AA1679" s="61"/>
      <c r="AB1679" s="61"/>
      <c r="AC1679" s="61"/>
      <c r="AD1679" s="37"/>
      <c r="AE1679" s="62"/>
      <c r="AF1679" s="62"/>
      <c r="AG1679" s="62"/>
      <c r="AH1679" s="62"/>
      <c r="AI1679" s="37"/>
      <c r="AJ1679" s="61"/>
      <c r="AK1679" s="61"/>
      <c r="AL1679" s="61"/>
      <c r="AM1679" s="61"/>
      <c r="AN1679" s="37"/>
      <c r="AO1679" s="62"/>
      <c r="AP1679" s="62"/>
      <c r="AQ1679" s="62"/>
      <c r="AR1679" s="62"/>
    </row>
    <row r="1680" spans="25:44" x14ac:dyDescent="0.15">
      <c r="Y1680" s="8"/>
      <c r="Z1680" s="61"/>
      <c r="AA1680" s="61"/>
      <c r="AB1680" s="61"/>
      <c r="AC1680" s="61"/>
      <c r="AD1680" s="37"/>
      <c r="AE1680" s="62"/>
      <c r="AF1680" s="62"/>
      <c r="AG1680" s="62"/>
      <c r="AH1680" s="62"/>
      <c r="AI1680" s="37"/>
      <c r="AJ1680" s="61"/>
      <c r="AK1680" s="61"/>
      <c r="AL1680" s="61"/>
      <c r="AM1680" s="61"/>
      <c r="AN1680" s="37"/>
      <c r="AO1680" s="62"/>
      <c r="AP1680" s="62"/>
      <c r="AQ1680" s="62"/>
      <c r="AR1680" s="62"/>
    </row>
    <row r="1681" spans="25:44" x14ac:dyDescent="0.15">
      <c r="Y1681" s="8"/>
      <c r="Z1681" s="61"/>
      <c r="AA1681" s="61"/>
      <c r="AB1681" s="61"/>
      <c r="AC1681" s="61"/>
      <c r="AD1681" s="37"/>
      <c r="AE1681" s="62"/>
      <c r="AF1681" s="62"/>
      <c r="AG1681" s="62"/>
      <c r="AH1681" s="62"/>
      <c r="AI1681" s="37"/>
      <c r="AJ1681" s="61"/>
      <c r="AK1681" s="61"/>
      <c r="AL1681" s="61"/>
      <c r="AM1681" s="61"/>
      <c r="AN1681" s="37"/>
      <c r="AO1681" s="62"/>
      <c r="AP1681" s="62"/>
      <c r="AQ1681" s="62"/>
      <c r="AR1681" s="62"/>
    </row>
    <row r="1682" spans="25:44" x14ac:dyDescent="0.15">
      <c r="Y1682" s="8"/>
      <c r="Z1682" s="61"/>
      <c r="AA1682" s="61"/>
      <c r="AB1682" s="61"/>
      <c r="AC1682" s="61"/>
      <c r="AD1682" s="37"/>
      <c r="AE1682" s="62"/>
      <c r="AF1682" s="62"/>
      <c r="AG1682" s="62"/>
      <c r="AH1682" s="62"/>
      <c r="AI1682" s="37"/>
      <c r="AJ1682" s="61"/>
      <c r="AK1682" s="61"/>
      <c r="AL1682" s="61"/>
      <c r="AM1682" s="61"/>
      <c r="AN1682" s="37"/>
      <c r="AO1682" s="62"/>
      <c r="AP1682" s="62"/>
      <c r="AQ1682" s="62"/>
      <c r="AR1682" s="62"/>
    </row>
    <row r="1683" spans="25:44" x14ac:dyDescent="0.15">
      <c r="Y1683" s="8"/>
      <c r="Z1683" s="61"/>
      <c r="AA1683" s="61"/>
      <c r="AB1683" s="61"/>
      <c r="AC1683" s="61"/>
      <c r="AD1683" s="37"/>
      <c r="AE1683" s="62"/>
      <c r="AF1683" s="62"/>
      <c r="AG1683" s="62"/>
      <c r="AH1683" s="62"/>
      <c r="AI1683" s="37"/>
      <c r="AJ1683" s="61"/>
      <c r="AK1683" s="61"/>
      <c r="AL1683" s="61"/>
      <c r="AM1683" s="61"/>
      <c r="AN1683" s="37"/>
      <c r="AO1683" s="62"/>
      <c r="AP1683" s="62"/>
      <c r="AQ1683" s="62"/>
      <c r="AR1683" s="62"/>
    </row>
    <row r="1684" spans="25:44" x14ac:dyDescent="0.15">
      <c r="Y1684" s="8"/>
      <c r="Z1684" s="61"/>
      <c r="AA1684" s="61"/>
      <c r="AB1684" s="61"/>
      <c r="AC1684" s="61"/>
      <c r="AD1684" s="37"/>
      <c r="AE1684" s="62"/>
      <c r="AF1684" s="62"/>
      <c r="AG1684" s="62"/>
      <c r="AH1684" s="62"/>
      <c r="AI1684" s="37"/>
      <c r="AJ1684" s="61"/>
      <c r="AK1684" s="61"/>
      <c r="AL1684" s="61"/>
      <c r="AM1684" s="61"/>
      <c r="AN1684" s="37"/>
      <c r="AO1684" s="62"/>
      <c r="AP1684" s="62"/>
      <c r="AQ1684" s="62"/>
      <c r="AR1684" s="62"/>
    </row>
    <row r="1685" spans="25:44" x14ac:dyDescent="0.15">
      <c r="Y1685" s="8"/>
      <c r="Z1685" s="61"/>
      <c r="AA1685" s="61"/>
      <c r="AB1685" s="61"/>
      <c r="AC1685" s="61"/>
      <c r="AD1685" s="37"/>
      <c r="AE1685" s="62"/>
      <c r="AF1685" s="62"/>
      <c r="AG1685" s="62"/>
      <c r="AH1685" s="62"/>
      <c r="AI1685" s="37"/>
      <c r="AJ1685" s="61"/>
      <c r="AK1685" s="61"/>
      <c r="AL1685" s="61"/>
      <c r="AM1685" s="61"/>
      <c r="AN1685" s="37"/>
      <c r="AO1685" s="62"/>
      <c r="AP1685" s="62"/>
      <c r="AQ1685" s="62"/>
      <c r="AR1685" s="62"/>
    </row>
    <row r="1686" spans="25:44" x14ac:dyDescent="0.15">
      <c r="Y1686" s="8"/>
      <c r="Z1686" s="61"/>
      <c r="AA1686" s="61"/>
      <c r="AB1686" s="61"/>
      <c r="AC1686" s="61"/>
      <c r="AD1686" s="37"/>
      <c r="AE1686" s="62"/>
      <c r="AF1686" s="62"/>
      <c r="AG1686" s="62"/>
      <c r="AH1686" s="62"/>
      <c r="AI1686" s="37"/>
      <c r="AJ1686" s="61"/>
      <c r="AK1686" s="61"/>
      <c r="AL1686" s="61"/>
      <c r="AM1686" s="61"/>
      <c r="AN1686" s="37"/>
      <c r="AO1686" s="62"/>
      <c r="AP1686" s="62"/>
      <c r="AQ1686" s="62"/>
      <c r="AR1686" s="62"/>
    </row>
    <row r="1687" spans="25:44" x14ac:dyDescent="0.15">
      <c r="Y1687" s="8"/>
      <c r="Z1687" s="61"/>
      <c r="AA1687" s="61"/>
      <c r="AB1687" s="61"/>
      <c r="AC1687" s="61"/>
      <c r="AD1687" s="37"/>
      <c r="AE1687" s="62"/>
      <c r="AF1687" s="62"/>
      <c r="AG1687" s="62"/>
      <c r="AH1687" s="62"/>
      <c r="AI1687" s="37"/>
      <c r="AJ1687" s="61"/>
      <c r="AK1687" s="61"/>
      <c r="AL1687" s="61"/>
      <c r="AM1687" s="61"/>
      <c r="AN1687" s="37"/>
      <c r="AO1687" s="62"/>
      <c r="AP1687" s="62"/>
      <c r="AQ1687" s="62"/>
      <c r="AR1687" s="62"/>
    </row>
    <row r="1688" spans="25:44" x14ac:dyDescent="0.15">
      <c r="Y1688" s="8"/>
      <c r="Z1688" s="61"/>
      <c r="AA1688" s="61"/>
      <c r="AB1688" s="61"/>
      <c r="AC1688" s="61"/>
      <c r="AD1688" s="37"/>
      <c r="AE1688" s="62"/>
      <c r="AF1688" s="62"/>
      <c r="AG1688" s="62"/>
      <c r="AH1688" s="62"/>
      <c r="AI1688" s="37"/>
      <c r="AJ1688" s="61"/>
      <c r="AK1688" s="61"/>
      <c r="AL1688" s="61"/>
      <c r="AM1688" s="61"/>
      <c r="AN1688" s="37"/>
      <c r="AO1688" s="62"/>
      <c r="AP1688" s="62"/>
      <c r="AQ1688" s="62"/>
      <c r="AR1688" s="62"/>
    </row>
    <row r="1689" spans="25:44" x14ac:dyDescent="0.15">
      <c r="Y1689" s="8"/>
      <c r="Z1689" s="61"/>
      <c r="AA1689" s="61"/>
      <c r="AB1689" s="61"/>
      <c r="AC1689" s="61"/>
      <c r="AD1689" s="37"/>
      <c r="AE1689" s="62"/>
      <c r="AF1689" s="62"/>
      <c r="AG1689" s="62"/>
      <c r="AH1689" s="62"/>
      <c r="AI1689" s="37"/>
      <c r="AJ1689" s="61"/>
      <c r="AK1689" s="61"/>
      <c r="AL1689" s="61"/>
      <c r="AM1689" s="61"/>
      <c r="AN1689" s="37"/>
      <c r="AO1689" s="62"/>
      <c r="AP1689" s="62"/>
      <c r="AQ1689" s="62"/>
      <c r="AR1689" s="62"/>
    </row>
    <row r="1690" spans="25:44" x14ac:dyDescent="0.15">
      <c r="Y1690" s="8"/>
      <c r="Z1690" s="61"/>
      <c r="AA1690" s="61"/>
      <c r="AB1690" s="61"/>
      <c r="AC1690" s="61"/>
      <c r="AD1690" s="37"/>
      <c r="AE1690" s="62"/>
      <c r="AF1690" s="62"/>
      <c r="AG1690" s="62"/>
      <c r="AH1690" s="62"/>
      <c r="AI1690" s="37"/>
      <c r="AJ1690" s="61"/>
      <c r="AK1690" s="61"/>
      <c r="AL1690" s="61"/>
      <c r="AM1690" s="61"/>
      <c r="AN1690" s="37"/>
      <c r="AO1690" s="62"/>
      <c r="AP1690" s="62"/>
      <c r="AQ1690" s="62"/>
      <c r="AR1690" s="62"/>
    </row>
    <row r="1691" spans="25:44" x14ac:dyDescent="0.15">
      <c r="Y1691" s="8"/>
      <c r="Z1691" s="61"/>
      <c r="AA1691" s="61"/>
      <c r="AB1691" s="61"/>
      <c r="AC1691" s="61"/>
      <c r="AD1691" s="37"/>
      <c r="AE1691" s="62"/>
      <c r="AF1691" s="62"/>
      <c r="AG1691" s="62"/>
      <c r="AH1691" s="62"/>
      <c r="AI1691" s="37"/>
      <c r="AJ1691" s="61"/>
      <c r="AK1691" s="61"/>
      <c r="AL1691" s="61"/>
      <c r="AM1691" s="61"/>
      <c r="AN1691" s="37"/>
      <c r="AO1691" s="62"/>
      <c r="AP1691" s="62"/>
      <c r="AQ1691" s="62"/>
      <c r="AR1691" s="62"/>
    </row>
    <row r="1692" spans="25:44" x14ac:dyDescent="0.15">
      <c r="Y1692" s="8"/>
      <c r="Z1692" s="61"/>
      <c r="AA1692" s="61"/>
      <c r="AB1692" s="61"/>
      <c r="AC1692" s="61"/>
      <c r="AD1692" s="37"/>
      <c r="AE1692" s="62"/>
      <c r="AF1692" s="62"/>
      <c r="AG1692" s="62"/>
      <c r="AH1692" s="62"/>
      <c r="AI1692" s="37"/>
      <c r="AJ1692" s="61"/>
      <c r="AK1692" s="61"/>
      <c r="AL1692" s="61"/>
      <c r="AM1692" s="61"/>
      <c r="AN1692" s="37"/>
      <c r="AO1692" s="62"/>
      <c r="AP1692" s="62"/>
      <c r="AQ1692" s="62"/>
      <c r="AR1692" s="62"/>
    </row>
    <row r="1693" spans="25:44" x14ac:dyDescent="0.15">
      <c r="Y1693" s="8"/>
      <c r="Z1693" s="61"/>
      <c r="AA1693" s="61"/>
      <c r="AB1693" s="61"/>
      <c r="AC1693" s="61"/>
      <c r="AD1693" s="37"/>
      <c r="AE1693" s="62"/>
      <c r="AF1693" s="62"/>
      <c r="AG1693" s="62"/>
      <c r="AH1693" s="62"/>
      <c r="AI1693" s="37"/>
      <c r="AJ1693" s="61"/>
      <c r="AK1693" s="61"/>
      <c r="AL1693" s="61"/>
      <c r="AM1693" s="61"/>
      <c r="AN1693" s="37"/>
      <c r="AO1693" s="62"/>
      <c r="AP1693" s="62"/>
      <c r="AQ1693" s="62"/>
      <c r="AR1693" s="62"/>
    </row>
    <row r="1694" spans="25:44" x14ac:dyDescent="0.15">
      <c r="Y1694" s="8"/>
      <c r="Z1694" s="61"/>
      <c r="AA1694" s="61"/>
      <c r="AB1694" s="61"/>
      <c r="AC1694" s="61"/>
      <c r="AD1694" s="37"/>
      <c r="AE1694" s="62"/>
      <c r="AF1694" s="62"/>
      <c r="AG1694" s="62"/>
      <c r="AH1694" s="62"/>
      <c r="AI1694" s="37"/>
      <c r="AJ1694" s="61"/>
      <c r="AK1694" s="61"/>
      <c r="AL1694" s="61"/>
      <c r="AM1694" s="61"/>
      <c r="AN1694" s="37"/>
      <c r="AO1694" s="62"/>
      <c r="AP1694" s="62"/>
      <c r="AQ1694" s="62"/>
      <c r="AR1694" s="62"/>
    </row>
    <row r="1695" spans="25:44" x14ac:dyDescent="0.15">
      <c r="Y1695" s="8"/>
      <c r="Z1695" s="61"/>
      <c r="AA1695" s="61"/>
      <c r="AB1695" s="61"/>
      <c r="AC1695" s="61"/>
      <c r="AD1695" s="37"/>
      <c r="AE1695" s="62"/>
      <c r="AF1695" s="62"/>
      <c r="AG1695" s="62"/>
      <c r="AH1695" s="62"/>
      <c r="AI1695" s="37"/>
      <c r="AJ1695" s="61"/>
      <c r="AK1695" s="61"/>
      <c r="AL1695" s="61"/>
      <c r="AM1695" s="61"/>
      <c r="AN1695" s="37"/>
      <c r="AO1695" s="62"/>
      <c r="AP1695" s="62"/>
      <c r="AQ1695" s="62"/>
      <c r="AR1695" s="62"/>
    </row>
    <row r="1696" spans="25:44" x14ac:dyDescent="0.15">
      <c r="Y1696" s="8"/>
      <c r="Z1696" s="61"/>
      <c r="AA1696" s="61"/>
      <c r="AB1696" s="61"/>
      <c r="AC1696" s="61"/>
      <c r="AD1696" s="37"/>
      <c r="AE1696" s="62"/>
      <c r="AF1696" s="62"/>
      <c r="AG1696" s="62"/>
      <c r="AH1696" s="62"/>
      <c r="AI1696" s="37"/>
      <c r="AJ1696" s="61"/>
      <c r="AK1696" s="61"/>
      <c r="AL1696" s="61"/>
      <c r="AM1696" s="61"/>
      <c r="AN1696" s="37"/>
      <c r="AO1696" s="62"/>
      <c r="AP1696" s="62"/>
      <c r="AQ1696" s="62"/>
      <c r="AR1696" s="62"/>
    </row>
    <row r="1697" spans="25:44" x14ac:dyDescent="0.15">
      <c r="Y1697" s="8"/>
      <c r="Z1697" s="61"/>
      <c r="AA1697" s="61"/>
      <c r="AB1697" s="61"/>
      <c r="AC1697" s="61"/>
      <c r="AD1697" s="37"/>
      <c r="AE1697" s="62"/>
      <c r="AF1697" s="62"/>
      <c r="AG1697" s="62"/>
      <c r="AH1697" s="62"/>
      <c r="AI1697" s="37"/>
      <c r="AJ1697" s="61"/>
      <c r="AK1697" s="61"/>
      <c r="AL1697" s="61"/>
      <c r="AM1697" s="61"/>
      <c r="AN1697" s="37"/>
      <c r="AO1697" s="62"/>
      <c r="AP1697" s="62"/>
      <c r="AQ1697" s="62"/>
      <c r="AR1697" s="62"/>
    </row>
    <row r="1698" spans="25:44" x14ac:dyDescent="0.15">
      <c r="Y1698" s="8"/>
      <c r="Z1698" s="61"/>
      <c r="AA1698" s="61"/>
      <c r="AB1698" s="61"/>
      <c r="AC1698" s="61"/>
      <c r="AD1698" s="37"/>
      <c r="AE1698" s="62"/>
      <c r="AF1698" s="62"/>
      <c r="AG1698" s="62"/>
      <c r="AH1698" s="62"/>
      <c r="AI1698" s="37"/>
      <c r="AJ1698" s="61"/>
      <c r="AK1698" s="61"/>
      <c r="AL1698" s="61"/>
      <c r="AM1698" s="61"/>
      <c r="AN1698" s="37"/>
      <c r="AO1698" s="62"/>
      <c r="AP1698" s="62"/>
      <c r="AQ1698" s="62"/>
      <c r="AR1698" s="62"/>
    </row>
    <row r="1699" spans="25:44" x14ac:dyDescent="0.15">
      <c r="Y1699" s="8"/>
      <c r="Z1699" s="61"/>
      <c r="AA1699" s="61"/>
      <c r="AB1699" s="61"/>
      <c r="AC1699" s="61"/>
      <c r="AD1699" s="37"/>
      <c r="AE1699" s="62"/>
      <c r="AF1699" s="62"/>
      <c r="AG1699" s="62"/>
      <c r="AH1699" s="62"/>
      <c r="AI1699" s="37"/>
      <c r="AJ1699" s="61"/>
      <c r="AK1699" s="61"/>
      <c r="AL1699" s="61"/>
      <c r="AM1699" s="61"/>
      <c r="AN1699" s="37"/>
      <c r="AO1699" s="62"/>
      <c r="AP1699" s="62"/>
      <c r="AQ1699" s="62"/>
      <c r="AR1699" s="62"/>
    </row>
    <row r="1700" spans="25:44" x14ac:dyDescent="0.15">
      <c r="Y1700" s="8"/>
      <c r="Z1700" s="61"/>
      <c r="AA1700" s="61"/>
      <c r="AB1700" s="61"/>
      <c r="AC1700" s="61"/>
      <c r="AD1700" s="37"/>
      <c r="AE1700" s="62"/>
      <c r="AF1700" s="62"/>
      <c r="AG1700" s="62"/>
      <c r="AH1700" s="62"/>
      <c r="AI1700" s="37"/>
      <c r="AJ1700" s="61"/>
      <c r="AK1700" s="61"/>
      <c r="AL1700" s="61"/>
      <c r="AM1700" s="61"/>
      <c r="AN1700" s="37"/>
      <c r="AO1700" s="62"/>
      <c r="AP1700" s="62"/>
      <c r="AQ1700" s="62"/>
      <c r="AR1700" s="62"/>
    </row>
    <row r="1701" spans="25:44" x14ac:dyDescent="0.15">
      <c r="Y1701" s="8"/>
      <c r="Z1701" s="61"/>
      <c r="AA1701" s="61"/>
      <c r="AB1701" s="61"/>
      <c r="AC1701" s="61"/>
      <c r="AD1701" s="37"/>
      <c r="AE1701" s="62"/>
      <c r="AF1701" s="62"/>
      <c r="AG1701" s="62"/>
      <c r="AH1701" s="62"/>
      <c r="AI1701" s="37"/>
      <c r="AJ1701" s="61"/>
      <c r="AK1701" s="61"/>
      <c r="AL1701" s="61"/>
      <c r="AM1701" s="61"/>
      <c r="AN1701" s="37"/>
      <c r="AO1701" s="62"/>
      <c r="AP1701" s="62"/>
      <c r="AQ1701" s="62"/>
      <c r="AR1701" s="62"/>
    </row>
    <row r="1702" spans="25:44" x14ac:dyDescent="0.15">
      <c r="Y1702" s="8"/>
      <c r="Z1702" s="61"/>
      <c r="AA1702" s="61"/>
      <c r="AB1702" s="61"/>
      <c r="AC1702" s="61"/>
      <c r="AD1702" s="37"/>
      <c r="AE1702" s="62"/>
      <c r="AF1702" s="62"/>
      <c r="AG1702" s="62"/>
      <c r="AH1702" s="62"/>
      <c r="AI1702" s="37"/>
      <c r="AJ1702" s="61"/>
      <c r="AK1702" s="61"/>
      <c r="AL1702" s="61"/>
      <c r="AM1702" s="61"/>
      <c r="AN1702" s="37"/>
      <c r="AO1702" s="62"/>
      <c r="AP1702" s="62"/>
      <c r="AQ1702" s="62"/>
      <c r="AR1702" s="62"/>
    </row>
    <row r="1703" spans="25:44" x14ac:dyDescent="0.15">
      <c r="Y1703" s="8"/>
      <c r="Z1703" s="61"/>
      <c r="AA1703" s="61"/>
      <c r="AB1703" s="61"/>
      <c r="AC1703" s="61"/>
      <c r="AD1703" s="37"/>
      <c r="AE1703" s="62"/>
      <c r="AF1703" s="62"/>
      <c r="AG1703" s="62"/>
      <c r="AH1703" s="62"/>
      <c r="AI1703" s="37"/>
      <c r="AJ1703" s="61"/>
      <c r="AK1703" s="61"/>
      <c r="AL1703" s="61"/>
      <c r="AM1703" s="61"/>
      <c r="AN1703" s="37"/>
      <c r="AO1703" s="62"/>
      <c r="AP1703" s="62"/>
      <c r="AQ1703" s="62"/>
      <c r="AR1703" s="62"/>
    </row>
    <row r="1704" spans="25:44" x14ac:dyDescent="0.15">
      <c r="Y1704" s="8"/>
      <c r="Z1704" s="61"/>
      <c r="AA1704" s="61"/>
      <c r="AB1704" s="61"/>
      <c r="AC1704" s="61"/>
      <c r="AD1704" s="37"/>
      <c r="AE1704" s="62"/>
      <c r="AF1704" s="62"/>
      <c r="AG1704" s="62"/>
      <c r="AH1704" s="62"/>
      <c r="AI1704" s="37"/>
      <c r="AJ1704" s="61"/>
      <c r="AK1704" s="61"/>
      <c r="AL1704" s="61"/>
      <c r="AM1704" s="61"/>
      <c r="AN1704" s="37"/>
      <c r="AO1704" s="62"/>
      <c r="AP1704" s="62"/>
      <c r="AQ1704" s="62"/>
      <c r="AR1704" s="62"/>
    </row>
    <row r="1705" spans="25:44" x14ac:dyDescent="0.15">
      <c r="Y1705" s="8"/>
      <c r="Z1705" s="61"/>
      <c r="AA1705" s="61"/>
      <c r="AB1705" s="61"/>
      <c r="AC1705" s="61"/>
      <c r="AD1705" s="37"/>
      <c r="AE1705" s="62"/>
      <c r="AF1705" s="62"/>
      <c r="AG1705" s="62"/>
      <c r="AH1705" s="62"/>
      <c r="AI1705" s="37"/>
      <c r="AJ1705" s="61"/>
      <c r="AK1705" s="61"/>
      <c r="AL1705" s="61"/>
      <c r="AM1705" s="61"/>
      <c r="AN1705" s="37"/>
      <c r="AO1705" s="62"/>
      <c r="AP1705" s="62"/>
      <c r="AQ1705" s="62"/>
      <c r="AR1705" s="62"/>
    </row>
    <row r="1706" spans="25:44" x14ac:dyDescent="0.15">
      <c r="Y1706" s="8"/>
      <c r="Z1706" s="61"/>
      <c r="AA1706" s="61"/>
      <c r="AB1706" s="61"/>
      <c r="AC1706" s="61"/>
      <c r="AD1706" s="37"/>
      <c r="AE1706" s="62"/>
      <c r="AF1706" s="62"/>
      <c r="AG1706" s="62"/>
      <c r="AH1706" s="62"/>
      <c r="AI1706" s="37"/>
      <c r="AJ1706" s="61"/>
      <c r="AK1706" s="61"/>
      <c r="AL1706" s="61"/>
      <c r="AM1706" s="61"/>
      <c r="AN1706" s="37"/>
      <c r="AO1706" s="62"/>
      <c r="AP1706" s="62"/>
      <c r="AQ1706" s="62"/>
      <c r="AR1706" s="62"/>
    </row>
    <row r="1707" spans="25:44" x14ac:dyDescent="0.15">
      <c r="Y1707" s="8"/>
      <c r="Z1707" s="61"/>
      <c r="AA1707" s="61"/>
      <c r="AB1707" s="61"/>
      <c r="AC1707" s="61"/>
      <c r="AD1707" s="37"/>
      <c r="AE1707" s="62"/>
      <c r="AF1707" s="62"/>
      <c r="AG1707" s="62"/>
      <c r="AH1707" s="62"/>
      <c r="AI1707" s="37"/>
      <c r="AJ1707" s="61"/>
      <c r="AK1707" s="61"/>
      <c r="AL1707" s="61"/>
      <c r="AM1707" s="61"/>
      <c r="AN1707" s="37"/>
      <c r="AO1707" s="62"/>
      <c r="AP1707" s="62"/>
      <c r="AQ1707" s="62"/>
      <c r="AR1707" s="62"/>
    </row>
    <row r="1708" spans="25:44" x14ac:dyDescent="0.15">
      <c r="Y1708" s="8"/>
      <c r="Z1708" s="61"/>
      <c r="AA1708" s="61"/>
      <c r="AB1708" s="61"/>
      <c r="AC1708" s="61"/>
      <c r="AD1708" s="37"/>
      <c r="AE1708" s="62"/>
      <c r="AF1708" s="62"/>
      <c r="AG1708" s="62"/>
      <c r="AH1708" s="62"/>
      <c r="AI1708" s="37"/>
      <c r="AJ1708" s="61"/>
      <c r="AK1708" s="61"/>
      <c r="AL1708" s="61"/>
      <c r="AM1708" s="61"/>
      <c r="AN1708" s="37"/>
      <c r="AO1708" s="62"/>
      <c r="AP1708" s="62"/>
      <c r="AQ1708" s="62"/>
      <c r="AR1708" s="62"/>
    </row>
    <row r="1709" spans="25:44" x14ac:dyDescent="0.15">
      <c r="Y1709" s="8"/>
      <c r="Z1709" s="61"/>
      <c r="AA1709" s="61"/>
      <c r="AB1709" s="61"/>
      <c r="AC1709" s="61"/>
      <c r="AD1709" s="37"/>
      <c r="AE1709" s="62"/>
      <c r="AF1709" s="62"/>
      <c r="AG1709" s="62"/>
      <c r="AH1709" s="62"/>
      <c r="AI1709" s="37"/>
      <c r="AJ1709" s="61"/>
      <c r="AK1709" s="61"/>
      <c r="AL1709" s="61"/>
      <c r="AM1709" s="61"/>
      <c r="AN1709" s="37"/>
      <c r="AO1709" s="62"/>
      <c r="AP1709" s="62"/>
      <c r="AQ1709" s="62"/>
      <c r="AR1709" s="62"/>
    </row>
    <row r="1710" spans="25:44" x14ac:dyDescent="0.15">
      <c r="Y1710" s="8"/>
      <c r="Z1710" s="61"/>
      <c r="AA1710" s="61"/>
      <c r="AB1710" s="61"/>
      <c r="AC1710" s="61"/>
      <c r="AD1710" s="37"/>
      <c r="AE1710" s="62"/>
      <c r="AF1710" s="62"/>
      <c r="AG1710" s="62"/>
      <c r="AH1710" s="62"/>
      <c r="AI1710" s="37"/>
      <c r="AJ1710" s="61"/>
      <c r="AK1710" s="61"/>
      <c r="AL1710" s="61"/>
      <c r="AM1710" s="61"/>
      <c r="AN1710" s="37"/>
      <c r="AO1710" s="62"/>
      <c r="AP1710" s="62"/>
      <c r="AQ1710" s="62"/>
      <c r="AR1710" s="62"/>
    </row>
    <row r="1711" spans="25:44" x14ac:dyDescent="0.15">
      <c r="Y1711" s="8"/>
      <c r="Z1711" s="61"/>
      <c r="AA1711" s="61"/>
      <c r="AB1711" s="61"/>
      <c r="AC1711" s="61"/>
      <c r="AD1711" s="37"/>
      <c r="AE1711" s="62"/>
      <c r="AF1711" s="62"/>
      <c r="AG1711" s="62"/>
      <c r="AH1711" s="62"/>
      <c r="AI1711" s="37"/>
      <c r="AJ1711" s="61"/>
      <c r="AK1711" s="61"/>
      <c r="AL1711" s="61"/>
      <c r="AM1711" s="61"/>
      <c r="AN1711" s="37"/>
      <c r="AO1711" s="62"/>
      <c r="AP1711" s="62"/>
      <c r="AQ1711" s="62"/>
      <c r="AR1711" s="62"/>
    </row>
    <row r="1712" spans="25:44" x14ac:dyDescent="0.15">
      <c r="Y1712" s="8"/>
      <c r="Z1712" s="61"/>
      <c r="AA1712" s="61"/>
      <c r="AB1712" s="61"/>
      <c r="AC1712" s="61"/>
      <c r="AD1712" s="37"/>
      <c r="AE1712" s="62"/>
      <c r="AF1712" s="62"/>
      <c r="AG1712" s="62"/>
      <c r="AH1712" s="62"/>
      <c r="AI1712" s="37"/>
      <c r="AJ1712" s="61"/>
      <c r="AK1712" s="61"/>
      <c r="AL1712" s="61"/>
      <c r="AM1712" s="61"/>
      <c r="AN1712" s="37"/>
      <c r="AO1712" s="62"/>
      <c r="AP1712" s="62"/>
      <c r="AQ1712" s="62"/>
      <c r="AR1712" s="62"/>
    </row>
    <row r="1713" spans="25:44" x14ac:dyDescent="0.15">
      <c r="Y1713" s="8"/>
      <c r="Z1713" s="61"/>
      <c r="AA1713" s="61"/>
      <c r="AB1713" s="61"/>
      <c r="AC1713" s="61"/>
      <c r="AD1713" s="37"/>
      <c r="AE1713" s="62"/>
      <c r="AF1713" s="62"/>
      <c r="AG1713" s="62"/>
      <c r="AH1713" s="62"/>
      <c r="AI1713" s="37"/>
      <c r="AJ1713" s="61"/>
      <c r="AK1713" s="61"/>
      <c r="AL1713" s="61"/>
      <c r="AM1713" s="61"/>
      <c r="AN1713" s="37"/>
      <c r="AO1713" s="62"/>
      <c r="AP1713" s="62"/>
      <c r="AQ1713" s="62"/>
      <c r="AR1713" s="62"/>
    </row>
    <row r="1714" spans="25:44" x14ac:dyDescent="0.15">
      <c r="Y1714" s="8"/>
      <c r="Z1714" s="61"/>
      <c r="AA1714" s="61"/>
      <c r="AB1714" s="61"/>
      <c r="AC1714" s="61"/>
      <c r="AD1714" s="37"/>
      <c r="AE1714" s="62"/>
      <c r="AF1714" s="62"/>
      <c r="AG1714" s="62"/>
      <c r="AH1714" s="62"/>
      <c r="AI1714" s="37"/>
      <c r="AJ1714" s="61"/>
      <c r="AK1714" s="61"/>
      <c r="AL1714" s="61"/>
      <c r="AM1714" s="61"/>
      <c r="AN1714" s="37"/>
      <c r="AO1714" s="62"/>
      <c r="AP1714" s="62"/>
      <c r="AQ1714" s="62"/>
      <c r="AR1714" s="62"/>
    </row>
    <row r="1715" spans="25:44" x14ac:dyDescent="0.15">
      <c r="Y1715" s="8"/>
      <c r="Z1715" s="61"/>
      <c r="AA1715" s="61"/>
      <c r="AB1715" s="61"/>
      <c r="AC1715" s="61"/>
      <c r="AD1715" s="37"/>
      <c r="AE1715" s="62"/>
      <c r="AF1715" s="62"/>
      <c r="AG1715" s="62"/>
      <c r="AH1715" s="62"/>
      <c r="AI1715" s="37"/>
      <c r="AJ1715" s="61"/>
      <c r="AK1715" s="61"/>
      <c r="AL1715" s="61"/>
      <c r="AM1715" s="61"/>
      <c r="AN1715" s="37"/>
      <c r="AO1715" s="62"/>
      <c r="AP1715" s="62"/>
      <c r="AQ1715" s="62"/>
      <c r="AR1715" s="62"/>
    </row>
    <row r="1716" spans="25:44" x14ac:dyDescent="0.15">
      <c r="Y1716" s="8"/>
      <c r="Z1716" s="61"/>
      <c r="AA1716" s="61"/>
      <c r="AB1716" s="61"/>
      <c r="AC1716" s="61"/>
      <c r="AD1716" s="37"/>
      <c r="AE1716" s="62"/>
      <c r="AF1716" s="62"/>
      <c r="AG1716" s="62"/>
      <c r="AH1716" s="62"/>
      <c r="AI1716" s="37"/>
      <c r="AJ1716" s="61"/>
      <c r="AK1716" s="61"/>
      <c r="AL1716" s="61"/>
      <c r="AM1716" s="61"/>
      <c r="AN1716" s="37"/>
      <c r="AO1716" s="62"/>
      <c r="AP1716" s="62"/>
      <c r="AQ1716" s="62"/>
      <c r="AR1716" s="62"/>
    </row>
    <row r="1717" spans="25:44" x14ac:dyDescent="0.15">
      <c r="Y1717" s="8"/>
      <c r="Z1717" s="61"/>
      <c r="AA1717" s="61"/>
      <c r="AB1717" s="61"/>
      <c r="AC1717" s="61"/>
      <c r="AD1717" s="37"/>
      <c r="AE1717" s="62"/>
      <c r="AF1717" s="62"/>
      <c r="AG1717" s="62"/>
      <c r="AH1717" s="62"/>
      <c r="AI1717" s="37"/>
      <c r="AJ1717" s="61"/>
      <c r="AK1717" s="61"/>
      <c r="AL1717" s="61"/>
      <c r="AM1717" s="61"/>
      <c r="AN1717" s="37"/>
      <c r="AO1717" s="62"/>
      <c r="AP1717" s="62"/>
      <c r="AQ1717" s="62"/>
      <c r="AR1717" s="62"/>
    </row>
    <row r="1718" spans="25:44" x14ac:dyDescent="0.15">
      <c r="Y1718" s="8"/>
      <c r="Z1718" s="61"/>
      <c r="AA1718" s="61"/>
      <c r="AB1718" s="61"/>
      <c r="AC1718" s="61"/>
      <c r="AD1718" s="37"/>
      <c r="AE1718" s="62"/>
      <c r="AF1718" s="62"/>
      <c r="AG1718" s="62"/>
      <c r="AH1718" s="62"/>
      <c r="AI1718" s="37"/>
      <c r="AJ1718" s="61"/>
      <c r="AK1718" s="61"/>
      <c r="AL1718" s="61"/>
      <c r="AM1718" s="61"/>
      <c r="AN1718" s="37"/>
      <c r="AO1718" s="62"/>
      <c r="AP1718" s="62"/>
      <c r="AQ1718" s="62"/>
      <c r="AR1718" s="62"/>
    </row>
    <row r="1719" spans="25:44" x14ac:dyDescent="0.15">
      <c r="Y1719" s="8"/>
      <c r="Z1719" s="61"/>
      <c r="AA1719" s="61"/>
      <c r="AB1719" s="61"/>
      <c r="AC1719" s="61"/>
      <c r="AD1719" s="37"/>
      <c r="AE1719" s="62"/>
      <c r="AF1719" s="62"/>
      <c r="AG1719" s="62"/>
      <c r="AH1719" s="62"/>
      <c r="AI1719" s="37"/>
      <c r="AJ1719" s="61"/>
      <c r="AK1719" s="61"/>
      <c r="AL1719" s="61"/>
      <c r="AM1719" s="61"/>
      <c r="AN1719" s="37"/>
      <c r="AO1719" s="62"/>
      <c r="AP1719" s="62"/>
      <c r="AQ1719" s="62"/>
      <c r="AR1719" s="62"/>
    </row>
    <row r="1720" spans="25:44" x14ac:dyDescent="0.15">
      <c r="Y1720" s="8"/>
      <c r="Z1720" s="61"/>
      <c r="AA1720" s="61"/>
      <c r="AB1720" s="61"/>
      <c r="AC1720" s="61"/>
      <c r="AD1720" s="37"/>
      <c r="AE1720" s="62"/>
      <c r="AF1720" s="62"/>
      <c r="AG1720" s="62"/>
      <c r="AH1720" s="62"/>
      <c r="AI1720" s="37"/>
      <c r="AJ1720" s="61"/>
      <c r="AK1720" s="61"/>
      <c r="AL1720" s="61"/>
      <c r="AM1720" s="61"/>
      <c r="AN1720" s="37"/>
      <c r="AO1720" s="62"/>
      <c r="AP1720" s="62"/>
      <c r="AQ1720" s="62"/>
      <c r="AR1720" s="62"/>
    </row>
    <row r="1721" spans="25:44" x14ac:dyDescent="0.15">
      <c r="Y1721" s="8"/>
      <c r="Z1721" s="61"/>
      <c r="AA1721" s="61"/>
      <c r="AB1721" s="61"/>
      <c r="AC1721" s="61"/>
      <c r="AD1721" s="37"/>
      <c r="AE1721" s="62"/>
      <c r="AF1721" s="62"/>
      <c r="AG1721" s="62"/>
      <c r="AH1721" s="62"/>
      <c r="AI1721" s="37"/>
      <c r="AJ1721" s="61"/>
      <c r="AK1721" s="61"/>
      <c r="AL1721" s="61"/>
      <c r="AM1721" s="61"/>
      <c r="AN1721" s="37"/>
      <c r="AO1721" s="62"/>
      <c r="AP1721" s="62"/>
      <c r="AQ1721" s="62"/>
      <c r="AR1721" s="62"/>
    </row>
    <row r="1722" spans="25:44" x14ac:dyDescent="0.15">
      <c r="Y1722" s="8"/>
      <c r="Z1722" s="61"/>
      <c r="AA1722" s="61"/>
      <c r="AB1722" s="61"/>
      <c r="AC1722" s="61"/>
      <c r="AD1722" s="37"/>
      <c r="AE1722" s="62"/>
      <c r="AF1722" s="62"/>
      <c r="AG1722" s="62"/>
      <c r="AH1722" s="62"/>
      <c r="AI1722" s="37"/>
      <c r="AJ1722" s="61"/>
      <c r="AK1722" s="61"/>
      <c r="AL1722" s="61"/>
      <c r="AM1722" s="61"/>
      <c r="AN1722" s="37"/>
      <c r="AO1722" s="62"/>
      <c r="AP1722" s="62"/>
      <c r="AQ1722" s="62"/>
      <c r="AR1722" s="62"/>
    </row>
    <row r="1723" spans="25:44" x14ac:dyDescent="0.15">
      <c r="Y1723" s="8"/>
      <c r="Z1723" s="61"/>
      <c r="AA1723" s="61"/>
      <c r="AB1723" s="61"/>
      <c r="AC1723" s="61"/>
      <c r="AD1723" s="37"/>
      <c r="AE1723" s="62"/>
      <c r="AF1723" s="62"/>
      <c r="AG1723" s="62"/>
      <c r="AH1723" s="62"/>
      <c r="AI1723" s="37"/>
      <c r="AJ1723" s="61"/>
      <c r="AK1723" s="61"/>
      <c r="AL1723" s="61"/>
      <c r="AM1723" s="61"/>
      <c r="AN1723" s="37"/>
      <c r="AO1723" s="62"/>
      <c r="AP1723" s="62"/>
      <c r="AQ1723" s="62"/>
      <c r="AR1723" s="62"/>
    </row>
    <row r="1724" spans="25:44" x14ac:dyDescent="0.15">
      <c r="Y1724" s="8"/>
      <c r="Z1724" s="61"/>
      <c r="AA1724" s="61"/>
      <c r="AB1724" s="61"/>
      <c r="AC1724" s="61"/>
      <c r="AD1724" s="37"/>
      <c r="AE1724" s="62"/>
      <c r="AF1724" s="62"/>
      <c r="AG1724" s="62"/>
      <c r="AH1724" s="62"/>
      <c r="AI1724" s="37"/>
      <c r="AJ1724" s="61"/>
      <c r="AK1724" s="61"/>
      <c r="AL1724" s="61"/>
      <c r="AM1724" s="61"/>
      <c r="AN1724" s="37"/>
      <c r="AO1724" s="62"/>
      <c r="AP1724" s="62"/>
      <c r="AQ1724" s="62"/>
      <c r="AR1724" s="62"/>
    </row>
    <row r="1725" spans="25:44" x14ac:dyDescent="0.15">
      <c r="Y1725" s="8"/>
      <c r="Z1725" s="61"/>
      <c r="AA1725" s="61"/>
      <c r="AB1725" s="61"/>
      <c r="AC1725" s="61"/>
      <c r="AD1725" s="37"/>
      <c r="AE1725" s="62"/>
      <c r="AF1725" s="62"/>
      <c r="AG1725" s="62"/>
      <c r="AH1725" s="62"/>
      <c r="AI1725" s="37"/>
      <c r="AJ1725" s="61"/>
      <c r="AK1725" s="61"/>
      <c r="AL1725" s="61"/>
      <c r="AM1725" s="61"/>
      <c r="AN1725" s="37"/>
      <c r="AO1725" s="62"/>
      <c r="AP1725" s="62"/>
      <c r="AQ1725" s="62"/>
      <c r="AR1725" s="62"/>
    </row>
    <row r="1726" spans="25:44" x14ac:dyDescent="0.15">
      <c r="Y1726" s="8"/>
      <c r="Z1726" s="61"/>
      <c r="AA1726" s="61"/>
      <c r="AB1726" s="61"/>
      <c r="AC1726" s="61"/>
      <c r="AD1726" s="37"/>
      <c r="AE1726" s="62"/>
      <c r="AF1726" s="62"/>
      <c r="AG1726" s="62"/>
      <c r="AH1726" s="62"/>
      <c r="AI1726" s="37"/>
      <c r="AJ1726" s="61"/>
      <c r="AK1726" s="61"/>
      <c r="AL1726" s="61"/>
      <c r="AM1726" s="61"/>
      <c r="AN1726" s="37"/>
      <c r="AO1726" s="62"/>
      <c r="AP1726" s="62"/>
      <c r="AQ1726" s="62"/>
      <c r="AR1726" s="62"/>
    </row>
    <row r="1727" spans="25:44" x14ac:dyDescent="0.15">
      <c r="Y1727" s="8"/>
      <c r="Z1727" s="61"/>
      <c r="AA1727" s="61"/>
      <c r="AB1727" s="61"/>
      <c r="AC1727" s="61"/>
      <c r="AD1727" s="37"/>
      <c r="AE1727" s="62"/>
      <c r="AF1727" s="62"/>
      <c r="AG1727" s="62"/>
      <c r="AH1727" s="62"/>
      <c r="AI1727" s="37"/>
      <c r="AJ1727" s="61"/>
      <c r="AK1727" s="61"/>
      <c r="AL1727" s="61"/>
      <c r="AM1727" s="61"/>
      <c r="AN1727" s="37"/>
      <c r="AO1727" s="62"/>
      <c r="AP1727" s="62"/>
      <c r="AQ1727" s="62"/>
      <c r="AR1727" s="62"/>
    </row>
    <row r="1728" spans="25:44" x14ac:dyDescent="0.15">
      <c r="Y1728" s="8"/>
      <c r="Z1728" s="61"/>
      <c r="AA1728" s="61"/>
      <c r="AB1728" s="61"/>
      <c r="AC1728" s="61"/>
      <c r="AD1728" s="37"/>
      <c r="AE1728" s="62"/>
      <c r="AF1728" s="62"/>
      <c r="AG1728" s="62"/>
      <c r="AH1728" s="62"/>
      <c r="AI1728" s="37"/>
      <c r="AJ1728" s="61"/>
      <c r="AK1728" s="61"/>
      <c r="AL1728" s="61"/>
      <c r="AM1728" s="61"/>
      <c r="AN1728" s="37"/>
      <c r="AO1728" s="62"/>
      <c r="AP1728" s="62"/>
      <c r="AQ1728" s="62"/>
      <c r="AR1728" s="62"/>
    </row>
    <row r="1729" spans="25:44" x14ac:dyDescent="0.15">
      <c r="Y1729" s="8"/>
      <c r="Z1729" s="61"/>
      <c r="AA1729" s="61"/>
      <c r="AB1729" s="61"/>
      <c r="AC1729" s="61"/>
      <c r="AD1729" s="37"/>
      <c r="AE1729" s="62"/>
      <c r="AF1729" s="62"/>
      <c r="AG1729" s="62"/>
      <c r="AH1729" s="62"/>
      <c r="AI1729" s="37"/>
      <c r="AJ1729" s="61"/>
      <c r="AK1729" s="61"/>
      <c r="AL1729" s="61"/>
      <c r="AM1729" s="61"/>
      <c r="AN1729" s="37"/>
      <c r="AO1729" s="62"/>
      <c r="AP1729" s="62"/>
      <c r="AQ1729" s="62"/>
      <c r="AR1729" s="62"/>
    </row>
    <row r="1730" spans="25:44" x14ac:dyDescent="0.15">
      <c r="Y1730" s="8"/>
      <c r="Z1730" s="61"/>
      <c r="AA1730" s="61"/>
      <c r="AB1730" s="61"/>
      <c r="AC1730" s="61"/>
      <c r="AD1730" s="37"/>
      <c r="AE1730" s="62"/>
      <c r="AF1730" s="62"/>
      <c r="AG1730" s="62"/>
      <c r="AH1730" s="62"/>
      <c r="AI1730" s="37"/>
      <c r="AJ1730" s="61"/>
      <c r="AK1730" s="61"/>
      <c r="AL1730" s="61"/>
      <c r="AM1730" s="61"/>
      <c r="AN1730" s="37"/>
      <c r="AO1730" s="62"/>
      <c r="AP1730" s="62"/>
      <c r="AQ1730" s="62"/>
      <c r="AR1730" s="62"/>
    </row>
    <row r="1731" spans="25:44" x14ac:dyDescent="0.15">
      <c r="Y1731" s="8"/>
      <c r="Z1731" s="61"/>
      <c r="AA1731" s="61"/>
      <c r="AB1731" s="61"/>
      <c r="AC1731" s="61"/>
      <c r="AD1731" s="37"/>
      <c r="AE1731" s="62"/>
      <c r="AF1731" s="62"/>
      <c r="AG1731" s="62"/>
      <c r="AH1731" s="62"/>
      <c r="AI1731" s="37"/>
      <c r="AJ1731" s="61"/>
      <c r="AK1731" s="61"/>
      <c r="AL1731" s="61"/>
      <c r="AM1731" s="61"/>
      <c r="AN1731" s="37"/>
      <c r="AO1731" s="62"/>
      <c r="AP1731" s="62"/>
      <c r="AQ1731" s="62"/>
      <c r="AR1731" s="62"/>
    </row>
    <row r="1732" spans="25:44" x14ac:dyDescent="0.15">
      <c r="Y1732" s="8"/>
      <c r="Z1732" s="61"/>
      <c r="AA1732" s="61"/>
      <c r="AB1732" s="61"/>
      <c r="AC1732" s="61"/>
      <c r="AD1732" s="37"/>
      <c r="AE1732" s="62"/>
      <c r="AF1732" s="62"/>
      <c r="AG1732" s="62"/>
      <c r="AH1732" s="62"/>
      <c r="AI1732" s="37"/>
      <c r="AJ1732" s="61"/>
      <c r="AK1732" s="61"/>
      <c r="AL1732" s="61"/>
      <c r="AM1732" s="61"/>
      <c r="AN1732" s="37"/>
      <c r="AO1732" s="62"/>
      <c r="AP1732" s="62"/>
      <c r="AQ1732" s="62"/>
      <c r="AR1732" s="62"/>
    </row>
    <row r="1733" spans="25:44" x14ac:dyDescent="0.15">
      <c r="Y1733" s="8"/>
      <c r="Z1733" s="61"/>
      <c r="AA1733" s="61"/>
      <c r="AB1733" s="61"/>
      <c r="AC1733" s="61"/>
      <c r="AD1733" s="37"/>
      <c r="AE1733" s="62"/>
      <c r="AF1733" s="62"/>
      <c r="AG1733" s="62"/>
      <c r="AH1733" s="62"/>
      <c r="AI1733" s="37"/>
      <c r="AJ1733" s="61"/>
      <c r="AK1733" s="61"/>
      <c r="AL1733" s="61"/>
      <c r="AM1733" s="61"/>
      <c r="AN1733" s="37"/>
      <c r="AO1733" s="62"/>
      <c r="AP1733" s="62"/>
      <c r="AQ1733" s="62"/>
      <c r="AR1733" s="62"/>
    </row>
    <row r="1734" spans="25:44" x14ac:dyDescent="0.15">
      <c r="Y1734" s="8"/>
      <c r="Z1734" s="61"/>
      <c r="AA1734" s="61"/>
      <c r="AB1734" s="61"/>
      <c r="AC1734" s="61"/>
      <c r="AD1734" s="37"/>
      <c r="AE1734" s="62"/>
      <c r="AF1734" s="62"/>
      <c r="AG1734" s="62"/>
      <c r="AH1734" s="62"/>
      <c r="AI1734" s="37"/>
      <c r="AJ1734" s="61"/>
      <c r="AK1734" s="61"/>
      <c r="AL1734" s="61"/>
      <c r="AM1734" s="61"/>
      <c r="AN1734" s="37"/>
      <c r="AO1734" s="62"/>
      <c r="AP1734" s="62"/>
      <c r="AQ1734" s="62"/>
      <c r="AR1734" s="62"/>
    </row>
    <row r="1735" spans="25:44" x14ac:dyDescent="0.15">
      <c r="Y1735" s="8"/>
      <c r="Z1735" s="61"/>
      <c r="AA1735" s="61"/>
      <c r="AB1735" s="61"/>
      <c r="AC1735" s="61"/>
      <c r="AD1735" s="37"/>
      <c r="AE1735" s="62"/>
      <c r="AF1735" s="62"/>
      <c r="AG1735" s="62"/>
      <c r="AH1735" s="62"/>
      <c r="AI1735" s="37"/>
      <c r="AJ1735" s="61"/>
      <c r="AK1735" s="61"/>
      <c r="AL1735" s="61"/>
      <c r="AM1735" s="61"/>
      <c r="AN1735" s="37"/>
      <c r="AO1735" s="62"/>
      <c r="AP1735" s="62"/>
      <c r="AQ1735" s="62"/>
      <c r="AR1735" s="62"/>
    </row>
    <row r="1736" spans="25:44" x14ac:dyDescent="0.15">
      <c r="Y1736" s="8"/>
      <c r="Z1736" s="61"/>
      <c r="AA1736" s="61"/>
      <c r="AB1736" s="61"/>
      <c r="AC1736" s="61"/>
      <c r="AD1736" s="37"/>
      <c r="AE1736" s="62"/>
      <c r="AF1736" s="62"/>
      <c r="AG1736" s="62"/>
      <c r="AH1736" s="62"/>
      <c r="AI1736" s="37"/>
      <c r="AJ1736" s="61"/>
      <c r="AK1736" s="61"/>
      <c r="AL1736" s="61"/>
      <c r="AM1736" s="61"/>
      <c r="AN1736" s="37"/>
      <c r="AO1736" s="62"/>
      <c r="AP1736" s="62"/>
      <c r="AQ1736" s="62"/>
      <c r="AR1736" s="62"/>
    </row>
    <row r="1737" spans="25:44" x14ac:dyDescent="0.15">
      <c r="Y1737" s="8"/>
      <c r="Z1737" s="61"/>
      <c r="AA1737" s="61"/>
      <c r="AB1737" s="61"/>
      <c r="AC1737" s="61"/>
      <c r="AD1737" s="37"/>
      <c r="AE1737" s="62"/>
      <c r="AF1737" s="62"/>
      <c r="AG1737" s="62"/>
      <c r="AH1737" s="62"/>
      <c r="AI1737" s="37"/>
      <c r="AJ1737" s="61"/>
      <c r="AK1737" s="61"/>
      <c r="AL1737" s="61"/>
      <c r="AM1737" s="61"/>
      <c r="AN1737" s="37"/>
      <c r="AO1737" s="62"/>
      <c r="AP1737" s="62"/>
      <c r="AQ1737" s="62"/>
      <c r="AR1737" s="62"/>
    </row>
    <row r="1738" spans="25:44" x14ac:dyDescent="0.15">
      <c r="Y1738" s="8"/>
      <c r="Z1738" s="61"/>
      <c r="AA1738" s="61"/>
      <c r="AB1738" s="61"/>
      <c r="AC1738" s="61"/>
      <c r="AD1738" s="37"/>
      <c r="AE1738" s="62"/>
      <c r="AF1738" s="62"/>
      <c r="AG1738" s="62"/>
      <c r="AH1738" s="62"/>
      <c r="AI1738" s="37"/>
      <c r="AJ1738" s="61"/>
      <c r="AK1738" s="61"/>
      <c r="AL1738" s="61"/>
      <c r="AM1738" s="61"/>
      <c r="AN1738" s="37"/>
      <c r="AO1738" s="62"/>
      <c r="AP1738" s="62"/>
      <c r="AQ1738" s="62"/>
      <c r="AR1738" s="62"/>
    </row>
    <row r="1739" spans="25:44" x14ac:dyDescent="0.15">
      <c r="Y1739" s="8"/>
      <c r="Z1739" s="61"/>
      <c r="AA1739" s="61"/>
      <c r="AB1739" s="61"/>
      <c r="AC1739" s="61"/>
      <c r="AD1739" s="37"/>
      <c r="AE1739" s="62"/>
      <c r="AF1739" s="62"/>
      <c r="AG1739" s="62"/>
      <c r="AH1739" s="62"/>
      <c r="AI1739" s="37"/>
      <c r="AJ1739" s="61"/>
      <c r="AK1739" s="61"/>
      <c r="AL1739" s="61"/>
      <c r="AM1739" s="61"/>
      <c r="AN1739" s="37"/>
      <c r="AO1739" s="62"/>
      <c r="AP1739" s="62"/>
      <c r="AQ1739" s="62"/>
      <c r="AR1739" s="62"/>
    </row>
    <row r="1740" spans="25:44" x14ac:dyDescent="0.15">
      <c r="Y1740" s="8"/>
      <c r="Z1740" s="61"/>
      <c r="AA1740" s="61"/>
      <c r="AB1740" s="61"/>
      <c r="AC1740" s="61"/>
      <c r="AD1740" s="37"/>
      <c r="AE1740" s="62"/>
      <c r="AF1740" s="62"/>
      <c r="AG1740" s="62"/>
      <c r="AH1740" s="62"/>
      <c r="AI1740" s="37"/>
      <c r="AJ1740" s="61"/>
      <c r="AK1740" s="61"/>
      <c r="AL1740" s="61"/>
      <c r="AM1740" s="61"/>
      <c r="AN1740" s="37"/>
      <c r="AO1740" s="62"/>
      <c r="AP1740" s="62"/>
      <c r="AQ1740" s="62"/>
      <c r="AR1740" s="62"/>
    </row>
    <row r="1741" spans="25:44" x14ac:dyDescent="0.15">
      <c r="Y1741" s="8"/>
      <c r="Z1741" s="61"/>
      <c r="AA1741" s="61"/>
      <c r="AB1741" s="61"/>
      <c r="AC1741" s="61"/>
      <c r="AD1741" s="37"/>
      <c r="AE1741" s="62"/>
      <c r="AF1741" s="62"/>
      <c r="AG1741" s="62"/>
      <c r="AH1741" s="62"/>
      <c r="AI1741" s="37"/>
      <c r="AJ1741" s="61"/>
      <c r="AK1741" s="61"/>
      <c r="AL1741" s="61"/>
      <c r="AM1741" s="61"/>
      <c r="AN1741" s="37"/>
      <c r="AO1741" s="62"/>
      <c r="AP1741" s="62"/>
      <c r="AQ1741" s="62"/>
      <c r="AR1741" s="62"/>
    </row>
    <row r="1742" spans="25:44" x14ac:dyDescent="0.15">
      <c r="Y1742" s="8"/>
      <c r="Z1742" s="61"/>
      <c r="AA1742" s="61"/>
      <c r="AB1742" s="61"/>
      <c r="AC1742" s="61"/>
      <c r="AD1742" s="37"/>
      <c r="AE1742" s="62"/>
      <c r="AF1742" s="62"/>
      <c r="AG1742" s="62"/>
      <c r="AH1742" s="62"/>
      <c r="AI1742" s="37"/>
      <c r="AJ1742" s="61"/>
      <c r="AK1742" s="61"/>
      <c r="AL1742" s="61"/>
      <c r="AM1742" s="61"/>
      <c r="AN1742" s="37"/>
      <c r="AO1742" s="62"/>
      <c r="AP1742" s="62"/>
      <c r="AQ1742" s="62"/>
      <c r="AR1742" s="62"/>
    </row>
    <row r="1743" spans="25:44" x14ac:dyDescent="0.15">
      <c r="Y1743" s="8"/>
      <c r="Z1743" s="61"/>
      <c r="AA1743" s="61"/>
      <c r="AB1743" s="61"/>
      <c r="AC1743" s="61"/>
      <c r="AD1743" s="37"/>
      <c r="AE1743" s="62"/>
      <c r="AF1743" s="62"/>
      <c r="AG1743" s="62"/>
      <c r="AH1743" s="62"/>
      <c r="AI1743" s="37"/>
      <c r="AJ1743" s="61"/>
      <c r="AK1743" s="61"/>
      <c r="AL1743" s="61"/>
      <c r="AM1743" s="61"/>
      <c r="AN1743" s="37"/>
      <c r="AO1743" s="62"/>
      <c r="AP1743" s="62"/>
      <c r="AQ1743" s="62"/>
      <c r="AR1743" s="62"/>
    </row>
    <row r="1744" spans="25:44" x14ac:dyDescent="0.15">
      <c r="Y1744" s="8"/>
      <c r="Z1744" s="61"/>
      <c r="AA1744" s="61"/>
      <c r="AB1744" s="61"/>
      <c r="AC1744" s="61"/>
      <c r="AD1744" s="37"/>
      <c r="AE1744" s="62"/>
      <c r="AF1744" s="62"/>
      <c r="AG1744" s="62"/>
      <c r="AH1744" s="62"/>
      <c r="AI1744" s="37"/>
      <c r="AJ1744" s="61"/>
      <c r="AK1744" s="61"/>
      <c r="AL1744" s="61"/>
      <c r="AM1744" s="61"/>
      <c r="AN1744" s="37"/>
      <c r="AO1744" s="62"/>
      <c r="AP1744" s="62"/>
      <c r="AQ1744" s="62"/>
      <c r="AR1744" s="62"/>
    </row>
    <row r="1745" spans="25:44" x14ac:dyDescent="0.15">
      <c r="Y1745" s="8"/>
      <c r="Z1745" s="61"/>
      <c r="AA1745" s="61"/>
      <c r="AB1745" s="61"/>
      <c r="AC1745" s="61"/>
      <c r="AD1745" s="37"/>
      <c r="AE1745" s="62"/>
      <c r="AF1745" s="62"/>
      <c r="AG1745" s="62"/>
      <c r="AH1745" s="62"/>
      <c r="AI1745" s="37"/>
      <c r="AJ1745" s="61"/>
      <c r="AK1745" s="61"/>
      <c r="AL1745" s="61"/>
      <c r="AM1745" s="61"/>
      <c r="AN1745" s="37"/>
      <c r="AO1745" s="62"/>
      <c r="AP1745" s="62"/>
      <c r="AQ1745" s="62"/>
      <c r="AR1745" s="62"/>
    </row>
    <row r="1746" spans="25:44" x14ac:dyDescent="0.15">
      <c r="Y1746" s="8"/>
      <c r="Z1746" s="61"/>
      <c r="AA1746" s="61"/>
      <c r="AB1746" s="61"/>
      <c r="AC1746" s="61"/>
      <c r="AD1746" s="37"/>
      <c r="AE1746" s="62"/>
      <c r="AF1746" s="62"/>
      <c r="AG1746" s="62"/>
      <c r="AH1746" s="62"/>
      <c r="AI1746" s="37"/>
      <c r="AJ1746" s="61"/>
      <c r="AK1746" s="61"/>
      <c r="AL1746" s="61"/>
      <c r="AM1746" s="61"/>
      <c r="AN1746" s="37"/>
      <c r="AO1746" s="62"/>
      <c r="AP1746" s="62"/>
      <c r="AQ1746" s="62"/>
      <c r="AR1746" s="62"/>
    </row>
    <row r="1747" spans="25:44" x14ac:dyDescent="0.15">
      <c r="Y1747" s="8"/>
      <c r="Z1747" s="61"/>
      <c r="AA1747" s="61"/>
      <c r="AB1747" s="61"/>
      <c r="AC1747" s="61"/>
      <c r="AD1747" s="37"/>
      <c r="AE1747" s="62"/>
      <c r="AF1747" s="62"/>
      <c r="AG1747" s="62"/>
      <c r="AH1747" s="62"/>
      <c r="AI1747" s="37"/>
      <c r="AJ1747" s="61"/>
      <c r="AK1747" s="61"/>
      <c r="AL1747" s="61"/>
      <c r="AM1747" s="61"/>
      <c r="AN1747" s="37"/>
      <c r="AO1747" s="62"/>
      <c r="AP1747" s="62"/>
      <c r="AQ1747" s="62"/>
      <c r="AR1747" s="62"/>
    </row>
    <row r="1748" spans="25:44" x14ac:dyDescent="0.15">
      <c r="Y1748" s="8"/>
      <c r="Z1748" s="61"/>
      <c r="AA1748" s="61"/>
      <c r="AB1748" s="61"/>
      <c r="AC1748" s="61"/>
      <c r="AD1748" s="37"/>
      <c r="AE1748" s="62"/>
      <c r="AF1748" s="62"/>
      <c r="AG1748" s="62"/>
      <c r="AH1748" s="62"/>
      <c r="AI1748" s="37"/>
      <c r="AJ1748" s="61"/>
      <c r="AK1748" s="61"/>
      <c r="AL1748" s="61"/>
      <c r="AM1748" s="61"/>
      <c r="AN1748" s="37"/>
      <c r="AO1748" s="62"/>
      <c r="AP1748" s="62"/>
      <c r="AQ1748" s="62"/>
      <c r="AR1748" s="62"/>
    </row>
    <row r="1749" spans="25:44" x14ac:dyDescent="0.15">
      <c r="Y1749" s="8"/>
      <c r="Z1749" s="61"/>
      <c r="AA1749" s="61"/>
      <c r="AB1749" s="61"/>
      <c r="AC1749" s="61"/>
      <c r="AD1749" s="37"/>
      <c r="AE1749" s="62"/>
      <c r="AF1749" s="62"/>
      <c r="AG1749" s="62"/>
      <c r="AH1749" s="62"/>
      <c r="AI1749" s="37"/>
      <c r="AJ1749" s="61"/>
      <c r="AK1749" s="61"/>
      <c r="AL1749" s="61"/>
      <c r="AM1749" s="61"/>
      <c r="AN1749" s="37"/>
      <c r="AO1749" s="62"/>
      <c r="AP1749" s="62"/>
      <c r="AQ1749" s="62"/>
      <c r="AR1749" s="62"/>
    </row>
    <row r="1750" spans="25:44" x14ac:dyDescent="0.15">
      <c r="Y1750" s="8"/>
      <c r="Z1750" s="61"/>
      <c r="AA1750" s="61"/>
      <c r="AB1750" s="61"/>
      <c r="AC1750" s="61"/>
      <c r="AD1750" s="37"/>
      <c r="AE1750" s="62"/>
      <c r="AF1750" s="62"/>
      <c r="AG1750" s="62"/>
      <c r="AH1750" s="62"/>
      <c r="AI1750" s="37"/>
      <c r="AJ1750" s="61"/>
      <c r="AK1750" s="61"/>
      <c r="AL1750" s="61"/>
      <c r="AM1750" s="61"/>
      <c r="AN1750" s="37"/>
      <c r="AO1750" s="62"/>
      <c r="AP1750" s="62"/>
      <c r="AQ1750" s="62"/>
      <c r="AR1750" s="62"/>
    </row>
    <row r="1751" spans="25:44" x14ac:dyDescent="0.15">
      <c r="Y1751" s="8"/>
      <c r="Z1751" s="61"/>
      <c r="AA1751" s="61"/>
      <c r="AB1751" s="61"/>
      <c r="AC1751" s="61"/>
      <c r="AD1751" s="37"/>
      <c r="AE1751" s="62"/>
      <c r="AF1751" s="62"/>
      <c r="AG1751" s="62"/>
      <c r="AH1751" s="62"/>
      <c r="AI1751" s="37"/>
      <c r="AJ1751" s="61"/>
      <c r="AK1751" s="61"/>
      <c r="AL1751" s="61"/>
      <c r="AM1751" s="61"/>
      <c r="AN1751" s="37"/>
      <c r="AO1751" s="62"/>
      <c r="AP1751" s="62"/>
      <c r="AQ1751" s="62"/>
      <c r="AR1751" s="62"/>
    </row>
    <row r="1752" spans="25:44" x14ac:dyDescent="0.15">
      <c r="Y1752" s="8"/>
      <c r="Z1752" s="61"/>
      <c r="AA1752" s="61"/>
      <c r="AB1752" s="61"/>
      <c r="AC1752" s="61"/>
      <c r="AD1752" s="37"/>
      <c r="AE1752" s="62"/>
      <c r="AF1752" s="62"/>
      <c r="AG1752" s="62"/>
      <c r="AH1752" s="62"/>
      <c r="AI1752" s="37"/>
      <c r="AJ1752" s="61"/>
      <c r="AK1752" s="61"/>
      <c r="AL1752" s="61"/>
      <c r="AM1752" s="61"/>
      <c r="AN1752" s="37"/>
      <c r="AO1752" s="62"/>
      <c r="AP1752" s="62"/>
      <c r="AQ1752" s="62"/>
      <c r="AR1752" s="62"/>
    </row>
    <row r="1753" spans="25:44" x14ac:dyDescent="0.15">
      <c r="Y1753" s="8"/>
      <c r="Z1753" s="61"/>
      <c r="AA1753" s="61"/>
      <c r="AB1753" s="61"/>
      <c r="AC1753" s="61"/>
      <c r="AD1753" s="37"/>
      <c r="AE1753" s="62"/>
      <c r="AF1753" s="62"/>
      <c r="AG1753" s="62"/>
      <c r="AH1753" s="62"/>
      <c r="AI1753" s="37"/>
      <c r="AJ1753" s="61"/>
      <c r="AK1753" s="61"/>
      <c r="AL1753" s="61"/>
      <c r="AM1753" s="61"/>
      <c r="AN1753" s="37"/>
      <c r="AO1753" s="62"/>
      <c r="AP1753" s="62"/>
      <c r="AQ1753" s="62"/>
      <c r="AR1753" s="62"/>
    </row>
    <row r="1754" spans="25:44" x14ac:dyDescent="0.15">
      <c r="Y1754" s="8"/>
      <c r="Z1754" s="61"/>
      <c r="AA1754" s="61"/>
      <c r="AB1754" s="61"/>
      <c r="AC1754" s="61"/>
      <c r="AD1754" s="37"/>
      <c r="AE1754" s="62"/>
      <c r="AF1754" s="62"/>
      <c r="AG1754" s="62"/>
      <c r="AH1754" s="62"/>
      <c r="AI1754" s="37"/>
      <c r="AJ1754" s="61"/>
      <c r="AK1754" s="61"/>
      <c r="AL1754" s="61"/>
      <c r="AM1754" s="61"/>
      <c r="AN1754" s="37"/>
      <c r="AO1754" s="62"/>
      <c r="AP1754" s="62"/>
      <c r="AQ1754" s="62"/>
      <c r="AR1754" s="62"/>
    </row>
    <row r="1755" spans="25:44" x14ac:dyDescent="0.15">
      <c r="Y1755" s="8"/>
      <c r="Z1755" s="61"/>
      <c r="AA1755" s="61"/>
      <c r="AB1755" s="61"/>
      <c r="AC1755" s="61"/>
      <c r="AD1755" s="37"/>
      <c r="AE1755" s="62"/>
      <c r="AF1755" s="62"/>
      <c r="AG1755" s="62"/>
      <c r="AH1755" s="62"/>
      <c r="AI1755" s="37"/>
      <c r="AJ1755" s="61"/>
      <c r="AK1755" s="61"/>
      <c r="AL1755" s="61"/>
      <c r="AM1755" s="61"/>
      <c r="AN1755" s="37"/>
      <c r="AO1755" s="62"/>
      <c r="AP1755" s="62"/>
      <c r="AQ1755" s="62"/>
      <c r="AR1755" s="62"/>
    </row>
    <row r="1756" spans="25:44" x14ac:dyDescent="0.15">
      <c r="Y1756" s="8"/>
      <c r="Z1756" s="61"/>
      <c r="AA1756" s="61"/>
      <c r="AB1756" s="61"/>
      <c r="AC1756" s="61"/>
      <c r="AD1756" s="37"/>
      <c r="AE1756" s="62"/>
      <c r="AF1756" s="62"/>
      <c r="AG1756" s="62"/>
      <c r="AH1756" s="62"/>
      <c r="AI1756" s="37"/>
      <c r="AJ1756" s="61"/>
      <c r="AK1756" s="61"/>
      <c r="AL1756" s="61"/>
      <c r="AM1756" s="61"/>
      <c r="AN1756" s="37"/>
      <c r="AO1756" s="62"/>
      <c r="AP1756" s="62"/>
      <c r="AQ1756" s="62"/>
      <c r="AR1756" s="62"/>
    </row>
    <row r="1757" spans="25:44" x14ac:dyDescent="0.15">
      <c r="Y1757" s="8"/>
      <c r="Z1757" s="61"/>
      <c r="AA1757" s="61"/>
      <c r="AB1757" s="61"/>
      <c r="AC1757" s="61"/>
      <c r="AD1757" s="37"/>
      <c r="AE1757" s="62"/>
      <c r="AF1757" s="62"/>
      <c r="AG1757" s="62"/>
      <c r="AH1757" s="62"/>
      <c r="AI1757" s="37"/>
      <c r="AJ1757" s="61"/>
      <c r="AK1757" s="61"/>
      <c r="AL1757" s="61"/>
      <c r="AM1757" s="61"/>
      <c r="AN1757" s="37"/>
      <c r="AO1757" s="62"/>
      <c r="AP1757" s="62"/>
      <c r="AQ1757" s="62"/>
      <c r="AR1757" s="62"/>
    </row>
    <row r="1758" spans="25:44" x14ac:dyDescent="0.15">
      <c r="Y1758" s="8"/>
      <c r="Z1758" s="61"/>
      <c r="AA1758" s="61"/>
      <c r="AB1758" s="61"/>
      <c r="AC1758" s="61"/>
      <c r="AD1758" s="37"/>
      <c r="AE1758" s="62"/>
      <c r="AF1758" s="62"/>
      <c r="AG1758" s="62"/>
      <c r="AH1758" s="62"/>
      <c r="AI1758" s="37"/>
      <c r="AJ1758" s="61"/>
      <c r="AK1758" s="61"/>
      <c r="AL1758" s="61"/>
      <c r="AM1758" s="61"/>
      <c r="AN1758" s="37"/>
      <c r="AO1758" s="62"/>
      <c r="AP1758" s="62"/>
      <c r="AQ1758" s="62"/>
      <c r="AR1758" s="62"/>
    </row>
    <row r="1759" spans="25:44" x14ac:dyDescent="0.15">
      <c r="Y1759" s="8"/>
      <c r="Z1759" s="61"/>
      <c r="AA1759" s="61"/>
      <c r="AB1759" s="61"/>
      <c r="AC1759" s="61"/>
      <c r="AD1759" s="37"/>
      <c r="AE1759" s="62"/>
      <c r="AF1759" s="62"/>
      <c r="AG1759" s="62"/>
      <c r="AH1759" s="62"/>
      <c r="AI1759" s="37"/>
      <c r="AJ1759" s="61"/>
      <c r="AK1759" s="61"/>
      <c r="AL1759" s="61"/>
      <c r="AM1759" s="61"/>
      <c r="AN1759" s="37"/>
      <c r="AO1759" s="62"/>
      <c r="AP1759" s="62"/>
      <c r="AQ1759" s="62"/>
      <c r="AR1759" s="62"/>
    </row>
    <row r="1760" spans="25:44" x14ac:dyDescent="0.15">
      <c r="Y1760" s="8"/>
      <c r="Z1760" s="61"/>
      <c r="AA1760" s="61"/>
      <c r="AB1760" s="61"/>
      <c r="AC1760" s="61"/>
      <c r="AD1760" s="37"/>
      <c r="AE1760" s="62"/>
      <c r="AF1760" s="62"/>
      <c r="AG1760" s="62"/>
      <c r="AH1760" s="62"/>
      <c r="AI1760" s="37"/>
      <c r="AJ1760" s="61"/>
      <c r="AK1760" s="61"/>
      <c r="AL1760" s="61"/>
      <c r="AM1760" s="61"/>
      <c r="AN1760" s="37"/>
      <c r="AO1760" s="62"/>
      <c r="AP1760" s="62"/>
      <c r="AQ1760" s="62"/>
      <c r="AR1760" s="62"/>
    </row>
    <row r="1761" spans="25:44" x14ac:dyDescent="0.15">
      <c r="Y1761" s="8"/>
      <c r="Z1761" s="61"/>
      <c r="AA1761" s="61"/>
      <c r="AB1761" s="61"/>
      <c r="AC1761" s="61"/>
      <c r="AD1761" s="37"/>
      <c r="AE1761" s="62"/>
      <c r="AF1761" s="62"/>
      <c r="AG1761" s="62"/>
      <c r="AH1761" s="62"/>
      <c r="AI1761" s="37"/>
      <c r="AJ1761" s="61"/>
      <c r="AK1761" s="61"/>
      <c r="AL1761" s="61"/>
      <c r="AM1761" s="61"/>
      <c r="AN1761" s="37"/>
      <c r="AO1761" s="62"/>
      <c r="AP1761" s="62"/>
      <c r="AQ1761" s="62"/>
      <c r="AR1761" s="62"/>
    </row>
    <row r="1762" spans="25:44" x14ac:dyDescent="0.15">
      <c r="Y1762" s="8"/>
      <c r="Z1762" s="61"/>
      <c r="AA1762" s="61"/>
      <c r="AB1762" s="61"/>
      <c r="AC1762" s="61"/>
      <c r="AD1762" s="37"/>
      <c r="AE1762" s="62"/>
      <c r="AF1762" s="62"/>
      <c r="AG1762" s="62"/>
      <c r="AH1762" s="62"/>
      <c r="AI1762" s="37"/>
      <c r="AJ1762" s="61"/>
      <c r="AK1762" s="61"/>
      <c r="AL1762" s="61"/>
      <c r="AM1762" s="61"/>
      <c r="AN1762" s="37"/>
      <c r="AO1762" s="62"/>
      <c r="AP1762" s="62"/>
      <c r="AQ1762" s="62"/>
      <c r="AR1762" s="62"/>
    </row>
    <row r="1763" spans="25:44" x14ac:dyDescent="0.15">
      <c r="Y1763" s="8"/>
      <c r="Z1763" s="61"/>
      <c r="AA1763" s="61"/>
      <c r="AB1763" s="61"/>
      <c r="AC1763" s="61"/>
      <c r="AD1763" s="37"/>
      <c r="AE1763" s="62"/>
      <c r="AF1763" s="62"/>
      <c r="AG1763" s="62"/>
      <c r="AH1763" s="62"/>
      <c r="AI1763" s="37"/>
      <c r="AJ1763" s="61"/>
      <c r="AK1763" s="61"/>
      <c r="AL1763" s="61"/>
      <c r="AM1763" s="61"/>
      <c r="AN1763" s="37"/>
      <c r="AO1763" s="62"/>
      <c r="AP1763" s="62"/>
      <c r="AQ1763" s="62"/>
      <c r="AR1763" s="62"/>
    </row>
    <row r="1764" spans="25:44" x14ac:dyDescent="0.15">
      <c r="Y1764" s="8"/>
      <c r="Z1764" s="61"/>
      <c r="AA1764" s="61"/>
      <c r="AB1764" s="61"/>
      <c r="AC1764" s="61"/>
      <c r="AD1764" s="37"/>
      <c r="AE1764" s="62"/>
      <c r="AF1764" s="62"/>
      <c r="AG1764" s="62"/>
      <c r="AH1764" s="62"/>
      <c r="AI1764" s="37"/>
      <c r="AJ1764" s="61"/>
      <c r="AK1764" s="61"/>
      <c r="AL1764" s="61"/>
      <c r="AM1764" s="61"/>
      <c r="AN1764" s="37"/>
      <c r="AO1764" s="62"/>
      <c r="AP1764" s="62"/>
      <c r="AQ1764" s="62"/>
      <c r="AR1764" s="62"/>
    </row>
    <row r="1765" spans="25:44" x14ac:dyDescent="0.15">
      <c r="Y1765" s="8"/>
      <c r="Z1765" s="61"/>
      <c r="AA1765" s="61"/>
      <c r="AB1765" s="61"/>
      <c r="AC1765" s="61"/>
      <c r="AD1765" s="37"/>
      <c r="AE1765" s="62"/>
      <c r="AF1765" s="62"/>
      <c r="AG1765" s="62"/>
      <c r="AH1765" s="62"/>
      <c r="AI1765" s="37"/>
      <c r="AJ1765" s="61"/>
      <c r="AK1765" s="61"/>
      <c r="AL1765" s="61"/>
      <c r="AM1765" s="61"/>
      <c r="AN1765" s="37"/>
      <c r="AO1765" s="62"/>
      <c r="AP1765" s="62"/>
      <c r="AQ1765" s="62"/>
      <c r="AR1765" s="62"/>
    </row>
    <row r="1766" spans="25:44" x14ac:dyDescent="0.15">
      <c r="Y1766" s="8"/>
      <c r="Z1766" s="61"/>
      <c r="AA1766" s="61"/>
      <c r="AB1766" s="61"/>
      <c r="AC1766" s="61"/>
      <c r="AD1766" s="37"/>
      <c r="AE1766" s="62"/>
      <c r="AF1766" s="62"/>
      <c r="AG1766" s="62"/>
      <c r="AH1766" s="62"/>
      <c r="AI1766" s="37"/>
      <c r="AJ1766" s="61"/>
      <c r="AK1766" s="61"/>
      <c r="AL1766" s="61"/>
      <c r="AM1766" s="61"/>
      <c r="AN1766" s="37"/>
      <c r="AO1766" s="62"/>
      <c r="AP1766" s="62"/>
      <c r="AQ1766" s="62"/>
      <c r="AR1766" s="62"/>
    </row>
    <row r="1767" spans="25:44" x14ac:dyDescent="0.15">
      <c r="Y1767" s="8"/>
      <c r="Z1767" s="61"/>
      <c r="AA1767" s="61"/>
      <c r="AB1767" s="61"/>
      <c r="AC1767" s="61"/>
      <c r="AD1767" s="37"/>
      <c r="AE1767" s="62"/>
      <c r="AF1767" s="62"/>
      <c r="AG1767" s="62"/>
      <c r="AH1767" s="62"/>
      <c r="AI1767" s="37"/>
      <c r="AJ1767" s="61"/>
      <c r="AK1767" s="61"/>
      <c r="AL1767" s="61"/>
      <c r="AM1767" s="61"/>
      <c r="AN1767" s="37"/>
      <c r="AO1767" s="62"/>
      <c r="AP1767" s="62"/>
      <c r="AQ1767" s="62"/>
      <c r="AR1767" s="62"/>
    </row>
    <row r="1768" spans="25:44" x14ac:dyDescent="0.15">
      <c r="Y1768" s="8"/>
      <c r="Z1768" s="61"/>
      <c r="AA1768" s="61"/>
      <c r="AB1768" s="61"/>
      <c r="AC1768" s="61"/>
      <c r="AD1768" s="37"/>
      <c r="AE1768" s="62"/>
      <c r="AF1768" s="62"/>
      <c r="AG1768" s="62"/>
      <c r="AH1768" s="62"/>
      <c r="AI1768" s="37"/>
      <c r="AJ1768" s="61"/>
      <c r="AK1768" s="61"/>
      <c r="AL1768" s="61"/>
      <c r="AM1768" s="61"/>
      <c r="AN1768" s="37"/>
      <c r="AO1768" s="62"/>
      <c r="AP1768" s="62"/>
      <c r="AQ1768" s="62"/>
      <c r="AR1768" s="62"/>
    </row>
    <row r="1769" spans="25:44" x14ac:dyDescent="0.15">
      <c r="Y1769" s="8"/>
      <c r="Z1769" s="61"/>
      <c r="AA1769" s="61"/>
      <c r="AB1769" s="61"/>
      <c r="AC1769" s="61"/>
      <c r="AD1769" s="37"/>
      <c r="AE1769" s="62"/>
      <c r="AF1769" s="62"/>
      <c r="AG1769" s="62"/>
      <c r="AH1769" s="62"/>
      <c r="AI1769" s="37"/>
      <c r="AJ1769" s="61"/>
      <c r="AK1769" s="61"/>
      <c r="AL1769" s="61"/>
      <c r="AM1769" s="61"/>
      <c r="AN1769" s="37"/>
      <c r="AO1769" s="62"/>
      <c r="AP1769" s="62"/>
      <c r="AQ1769" s="62"/>
      <c r="AR1769" s="62"/>
    </row>
    <row r="1770" spans="25:44" x14ac:dyDescent="0.15">
      <c r="Y1770" s="8"/>
      <c r="Z1770" s="61"/>
      <c r="AA1770" s="61"/>
      <c r="AB1770" s="61"/>
      <c r="AC1770" s="61"/>
      <c r="AD1770" s="37"/>
      <c r="AE1770" s="62"/>
      <c r="AF1770" s="62"/>
      <c r="AG1770" s="62"/>
      <c r="AH1770" s="62"/>
      <c r="AI1770" s="37"/>
      <c r="AJ1770" s="61"/>
      <c r="AK1770" s="61"/>
      <c r="AL1770" s="61"/>
      <c r="AM1770" s="61"/>
      <c r="AN1770" s="37"/>
      <c r="AO1770" s="62"/>
      <c r="AP1770" s="62"/>
      <c r="AQ1770" s="62"/>
      <c r="AR1770" s="62"/>
    </row>
    <row r="1771" spans="25:44" x14ac:dyDescent="0.15">
      <c r="Y1771" s="8"/>
      <c r="Z1771" s="61"/>
      <c r="AA1771" s="61"/>
      <c r="AB1771" s="61"/>
      <c r="AC1771" s="61"/>
      <c r="AD1771" s="37"/>
      <c r="AE1771" s="62"/>
      <c r="AF1771" s="62"/>
      <c r="AG1771" s="62"/>
      <c r="AH1771" s="62"/>
      <c r="AI1771" s="37"/>
      <c r="AJ1771" s="61"/>
      <c r="AK1771" s="61"/>
      <c r="AL1771" s="61"/>
      <c r="AM1771" s="61"/>
      <c r="AN1771" s="37"/>
      <c r="AO1771" s="62"/>
      <c r="AP1771" s="62"/>
      <c r="AQ1771" s="62"/>
      <c r="AR1771" s="62"/>
    </row>
    <row r="1772" spans="25:44" x14ac:dyDescent="0.15">
      <c r="Y1772" s="8"/>
      <c r="Z1772" s="61"/>
      <c r="AA1772" s="61"/>
      <c r="AB1772" s="61"/>
      <c r="AC1772" s="61"/>
      <c r="AD1772" s="37"/>
      <c r="AE1772" s="62"/>
      <c r="AF1772" s="62"/>
      <c r="AG1772" s="62"/>
      <c r="AH1772" s="62"/>
      <c r="AI1772" s="37"/>
      <c r="AJ1772" s="61"/>
      <c r="AK1772" s="61"/>
      <c r="AL1772" s="61"/>
      <c r="AM1772" s="61"/>
      <c r="AN1772" s="37"/>
      <c r="AO1772" s="62"/>
      <c r="AP1772" s="62"/>
      <c r="AQ1772" s="62"/>
      <c r="AR1772" s="62"/>
    </row>
    <row r="1773" spans="25:44" x14ac:dyDescent="0.15">
      <c r="Y1773" s="8"/>
      <c r="Z1773" s="61"/>
      <c r="AA1773" s="61"/>
      <c r="AB1773" s="61"/>
      <c r="AC1773" s="61"/>
      <c r="AD1773" s="37"/>
      <c r="AE1773" s="62"/>
      <c r="AF1773" s="62"/>
      <c r="AG1773" s="62"/>
      <c r="AH1773" s="62"/>
      <c r="AI1773" s="37"/>
      <c r="AJ1773" s="61"/>
      <c r="AK1773" s="61"/>
      <c r="AL1773" s="61"/>
      <c r="AM1773" s="61"/>
      <c r="AN1773" s="37"/>
      <c r="AO1773" s="62"/>
      <c r="AP1773" s="62"/>
      <c r="AQ1773" s="62"/>
      <c r="AR1773" s="62"/>
    </row>
    <row r="1774" spans="25:44" x14ac:dyDescent="0.15">
      <c r="Y1774" s="8"/>
      <c r="Z1774" s="61"/>
      <c r="AA1774" s="61"/>
      <c r="AB1774" s="61"/>
      <c r="AC1774" s="61"/>
      <c r="AD1774" s="37"/>
      <c r="AE1774" s="62"/>
      <c r="AF1774" s="62"/>
      <c r="AG1774" s="62"/>
      <c r="AH1774" s="62"/>
      <c r="AI1774" s="37"/>
      <c r="AJ1774" s="61"/>
      <c r="AK1774" s="61"/>
      <c r="AL1774" s="61"/>
      <c r="AM1774" s="61"/>
      <c r="AN1774" s="37"/>
      <c r="AO1774" s="62"/>
      <c r="AP1774" s="62"/>
      <c r="AQ1774" s="62"/>
      <c r="AR1774" s="62"/>
    </row>
    <row r="1775" spans="25:44" x14ac:dyDescent="0.15">
      <c r="Y1775" s="8"/>
      <c r="Z1775" s="61"/>
      <c r="AA1775" s="61"/>
      <c r="AB1775" s="61"/>
      <c r="AC1775" s="61"/>
      <c r="AD1775" s="37"/>
      <c r="AE1775" s="62"/>
      <c r="AF1775" s="62"/>
      <c r="AG1775" s="62"/>
      <c r="AH1775" s="62"/>
      <c r="AI1775" s="37"/>
      <c r="AJ1775" s="61"/>
      <c r="AK1775" s="61"/>
      <c r="AL1775" s="61"/>
      <c r="AM1775" s="61"/>
      <c r="AN1775" s="37"/>
      <c r="AO1775" s="62"/>
      <c r="AP1775" s="62"/>
      <c r="AQ1775" s="62"/>
      <c r="AR1775" s="62"/>
    </row>
    <row r="1776" spans="25:44" x14ac:dyDescent="0.15">
      <c r="Y1776" s="8"/>
      <c r="Z1776" s="61"/>
      <c r="AA1776" s="61"/>
      <c r="AB1776" s="61"/>
      <c r="AC1776" s="61"/>
      <c r="AD1776" s="37"/>
      <c r="AE1776" s="62"/>
      <c r="AF1776" s="62"/>
      <c r="AG1776" s="62"/>
      <c r="AH1776" s="62"/>
      <c r="AI1776" s="37"/>
      <c r="AJ1776" s="61"/>
      <c r="AK1776" s="61"/>
      <c r="AL1776" s="61"/>
      <c r="AM1776" s="61"/>
      <c r="AN1776" s="37"/>
      <c r="AO1776" s="62"/>
      <c r="AP1776" s="62"/>
      <c r="AQ1776" s="62"/>
      <c r="AR1776" s="62"/>
    </row>
    <row r="1777" spans="25:44" x14ac:dyDescent="0.15">
      <c r="Y1777" s="8"/>
      <c r="Z1777" s="61"/>
      <c r="AA1777" s="61"/>
      <c r="AB1777" s="61"/>
      <c r="AC1777" s="61"/>
      <c r="AD1777" s="37"/>
      <c r="AE1777" s="62"/>
      <c r="AF1777" s="62"/>
      <c r="AG1777" s="62"/>
      <c r="AH1777" s="62"/>
      <c r="AI1777" s="37"/>
      <c r="AJ1777" s="61"/>
      <c r="AK1777" s="61"/>
      <c r="AL1777" s="61"/>
      <c r="AM1777" s="61"/>
      <c r="AN1777" s="37"/>
      <c r="AO1777" s="62"/>
      <c r="AP1777" s="62"/>
      <c r="AQ1777" s="62"/>
      <c r="AR1777" s="62"/>
    </row>
    <row r="1778" spans="25:44" x14ac:dyDescent="0.15">
      <c r="Y1778" s="8"/>
      <c r="Z1778" s="61"/>
      <c r="AA1778" s="61"/>
      <c r="AB1778" s="61"/>
      <c r="AC1778" s="61"/>
      <c r="AD1778" s="37"/>
      <c r="AE1778" s="62"/>
      <c r="AF1778" s="62"/>
      <c r="AG1778" s="62"/>
      <c r="AH1778" s="62"/>
      <c r="AI1778" s="37"/>
      <c r="AJ1778" s="61"/>
      <c r="AK1778" s="61"/>
      <c r="AL1778" s="61"/>
      <c r="AM1778" s="61"/>
      <c r="AN1778" s="37"/>
      <c r="AO1778" s="62"/>
      <c r="AP1778" s="62"/>
      <c r="AQ1778" s="62"/>
      <c r="AR1778" s="62"/>
    </row>
    <row r="1779" spans="25:44" x14ac:dyDescent="0.15">
      <c r="Y1779" s="8"/>
      <c r="Z1779" s="61"/>
      <c r="AA1779" s="61"/>
      <c r="AB1779" s="61"/>
      <c r="AC1779" s="61"/>
      <c r="AD1779" s="37"/>
      <c r="AE1779" s="62"/>
      <c r="AF1779" s="62"/>
      <c r="AG1779" s="62"/>
      <c r="AH1779" s="62"/>
      <c r="AI1779" s="37"/>
      <c r="AJ1779" s="61"/>
      <c r="AK1779" s="61"/>
      <c r="AL1779" s="61"/>
      <c r="AM1779" s="61"/>
      <c r="AN1779" s="37"/>
      <c r="AO1779" s="62"/>
      <c r="AP1779" s="62"/>
      <c r="AQ1779" s="62"/>
      <c r="AR1779" s="62"/>
    </row>
    <row r="1780" spans="25:44" x14ac:dyDescent="0.15">
      <c r="Y1780" s="8"/>
      <c r="Z1780" s="61"/>
      <c r="AA1780" s="61"/>
      <c r="AB1780" s="61"/>
      <c r="AC1780" s="61"/>
      <c r="AD1780" s="37"/>
      <c r="AE1780" s="62"/>
      <c r="AF1780" s="62"/>
      <c r="AG1780" s="62"/>
      <c r="AH1780" s="62"/>
      <c r="AI1780" s="37"/>
      <c r="AJ1780" s="61"/>
      <c r="AK1780" s="61"/>
      <c r="AL1780" s="61"/>
      <c r="AM1780" s="61"/>
      <c r="AN1780" s="37"/>
      <c r="AO1780" s="62"/>
      <c r="AP1780" s="62"/>
      <c r="AQ1780" s="62"/>
      <c r="AR1780" s="62"/>
    </row>
    <row r="1781" spans="25:44" x14ac:dyDescent="0.15">
      <c r="Y1781" s="8"/>
      <c r="Z1781" s="61"/>
      <c r="AA1781" s="61"/>
      <c r="AB1781" s="61"/>
      <c r="AC1781" s="61"/>
      <c r="AD1781" s="37"/>
      <c r="AE1781" s="62"/>
      <c r="AF1781" s="62"/>
      <c r="AG1781" s="62"/>
      <c r="AH1781" s="62"/>
      <c r="AI1781" s="37"/>
      <c r="AJ1781" s="61"/>
      <c r="AK1781" s="61"/>
      <c r="AL1781" s="61"/>
      <c r="AM1781" s="61"/>
      <c r="AN1781" s="37"/>
      <c r="AO1781" s="62"/>
      <c r="AP1781" s="62"/>
      <c r="AQ1781" s="62"/>
      <c r="AR1781" s="62"/>
    </row>
    <row r="1782" spans="25:44" x14ac:dyDescent="0.15">
      <c r="Y1782" s="8"/>
      <c r="Z1782" s="61"/>
      <c r="AA1782" s="61"/>
      <c r="AB1782" s="61"/>
      <c r="AC1782" s="61"/>
      <c r="AD1782" s="37"/>
      <c r="AE1782" s="62"/>
      <c r="AF1782" s="62"/>
      <c r="AG1782" s="62"/>
      <c r="AH1782" s="62"/>
      <c r="AI1782" s="37"/>
      <c r="AJ1782" s="61"/>
      <c r="AK1782" s="61"/>
      <c r="AL1782" s="61"/>
      <c r="AM1782" s="61"/>
      <c r="AN1782" s="37"/>
      <c r="AO1782" s="62"/>
      <c r="AP1782" s="62"/>
      <c r="AQ1782" s="62"/>
      <c r="AR1782" s="62"/>
    </row>
    <row r="1783" spans="25:44" x14ac:dyDescent="0.15">
      <c r="Y1783" s="8"/>
      <c r="Z1783" s="61"/>
      <c r="AA1783" s="61"/>
      <c r="AB1783" s="61"/>
      <c r="AC1783" s="61"/>
      <c r="AD1783" s="37"/>
      <c r="AE1783" s="62"/>
      <c r="AF1783" s="62"/>
      <c r="AG1783" s="62"/>
      <c r="AH1783" s="62"/>
      <c r="AI1783" s="37"/>
      <c r="AJ1783" s="61"/>
      <c r="AK1783" s="61"/>
      <c r="AL1783" s="61"/>
      <c r="AM1783" s="61"/>
      <c r="AN1783" s="37"/>
      <c r="AO1783" s="62"/>
      <c r="AP1783" s="62"/>
      <c r="AQ1783" s="62"/>
      <c r="AR1783" s="62"/>
    </row>
    <row r="1784" spans="25:44" x14ac:dyDescent="0.15">
      <c r="Y1784" s="8"/>
      <c r="Z1784" s="61"/>
      <c r="AA1784" s="61"/>
      <c r="AB1784" s="61"/>
      <c r="AC1784" s="61"/>
      <c r="AD1784" s="37"/>
      <c r="AE1784" s="62"/>
      <c r="AF1784" s="62"/>
      <c r="AG1784" s="62"/>
      <c r="AH1784" s="62"/>
      <c r="AI1784" s="37"/>
      <c r="AJ1784" s="61"/>
      <c r="AK1784" s="61"/>
      <c r="AL1784" s="61"/>
      <c r="AM1784" s="61"/>
      <c r="AN1784" s="37"/>
      <c r="AO1784" s="62"/>
      <c r="AP1784" s="62"/>
      <c r="AQ1784" s="62"/>
      <c r="AR1784" s="62"/>
    </row>
    <row r="1785" spans="25:44" x14ac:dyDescent="0.15">
      <c r="Y1785" s="8"/>
      <c r="Z1785" s="61"/>
      <c r="AA1785" s="61"/>
      <c r="AB1785" s="61"/>
      <c r="AC1785" s="61"/>
      <c r="AD1785" s="37"/>
      <c r="AE1785" s="62"/>
      <c r="AF1785" s="62"/>
      <c r="AG1785" s="62"/>
      <c r="AH1785" s="62"/>
      <c r="AI1785" s="37"/>
      <c r="AJ1785" s="61"/>
      <c r="AK1785" s="61"/>
      <c r="AL1785" s="61"/>
      <c r="AM1785" s="61"/>
      <c r="AN1785" s="37"/>
      <c r="AO1785" s="62"/>
      <c r="AP1785" s="62"/>
      <c r="AQ1785" s="62"/>
      <c r="AR1785" s="62"/>
    </row>
    <row r="1786" spans="25:44" x14ac:dyDescent="0.15">
      <c r="Y1786" s="8"/>
      <c r="Z1786" s="61"/>
      <c r="AA1786" s="61"/>
      <c r="AB1786" s="61"/>
      <c r="AC1786" s="61"/>
      <c r="AD1786" s="37"/>
      <c r="AE1786" s="62"/>
      <c r="AF1786" s="62"/>
      <c r="AG1786" s="62"/>
      <c r="AH1786" s="62"/>
      <c r="AI1786" s="37"/>
      <c r="AJ1786" s="61"/>
      <c r="AK1786" s="61"/>
      <c r="AL1786" s="61"/>
      <c r="AM1786" s="61"/>
      <c r="AN1786" s="37"/>
      <c r="AO1786" s="62"/>
      <c r="AP1786" s="62"/>
      <c r="AQ1786" s="62"/>
      <c r="AR1786" s="62"/>
    </row>
    <row r="1787" spans="25:44" x14ac:dyDescent="0.15">
      <c r="Y1787" s="8"/>
      <c r="Z1787" s="61"/>
      <c r="AA1787" s="61"/>
      <c r="AB1787" s="61"/>
      <c r="AC1787" s="61"/>
      <c r="AD1787" s="37"/>
      <c r="AE1787" s="62"/>
      <c r="AF1787" s="62"/>
      <c r="AG1787" s="62"/>
      <c r="AH1787" s="62"/>
      <c r="AI1787" s="37"/>
      <c r="AJ1787" s="61"/>
      <c r="AK1787" s="61"/>
      <c r="AL1787" s="61"/>
      <c r="AM1787" s="61"/>
      <c r="AN1787" s="37"/>
      <c r="AO1787" s="62"/>
      <c r="AP1787" s="62"/>
      <c r="AQ1787" s="62"/>
      <c r="AR1787" s="62"/>
    </row>
    <row r="1788" spans="25:44" x14ac:dyDescent="0.15">
      <c r="Y1788" s="8"/>
      <c r="Z1788" s="61"/>
      <c r="AA1788" s="61"/>
      <c r="AB1788" s="61"/>
      <c r="AC1788" s="61"/>
      <c r="AD1788" s="37"/>
      <c r="AE1788" s="62"/>
      <c r="AF1788" s="62"/>
      <c r="AG1788" s="62"/>
      <c r="AH1788" s="62"/>
      <c r="AI1788" s="37"/>
      <c r="AJ1788" s="61"/>
      <c r="AK1788" s="61"/>
      <c r="AL1788" s="61"/>
      <c r="AM1788" s="61"/>
      <c r="AN1788" s="37"/>
      <c r="AO1788" s="62"/>
      <c r="AP1788" s="62"/>
      <c r="AQ1788" s="62"/>
      <c r="AR1788" s="62"/>
    </row>
    <row r="1789" spans="25:44" x14ac:dyDescent="0.15">
      <c r="Y1789" s="8"/>
      <c r="Z1789" s="61"/>
      <c r="AA1789" s="61"/>
      <c r="AB1789" s="61"/>
      <c r="AC1789" s="61"/>
      <c r="AD1789" s="37"/>
      <c r="AE1789" s="62"/>
      <c r="AF1789" s="62"/>
      <c r="AG1789" s="62"/>
      <c r="AH1789" s="62"/>
      <c r="AI1789" s="37"/>
      <c r="AJ1789" s="61"/>
      <c r="AK1789" s="61"/>
      <c r="AL1789" s="61"/>
      <c r="AM1789" s="61"/>
      <c r="AN1789" s="37"/>
      <c r="AO1789" s="62"/>
      <c r="AP1789" s="62"/>
      <c r="AQ1789" s="62"/>
      <c r="AR1789" s="62"/>
    </row>
    <row r="1790" spans="25:44" x14ac:dyDescent="0.15">
      <c r="Y1790" s="8"/>
      <c r="Z1790" s="61"/>
      <c r="AA1790" s="61"/>
      <c r="AB1790" s="61"/>
      <c r="AC1790" s="61"/>
      <c r="AD1790" s="37"/>
      <c r="AE1790" s="62"/>
      <c r="AF1790" s="62"/>
      <c r="AG1790" s="62"/>
      <c r="AH1790" s="62"/>
      <c r="AI1790" s="37"/>
      <c r="AJ1790" s="61"/>
      <c r="AK1790" s="61"/>
      <c r="AL1790" s="61"/>
      <c r="AM1790" s="61"/>
      <c r="AN1790" s="37"/>
      <c r="AO1790" s="62"/>
      <c r="AP1790" s="62"/>
      <c r="AQ1790" s="62"/>
      <c r="AR1790" s="62"/>
    </row>
    <row r="1791" spans="25:44" x14ac:dyDescent="0.15">
      <c r="Y1791" s="8"/>
      <c r="Z1791" s="61"/>
      <c r="AA1791" s="61"/>
      <c r="AB1791" s="61"/>
      <c r="AC1791" s="61"/>
      <c r="AD1791" s="37"/>
      <c r="AE1791" s="62"/>
      <c r="AF1791" s="62"/>
      <c r="AG1791" s="62"/>
      <c r="AH1791" s="62"/>
      <c r="AI1791" s="37"/>
      <c r="AJ1791" s="61"/>
      <c r="AK1791" s="61"/>
      <c r="AL1791" s="61"/>
      <c r="AM1791" s="61"/>
      <c r="AN1791" s="37"/>
      <c r="AO1791" s="62"/>
      <c r="AP1791" s="62"/>
      <c r="AQ1791" s="62"/>
      <c r="AR1791" s="62"/>
    </row>
    <row r="1792" spans="25:44" x14ac:dyDescent="0.15">
      <c r="Y1792" s="8"/>
      <c r="Z1792" s="61"/>
      <c r="AA1792" s="61"/>
      <c r="AB1792" s="61"/>
      <c r="AC1792" s="61"/>
      <c r="AD1792" s="37"/>
      <c r="AE1792" s="62"/>
      <c r="AF1792" s="62"/>
      <c r="AG1792" s="62"/>
      <c r="AH1792" s="62"/>
      <c r="AI1792" s="37"/>
      <c r="AJ1792" s="61"/>
      <c r="AK1792" s="61"/>
      <c r="AL1792" s="61"/>
      <c r="AM1792" s="61"/>
      <c r="AN1792" s="37"/>
      <c r="AO1792" s="62"/>
      <c r="AP1792" s="62"/>
      <c r="AQ1792" s="62"/>
      <c r="AR1792" s="62"/>
    </row>
    <row r="1793" spans="25:44" x14ac:dyDescent="0.15">
      <c r="Y1793" s="8"/>
      <c r="Z1793" s="61"/>
      <c r="AA1793" s="61"/>
      <c r="AB1793" s="61"/>
      <c r="AC1793" s="61"/>
      <c r="AD1793" s="37"/>
      <c r="AE1793" s="62"/>
      <c r="AF1793" s="62"/>
      <c r="AG1793" s="62"/>
      <c r="AH1793" s="62"/>
      <c r="AI1793" s="37"/>
      <c r="AJ1793" s="61"/>
      <c r="AK1793" s="61"/>
      <c r="AL1793" s="61"/>
      <c r="AM1793" s="61"/>
      <c r="AN1793" s="37"/>
      <c r="AO1793" s="62"/>
      <c r="AP1793" s="62"/>
      <c r="AQ1793" s="62"/>
      <c r="AR1793" s="62"/>
    </row>
    <row r="1794" spans="25:44" x14ac:dyDescent="0.15">
      <c r="Y1794" s="8"/>
      <c r="Z1794" s="61"/>
      <c r="AA1794" s="61"/>
      <c r="AB1794" s="61"/>
      <c r="AC1794" s="61"/>
      <c r="AD1794" s="37"/>
      <c r="AE1794" s="62"/>
      <c r="AF1794" s="62"/>
      <c r="AG1794" s="62"/>
      <c r="AH1794" s="62"/>
      <c r="AI1794" s="37"/>
      <c r="AJ1794" s="61"/>
      <c r="AK1794" s="61"/>
      <c r="AL1794" s="61"/>
      <c r="AM1794" s="61"/>
      <c r="AN1794" s="37"/>
      <c r="AO1794" s="62"/>
      <c r="AP1794" s="62"/>
      <c r="AQ1794" s="62"/>
      <c r="AR1794" s="62"/>
    </row>
    <row r="1795" spans="25:44" x14ac:dyDescent="0.15">
      <c r="Y1795" s="8"/>
      <c r="Z1795" s="61"/>
      <c r="AA1795" s="61"/>
      <c r="AB1795" s="61"/>
      <c r="AC1795" s="61"/>
      <c r="AD1795" s="37"/>
      <c r="AE1795" s="62"/>
      <c r="AF1795" s="62"/>
      <c r="AG1795" s="62"/>
      <c r="AH1795" s="62"/>
      <c r="AI1795" s="37"/>
      <c r="AJ1795" s="61"/>
      <c r="AK1795" s="61"/>
      <c r="AL1795" s="61"/>
      <c r="AM1795" s="61"/>
      <c r="AN1795" s="37"/>
      <c r="AO1795" s="62"/>
      <c r="AP1795" s="62"/>
      <c r="AQ1795" s="62"/>
      <c r="AR1795" s="62"/>
    </row>
    <row r="1796" spans="25:44" x14ac:dyDescent="0.15">
      <c r="Y1796" s="8"/>
      <c r="Z1796" s="61"/>
      <c r="AA1796" s="61"/>
      <c r="AB1796" s="61"/>
      <c r="AC1796" s="61"/>
      <c r="AD1796" s="37"/>
      <c r="AE1796" s="62"/>
      <c r="AF1796" s="62"/>
      <c r="AG1796" s="62"/>
      <c r="AH1796" s="62"/>
      <c r="AI1796" s="37"/>
      <c r="AJ1796" s="61"/>
      <c r="AK1796" s="61"/>
      <c r="AL1796" s="61"/>
      <c r="AM1796" s="61"/>
      <c r="AN1796" s="37"/>
      <c r="AO1796" s="62"/>
      <c r="AP1796" s="62"/>
      <c r="AQ1796" s="62"/>
      <c r="AR1796" s="62"/>
    </row>
    <row r="1797" spans="25:44" x14ac:dyDescent="0.15">
      <c r="Y1797" s="8"/>
      <c r="Z1797" s="61"/>
      <c r="AA1797" s="61"/>
      <c r="AB1797" s="61"/>
      <c r="AC1797" s="61"/>
      <c r="AD1797" s="37"/>
      <c r="AE1797" s="62"/>
      <c r="AF1797" s="62"/>
      <c r="AG1797" s="62"/>
      <c r="AH1797" s="62"/>
      <c r="AI1797" s="37"/>
      <c r="AJ1797" s="61"/>
      <c r="AK1797" s="61"/>
      <c r="AL1797" s="61"/>
      <c r="AM1797" s="61"/>
      <c r="AN1797" s="37"/>
      <c r="AO1797" s="62"/>
      <c r="AP1797" s="62"/>
      <c r="AQ1797" s="62"/>
      <c r="AR1797" s="62"/>
    </row>
    <row r="1798" spans="25:44" x14ac:dyDescent="0.15">
      <c r="Y1798" s="8"/>
      <c r="Z1798" s="61"/>
      <c r="AA1798" s="61"/>
      <c r="AB1798" s="61"/>
      <c r="AC1798" s="61"/>
      <c r="AD1798" s="37"/>
      <c r="AE1798" s="62"/>
      <c r="AF1798" s="62"/>
      <c r="AG1798" s="62"/>
      <c r="AH1798" s="62"/>
      <c r="AI1798" s="37"/>
      <c r="AJ1798" s="61"/>
      <c r="AK1798" s="61"/>
      <c r="AL1798" s="61"/>
      <c r="AM1798" s="61"/>
      <c r="AN1798" s="37"/>
      <c r="AO1798" s="62"/>
      <c r="AP1798" s="62"/>
      <c r="AQ1798" s="62"/>
      <c r="AR1798" s="62"/>
    </row>
    <row r="1799" spans="25:44" x14ac:dyDescent="0.15">
      <c r="Y1799" s="8"/>
      <c r="Z1799" s="61"/>
      <c r="AA1799" s="61"/>
      <c r="AB1799" s="61"/>
      <c r="AC1799" s="61"/>
      <c r="AD1799" s="37"/>
      <c r="AE1799" s="62"/>
      <c r="AF1799" s="62"/>
      <c r="AG1799" s="62"/>
      <c r="AH1799" s="62"/>
      <c r="AI1799" s="37"/>
      <c r="AJ1799" s="61"/>
      <c r="AK1799" s="61"/>
      <c r="AL1799" s="61"/>
      <c r="AM1799" s="61"/>
      <c r="AN1799" s="37"/>
      <c r="AO1799" s="62"/>
      <c r="AP1799" s="62"/>
      <c r="AQ1799" s="62"/>
      <c r="AR1799" s="62"/>
    </row>
    <row r="1800" spans="25:44" x14ac:dyDescent="0.15">
      <c r="Y1800" s="8"/>
      <c r="Z1800" s="61"/>
      <c r="AA1800" s="61"/>
      <c r="AB1800" s="61"/>
      <c r="AC1800" s="61"/>
      <c r="AD1800" s="37"/>
      <c r="AE1800" s="62"/>
      <c r="AF1800" s="62"/>
      <c r="AG1800" s="62"/>
      <c r="AH1800" s="62"/>
      <c r="AI1800" s="37"/>
      <c r="AJ1800" s="61"/>
      <c r="AK1800" s="61"/>
      <c r="AL1800" s="61"/>
      <c r="AM1800" s="61"/>
      <c r="AN1800" s="37"/>
      <c r="AO1800" s="62"/>
      <c r="AP1800" s="62"/>
      <c r="AQ1800" s="62"/>
      <c r="AR1800" s="62"/>
    </row>
    <row r="1801" spans="25:44" x14ac:dyDescent="0.15">
      <c r="Y1801" s="8"/>
      <c r="Z1801" s="61"/>
      <c r="AA1801" s="61"/>
      <c r="AB1801" s="61"/>
      <c r="AC1801" s="61"/>
      <c r="AD1801" s="37"/>
      <c r="AE1801" s="62"/>
      <c r="AF1801" s="62"/>
      <c r="AG1801" s="62"/>
      <c r="AH1801" s="62"/>
      <c r="AI1801" s="37"/>
      <c r="AJ1801" s="61"/>
      <c r="AK1801" s="61"/>
      <c r="AL1801" s="61"/>
      <c r="AM1801" s="61"/>
      <c r="AN1801" s="37"/>
      <c r="AO1801" s="62"/>
      <c r="AP1801" s="62"/>
      <c r="AQ1801" s="62"/>
      <c r="AR1801" s="62"/>
    </row>
    <row r="1802" spans="25:44" x14ac:dyDescent="0.15">
      <c r="Y1802" s="8"/>
      <c r="Z1802" s="61"/>
      <c r="AA1802" s="61"/>
      <c r="AB1802" s="61"/>
      <c r="AC1802" s="61"/>
      <c r="AD1802" s="37"/>
      <c r="AE1802" s="62"/>
      <c r="AF1802" s="62"/>
      <c r="AG1802" s="62"/>
      <c r="AH1802" s="62"/>
      <c r="AI1802" s="37"/>
      <c r="AJ1802" s="61"/>
      <c r="AK1802" s="61"/>
      <c r="AL1802" s="61"/>
      <c r="AM1802" s="61"/>
      <c r="AN1802" s="37"/>
      <c r="AO1802" s="62"/>
      <c r="AP1802" s="62"/>
      <c r="AQ1802" s="62"/>
      <c r="AR1802" s="62"/>
    </row>
    <row r="1803" spans="25:44" x14ac:dyDescent="0.15">
      <c r="Y1803" s="8"/>
      <c r="Z1803" s="61"/>
      <c r="AA1803" s="61"/>
      <c r="AB1803" s="61"/>
      <c r="AC1803" s="61"/>
      <c r="AD1803" s="37"/>
      <c r="AE1803" s="62"/>
      <c r="AF1803" s="62"/>
      <c r="AG1803" s="62"/>
      <c r="AH1803" s="62"/>
      <c r="AI1803" s="37"/>
      <c r="AJ1803" s="61"/>
      <c r="AK1803" s="61"/>
      <c r="AL1803" s="61"/>
      <c r="AM1803" s="61"/>
      <c r="AN1803" s="37"/>
      <c r="AO1803" s="62"/>
      <c r="AP1803" s="62"/>
      <c r="AQ1803" s="62"/>
      <c r="AR1803" s="62"/>
    </row>
    <row r="1804" spans="25:44" x14ac:dyDescent="0.15">
      <c r="Y1804" s="8"/>
      <c r="Z1804" s="61"/>
      <c r="AA1804" s="61"/>
      <c r="AB1804" s="61"/>
      <c r="AC1804" s="61"/>
      <c r="AD1804" s="37"/>
      <c r="AE1804" s="62"/>
      <c r="AF1804" s="62"/>
      <c r="AG1804" s="62"/>
      <c r="AH1804" s="62"/>
      <c r="AI1804" s="37"/>
      <c r="AJ1804" s="61"/>
      <c r="AK1804" s="61"/>
      <c r="AL1804" s="61"/>
      <c r="AM1804" s="61"/>
      <c r="AN1804" s="37"/>
      <c r="AO1804" s="62"/>
      <c r="AP1804" s="62"/>
      <c r="AQ1804" s="62"/>
      <c r="AR1804" s="62"/>
    </row>
    <row r="1805" spans="25:44" x14ac:dyDescent="0.15">
      <c r="Y1805" s="8"/>
      <c r="Z1805" s="61"/>
      <c r="AA1805" s="61"/>
      <c r="AB1805" s="61"/>
      <c r="AC1805" s="61"/>
      <c r="AD1805" s="37"/>
      <c r="AE1805" s="62"/>
      <c r="AF1805" s="62"/>
      <c r="AG1805" s="62"/>
      <c r="AH1805" s="62"/>
      <c r="AI1805" s="37"/>
      <c r="AJ1805" s="61"/>
      <c r="AK1805" s="61"/>
      <c r="AL1805" s="61"/>
      <c r="AM1805" s="61"/>
      <c r="AN1805" s="37"/>
      <c r="AO1805" s="62"/>
      <c r="AP1805" s="62"/>
      <c r="AQ1805" s="62"/>
      <c r="AR1805" s="62"/>
    </row>
    <row r="1806" spans="25:44" x14ac:dyDescent="0.15">
      <c r="Y1806" s="8"/>
      <c r="Z1806" s="61"/>
      <c r="AA1806" s="61"/>
      <c r="AB1806" s="61"/>
      <c r="AC1806" s="61"/>
      <c r="AD1806" s="37"/>
      <c r="AE1806" s="62"/>
      <c r="AF1806" s="62"/>
      <c r="AG1806" s="62"/>
      <c r="AH1806" s="62"/>
      <c r="AI1806" s="37"/>
      <c r="AJ1806" s="61"/>
      <c r="AK1806" s="61"/>
      <c r="AL1806" s="61"/>
      <c r="AM1806" s="61"/>
      <c r="AN1806" s="37"/>
      <c r="AO1806" s="62"/>
      <c r="AP1806" s="62"/>
      <c r="AQ1806" s="62"/>
      <c r="AR1806" s="62"/>
    </row>
    <row r="1807" spans="25:44" x14ac:dyDescent="0.15">
      <c r="Y1807" s="8"/>
      <c r="Z1807" s="61"/>
      <c r="AA1807" s="61"/>
      <c r="AB1807" s="61"/>
      <c r="AC1807" s="61"/>
      <c r="AD1807" s="37"/>
      <c r="AE1807" s="62"/>
      <c r="AF1807" s="62"/>
      <c r="AG1807" s="62"/>
      <c r="AH1807" s="62"/>
      <c r="AI1807" s="37"/>
      <c r="AJ1807" s="61"/>
      <c r="AK1807" s="61"/>
      <c r="AL1807" s="61"/>
      <c r="AM1807" s="61"/>
      <c r="AN1807" s="37"/>
      <c r="AO1807" s="62"/>
      <c r="AP1807" s="62"/>
      <c r="AQ1807" s="62"/>
      <c r="AR1807" s="62"/>
    </row>
    <row r="1808" spans="25:44" x14ac:dyDescent="0.15">
      <c r="Y1808" s="8"/>
      <c r="Z1808" s="61"/>
      <c r="AA1808" s="61"/>
      <c r="AB1808" s="61"/>
      <c r="AC1808" s="61"/>
      <c r="AD1808" s="37"/>
      <c r="AE1808" s="62"/>
      <c r="AF1808" s="62"/>
      <c r="AG1808" s="62"/>
      <c r="AH1808" s="62"/>
      <c r="AI1808" s="37"/>
      <c r="AJ1808" s="61"/>
      <c r="AK1808" s="61"/>
      <c r="AL1808" s="61"/>
      <c r="AM1808" s="61"/>
      <c r="AN1808" s="37"/>
      <c r="AO1808" s="62"/>
      <c r="AP1808" s="62"/>
      <c r="AQ1808" s="62"/>
      <c r="AR1808" s="62"/>
    </row>
    <row r="1809" spans="25:44" x14ac:dyDescent="0.15">
      <c r="Y1809" s="8"/>
      <c r="Z1809" s="61"/>
      <c r="AA1809" s="61"/>
      <c r="AB1809" s="61"/>
      <c r="AC1809" s="61"/>
      <c r="AD1809" s="37"/>
      <c r="AE1809" s="62"/>
      <c r="AF1809" s="62"/>
      <c r="AG1809" s="62"/>
      <c r="AH1809" s="62"/>
      <c r="AI1809" s="37"/>
      <c r="AJ1809" s="61"/>
      <c r="AK1809" s="61"/>
      <c r="AL1809" s="61"/>
      <c r="AM1809" s="61"/>
      <c r="AN1809" s="37"/>
      <c r="AO1809" s="62"/>
      <c r="AP1809" s="62"/>
      <c r="AQ1809" s="62"/>
      <c r="AR1809" s="62"/>
    </row>
    <row r="1810" spans="25:44" x14ac:dyDescent="0.15">
      <c r="Y1810" s="8"/>
      <c r="Z1810" s="61"/>
      <c r="AA1810" s="61"/>
      <c r="AB1810" s="61"/>
      <c r="AC1810" s="61"/>
      <c r="AD1810" s="37"/>
      <c r="AE1810" s="62"/>
      <c r="AF1810" s="62"/>
      <c r="AG1810" s="62"/>
      <c r="AH1810" s="62"/>
      <c r="AI1810" s="37"/>
      <c r="AJ1810" s="61"/>
      <c r="AK1810" s="61"/>
      <c r="AL1810" s="61"/>
      <c r="AM1810" s="61"/>
      <c r="AN1810" s="37"/>
      <c r="AO1810" s="62"/>
      <c r="AP1810" s="62"/>
      <c r="AQ1810" s="62"/>
      <c r="AR1810" s="62"/>
    </row>
    <row r="1811" spans="25:44" x14ac:dyDescent="0.15">
      <c r="Y1811" s="8"/>
      <c r="Z1811" s="61"/>
      <c r="AA1811" s="61"/>
      <c r="AB1811" s="61"/>
      <c r="AC1811" s="61"/>
      <c r="AD1811" s="37"/>
      <c r="AE1811" s="62"/>
      <c r="AF1811" s="62"/>
      <c r="AG1811" s="62"/>
      <c r="AH1811" s="62"/>
      <c r="AI1811" s="37"/>
      <c r="AJ1811" s="61"/>
      <c r="AK1811" s="61"/>
      <c r="AL1811" s="61"/>
      <c r="AM1811" s="61"/>
      <c r="AN1811" s="37"/>
      <c r="AO1811" s="62"/>
      <c r="AP1811" s="62"/>
      <c r="AQ1811" s="62"/>
      <c r="AR1811" s="62"/>
    </row>
    <row r="1812" spans="25:44" x14ac:dyDescent="0.15">
      <c r="Y1812" s="8"/>
      <c r="Z1812" s="61"/>
      <c r="AA1812" s="61"/>
      <c r="AB1812" s="61"/>
      <c r="AC1812" s="61"/>
      <c r="AD1812" s="37"/>
      <c r="AE1812" s="62"/>
      <c r="AF1812" s="62"/>
      <c r="AG1812" s="62"/>
      <c r="AH1812" s="62"/>
      <c r="AI1812" s="37"/>
      <c r="AJ1812" s="61"/>
      <c r="AK1812" s="61"/>
      <c r="AL1812" s="61"/>
      <c r="AM1812" s="61"/>
      <c r="AN1812" s="37"/>
      <c r="AO1812" s="62"/>
      <c r="AP1812" s="62"/>
      <c r="AQ1812" s="62"/>
      <c r="AR1812" s="62"/>
    </row>
    <row r="1813" spans="25:44" x14ac:dyDescent="0.15">
      <c r="Y1813" s="8"/>
      <c r="Z1813" s="61"/>
      <c r="AA1813" s="61"/>
      <c r="AB1813" s="61"/>
      <c r="AC1813" s="61"/>
      <c r="AD1813" s="37"/>
      <c r="AE1813" s="62"/>
      <c r="AF1813" s="62"/>
      <c r="AG1813" s="62"/>
      <c r="AH1813" s="62"/>
      <c r="AI1813" s="37"/>
      <c r="AJ1813" s="61"/>
      <c r="AK1813" s="61"/>
      <c r="AL1813" s="61"/>
      <c r="AM1813" s="61"/>
      <c r="AN1813" s="37"/>
      <c r="AO1813" s="62"/>
      <c r="AP1813" s="62"/>
      <c r="AQ1813" s="62"/>
      <c r="AR1813" s="62"/>
    </row>
    <row r="1814" spans="25:44" x14ac:dyDescent="0.15">
      <c r="Y1814" s="8"/>
      <c r="Z1814" s="61"/>
      <c r="AA1814" s="61"/>
      <c r="AB1814" s="61"/>
      <c r="AC1814" s="61"/>
      <c r="AD1814" s="37"/>
      <c r="AE1814" s="62"/>
      <c r="AF1814" s="62"/>
      <c r="AG1814" s="62"/>
      <c r="AH1814" s="62"/>
      <c r="AI1814" s="37"/>
      <c r="AJ1814" s="61"/>
      <c r="AK1814" s="61"/>
      <c r="AL1814" s="61"/>
      <c r="AM1814" s="61"/>
      <c r="AN1814" s="37"/>
      <c r="AO1814" s="62"/>
      <c r="AP1814" s="62"/>
      <c r="AQ1814" s="62"/>
      <c r="AR1814" s="62"/>
    </row>
    <row r="1815" spans="25:44" x14ac:dyDescent="0.15">
      <c r="Y1815" s="8"/>
      <c r="Z1815" s="61"/>
      <c r="AA1815" s="61"/>
      <c r="AB1815" s="61"/>
      <c r="AC1815" s="61"/>
      <c r="AD1815" s="37"/>
      <c r="AE1815" s="62"/>
      <c r="AF1815" s="62"/>
      <c r="AG1815" s="62"/>
      <c r="AH1815" s="62"/>
      <c r="AI1815" s="37"/>
      <c r="AJ1815" s="61"/>
      <c r="AK1815" s="61"/>
      <c r="AL1815" s="61"/>
      <c r="AM1815" s="61"/>
      <c r="AN1815" s="37"/>
      <c r="AO1815" s="62"/>
      <c r="AP1815" s="62"/>
      <c r="AQ1815" s="62"/>
      <c r="AR1815" s="62"/>
    </row>
    <row r="1816" spans="25:44" x14ac:dyDescent="0.15">
      <c r="Y1816" s="8"/>
      <c r="Z1816" s="61"/>
      <c r="AA1816" s="61"/>
      <c r="AB1816" s="61"/>
      <c r="AC1816" s="61"/>
      <c r="AD1816" s="37"/>
      <c r="AE1816" s="62"/>
      <c r="AF1816" s="62"/>
      <c r="AG1816" s="62"/>
      <c r="AH1816" s="62"/>
      <c r="AI1816" s="37"/>
      <c r="AJ1816" s="61"/>
      <c r="AK1816" s="61"/>
      <c r="AL1816" s="61"/>
      <c r="AM1816" s="61"/>
      <c r="AN1816" s="37"/>
      <c r="AO1816" s="62"/>
      <c r="AP1816" s="62"/>
      <c r="AQ1816" s="62"/>
      <c r="AR1816" s="62"/>
    </row>
    <row r="1817" spans="25:44" x14ac:dyDescent="0.15">
      <c r="Y1817" s="8"/>
      <c r="Z1817" s="61"/>
      <c r="AA1817" s="61"/>
      <c r="AB1817" s="61"/>
      <c r="AC1817" s="61"/>
      <c r="AD1817" s="37"/>
      <c r="AE1817" s="62"/>
      <c r="AF1817" s="62"/>
      <c r="AG1817" s="62"/>
      <c r="AH1817" s="62"/>
      <c r="AI1817" s="37"/>
      <c r="AJ1817" s="61"/>
      <c r="AK1817" s="61"/>
      <c r="AL1817" s="61"/>
      <c r="AM1817" s="61"/>
      <c r="AN1817" s="37"/>
      <c r="AO1817" s="62"/>
      <c r="AP1817" s="62"/>
      <c r="AQ1817" s="62"/>
      <c r="AR1817" s="62"/>
    </row>
    <row r="1818" spans="25:44" x14ac:dyDescent="0.15">
      <c r="Y1818" s="8"/>
      <c r="Z1818" s="61"/>
      <c r="AA1818" s="61"/>
      <c r="AB1818" s="61"/>
      <c r="AC1818" s="61"/>
      <c r="AD1818" s="37"/>
      <c r="AE1818" s="62"/>
      <c r="AF1818" s="62"/>
      <c r="AG1818" s="62"/>
      <c r="AH1818" s="62"/>
      <c r="AI1818" s="37"/>
      <c r="AJ1818" s="61"/>
      <c r="AK1818" s="61"/>
      <c r="AL1818" s="61"/>
      <c r="AM1818" s="61"/>
      <c r="AN1818" s="37"/>
      <c r="AO1818" s="62"/>
      <c r="AP1818" s="62"/>
      <c r="AQ1818" s="62"/>
      <c r="AR1818" s="62"/>
    </row>
    <row r="1819" spans="25:44" x14ac:dyDescent="0.15">
      <c r="Y1819" s="8"/>
      <c r="Z1819" s="61"/>
      <c r="AA1819" s="61"/>
      <c r="AB1819" s="61"/>
      <c r="AC1819" s="61"/>
      <c r="AD1819" s="37"/>
      <c r="AE1819" s="62"/>
      <c r="AF1819" s="62"/>
      <c r="AG1819" s="62"/>
      <c r="AH1819" s="62"/>
      <c r="AI1819" s="37"/>
      <c r="AJ1819" s="61"/>
      <c r="AK1819" s="61"/>
      <c r="AL1819" s="61"/>
      <c r="AM1819" s="61"/>
      <c r="AN1819" s="37"/>
      <c r="AO1819" s="62"/>
      <c r="AP1819" s="62"/>
      <c r="AQ1819" s="62"/>
      <c r="AR1819" s="62"/>
    </row>
    <row r="1820" spans="25:44" x14ac:dyDescent="0.15">
      <c r="Y1820" s="8"/>
      <c r="Z1820" s="61"/>
      <c r="AA1820" s="61"/>
      <c r="AB1820" s="61"/>
      <c r="AC1820" s="61"/>
      <c r="AD1820" s="37"/>
      <c r="AE1820" s="62"/>
      <c r="AF1820" s="62"/>
      <c r="AG1820" s="62"/>
      <c r="AH1820" s="62"/>
      <c r="AI1820" s="37"/>
      <c r="AJ1820" s="61"/>
      <c r="AK1820" s="61"/>
      <c r="AL1820" s="61"/>
      <c r="AM1820" s="61"/>
      <c r="AN1820" s="37"/>
      <c r="AO1820" s="62"/>
      <c r="AP1820" s="62"/>
      <c r="AQ1820" s="62"/>
      <c r="AR1820" s="62"/>
    </row>
    <row r="1821" spans="25:44" x14ac:dyDescent="0.15">
      <c r="Y1821" s="8"/>
      <c r="Z1821" s="61"/>
      <c r="AA1821" s="61"/>
      <c r="AB1821" s="61"/>
      <c r="AC1821" s="61"/>
      <c r="AD1821" s="37"/>
      <c r="AE1821" s="62"/>
      <c r="AF1821" s="62"/>
      <c r="AG1821" s="62"/>
      <c r="AH1821" s="62"/>
      <c r="AI1821" s="37"/>
      <c r="AJ1821" s="61"/>
      <c r="AK1821" s="61"/>
      <c r="AL1821" s="61"/>
      <c r="AM1821" s="61"/>
      <c r="AN1821" s="37"/>
      <c r="AO1821" s="62"/>
      <c r="AP1821" s="62"/>
      <c r="AQ1821" s="62"/>
      <c r="AR1821" s="62"/>
    </row>
    <row r="1822" spans="25:44" x14ac:dyDescent="0.15">
      <c r="Y1822" s="8"/>
      <c r="Z1822" s="61"/>
      <c r="AA1822" s="61"/>
      <c r="AB1822" s="61"/>
      <c r="AC1822" s="61"/>
      <c r="AD1822" s="37"/>
      <c r="AE1822" s="62"/>
      <c r="AF1822" s="62"/>
      <c r="AG1822" s="62"/>
      <c r="AH1822" s="62"/>
      <c r="AI1822" s="37"/>
      <c r="AJ1822" s="61"/>
      <c r="AK1822" s="61"/>
      <c r="AL1822" s="61"/>
      <c r="AM1822" s="61"/>
      <c r="AN1822" s="37"/>
      <c r="AO1822" s="62"/>
      <c r="AP1822" s="62"/>
      <c r="AQ1822" s="62"/>
      <c r="AR1822" s="62"/>
    </row>
    <row r="1823" spans="25:44" x14ac:dyDescent="0.15">
      <c r="Y1823" s="8"/>
      <c r="Z1823" s="61"/>
      <c r="AA1823" s="61"/>
      <c r="AB1823" s="61"/>
      <c r="AC1823" s="61"/>
      <c r="AD1823" s="37"/>
      <c r="AE1823" s="62"/>
      <c r="AF1823" s="62"/>
      <c r="AG1823" s="62"/>
      <c r="AH1823" s="62"/>
      <c r="AI1823" s="37"/>
      <c r="AJ1823" s="61"/>
      <c r="AK1823" s="61"/>
      <c r="AL1823" s="61"/>
      <c r="AM1823" s="61"/>
      <c r="AN1823" s="37"/>
      <c r="AO1823" s="62"/>
      <c r="AP1823" s="62"/>
      <c r="AQ1823" s="62"/>
      <c r="AR1823" s="62"/>
    </row>
    <row r="1824" spans="25:44" x14ac:dyDescent="0.15">
      <c r="Y1824" s="8"/>
      <c r="Z1824" s="61"/>
      <c r="AA1824" s="61"/>
      <c r="AB1824" s="61"/>
      <c r="AC1824" s="61"/>
      <c r="AD1824" s="37"/>
      <c r="AE1824" s="62"/>
      <c r="AF1824" s="62"/>
      <c r="AG1824" s="62"/>
      <c r="AH1824" s="62"/>
      <c r="AI1824" s="37"/>
      <c r="AJ1824" s="61"/>
      <c r="AK1824" s="61"/>
      <c r="AL1824" s="61"/>
      <c r="AM1824" s="61"/>
      <c r="AN1824" s="37"/>
      <c r="AO1824" s="62"/>
      <c r="AP1824" s="62"/>
      <c r="AQ1824" s="62"/>
      <c r="AR1824" s="62"/>
    </row>
    <row r="1825" spans="25:44" x14ac:dyDescent="0.15">
      <c r="Y1825" s="8"/>
      <c r="Z1825" s="61"/>
      <c r="AA1825" s="61"/>
      <c r="AB1825" s="61"/>
      <c r="AC1825" s="61"/>
      <c r="AD1825" s="37"/>
      <c r="AE1825" s="62"/>
      <c r="AF1825" s="62"/>
      <c r="AG1825" s="62"/>
      <c r="AH1825" s="62"/>
      <c r="AI1825" s="37"/>
      <c r="AJ1825" s="61"/>
      <c r="AK1825" s="61"/>
      <c r="AL1825" s="61"/>
      <c r="AM1825" s="61"/>
      <c r="AN1825" s="37"/>
      <c r="AO1825" s="62"/>
      <c r="AP1825" s="62"/>
      <c r="AQ1825" s="62"/>
      <c r="AR1825" s="62"/>
    </row>
    <row r="1826" spans="25:44" x14ac:dyDescent="0.15">
      <c r="Y1826" s="8"/>
      <c r="Z1826" s="61"/>
      <c r="AA1826" s="61"/>
      <c r="AB1826" s="61"/>
      <c r="AC1826" s="61"/>
      <c r="AD1826" s="37"/>
      <c r="AE1826" s="62"/>
      <c r="AF1826" s="62"/>
      <c r="AG1826" s="62"/>
      <c r="AH1826" s="62"/>
      <c r="AI1826" s="37"/>
      <c r="AJ1826" s="61"/>
      <c r="AK1826" s="61"/>
      <c r="AL1826" s="61"/>
      <c r="AM1826" s="61"/>
      <c r="AN1826" s="37"/>
      <c r="AO1826" s="62"/>
      <c r="AP1826" s="62"/>
      <c r="AQ1826" s="62"/>
      <c r="AR1826" s="62"/>
    </row>
    <row r="1827" spans="25:44" x14ac:dyDescent="0.15">
      <c r="Y1827" s="8"/>
      <c r="Z1827" s="61"/>
      <c r="AA1827" s="61"/>
      <c r="AB1827" s="61"/>
      <c r="AC1827" s="61"/>
      <c r="AD1827" s="37"/>
      <c r="AE1827" s="62"/>
      <c r="AF1827" s="62"/>
      <c r="AG1827" s="62"/>
      <c r="AH1827" s="62"/>
      <c r="AI1827" s="37"/>
      <c r="AJ1827" s="61"/>
      <c r="AK1827" s="61"/>
      <c r="AL1827" s="61"/>
      <c r="AM1827" s="61"/>
      <c r="AN1827" s="37"/>
      <c r="AO1827" s="62"/>
      <c r="AP1827" s="62"/>
      <c r="AQ1827" s="62"/>
      <c r="AR1827" s="62"/>
    </row>
    <row r="1828" spans="25:44" x14ac:dyDescent="0.15">
      <c r="Y1828" s="8"/>
      <c r="Z1828" s="61"/>
      <c r="AA1828" s="61"/>
      <c r="AB1828" s="61"/>
      <c r="AC1828" s="61"/>
      <c r="AD1828" s="37"/>
      <c r="AE1828" s="62"/>
      <c r="AF1828" s="62"/>
      <c r="AG1828" s="62"/>
      <c r="AH1828" s="62"/>
      <c r="AI1828" s="37"/>
      <c r="AJ1828" s="61"/>
      <c r="AK1828" s="61"/>
      <c r="AL1828" s="61"/>
      <c r="AM1828" s="61"/>
      <c r="AN1828" s="37"/>
      <c r="AO1828" s="62"/>
      <c r="AP1828" s="62"/>
      <c r="AQ1828" s="62"/>
      <c r="AR1828" s="62"/>
    </row>
    <row r="1829" spans="25:44" x14ac:dyDescent="0.15">
      <c r="Y1829" s="8"/>
      <c r="Z1829" s="61"/>
      <c r="AA1829" s="61"/>
      <c r="AB1829" s="61"/>
      <c r="AC1829" s="61"/>
      <c r="AD1829" s="37"/>
      <c r="AE1829" s="62"/>
      <c r="AF1829" s="62"/>
      <c r="AG1829" s="62"/>
      <c r="AH1829" s="62"/>
      <c r="AI1829" s="37"/>
      <c r="AJ1829" s="61"/>
      <c r="AK1829" s="61"/>
      <c r="AL1829" s="61"/>
      <c r="AM1829" s="61"/>
      <c r="AN1829" s="37"/>
      <c r="AO1829" s="62"/>
      <c r="AP1829" s="62"/>
      <c r="AQ1829" s="62"/>
      <c r="AR1829" s="62"/>
    </row>
    <row r="1830" spans="25:44" x14ac:dyDescent="0.15">
      <c r="Y1830" s="8"/>
      <c r="Z1830" s="61"/>
      <c r="AA1830" s="61"/>
      <c r="AB1830" s="61"/>
      <c r="AC1830" s="61"/>
      <c r="AD1830" s="37"/>
      <c r="AE1830" s="62"/>
      <c r="AF1830" s="62"/>
      <c r="AG1830" s="62"/>
      <c r="AH1830" s="62"/>
      <c r="AI1830" s="37"/>
      <c r="AJ1830" s="61"/>
      <c r="AK1830" s="61"/>
      <c r="AL1830" s="61"/>
      <c r="AM1830" s="61"/>
      <c r="AN1830" s="37"/>
      <c r="AO1830" s="62"/>
      <c r="AP1830" s="62"/>
      <c r="AQ1830" s="62"/>
      <c r="AR1830" s="62"/>
    </row>
    <row r="1831" spans="25:44" x14ac:dyDescent="0.15">
      <c r="Y1831" s="8"/>
      <c r="Z1831" s="61"/>
      <c r="AA1831" s="61"/>
      <c r="AB1831" s="61"/>
      <c r="AC1831" s="61"/>
      <c r="AD1831" s="37"/>
      <c r="AE1831" s="62"/>
      <c r="AF1831" s="62"/>
      <c r="AG1831" s="62"/>
      <c r="AH1831" s="62"/>
      <c r="AI1831" s="37"/>
      <c r="AJ1831" s="61"/>
      <c r="AK1831" s="61"/>
      <c r="AL1831" s="61"/>
      <c r="AM1831" s="61"/>
      <c r="AN1831" s="37"/>
      <c r="AO1831" s="62"/>
      <c r="AP1831" s="62"/>
      <c r="AQ1831" s="62"/>
      <c r="AR1831" s="62"/>
    </row>
    <row r="1832" spans="25:44" x14ac:dyDescent="0.15">
      <c r="Y1832" s="8"/>
      <c r="Z1832" s="61"/>
      <c r="AA1832" s="61"/>
      <c r="AB1832" s="61"/>
      <c r="AC1832" s="61"/>
      <c r="AD1832" s="37"/>
      <c r="AE1832" s="62"/>
      <c r="AF1832" s="62"/>
      <c r="AG1832" s="62"/>
      <c r="AH1832" s="62"/>
      <c r="AI1832" s="37"/>
      <c r="AJ1832" s="61"/>
      <c r="AK1832" s="61"/>
      <c r="AL1832" s="61"/>
      <c r="AM1832" s="61"/>
      <c r="AN1832" s="37"/>
      <c r="AO1832" s="62"/>
      <c r="AP1832" s="62"/>
      <c r="AQ1832" s="62"/>
      <c r="AR1832" s="62"/>
    </row>
    <row r="1833" spans="25:44" x14ac:dyDescent="0.15">
      <c r="Y1833" s="8"/>
      <c r="Z1833" s="61"/>
      <c r="AA1833" s="61"/>
      <c r="AB1833" s="61"/>
      <c r="AC1833" s="61"/>
      <c r="AD1833" s="37"/>
      <c r="AE1833" s="62"/>
      <c r="AF1833" s="62"/>
      <c r="AG1833" s="62"/>
      <c r="AH1833" s="62"/>
      <c r="AI1833" s="37"/>
      <c r="AJ1833" s="61"/>
      <c r="AK1833" s="61"/>
      <c r="AL1833" s="61"/>
      <c r="AM1833" s="61"/>
      <c r="AN1833" s="37"/>
      <c r="AO1833" s="62"/>
      <c r="AP1833" s="62"/>
      <c r="AQ1833" s="62"/>
      <c r="AR1833" s="62"/>
    </row>
    <row r="1834" spans="25:44" x14ac:dyDescent="0.15">
      <c r="Y1834" s="8"/>
      <c r="Z1834" s="61"/>
      <c r="AA1834" s="61"/>
      <c r="AB1834" s="61"/>
      <c r="AC1834" s="61"/>
      <c r="AD1834" s="37"/>
      <c r="AE1834" s="62"/>
      <c r="AF1834" s="62"/>
      <c r="AG1834" s="62"/>
      <c r="AH1834" s="62"/>
      <c r="AI1834" s="37"/>
      <c r="AJ1834" s="61"/>
      <c r="AK1834" s="61"/>
      <c r="AL1834" s="61"/>
      <c r="AM1834" s="61"/>
      <c r="AN1834" s="37"/>
      <c r="AO1834" s="62"/>
      <c r="AP1834" s="62"/>
      <c r="AQ1834" s="62"/>
      <c r="AR1834" s="62"/>
    </row>
    <row r="1835" spans="25:44" x14ac:dyDescent="0.15">
      <c r="Y1835" s="8"/>
      <c r="Z1835" s="61"/>
      <c r="AA1835" s="61"/>
      <c r="AB1835" s="61"/>
      <c r="AC1835" s="61"/>
      <c r="AD1835" s="37"/>
      <c r="AE1835" s="62"/>
      <c r="AF1835" s="62"/>
      <c r="AG1835" s="62"/>
      <c r="AH1835" s="62"/>
      <c r="AI1835" s="37"/>
      <c r="AJ1835" s="61"/>
      <c r="AK1835" s="61"/>
      <c r="AL1835" s="61"/>
      <c r="AM1835" s="61"/>
      <c r="AN1835" s="37"/>
      <c r="AO1835" s="62"/>
      <c r="AP1835" s="62"/>
      <c r="AQ1835" s="62"/>
      <c r="AR1835" s="62"/>
    </row>
    <row r="1836" spans="25:44" x14ac:dyDescent="0.15">
      <c r="Y1836" s="8"/>
      <c r="Z1836" s="61"/>
      <c r="AA1836" s="61"/>
      <c r="AB1836" s="61"/>
      <c r="AC1836" s="61"/>
      <c r="AD1836" s="37"/>
      <c r="AE1836" s="62"/>
      <c r="AF1836" s="62"/>
      <c r="AG1836" s="62"/>
      <c r="AH1836" s="62"/>
      <c r="AI1836" s="37"/>
      <c r="AJ1836" s="61"/>
      <c r="AK1836" s="61"/>
      <c r="AL1836" s="61"/>
      <c r="AM1836" s="61"/>
      <c r="AN1836" s="37"/>
      <c r="AO1836" s="62"/>
      <c r="AP1836" s="62"/>
      <c r="AQ1836" s="62"/>
      <c r="AR1836" s="62"/>
    </row>
    <row r="1837" spans="25:44" x14ac:dyDescent="0.15">
      <c r="Y1837" s="8"/>
      <c r="Z1837" s="61"/>
      <c r="AA1837" s="61"/>
      <c r="AB1837" s="61"/>
      <c r="AC1837" s="61"/>
      <c r="AD1837" s="37"/>
      <c r="AE1837" s="62"/>
      <c r="AF1837" s="62"/>
      <c r="AG1837" s="62"/>
      <c r="AH1837" s="62"/>
      <c r="AI1837" s="37"/>
      <c r="AJ1837" s="61"/>
      <c r="AK1837" s="61"/>
      <c r="AL1837" s="61"/>
      <c r="AM1837" s="61"/>
      <c r="AN1837" s="37"/>
      <c r="AO1837" s="62"/>
      <c r="AP1837" s="62"/>
      <c r="AQ1837" s="62"/>
      <c r="AR1837" s="62"/>
    </row>
    <row r="1838" spans="25:44" x14ac:dyDescent="0.15">
      <c r="Y1838" s="8"/>
      <c r="Z1838" s="61"/>
      <c r="AA1838" s="61"/>
      <c r="AB1838" s="61"/>
      <c r="AC1838" s="61"/>
      <c r="AD1838" s="37"/>
      <c r="AE1838" s="62"/>
      <c r="AF1838" s="62"/>
      <c r="AG1838" s="62"/>
      <c r="AH1838" s="62"/>
      <c r="AI1838" s="37"/>
      <c r="AJ1838" s="61"/>
      <c r="AK1838" s="61"/>
      <c r="AL1838" s="61"/>
      <c r="AM1838" s="61"/>
      <c r="AN1838" s="37"/>
      <c r="AO1838" s="62"/>
      <c r="AP1838" s="62"/>
      <c r="AQ1838" s="62"/>
      <c r="AR1838" s="62"/>
    </row>
    <row r="1839" spans="25:44" x14ac:dyDescent="0.15">
      <c r="Y1839" s="8"/>
      <c r="Z1839" s="61"/>
      <c r="AA1839" s="61"/>
      <c r="AB1839" s="61"/>
      <c r="AC1839" s="61"/>
      <c r="AD1839" s="37"/>
      <c r="AE1839" s="62"/>
      <c r="AF1839" s="62"/>
      <c r="AG1839" s="62"/>
      <c r="AH1839" s="62"/>
      <c r="AI1839" s="37"/>
      <c r="AJ1839" s="61"/>
      <c r="AK1839" s="61"/>
      <c r="AL1839" s="61"/>
      <c r="AM1839" s="61"/>
      <c r="AN1839" s="37"/>
      <c r="AO1839" s="62"/>
      <c r="AP1839" s="62"/>
      <c r="AQ1839" s="62"/>
      <c r="AR1839" s="62"/>
    </row>
    <row r="1840" spans="25:44" x14ac:dyDescent="0.15">
      <c r="Y1840" s="8"/>
      <c r="Z1840" s="61"/>
      <c r="AA1840" s="61"/>
      <c r="AB1840" s="61"/>
      <c r="AC1840" s="61"/>
      <c r="AD1840" s="37"/>
      <c r="AE1840" s="62"/>
      <c r="AF1840" s="62"/>
      <c r="AG1840" s="62"/>
      <c r="AH1840" s="62"/>
      <c r="AI1840" s="37"/>
      <c r="AJ1840" s="61"/>
      <c r="AK1840" s="61"/>
      <c r="AL1840" s="61"/>
      <c r="AM1840" s="61"/>
      <c r="AN1840" s="37"/>
      <c r="AO1840" s="62"/>
      <c r="AP1840" s="62"/>
      <c r="AQ1840" s="62"/>
      <c r="AR1840" s="62"/>
    </row>
    <row r="1841" spans="25:44" x14ac:dyDescent="0.15">
      <c r="Y1841" s="8"/>
      <c r="Z1841" s="61"/>
      <c r="AA1841" s="61"/>
      <c r="AB1841" s="61"/>
      <c r="AC1841" s="61"/>
      <c r="AD1841" s="37"/>
      <c r="AE1841" s="62"/>
      <c r="AF1841" s="62"/>
      <c r="AG1841" s="62"/>
      <c r="AH1841" s="62"/>
      <c r="AI1841" s="37"/>
      <c r="AJ1841" s="61"/>
      <c r="AK1841" s="61"/>
      <c r="AL1841" s="61"/>
      <c r="AM1841" s="61"/>
      <c r="AN1841" s="37"/>
      <c r="AO1841" s="62"/>
      <c r="AP1841" s="62"/>
      <c r="AQ1841" s="62"/>
      <c r="AR1841" s="62"/>
    </row>
    <row r="1842" spans="25:44" x14ac:dyDescent="0.15">
      <c r="Y1842" s="8"/>
      <c r="Z1842" s="61"/>
      <c r="AA1842" s="61"/>
      <c r="AB1842" s="61"/>
      <c r="AC1842" s="61"/>
      <c r="AD1842" s="37"/>
      <c r="AE1842" s="62"/>
      <c r="AF1842" s="62"/>
      <c r="AG1842" s="62"/>
      <c r="AH1842" s="62"/>
      <c r="AI1842" s="37"/>
      <c r="AJ1842" s="61"/>
      <c r="AK1842" s="61"/>
      <c r="AL1842" s="61"/>
      <c r="AM1842" s="61"/>
      <c r="AN1842" s="37"/>
      <c r="AO1842" s="62"/>
      <c r="AP1842" s="62"/>
      <c r="AQ1842" s="62"/>
      <c r="AR1842" s="62"/>
    </row>
    <row r="1843" spans="25:44" x14ac:dyDescent="0.15">
      <c r="Y1843" s="8"/>
      <c r="Z1843" s="61"/>
      <c r="AA1843" s="61"/>
      <c r="AB1843" s="61"/>
      <c r="AC1843" s="61"/>
      <c r="AD1843" s="37"/>
      <c r="AE1843" s="62"/>
      <c r="AF1843" s="62"/>
      <c r="AG1843" s="62"/>
      <c r="AH1843" s="62"/>
      <c r="AI1843" s="37"/>
      <c r="AJ1843" s="61"/>
      <c r="AK1843" s="61"/>
      <c r="AL1843" s="61"/>
      <c r="AM1843" s="61"/>
      <c r="AN1843" s="37"/>
      <c r="AO1843" s="62"/>
      <c r="AP1843" s="62"/>
      <c r="AQ1843" s="62"/>
      <c r="AR1843" s="62"/>
    </row>
    <row r="1844" spans="25:44" x14ac:dyDescent="0.15">
      <c r="Y1844" s="8"/>
      <c r="Z1844" s="61"/>
      <c r="AA1844" s="61"/>
      <c r="AB1844" s="61"/>
      <c r="AC1844" s="61"/>
      <c r="AD1844" s="37"/>
      <c r="AE1844" s="62"/>
      <c r="AF1844" s="62"/>
      <c r="AG1844" s="62"/>
      <c r="AH1844" s="62"/>
      <c r="AI1844" s="37"/>
      <c r="AJ1844" s="61"/>
      <c r="AK1844" s="61"/>
      <c r="AL1844" s="61"/>
      <c r="AM1844" s="61"/>
      <c r="AN1844" s="37"/>
      <c r="AO1844" s="62"/>
      <c r="AP1844" s="62"/>
      <c r="AQ1844" s="62"/>
      <c r="AR1844" s="62"/>
    </row>
    <row r="1845" spans="25:44" x14ac:dyDescent="0.15">
      <c r="Y1845" s="8"/>
      <c r="Z1845" s="61"/>
      <c r="AA1845" s="61"/>
      <c r="AB1845" s="61"/>
      <c r="AC1845" s="61"/>
      <c r="AD1845" s="37"/>
      <c r="AE1845" s="62"/>
      <c r="AF1845" s="62"/>
      <c r="AG1845" s="62"/>
      <c r="AH1845" s="62"/>
      <c r="AI1845" s="37"/>
      <c r="AJ1845" s="61"/>
      <c r="AK1845" s="61"/>
      <c r="AL1845" s="61"/>
      <c r="AM1845" s="61"/>
      <c r="AN1845" s="37"/>
      <c r="AO1845" s="62"/>
      <c r="AP1845" s="62"/>
      <c r="AQ1845" s="62"/>
      <c r="AR1845" s="62"/>
    </row>
    <row r="1846" spans="25:44" x14ac:dyDescent="0.15">
      <c r="Y1846" s="8"/>
      <c r="Z1846" s="61"/>
      <c r="AA1846" s="61"/>
      <c r="AB1846" s="61"/>
      <c r="AC1846" s="61"/>
      <c r="AD1846" s="37"/>
      <c r="AE1846" s="62"/>
      <c r="AF1846" s="62"/>
      <c r="AG1846" s="62"/>
      <c r="AH1846" s="62"/>
      <c r="AI1846" s="37"/>
      <c r="AJ1846" s="61"/>
      <c r="AK1846" s="61"/>
      <c r="AL1846" s="61"/>
      <c r="AM1846" s="61"/>
      <c r="AN1846" s="37"/>
      <c r="AO1846" s="62"/>
      <c r="AP1846" s="62"/>
      <c r="AQ1846" s="62"/>
      <c r="AR1846" s="62"/>
    </row>
    <row r="1847" spans="25:44" x14ac:dyDescent="0.15">
      <c r="Y1847" s="8"/>
      <c r="Z1847" s="61"/>
      <c r="AA1847" s="61"/>
      <c r="AB1847" s="61"/>
      <c r="AC1847" s="61"/>
      <c r="AD1847" s="37"/>
      <c r="AE1847" s="62"/>
      <c r="AF1847" s="62"/>
      <c r="AG1847" s="62"/>
      <c r="AH1847" s="62"/>
      <c r="AI1847" s="37"/>
      <c r="AJ1847" s="61"/>
      <c r="AK1847" s="61"/>
      <c r="AL1847" s="61"/>
      <c r="AM1847" s="61"/>
      <c r="AN1847" s="37"/>
      <c r="AO1847" s="62"/>
      <c r="AP1847" s="62"/>
      <c r="AQ1847" s="62"/>
      <c r="AR1847" s="62"/>
    </row>
    <row r="1848" spans="25:44" x14ac:dyDescent="0.15">
      <c r="Y1848" s="8"/>
      <c r="Z1848" s="61"/>
      <c r="AA1848" s="61"/>
      <c r="AB1848" s="61"/>
      <c r="AC1848" s="61"/>
      <c r="AD1848" s="37"/>
      <c r="AE1848" s="62"/>
      <c r="AF1848" s="62"/>
      <c r="AG1848" s="62"/>
      <c r="AH1848" s="62"/>
      <c r="AI1848" s="37"/>
      <c r="AJ1848" s="61"/>
      <c r="AK1848" s="61"/>
      <c r="AL1848" s="61"/>
      <c r="AM1848" s="61"/>
      <c r="AN1848" s="37"/>
      <c r="AO1848" s="62"/>
      <c r="AP1848" s="62"/>
      <c r="AQ1848" s="62"/>
      <c r="AR1848" s="62"/>
    </row>
    <row r="1849" spans="25:44" x14ac:dyDescent="0.15">
      <c r="Y1849" s="8"/>
      <c r="Z1849" s="61"/>
      <c r="AA1849" s="61"/>
      <c r="AB1849" s="61"/>
      <c r="AC1849" s="61"/>
      <c r="AD1849" s="37"/>
      <c r="AE1849" s="62"/>
      <c r="AF1849" s="62"/>
      <c r="AG1849" s="62"/>
      <c r="AH1849" s="62"/>
      <c r="AI1849" s="37"/>
      <c r="AJ1849" s="61"/>
      <c r="AK1849" s="61"/>
      <c r="AL1849" s="61"/>
      <c r="AM1849" s="61"/>
      <c r="AN1849" s="37"/>
      <c r="AO1849" s="62"/>
      <c r="AP1849" s="62"/>
      <c r="AQ1849" s="62"/>
      <c r="AR1849" s="62"/>
    </row>
    <row r="1850" spans="25:44" x14ac:dyDescent="0.15">
      <c r="Y1850" s="8"/>
      <c r="Z1850" s="61"/>
      <c r="AA1850" s="61"/>
      <c r="AB1850" s="61"/>
      <c r="AC1850" s="61"/>
      <c r="AD1850" s="37"/>
      <c r="AE1850" s="62"/>
      <c r="AF1850" s="62"/>
      <c r="AG1850" s="62"/>
      <c r="AH1850" s="62"/>
      <c r="AI1850" s="37"/>
      <c r="AJ1850" s="61"/>
      <c r="AK1850" s="61"/>
      <c r="AL1850" s="61"/>
      <c r="AM1850" s="61"/>
      <c r="AN1850" s="37"/>
      <c r="AO1850" s="62"/>
      <c r="AP1850" s="62"/>
      <c r="AQ1850" s="62"/>
      <c r="AR1850" s="62"/>
    </row>
    <row r="1851" spans="25:44" x14ac:dyDescent="0.15">
      <c r="Y1851" s="8"/>
      <c r="Z1851" s="61"/>
      <c r="AA1851" s="61"/>
      <c r="AB1851" s="61"/>
      <c r="AC1851" s="61"/>
      <c r="AD1851" s="37"/>
      <c r="AE1851" s="62"/>
      <c r="AF1851" s="62"/>
      <c r="AG1851" s="62"/>
      <c r="AH1851" s="62"/>
      <c r="AI1851" s="37"/>
      <c r="AJ1851" s="61"/>
      <c r="AK1851" s="61"/>
      <c r="AL1851" s="61"/>
      <c r="AM1851" s="61"/>
      <c r="AN1851" s="37"/>
      <c r="AO1851" s="62"/>
      <c r="AP1851" s="62"/>
      <c r="AQ1851" s="62"/>
      <c r="AR1851" s="62"/>
    </row>
    <row r="1852" spans="25:44" x14ac:dyDescent="0.15">
      <c r="Y1852" s="8"/>
      <c r="Z1852" s="61"/>
      <c r="AA1852" s="61"/>
      <c r="AB1852" s="61"/>
      <c r="AC1852" s="61"/>
      <c r="AD1852" s="37"/>
      <c r="AE1852" s="62"/>
      <c r="AF1852" s="62"/>
      <c r="AG1852" s="62"/>
      <c r="AH1852" s="62"/>
      <c r="AI1852" s="37"/>
      <c r="AJ1852" s="61"/>
      <c r="AK1852" s="61"/>
      <c r="AL1852" s="61"/>
      <c r="AM1852" s="61"/>
      <c r="AN1852" s="37"/>
      <c r="AO1852" s="62"/>
      <c r="AP1852" s="62"/>
      <c r="AQ1852" s="62"/>
      <c r="AR1852" s="62"/>
    </row>
    <row r="1853" spans="25:44" x14ac:dyDescent="0.15">
      <c r="Y1853" s="8"/>
      <c r="Z1853" s="61"/>
      <c r="AA1853" s="61"/>
      <c r="AB1853" s="61"/>
      <c r="AC1853" s="61"/>
      <c r="AD1853" s="37"/>
      <c r="AE1853" s="62"/>
      <c r="AF1853" s="62"/>
      <c r="AG1853" s="62"/>
      <c r="AH1853" s="62"/>
      <c r="AI1853" s="37"/>
      <c r="AJ1853" s="61"/>
      <c r="AK1853" s="61"/>
      <c r="AL1853" s="61"/>
      <c r="AM1853" s="61"/>
      <c r="AN1853" s="37"/>
      <c r="AO1853" s="62"/>
      <c r="AP1853" s="62"/>
      <c r="AQ1853" s="62"/>
      <c r="AR1853" s="62"/>
    </row>
    <row r="1854" spans="25:44" x14ac:dyDescent="0.15">
      <c r="Y1854" s="8"/>
      <c r="Z1854" s="61"/>
      <c r="AA1854" s="61"/>
      <c r="AB1854" s="61"/>
      <c r="AC1854" s="61"/>
      <c r="AD1854" s="37"/>
      <c r="AE1854" s="62"/>
      <c r="AF1854" s="62"/>
      <c r="AG1854" s="62"/>
      <c r="AH1854" s="62"/>
      <c r="AI1854" s="37"/>
      <c r="AJ1854" s="61"/>
      <c r="AK1854" s="61"/>
      <c r="AL1854" s="61"/>
      <c r="AM1854" s="61"/>
      <c r="AN1854" s="37"/>
      <c r="AO1854" s="62"/>
      <c r="AP1854" s="62"/>
      <c r="AQ1854" s="62"/>
      <c r="AR1854" s="62"/>
    </row>
    <row r="1855" spans="25:44" x14ac:dyDescent="0.15">
      <c r="Y1855" s="8"/>
      <c r="Z1855" s="61"/>
      <c r="AA1855" s="61"/>
      <c r="AB1855" s="61"/>
      <c r="AC1855" s="61"/>
      <c r="AD1855" s="37"/>
      <c r="AE1855" s="62"/>
      <c r="AF1855" s="62"/>
      <c r="AG1855" s="62"/>
      <c r="AH1855" s="62"/>
      <c r="AI1855" s="37"/>
      <c r="AJ1855" s="61"/>
      <c r="AK1855" s="61"/>
      <c r="AL1855" s="61"/>
      <c r="AM1855" s="61"/>
      <c r="AN1855" s="37"/>
      <c r="AO1855" s="62"/>
      <c r="AP1855" s="62"/>
      <c r="AQ1855" s="62"/>
      <c r="AR1855" s="62"/>
    </row>
    <row r="1856" spans="25:44" x14ac:dyDescent="0.15">
      <c r="Y1856" s="8"/>
      <c r="Z1856" s="61"/>
      <c r="AA1856" s="61"/>
      <c r="AB1856" s="61"/>
      <c r="AC1856" s="61"/>
      <c r="AD1856" s="37"/>
      <c r="AE1856" s="62"/>
      <c r="AF1856" s="62"/>
      <c r="AG1856" s="62"/>
      <c r="AH1856" s="62"/>
      <c r="AI1856" s="37"/>
      <c r="AJ1856" s="61"/>
      <c r="AK1856" s="61"/>
      <c r="AL1856" s="61"/>
      <c r="AM1856" s="61"/>
      <c r="AN1856" s="37"/>
      <c r="AO1856" s="62"/>
      <c r="AP1856" s="62"/>
      <c r="AQ1856" s="62"/>
      <c r="AR1856" s="62"/>
    </row>
    <row r="1857" spans="25:44" x14ac:dyDescent="0.15">
      <c r="Y1857" s="8"/>
      <c r="Z1857" s="61"/>
      <c r="AA1857" s="61"/>
      <c r="AB1857" s="61"/>
      <c r="AC1857" s="61"/>
      <c r="AD1857" s="37"/>
      <c r="AE1857" s="62"/>
      <c r="AF1857" s="62"/>
      <c r="AG1857" s="62"/>
      <c r="AH1857" s="62"/>
      <c r="AI1857" s="37"/>
      <c r="AJ1857" s="61"/>
      <c r="AK1857" s="61"/>
      <c r="AL1857" s="61"/>
      <c r="AM1857" s="61"/>
      <c r="AN1857" s="37"/>
      <c r="AO1857" s="62"/>
      <c r="AP1857" s="62"/>
      <c r="AQ1857" s="62"/>
      <c r="AR1857" s="62"/>
    </row>
    <row r="1858" spans="25:44" x14ac:dyDescent="0.15">
      <c r="Y1858" s="8"/>
      <c r="Z1858" s="61"/>
      <c r="AA1858" s="61"/>
      <c r="AB1858" s="61"/>
      <c r="AC1858" s="61"/>
      <c r="AD1858" s="37"/>
      <c r="AE1858" s="62"/>
      <c r="AF1858" s="62"/>
      <c r="AG1858" s="62"/>
      <c r="AH1858" s="62"/>
      <c r="AI1858" s="37"/>
      <c r="AJ1858" s="61"/>
      <c r="AK1858" s="61"/>
      <c r="AL1858" s="61"/>
      <c r="AM1858" s="61"/>
      <c r="AN1858" s="37"/>
      <c r="AO1858" s="62"/>
      <c r="AP1858" s="62"/>
      <c r="AQ1858" s="62"/>
      <c r="AR1858" s="62"/>
    </row>
    <row r="1859" spans="25:44" x14ac:dyDescent="0.15">
      <c r="Y1859" s="8"/>
      <c r="Z1859" s="61"/>
      <c r="AA1859" s="61"/>
      <c r="AB1859" s="61"/>
      <c r="AC1859" s="61"/>
      <c r="AD1859" s="37"/>
      <c r="AE1859" s="62"/>
      <c r="AF1859" s="62"/>
      <c r="AG1859" s="62"/>
      <c r="AH1859" s="62"/>
      <c r="AI1859" s="37"/>
      <c r="AJ1859" s="61"/>
      <c r="AK1859" s="61"/>
      <c r="AL1859" s="61"/>
      <c r="AM1859" s="61"/>
      <c r="AN1859" s="37"/>
      <c r="AO1859" s="62"/>
      <c r="AP1859" s="62"/>
      <c r="AQ1859" s="62"/>
      <c r="AR1859" s="62"/>
    </row>
    <row r="1860" spans="25:44" x14ac:dyDescent="0.15">
      <c r="Y1860" s="8"/>
      <c r="Z1860" s="61"/>
      <c r="AA1860" s="61"/>
      <c r="AB1860" s="61"/>
      <c r="AC1860" s="61"/>
      <c r="AD1860" s="37"/>
      <c r="AE1860" s="62"/>
      <c r="AF1860" s="62"/>
      <c r="AG1860" s="62"/>
      <c r="AH1860" s="62"/>
      <c r="AI1860" s="37"/>
      <c r="AJ1860" s="61"/>
      <c r="AK1860" s="61"/>
      <c r="AL1860" s="61"/>
      <c r="AM1860" s="61"/>
      <c r="AN1860" s="37"/>
      <c r="AO1860" s="62"/>
      <c r="AP1860" s="62"/>
      <c r="AQ1860" s="62"/>
      <c r="AR1860" s="62"/>
    </row>
    <row r="1861" spans="25:44" x14ac:dyDescent="0.15">
      <c r="Y1861" s="8"/>
      <c r="Z1861" s="61"/>
      <c r="AA1861" s="61"/>
      <c r="AB1861" s="61"/>
      <c r="AC1861" s="61"/>
      <c r="AD1861" s="37"/>
      <c r="AE1861" s="62"/>
      <c r="AF1861" s="62"/>
      <c r="AG1861" s="62"/>
      <c r="AH1861" s="62"/>
      <c r="AI1861" s="37"/>
      <c r="AJ1861" s="61"/>
      <c r="AK1861" s="61"/>
      <c r="AL1861" s="61"/>
      <c r="AM1861" s="61"/>
      <c r="AN1861" s="37"/>
      <c r="AO1861" s="62"/>
      <c r="AP1861" s="62"/>
      <c r="AQ1861" s="62"/>
      <c r="AR1861" s="62"/>
    </row>
    <row r="1862" spans="25:44" x14ac:dyDescent="0.15">
      <c r="Y1862" s="8"/>
      <c r="Z1862" s="61"/>
      <c r="AA1862" s="61"/>
      <c r="AB1862" s="61"/>
      <c r="AC1862" s="61"/>
      <c r="AD1862" s="37"/>
      <c r="AE1862" s="62"/>
      <c r="AF1862" s="62"/>
      <c r="AG1862" s="62"/>
      <c r="AH1862" s="62"/>
      <c r="AI1862" s="37"/>
      <c r="AJ1862" s="61"/>
      <c r="AK1862" s="61"/>
      <c r="AL1862" s="61"/>
      <c r="AM1862" s="61"/>
      <c r="AN1862" s="37"/>
      <c r="AO1862" s="62"/>
      <c r="AP1862" s="62"/>
      <c r="AQ1862" s="62"/>
      <c r="AR1862" s="62"/>
    </row>
    <row r="1863" spans="25:44" x14ac:dyDescent="0.15">
      <c r="Y1863" s="8"/>
      <c r="Z1863" s="61"/>
      <c r="AA1863" s="61"/>
      <c r="AB1863" s="61"/>
      <c r="AC1863" s="61"/>
      <c r="AD1863" s="37"/>
      <c r="AE1863" s="62"/>
      <c r="AF1863" s="62"/>
      <c r="AG1863" s="62"/>
      <c r="AH1863" s="62"/>
      <c r="AI1863" s="37"/>
      <c r="AJ1863" s="61"/>
      <c r="AK1863" s="61"/>
      <c r="AL1863" s="61"/>
      <c r="AM1863" s="61"/>
      <c r="AN1863" s="37"/>
      <c r="AO1863" s="62"/>
      <c r="AP1863" s="62"/>
      <c r="AQ1863" s="62"/>
      <c r="AR1863" s="62"/>
    </row>
    <row r="1864" spans="25:44" x14ac:dyDescent="0.15">
      <c r="Y1864" s="8"/>
      <c r="Z1864" s="61"/>
      <c r="AA1864" s="61"/>
      <c r="AB1864" s="61"/>
      <c r="AC1864" s="61"/>
      <c r="AD1864" s="37"/>
      <c r="AE1864" s="62"/>
      <c r="AF1864" s="62"/>
      <c r="AG1864" s="62"/>
      <c r="AH1864" s="62"/>
      <c r="AI1864" s="37"/>
      <c r="AJ1864" s="61"/>
      <c r="AK1864" s="61"/>
      <c r="AL1864" s="61"/>
      <c r="AM1864" s="61"/>
      <c r="AN1864" s="37"/>
      <c r="AO1864" s="62"/>
      <c r="AP1864" s="62"/>
      <c r="AQ1864" s="62"/>
      <c r="AR1864" s="62"/>
    </row>
    <row r="1865" spans="25:44" x14ac:dyDescent="0.15">
      <c r="Y1865" s="8"/>
      <c r="Z1865" s="61"/>
      <c r="AA1865" s="61"/>
      <c r="AB1865" s="61"/>
      <c r="AC1865" s="61"/>
      <c r="AD1865" s="37"/>
      <c r="AE1865" s="62"/>
      <c r="AF1865" s="62"/>
      <c r="AG1865" s="62"/>
      <c r="AH1865" s="62"/>
      <c r="AI1865" s="37"/>
      <c r="AJ1865" s="61"/>
      <c r="AK1865" s="61"/>
      <c r="AL1865" s="61"/>
      <c r="AM1865" s="61"/>
      <c r="AN1865" s="37"/>
      <c r="AO1865" s="62"/>
      <c r="AP1865" s="62"/>
      <c r="AQ1865" s="62"/>
      <c r="AR1865" s="62"/>
    </row>
    <row r="1866" spans="25:44" x14ac:dyDescent="0.15">
      <c r="Y1866" s="8"/>
      <c r="Z1866" s="61"/>
      <c r="AA1866" s="61"/>
      <c r="AB1866" s="61"/>
      <c r="AC1866" s="61"/>
      <c r="AD1866" s="37"/>
      <c r="AE1866" s="62"/>
      <c r="AF1866" s="62"/>
      <c r="AG1866" s="62"/>
      <c r="AH1866" s="62"/>
      <c r="AI1866" s="37"/>
      <c r="AJ1866" s="61"/>
      <c r="AK1866" s="61"/>
      <c r="AL1866" s="61"/>
      <c r="AM1866" s="61"/>
      <c r="AN1866" s="37"/>
      <c r="AO1866" s="62"/>
      <c r="AP1866" s="62"/>
      <c r="AQ1866" s="62"/>
      <c r="AR1866" s="62"/>
    </row>
    <row r="1867" spans="25:44" x14ac:dyDescent="0.15">
      <c r="Y1867" s="8"/>
      <c r="Z1867" s="61"/>
      <c r="AA1867" s="61"/>
      <c r="AB1867" s="61"/>
      <c r="AC1867" s="61"/>
      <c r="AD1867" s="37"/>
      <c r="AE1867" s="62"/>
      <c r="AF1867" s="62"/>
      <c r="AG1867" s="62"/>
      <c r="AH1867" s="62"/>
      <c r="AI1867" s="37"/>
      <c r="AJ1867" s="61"/>
      <c r="AK1867" s="61"/>
      <c r="AL1867" s="61"/>
      <c r="AM1867" s="61"/>
      <c r="AN1867" s="37"/>
      <c r="AO1867" s="62"/>
      <c r="AP1867" s="62"/>
      <c r="AQ1867" s="62"/>
      <c r="AR1867" s="62"/>
    </row>
    <row r="1868" spans="25:44" x14ac:dyDescent="0.15">
      <c r="Y1868" s="8"/>
      <c r="Z1868" s="61"/>
      <c r="AA1868" s="61"/>
      <c r="AB1868" s="61"/>
      <c r="AC1868" s="61"/>
      <c r="AD1868" s="37"/>
      <c r="AE1868" s="62"/>
      <c r="AF1868" s="62"/>
      <c r="AG1868" s="62"/>
      <c r="AH1868" s="62"/>
      <c r="AI1868" s="37"/>
      <c r="AJ1868" s="61"/>
      <c r="AK1868" s="61"/>
      <c r="AL1868" s="61"/>
      <c r="AM1868" s="61"/>
      <c r="AN1868" s="37"/>
      <c r="AO1868" s="62"/>
      <c r="AP1868" s="62"/>
      <c r="AQ1868" s="62"/>
      <c r="AR1868" s="62"/>
    </row>
    <row r="1869" spans="25:44" x14ac:dyDescent="0.15">
      <c r="Y1869" s="8"/>
      <c r="Z1869" s="61"/>
      <c r="AA1869" s="61"/>
      <c r="AB1869" s="61"/>
      <c r="AC1869" s="61"/>
      <c r="AD1869" s="37"/>
      <c r="AE1869" s="62"/>
      <c r="AF1869" s="62"/>
      <c r="AG1869" s="62"/>
      <c r="AH1869" s="62"/>
      <c r="AI1869" s="37"/>
      <c r="AJ1869" s="61"/>
      <c r="AK1869" s="61"/>
      <c r="AL1869" s="61"/>
      <c r="AM1869" s="61"/>
      <c r="AN1869" s="37"/>
      <c r="AO1869" s="62"/>
      <c r="AP1869" s="62"/>
      <c r="AQ1869" s="62"/>
      <c r="AR1869" s="62"/>
    </row>
    <row r="1870" spans="25:44" x14ac:dyDescent="0.15">
      <c r="Y1870" s="8"/>
      <c r="Z1870" s="61"/>
      <c r="AA1870" s="61"/>
      <c r="AB1870" s="61"/>
      <c r="AC1870" s="61"/>
      <c r="AD1870" s="37"/>
      <c r="AE1870" s="62"/>
      <c r="AF1870" s="62"/>
      <c r="AG1870" s="62"/>
      <c r="AH1870" s="62"/>
      <c r="AI1870" s="37"/>
      <c r="AJ1870" s="61"/>
      <c r="AK1870" s="61"/>
      <c r="AL1870" s="61"/>
      <c r="AM1870" s="61"/>
      <c r="AN1870" s="37"/>
      <c r="AO1870" s="62"/>
      <c r="AP1870" s="62"/>
      <c r="AQ1870" s="62"/>
      <c r="AR1870" s="62"/>
    </row>
    <row r="1871" spans="25:44" x14ac:dyDescent="0.15">
      <c r="Y1871" s="8"/>
      <c r="Z1871" s="61"/>
      <c r="AA1871" s="61"/>
      <c r="AB1871" s="61"/>
      <c r="AC1871" s="61"/>
      <c r="AD1871" s="37"/>
      <c r="AE1871" s="62"/>
      <c r="AF1871" s="62"/>
      <c r="AG1871" s="62"/>
      <c r="AH1871" s="62"/>
      <c r="AI1871" s="37"/>
      <c r="AJ1871" s="61"/>
      <c r="AK1871" s="61"/>
      <c r="AL1871" s="61"/>
      <c r="AM1871" s="61"/>
      <c r="AN1871" s="37"/>
      <c r="AO1871" s="62"/>
      <c r="AP1871" s="62"/>
      <c r="AQ1871" s="62"/>
      <c r="AR1871" s="62"/>
    </row>
    <row r="1872" spans="25:44" x14ac:dyDescent="0.15">
      <c r="Y1872" s="8"/>
      <c r="Z1872" s="61"/>
      <c r="AA1872" s="61"/>
      <c r="AB1872" s="61"/>
      <c r="AC1872" s="61"/>
      <c r="AD1872" s="37"/>
      <c r="AE1872" s="62"/>
      <c r="AF1872" s="62"/>
      <c r="AG1872" s="62"/>
      <c r="AH1872" s="62"/>
      <c r="AI1872" s="37"/>
      <c r="AJ1872" s="61"/>
      <c r="AK1872" s="61"/>
      <c r="AL1872" s="61"/>
      <c r="AM1872" s="61"/>
      <c r="AN1872" s="37"/>
      <c r="AO1872" s="62"/>
      <c r="AP1872" s="62"/>
      <c r="AQ1872" s="62"/>
      <c r="AR1872" s="62"/>
    </row>
    <row r="1873" spans="25:44" x14ac:dyDescent="0.15">
      <c r="Y1873" s="8"/>
      <c r="Z1873" s="61"/>
      <c r="AA1873" s="61"/>
      <c r="AB1873" s="61"/>
      <c r="AC1873" s="61"/>
      <c r="AD1873" s="37"/>
      <c r="AE1873" s="62"/>
      <c r="AF1873" s="62"/>
      <c r="AG1873" s="62"/>
      <c r="AH1873" s="62"/>
      <c r="AI1873" s="37"/>
      <c r="AJ1873" s="61"/>
      <c r="AK1873" s="61"/>
      <c r="AL1873" s="61"/>
      <c r="AM1873" s="61"/>
      <c r="AN1873" s="37"/>
      <c r="AO1873" s="62"/>
      <c r="AP1873" s="62"/>
      <c r="AQ1873" s="62"/>
      <c r="AR1873" s="62"/>
    </row>
    <row r="1874" spans="25:44" x14ac:dyDescent="0.15">
      <c r="Y1874" s="8"/>
      <c r="Z1874" s="61"/>
      <c r="AA1874" s="61"/>
      <c r="AB1874" s="61"/>
      <c r="AC1874" s="61"/>
      <c r="AD1874" s="37"/>
      <c r="AE1874" s="62"/>
      <c r="AF1874" s="62"/>
      <c r="AG1874" s="62"/>
      <c r="AH1874" s="62"/>
      <c r="AI1874" s="37"/>
      <c r="AJ1874" s="61"/>
      <c r="AK1874" s="61"/>
      <c r="AL1874" s="61"/>
      <c r="AM1874" s="61"/>
      <c r="AN1874" s="37"/>
      <c r="AO1874" s="62"/>
      <c r="AP1874" s="62"/>
      <c r="AQ1874" s="62"/>
      <c r="AR1874" s="62"/>
    </row>
    <row r="1875" spans="25:44" x14ac:dyDescent="0.15">
      <c r="Y1875" s="8"/>
      <c r="Z1875" s="61"/>
      <c r="AA1875" s="61"/>
      <c r="AB1875" s="61"/>
      <c r="AC1875" s="61"/>
      <c r="AD1875" s="37"/>
      <c r="AE1875" s="62"/>
      <c r="AF1875" s="62"/>
      <c r="AG1875" s="62"/>
      <c r="AH1875" s="62"/>
      <c r="AI1875" s="37"/>
      <c r="AJ1875" s="61"/>
      <c r="AK1875" s="61"/>
      <c r="AL1875" s="61"/>
      <c r="AM1875" s="61"/>
      <c r="AN1875" s="37"/>
      <c r="AO1875" s="62"/>
      <c r="AP1875" s="62"/>
      <c r="AQ1875" s="62"/>
      <c r="AR1875" s="62"/>
    </row>
    <row r="1876" spans="25:44" x14ac:dyDescent="0.15">
      <c r="Y1876" s="8"/>
      <c r="Z1876" s="61"/>
      <c r="AA1876" s="61"/>
      <c r="AB1876" s="61"/>
      <c r="AC1876" s="61"/>
      <c r="AD1876" s="37"/>
      <c r="AE1876" s="62"/>
      <c r="AF1876" s="62"/>
      <c r="AG1876" s="62"/>
      <c r="AH1876" s="62"/>
      <c r="AI1876" s="37"/>
      <c r="AJ1876" s="61"/>
      <c r="AK1876" s="61"/>
      <c r="AL1876" s="61"/>
      <c r="AM1876" s="61"/>
      <c r="AN1876" s="37"/>
      <c r="AO1876" s="62"/>
      <c r="AP1876" s="62"/>
      <c r="AQ1876" s="62"/>
      <c r="AR1876" s="62"/>
    </row>
    <row r="1877" spans="25:44" x14ac:dyDescent="0.15">
      <c r="Y1877" s="8"/>
      <c r="Z1877" s="61"/>
      <c r="AA1877" s="61"/>
      <c r="AB1877" s="61"/>
      <c r="AC1877" s="61"/>
      <c r="AD1877" s="37"/>
      <c r="AE1877" s="62"/>
      <c r="AF1877" s="62"/>
      <c r="AG1877" s="62"/>
      <c r="AH1877" s="62"/>
      <c r="AI1877" s="37"/>
      <c r="AJ1877" s="61"/>
      <c r="AK1877" s="61"/>
      <c r="AL1877" s="61"/>
      <c r="AM1877" s="61"/>
      <c r="AN1877" s="37"/>
      <c r="AO1877" s="62"/>
      <c r="AP1877" s="62"/>
      <c r="AQ1877" s="62"/>
      <c r="AR1877" s="62"/>
    </row>
    <row r="1878" spans="25:44" x14ac:dyDescent="0.15">
      <c r="Y1878" s="8"/>
      <c r="Z1878" s="61"/>
      <c r="AA1878" s="61"/>
      <c r="AB1878" s="61"/>
      <c r="AC1878" s="61"/>
      <c r="AD1878" s="37"/>
      <c r="AE1878" s="62"/>
      <c r="AF1878" s="62"/>
      <c r="AG1878" s="62"/>
      <c r="AH1878" s="62"/>
      <c r="AI1878" s="37"/>
      <c r="AJ1878" s="61"/>
      <c r="AK1878" s="61"/>
      <c r="AL1878" s="61"/>
      <c r="AM1878" s="61"/>
      <c r="AN1878" s="37"/>
      <c r="AO1878" s="62"/>
      <c r="AP1878" s="62"/>
      <c r="AQ1878" s="62"/>
      <c r="AR1878" s="62"/>
    </row>
    <row r="1879" spans="25:44" x14ac:dyDescent="0.15">
      <c r="Y1879" s="8"/>
      <c r="Z1879" s="61"/>
      <c r="AA1879" s="61"/>
      <c r="AB1879" s="61"/>
      <c r="AC1879" s="61"/>
      <c r="AD1879" s="37"/>
      <c r="AE1879" s="62"/>
      <c r="AF1879" s="62"/>
      <c r="AG1879" s="62"/>
      <c r="AH1879" s="62"/>
      <c r="AI1879" s="37"/>
      <c r="AJ1879" s="61"/>
      <c r="AK1879" s="61"/>
      <c r="AL1879" s="61"/>
      <c r="AM1879" s="61"/>
      <c r="AN1879" s="37"/>
      <c r="AO1879" s="62"/>
      <c r="AP1879" s="62"/>
      <c r="AQ1879" s="62"/>
      <c r="AR1879" s="62"/>
    </row>
    <row r="1880" spans="25:44" x14ac:dyDescent="0.15">
      <c r="Y1880" s="8"/>
      <c r="Z1880" s="61"/>
      <c r="AA1880" s="61"/>
      <c r="AB1880" s="61"/>
      <c r="AC1880" s="61"/>
      <c r="AD1880" s="37"/>
      <c r="AE1880" s="62"/>
      <c r="AF1880" s="62"/>
      <c r="AG1880" s="62"/>
      <c r="AH1880" s="62"/>
      <c r="AI1880" s="37"/>
      <c r="AJ1880" s="61"/>
      <c r="AK1880" s="61"/>
      <c r="AL1880" s="61"/>
      <c r="AM1880" s="61"/>
      <c r="AN1880" s="37"/>
      <c r="AO1880" s="62"/>
      <c r="AP1880" s="62"/>
      <c r="AQ1880" s="62"/>
      <c r="AR1880" s="62"/>
    </row>
    <row r="1881" spans="25:44" x14ac:dyDescent="0.15">
      <c r="Y1881" s="8"/>
      <c r="Z1881" s="61"/>
      <c r="AA1881" s="61"/>
      <c r="AB1881" s="61"/>
      <c r="AC1881" s="61"/>
      <c r="AD1881" s="37"/>
      <c r="AE1881" s="62"/>
      <c r="AF1881" s="62"/>
      <c r="AG1881" s="62"/>
      <c r="AH1881" s="62"/>
      <c r="AI1881" s="37"/>
      <c r="AJ1881" s="61"/>
      <c r="AK1881" s="61"/>
      <c r="AL1881" s="61"/>
      <c r="AM1881" s="61"/>
      <c r="AN1881" s="37"/>
      <c r="AO1881" s="62"/>
      <c r="AP1881" s="62"/>
      <c r="AQ1881" s="62"/>
      <c r="AR1881" s="62"/>
    </row>
    <row r="1882" spans="25:44" x14ac:dyDescent="0.15">
      <c r="Y1882" s="8"/>
      <c r="Z1882" s="61"/>
      <c r="AA1882" s="61"/>
      <c r="AB1882" s="61"/>
      <c r="AC1882" s="61"/>
      <c r="AD1882" s="37"/>
      <c r="AE1882" s="62"/>
      <c r="AF1882" s="62"/>
      <c r="AG1882" s="62"/>
      <c r="AH1882" s="62"/>
      <c r="AI1882" s="37"/>
      <c r="AJ1882" s="61"/>
      <c r="AK1882" s="61"/>
      <c r="AL1882" s="61"/>
      <c r="AM1882" s="61"/>
      <c r="AN1882" s="37"/>
      <c r="AO1882" s="62"/>
      <c r="AP1882" s="62"/>
      <c r="AQ1882" s="62"/>
      <c r="AR1882" s="62"/>
    </row>
    <row r="1883" spans="25:44" x14ac:dyDescent="0.15">
      <c r="Y1883" s="8"/>
      <c r="Z1883" s="61"/>
      <c r="AA1883" s="61"/>
      <c r="AB1883" s="61"/>
      <c r="AC1883" s="61"/>
      <c r="AD1883" s="37"/>
      <c r="AE1883" s="62"/>
      <c r="AF1883" s="62"/>
      <c r="AG1883" s="62"/>
      <c r="AH1883" s="62"/>
      <c r="AI1883" s="37"/>
      <c r="AJ1883" s="61"/>
      <c r="AK1883" s="61"/>
      <c r="AL1883" s="61"/>
      <c r="AM1883" s="61"/>
      <c r="AN1883" s="37"/>
      <c r="AO1883" s="62"/>
      <c r="AP1883" s="62"/>
      <c r="AQ1883" s="62"/>
      <c r="AR1883" s="62"/>
    </row>
    <row r="1884" spans="25:44" x14ac:dyDescent="0.15">
      <c r="Y1884" s="8"/>
      <c r="Z1884" s="61"/>
      <c r="AA1884" s="61"/>
      <c r="AB1884" s="61"/>
      <c r="AC1884" s="61"/>
      <c r="AD1884" s="37"/>
      <c r="AE1884" s="62"/>
      <c r="AF1884" s="62"/>
      <c r="AG1884" s="62"/>
      <c r="AH1884" s="62"/>
      <c r="AI1884" s="37"/>
      <c r="AJ1884" s="61"/>
      <c r="AK1884" s="61"/>
      <c r="AL1884" s="61"/>
      <c r="AM1884" s="61"/>
      <c r="AN1884" s="37"/>
      <c r="AO1884" s="62"/>
      <c r="AP1884" s="62"/>
      <c r="AQ1884" s="62"/>
      <c r="AR1884" s="62"/>
    </row>
    <row r="1885" spans="25:44" x14ac:dyDescent="0.15">
      <c r="Y1885" s="8"/>
      <c r="Z1885" s="61"/>
      <c r="AA1885" s="61"/>
      <c r="AB1885" s="61"/>
      <c r="AC1885" s="61"/>
      <c r="AD1885" s="37"/>
      <c r="AE1885" s="62"/>
      <c r="AF1885" s="62"/>
      <c r="AG1885" s="62"/>
      <c r="AH1885" s="62"/>
      <c r="AI1885" s="37"/>
      <c r="AJ1885" s="61"/>
      <c r="AK1885" s="61"/>
      <c r="AL1885" s="61"/>
      <c r="AM1885" s="61"/>
      <c r="AN1885" s="37"/>
      <c r="AO1885" s="62"/>
      <c r="AP1885" s="62"/>
      <c r="AQ1885" s="62"/>
      <c r="AR1885" s="62"/>
    </row>
    <row r="1886" spans="25:44" x14ac:dyDescent="0.15">
      <c r="Y1886" s="8"/>
      <c r="Z1886" s="61"/>
      <c r="AA1886" s="61"/>
      <c r="AB1886" s="61"/>
      <c r="AC1886" s="61"/>
      <c r="AD1886" s="37"/>
      <c r="AE1886" s="62"/>
      <c r="AF1886" s="62"/>
      <c r="AG1886" s="62"/>
      <c r="AH1886" s="62"/>
      <c r="AI1886" s="37"/>
      <c r="AJ1886" s="61"/>
      <c r="AK1886" s="61"/>
      <c r="AL1886" s="61"/>
      <c r="AM1886" s="61"/>
      <c r="AN1886" s="37"/>
      <c r="AO1886" s="62"/>
      <c r="AP1886" s="62"/>
      <c r="AQ1886" s="62"/>
      <c r="AR1886" s="62"/>
    </row>
    <row r="1887" spans="25:44" x14ac:dyDescent="0.15">
      <c r="Y1887" s="8"/>
      <c r="Z1887" s="61"/>
      <c r="AA1887" s="61"/>
      <c r="AB1887" s="61"/>
      <c r="AC1887" s="61"/>
      <c r="AD1887" s="37"/>
      <c r="AE1887" s="62"/>
      <c r="AF1887" s="62"/>
      <c r="AG1887" s="62"/>
      <c r="AH1887" s="62"/>
      <c r="AI1887" s="37"/>
      <c r="AJ1887" s="61"/>
      <c r="AK1887" s="61"/>
      <c r="AL1887" s="61"/>
      <c r="AM1887" s="61"/>
      <c r="AN1887" s="37"/>
      <c r="AO1887" s="62"/>
      <c r="AP1887" s="62"/>
      <c r="AQ1887" s="62"/>
      <c r="AR1887" s="62"/>
    </row>
    <row r="1888" spans="25:44" x14ac:dyDescent="0.15">
      <c r="Y1888" s="8"/>
      <c r="Z1888" s="61"/>
      <c r="AA1888" s="61"/>
      <c r="AB1888" s="61"/>
      <c r="AC1888" s="61"/>
      <c r="AD1888" s="37"/>
      <c r="AE1888" s="62"/>
      <c r="AF1888" s="62"/>
      <c r="AG1888" s="62"/>
      <c r="AH1888" s="62"/>
      <c r="AI1888" s="37"/>
      <c r="AJ1888" s="61"/>
      <c r="AK1888" s="61"/>
      <c r="AL1888" s="61"/>
      <c r="AM1888" s="61"/>
      <c r="AN1888" s="37"/>
      <c r="AO1888" s="62"/>
      <c r="AP1888" s="62"/>
      <c r="AQ1888" s="62"/>
      <c r="AR1888" s="62"/>
    </row>
    <row r="1889" spans="25:44" x14ac:dyDescent="0.15">
      <c r="Y1889" s="8"/>
      <c r="Z1889" s="61"/>
      <c r="AA1889" s="61"/>
      <c r="AB1889" s="61"/>
      <c r="AC1889" s="61"/>
      <c r="AD1889" s="37"/>
      <c r="AE1889" s="62"/>
      <c r="AF1889" s="62"/>
      <c r="AG1889" s="62"/>
      <c r="AH1889" s="62"/>
      <c r="AI1889" s="37"/>
      <c r="AJ1889" s="61"/>
      <c r="AK1889" s="61"/>
      <c r="AL1889" s="61"/>
      <c r="AM1889" s="61"/>
      <c r="AN1889" s="37"/>
      <c r="AO1889" s="62"/>
      <c r="AP1889" s="62"/>
      <c r="AQ1889" s="62"/>
      <c r="AR1889" s="62"/>
    </row>
    <row r="1890" spans="25:44" x14ac:dyDescent="0.15">
      <c r="Y1890" s="8"/>
      <c r="Z1890" s="61"/>
      <c r="AA1890" s="61"/>
      <c r="AB1890" s="61"/>
      <c r="AC1890" s="61"/>
      <c r="AD1890" s="37"/>
      <c r="AE1890" s="62"/>
      <c r="AF1890" s="62"/>
      <c r="AG1890" s="62"/>
      <c r="AH1890" s="62"/>
      <c r="AI1890" s="37"/>
      <c r="AJ1890" s="61"/>
      <c r="AK1890" s="61"/>
      <c r="AL1890" s="61"/>
      <c r="AM1890" s="61"/>
      <c r="AN1890" s="37"/>
      <c r="AO1890" s="62"/>
      <c r="AP1890" s="62"/>
      <c r="AQ1890" s="62"/>
      <c r="AR1890" s="62"/>
    </row>
    <row r="1891" spans="25:44" x14ac:dyDescent="0.15">
      <c r="Y1891" s="8"/>
      <c r="Z1891" s="61"/>
      <c r="AA1891" s="61"/>
      <c r="AB1891" s="61"/>
      <c r="AC1891" s="61"/>
      <c r="AD1891" s="37"/>
      <c r="AE1891" s="62"/>
      <c r="AF1891" s="62"/>
      <c r="AG1891" s="62"/>
      <c r="AH1891" s="62"/>
      <c r="AI1891" s="37"/>
      <c r="AJ1891" s="61"/>
      <c r="AK1891" s="61"/>
      <c r="AL1891" s="61"/>
      <c r="AM1891" s="61"/>
      <c r="AN1891" s="37"/>
      <c r="AO1891" s="62"/>
      <c r="AP1891" s="62"/>
      <c r="AQ1891" s="62"/>
      <c r="AR1891" s="62"/>
    </row>
    <row r="1892" spans="25:44" x14ac:dyDescent="0.15">
      <c r="Y1892" s="8"/>
      <c r="Z1892" s="61"/>
      <c r="AA1892" s="61"/>
      <c r="AB1892" s="61"/>
      <c r="AC1892" s="61"/>
      <c r="AD1892" s="37"/>
      <c r="AE1892" s="62"/>
      <c r="AF1892" s="62"/>
      <c r="AG1892" s="62"/>
      <c r="AH1892" s="62"/>
      <c r="AI1892" s="37"/>
      <c r="AJ1892" s="61"/>
      <c r="AK1892" s="61"/>
      <c r="AL1892" s="61"/>
      <c r="AM1892" s="61"/>
      <c r="AN1892" s="37"/>
      <c r="AO1892" s="62"/>
      <c r="AP1892" s="62"/>
      <c r="AQ1892" s="62"/>
      <c r="AR1892" s="62"/>
    </row>
    <row r="1893" spans="25:44" x14ac:dyDescent="0.15">
      <c r="Y1893" s="8"/>
      <c r="Z1893" s="61"/>
      <c r="AA1893" s="61"/>
      <c r="AB1893" s="61"/>
      <c r="AC1893" s="61"/>
      <c r="AD1893" s="37"/>
      <c r="AE1893" s="62"/>
      <c r="AF1893" s="62"/>
      <c r="AG1893" s="62"/>
      <c r="AH1893" s="62"/>
      <c r="AI1893" s="37"/>
      <c r="AJ1893" s="61"/>
      <c r="AK1893" s="61"/>
      <c r="AL1893" s="61"/>
      <c r="AM1893" s="61"/>
      <c r="AN1893" s="37"/>
      <c r="AO1893" s="62"/>
      <c r="AP1893" s="62"/>
      <c r="AQ1893" s="62"/>
      <c r="AR1893" s="62"/>
    </row>
    <row r="1894" spans="25:44" x14ac:dyDescent="0.15">
      <c r="Y1894" s="8"/>
      <c r="Z1894" s="61"/>
      <c r="AA1894" s="61"/>
      <c r="AB1894" s="61"/>
      <c r="AC1894" s="61"/>
      <c r="AD1894" s="37"/>
      <c r="AE1894" s="62"/>
      <c r="AF1894" s="62"/>
      <c r="AG1894" s="62"/>
      <c r="AH1894" s="62"/>
      <c r="AI1894" s="37"/>
      <c r="AJ1894" s="61"/>
      <c r="AK1894" s="61"/>
      <c r="AL1894" s="61"/>
      <c r="AM1894" s="61"/>
      <c r="AN1894" s="37"/>
      <c r="AO1894" s="62"/>
      <c r="AP1894" s="62"/>
      <c r="AQ1894" s="62"/>
      <c r="AR1894" s="62"/>
    </row>
    <row r="1895" spans="25:44" x14ac:dyDescent="0.15">
      <c r="Y1895" s="8"/>
      <c r="Z1895" s="61"/>
      <c r="AA1895" s="61"/>
      <c r="AB1895" s="61"/>
      <c r="AC1895" s="61"/>
      <c r="AD1895" s="37"/>
      <c r="AE1895" s="62"/>
      <c r="AF1895" s="62"/>
      <c r="AG1895" s="62"/>
      <c r="AH1895" s="62"/>
      <c r="AI1895" s="37"/>
      <c r="AJ1895" s="61"/>
      <c r="AK1895" s="61"/>
      <c r="AL1895" s="61"/>
      <c r="AM1895" s="61"/>
      <c r="AN1895" s="37"/>
      <c r="AO1895" s="62"/>
      <c r="AP1895" s="62"/>
      <c r="AQ1895" s="62"/>
      <c r="AR1895" s="62"/>
    </row>
    <row r="1896" spans="25:44" x14ac:dyDescent="0.15">
      <c r="Y1896" s="8"/>
      <c r="Z1896" s="61"/>
      <c r="AA1896" s="61"/>
      <c r="AB1896" s="61"/>
      <c r="AC1896" s="61"/>
      <c r="AD1896" s="37"/>
      <c r="AE1896" s="62"/>
      <c r="AF1896" s="62"/>
      <c r="AG1896" s="62"/>
      <c r="AH1896" s="62"/>
      <c r="AI1896" s="37"/>
      <c r="AJ1896" s="61"/>
      <c r="AK1896" s="61"/>
      <c r="AL1896" s="61"/>
      <c r="AM1896" s="61"/>
      <c r="AN1896" s="37"/>
      <c r="AO1896" s="62"/>
      <c r="AP1896" s="62"/>
      <c r="AQ1896" s="62"/>
      <c r="AR1896" s="62"/>
    </row>
    <row r="1897" spans="25:44" x14ac:dyDescent="0.15">
      <c r="Y1897" s="8"/>
      <c r="Z1897" s="61"/>
      <c r="AA1897" s="61"/>
      <c r="AB1897" s="61"/>
      <c r="AC1897" s="61"/>
      <c r="AD1897" s="37"/>
      <c r="AE1897" s="62"/>
      <c r="AF1897" s="62"/>
      <c r="AG1897" s="62"/>
      <c r="AH1897" s="62"/>
      <c r="AI1897" s="37"/>
      <c r="AJ1897" s="61"/>
      <c r="AK1897" s="61"/>
      <c r="AL1897" s="61"/>
      <c r="AM1897" s="61"/>
      <c r="AN1897" s="37"/>
      <c r="AO1897" s="62"/>
      <c r="AP1897" s="62"/>
      <c r="AQ1897" s="62"/>
      <c r="AR1897" s="62"/>
    </row>
    <row r="1898" spans="25:44" x14ac:dyDescent="0.15">
      <c r="Y1898" s="8"/>
      <c r="Z1898" s="61"/>
      <c r="AA1898" s="61"/>
      <c r="AB1898" s="61"/>
      <c r="AC1898" s="61"/>
      <c r="AD1898" s="37"/>
      <c r="AE1898" s="62"/>
      <c r="AF1898" s="62"/>
      <c r="AG1898" s="62"/>
      <c r="AH1898" s="62"/>
      <c r="AI1898" s="37"/>
      <c r="AJ1898" s="61"/>
      <c r="AK1898" s="61"/>
      <c r="AL1898" s="61"/>
      <c r="AM1898" s="61"/>
      <c r="AN1898" s="37"/>
      <c r="AO1898" s="62"/>
      <c r="AP1898" s="62"/>
      <c r="AQ1898" s="62"/>
      <c r="AR1898" s="62"/>
    </row>
    <row r="1899" spans="25:44" x14ac:dyDescent="0.15">
      <c r="Y1899" s="8"/>
      <c r="Z1899" s="61"/>
      <c r="AA1899" s="61"/>
      <c r="AB1899" s="61"/>
      <c r="AC1899" s="61"/>
      <c r="AD1899" s="37"/>
      <c r="AE1899" s="62"/>
      <c r="AF1899" s="62"/>
      <c r="AG1899" s="62"/>
      <c r="AH1899" s="62"/>
      <c r="AI1899" s="37"/>
      <c r="AJ1899" s="61"/>
      <c r="AK1899" s="61"/>
      <c r="AL1899" s="61"/>
      <c r="AM1899" s="61"/>
      <c r="AN1899" s="37"/>
      <c r="AO1899" s="62"/>
      <c r="AP1899" s="62"/>
      <c r="AQ1899" s="62"/>
      <c r="AR1899" s="62"/>
    </row>
    <row r="1900" spans="25:44" x14ac:dyDescent="0.15">
      <c r="Y1900" s="8"/>
      <c r="Z1900" s="61"/>
      <c r="AA1900" s="61"/>
      <c r="AB1900" s="61"/>
      <c r="AC1900" s="61"/>
      <c r="AD1900" s="37"/>
      <c r="AE1900" s="62"/>
      <c r="AF1900" s="62"/>
      <c r="AG1900" s="62"/>
      <c r="AH1900" s="62"/>
      <c r="AI1900" s="37"/>
      <c r="AJ1900" s="61"/>
      <c r="AK1900" s="61"/>
      <c r="AL1900" s="61"/>
      <c r="AM1900" s="61"/>
      <c r="AN1900" s="37"/>
      <c r="AO1900" s="62"/>
      <c r="AP1900" s="62"/>
      <c r="AQ1900" s="62"/>
      <c r="AR1900" s="62"/>
    </row>
    <row r="1901" spans="25:44" x14ac:dyDescent="0.15">
      <c r="Y1901" s="8"/>
      <c r="Z1901" s="61"/>
      <c r="AA1901" s="61"/>
      <c r="AB1901" s="61"/>
      <c r="AC1901" s="61"/>
      <c r="AD1901" s="37"/>
      <c r="AE1901" s="62"/>
      <c r="AF1901" s="62"/>
      <c r="AG1901" s="62"/>
      <c r="AH1901" s="62"/>
      <c r="AI1901" s="37"/>
      <c r="AJ1901" s="61"/>
      <c r="AK1901" s="61"/>
      <c r="AL1901" s="61"/>
      <c r="AM1901" s="61"/>
      <c r="AN1901" s="37"/>
      <c r="AO1901" s="62"/>
      <c r="AP1901" s="62"/>
      <c r="AQ1901" s="62"/>
      <c r="AR1901" s="62"/>
    </row>
    <row r="1902" spans="25:44" x14ac:dyDescent="0.15">
      <c r="Y1902" s="8"/>
      <c r="Z1902" s="61"/>
      <c r="AA1902" s="61"/>
      <c r="AB1902" s="61"/>
      <c r="AC1902" s="61"/>
      <c r="AD1902" s="37"/>
      <c r="AE1902" s="62"/>
      <c r="AF1902" s="62"/>
      <c r="AG1902" s="62"/>
      <c r="AH1902" s="62"/>
      <c r="AI1902" s="37"/>
      <c r="AJ1902" s="61"/>
      <c r="AK1902" s="61"/>
      <c r="AL1902" s="61"/>
      <c r="AM1902" s="61"/>
      <c r="AN1902" s="37"/>
      <c r="AO1902" s="62"/>
      <c r="AP1902" s="62"/>
      <c r="AQ1902" s="62"/>
      <c r="AR1902" s="62"/>
    </row>
    <row r="1903" spans="25:44" x14ac:dyDescent="0.15">
      <c r="Y1903" s="8"/>
      <c r="Z1903" s="61"/>
      <c r="AA1903" s="61"/>
      <c r="AB1903" s="61"/>
      <c r="AC1903" s="61"/>
      <c r="AD1903" s="37"/>
      <c r="AE1903" s="62"/>
      <c r="AF1903" s="62"/>
      <c r="AG1903" s="62"/>
      <c r="AH1903" s="62"/>
      <c r="AI1903" s="37"/>
      <c r="AJ1903" s="61"/>
      <c r="AK1903" s="61"/>
      <c r="AL1903" s="61"/>
      <c r="AM1903" s="61"/>
      <c r="AN1903" s="37"/>
      <c r="AO1903" s="62"/>
      <c r="AP1903" s="62"/>
      <c r="AQ1903" s="62"/>
      <c r="AR1903" s="62"/>
    </row>
    <row r="1904" spans="25:44" x14ac:dyDescent="0.15">
      <c r="Y1904" s="8"/>
      <c r="Z1904" s="61"/>
      <c r="AA1904" s="61"/>
      <c r="AB1904" s="61"/>
      <c r="AC1904" s="61"/>
      <c r="AD1904" s="37"/>
      <c r="AE1904" s="62"/>
      <c r="AF1904" s="62"/>
      <c r="AG1904" s="62"/>
      <c r="AH1904" s="62"/>
      <c r="AI1904" s="37"/>
      <c r="AJ1904" s="61"/>
      <c r="AK1904" s="61"/>
      <c r="AL1904" s="61"/>
      <c r="AM1904" s="61"/>
      <c r="AN1904" s="37"/>
      <c r="AO1904" s="62"/>
      <c r="AP1904" s="62"/>
      <c r="AQ1904" s="62"/>
      <c r="AR1904" s="62"/>
    </row>
    <row r="1905" spans="25:44" x14ac:dyDescent="0.15">
      <c r="Y1905" s="8"/>
      <c r="Z1905" s="61"/>
      <c r="AA1905" s="61"/>
      <c r="AB1905" s="61"/>
      <c r="AC1905" s="61"/>
      <c r="AD1905" s="37"/>
      <c r="AE1905" s="62"/>
      <c r="AF1905" s="62"/>
      <c r="AG1905" s="62"/>
      <c r="AH1905" s="62"/>
      <c r="AI1905" s="37"/>
      <c r="AJ1905" s="61"/>
      <c r="AK1905" s="61"/>
      <c r="AL1905" s="61"/>
      <c r="AM1905" s="61"/>
      <c r="AN1905" s="37"/>
      <c r="AO1905" s="62"/>
      <c r="AP1905" s="62"/>
      <c r="AQ1905" s="62"/>
      <c r="AR1905" s="62"/>
    </row>
    <row r="1906" spans="25:44" x14ac:dyDescent="0.15">
      <c r="Y1906" s="8"/>
      <c r="Z1906" s="61"/>
      <c r="AA1906" s="61"/>
      <c r="AB1906" s="61"/>
      <c r="AC1906" s="61"/>
      <c r="AD1906" s="37"/>
      <c r="AE1906" s="62"/>
      <c r="AF1906" s="62"/>
      <c r="AG1906" s="62"/>
      <c r="AH1906" s="62"/>
      <c r="AI1906" s="37"/>
      <c r="AJ1906" s="61"/>
      <c r="AK1906" s="61"/>
      <c r="AL1906" s="61"/>
      <c r="AM1906" s="61"/>
      <c r="AN1906" s="37"/>
      <c r="AO1906" s="62"/>
      <c r="AP1906" s="62"/>
      <c r="AQ1906" s="62"/>
      <c r="AR1906" s="62"/>
    </row>
    <row r="1907" spans="25:44" x14ac:dyDescent="0.15">
      <c r="Y1907" s="8"/>
      <c r="Z1907" s="61"/>
      <c r="AA1907" s="61"/>
      <c r="AB1907" s="61"/>
      <c r="AC1907" s="61"/>
      <c r="AD1907" s="37"/>
      <c r="AE1907" s="62"/>
      <c r="AF1907" s="62"/>
      <c r="AG1907" s="62"/>
      <c r="AH1907" s="62"/>
      <c r="AI1907" s="37"/>
      <c r="AJ1907" s="61"/>
      <c r="AK1907" s="61"/>
      <c r="AL1907" s="61"/>
      <c r="AM1907" s="61"/>
      <c r="AN1907" s="37"/>
      <c r="AO1907" s="62"/>
      <c r="AP1907" s="62"/>
      <c r="AQ1907" s="62"/>
      <c r="AR1907" s="62"/>
    </row>
    <row r="1908" spans="25:44" x14ac:dyDescent="0.15">
      <c r="Y1908" s="8"/>
      <c r="Z1908" s="61"/>
      <c r="AA1908" s="61"/>
      <c r="AB1908" s="61"/>
      <c r="AC1908" s="61"/>
      <c r="AD1908" s="37"/>
      <c r="AE1908" s="62"/>
      <c r="AF1908" s="62"/>
      <c r="AG1908" s="62"/>
      <c r="AH1908" s="62"/>
      <c r="AI1908" s="37"/>
      <c r="AJ1908" s="61"/>
      <c r="AK1908" s="61"/>
      <c r="AL1908" s="61"/>
      <c r="AM1908" s="61"/>
      <c r="AN1908" s="37"/>
      <c r="AO1908" s="62"/>
      <c r="AP1908" s="62"/>
      <c r="AQ1908" s="62"/>
      <c r="AR1908" s="62"/>
    </row>
    <row r="1909" spans="25:44" x14ac:dyDescent="0.15">
      <c r="Y1909" s="8"/>
      <c r="Z1909" s="61"/>
      <c r="AA1909" s="61"/>
      <c r="AB1909" s="61"/>
      <c r="AC1909" s="61"/>
      <c r="AD1909" s="37"/>
      <c r="AE1909" s="62"/>
      <c r="AF1909" s="62"/>
      <c r="AG1909" s="62"/>
      <c r="AH1909" s="62"/>
      <c r="AI1909" s="37"/>
      <c r="AJ1909" s="61"/>
      <c r="AK1909" s="61"/>
      <c r="AL1909" s="61"/>
      <c r="AM1909" s="61"/>
      <c r="AN1909" s="37"/>
      <c r="AO1909" s="62"/>
      <c r="AP1909" s="62"/>
      <c r="AQ1909" s="62"/>
      <c r="AR1909" s="62"/>
    </row>
    <row r="1910" spans="25:44" x14ac:dyDescent="0.15">
      <c r="Y1910" s="8"/>
      <c r="Z1910" s="61"/>
      <c r="AA1910" s="61"/>
      <c r="AB1910" s="61"/>
      <c r="AC1910" s="61"/>
      <c r="AD1910" s="37"/>
      <c r="AE1910" s="62"/>
      <c r="AF1910" s="62"/>
      <c r="AG1910" s="62"/>
      <c r="AH1910" s="62"/>
      <c r="AI1910" s="37"/>
      <c r="AJ1910" s="61"/>
      <c r="AK1910" s="61"/>
      <c r="AL1910" s="61"/>
      <c r="AM1910" s="61"/>
      <c r="AN1910" s="37"/>
      <c r="AO1910" s="62"/>
      <c r="AP1910" s="62"/>
      <c r="AQ1910" s="62"/>
      <c r="AR1910" s="62"/>
    </row>
    <row r="1911" spans="25:44" x14ac:dyDescent="0.15">
      <c r="Y1911" s="8"/>
      <c r="Z1911" s="61"/>
      <c r="AA1911" s="61"/>
      <c r="AB1911" s="61"/>
      <c r="AC1911" s="61"/>
      <c r="AD1911" s="37"/>
      <c r="AE1911" s="62"/>
      <c r="AF1911" s="62"/>
      <c r="AG1911" s="62"/>
      <c r="AH1911" s="62"/>
      <c r="AI1911" s="37"/>
      <c r="AJ1911" s="61"/>
      <c r="AK1911" s="61"/>
      <c r="AL1911" s="61"/>
      <c r="AM1911" s="61"/>
      <c r="AN1911" s="37"/>
      <c r="AO1911" s="62"/>
      <c r="AP1911" s="62"/>
      <c r="AQ1911" s="62"/>
      <c r="AR1911" s="62"/>
    </row>
    <row r="1912" spans="25:44" x14ac:dyDescent="0.15">
      <c r="Y1912" s="8"/>
      <c r="Z1912" s="61"/>
      <c r="AA1912" s="61"/>
      <c r="AB1912" s="61"/>
      <c r="AC1912" s="61"/>
      <c r="AD1912" s="37"/>
      <c r="AE1912" s="62"/>
      <c r="AF1912" s="62"/>
      <c r="AG1912" s="62"/>
      <c r="AH1912" s="62"/>
      <c r="AI1912" s="37"/>
      <c r="AJ1912" s="61"/>
      <c r="AK1912" s="61"/>
      <c r="AL1912" s="61"/>
      <c r="AM1912" s="61"/>
      <c r="AN1912" s="37"/>
      <c r="AO1912" s="62"/>
      <c r="AP1912" s="62"/>
      <c r="AQ1912" s="62"/>
      <c r="AR1912" s="62"/>
    </row>
    <row r="1913" spans="25:44" x14ac:dyDescent="0.15">
      <c r="Y1913" s="8"/>
      <c r="Z1913" s="61"/>
      <c r="AA1913" s="61"/>
      <c r="AB1913" s="61"/>
      <c r="AC1913" s="61"/>
      <c r="AD1913" s="37"/>
      <c r="AE1913" s="62"/>
      <c r="AF1913" s="62"/>
      <c r="AG1913" s="62"/>
      <c r="AH1913" s="62"/>
      <c r="AI1913" s="37"/>
      <c r="AJ1913" s="61"/>
      <c r="AK1913" s="61"/>
      <c r="AL1913" s="61"/>
      <c r="AM1913" s="61"/>
      <c r="AN1913" s="37"/>
      <c r="AO1913" s="62"/>
      <c r="AP1913" s="62"/>
      <c r="AQ1913" s="62"/>
      <c r="AR1913" s="62"/>
    </row>
    <row r="1914" spans="25:44" x14ac:dyDescent="0.15">
      <c r="Y1914" s="8"/>
      <c r="Z1914" s="61"/>
      <c r="AA1914" s="61"/>
      <c r="AB1914" s="61"/>
      <c r="AC1914" s="61"/>
      <c r="AD1914" s="37"/>
      <c r="AE1914" s="62"/>
      <c r="AF1914" s="62"/>
      <c r="AG1914" s="62"/>
      <c r="AH1914" s="62"/>
      <c r="AI1914" s="37"/>
      <c r="AJ1914" s="61"/>
      <c r="AK1914" s="61"/>
      <c r="AL1914" s="61"/>
      <c r="AM1914" s="61"/>
      <c r="AN1914" s="37"/>
      <c r="AO1914" s="62"/>
      <c r="AP1914" s="62"/>
      <c r="AQ1914" s="62"/>
      <c r="AR1914" s="62"/>
    </row>
    <row r="1915" spans="25:44" x14ac:dyDescent="0.15">
      <c r="Y1915" s="8"/>
      <c r="Z1915" s="61"/>
      <c r="AA1915" s="61"/>
      <c r="AB1915" s="61"/>
      <c r="AC1915" s="61"/>
      <c r="AD1915" s="37"/>
      <c r="AE1915" s="62"/>
      <c r="AF1915" s="62"/>
      <c r="AG1915" s="62"/>
      <c r="AH1915" s="62"/>
      <c r="AI1915" s="37"/>
      <c r="AJ1915" s="61"/>
      <c r="AK1915" s="61"/>
      <c r="AL1915" s="61"/>
      <c r="AM1915" s="61"/>
      <c r="AN1915" s="37"/>
      <c r="AO1915" s="62"/>
      <c r="AP1915" s="62"/>
      <c r="AQ1915" s="62"/>
      <c r="AR1915" s="62"/>
    </row>
    <row r="1916" spans="25:44" x14ac:dyDescent="0.15">
      <c r="Y1916" s="8"/>
      <c r="Z1916" s="61"/>
      <c r="AA1916" s="61"/>
      <c r="AB1916" s="61"/>
      <c r="AC1916" s="61"/>
      <c r="AD1916" s="37"/>
      <c r="AE1916" s="62"/>
      <c r="AF1916" s="62"/>
      <c r="AG1916" s="62"/>
      <c r="AH1916" s="62"/>
      <c r="AI1916" s="37"/>
      <c r="AJ1916" s="61"/>
      <c r="AK1916" s="61"/>
      <c r="AL1916" s="61"/>
      <c r="AM1916" s="61"/>
      <c r="AN1916" s="37"/>
      <c r="AO1916" s="62"/>
      <c r="AP1916" s="62"/>
      <c r="AQ1916" s="62"/>
      <c r="AR1916" s="62"/>
    </row>
    <row r="1917" spans="25:44" x14ac:dyDescent="0.15">
      <c r="Y1917" s="8"/>
      <c r="Z1917" s="61"/>
      <c r="AA1917" s="61"/>
      <c r="AB1917" s="61"/>
      <c r="AC1917" s="61"/>
      <c r="AD1917" s="37"/>
      <c r="AE1917" s="62"/>
      <c r="AF1917" s="62"/>
      <c r="AG1917" s="62"/>
      <c r="AH1917" s="62"/>
      <c r="AI1917" s="37"/>
      <c r="AJ1917" s="61"/>
      <c r="AK1917" s="61"/>
      <c r="AL1917" s="61"/>
      <c r="AM1917" s="61"/>
      <c r="AN1917" s="37"/>
      <c r="AO1917" s="62"/>
      <c r="AP1917" s="62"/>
      <c r="AQ1917" s="62"/>
      <c r="AR1917" s="62"/>
    </row>
    <row r="1918" spans="25:44" x14ac:dyDescent="0.15">
      <c r="Y1918" s="8"/>
      <c r="Z1918" s="61"/>
      <c r="AA1918" s="61"/>
      <c r="AB1918" s="61"/>
      <c r="AC1918" s="61"/>
      <c r="AD1918" s="37"/>
      <c r="AE1918" s="62"/>
      <c r="AF1918" s="62"/>
      <c r="AG1918" s="62"/>
      <c r="AH1918" s="62"/>
      <c r="AI1918" s="37"/>
      <c r="AJ1918" s="61"/>
      <c r="AK1918" s="61"/>
      <c r="AL1918" s="61"/>
      <c r="AM1918" s="61"/>
      <c r="AN1918" s="37"/>
      <c r="AO1918" s="62"/>
      <c r="AP1918" s="62"/>
      <c r="AQ1918" s="62"/>
      <c r="AR1918" s="62"/>
    </row>
    <row r="1919" spans="25:44" x14ac:dyDescent="0.15">
      <c r="Y1919" s="8"/>
      <c r="Z1919" s="61"/>
      <c r="AA1919" s="61"/>
      <c r="AB1919" s="61"/>
      <c r="AC1919" s="61"/>
      <c r="AD1919" s="37"/>
      <c r="AE1919" s="62"/>
      <c r="AF1919" s="62"/>
      <c r="AG1919" s="62"/>
      <c r="AH1919" s="62"/>
      <c r="AI1919" s="37"/>
      <c r="AJ1919" s="61"/>
      <c r="AK1919" s="61"/>
      <c r="AL1919" s="61"/>
      <c r="AM1919" s="61"/>
      <c r="AN1919" s="37"/>
      <c r="AO1919" s="62"/>
      <c r="AP1919" s="62"/>
      <c r="AQ1919" s="62"/>
      <c r="AR1919" s="62"/>
    </row>
    <row r="1920" spans="25:44" x14ac:dyDescent="0.15">
      <c r="Y1920" s="8"/>
      <c r="Z1920" s="61"/>
      <c r="AA1920" s="61"/>
      <c r="AB1920" s="61"/>
      <c r="AC1920" s="61"/>
      <c r="AD1920" s="37"/>
      <c r="AE1920" s="62"/>
      <c r="AF1920" s="62"/>
      <c r="AG1920" s="62"/>
      <c r="AH1920" s="62"/>
      <c r="AI1920" s="37"/>
      <c r="AJ1920" s="61"/>
      <c r="AK1920" s="61"/>
      <c r="AL1920" s="61"/>
      <c r="AM1920" s="61"/>
      <c r="AN1920" s="37"/>
      <c r="AO1920" s="62"/>
      <c r="AP1920" s="62"/>
      <c r="AQ1920" s="62"/>
      <c r="AR1920" s="62"/>
    </row>
    <row r="1921" spans="25:44" x14ac:dyDescent="0.15">
      <c r="Y1921" s="8"/>
      <c r="Z1921" s="61"/>
      <c r="AA1921" s="61"/>
      <c r="AB1921" s="61"/>
      <c r="AC1921" s="61"/>
      <c r="AD1921" s="37"/>
      <c r="AE1921" s="62"/>
      <c r="AF1921" s="62"/>
      <c r="AG1921" s="62"/>
      <c r="AH1921" s="62"/>
      <c r="AI1921" s="37"/>
      <c r="AJ1921" s="61"/>
      <c r="AK1921" s="61"/>
      <c r="AL1921" s="61"/>
      <c r="AM1921" s="61"/>
      <c r="AN1921" s="37"/>
      <c r="AO1921" s="62"/>
      <c r="AP1921" s="62"/>
      <c r="AQ1921" s="62"/>
      <c r="AR1921" s="62"/>
    </row>
    <row r="1922" spans="25:44" x14ac:dyDescent="0.15">
      <c r="Y1922" s="8"/>
      <c r="Z1922" s="61"/>
      <c r="AA1922" s="61"/>
      <c r="AB1922" s="61"/>
      <c r="AC1922" s="61"/>
      <c r="AD1922" s="37"/>
      <c r="AE1922" s="62"/>
      <c r="AF1922" s="62"/>
      <c r="AG1922" s="62"/>
      <c r="AH1922" s="62"/>
      <c r="AI1922" s="37"/>
      <c r="AJ1922" s="61"/>
      <c r="AK1922" s="61"/>
      <c r="AL1922" s="61"/>
      <c r="AM1922" s="61"/>
      <c r="AN1922" s="37"/>
      <c r="AO1922" s="62"/>
      <c r="AP1922" s="62"/>
      <c r="AQ1922" s="62"/>
      <c r="AR1922" s="62"/>
    </row>
    <row r="1923" spans="25:44" x14ac:dyDescent="0.15">
      <c r="Y1923" s="8"/>
      <c r="Z1923" s="61"/>
      <c r="AA1923" s="61"/>
      <c r="AB1923" s="61"/>
      <c r="AC1923" s="61"/>
      <c r="AD1923" s="37"/>
      <c r="AE1923" s="62"/>
      <c r="AF1923" s="62"/>
      <c r="AG1923" s="62"/>
      <c r="AH1923" s="62"/>
      <c r="AI1923" s="37"/>
      <c r="AJ1923" s="61"/>
      <c r="AK1923" s="61"/>
      <c r="AL1923" s="61"/>
      <c r="AM1923" s="61"/>
      <c r="AN1923" s="37"/>
      <c r="AO1923" s="62"/>
      <c r="AP1923" s="62"/>
      <c r="AQ1923" s="62"/>
      <c r="AR1923" s="62"/>
    </row>
    <row r="1924" spans="25:44" x14ac:dyDescent="0.15">
      <c r="Y1924" s="8"/>
      <c r="Z1924" s="61"/>
      <c r="AA1924" s="61"/>
      <c r="AB1924" s="61"/>
      <c r="AC1924" s="61"/>
      <c r="AD1924" s="37"/>
      <c r="AE1924" s="62"/>
      <c r="AF1924" s="62"/>
      <c r="AG1924" s="62"/>
      <c r="AH1924" s="62"/>
      <c r="AI1924" s="37"/>
      <c r="AJ1924" s="61"/>
      <c r="AK1924" s="61"/>
      <c r="AL1924" s="61"/>
      <c r="AM1924" s="61"/>
      <c r="AN1924" s="37"/>
      <c r="AO1924" s="62"/>
      <c r="AP1924" s="62"/>
      <c r="AQ1924" s="62"/>
      <c r="AR1924" s="62"/>
    </row>
    <row r="1925" spans="25:44" x14ac:dyDescent="0.15">
      <c r="Y1925" s="8"/>
      <c r="Z1925" s="61"/>
      <c r="AA1925" s="61"/>
      <c r="AB1925" s="61"/>
      <c r="AC1925" s="61"/>
      <c r="AD1925" s="37"/>
      <c r="AE1925" s="62"/>
      <c r="AF1925" s="62"/>
      <c r="AG1925" s="62"/>
      <c r="AH1925" s="62"/>
      <c r="AI1925" s="37"/>
      <c r="AJ1925" s="61"/>
      <c r="AK1925" s="61"/>
      <c r="AL1925" s="61"/>
      <c r="AM1925" s="61"/>
      <c r="AN1925" s="37"/>
      <c r="AO1925" s="62"/>
      <c r="AP1925" s="62"/>
      <c r="AQ1925" s="62"/>
      <c r="AR1925" s="62"/>
    </row>
    <row r="1926" spans="25:44" x14ac:dyDescent="0.15">
      <c r="Y1926" s="8"/>
      <c r="Z1926" s="61"/>
      <c r="AA1926" s="61"/>
      <c r="AB1926" s="61"/>
      <c r="AC1926" s="61"/>
      <c r="AD1926" s="37"/>
      <c r="AE1926" s="62"/>
      <c r="AF1926" s="62"/>
      <c r="AG1926" s="62"/>
      <c r="AH1926" s="62"/>
      <c r="AI1926" s="37"/>
      <c r="AJ1926" s="61"/>
      <c r="AK1926" s="61"/>
      <c r="AL1926" s="61"/>
      <c r="AM1926" s="61"/>
      <c r="AN1926" s="37"/>
      <c r="AO1926" s="62"/>
      <c r="AP1926" s="62"/>
      <c r="AQ1926" s="62"/>
      <c r="AR1926" s="62"/>
    </row>
    <row r="1927" spans="25:44" x14ac:dyDescent="0.15">
      <c r="Y1927" s="8"/>
      <c r="Z1927" s="61"/>
      <c r="AA1927" s="61"/>
      <c r="AB1927" s="61"/>
      <c r="AC1927" s="61"/>
      <c r="AD1927" s="37"/>
      <c r="AE1927" s="62"/>
      <c r="AF1927" s="62"/>
      <c r="AG1927" s="62"/>
      <c r="AH1927" s="62"/>
      <c r="AI1927" s="37"/>
      <c r="AJ1927" s="61"/>
      <c r="AK1927" s="61"/>
      <c r="AL1927" s="61"/>
      <c r="AM1927" s="61"/>
      <c r="AN1927" s="37"/>
      <c r="AO1927" s="62"/>
      <c r="AP1927" s="62"/>
      <c r="AQ1927" s="62"/>
      <c r="AR1927" s="62"/>
    </row>
    <row r="1928" spans="25:44" x14ac:dyDescent="0.15">
      <c r="Y1928" s="8"/>
      <c r="Z1928" s="61"/>
      <c r="AA1928" s="61"/>
      <c r="AB1928" s="61"/>
      <c r="AC1928" s="61"/>
      <c r="AD1928" s="37"/>
      <c r="AE1928" s="62"/>
      <c r="AF1928" s="62"/>
      <c r="AG1928" s="62"/>
      <c r="AH1928" s="62"/>
      <c r="AI1928" s="37"/>
      <c r="AJ1928" s="61"/>
      <c r="AK1928" s="61"/>
      <c r="AL1928" s="61"/>
      <c r="AM1928" s="61"/>
      <c r="AN1928" s="37"/>
      <c r="AO1928" s="62"/>
      <c r="AP1928" s="62"/>
      <c r="AQ1928" s="62"/>
      <c r="AR1928" s="62"/>
    </row>
    <row r="1929" spans="25:44" x14ac:dyDescent="0.15">
      <c r="Y1929" s="8"/>
      <c r="Z1929" s="61"/>
      <c r="AA1929" s="61"/>
      <c r="AB1929" s="61"/>
      <c r="AC1929" s="61"/>
      <c r="AD1929" s="37"/>
      <c r="AE1929" s="62"/>
      <c r="AF1929" s="62"/>
      <c r="AG1929" s="62"/>
      <c r="AH1929" s="62"/>
      <c r="AI1929" s="37"/>
      <c r="AJ1929" s="61"/>
      <c r="AK1929" s="61"/>
      <c r="AL1929" s="61"/>
      <c r="AM1929" s="61"/>
      <c r="AN1929" s="37"/>
      <c r="AO1929" s="62"/>
      <c r="AP1929" s="62"/>
      <c r="AQ1929" s="62"/>
      <c r="AR1929" s="62"/>
    </row>
    <row r="1930" spans="25:44" x14ac:dyDescent="0.15">
      <c r="Y1930" s="8"/>
      <c r="Z1930" s="61"/>
      <c r="AA1930" s="61"/>
      <c r="AB1930" s="61"/>
      <c r="AC1930" s="61"/>
      <c r="AD1930" s="37"/>
      <c r="AE1930" s="62"/>
      <c r="AF1930" s="62"/>
      <c r="AG1930" s="62"/>
      <c r="AH1930" s="62"/>
      <c r="AI1930" s="37"/>
      <c r="AJ1930" s="61"/>
      <c r="AK1930" s="61"/>
      <c r="AL1930" s="61"/>
      <c r="AM1930" s="61"/>
      <c r="AN1930" s="37"/>
      <c r="AO1930" s="62"/>
      <c r="AP1930" s="62"/>
      <c r="AQ1930" s="62"/>
      <c r="AR1930" s="62"/>
    </row>
    <row r="1931" spans="25:44" x14ac:dyDescent="0.15">
      <c r="Y1931" s="8"/>
      <c r="Z1931" s="61"/>
      <c r="AA1931" s="61"/>
      <c r="AB1931" s="61"/>
      <c r="AC1931" s="61"/>
      <c r="AD1931" s="37"/>
      <c r="AE1931" s="62"/>
      <c r="AF1931" s="62"/>
      <c r="AG1931" s="62"/>
      <c r="AH1931" s="62"/>
      <c r="AI1931" s="37"/>
      <c r="AJ1931" s="61"/>
      <c r="AK1931" s="61"/>
      <c r="AL1931" s="61"/>
      <c r="AM1931" s="61"/>
      <c r="AN1931" s="37"/>
      <c r="AO1931" s="62"/>
      <c r="AP1931" s="62"/>
      <c r="AQ1931" s="62"/>
      <c r="AR1931" s="62"/>
    </row>
    <row r="1932" spans="25:44" x14ac:dyDescent="0.15">
      <c r="Y1932" s="8"/>
      <c r="Z1932" s="61"/>
      <c r="AA1932" s="61"/>
      <c r="AB1932" s="61"/>
      <c r="AC1932" s="61"/>
      <c r="AD1932" s="37"/>
      <c r="AE1932" s="62"/>
      <c r="AF1932" s="62"/>
      <c r="AG1932" s="62"/>
      <c r="AH1932" s="62"/>
      <c r="AI1932" s="37"/>
      <c r="AJ1932" s="61"/>
      <c r="AK1932" s="61"/>
      <c r="AL1932" s="61"/>
      <c r="AM1932" s="61"/>
      <c r="AN1932" s="37"/>
      <c r="AO1932" s="62"/>
      <c r="AP1932" s="62"/>
      <c r="AQ1932" s="62"/>
      <c r="AR1932" s="62"/>
    </row>
    <row r="1933" spans="25:44" x14ac:dyDescent="0.15">
      <c r="Y1933" s="8"/>
      <c r="Z1933" s="61"/>
      <c r="AA1933" s="61"/>
      <c r="AB1933" s="61"/>
      <c r="AC1933" s="61"/>
      <c r="AD1933" s="37"/>
      <c r="AE1933" s="62"/>
      <c r="AF1933" s="62"/>
      <c r="AG1933" s="62"/>
      <c r="AH1933" s="62"/>
      <c r="AI1933" s="37"/>
      <c r="AJ1933" s="61"/>
      <c r="AK1933" s="61"/>
      <c r="AL1933" s="61"/>
      <c r="AM1933" s="61"/>
      <c r="AN1933" s="37"/>
      <c r="AO1933" s="62"/>
      <c r="AP1933" s="62"/>
      <c r="AQ1933" s="62"/>
      <c r="AR1933" s="62"/>
    </row>
    <row r="1934" spans="25:44" x14ac:dyDescent="0.15">
      <c r="Y1934" s="8"/>
      <c r="Z1934" s="61"/>
      <c r="AA1934" s="61"/>
      <c r="AB1934" s="61"/>
      <c r="AC1934" s="61"/>
      <c r="AD1934" s="37"/>
      <c r="AE1934" s="62"/>
      <c r="AF1934" s="62"/>
      <c r="AG1934" s="62"/>
      <c r="AH1934" s="62"/>
      <c r="AI1934" s="37"/>
      <c r="AJ1934" s="61"/>
      <c r="AK1934" s="61"/>
      <c r="AL1934" s="61"/>
      <c r="AM1934" s="61"/>
      <c r="AN1934" s="37"/>
      <c r="AO1934" s="62"/>
      <c r="AP1934" s="62"/>
      <c r="AQ1934" s="62"/>
      <c r="AR1934" s="62"/>
    </row>
    <row r="1935" spans="25:44" x14ac:dyDescent="0.15">
      <c r="Y1935" s="8"/>
      <c r="Z1935" s="61"/>
      <c r="AA1935" s="61"/>
      <c r="AB1935" s="61"/>
      <c r="AC1935" s="61"/>
      <c r="AD1935" s="37"/>
      <c r="AE1935" s="62"/>
      <c r="AF1935" s="62"/>
      <c r="AG1935" s="62"/>
      <c r="AH1935" s="62"/>
      <c r="AI1935" s="37"/>
      <c r="AJ1935" s="61"/>
      <c r="AK1935" s="61"/>
      <c r="AL1935" s="61"/>
      <c r="AM1935" s="61"/>
      <c r="AN1935" s="37"/>
      <c r="AO1935" s="62"/>
      <c r="AP1935" s="62"/>
      <c r="AQ1935" s="62"/>
      <c r="AR1935" s="62"/>
    </row>
    <row r="1936" spans="25:44" x14ac:dyDescent="0.15">
      <c r="Y1936" s="8"/>
      <c r="Z1936" s="61"/>
      <c r="AA1936" s="61"/>
      <c r="AB1936" s="61"/>
      <c r="AC1936" s="61"/>
      <c r="AD1936" s="37"/>
      <c r="AE1936" s="62"/>
      <c r="AF1936" s="62"/>
      <c r="AG1936" s="62"/>
      <c r="AH1936" s="62"/>
      <c r="AI1936" s="37"/>
      <c r="AJ1936" s="61"/>
      <c r="AK1936" s="61"/>
      <c r="AL1936" s="61"/>
      <c r="AM1936" s="61"/>
      <c r="AN1936" s="37"/>
      <c r="AO1936" s="62"/>
      <c r="AP1936" s="62"/>
      <c r="AQ1936" s="62"/>
      <c r="AR1936" s="62"/>
    </row>
    <row r="1937" spans="25:44" x14ac:dyDescent="0.15">
      <c r="Y1937" s="8"/>
      <c r="Z1937" s="61"/>
      <c r="AA1937" s="61"/>
      <c r="AB1937" s="61"/>
      <c r="AC1937" s="61"/>
      <c r="AD1937" s="37"/>
      <c r="AE1937" s="62"/>
      <c r="AF1937" s="62"/>
      <c r="AG1937" s="62"/>
      <c r="AH1937" s="62"/>
      <c r="AI1937" s="37"/>
      <c r="AJ1937" s="61"/>
      <c r="AK1937" s="61"/>
      <c r="AL1937" s="61"/>
      <c r="AM1937" s="61"/>
      <c r="AN1937" s="37"/>
      <c r="AO1937" s="62"/>
      <c r="AP1937" s="62"/>
      <c r="AQ1937" s="62"/>
      <c r="AR1937" s="62"/>
    </row>
    <row r="1938" spans="25:44" x14ac:dyDescent="0.15">
      <c r="Y1938" s="8"/>
      <c r="Z1938" s="61"/>
      <c r="AA1938" s="61"/>
      <c r="AB1938" s="61"/>
      <c r="AC1938" s="61"/>
      <c r="AD1938" s="37"/>
      <c r="AE1938" s="62"/>
      <c r="AF1938" s="62"/>
      <c r="AG1938" s="62"/>
      <c r="AH1938" s="62"/>
      <c r="AI1938" s="37"/>
      <c r="AJ1938" s="61"/>
      <c r="AK1938" s="61"/>
      <c r="AL1938" s="61"/>
      <c r="AM1938" s="61"/>
      <c r="AN1938" s="37"/>
      <c r="AO1938" s="62"/>
      <c r="AP1938" s="62"/>
      <c r="AQ1938" s="62"/>
      <c r="AR1938" s="62"/>
    </row>
    <row r="1939" spans="25:44" x14ac:dyDescent="0.15">
      <c r="Y1939" s="8"/>
      <c r="Z1939" s="61"/>
      <c r="AA1939" s="61"/>
      <c r="AB1939" s="61"/>
      <c r="AC1939" s="61"/>
      <c r="AD1939" s="37"/>
      <c r="AE1939" s="62"/>
      <c r="AF1939" s="62"/>
      <c r="AG1939" s="62"/>
      <c r="AH1939" s="62"/>
      <c r="AI1939" s="37"/>
      <c r="AJ1939" s="61"/>
      <c r="AK1939" s="61"/>
      <c r="AL1939" s="61"/>
      <c r="AM1939" s="61"/>
      <c r="AN1939" s="37"/>
      <c r="AO1939" s="62"/>
      <c r="AP1939" s="62"/>
      <c r="AQ1939" s="62"/>
      <c r="AR1939" s="62"/>
    </row>
    <row r="1940" spans="25:44" x14ac:dyDescent="0.15">
      <c r="Y1940" s="8"/>
      <c r="Z1940" s="61"/>
      <c r="AA1940" s="61"/>
      <c r="AB1940" s="61"/>
      <c r="AC1940" s="61"/>
      <c r="AD1940" s="37"/>
      <c r="AE1940" s="62"/>
      <c r="AF1940" s="62"/>
      <c r="AG1940" s="62"/>
      <c r="AH1940" s="62"/>
      <c r="AI1940" s="37"/>
      <c r="AJ1940" s="61"/>
      <c r="AK1940" s="61"/>
      <c r="AL1940" s="61"/>
      <c r="AM1940" s="61"/>
      <c r="AN1940" s="37"/>
      <c r="AO1940" s="62"/>
      <c r="AP1940" s="62"/>
      <c r="AQ1940" s="62"/>
      <c r="AR1940" s="62"/>
    </row>
    <row r="1941" spans="25:44" x14ac:dyDescent="0.15">
      <c r="Y1941" s="8"/>
      <c r="Z1941" s="61"/>
      <c r="AA1941" s="61"/>
      <c r="AB1941" s="61"/>
      <c r="AC1941" s="61"/>
      <c r="AD1941" s="37"/>
      <c r="AE1941" s="62"/>
      <c r="AF1941" s="62"/>
      <c r="AG1941" s="62"/>
      <c r="AH1941" s="62"/>
      <c r="AI1941" s="37"/>
      <c r="AJ1941" s="61"/>
      <c r="AK1941" s="61"/>
      <c r="AL1941" s="61"/>
      <c r="AM1941" s="61"/>
      <c r="AN1941" s="37"/>
      <c r="AO1941" s="62"/>
      <c r="AP1941" s="62"/>
      <c r="AQ1941" s="62"/>
      <c r="AR1941" s="62"/>
    </row>
    <row r="1942" spans="25:44" x14ac:dyDescent="0.15">
      <c r="Y1942" s="8"/>
      <c r="Z1942" s="61"/>
      <c r="AA1942" s="61"/>
      <c r="AB1942" s="61"/>
      <c r="AC1942" s="61"/>
      <c r="AD1942" s="37"/>
      <c r="AE1942" s="62"/>
      <c r="AF1942" s="62"/>
      <c r="AG1942" s="62"/>
      <c r="AH1942" s="62"/>
      <c r="AI1942" s="37"/>
      <c r="AJ1942" s="61"/>
      <c r="AK1942" s="61"/>
      <c r="AL1942" s="61"/>
      <c r="AM1942" s="61"/>
      <c r="AN1942" s="37"/>
      <c r="AO1942" s="62"/>
      <c r="AP1942" s="62"/>
      <c r="AQ1942" s="62"/>
      <c r="AR1942" s="62"/>
    </row>
    <row r="1943" spans="25:44" x14ac:dyDescent="0.15">
      <c r="Y1943" s="8"/>
      <c r="Z1943" s="61"/>
      <c r="AA1943" s="61"/>
      <c r="AB1943" s="61"/>
      <c r="AC1943" s="61"/>
      <c r="AD1943" s="37"/>
      <c r="AE1943" s="62"/>
      <c r="AF1943" s="62"/>
      <c r="AG1943" s="62"/>
      <c r="AH1943" s="62"/>
      <c r="AI1943" s="37"/>
      <c r="AJ1943" s="61"/>
      <c r="AK1943" s="61"/>
      <c r="AL1943" s="61"/>
      <c r="AM1943" s="61"/>
      <c r="AN1943" s="37"/>
      <c r="AO1943" s="62"/>
      <c r="AP1943" s="62"/>
      <c r="AQ1943" s="62"/>
      <c r="AR1943" s="62"/>
    </row>
    <row r="1944" spans="25:44" x14ac:dyDescent="0.15">
      <c r="Y1944" s="8"/>
      <c r="Z1944" s="61"/>
      <c r="AA1944" s="61"/>
      <c r="AB1944" s="61"/>
      <c r="AC1944" s="61"/>
      <c r="AD1944" s="37"/>
      <c r="AE1944" s="62"/>
      <c r="AF1944" s="62"/>
      <c r="AG1944" s="62"/>
      <c r="AH1944" s="62"/>
      <c r="AI1944" s="37"/>
      <c r="AJ1944" s="61"/>
      <c r="AK1944" s="61"/>
      <c r="AL1944" s="61"/>
      <c r="AM1944" s="61"/>
      <c r="AN1944" s="37"/>
      <c r="AO1944" s="62"/>
      <c r="AP1944" s="62"/>
      <c r="AQ1944" s="62"/>
      <c r="AR1944" s="62"/>
    </row>
    <row r="1945" spans="25:44" x14ac:dyDescent="0.15">
      <c r="Y1945" s="8"/>
      <c r="Z1945" s="61"/>
      <c r="AA1945" s="61"/>
      <c r="AB1945" s="61"/>
      <c r="AC1945" s="61"/>
      <c r="AD1945" s="37"/>
      <c r="AE1945" s="62"/>
      <c r="AF1945" s="62"/>
      <c r="AG1945" s="62"/>
      <c r="AH1945" s="62"/>
      <c r="AI1945" s="37"/>
      <c r="AJ1945" s="61"/>
      <c r="AK1945" s="61"/>
      <c r="AL1945" s="61"/>
      <c r="AM1945" s="61"/>
      <c r="AN1945" s="37"/>
      <c r="AO1945" s="62"/>
      <c r="AP1945" s="62"/>
      <c r="AQ1945" s="62"/>
      <c r="AR1945" s="62"/>
    </row>
    <row r="1946" spans="25:44" x14ac:dyDescent="0.15">
      <c r="Y1946" s="8"/>
      <c r="Z1946" s="61"/>
      <c r="AA1946" s="61"/>
      <c r="AB1946" s="61"/>
      <c r="AC1946" s="61"/>
      <c r="AD1946" s="37"/>
      <c r="AE1946" s="62"/>
      <c r="AF1946" s="62"/>
      <c r="AG1946" s="62"/>
      <c r="AH1946" s="62"/>
      <c r="AI1946" s="37"/>
      <c r="AJ1946" s="61"/>
      <c r="AK1946" s="61"/>
      <c r="AL1946" s="61"/>
      <c r="AM1946" s="61"/>
      <c r="AN1946" s="37"/>
      <c r="AO1946" s="62"/>
      <c r="AP1946" s="62"/>
      <c r="AQ1946" s="62"/>
      <c r="AR1946" s="62"/>
    </row>
    <row r="1947" spans="25:44" x14ac:dyDescent="0.15">
      <c r="Y1947" s="8"/>
      <c r="Z1947" s="61"/>
      <c r="AA1947" s="61"/>
      <c r="AB1947" s="61"/>
      <c r="AC1947" s="61"/>
      <c r="AD1947" s="37"/>
      <c r="AE1947" s="62"/>
      <c r="AF1947" s="62"/>
      <c r="AG1947" s="62"/>
      <c r="AH1947" s="62"/>
      <c r="AI1947" s="37"/>
      <c r="AJ1947" s="61"/>
      <c r="AK1947" s="61"/>
      <c r="AL1947" s="61"/>
      <c r="AM1947" s="61"/>
      <c r="AN1947" s="37"/>
      <c r="AO1947" s="62"/>
      <c r="AP1947" s="62"/>
      <c r="AQ1947" s="62"/>
      <c r="AR1947" s="62"/>
    </row>
    <row r="1948" spans="25:44" x14ac:dyDescent="0.15">
      <c r="Y1948" s="8"/>
      <c r="Z1948" s="61"/>
      <c r="AA1948" s="61"/>
      <c r="AB1948" s="61"/>
      <c r="AC1948" s="61"/>
      <c r="AD1948" s="37"/>
      <c r="AE1948" s="62"/>
      <c r="AF1948" s="62"/>
      <c r="AG1948" s="62"/>
      <c r="AH1948" s="62"/>
      <c r="AI1948" s="37"/>
      <c r="AJ1948" s="61"/>
      <c r="AK1948" s="61"/>
      <c r="AL1948" s="61"/>
      <c r="AM1948" s="61"/>
      <c r="AN1948" s="37"/>
      <c r="AO1948" s="62"/>
      <c r="AP1948" s="62"/>
      <c r="AQ1948" s="62"/>
      <c r="AR1948" s="62"/>
    </row>
    <row r="1949" spans="25:44" x14ac:dyDescent="0.15">
      <c r="Y1949" s="8"/>
      <c r="Z1949" s="61"/>
      <c r="AA1949" s="61"/>
      <c r="AB1949" s="61"/>
      <c r="AC1949" s="61"/>
      <c r="AD1949" s="37"/>
      <c r="AE1949" s="62"/>
      <c r="AF1949" s="62"/>
      <c r="AG1949" s="62"/>
      <c r="AH1949" s="62"/>
      <c r="AI1949" s="37"/>
      <c r="AJ1949" s="61"/>
      <c r="AK1949" s="61"/>
      <c r="AL1949" s="61"/>
      <c r="AM1949" s="61"/>
      <c r="AN1949" s="37"/>
      <c r="AO1949" s="62"/>
      <c r="AP1949" s="62"/>
      <c r="AQ1949" s="62"/>
      <c r="AR1949" s="62"/>
    </row>
    <row r="1950" spans="25:44" x14ac:dyDescent="0.15">
      <c r="Y1950" s="8"/>
      <c r="Z1950" s="61"/>
      <c r="AA1950" s="61"/>
      <c r="AB1950" s="61"/>
      <c r="AC1950" s="61"/>
      <c r="AD1950" s="37"/>
      <c r="AE1950" s="62"/>
      <c r="AF1950" s="62"/>
      <c r="AG1950" s="62"/>
      <c r="AH1950" s="62"/>
      <c r="AI1950" s="37"/>
      <c r="AJ1950" s="61"/>
      <c r="AK1950" s="61"/>
      <c r="AL1950" s="61"/>
      <c r="AM1950" s="61"/>
      <c r="AN1950" s="37"/>
      <c r="AO1950" s="62"/>
      <c r="AP1950" s="62"/>
      <c r="AQ1950" s="62"/>
      <c r="AR1950" s="62"/>
    </row>
    <row r="1951" spans="25:44" x14ac:dyDescent="0.15">
      <c r="Y1951" s="8"/>
      <c r="Z1951" s="61"/>
      <c r="AA1951" s="61"/>
      <c r="AB1951" s="61"/>
      <c r="AC1951" s="61"/>
      <c r="AD1951" s="37"/>
      <c r="AE1951" s="62"/>
      <c r="AF1951" s="62"/>
      <c r="AG1951" s="62"/>
      <c r="AH1951" s="62"/>
      <c r="AI1951" s="37"/>
      <c r="AJ1951" s="61"/>
      <c r="AK1951" s="61"/>
      <c r="AL1951" s="61"/>
      <c r="AM1951" s="61"/>
      <c r="AN1951" s="37"/>
      <c r="AO1951" s="62"/>
      <c r="AP1951" s="62"/>
      <c r="AQ1951" s="62"/>
      <c r="AR1951" s="62"/>
    </row>
    <row r="1952" spans="25:44" x14ac:dyDescent="0.15">
      <c r="Y1952" s="8"/>
      <c r="Z1952" s="61"/>
      <c r="AA1952" s="61"/>
      <c r="AB1952" s="61"/>
      <c r="AC1952" s="61"/>
      <c r="AD1952" s="37"/>
      <c r="AE1952" s="62"/>
      <c r="AF1952" s="62"/>
      <c r="AG1952" s="62"/>
      <c r="AH1952" s="62"/>
      <c r="AI1952" s="37"/>
      <c r="AJ1952" s="61"/>
      <c r="AK1952" s="61"/>
      <c r="AL1952" s="61"/>
      <c r="AM1952" s="61"/>
      <c r="AN1952" s="37"/>
      <c r="AO1952" s="62"/>
      <c r="AP1952" s="62"/>
      <c r="AQ1952" s="62"/>
      <c r="AR1952" s="62"/>
    </row>
    <row r="1953" spans="25:44" x14ac:dyDescent="0.15">
      <c r="Y1953" s="8"/>
      <c r="Z1953" s="61"/>
      <c r="AA1953" s="61"/>
      <c r="AB1953" s="61"/>
      <c r="AC1953" s="61"/>
      <c r="AD1953" s="37"/>
      <c r="AE1953" s="62"/>
      <c r="AF1953" s="62"/>
      <c r="AG1953" s="62"/>
      <c r="AH1953" s="62"/>
      <c r="AI1953" s="37"/>
      <c r="AJ1953" s="61"/>
      <c r="AK1953" s="61"/>
      <c r="AL1953" s="61"/>
      <c r="AM1953" s="61"/>
      <c r="AN1953" s="37"/>
      <c r="AO1953" s="62"/>
      <c r="AP1953" s="62"/>
      <c r="AQ1953" s="62"/>
      <c r="AR1953" s="62"/>
    </row>
    <row r="1954" spans="25:44" x14ac:dyDescent="0.15">
      <c r="Y1954" s="8"/>
      <c r="Z1954" s="61"/>
      <c r="AA1954" s="61"/>
      <c r="AB1954" s="61"/>
      <c r="AC1954" s="61"/>
      <c r="AD1954" s="37"/>
      <c r="AE1954" s="62"/>
      <c r="AF1954" s="62"/>
      <c r="AG1954" s="62"/>
      <c r="AH1954" s="62"/>
      <c r="AI1954" s="37"/>
      <c r="AJ1954" s="61"/>
      <c r="AK1954" s="61"/>
      <c r="AL1954" s="61"/>
      <c r="AM1954" s="61"/>
      <c r="AN1954" s="37"/>
      <c r="AO1954" s="62"/>
      <c r="AP1954" s="62"/>
      <c r="AQ1954" s="62"/>
      <c r="AR1954" s="62"/>
    </row>
    <row r="1955" spans="25:44" x14ac:dyDescent="0.15">
      <c r="Y1955" s="8"/>
      <c r="Z1955" s="61"/>
      <c r="AA1955" s="61"/>
      <c r="AB1955" s="61"/>
      <c r="AC1955" s="61"/>
      <c r="AD1955" s="37"/>
      <c r="AE1955" s="62"/>
      <c r="AF1955" s="62"/>
      <c r="AG1955" s="62"/>
      <c r="AH1955" s="62"/>
      <c r="AI1955" s="37"/>
      <c r="AJ1955" s="61"/>
      <c r="AK1955" s="61"/>
      <c r="AL1955" s="61"/>
      <c r="AM1955" s="61"/>
      <c r="AN1955" s="37"/>
      <c r="AO1955" s="62"/>
      <c r="AP1955" s="62"/>
      <c r="AQ1955" s="62"/>
      <c r="AR1955" s="62"/>
    </row>
    <row r="1956" spans="25:44" x14ac:dyDescent="0.15">
      <c r="Y1956" s="8"/>
      <c r="Z1956" s="61"/>
      <c r="AA1956" s="61"/>
      <c r="AB1956" s="61"/>
      <c r="AC1956" s="61"/>
      <c r="AD1956" s="37"/>
      <c r="AE1956" s="62"/>
      <c r="AF1956" s="62"/>
      <c r="AG1956" s="62"/>
      <c r="AH1956" s="62"/>
      <c r="AI1956" s="37"/>
      <c r="AJ1956" s="61"/>
      <c r="AK1956" s="61"/>
      <c r="AL1956" s="61"/>
      <c r="AM1956" s="61"/>
      <c r="AN1956" s="37"/>
      <c r="AO1956" s="62"/>
      <c r="AP1956" s="62"/>
      <c r="AQ1956" s="62"/>
      <c r="AR1956" s="62"/>
    </row>
    <row r="1957" spans="25:44" x14ac:dyDescent="0.15">
      <c r="Y1957" s="8"/>
      <c r="Z1957" s="61"/>
      <c r="AA1957" s="61"/>
      <c r="AB1957" s="61"/>
      <c r="AC1957" s="61"/>
      <c r="AD1957" s="37"/>
      <c r="AE1957" s="62"/>
      <c r="AF1957" s="62"/>
      <c r="AG1957" s="62"/>
      <c r="AH1957" s="62"/>
      <c r="AI1957" s="37"/>
      <c r="AJ1957" s="61"/>
      <c r="AK1957" s="61"/>
      <c r="AL1957" s="61"/>
      <c r="AM1957" s="61"/>
      <c r="AN1957" s="37"/>
      <c r="AO1957" s="62"/>
      <c r="AP1957" s="62"/>
      <c r="AQ1957" s="62"/>
      <c r="AR1957" s="62"/>
    </row>
    <row r="1958" spans="25:44" x14ac:dyDescent="0.15">
      <c r="Y1958" s="8"/>
      <c r="Z1958" s="61"/>
      <c r="AA1958" s="61"/>
      <c r="AB1958" s="61"/>
      <c r="AC1958" s="61"/>
      <c r="AD1958" s="37"/>
      <c r="AE1958" s="62"/>
      <c r="AF1958" s="62"/>
      <c r="AG1958" s="62"/>
      <c r="AH1958" s="62"/>
      <c r="AI1958" s="37"/>
      <c r="AJ1958" s="61"/>
      <c r="AK1958" s="61"/>
      <c r="AL1958" s="61"/>
      <c r="AM1958" s="61"/>
      <c r="AN1958" s="37"/>
      <c r="AO1958" s="62"/>
      <c r="AP1958" s="62"/>
      <c r="AQ1958" s="62"/>
      <c r="AR1958" s="62"/>
    </row>
    <row r="1959" spans="25:44" x14ac:dyDescent="0.15">
      <c r="Y1959" s="8"/>
      <c r="Z1959" s="61"/>
      <c r="AA1959" s="61"/>
      <c r="AB1959" s="61"/>
      <c r="AC1959" s="61"/>
      <c r="AD1959" s="37"/>
      <c r="AE1959" s="62"/>
      <c r="AF1959" s="62"/>
      <c r="AG1959" s="62"/>
      <c r="AH1959" s="62"/>
      <c r="AI1959" s="37"/>
      <c r="AJ1959" s="61"/>
      <c r="AK1959" s="61"/>
      <c r="AL1959" s="61"/>
      <c r="AM1959" s="61"/>
      <c r="AN1959" s="37"/>
      <c r="AO1959" s="62"/>
      <c r="AP1959" s="62"/>
      <c r="AQ1959" s="62"/>
      <c r="AR1959" s="62"/>
    </row>
    <row r="1960" spans="25:44" x14ac:dyDescent="0.15">
      <c r="Y1960" s="8"/>
      <c r="Z1960" s="61"/>
      <c r="AA1960" s="61"/>
      <c r="AB1960" s="61"/>
      <c r="AC1960" s="61"/>
      <c r="AD1960" s="37"/>
      <c r="AE1960" s="62"/>
      <c r="AF1960" s="62"/>
      <c r="AG1960" s="62"/>
      <c r="AH1960" s="62"/>
      <c r="AI1960" s="37"/>
      <c r="AJ1960" s="61"/>
      <c r="AK1960" s="61"/>
      <c r="AL1960" s="61"/>
      <c r="AM1960" s="61"/>
      <c r="AN1960" s="37"/>
      <c r="AO1960" s="62"/>
      <c r="AP1960" s="62"/>
      <c r="AQ1960" s="62"/>
      <c r="AR1960" s="62"/>
    </row>
    <row r="1961" spans="25:44" x14ac:dyDescent="0.15">
      <c r="Y1961" s="8"/>
      <c r="Z1961" s="61"/>
      <c r="AA1961" s="61"/>
      <c r="AB1961" s="61"/>
      <c r="AC1961" s="61"/>
      <c r="AD1961" s="37"/>
      <c r="AE1961" s="62"/>
      <c r="AF1961" s="62"/>
      <c r="AG1961" s="62"/>
      <c r="AH1961" s="62"/>
      <c r="AI1961" s="37"/>
      <c r="AJ1961" s="61"/>
      <c r="AK1961" s="61"/>
      <c r="AL1961" s="61"/>
      <c r="AM1961" s="61"/>
      <c r="AN1961" s="37"/>
      <c r="AO1961" s="62"/>
      <c r="AP1961" s="62"/>
      <c r="AQ1961" s="62"/>
      <c r="AR1961" s="62"/>
    </row>
    <row r="1962" spans="25:44" x14ac:dyDescent="0.15">
      <c r="Y1962" s="8"/>
      <c r="Z1962" s="61"/>
      <c r="AA1962" s="61"/>
      <c r="AB1962" s="61"/>
      <c r="AC1962" s="61"/>
      <c r="AD1962" s="37"/>
      <c r="AE1962" s="62"/>
      <c r="AF1962" s="62"/>
      <c r="AG1962" s="62"/>
      <c r="AH1962" s="62"/>
      <c r="AI1962" s="37"/>
      <c r="AJ1962" s="61"/>
      <c r="AK1962" s="61"/>
      <c r="AL1962" s="61"/>
      <c r="AM1962" s="61"/>
      <c r="AN1962" s="37"/>
      <c r="AO1962" s="62"/>
      <c r="AP1962" s="62"/>
      <c r="AQ1962" s="62"/>
      <c r="AR1962" s="62"/>
    </row>
    <row r="1963" spans="25:44" x14ac:dyDescent="0.15">
      <c r="Y1963" s="8"/>
      <c r="Z1963" s="61"/>
      <c r="AA1963" s="61"/>
      <c r="AB1963" s="61"/>
      <c r="AC1963" s="61"/>
      <c r="AD1963" s="37"/>
      <c r="AE1963" s="62"/>
      <c r="AF1963" s="62"/>
      <c r="AG1963" s="62"/>
      <c r="AH1963" s="62"/>
      <c r="AI1963" s="37"/>
      <c r="AJ1963" s="61"/>
      <c r="AK1963" s="61"/>
      <c r="AL1963" s="61"/>
      <c r="AM1963" s="61"/>
      <c r="AN1963" s="37"/>
      <c r="AO1963" s="62"/>
      <c r="AP1963" s="62"/>
      <c r="AQ1963" s="62"/>
      <c r="AR1963" s="62"/>
    </row>
    <row r="1964" spans="25:44" x14ac:dyDescent="0.15">
      <c r="Y1964" s="8"/>
      <c r="Z1964" s="61"/>
      <c r="AA1964" s="61"/>
      <c r="AB1964" s="61"/>
      <c r="AC1964" s="61"/>
      <c r="AD1964" s="37"/>
      <c r="AE1964" s="62"/>
      <c r="AF1964" s="62"/>
      <c r="AG1964" s="62"/>
      <c r="AH1964" s="62"/>
      <c r="AI1964" s="37"/>
      <c r="AJ1964" s="61"/>
      <c r="AK1964" s="61"/>
      <c r="AL1964" s="61"/>
      <c r="AM1964" s="61"/>
      <c r="AN1964" s="37"/>
      <c r="AO1964" s="62"/>
      <c r="AP1964" s="62"/>
      <c r="AQ1964" s="62"/>
      <c r="AR1964" s="62"/>
    </row>
    <row r="1965" spans="25:44" x14ac:dyDescent="0.15">
      <c r="Y1965" s="8"/>
      <c r="Z1965" s="61"/>
      <c r="AA1965" s="61"/>
      <c r="AB1965" s="61"/>
      <c r="AC1965" s="61"/>
      <c r="AD1965" s="37"/>
      <c r="AE1965" s="62"/>
      <c r="AF1965" s="62"/>
      <c r="AG1965" s="62"/>
      <c r="AH1965" s="62"/>
      <c r="AI1965" s="37"/>
      <c r="AJ1965" s="61"/>
      <c r="AK1965" s="61"/>
      <c r="AL1965" s="61"/>
      <c r="AM1965" s="61"/>
      <c r="AN1965" s="37"/>
      <c r="AO1965" s="62"/>
      <c r="AP1965" s="62"/>
      <c r="AQ1965" s="62"/>
      <c r="AR1965" s="62"/>
    </row>
    <row r="1966" spans="25:44" x14ac:dyDescent="0.15">
      <c r="Y1966" s="8"/>
      <c r="Z1966" s="61"/>
      <c r="AA1966" s="61"/>
      <c r="AB1966" s="61"/>
      <c r="AC1966" s="61"/>
      <c r="AD1966" s="37"/>
      <c r="AE1966" s="62"/>
      <c r="AF1966" s="62"/>
      <c r="AG1966" s="62"/>
      <c r="AH1966" s="62"/>
      <c r="AI1966" s="37"/>
      <c r="AJ1966" s="61"/>
      <c r="AK1966" s="61"/>
      <c r="AL1966" s="61"/>
      <c r="AM1966" s="61"/>
      <c r="AN1966" s="37"/>
      <c r="AO1966" s="62"/>
      <c r="AP1966" s="62"/>
      <c r="AQ1966" s="62"/>
      <c r="AR1966" s="62"/>
    </row>
    <row r="1967" spans="25:44" x14ac:dyDescent="0.15">
      <c r="Y1967" s="8"/>
      <c r="Z1967" s="61"/>
      <c r="AA1967" s="61"/>
      <c r="AB1967" s="61"/>
      <c r="AC1967" s="61"/>
      <c r="AD1967" s="37"/>
      <c r="AE1967" s="62"/>
      <c r="AF1967" s="62"/>
      <c r="AG1967" s="62"/>
      <c r="AH1967" s="62"/>
      <c r="AI1967" s="37"/>
      <c r="AJ1967" s="61"/>
      <c r="AK1967" s="61"/>
      <c r="AL1967" s="61"/>
      <c r="AM1967" s="61"/>
      <c r="AN1967" s="37"/>
      <c r="AO1967" s="62"/>
      <c r="AP1967" s="62"/>
      <c r="AQ1967" s="62"/>
      <c r="AR1967" s="62"/>
    </row>
    <row r="1968" spans="25:44" x14ac:dyDescent="0.15">
      <c r="Y1968" s="8"/>
      <c r="Z1968" s="61"/>
      <c r="AA1968" s="61"/>
      <c r="AB1968" s="61"/>
      <c r="AC1968" s="61"/>
      <c r="AD1968" s="37"/>
      <c r="AE1968" s="62"/>
      <c r="AF1968" s="62"/>
      <c r="AG1968" s="62"/>
      <c r="AH1968" s="62"/>
      <c r="AI1968" s="37"/>
      <c r="AJ1968" s="61"/>
      <c r="AK1968" s="61"/>
      <c r="AL1968" s="61"/>
      <c r="AM1968" s="61"/>
      <c r="AN1968" s="37"/>
      <c r="AO1968" s="62"/>
      <c r="AP1968" s="62"/>
      <c r="AQ1968" s="62"/>
      <c r="AR1968" s="62"/>
    </row>
    <row r="1969" spans="25:44" x14ac:dyDescent="0.15">
      <c r="Y1969" s="8"/>
      <c r="Z1969" s="61"/>
      <c r="AA1969" s="61"/>
      <c r="AB1969" s="61"/>
      <c r="AC1969" s="61"/>
      <c r="AD1969" s="37"/>
      <c r="AE1969" s="62"/>
      <c r="AF1969" s="62"/>
      <c r="AG1969" s="62"/>
      <c r="AH1969" s="62"/>
      <c r="AI1969" s="37"/>
      <c r="AJ1969" s="61"/>
      <c r="AK1969" s="61"/>
      <c r="AL1969" s="61"/>
      <c r="AM1969" s="61"/>
      <c r="AN1969" s="37"/>
      <c r="AO1969" s="62"/>
      <c r="AP1969" s="62"/>
      <c r="AQ1969" s="62"/>
      <c r="AR1969" s="62"/>
    </row>
    <row r="1970" spans="25:44" x14ac:dyDescent="0.15">
      <c r="Y1970" s="8"/>
      <c r="Z1970" s="61"/>
      <c r="AA1970" s="61"/>
      <c r="AB1970" s="61"/>
      <c r="AC1970" s="61"/>
      <c r="AD1970" s="37"/>
      <c r="AE1970" s="62"/>
      <c r="AF1970" s="62"/>
      <c r="AG1970" s="62"/>
      <c r="AH1970" s="62"/>
      <c r="AI1970" s="37"/>
      <c r="AJ1970" s="61"/>
      <c r="AK1970" s="61"/>
      <c r="AL1970" s="61"/>
      <c r="AM1970" s="61"/>
      <c r="AN1970" s="37"/>
      <c r="AO1970" s="62"/>
      <c r="AP1970" s="62"/>
      <c r="AQ1970" s="62"/>
      <c r="AR1970" s="62"/>
    </row>
    <row r="1971" spans="25:44" x14ac:dyDescent="0.15">
      <c r="Y1971" s="8"/>
      <c r="Z1971" s="61"/>
      <c r="AA1971" s="61"/>
      <c r="AB1971" s="61"/>
      <c r="AC1971" s="61"/>
      <c r="AD1971" s="37"/>
      <c r="AE1971" s="62"/>
      <c r="AF1971" s="62"/>
      <c r="AG1971" s="62"/>
      <c r="AH1971" s="62"/>
      <c r="AI1971" s="37"/>
      <c r="AJ1971" s="61"/>
      <c r="AK1971" s="61"/>
      <c r="AL1971" s="61"/>
      <c r="AM1971" s="61"/>
      <c r="AN1971" s="37"/>
      <c r="AO1971" s="62"/>
      <c r="AP1971" s="62"/>
      <c r="AQ1971" s="62"/>
      <c r="AR1971" s="62"/>
    </row>
    <row r="1972" spans="25:44" x14ac:dyDescent="0.15">
      <c r="Y1972" s="8"/>
      <c r="Z1972" s="61"/>
      <c r="AA1972" s="61"/>
      <c r="AB1972" s="61"/>
      <c r="AC1972" s="61"/>
      <c r="AD1972" s="37"/>
      <c r="AE1972" s="62"/>
      <c r="AF1972" s="62"/>
      <c r="AG1972" s="62"/>
      <c r="AH1972" s="62"/>
      <c r="AI1972" s="37"/>
      <c r="AJ1972" s="61"/>
      <c r="AK1972" s="61"/>
      <c r="AL1972" s="61"/>
      <c r="AM1972" s="61"/>
      <c r="AN1972" s="37"/>
      <c r="AO1972" s="62"/>
      <c r="AP1972" s="62"/>
      <c r="AQ1972" s="62"/>
      <c r="AR1972" s="62"/>
    </row>
    <row r="1973" spans="25:44" x14ac:dyDescent="0.15">
      <c r="Y1973" s="8"/>
      <c r="Z1973" s="61"/>
      <c r="AA1973" s="61"/>
      <c r="AB1973" s="61"/>
      <c r="AC1973" s="61"/>
      <c r="AD1973" s="37"/>
      <c r="AE1973" s="62"/>
      <c r="AF1973" s="62"/>
      <c r="AG1973" s="62"/>
      <c r="AH1973" s="62"/>
      <c r="AI1973" s="37"/>
      <c r="AJ1973" s="61"/>
      <c r="AK1973" s="61"/>
      <c r="AL1973" s="61"/>
      <c r="AM1973" s="61"/>
      <c r="AN1973" s="37"/>
      <c r="AO1973" s="62"/>
      <c r="AP1973" s="62"/>
      <c r="AQ1973" s="62"/>
      <c r="AR1973" s="62"/>
    </row>
    <row r="1974" spans="25:44" x14ac:dyDescent="0.15">
      <c r="Y1974" s="8"/>
      <c r="Z1974" s="61"/>
      <c r="AA1974" s="61"/>
      <c r="AB1974" s="61"/>
      <c r="AC1974" s="61"/>
      <c r="AD1974" s="37"/>
      <c r="AE1974" s="62"/>
      <c r="AF1974" s="62"/>
      <c r="AG1974" s="62"/>
      <c r="AH1974" s="62"/>
      <c r="AI1974" s="37"/>
      <c r="AJ1974" s="61"/>
      <c r="AK1974" s="61"/>
      <c r="AL1974" s="61"/>
      <c r="AM1974" s="61"/>
      <c r="AN1974" s="37"/>
      <c r="AO1974" s="62"/>
      <c r="AP1974" s="62"/>
      <c r="AQ1974" s="62"/>
      <c r="AR1974" s="62"/>
    </row>
    <row r="1975" spans="25:44" x14ac:dyDescent="0.15">
      <c r="Y1975" s="8"/>
      <c r="Z1975" s="61"/>
      <c r="AA1975" s="61"/>
      <c r="AB1975" s="61"/>
      <c r="AC1975" s="61"/>
      <c r="AD1975" s="37"/>
      <c r="AE1975" s="62"/>
      <c r="AF1975" s="62"/>
      <c r="AG1975" s="62"/>
      <c r="AH1975" s="62"/>
      <c r="AI1975" s="37"/>
      <c r="AJ1975" s="61"/>
      <c r="AK1975" s="61"/>
      <c r="AL1975" s="61"/>
      <c r="AM1975" s="61"/>
      <c r="AN1975" s="37"/>
      <c r="AO1975" s="62"/>
      <c r="AP1975" s="62"/>
      <c r="AQ1975" s="62"/>
      <c r="AR1975" s="62"/>
    </row>
    <row r="1976" spans="25:44" x14ac:dyDescent="0.15">
      <c r="Y1976" s="8"/>
      <c r="Z1976" s="61"/>
      <c r="AA1976" s="61"/>
      <c r="AB1976" s="61"/>
      <c r="AC1976" s="61"/>
      <c r="AD1976" s="37"/>
      <c r="AE1976" s="62"/>
      <c r="AF1976" s="62"/>
      <c r="AG1976" s="62"/>
      <c r="AH1976" s="62"/>
      <c r="AI1976" s="37"/>
      <c r="AJ1976" s="61"/>
      <c r="AK1976" s="61"/>
      <c r="AL1976" s="61"/>
      <c r="AM1976" s="61"/>
      <c r="AN1976" s="37"/>
      <c r="AO1976" s="62"/>
      <c r="AP1976" s="62"/>
      <c r="AQ1976" s="62"/>
      <c r="AR1976" s="62"/>
    </row>
    <row r="1977" spans="25:44" x14ac:dyDescent="0.15">
      <c r="Y1977" s="8"/>
      <c r="Z1977" s="61"/>
      <c r="AA1977" s="61"/>
      <c r="AB1977" s="61"/>
      <c r="AC1977" s="61"/>
      <c r="AD1977" s="37"/>
      <c r="AE1977" s="62"/>
      <c r="AF1977" s="62"/>
      <c r="AG1977" s="62"/>
      <c r="AH1977" s="62"/>
      <c r="AI1977" s="37"/>
      <c r="AJ1977" s="61"/>
      <c r="AK1977" s="61"/>
      <c r="AL1977" s="61"/>
      <c r="AM1977" s="61"/>
      <c r="AN1977" s="37"/>
      <c r="AO1977" s="62"/>
      <c r="AP1977" s="62"/>
      <c r="AQ1977" s="62"/>
      <c r="AR1977" s="62"/>
    </row>
    <row r="1978" spans="25:44" x14ac:dyDescent="0.15">
      <c r="Y1978" s="8"/>
      <c r="Z1978" s="61"/>
      <c r="AA1978" s="61"/>
      <c r="AB1978" s="61"/>
      <c r="AC1978" s="61"/>
      <c r="AD1978" s="37"/>
      <c r="AE1978" s="62"/>
      <c r="AF1978" s="62"/>
      <c r="AG1978" s="62"/>
      <c r="AH1978" s="62"/>
      <c r="AI1978" s="37"/>
      <c r="AJ1978" s="61"/>
      <c r="AK1978" s="61"/>
      <c r="AL1978" s="61"/>
      <c r="AM1978" s="61"/>
      <c r="AN1978" s="37"/>
      <c r="AO1978" s="62"/>
      <c r="AP1978" s="62"/>
      <c r="AQ1978" s="62"/>
      <c r="AR1978" s="62"/>
    </row>
    <row r="1979" spans="25:44" x14ac:dyDescent="0.15">
      <c r="Y1979" s="8"/>
      <c r="Z1979" s="61"/>
      <c r="AA1979" s="61"/>
      <c r="AB1979" s="61"/>
      <c r="AC1979" s="61"/>
      <c r="AD1979" s="37"/>
      <c r="AE1979" s="62"/>
      <c r="AF1979" s="62"/>
      <c r="AG1979" s="62"/>
      <c r="AH1979" s="62"/>
      <c r="AI1979" s="37"/>
      <c r="AJ1979" s="61"/>
      <c r="AK1979" s="61"/>
      <c r="AL1979" s="61"/>
      <c r="AM1979" s="61"/>
      <c r="AN1979" s="37"/>
      <c r="AO1979" s="62"/>
      <c r="AP1979" s="62"/>
      <c r="AQ1979" s="62"/>
      <c r="AR1979" s="62"/>
    </row>
    <row r="1980" spans="25:44" x14ac:dyDescent="0.15">
      <c r="Y1980" s="8"/>
      <c r="Z1980" s="61"/>
      <c r="AA1980" s="61"/>
      <c r="AB1980" s="61"/>
      <c r="AC1980" s="61"/>
      <c r="AD1980" s="37"/>
      <c r="AE1980" s="62"/>
      <c r="AF1980" s="62"/>
      <c r="AG1980" s="62"/>
      <c r="AH1980" s="62"/>
      <c r="AI1980" s="37"/>
      <c r="AJ1980" s="61"/>
      <c r="AK1980" s="61"/>
      <c r="AL1980" s="61"/>
      <c r="AM1980" s="61"/>
      <c r="AN1980" s="37"/>
      <c r="AO1980" s="62"/>
      <c r="AP1980" s="62"/>
      <c r="AQ1980" s="62"/>
      <c r="AR1980" s="62"/>
    </row>
    <row r="1981" spans="25:44" x14ac:dyDescent="0.15">
      <c r="Y1981" s="8"/>
      <c r="Z1981" s="61"/>
      <c r="AA1981" s="61"/>
      <c r="AB1981" s="61"/>
      <c r="AC1981" s="61"/>
      <c r="AD1981" s="37"/>
      <c r="AE1981" s="62"/>
      <c r="AF1981" s="62"/>
      <c r="AG1981" s="62"/>
      <c r="AH1981" s="62"/>
      <c r="AI1981" s="37"/>
      <c r="AJ1981" s="61"/>
      <c r="AK1981" s="61"/>
      <c r="AL1981" s="61"/>
      <c r="AM1981" s="61"/>
      <c r="AN1981" s="37"/>
      <c r="AO1981" s="62"/>
      <c r="AP1981" s="62"/>
      <c r="AQ1981" s="62"/>
      <c r="AR1981" s="62"/>
    </row>
    <row r="1982" spans="25:44" x14ac:dyDescent="0.15">
      <c r="Y1982" s="8"/>
      <c r="Z1982" s="61"/>
      <c r="AA1982" s="61"/>
      <c r="AB1982" s="61"/>
      <c r="AC1982" s="61"/>
      <c r="AD1982" s="37"/>
      <c r="AE1982" s="62"/>
      <c r="AF1982" s="62"/>
      <c r="AG1982" s="62"/>
      <c r="AH1982" s="62"/>
      <c r="AI1982" s="37"/>
      <c r="AJ1982" s="61"/>
      <c r="AK1982" s="61"/>
      <c r="AL1982" s="61"/>
      <c r="AM1982" s="61"/>
      <c r="AN1982" s="37"/>
      <c r="AO1982" s="62"/>
      <c r="AP1982" s="62"/>
      <c r="AQ1982" s="62"/>
      <c r="AR1982" s="62"/>
    </row>
    <row r="1983" spans="25:44" x14ac:dyDescent="0.15">
      <c r="Y1983" s="8"/>
      <c r="Z1983" s="61"/>
      <c r="AA1983" s="61"/>
      <c r="AB1983" s="61"/>
      <c r="AC1983" s="61"/>
      <c r="AD1983" s="37"/>
      <c r="AE1983" s="62"/>
      <c r="AF1983" s="62"/>
      <c r="AG1983" s="62"/>
      <c r="AH1983" s="62"/>
      <c r="AI1983" s="37"/>
      <c r="AJ1983" s="61"/>
      <c r="AK1983" s="61"/>
      <c r="AL1983" s="61"/>
      <c r="AM1983" s="61"/>
      <c r="AN1983" s="37"/>
      <c r="AO1983" s="62"/>
      <c r="AP1983" s="62"/>
      <c r="AQ1983" s="62"/>
      <c r="AR1983" s="62"/>
    </row>
    <row r="1984" spans="25:44" x14ac:dyDescent="0.15">
      <c r="Y1984" s="8"/>
      <c r="Z1984" s="61"/>
      <c r="AA1984" s="61"/>
      <c r="AB1984" s="61"/>
      <c r="AC1984" s="61"/>
      <c r="AD1984" s="37"/>
      <c r="AE1984" s="62"/>
      <c r="AF1984" s="62"/>
      <c r="AG1984" s="62"/>
      <c r="AH1984" s="62"/>
      <c r="AI1984" s="37"/>
      <c r="AJ1984" s="61"/>
      <c r="AK1984" s="61"/>
      <c r="AL1984" s="61"/>
      <c r="AM1984" s="61"/>
      <c r="AN1984" s="37"/>
      <c r="AO1984" s="62"/>
      <c r="AP1984" s="62"/>
      <c r="AQ1984" s="62"/>
      <c r="AR1984" s="62"/>
    </row>
    <row r="1985" spans="25:44" x14ac:dyDescent="0.15">
      <c r="Y1985" s="8"/>
      <c r="Z1985" s="61"/>
      <c r="AA1985" s="61"/>
      <c r="AB1985" s="61"/>
      <c r="AC1985" s="61"/>
      <c r="AD1985" s="37"/>
      <c r="AE1985" s="62"/>
      <c r="AF1985" s="62"/>
      <c r="AG1985" s="62"/>
      <c r="AH1985" s="62"/>
      <c r="AI1985" s="37"/>
      <c r="AJ1985" s="61"/>
      <c r="AK1985" s="61"/>
      <c r="AL1985" s="61"/>
      <c r="AM1985" s="61"/>
      <c r="AN1985" s="37"/>
      <c r="AO1985" s="62"/>
      <c r="AP1985" s="62"/>
      <c r="AQ1985" s="62"/>
      <c r="AR1985" s="62"/>
    </row>
    <row r="1986" spans="25:44" x14ac:dyDescent="0.15">
      <c r="Y1986" s="8"/>
      <c r="Z1986" s="61"/>
      <c r="AA1986" s="61"/>
      <c r="AB1986" s="61"/>
      <c r="AC1986" s="61"/>
      <c r="AD1986" s="37"/>
      <c r="AE1986" s="62"/>
      <c r="AF1986" s="62"/>
      <c r="AG1986" s="62"/>
      <c r="AH1986" s="62"/>
      <c r="AI1986" s="37"/>
      <c r="AJ1986" s="61"/>
      <c r="AK1986" s="61"/>
      <c r="AL1986" s="61"/>
      <c r="AM1986" s="61"/>
      <c r="AN1986" s="37"/>
      <c r="AO1986" s="62"/>
      <c r="AP1986" s="62"/>
      <c r="AQ1986" s="62"/>
      <c r="AR1986" s="62"/>
    </row>
    <row r="1987" spans="25:44" x14ac:dyDescent="0.15">
      <c r="Y1987" s="8"/>
      <c r="Z1987" s="61"/>
      <c r="AA1987" s="61"/>
      <c r="AB1987" s="61"/>
      <c r="AC1987" s="61"/>
      <c r="AD1987" s="37"/>
      <c r="AE1987" s="62"/>
      <c r="AF1987" s="62"/>
      <c r="AG1987" s="62"/>
      <c r="AH1987" s="62"/>
      <c r="AI1987" s="37"/>
      <c r="AJ1987" s="61"/>
      <c r="AK1987" s="61"/>
      <c r="AL1987" s="61"/>
      <c r="AM1987" s="61"/>
      <c r="AN1987" s="37"/>
      <c r="AO1987" s="62"/>
      <c r="AP1987" s="62"/>
      <c r="AQ1987" s="62"/>
      <c r="AR1987" s="62"/>
    </row>
    <row r="1988" spans="25:44" x14ac:dyDescent="0.15">
      <c r="Y1988" s="8"/>
      <c r="Z1988" s="61"/>
      <c r="AA1988" s="61"/>
      <c r="AB1988" s="61"/>
      <c r="AC1988" s="61"/>
      <c r="AD1988" s="37"/>
      <c r="AE1988" s="62"/>
      <c r="AF1988" s="62"/>
      <c r="AG1988" s="62"/>
      <c r="AH1988" s="62"/>
      <c r="AI1988" s="37"/>
      <c r="AJ1988" s="61"/>
      <c r="AK1988" s="61"/>
      <c r="AL1988" s="61"/>
      <c r="AM1988" s="61"/>
      <c r="AN1988" s="37"/>
      <c r="AO1988" s="62"/>
      <c r="AP1988" s="62"/>
      <c r="AQ1988" s="62"/>
      <c r="AR1988" s="62"/>
    </row>
    <row r="1989" spans="25:44" x14ac:dyDescent="0.15">
      <c r="Y1989" s="8"/>
      <c r="Z1989" s="61"/>
      <c r="AA1989" s="61"/>
      <c r="AB1989" s="61"/>
      <c r="AC1989" s="61"/>
      <c r="AD1989" s="37"/>
      <c r="AE1989" s="62"/>
      <c r="AF1989" s="62"/>
      <c r="AG1989" s="62"/>
      <c r="AH1989" s="62"/>
      <c r="AI1989" s="37"/>
      <c r="AJ1989" s="61"/>
      <c r="AK1989" s="61"/>
      <c r="AL1989" s="61"/>
      <c r="AM1989" s="61"/>
      <c r="AN1989" s="37"/>
      <c r="AO1989" s="62"/>
      <c r="AP1989" s="62"/>
      <c r="AQ1989" s="62"/>
      <c r="AR1989" s="62"/>
    </row>
    <row r="1990" spans="25:44" x14ac:dyDescent="0.15">
      <c r="Y1990" s="8"/>
      <c r="Z1990" s="61"/>
      <c r="AA1990" s="61"/>
      <c r="AB1990" s="61"/>
      <c r="AC1990" s="61"/>
      <c r="AD1990" s="37"/>
      <c r="AE1990" s="62"/>
      <c r="AF1990" s="62"/>
      <c r="AG1990" s="62"/>
      <c r="AH1990" s="62"/>
      <c r="AI1990" s="37"/>
      <c r="AJ1990" s="61"/>
      <c r="AK1990" s="61"/>
      <c r="AL1990" s="61"/>
      <c r="AM1990" s="61"/>
      <c r="AN1990" s="37"/>
      <c r="AO1990" s="62"/>
      <c r="AP1990" s="62"/>
      <c r="AQ1990" s="62"/>
      <c r="AR1990" s="62"/>
    </row>
    <row r="1991" spans="25:44" x14ac:dyDescent="0.15">
      <c r="Y1991" s="8"/>
      <c r="Z1991" s="61"/>
      <c r="AA1991" s="61"/>
      <c r="AB1991" s="61"/>
      <c r="AC1991" s="61"/>
      <c r="AD1991" s="37"/>
      <c r="AE1991" s="62"/>
      <c r="AF1991" s="62"/>
      <c r="AG1991" s="62"/>
      <c r="AH1991" s="62"/>
      <c r="AI1991" s="37"/>
      <c r="AJ1991" s="61"/>
      <c r="AK1991" s="61"/>
      <c r="AL1991" s="61"/>
      <c r="AM1991" s="61"/>
      <c r="AN1991" s="37"/>
      <c r="AO1991" s="62"/>
      <c r="AP1991" s="62"/>
      <c r="AQ1991" s="62"/>
      <c r="AR1991" s="62"/>
    </row>
    <row r="1992" spans="25:44" x14ac:dyDescent="0.15">
      <c r="Y1992" s="8"/>
      <c r="Z1992" s="61"/>
      <c r="AA1992" s="61"/>
      <c r="AB1992" s="61"/>
      <c r="AC1992" s="61"/>
      <c r="AD1992" s="37"/>
      <c r="AE1992" s="62"/>
      <c r="AF1992" s="62"/>
      <c r="AG1992" s="62"/>
      <c r="AH1992" s="62"/>
      <c r="AI1992" s="37"/>
      <c r="AJ1992" s="61"/>
      <c r="AK1992" s="61"/>
      <c r="AL1992" s="61"/>
      <c r="AM1992" s="61"/>
      <c r="AN1992" s="37"/>
      <c r="AO1992" s="62"/>
      <c r="AP1992" s="62"/>
      <c r="AQ1992" s="62"/>
      <c r="AR1992" s="62"/>
    </row>
    <row r="1993" spans="25:44" x14ac:dyDescent="0.15">
      <c r="Y1993" s="8"/>
      <c r="Z1993" s="61"/>
      <c r="AA1993" s="61"/>
      <c r="AB1993" s="61"/>
      <c r="AC1993" s="61"/>
      <c r="AD1993" s="37"/>
      <c r="AE1993" s="62"/>
      <c r="AF1993" s="62"/>
      <c r="AG1993" s="62"/>
      <c r="AH1993" s="62"/>
      <c r="AI1993" s="37"/>
      <c r="AJ1993" s="61"/>
      <c r="AK1993" s="61"/>
      <c r="AL1993" s="61"/>
      <c r="AM1993" s="61"/>
      <c r="AN1993" s="37"/>
      <c r="AO1993" s="62"/>
      <c r="AP1993" s="62"/>
      <c r="AQ1993" s="62"/>
      <c r="AR1993" s="62"/>
    </row>
    <row r="1994" spans="25:44" x14ac:dyDescent="0.15">
      <c r="Y1994" s="8"/>
      <c r="Z1994" s="61"/>
      <c r="AA1994" s="61"/>
      <c r="AB1994" s="61"/>
      <c r="AC1994" s="61"/>
      <c r="AD1994" s="37"/>
      <c r="AE1994" s="62"/>
      <c r="AF1994" s="62"/>
      <c r="AG1994" s="62"/>
      <c r="AH1994" s="62"/>
      <c r="AI1994" s="37"/>
      <c r="AJ1994" s="61"/>
      <c r="AK1994" s="61"/>
      <c r="AL1994" s="61"/>
      <c r="AM1994" s="61"/>
      <c r="AN1994" s="37"/>
      <c r="AO1994" s="62"/>
      <c r="AP1994" s="62"/>
      <c r="AQ1994" s="62"/>
      <c r="AR1994" s="62"/>
    </row>
    <row r="1995" spans="25:44" x14ac:dyDescent="0.15">
      <c r="Y1995" s="8"/>
      <c r="Z1995" s="61"/>
      <c r="AA1995" s="61"/>
      <c r="AB1995" s="61"/>
      <c r="AC1995" s="61"/>
      <c r="AD1995" s="37"/>
      <c r="AE1995" s="62"/>
      <c r="AF1995" s="62"/>
      <c r="AG1995" s="62"/>
      <c r="AH1995" s="62"/>
      <c r="AI1995" s="37"/>
      <c r="AJ1995" s="61"/>
      <c r="AK1995" s="61"/>
      <c r="AL1995" s="61"/>
      <c r="AM1995" s="61"/>
      <c r="AN1995" s="37"/>
      <c r="AO1995" s="62"/>
      <c r="AP1995" s="62"/>
      <c r="AQ1995" s="62"/>
      <c r="AR1995" s="62"/>
    </row>
    <row r="1996" spans="25:44" x14ac:dyDescent="0.15">
      <c r="Y1996" s="8"/>
      <c r="Z1996" s="61"/>
      <c r="AA1996" s="61"/>
      <c r="AB1996" s="61"/>
      <c r="AC1996" s="61"/>
      <c r="AD1996" s="37"/>
      <c r="AE1996" s="62"/>
      <c r="AF1996" s="62"/>
      <c r="AG1996" s="62"/>
      <c r="AH1996" s="62"/>
      <c r="AI1996" s="37"/>
      <c r="AJ1996" s="61"/>
      <c r="AK1996" s="61"/>
      <c r="AL1996" s="61"/>
      <c r="AM1996" s="61"/>
      <c r="AN1996" s="37"/>
      <c r="AO1996" s="62"/>
      <c r="AP1996" s="62"/>
      <c r="AQ1996" s="62"/>
      <c r="AR1996" s="62"/>
    </row>
    <row r="1997" spans="25:44" x14ac:dyDescent="0.15">
      <c r="Y1997" s="8"/>
      <c r="Z1997" s="61"/>
      <c r="AA1997" s="61"/>
      <c r="AB1997" s="61"/>
      <c r="AC1997" s="61"/>
      <c r="AD1997" s="37"/>
      <c r="AE1997" s="62"/>
      <c r="AF1997" s="62"/>
      <c r="AG1997" s="62"/>
      <c r="AH1997" s="62"/>
      <c r="AI1997" s="37"/>
      <c r="AJ1997" s="61"/>
      <c r="AK1997" s="61"/>
      <c r="AL1997" s="61"/>
      <c r="AM1997" s="61"/>
      <c r="AN1997" s="37"/>
      <c r="AO1997" s="62"/>
      <c r="AP1997" s="62"/>
      <c r="AQ1997" s="62"/>
      <c r="AR1997" s="62"/>
    </row>
    <row r="1998" spans="25:44" x14ac:dyDescent="0.15">
      <c r="Y1998" s="8"/>
      <c r="Z1998" s="61"/>
      <c r="AA1998" s="61"/>
      <c r="AB1998" s="61"/>
      <c r="AC1998" s="61"/>
      <c r="AD1998" s="37"/>
      <c r="AE1998" s="62"/>
      <c r="AF1998" s="62"/>
      <c r="AG1998" s="62"/>
      <c r="AH1998" s="62"/>
      <c r="AI1998" s="37"/>
      <c r="AJ1998" s="61"/>
      <c r="AK1998" s="61"/>
      <c r="AL1998" s="61"/>
      <c r="AM1998" s="61"/>
      <c r="AN1998" s="37"/>
      <c r="AO1998" s="62"/>
      <c r="AP1998" s="62"/>
      <c r="AQ1998" s="62"/>
      <c r="AR1998" s="62"/>
    </row>
    <row r="1999" spans="25:44" x14ac:dyDescent="0.15">
      <c r="Y1999" s="8"/>
      <c r="Z1999" s="61"/>
      <c r="AA1999" s="61"/>
      <c r="AB1999" s="61"/>
      <c r="AC1999" s="61"/>
      <c r="AD1999" s="37"/>
      <c r="AE1999" s="62"/>
      <c r="AF1999" s="62"/>
      <c r="AG1999" s="62"/>
      <c r="AH1999" s="62"/>
      <c r="AI1999" s="37"/>
      <c r="AJ1999" s="61"/>
      <c r="AK1999" s="61"/>
      <c r="AL1999" s="61"/>
      <c r="AM1999" s="61"/>
      <c r="AN1999" s="37"/>
      <c r="AO1999" s="62"/>
      <c r="AP1999" s="62"/>
      <c r="AQ1999" s="62"/>
      <c r="AR1999" s="62"/>
    </row>
    <row r="2000" spans="25:44" x14ac:dyDescent="0.15">
      <c r="Y2000" s="8"/>
      <c r="Z2000" s="61"/>
      <c r="AA2000" s="61"/>
      <c r="AB2000" s="61"/>
      <c r="AC2000" s="61"/>
      <c r="AD2000" s="37"/>
      <c r="AE2000" s="62"/>
      <c r="AF2000" s="62"/>
      <c r="AG2000" s="62"/>
      <c r="AH2000" s="62"/>
      <c r="AI2000" s="37"/>
      <c r="AJ2000" s="61"/>
      <c r="AK2000" s="61"/>
      <c r="AL2000" s="61"/>
      <c r="AM2000" s="61"/>
      <c r="AN2000" s="37"/>
      <c r="AO2000" s="62"/>
      <c r="AP2000" s="62"/>
      <c r="AQ2000" s="62"/>
      <c r="AR2000" s="62"/>
    </row>
    <row r="2001" spans="25:44" x14ac:dyDescent="0.15">
      <c r="Y2001" s="8"/>
      <c r="Z2001" s="61"/>
      <c r="AA2001" s="61"/>
      <c r="AB2001" s="61"/>
      <c r="AC2001" s="61"/>
      <c r="AD2001" s="37"/>
      <c r="AE2001" s="62"/>
      <c r="AF2001" s="62"/>
      <c r="AG2001" s="62"/>
      <c r="AH2001" s="62"/>
      <c r="AI2001" s="37"/>
      <c r="AJ2001" s="61"/>
      <c r="AK2001" s="61"/>
      <c r="AL2001" s="61"/>
      <c r="AM2001" s="61"/>
      <c r="AN2001" s="37"/>
      <c r="AO2001" s="62"/>
      <c r="AP2001" s="62"/>
      <c r="AQ2001" s="62"/>
      <c r="AR2001" s="62"/>
    </row>
    <row r="2002" spans="25:44" x14ac:dyDescent="0.15">
      <c r="Y2002" s="8"/>
      <c r="Z2002" s="61"/>
      <c r="AA2002" s="61"/>
      <c r="AB2002" s="61"/>
      <c r="AC2002" s="61"/>
      <c r="AD2002" s="37"/>
      <c r="AE2002" s="62"/>
      <c r="AF2002" s="62"/>
      <c r="AG2002" s="62"/>
      <c r="AH2002" s="62"/>
      <c r="AI2002" s="37"/>
      <c r="AJ2002" s="61"/>
      <c r="AK2002" s="61"/>
      <c r="AL2002" s="61"/>
      <c r="AM2002" s="61"/>
      <c r="AN2002" s="37"/>
      <c r="AO2002" s="62"/>
      <c r="AP2002" s="62"/>
      <c r="AQ2002" s="62"/>
      <c r="AR2002" s="62"/>
    </row>
    <row r="2003" spans="25:44" x14ac:dyDescent="0.15">
      <c r="Y2003" s="8"/>
      <c r="Z2003" s="61"/>
      <c r="AA2003" s="61"/>
      <c r="AB2003" s="61"/>
      <c r="AC2003" s="61"/>
      <c r="AD2003" s="37"/>
      <c r="AE2003" s="62"/>
      <c r="AF2003" s="62"/>
      <c r="AG2003" s="62"/>
      <c r="AH2003" s="62"/>
      <c r="AI2003" s="37"/>
      <c r="AJ2003" s="61"/>
      <c r="AK2003" s="61"/>
      <c r="AL2003" s="61"/>
      <c r="AM2003" s="61"/>
      <c r="AN2003" s="37"/>
      <c r="AO2003" s="62"/>
      <c r="AP2003" s="62"/>
      <c r="AQ2003" s="62"/>
      <c r="AR2003" s="62"/>
    </row>
  </sheetData>
  <mergeCells count="18">
    <mergeCell ref="Z1:AR1"/>
    <mergeCell ref="Z3:AC3"/>
    <mergeCell ref="AJ3:AM3"/>
    <mergeCell ref="D8:G8"/>
    <mergeCell ref="AO2:AR2"/>
    <mergeCell ref="N8:Q8"/>
    <mergeCell ref="AE3:AH3"/>
    <mergeCell ref="I8:L8"/>
    <mergeCell ref="D16:F16"/>
    <mergeCell ref="I16:L16"/>
    <mergeCell ref="N16:Q16"/>
    <mergeCell ref="AJ2:AM2"/>
    <mergeCell ref="Z2:AC2"/>
    <mergeCell ref="D2:E2"/>
    <mergeCell ref="T8:W8"/>
    <mergeCell ref="T16:W16"/>
    <mergeCell ref="S15:W15"/>
    <mergeCell ref="S7:W7"/>
  </mergeCells>
  <phoneticPr fontId="2" type="noConversion"/>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COPYING</vt:lpstr>
      <vt:lpstr>calibrate</vt:lpstr>
      <vt:lpstr>simulate</vt:lpstr>
      <vt:lpstr>KF_Objective</vt:lpstr>
      <vt:lpstr>KF_Parameters</vt:lpstr>
      <vt:lpstr>KF_Populate_Sheets</vt:lpstr>
    </vt:vector>
  </TitlesOfParts>
  <Company>RBS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dc:description>Version 6.0 (Excel 2003)</dc:description>
  <cp:lastModifiedBy>Brian Fagan</cp:lastModifiedBy>
  <dcterms:created xsi:type="dcterms:W3CDTF">2005-09-05T15:05:33Z</dcterms:created>
  <dcterms:modified xsi:type="dcterms:W3CDTF">2018-03-07T16:08:18Z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-1705809286</vt:i4>
  </property>
  <property fmtid="{D5CDD505-2E9C-101B-9397-08002B2CF9AE}" pid="3" name="_NewReviewCycle">
    <vt:lpwstr/>
  </property>
  <property fmtid="{D5CDD505-2E9C-101B-9397-08002B2CF9AE}" pid="4" name="_EmailSubject">
    <vt:lpwstr/>
  </property>
  <property fmtid="{D5CDD505-2E9C-101B-9397-08002B2CF9AE}" pid="5" name="_AuthorEmail">
    <vt:lpwstr>Changwei.Xiong@rbs.com</vt:lpwstr>
  </property>
  <property fmtid="{D5CDD505-2E9C-101B-9397-08002B2CF9AE}" pid="6" name="_AuthorEmailDisplayName">
    <vt:lpwstr>Xiong, Changwei, GBM</vt:lpwstr>
  </property>
  <property fmtid="{D5CDD505-2E9C-101B-9397-08002B2CF9AE}" pid="7" name="_PreviousAdHocReviewCycleID">
    <vt:i4>-2009239201</vt:i4>
  </property>
  <property fmtid="{D5CDD505-2E9C-101B-9397-08002B2CF9AE}" pid="8" name="_ReviewingToolsShownOnce">
    <vt:lpwstr/>
  </property>
</Properties>
</file>