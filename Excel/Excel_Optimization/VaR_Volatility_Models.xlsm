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G:\Share\BFagan\Optimization\Excel\"/>
    </mc:Choice>
  </mc:AlternateContent>
  <bookViews>
    <workbookView xWindow="120" yWindow="120" windowWidth="4410" windowHeight="6495" tabRatio="803" activeTab="1"/>
  </bookViews>
  <sheets>
    <sheet name="COPYING" sheetId="82" r:id="rId1"/>
    <sheet name="Volatility" sheetId="81" r:id="rId2"/>
  </sheets>
  <functionGroups builtInGroupCount="18"/>
  <definedNames>
    <definedName name="EWMA_Lambda" localSheetId="1">Volatility!$V$18</definedName>
    <definedName name="EWMA_Objective" localSheetId="1">Volatility!$V$26</definedName>
    <definedName name="GARCH_Alpha" localSheetId="1">Volatility!$L$19</definedName>
    <definedName name="GARCH_Beta" localSheetId="1">Volatility!$L$20</definedName>
    <definedName name="GARCH_Lambda" localSheetId="1">Volatility!$L$18</definedName>
    <definedName name="GARCH_Objective" localSheetId="1">Volatility!$L$26</definedName>
    <definedName name="GARCH_Parameters" localSheetId="1">Volatility!$L$18:$L$20</definedName>
    <definedName name="GARCH_ParamSum" localSheetId="1">Volatility!$L$21</definedName>
    <definedName name="solver_adj" localSheetId="1" hidden="1">Volatility!$V$18</definedName>
    <definedName name="solver_cvg" localSheetId="1" hidden="1">0.0001</definedName>
    <definedName name="solver_drv" localSheetId="1" hidden="1">1</definedName>
    <definedName name="solver_eng" localSheetId="1" hidden="1">1</definedName>
    <definedName name="solver_est" localSheetId="1" hidden="1">1</definedName>
    <definedName name="solver_itr" localSheetId="1" hidden="1">100</definedName>
    <definedName name="solver_lhs1" localSheetId="1" hidden="1">Volatility!$V$18</definedName>
    <definedName name="solver_lhs2" localSheetId="1" hidden="1">Volatility!$V$18</definedName>
    <definedName name="solver_lhs3" localSheetId="1" hidden="1">Volatility!$L$20</definedName>
    <definedName name="solver_lin" localSheetId="1" hidden="1">2</definedName>
    <definedName name="solver_neg" localSheetId="1" hidden="1">2</definedName>
    <definedName name="solver_num" localSheetId="1" hidden="1">2</definedName>
    <definedName name="solver_nwt" localSheetId="1" hidden="1">1</definedName>
    <definedName name="solver_opt" localSheetId="1" hidden="1">Volatility!$V$26</definedName>
    <definedName name="solver_pre" localSheetId="1" hidden="1">0.000001</definedName>
    <definedName name="solver_rel1" localSheetId="1" hidden="1">1</definedName>
    <definedName name="solver_rel2" localSheetId="1" hidden="1">3</definedName>
    <definedName name="solver_rel3" localSheetId="1" hidden="1">3</definedName>
    <definedName name="solver_rhs1" localSheetId="1" hidden="1">0.99</definedName>
    <definedName name="solver_rhs2" localSheetId="1" hidden="1">0.01</definedName>
    <definedName name="solver_rhs3" localSheetId="1" hidden="1">0.000001</definedName>
    <definedName name="solver_scl" localSheetId="1" hidden="1">2</definedName>
    <definedName name="solver_sho" localSheetId="1" hidden="1">2</definedName>
    <definedName name="solver_tim" localSheetId="1" hidden="1">1000</definedName>
    <definedName name="solver_tol" localSheetId="1" hidden="1">0.05</definedName>
    <definedName name="solver_typ" localSheetId="1" hidden="1">1</definedName>
    <definedName name="solver_val" localSheetId="1" hidden="1">0</definedName>
    <definedName name="solver_ver" localSheetId="1" hidden="1">3</definedName>
  </definedNames>
  <calcPr calcId="152511"/>
</workbook>
</file>

<file path=xl/calcChain.xml><?xml version="1.0" encoding="utf-8"?>
<calcChain xmlns="http://schemas.openxmlformats.org/spreadsheetml/2006/main">
  <c r="D756" i="81" l="1"/>
  <c r="D6" i="81"/>
  <c r="D7" i="81"/>
  <c r="D8" i="81"/>
  <c r="D9" i="81"/>
  <c r="D10" i="81"/>
  <c r="D11" i="81"/>
  <c r="D12" i="81"/>
  <c r="D13" i="81"/>
  <c r="D14" i="81"/>
  <c r="D15" i="81"/>
  <c r="D16" i="81"/>
  <c r="D17" i="81"/>
  <c r="D18" i="81"/>
  <c r="D19" i="81"/>
  <c r="D20" i="81"/>
  <c r="D21" i="81"/>
  <c r="D22" i="81"/>
  <c r="D23" i="81"/>
  <c r="D24" i="81"/>
  <c r="D25" i="81"/>
  <c r="D26" i="81"/>
  <c r="D27" i="81"/>
  <c r="D28" i="81"/>
  <c r="D29" i="81"/>
  <c r="D30" i="81"/>
  <c r="D31" i="81"/>
  <c r="D32" i="81"/>
  <c r="D33" i="81"/>
  <c r="D34" i="81"/>
  <c r="D35" i="81"/>
  <c r="D36" i="81"/>
  <c r="D37" i="81"/>
  <c r="D38" i="81"/>
  <c r="D39" i="81"/>
  <c r="D40" i="81"/>
  <c r="D41" i="81"/>
  <c r="D42" i="81"/>
  <c r="D43" i="81"/>
  <c r="D44" i="81"/>
  <c r="D45" i="81"/>
  <c r="D46" i="81"/>
  <c r="D47" i="81"/>
  <c r="D48" i="81"/>
  <c r="D49" i="81"/>
  <c r="D50" i="81"/>
  <c r="D51" i="81"/>
  <c r="D52" i="81"/>
  <c r="D53" i="81"/>
  <c r="D54" i="81"/>
  <c r="D55" i="81"/>
  <c r="D56" i="81"/>
  <c r="D57" i="81"/>
  <c r="D58" i="81"/>
  <c r="D59" i="81"/>
  <c r="D60" i="81"/>
  <c r="D61" i="81"/>
  <c r="D62" i="81"/>
  <c r="D63" i="81"/>
  <c r="D64" i="81"/>
  <c r="D65" i="81"/>
  <c r="D66" i="81"/>
  <c r="D67" i="81"/>
  <c r="D68" i="81"/>
  <c r="D69" i="81"/>
  <c r="D70" i="81"/>
  <c r="D71" i="81"/>
  <c r="D72" i="81"/>
  <c r="D73" i="81"/>
  <c r="D74" i="81"/>
  <c r="D75" i="81"/>
  <c r="D76" i="81"/>
  <c r="D77" i="81"/>
  <c r="D78" i="81"/>
  <c r="D79" i="81"/>
  <c r="D80" i="81"/>
  <c r="D81" i="81"/>
  <c r="D82" i="81"/>
  <c r="D83" i="81"/>
  <c r="D84" i="81"/>
  <c r="D85" i="81"/>
  <c r="D86" i="81"/>
  <c r="D87" i="81"/>
  <c r="D88" i="81"/>
  <c r="D89" i="81"/>
  <c r="D90" i="81"/>
  <c r="D91" i="81"/>
  <c r="D92" i="81"/>
  <c r="D93" i="81"/>
  <c r="D94" i="81"/>
  <c r="D95" i="81"/>
  <c r="D96" i="81"/>
  <c r="D97" i="81"/>
  <c r="D98" i="81"/>
  <c r="D99" i="81"/>
  <c r="D100" i="81"/>
  <c r="D101" i="81"/>
  <c r="D102" i="81"/>
  <c r="D103" i="81"/>
  <c r="D104" i="81"/>
  <c r="D105" i="81"/>
  <c r="D106" i="81"/>
  <c r="D107" i="81"/>
  <c r="D108" i="81"/>
  <c r="D109" i="81"/>
  <c r="D110" i="81"/>
  <c r="D111" i="81"/>
  <c r="D112" i="81"/>
  <c r="D113" i="81"/>
  <c r="D114" i="81"/>
  <c r="D115" i="81"/>
  <c r="D116" i="81"/>
  <c r="D117" i="81"/>
  <c r="D118" i="81"/>
  <c r="D119" i="81"/>
  <c r="D120" i="81"/>
  <c r="D121" i="81"/>
  <c r="D122" i="81"/>
  <c r="D123" i="81"/>
  <c r="D124" i="81"/>
  <c r="D125" i="81"/>
  <c r="D126" i="81"/>
  <c r="D127" i="81"/>
  <c r="D128" i="81"/>
  <c r="D129" i="81"/>
  <c r="D130" i="81"/>
  <c r="D131" i="81"/>
  <c r="D132" i="81"/>
  <c r="D133" i="81"/>
  <c r="D134" i="81"/>
  <c r="D135" i="81"/>
  <c r="D136" i="81"/>
  <c r="D137" i="81"/>
  <c r="D138" i="81"/>
  <c r="D139" i="81"/>
  <c r="D140" i="81"/>
  <c r="D141" i="81"/>
  <c r="D142" i="81"/>
  <c r="D143" i="81"/>
  <c r="D144" i="81"/>
  <c r="D145" i="81"/>
  <c r="D146" i="81"/>
  <c r="D147" i="81"/>
  <c r="D148" i="81"/>
  <c r="D149" i="81"/>
  <c r="D150" i="81"/>
  <c r="D151" i="81"/>
  <c r="D152" i="81"/>
  <c r="D153" i="81"/>
  <c r="D154" i="81"/>
  <c r="D155" i="81"/>
  <c r="D156" i="81"/>
  <c r="D157" i="81"/>
  <c r="D158" i="81"/>
  <c r="D159" i="81"/>
  <c r="D160" i="81"/>
  <c r="D161" i="81"/>
  <c r="D162" i="81"/>
  <c r="D163" i="81"/>
  <c r="D164" i="81"/>
  <c r="D165" i="81"/>
  <c r="D166" i="81"/>
  <c r="D167" i="81"/>
  <c r="D168" i="81"/>
  <c r="D169" i="81"/>
  <c r="D170" i="81"/>
  <c r="D171" i="81"/>
  <c r="D172" i="81"/>
  <c r="D173" i="81"/>
  <c r="D174" i="81"/>
  <c r="D175" i="81"/>
  <c r="D176" i="81"/>
  <c r="D177" i="81"/>
  <c r="D178" i="81"/>
  <c r="D179" i="81"/>
  <c r="D180" i="81"/>
  <c r="D181" i="81"/>
  <c r="D182" i="81"/>
  <c r="D183" i="81"/>
  <c r="D184" i="81"/>
  <c r="D185" i="81"/>
  <c r="D186" i="81"/>
  <c r="D187" i="81"/>
  <c r="D188" i="81"/>
  <c r="D189" i="81"/>
  <c r="D190" i="81"/>
  <c r="D191" i="81"/>
  <c r="D192" i="81"/>
  <c r="D193" i="81"/>
  <c r="D194" i="81"/>
  <c r="D195" i="81"/>
  <c r="D196" i="81"/>
  <c r="D197" i="81"/>
  <c r="D198" i="81"/>
  <c r="D199" i="81"/>
  <c r="D200" i="81"/>
  <c r="D201" i="81"/>
  <c r="D202" i="81"/>
  <c r="D203" i="81"/>
  <c r="D204" i="81"/>
  <c r="D205" i="81"/>
  <c r="D206" i="81"/>
  <c r="D207" i="81"/>
  <c r="D208" i="81"/>
  <c r="D209" i="81"/>
  <c r="D210" i="81"/>
  <c r="D211" i="81"/>
  <c r="D212" i="81"/>
  <c r="D213" i="81"/>
  <c r="D214" i="81"/>
  <c r="D215" i="81"/>
  <c r="D216" i="81"/>
  <c r="D217" i="81"/>
  <c r="D218" i="81"/>
  <c r="D219" i="81"/>
  <c r="D220" i="81"/>
  <c r="D221" i="81"/>
  <c r="D222" i="81"/>
  <c r="D223" i="81"/>
  <c r="D224" i="81"/>
  <c r="D225" i="81"/>
  <c r="D226" i="81"/>
  <c r="D227" i="81"/>
  <c r="D228" i="81"/>
  <c r="D229" i="81"/>
  <c r="D230" i="81"/>
  <c r="D231" i="81"/>
  <c r="D232" i="81"/>
  <c r="D233" i="81"/>
  <c r="D234" i="81"/>
  <c r="D235" i="81"/>
  <c r="D236" i="81"/>
  <c r="D237" i="81"/>
  <c r="D238" i="81"/>
  <c r="D239" i="81"/>
  <c r="D240" i="81"/>
  <c r="D241" i="81"/>
  <c r="D242" i="81"/>
  <c r="D243" i="81"/>
  <c r="D244" i="81"/>
  <c r="D245" i="81"/>
  <c r="D246" i="81"/>
  <c r="D247" i="81"/>
  <c r="D248" i="81"/>
  <c r="D249" i="81"/>
  <c r="D250" i="81"/>
  <c r="D251" i="81"/>
  <c r="D252" i="81"/>
  <c r="D253" i="81"/>
  <c r="D254" i="81"/>
  <c r="D255" i="81"/>
  <c r="D256" i="81"/>
  <c r="D257" i="81"/>
  <c r="D258" i="81"/>
  <c r="D259" i="81"/>
  <c r="D260" i="81"/>
  <c r="D261" i="81"/>
  <c r="D262" i="81"/>
  <c r="D263" i="81"/>
  <c r="D264" i="81"/>
  <c r="D265" i="81"/>
  <c r="D266" i="81"/>
  <c r="D267" i="81"/>
  <c r="D268" i="81"/>
  <c r="D269" i="81"/>
  <c r="D270" i="81"/>
  <c r="D271" i="81"/>
  <c r="D272" i="81"/>
  <c r="D273" i="81"/>
  <c r="D274" i="81"/>
  <c r="D275" i="81"/>
  <c r="D276" i="81"/>
  <c r="D277" i="81"/>
  <c r="D278" i="81"/>
  <c r="D279" i="81"/>
  <c r="D280" i="81"/>
  <c r="D281" i="81"/>
  <c r="D282" i="81"/>
  <c r="D283" i="81"/>
  <c r="D284" i="81"/>
  <c r="D285" i="81"/>
  <c r="D286" i="81"/>
  <c r="D287" i="81"/>
  <c r="D288" i="81"/>
  <c r="D289" i="81"/>
  <c r="D290" i="81"/>
  <c r="D291" i="81"/>
  <c r="D292" i="81"/>
  <c r="D293" i="81"/>
  <c r="D294" i="81"/>
  <c r="D295" i="81"/>
  <c r="D296" i="81"/>
  <c r="D297" i="81"/>
  <c r="D298" i="81"/>
  <c r="D299" i="81"/>
  <c r="D300" i="81"/>
  <c r="D301" i="81"/>
  <c r="D302" i="81"/>
  <c r="D303" i="81"/>
  <c r="D304" i="81"/>
  <c r="D305" i="81"/>
  <c r="D306" i="81"/>
  <c r="D307" i="81"/>
  <c r="D308" i="81"/>
  <c r="D309" i="81"/>
  <c r="D310" i="81"/>
  <c r="D311" i="81"/>
  <c r="D312" i="81"/>
  <c r="D313" i="81"/>
  <c r="D314" i="81"/>
  <c r="D315" i="81"/>
  <c r="D316" i="81"/>
  <c r="D317" i="81"/>
  <c r="D318" i="81"/>
  <c r="D319" i="81"/>
  <c r="D320" i="81"/>
  <c r="D321" i="81"/>
  <c r="D322" i="81"/>
  <c r="D323" i="81"/>
  <c r="D324" i="81"/>
  <c r="D325" i="81"/>
  <c r="D326" i="81"/>
  <c r="D327" i="81"/>
  <c r="D328" i="81"/>
  <c r="D329" i="81"/>
  <c r="D330" i="81"/>
  <c r="D331" i="81"/>
  <c r="D332" i="81"/>
  <c r="D333" i="81"/>
  <c r="D334" i="81"/>
  <c r="D335" i="81"/>
  <c r="D336" i="81"/>
  <c r="D337" i="81"/>
  <c r="D338" i="81"/>
  <c r="D339" i="81"/>
  <c r="D340" i="81"/>
  <c r="D341" i="81"/>
  <c r="D342" i="81"/>
  <c r="D343" i="81"/>
  <c r="D344" i="81"/>
  <c r="D345" i="81"/>
  <c r="D346" i="81"/>
  <c r="D347" i="81"/>
  <c r="D348" i="81"/>
  <c r="D349" i="81"/>
  <c r="D350" i="81"/>
  <c r="D351" i="81"/>
  <c r="D352" i="81"/>
  <c r="D353" i="81"/>
  <c r="D354" i="81"/>
  <c r="D355" i="81"/>
  <c r="D356" i="81"/>
  <c r="D357" i="81"/>
  <c r="D358" i="81"/>
  <c r="D359" i="81"/>
  <c r="D360" i="81"/>
  <c r="D361" i="81"/>
  <c r="D362" i="81"/>
  <c r="D363" i="81"/>
  <c r="D364" i="81"/>
  <c r="D365" i="81"/>
  <c r="D366" i="81"/>
  <c r="D367" i="81"/>
  <c r="D368" i="81"/>
  <c r="D369" i="81"/>
  <c r="D370" i="81"/>
  <c r="D371" i="81"/>
  <c r="D372" i="81"/>
  <c r="D373" i="81"/>
  <c r="D374" i="81"/>
  <c r="D375" i="81"/>
  <c r="D376" i="81"/>
  <c r="D377" i="81"/>
  <c r="D378" i="81"/>
  <c r="D379" i="81"/>
  <c r="D380" i="81"/>
  <c r="D381" i="81"/>
  <c r="D382" i="81"/>
  <c r="D383" i="81"/>
  <c r="D384" i="81"/>
  <c r="D385" i="81"/>
  <c r="D386" i="81"/>
  <c r="D387" i="81"/>
  <c r="D388" i="81"/>
  <c r="D389" i="81"/>
  <c r="D390" i="81"/>
  <c r="D391" i="81"/>
  <c r="D392" i="81"/>
  <c r="D393" i="81"/>
  <c r="D394" i="81"/>
  <c r="D395" i="81"/>
  <c r="D396" i="81"/>
  <c r="D397" i="81"/>
  <c r="D398" i="81"/>
  <c r="D399" i="81"/>
  <c r="D400" i="81"/>
  <c r="D401" i="81"/>
  <c r="D402" i="81"/>
  <c r="D403" i="81"/>
  <c r="D404" i="81"/>
  <c r="D405" i="81"/>
  <c r="D406" i="81"/>
  <c r="D407" i="81"/>
  <c r="D408" i="81"/>
  <c r="D409" i="81"/>
  <c r="D410" i="81"/>
  <c r="D411" i="81"/>
  <c r="D412" i="81"/>
  <c r="D413" i="81"/>
  <c r="D414" i="81"/>
  <c r="D415" i="81"/>
  <c r="D416" i="81"/>
  <c r="D417" i="81"/>
  <c r="D418" i="81"/>
  <c r="D419" i="81"/>
  <c r="D420" i="81"/>
  <c r="D421" i="81"/>
  <c r="D422" i="81"/>
  <c r="D423" i="81"/>
  <c r="D424" i="81"/>
  <c r="D425" i="81"/>
  <c r="D426" i="81"/>
  <c r="D427" i="81"/>
  <c r="D428" i="81"/>
  <c r="D429" i="81"/>
  <c r="D430" i="81"/>
  <c r="D431" i="81"/>
  <c r="D432" i="81"/>
  <c r="D433" i="81"/>
  <c r="D434" i="81"/>
  <c r="D435" i="81"/>
  <c r="D436" i="81"/>
  <c r="D437" i="81"/>
  <c r="D438" i="81"/>
  <c r="D439" i="81"/>
  <c r="D440" i="81"/>
  <c r="D441" i="81"/>
  <c r="D442" i="81"/>
  <c r="D443" i="81"/>
  <c r="D444" i="81"/>
  <c r="D445" i="81"/>
  <c r="D446" i="81"/>
  <c r="D447" i="81"/>
  <c r="D448" i="81"/>
  <c r="D449" i="81"/>
  <c r="D450" i="81"/>
  <c r="D451" i="81"/>
  <c r="D452" i="81"/>
  <c r="D453" i="81"/>
  <c r="D454" i="81"/>
  <c r="D455" i="81"/>
  <c r="D456" i="81"/>
  <c r="D457" i="81"/>
  <c r="D458" i="81"/>
  <c r="D459" i="81"/>
  <c r="D460" i="81"/>
  <c r="D461" i="81"/>
  <c r="D462" i="81"/>
  <c r="D463" i="81"/>
  <c r="D464" i="81"/>
  <c r="D465" i="81"/>
  <c r="D466" i="81"/>
  <c r="D467" i="81"/>
  <c r="D468" i="81"/>
  <c r="D469" i="81"/>
  <c r="D470" i="81"/>
  <c r="D471" i="81"/>
  <c r="D472" i="81"/>
  <c r="D473" i="81"/>
  <c r="D474" i="81"/>
  <c r="D475" i="81"/>
  <c r="D476" i="81"/>
  <c r="D477" i="81"/>
  <c r="D478" i="81"/>
  <c r="D479" i="81"/>
  <c r="D480" i="81"/>
  <c r="D481" i="81"/>
  <c r="D482" i="81"/>
  <c r="D483" i="81"/>
  <c r="D484" i="81"/>
  <c r="D485" i="81"/>
  <c r="D486" i="81"/>
  <c r="D487" i="81"/>
  <c r="D488" i="81"/>
  <c r="D489" i="81"/>
  <c r="D490" i="81"/>
  <c r="D491" i="81"/>
  <c r="D492" i="81"/>
  <c r="D493" i="81"/>
  <c r="D494" i="81"/>
  <c r="D495" i="81"/>
  <c r="D496" i="81"/>
  <c r="D497" i="81"/>
  <c r="D498" i="81"/>
  <c r="D499" i="81"/>
  <c r="D500" i="81"/>
  <c r="D501" i="81"/>
  <c r="D502" i="81"/>
  <c r="D503" i="81"/>
  <c r="D504" i="81"/>
  <c r="D505" i="81"/>
  <c r="D506" i="81"/>
  <c r="D507" i="81"/>
  <c r="D508" i="81"/>
  <c r="D509" i="81"/>
  <c r="D510" i="81"/>
  <c r="D511" i="81"/>
  <c r="D512" i="81"/>
  <c r="D513" i="81"/>
  <c r="D514" i="81"/>
  <c r="D515" i="81"/>
  <c r="D516" i="81"/>
  <c r="D517" i="81"/>
  <c r="D518" i="81"/>
  <c r="D519" i="81"/>
  <c r="D520" i="81"/>
  <c r="D521" i="81"/>
  <c r="D522" i="81"/>
  <c r="D523" i="81"/>
  <c r="D524" i="81"/>
  <c r="D525" i="81"/>
  <c r="D526" i="81"/>
  <c r="D527" i="81"/>
  <c r="D528" i="81"/>
  <c r="D529" i="81"/>
  <c r="D530" i="81"/>
  <c r="D531" i="81"/>
  <c r="D532" i="81"/>
  <c r="D533" i="81"/>
  <c r="D534" i="81"/>
  <c r="D535" i="81"/>
  <c r="D536" i="81"/>
  <c r="D537" i="81"/>
  <c r="D538" i="81"/>
  <c r="D539" i="81"/>
  <c r="D540" i="81"/>
  <c r="D541" i="81"/>
  <c r="D542" i="81"/>
  <c r="D543" i="81"/>
  <c r="D544" i="81"/>
  <c r="D545" i="81"/>
  <c r="D546" i="81"/>
  <c r="D547" i="81"/>
  <c r="D548" i="81"/>
  <c r="D549" i="81"/>
  <c r="D550" i="81"/>
  <c r="D551" i="81"/>
  <c r="D552" i="81"/>
  <c r="D553" i="81"/>
  <c r="D554" i="81"/>
  <c r="D555" i="81"/>
  <c r="D556" i="81"/>
  <c r="D557" i="81"/>
  <c r="D558" i="81"/>
  <c r="D559" i="81"/>
  <c r="D560" i="81"/>
  <c r="D561" i="81"/>
  <c r="D562" i="81"/>
  <c r="D563" i="81"/>
  <c r="D564" i="81"/>
  <c r="D565" i="81"/>
  <c r="D566" i="81"/>
  <c r="D567" i="81"/>
  <c r="D568" i="81"/>
  <c r="D569" i="81"/>
  <c r="D570" i="81"/>
  <c r="D571" i="81"/>
  <c r="D572" i="81"/>
  <c r="D573" i="81"/>
  <c r="D574" i="81"/>
  <c r="D575" i="81"/>
  <c r="D576" i="81"/>
  <c r="D577" i="81"/>
  <c r="D578" i="81"/>
  <c r="D579" i="81"/>
  <c r="D580" i="81"/>
  <c r="D581" i="81"/>
  <c r="D582" i="81"/>
  <c r="D583" i="81"/>
  <c r="D584" i="81"/>
  <c r="D585" i="81"/>
  <c r="D586" i="81"/>
  <c r="D587" i="81"/>
  <c r="D588" i="81"/>
  <c r="D589" i="81"/>
  <c r="D590" i="81"/>
  <c r="D591" i="81"/>
  <c r="D592" i="81"/>
  <c r="D593" i="81"/>
  <c r="D594" i="81"/>
  <c r="D595" i="81"/>
  <c r="D596" i="81"/>
  <c r="D597" i="81"/>
  <c r="D598" i="81"/>
  <c r="D599" i="81"/>
  <c r="D600" i="81"/>
  <c r="D601" i="81"/>
  <c r="D602" i="81"/>
  <c r="D603" i="81"/>
  <c r="D604" i="81"/>
  <c r="D605" i="81"/>
  <c r="D606" i="81"/>
  <c r="D607" i="81"/>
  <c r="D608" i="81"/>
  <c r="D609" i="81"/>
  <c r="D610" i="81"/>
  <c r="D611" i="81"/>
  <c r="D612" i="81"/>
  <c r="D613" i="81"/>
  <c r="D614" i="81"/>
  <c r="D615" i="81"/>
  <c r="D616" i="81"/>
  <c r="D617" i="81"/>
  <c r="D618" i="81"/>
  <c r="D619" i="81"/>
  <c r="D620" i="81"/>
  <c r="D621" i="81"/>
  <c r="D622" i="81"/>
  <c r="D623" i="81"/>
  <c r="D624" i="81"/>
  <c r="D625" i="81"/>
  <c r="D626" i="81"/>
  <c r="D627" i="81"/>
  <c r="D628" i="81"/>
  <c r="D629" i="81"/>
  <c r="D630" i="81"/>
  <c r="D631" i="81"/>
  <c r="D632" i="81"/>
  <c r="D633" i="81"/>
  <c r="D634" i="81"/>
  <c r="D635" i="81"/>
  <c r="D636" i="81"/>
  <c r="D637" i="81"/>
  <c r="D638" i="81"/>
  <c r="D639" i="81"/>
  <c r="D640" i="81"/>
  <c r="D641" i="81"/>
  <c r="D642" i="81"/>
  <c r="D643" i="81"/>
  <c r="D644" i="81"/>
  <c r="D645" i="81"/>
  <c r="D646" i="81"/>
  <c r="D647" i="81"/>
  <c r="D648" i="81"/>
  <c r="D649" i="81"/>
  <c r="D650" i="81"/>
  <c r="D651" i="81"/>
  <c r="D652" i="81"/>
  <c r="D653" i="81"/>
  <c r="D654" i="81"/>
  <c r="D655" i="81"/>
  <c r="D656" i="81"/>
  <c r="D657" i="81"/>
  <c r="D658" i="81"/>
  <c r="D659" i="81"/>
  <c r="D660" i="81"/>
  <c r="D661" i="81"/>
  <c r="D662" i="81"/>
  <c r="D663" i="81"/>
  <c r="D664" i="81"/>
  <c r="D665" i="81"/>
  <c r="D666" i="81"/>
  <c r="D667" i="81"/>
  <c r="D668" i="81"/>
  <c r="D669" i="81"/>
  <c r="D670" i="81"/>
  <c r="D671" i="81"/>
  <c r="D672" i="81"/>
  <c r="D673" i="81"/>
  <c r="D674" i="81"/>
  <c r="D675" i="81"/>
  <c r="D676" i="81"/>
  <c r="D677" i="81"/>
  <c r="D678" i="81"/>
  <c r="D679" i="81"/>
  <c r="D680" i="81"/>
  <c r="D681" i="81"/>
  <c r="D682" i="81"/>
  <c r="D683" i="81"/>
  <c r="D684" i="81"/>
  <c r="D685" i="81"/>
  <c r="D686" i="81"/>
  <c r="D687" i="81"/>
  <c r="D688" i="81"/>
  <c r="D689" i="81"/>
  <c r="D690" i="81"/>
  <c r="D691" i="81"/>
  <c r="D692" i="81"/>
  <c r="D693" i="81"/>
  <c r="D694" i="81"/>
  <c r="D695" i="81"/>
  <c r="D696" i="81"/>
  <c r="D697" i="81"/>
  <c r="D698" i="81"/>
  <c r="D699" i="81"/>
  <c r="D700" i="81"/>
  <c r="D701" i="81"/>
  <c r="D702" i="81"/>
  <c r="D703" i="81"/>
  <c r="D704" i="81"/>
  <c r="D705" i="81"/>
  <c r="D706" i="81"/>
  <c r="D707" i="81"/>
  <c r="D708" i="81"/>
  <c r="D709" i="81"/>
  <c r="D710" i="81"/>
  <c r="D711" i="81"/>
  <c r="D712" i="81"/>
  <c r="D713" i="81"/>
  <c r="D714" i="81"/>
  <c r="D715" i="81"/>
  <c r="D716" i="81"/>
  <c r="D717" i="81"/>
  <c r="D718" i="81"/>
  <c r="D719" i="81"/>
  <c r="D720" i="81"/>
  <c r="D721" i="81"/>
  <c r="D722" i="81"/>
  <c r="D723" i="81"/>
  <c r="D724" i="81"/>
  <c r="D725" i="81"/>
  <c r="D726" i="81"/>
  <c r="D727" i="81"/>
  <c r="D728" i="81"/>
  <c r="D729" i="81"/>
  <c r="D730" i="81"/>
  <c r="D731" i="81"/>
  <c r="D732" i="81"/>
  <c r="D733" i="81"/>
  <c r="D734" i="81"/>
  <c r="D735" i="81"/>
  <c r="D736" i="81"/>
  <c r="D737" i="81"/>
  <c r="D738" i="81"/>
  <c r="D739" i="81"/>
  <c r="D740" i="81"/>
  <c r="D741" i="81"/>
  <c r="D742" i="81"/>
  <c r="D743" i="81"/>
  <c r="D744" i="81"/>
  <c r="D745" i="81"/>
  <c r="D746" i="81"/>
  <c r="D747" i="81"/>
  <c r="D748" i="81"/>
  <c r="D749" i="81"/>
  <c r="D750" i="81"/>
  <c r="D751" i="81"/>
  <c r="D752" i="81"/>
  <c r="D753" i="81"/>
  <c r="D754" i="81"/>
  <c r="D755" i="81"/>
  <c r="D757" i="81"/>
  <c r="D758" i="81"/>
  <c r="V19" i="81"/>
  <c r="L21" i="81"/>
  <c r="L22" i="81"/>
  <c r="L23" i="81"/>
  <c r="D1" i="81" l="1"/>
  <c r="G6" i="81" l="1"/>
  <c r="G7" i="81" s="1"/>
  <c r="E6" i="81"/>
  <c r="E7" i="81" s="1"/>
  <c r="E8" i="81" l="1"/>
  <c r="F7" i="81"/>
  <c r="G8" i="81"/>
  <c r="H7" i="81"/>
  <c r="G9" i="81" l="1"/>
  <c r="H8" i="81"/>
  <c r="E9" i="81"/>
  <c r="F8" i="81"/>
  <c r="E10" i="81" l="1"/>
  <c r="F9" i="81"/>
  <c r="H9" i="81"/>
  <c r="G10" i="81"/>
  <c r="G11" i="81" l="1"/>
  <c r="H10" i="81"/>
  <c r="F10" i="81"/>
  <c r="E11" i="81"/>
  <c r="E12" i="81" l="1"/>
  <c r="F11" i="81"/>
  <c r="G12" i="81"/>
  <c r="H11" i="81"/>
  <c r="G13" i="81" l="1"/>
  <c r="H12" i="81"/>
  <c r="F12" i="81"/>
  <c r="E13" i="81"/>
  <c r="E14" i="81" l="1"/>
  <c r="F13" i="81"/>
  <c r="G14" i="81"/>
  <c r="H13" i="81"/>
  <c r="H14" i="81" l="1"/>
  <c r="G15" i="81"/>
  <c r="E15" i="81"/>
  <c r="F14" i="81"/>
  <c r="F15" i="81" l="1"/>
  <c r="E16" i="81"/>
  <c r="H15" i="81"/>
  <c r="G16" i="81"/>
  <c r="G17" i="81" l="1"/>
  <c r="H16" i="81"/>
  <c r="E17" i="81"/>
  <c r="F16" i="81"/>
  <c r="E18" i="81" l="1"/>
  <c r="F17" i="81"/>
  <c r="H17" i="81"/>
  <c r="G18" i="81"/>
  <c r="G19" i="81" l="1"/>
  <c r="H18" i="81"/>
  <c r="E19" i="81"/>
  <c r="F18" i="81"/>
  <c r="E20" i="81" l="1"/>
  <c r="F19" i="81"/>
  <c r="H19" i="81"/>
  <c r="G20" i="81"/>
  <c r="H20" i="81" l="1"/>
  <c r="G21" i="81"/>
  <c r="E21" i="81"/>
  <c r="F20" i="81"/>
  <c r="F21" i="81" l="1"/>
  <c r="E22" i="81"/>
  <c r="G22" i="81"/>
  <c r="H21" i="81"/>
  <c r="G23" i="81" l="1"/>
  <c r="H22" i="81"/>
  <c r="E23" i="81"/>
  <c r="F22" i="81"/>
  <c r="F23" i="81" l="1"/>
  <c r="E24" i="81"/>
  <c r="H23" i="81"/>
  <c r="G24" i="81"/>
  <c r="G25" i="81" l="1"/>
  <c r="H24" i="81"/>
  <c r="E25" i="81"/>
  <c r="F24" i="81"/>
  <c r="F25" i="81" l="1"/>
  <c r="E26" i="81"/>
  <c r="G26" i="81"/>
  <c r="H25" i="81"/>
  <c r="H26" i="81" l="1"/>
  <c r="G27" i="81"/>
  <c r="E27" i="81"/>
  <c r="F26" i="81"/>
  <c r="E28" i="81" l="1"/>
  <c r="F27" i="81"/>
  <c r="H27" i="81"/>
  <c r="G28" i="81"/>
  <c r="G29" i="81" l="1"/>
  <c r="H28" i="81"/>
  <c r="E29" i="81"/>
  <c r="F28" i="81"/>
  <c r="F29" i="81" l="1"/>
  <c r="E30" i="81"/>
  <c r="G30" i="81"/>
  <c r="H29" i="81"/>
  <c r="H30" i="81" l="1"/>
  <c r="G31" i="81"/>
  <c r="E31" i="81"/>
  <c r="F30" i="81"/>
  <c r="H31" i="81" l="1"/>
  <c r="G32" i="81"/>
  <c r="E32" i="81"/>
  <c r="F31" i="81"/>
  <c r="F32" i="81" l="1"/>
  <c r="E33" i="81"/>
  <c r="G33" i="81"/>
  <c r="H32" i="81"/>
  <c r="G34" i="81" l="1"/>
  <c r="H33" i="81"/>
  <c r="F33" i="81"/>
  <c r="E34" i="81"/>
  <c r="E35" i="81" l="1"/>
  <c r="F34" i="81"/>
  <c r="G35" i="81"/>
  <c r="H34" i="81"/>
  <c r="H35" i="81" l="1"/>
  <c r="G36" i="81"/>
  <c r="E36" i="81"/>
  <c r="F35" i="81"/>
  <c r="E37" i="81" l="1"/>
  <c r="F36" i="81"/>
  <c r="G37" i="81"/>
  <c r="H36" i="81"/>
  <c r="G38" i="81" l="1"/>
  <c r="H37" i="81"/>
  <c r="F37" i="81"/>
  <c r="E38" i="81"/>
  <c r="E39" i="81" l="1"/>
  <c r="F38" i="81"/>
  <c r="H38" i="81"/>
  <c r="G39" i="81"/>
  <c r="G40" i="81" l="1"/>
  <c r="H39" i="81"/>
  <c r="E40" i="81"/>
  <c r="F39" i="81"/>
  <c r="E41" i="81" l="1"/>
  <c r="F40" i="81"/>
  <c r="G41" i="81"/>
  <c r="H40" i="81"/>
  <c r="H41" i="81" l="1"/>
  <c r="G42" i="81"/>
  <c r="F41" i="81"/>
  <c r="E42" i="81"/>
  <c r="F42" i="81" l="1"/>
  <c r="E43" i="81"/>
  <c r="G43" i="81"/>
  <c r="H42" i="81"/>
  <c r="G44" i="81" l="1"/>
  <c r="H43" i="81"/>
  <c r="E44" i="81"/>
  <c r="F43" i="81"/>
  <c r="E45" i="81" l="1"/>
  <c r="F44" i="81"/>
  <c r="G45" i="81"/>
  <c r="H44" i="81"/>
  <c r="G46" i="81" l="1"/>
  <c r="H45" i="81"/>
  <c r="E46" i="81"/>
  <c r="F45" i="81"/>
  <c r="E47" i="81" l="1"/>
  <c r="F46" i="81"/>
  <c r="G47" i="81"/>
  <c r="H46" i="81"/>
  <c r="H47" i="81" l="1"/>
  <c r="G48" i="81"/>
  <c r="E48" i="81"/>
  <c r="F47" i="81"/>
  <c r="F48" i="81" l="1"/>
  <c r="E49" i="81"/>
  <c r="G49" i="81"/>
  <c r="H48" i="81"/>
  <c r="G50" i="81" l="1"/>
  <c r="H49" i="81"/>
  <c r="E50" i="81"/>
  <c r="F49" i="81"/>
  <c r="E51" i="81" l="1"/>
  <c r="F50" i="81"/>
  <c r="G51" i="81"/>
  <c r="H50" i="81"/>
  <c r="H51" i="81" l="1"/>
  <c r="G52" i="81"/>
  <c r="E52" i="81"/>
  <c r="F51" i="81"/>
  <c r="E53" i="81" l="1"/>
  <c r="F52" i="81"/>
  <c r="G53" i="81"/>
  <c r="H52" i="81"/>
  <c r="G54" i="81" l="1"/>
  <c r="H53" i="81"/>
  <c r="F53" i="81"/>
  <c r="E54" i="81"/>
  <c r="E55" i="81" l="1"/>
  <c r="F54" i="81"/>
  <c r="G55" i="81"/>
  <c r="H54" i="81"/>
  <c r="H55" i="81" l="1"/>
  <c r="G56" i="81"/>
  <c r="F55" i="81"/>
  <c r="E56" i="81"/>
  <c r="E57" i="81" l="1"/>
  <c r="F56" i="81"/>
  <c r="G57" i="81"/>
  <c r="H56" i="81"/>
  <c r="H57" i="81" l="1"/>
  <c r="G58" i="81"/>
  <c r="F57" i="81"/>
  <c r="E58" i="81"/>
  <c r="E59" i="81" l="1"/>
  <c r="F58" i="81"/>
  <c r="H58" i="81"/>
  <c r="G59" i="81"/>
  <c r="H59" i="81" l="1"/>
  <c r="G60" i="81"/>
  <c r="E60" i="81"/>
  <c r="F59" i="81"/>
  <c r="E61" i="81" l="1"/>
  <c r="F60" i="81"/>
  <c r="G61" i="81"/>
  <c r="H60" i="81"/>
  <c r="G62" i="81" l="1"/>
  <c r="H61" i="81"/>
  <c r="F61" i="81"/>
  <c r="E62" i="81"/>
  <c r="E63" i="81" l="1"/>
  <c r="F62" i="81"/>
  <c r="H62" i="81"/>
  <c r="G63" i="81"/>
  <c r="H63" i="81" l="1"/>
  <c r="G64" i="81"/>
  <c r="E64" i="81"/>
  <c r="F63" i="81"/>
  <c r="E65" i="81" l="1"/>
  <c r="F64" i="81"/>
  <c r="G65" i="81"/>
  <c r="H64" i="81"/>
  <c r="G66" i="81" l="1"/>
  <c r="H65" i="81"/>
  <c r="F65" i="81"/>
  <c r="E66" i="81"/>
  <c r="E67" i="81" l="1"/>
  <c r="F66" i="81"/>
  <c r="G67" i="81"/>
  <c r="H66" i="81"/>
  <c r="H67" i="81" l="1"/>
  <c r="G68" i="81"/>
  <c r="E68" i="81"/>
  <c r="F67" i="81"/>
  <c r="E69" i="81" l="1"/>
  <c r="F68" i="81"/>
  <c r="G69" i="81"/>
  <c r="H68" i="81"/>
  <c r="G70" i="81" l="1"/>
  <c r="H69" i="81"/>
  <c r="F69" i="81"/>
  <c r="E70" i="81"/>
  <c r="E71" i="81" l="1"/>
  <c r="F70" i="81"/>
  <c r="G71" i="81"/>
  <c r="H70" i="81"/>
  <c r="G72" i="81" l="1"/>
  <c r="H71" i="81"/>
  <c r="E72" i="81"/>
  <c r="F71" i="81"/>
  <c r="F72" i="81" l="1"/>
  <c r="E73" i="81"/>
  <c r="G73" i="81"/>
  <c r="H72" i="81"/>
  <c r="G74" i="81" l="1"/>
  <c r="H73" i="81"/>
  <c r="E74" i="81"/>
  <c r="F73" i="81"/>
  <c r="E75" i="81" l="1"/>
  <c r="F74" i="81"/>
  <c r="G75" i="81"/>
  <c r="H74" i="81"/>
  <c r="G76" i="81" l="1"/>
  <c r="H75" i="81"/>
  <c r="E76" i="81"/>
  <c r="F75" i="81"/>
  <c r="E77" i="81" l="1"/>
  <c r="F76" i="81"/>
  <c r="H76" i="81"/>
  <c r="G77" i="81"/>
  <c r="G78" i="81" l="1"/>
  <c r="H77" i="81"/>
  <c r="E78" i="81"/>
  <c r="F77" i="81"/>
  <c r="E79" i="81" l="1"/>
  <c r="F78" i="81"/>
  <c r="H78" i="81"/>
  <c r="G79" i="81"/>
  <c r="H79" i="81" l="1"/>
  <c r="G80" i="81"/>
  <c r="E80" i="81"/>
  <c r="F79" i="81"/>
  <c r="E81" i="81" l="1"/>
  <c r="F80" i="81"/>
  <c r="G81" i="81"/>
  <c r="H80" i="81"/>
  <c r="H81" i="81" l="1"/>
  <c r="G82" i="81"/>
  <c r="E82" i="81"/>
  <c r="F81" i="81"/>
  <c r="F82" i="81" l="1"/>
  <c r="E83" i="81"/>
  <c r="G83" i="81"/>
  <c r="H82" i="81"/>
  <c r="H83" i="81" l="1"/>
  <c r="G84" i="81"/>
  <c r="E84" i="81"/>
  <c r="F83" i="81"/>
  <c r="E85" i="81" l="1"/>
  <c r="F84" i="81"/>
  <c r="G85" i="81"/>
  <c r="H84" i="81"/>
  <c r="G86" i="81" l="1"/>
  <c r="H85" i="81"/>
  <c r="E86" i="81"/>
  <c r="F85" i="81"/>
  <c r="E87" i="81" l="1"/>
  <c r="F86" i="81"/>
  <c r="G87" i="81"/>
  <c r="H86" i="81"/>
  <c r="H87" i="81" l="1"/>
  <c r="G88" i="81"/>
  <c r="E88" i="81"/>
  <c r="F87" i="81"/>
  <c r="E89" i="81" l="1"/>
  <c r="F88" i="81"/>
  <c r="G89" i="81"/>
  <c r="H88" i="81"/>
  <c r="G90" i="81" l="1"/>
  <c r="H89" i="81"/>
  <c r="E90" i="81"/>
  <c r="F89" i="81"/>
  <c r="F90" i="81" l="1"/>
  <c r="E91" i="81"/>
  <c r="G91" i="81"/>
  <c r="H90" i="81"/>
  <c r="H91" i="81" l="1"/>
  <c r="G92" i="81"/>
  <c r="E92" i="81"/>
  <c r="F91" i="81"/>
  <c r="E93" i="81" l="1"/>
  <c r="F92" i="81"/>
  <c r="G93" i="81"/>
  <c r="H92" i="81"/>
  <c r="G94" i="81" l="1"/>
  <c r="H93" i="81"/>
  <c r="E94" i="81"/>
  <c r="F93" i="81"/>
  <c r="E95" i="81" l="1"/>
  <c r="F94" i="81"/>
  <c r="G95" i="81"/>
  <c r="H94" i="81"/>
  <c r="H95" i="81" l="1"/>
  <c r="G96" i="81"/>
  <c r="E96" i="81"/>
  <c r="F95" i="81"/>
  <c r="E97" i="81" l="1"/>
  <c r="F96" i="81"/>
  <c r="G97" i="81"/>
  <c r="H96" i="81"/>
  <c r="G98" i="81" l="1"/>
  <c r="H97" i="81"/>
  <c r="F97" i="81"/>
  <c r="E98" i="81"/>
  <c r="E99" i="81" l="1"/>
  <c r="F98" i="81"/>
  <c r="H98" i="81"/>
  <c r="G99" i="81"/>
  <c r="G100" i="81" l="1"/>
  <c r="H99" i="81"/>
  <c r="E100" i="81"/>
  <c r="F99" i="81"/>
  <c r="E101" i="81" l="1"/>
  <c r="F100" i="81"/>
  <c r="H100" i="81"/>
  <c r="G101" i="81"/>
  <c r="G102" i="81" l="1"/>
  <c r="H101" i="81"/>
  <c r="E102" i="81"/>
  <c r="F101" i="81"/>
  <c r="E103" i="81" l="1"/>
  <c r="F102" i="81"/>
  <c r="G103" i="81"/>
  <c r="H102" i="81"/>
  <c r="G104" i="81" l="1"/>
  <c r="H103" i="81"/>
  <c r="E104" i="81"/>
  <c r="F103" i="81"/>
  <c r="E105" i="81" l="1"/>
  <c r="F104" i="81"/>
  <c r="G105" i="81"/>
  <c r="H104" i="81"/>
  <c r="G106" i="81" l="1"/>
  <c r="H105" i="81"/>
  <c r="F105" i="81"/>
  <c r="E106" i="81"/>
  <c r="E107" i="81" l="1"/>
  <c r="F106" i="81"/>
  <c r="G107" i="81"/>
  <c r="H106" i="81"/>
  <c r="G108" i="81" l="1"/>
  <c r="H107" i="81"/>
  <c r="E108" i="81"/>
  <c r="F107" i="81"/>
  <c r="F108" i="81" l="1"/>
  <c r="E109" i="81"/>
  <c r="G109" i="81"/>
  <c r="H108" i="81"/>
  <c r="G110" i="81" l="1"/>
  <c r="H109" i="81"/>
  <c r="E110" i="81"/>
  <c r="F109" i="81"/>
  <c r="E111" i="81" l="1"/>
  <c r="F110" i="81"/>
  <c r="G111" i="81"/>
  <c r="H110" i="81"/>
  <c r="H111" i="81" l="1"/>
  <c r="G112" i="81"/>
  <c r="E112" i="81"/>
  <c r="F111" i="81"/>
  <c r="G113" i="81" l="1"/>
  <c r="H112" i="81"/>
  <c r="F112" i="81"/>
  <c r="E113" i="81"/>
  <c r="E114" i="81" l="1"/>
  <c r="F113" i="81"/>
  <c r="H113" i="81"/>
  <c r="G114" i="81"/>
  <c r="G115" i="81" l="1"/>
  <c r="H114" i="81"/>
  <c r="E115" i="81"/>
  <c r="F114" i="81"/>
  <c r="E116" i="81" l="1"/>
  <c r="F115" i="81"/>
  <c r="G116" i="81"/>
  <c r="H115" i="81"/>
  <c r="H116" i="81" l="1"/>
  <c r="G117" i="81"/>
  <c r="E117" i="81"/>
  <c r="F116" i="81"/>
  <c r="F117" i="81" l="1"/>
  <c r="E118" i="81"/>
  <c r="G118" i="81"/>
  <c r="H117" i="81"/>
  <c r="G119" i="81" l="1"/>
  <c r="H118" i="81"/>
  <c r="E119" i="81"/>
  <c r="F118" i="81"/>
  <c r="F119" i="81" l="1"/>
  <c r="E120" i="81"/>
  <c r="G120" i="81"/>
  <c r="H119" i="81"/>
  <c r="G121" i="81" l="1"/>
  <c r="H120" i="81"/>
  <c r="E121" i="81"/>
  <c r="F120" i="81"/>
  <c r="H121" i="81" l="1"/>
  <c r="G122" i="81"/>
  <c r="E122" i="81"/>
  <c r="F121" i="81"/>
  <c r="E123" i="81" l="1"/>
  <c r="F122" i="81"/>
  <c r="G123" i="81"/>
  <c r="H122" i="81"/>
  <c r="G124" i="81" l="1"/>
  <c r="H123" i="81"/>
  <c r="E124" i="81"/>
  <c r="F123" i="81"/>
  <c r="E125" i="81" l="1"/>
  <c r="F124" i="81"/>
  <c r="G125" i="81"/>
  <c r="H124" i="81"/>
  <c r="G126" i="81" l="1"/>
  <c r="H125" i="81"/>
  <c r="F125" i="81"/>
  <c r="E126" i="81"/>
  <c r="E127" i="81" l="1"/>
  <c r="F126" i="81"/>
  <c r="H126" i="81"/>
  <c r="G127" i="81"/>
  <c r="H127" i="81" l="1"/>
  <c r="G128" i="81"/>
  <c r="E128" i="81"/>
  <c r="F127" i="81"/>
  <c r="F128" i="81" l="1"/>
  <c r="E129" i="81"/>
  <c r="G129" i="81"/>
  <c r="H128" i="81"/>
  <c r="G130" i="81" l="1"/>
  <c r="H129" i="81"/>
  <c r="E130" i="81"/>
  <c r="F129" i="81"/>
  <c r="E131" i="81" l="1"/>
  <c r="F130" i="81"/>
  <c r="G131" i="81"/>
  <c r="H130" i="81"/>
  <c r="G132" i="81" l="1"/>
  <c r="H131" i="81"/>
  <c r="E132" i="81"/>
  <c r="F131" i="81"/>
  <c r="F132" i="81" l="1"/>
  <c r="E133" i="81"/>
  <c r="G133" i="81"/>
  <c r="H132" i="81"/>
  <c r="G134" i="81" l="1"/>
  <c r="H133" i="81"/>
  <c r="E134" i="81"/>
  <c r="F133" i="81"/>
  <c r="H134" i="81" l="1"/>
  <c r="G135" i="81"/>
  <c r="E135" i="81"/>
  <c r="F134" i="81"/>
  <c r="E136" i="81" l="1"/>
  <c r="F135" i="81"/>
  <c r="G136" i="81"/>
  <c r="H135" i="81"/>
  <c r="G137" i="81" l="1"/>
  <c r="H136" i="81"/>
  <c r="E137" i="81"/>
  <c r="F136" i="81"/>
  <c r="F137" i="81" l="1"/>
  <c r="E138" i="81"/>
  <c r="G138" i="81"/>
  <c r="H137" i="81"/>
  <c r="G139" i="81" l="1"/>
  <c r="H138" i="81"/>
  <c r="F138" i="81"/>
  <c r="E139" i="81"/>
  <c r="E140" i="81" l="1"/>
  <c r="F139" i="81"/>
  <c r="G140" i="81"/>
  <c r="H139" i="81"/>
  <c r="G141" i="81" l="1"/>
  <c r="H140" i="81"/>
  <c r="F140" i="81"/>
  <c r="E141" i="81"/>
  <c r="E142" i="81" l="1"/>
  <c r="F141" i="81"/>
  <c r="H141" i="81"/>
  <c r="G142" i="81"/>
  <c r="G143" i="81" l="1"/>
  <c r="H142" i="81"/>
  <c r="E143" i="81"/>
  <c r="F142" i="81"/>
  <c r="F143" i="81" l="1"/>
  <c r="E144" i="81"/>
  <c r="H143" i="81"/>
  <c r="G144" i="81"/>
  <c r="G145" i="81" l="1"/>
  <c r="H144" i="81"/>
  <c r="E145" i="81"/>
  <c r="F144" i="81"/>
  <c r="E146" i="81" l="1"/>
  <c r="F145" i="81"/>
  <c r="G146" i="81"/>
  <c r="H145" i="81"/>
  <c r="G147" i="81" l="1"/>
  <c r="H146" i="81"/>
  <c r="F146" i="81"/>
  <c r="E147" i="81"/>
  <c r="E148" i="81" l="1"/>
  <c r="F147" i="81"/>
  <c r="G148" i="81"/>
  <c r="H147" i="81"/>
  <c r="H148" i="81" l="1"/>
  <c r="G149" i="81"/>
  <c r="F148" i="81"/>
  <c r="E149" i="81"/>
  <c r="E150" i="81" l="1"/>
  <c r="F149" i="81"/>
  <c r="G150" i="81"/>
  <c r="H149" i="81"/>
  <c r="G151" i="81" l="1"/>
  <c r="H150" i="81"/>
  <c r="E151" i="81"/>
  <c r="F150" i="81"/>
  <c r="E152" i="81" l="1"/>
  <c r="F151" i="81"/>
  <c r="G152" i="81"/>
  <c r="H151" i="81"/>
  <c r="G153" i="81" l="1"/>
  <c r="H152" i="81"/>
  <c r="E153" i="81"/>
  <c r="F152" i="81"/>
  <c r="E154" i="81" l="1"/>
  <c r="F153" i="81"/>
  <c r="G154" i="81"/>
  <c r="H153" i="81"/>
  <c r="H154" i="81" l="1"/>
  <c r="G155" i="81"/>
  <c r="F154" i="81"/>
  <c r="E155" i="81"/>
  <c r="E156" i="81" l="1"/>
  <c r="F155" i="81"/>
  <c r="G156" i="81"/>
  <c r="H155" i="81"/>
  <c r="H156" i="81" l="1"/>
  <c r="G157" i="81"/>
  <c r="E157" i="81"/>
  <c r="F156" i="81"/>
  <c r="F157" i="81" l="1"/>
  <c r="E158" i="81"/>
  <c r="G158" i="81"/>
  <c r="H157" i="81"/>
  <c r="G159" i="81" l="1"/>
  <c r="H158" i="81"/>
  <c r="E159" i="81"/>
  <c r="F158" i="81"/>
  <c r="E160" i="81" l="1"/>
  <c r="F159" i="81"/>
  <c r="G160" i="81"/>
  <c r="H159" i="81"/>
  <c r="G161" i="81" l="1"/>
  <c r="H160" i="81"/>
  <c r="E161" i="81"/>
  <c r="F160" i="81"/>
  <c r="E162" i="81" l="1"/>
  <c r="F161" i="81"/>
  <c r="G162" i="81"/>
  <c r="H161" i="81"/>
  <c r="G163" i="81" l="1"/>
  <c r="H162" i="81"/>
  <c r="E163" i="81"/>
  <c r="F162" i="81"/>
  <c r="E164" i="81" l="1"/>
  <c r="F163" i="81"/>
  <c r="G164" i="81"/>
  <c r="H163" i="81"/>
  <c r="H164" i="81" l="1"/>
  <c r="G165" i="81"/>
  <c r="E165" i="81"/>
  <c r="F164" i="81"/>
  <c r="F165" i="81" l="1"/>
  <c r="E166" i="81"/>
  <c r="G166" i="81"/>
  <c r="H165" i="81"/>
  <c r="H166" i="81" l="1"/>
  <c r="G167" i="81"/>
  <c r="E167" i="81"/>
  <c r="F166" i="81"/>
  <c r="E168" i="81" l="1"/>
  <c r="F167" i="81"/>
  <c r="G168" i="81"/>
  <c r="H167" i="81"/>
  <c r="G169" i="81" l="1"/>
  <c r="H168" i="81"/>
  <c r="F168" i="81"/>
  <c r="E169" i="81"/>
  <c r="F169" i="81" l="1"/>
  <c r="E170" i="81"/>
  <c r="H169" i="81"/>
  <c r="G170" i="81"/>
  <c r="G171" i="81" l="1"/>
  <c r="H170" i="81"/>
  <c r="E171" i="81"/>
  <c r="F170" i="81"/>
  <c r="E172" i="81" l="1"/>
  <c r="F171" i="81"/>
  <c r="G172" i="81"/>
  <c r="H171" i="81"/>
  <c r="G173" i="81" l="1"/>
  <c r="H172" i="81"/>
  <c r="E173" i="81"/>
  <c r="F172" i="81"/>
  <c r="E174" i="81" l="1"/>
  <c r="F173" i="81"/>
  <c r="G174" i="81"/>
  <c r="H173" i="81"/>
  <c r="G175" i="81" l="1"/>
  <c r="H174" i="81"/>
  <c r="E175" i="81"/>
  <c r="F174" i="81"/>
  <c r="F175" i="81" l="1"/>
  <c r="E176" i="81"/>
  <c r="H175" i="81"/>
  <c r="G176" i="81"/>
  <c r="G177" i="81" l="1"/>
  <c r="H176" i="81"/>
  <c r="F176" i="81"/>
  <c r="E177" i="81"/>
  <c r="E178" i="81" l="1"/>
  <c r="F177" i="81"/>
  <c r="H177" i="81"/>
  <c r="G178" i="81"/>
  <c r="G179" i="81" l="1"/>
  <c r="H178" i="81"/>
  <c r="E179" i="81"/>
  <c r="F178" i="81"/>
  <c r="E180" i="81" l="1"/>
  <c r="F179" i="81"/>
  <c r="G180" i="81"/>
  <c r="H179" i="81"/>
  <c r="H180" i="81" l="1"/>
  <c r="G181" i="81"/>
  <c r="F180" i="81"/>
  <c r="E181" i="81"/>
  <c r="F181" i="81" l="1"/>
  <c r="E182" i="81"/>
  <c r="G182" i="81"/>
  <c r="H181" i="81"/>
  <c r="G183" i="81" l="1"/>
  <c r="H182" i="81"/>
  <c r="E183" i="81"/>
  <c r="F182" i="81"/>
  <c r="F183" i="81" l="1"/>
  <c r="E184" i="81"/>
  <c r="H183" i="81"/>
  <c r="G184" i="81"/>
  <c r="G185" i="81" l="1"/>
  <c r="H184" i="81"/>
  <c r="E185" i="81"/>
  <c r="F184" i="81"/>
  <c r="F185" i="81" l="1"/>
  <c r="E186" i="81"/>
  <c r="H185" i="81"/>
  <c r="G186" i="81"/>
  <c r="G187" i="81" l="1"/>
  <c r="H186" i="81"/>
  <c r="E187" i="81"/>
  <c r="F186" i="81"/>
  <c r="E188" i="81" l="1"/>
  <c r="F187" i="81"/>
  <c r="G188" i="81"/>
  <c r="H187" i="81"/>
  <c r="G189" i="81" l="1"/>
  <c r="H188" i="81"/>
  <c r="E189" i="81"/>
  <c r="F188" i="81"/>
  <c r="F189" i="81" l="1"/>
  <c r="E190" i="81"/>
  <c r="G190" i="81"/>
  <c r="H189" i="81"/>
  <c r="G191" i="81" l="1"/>
  <c r="H190" i="81"/>
  <c r="E191" i="81"/>
  <c r="F190" i="81"/>
  <c r="E192" i="81" l="1"/>
  <c r="F191" i="81"/>
  <c r="H191" i="81"/>
  <c r="G192" i="81"/>
  <c r="G193" i="81" l="1"/>
  <c r="H192" i="81"/>
  <c r="E193" i="81"/>
  <c r="F192" i="81"/>
  <c r="F193" i="81" l="1"/>
  <c r="E194" i="81"/>
  <c r="G194" i="81"/>
  <c r="H193" i="81"/>
  <c r="G195" i="81" l="1"/>
  <c r="H194" i="81"/>
  <c r="E195" i="81"/>
  <c r="F194" i="81"/>
  <c r="E196" i="81" l="1"/>
  <c r="F195" i="81"/>
  <c r="G196" i="81"/>
  <c r="H195" i="81"/>
  <c r="H196" i="81" l="1"/>
  <c r="G197" i="81"/>
  <c r="F196" i="81"/>
  <c r="E197" i="81"/>
  <c r="E198" i="81" l="1"/>
  <c r="F197" i="81"/>
  <c r="H197" i="81"/>
  <c r="G198" i="81"/>
  <c r="H198" i="81" l="1"/>
  <c r="G199" i="81"/>
  <c r="E199" i="81"/>
  <c r="F198" i="81"/>
  <c r="E200" i="81" l="1"/>
  <c r="F199" i="81"/>
  <c r="G200" i="81"/>
  <c r="H199" i="81"/>
  <c r="G201" i="81" l="1"/>
  <c r="H200" i="81"/>
  <c r="F200" i="81"/>
  <c r="E201" i="81"/>
  <c r="E202" i="81" l="1"/>
  <c r="F201" i="81"/>
  <c r="G202" i="81"/>
  <c r="H201" i="81"/>
  <c r="G203" i="81" l="1"/>
  <c r="H202" i="81"/>
  <c r="E203" i="81"/>
  <c r="F202" i="81"/>
  <c r="E204" i="81" l="1"/>
  <c r="F203" i="81"/>
  <c r="G204" i="81"/>
  <c r="H203" i="81"/>
  <c r="G205" i="81" l="1"/>
  <c r="H204" i="81"/>
  <c r="F204" i="81"/>
  <c r="E205" i="81"/>
  <c r="E206" i="81" l="1"/>
  <c r="F205" i="81"/>
  <c r="G206" i="81"/>
  <c r="H205" i="81"/>
  <c r="H206" i="81" l="1"/>
  <c r="G207" i="81"/>
  <c r="E207" i="81"/>
  <c r="F206" i="81"/>
  <c r="E208" i="81" l="1"/>
  <c r="F207" i="81"/>
  <c r="H207" i="81"/>
  <c r="G208" i="81"/>
  <c r="G209" i="81" l="1"/>
  <c r="H208" i="81"/>
  <c r="F208" i="81"/>
  <c r="E209" i="81"/>
  <c r="E210" i="81" l="1"/>
  <c r="F209" i="81"/>
  <c r="H209" i="81"/>
  <c r="G210" i="81"/>
  <c r="G211" i="81" l="1"/>
  <c r="H210" i="81"/>
  <c r="E211" i="81"/>
  <c r="F210" i="81"/>
  <c r="E212" i="81" l="1"/>
  <c r="F211" i="81"/>
  <c r="G212" i="81"/>
  <c r="H211" i="81"/>
  <c r="H212" i="81" l="1"/>
  <c r="G213" i="81"/>
  <c r="F212" i="81"/>
  <c r="E213" i="81"/>
  <c r="F213" i="81" l="1"/>
  <c r="E214" i="81"/>
  <c r="H213" i="81"/>
  <c r="G214" i="81"/>
  <c r="G215" i="81" l="1"/>
  <c r="H214" i="81"/>
  <c r="E215" i="81"/>
  <c r="F214" i="81"/>
  <c r="E216" i="81" l="1"/>
  <c r="F215" i="81"/>
  <c r="G216" i="81"/>
  <c r="H215" i="81"/>
  <c r="G217" i="81" l="1"/>
  <c r="H216" i="81"/>
  <c r="E217" i="81"/>
  <c r="F216" i="81"/>
  <c r="E218" i="81" l="1"/>
  <c r="F217" i="81"/>
  <c r="G218" i="81"/>
  <c r="H217" i="81"/>
  <c r="G219" i="81" l="1"/>
  <c r="H218" i="81"/>
  <c r="F218" i="81"/>
  <c r="E219" i="81"/>
  <c r="E220" i="81" l="1"/>
  <c r="F219" i="81"/>
  <c r="G220" i="81"/>
  <c r="H219" i="81"/>
  <c r="G221" i="81" l="1"/>
  <c r="H220" i="81"/>
  <c r="E221" i="81"/>
  <c r="F220" i="81"/>
  <c r="E222" i="81" l="1"/>
  <c r="F221" i="81"/>
  <c r="G222" i="81"/>
  <c r="H221" i="81"/>
  <c r="G223" i="81" l="1"/>
  <c r="H222" i="81"/>
  <c r="E223" i="81"/>
  <c r="F222" i="81"/>
  <c r="E224" i="81" l="1"/>
  <c r="F223" i="81"/>
  <c r="H223" i="81"/>
  <c r="G224" i="81"/>
  <c r="G225" i="81" l="1"/>
  <c r="H224" i="81"/>
  <c r="F224" i="81"/>
  <c r="E225" i="81"/>
  <c r="F225" i="81" l="1"/>
  <c r="E226" i="81"/>
  <c r="G226" i="81"/>
  <c r="H225" i="81"/>
  <c r="H226" i="81" l="1"/>
  <c r="G227" i="81"/>
  <c r="E227" i="81"/>
  <c r="F226" i="81"/>
  <c r="E228" i="81" l="1"/>
  <c r="F227" i="81"/>
  <c r="G228" i="81"/>
  <c r="H227" i="81"/>
  <c r="H228" i="81" l="1"/>
  <c r="G229" i="81"/>
  <c r="E229" i="81"/>
  <c r="F228" i="81"/>
  <c r="E230" i="81" l="1"/>
  <c r="F229" i="81"/>
  <c r="H229" i="81"/>
  <c r="G230" i="81"/>
  <c r="G231" i="81" l="1"/>
  <c r="H230" i="81"/>
  <c r="E231" i="81"/>
  <c r="F230" i="81"/>
  <c r="E232" i="81" l="1"/>
  <c r="F231" i="81"/>
  <c r="G232" i="81"/>
  <c r="H231" i="81"/>
  <c r="G233" i="81" l="1"/>
  <c r="H232" i="81"/>
  <c r="E233" i="81"/>
  <c r="F232" i="81"/>
  <c r="F233" i="81" l="1"/>
  <c r="E234" i="81"/>
  <c r="H233" i="81"/>
  <c r="G234" i="81"/>
  <c r="H234" i="81" l="1"/>
  <c r="G235" i="81"/>
  <c r="E235" i="81"/>
  <c r="F234" i="81"/>
  <c r="E236" i="81" l="1"/>
  <c r="F235" i="81"/>
  <c r="G236" i="81"/>
  <c r="H235" i="81"/>
  <c r="H236" i="81" l="1"/>
  <c r="G237" i="81"/>
  <c r="E237" i="81"/>
  <c r="F236" i="81"/>
  <c r="E238" i="81" l="1"/>
  <c r="F237" i="81"/>
  <c r="H237" i="81"/>
  <c r="G238" i="81"/>
  <c r="G239" i="81" l="1"/>
  <c r="H238" i="81"/>
  <c r="E239" i="81"/>
  <c r="F238" i="81"/>
  <c r="F239" i="81" l="1"/>
  <c r="E240" i="81"/>
  <c r="H239" i="81"/>
  <c r="G240" i="81"/>
  <c r="G241" i="81" l="1"/>
  <c r="H240" i="81"/>
  <c r="E241" i="81"/>
  <c r="F240" i="81"/>
  <c r="E242" i="81" l="1"/>
  <c r="F241" i="81"/>
  <c r="H241" i="81"/>
  <c r="G242" i="81"/>
  <c r="G243" i="81" l="1"/>
  <c r="H242" i="81"/>
  <c r="E243" i="81"/>
  <c r="F242" i="81"/>
  <c r="E244" i="81" l="1"/>
  <c r="F243" i="81"/>
  <c r="G244" i="81"/>
  <c r="H243" i="81"/>
  <c r="H244" i="81" l="1"/>
  <c r="G245" i="81"/>
  <c r="E245" i="81"/>
  <c r="F244" i="81"/>
  <c r="F245" i="81" l="1"/>
  <c r="E246" i="81"/>
  <c r="G246" i="81"/>
  <c r="H245" i="81"/>
  <c r="G247" i="81" l="1"/>
  <c r="H246" i="81"/>
  <c r="E247" i="81"/>
  <c r="F246" i="81"/>
  <c r="E248" i="81" l="1"/>
  <c r="F247" i="81"/>
  <c r="G248" i="81"/>
  <c r="H247" i="81"/>
  <c r="G249" i="81" l="1"/>
  <c r="H248" i="81"/>
  <c r="E249" i="81"/>
  <c r="F248" i="81"/>
  <c r="E250" i="81" l="1"/>
  <c r="F249" i="81"/>
  <c r="G250" i="81"/>
  <c r="H249" i="81"/>
  <c r="G251" i="81" l="1"/>
  <c r="H250" i="81"/>
  <c r="F250" i="81"/>
  <c r="E251" i="81"/>
  <c r="E252" i="81" l="1"/>
  <c r="F251" i="81"/>
  <c r="G252" i="81"/>
  <c r="H251" i="81"/>
  <c r="G253" i="81" l="1"/>
  <c r="H252" i="81"/>
  <c r="E253" i="81"/>
  <c r="F252" i="81"/>
  <c r="F253" i="81" l="1"/>
  <c r="E254" i="81"/>
  <c r="G254" i="81"/>
  <c r="H253" i="81"/>
  <c r="H254" i="81" l="1"/>
  <c r="G255" i="81"/>
  <c r="E255" i="81"/>
  <c r="F254" i="81"/>
  <c r="E256" i="81" l="1"/>
  <c r="F255" i="81"/>
  <c r="H255" i="81"/>
  <c r="G256" i="81"/>
  <c r="G257" i="81" l="1"/>
  <c r="H256" i="81"/>
  <c r="F256" i="81"/>
  <c r="E257" i="81"/>
  <c r="E258" i="81" l="1"/>
  <c r="F257" i="81"/>
  <c r="G258" i="81"/>
  <c r="H257" i="81"/>
  <c r="G259" i="81" l="1"/>
  <c r="H258" i="81"/>
  <c r="E259" i="81"/>
  <c r="F258" i="81"/>
  <c r="E260" i="81" l="1"/>
  <c r="F259" i="81"/>
  <c r="G260" i="81"/>
  <c r="H259" i="81"/>
  <c r="G261" i="81" l="1"/>
  <c r="H260" i="81"/>
  <c r="F260" i="81"/>
  <c r="E261" i="81"/>
  <c r="E262" i="81" l="1"/>
  <c r="F261" i="81"/>
  <c r="H261" i="81"/>
  <c r="G262" i="81"/>
  <c r="H262" i="81" l="1"/>
  <c r="G263" i="81"/>
  <c r="E263" i="81"/>
  <c r="F262" i="81"/>
  <c r="E264" i="81" l="1"/>
  <c r="F263" i="81"/>
  <c r="G264" i="81"/>
  <c r="H263" i="81"/>
  <c r="G265" i="81" l="1"/>
  <c r="H264" i="81"/>
  <c r="E265" i="81"/>
  <c r="F264" i="81"/>
  <c r="F265" i="81" l="1"/>
  <c r="E266" i="81"/>
  <c r="G266" i="81"/>
  <c r="H265" i="81"/>
  <c r="G267" i="81" l="1"/>
  <c r="H266" i="81"/>
  <c r="E267" i="81"/>
  <c r="F266" i="81"/>
  <c r="E268" i="81" l="1"/>
  <c r="F267" i="81"/>
  <c r="G268" i="81"/>
  <c r="H267" i="81"/>
  <c r="G269" i="81" l="1"/>
  <c r="H268" i="81"/>
  <c r="F268" i="81"/>
  <c r="E269" i="81"/>
  <c r="E270" i="81" l="1"/>
  <c r="F269" i="81"/>
  <c r="G270" i="81"/>
  <c r="H269" i="81"/>
  <c r="H270" i="81" l="1"/>
  <c r="G271" i="81"/>
  <c r="E271" i="81"/>
  <c r="F270" i="81"/>
  <c r="E272" i="81" l="1"/>
  <c r="F271" i="81"/>
  <c r="G272" i="81"/>
  <c r="H271" i="81"/>
  <c r="G273" i="81" l="1"/>
  <c r="H272" i="81"/>
  <c r="E273" i="81"/>
  <c r="F272" i="81"/>
  <c r="E274" i="81" l="1"/>
  <c r="F273" i="81"/>
  <c r="G274" i="81"/>
  <c r="H273" i="81"/>
  <c r="G275" i="81" l="1"/>
  <c r="H274" i="81"/>
  <c r="E275" i="81"/>
  <c r="F274" i="81"/>
  <c r="E276" i="81" l="1"/>
  <c r="F275" i="81"/>
  <c r="G276" i="81"/>
  <c r="H275" i="81"/>
  <c r="G277" i="81" l="1"/>
  <c r="H276" i="81"/>
  <c r="F276" i="81"/>
  <c r="E277" i="81"/>
  <c r="E278" i="81" l="1"/>
  <c r="F277" i="81"/>
  <c r="G278" i="81"/>
  <c r="H277" i="81"/>
  <c r="G279" i="81" l="1"/>
  <c r="H278" i="81"/>
  <c r="E279" i="81"/>
  <c r="F278" i="81"/>
  <c r="E280" i="81" l="1"/>
  <c r="F279" i="81"/>
  <c r="G280" i="81"/>
  <c r="H279" i="81"/>
  <c r="G281" i="81" l="1"/>
  <c r="H280" i="81"/>
  <c r="E281" i="81"/>
  <c r="F280" i="81"/>
  <c r="F281" i="81" l="1"/>
  <c r="E282" i="81"/>
  <c r="H281" i="81"/>
  <c r="G282" i="81"/>
  <c r="H282" i="81" l="1"/>
  <c r="G283" i="81"/>
  <c r="E283" i="81"/>
  <c r="F282" i="81"/>
  <c r="E284" i="81" l="1"/>
  <c r="F283" i="81"/>
  <c r="G284" i="81"/>
  <c r="H283" i="81"/>
  <c r="G285" i="81" l="1"/>
  <c r="H284" i="81"/>
  <c r="E285" i="81"/>
  <c r="F284" i="81"/>
  <c r="E286" i="81" l="1"/>
  <c r="F285" i="81"/>
  <c r="G286" i="81"/>
  <c r="H285" i="81"/>
  <c r="H286" i="81" l="1"/>
  <c r="G287" i="81"/>
  <c r="E287" i="81"/>
  <c r="F286" i="81"/>
  <c r="G288" i="81" l="1"/>
  <c r="H287" i="81"/>
  <c r="E288" i="81"/>
  <c r="F287" i="81"/>
  <c r="E289" i="81" l="1"/>
  <c r="F288" i="81"/>
  <c r="G289" i="81"/>
  <c r="H288" i="81"/>
  <c r="G290" i="81" l="1"/>
  <c r="H289" i="81"/>
  <c r="F289" i="81"/>
  <c r="E290" i="81"/>
  <c r="E291" i="81" l="1"/>
  <c r="F290" i="81"/>
  <c r="G291" i="81"/>
  <c r="H290" i="81"/>
  <c r="G292" i="81" l="1"/>
  <c r="H291" i="81"/>
  <c r="E292" i="81"/>
  <c r="F291" i="81"/>
  <c r="E293" i="81" l="1"/>
  <c r="F292" i="81"/>
  <c r="H292" i="81"/>
  <c r="G293" i="81"/>
  <c r="H293" i="81" l="1"/>
  <c r="G294" i="81"/>
  <c r="E294" i="81"/>
  <c r="F293" i="81"/>
  <c r="G295" i="81" l="1"/>
  <c r="H294" i="81"/>
  <c r="E295" i="81"/>
  <c r="F294" i="81"/>
  <c r="E296" i="81" l="1"/>
  <c r="F295" i="81"/>
  <c r="G296" i="81"/>
  <c r="H295" i="81"/>
  <c r="G297" i="81" l="1"/>
  <c r="H296" i="81"/>
  <c r="F296" i="81"/>
  <c r="E297" i="81"/>
  <c r="F297" i="81" l="1"/>
  <c r="E298" i="81"/>
  <c r="H297" i="81"/>
  <c r="G298" i="81"/>
  <c r="H298" i="81" l="1"/>
  <c r="G299" i="81"/>
  <c r="F298" i="81"/>
  <c r="E299" i="81"/>
  <c r="G300" i="81" l="1"/>
  <c r="H299" i="81"/>
  <c r="E300" i="81"/>
  <c r="F299" i="81"/>
  <c r="E301" i="81" l="1"/>
  <c r="F300" i="81"/>
  <c r="G301" i="81"/>
  <c r="H300" i="81"/>
  <c r="G302" i="81" l="1"/>
  <c r="H301" i="81"/>
  <c r="E302" i="81"/>
  <c r="F301" i="81"/>
  <c r="E303" i="81" l="1"/>
  <c r="F302" i="81"/>
  <c r="G303" i="81"/>
  <c r="H302" i="81"/>
  <c r="G304" i="81" l="1"/>
  <c r="H303" i="81"/>
  <c r="E304" i="81"/>
  <c r="F303" i="81"/>
  <c r="E305" i="81" l="1"/>
  <c r="F304" i="81"/>
  <c r="G305" i="81"/>
  <c r="H304" i="81"/>
  <c r="G306" i="81" l="1"/>
  <c r="H305" i="81"/>
  <c r="E306" i="81"/>
  <c r="F305" i="81"/>
  <c r="E307" i="81" l="1"/>
  <c r="F306" i="81"/>
  <c r="G307" i="81"/>
  <c r="H306" i="81"/>
  <c r="G308" i="81" l="1"/>
  <c r="H307" i="81"/>
  <c r="E308" i="81"/>
  <c r="F307" i="81"/>
  <c r="E309" i="81" l="1"/>
  <c r="F308" i="81"/>
  <c r="G309" i="81"/>
  <c r="H308" i="81"/>
  <c r="G310" i="81" l="1"/>
  <c r="H309" i="81"/>
  <c r="F309" i="81"/>
  <c r="E310" i="81"/>
  <c r="E311" i="81" l="1"/>
  <c r="F310" i="81"/>
  <c r="G311" i="81"/>
  <c r="H310" i="81"/>
  <c r="H311" i="81" l="1"/>
  <c r="G312" i="81"/>
  <c r="E312" i="81"/>
  <c r="F311" i="81"/>
  <c r="G313" i="81" l="1"/>
  <c r="H312" i="81"/>
  <c r="E313" i="81"/>
  <c r="F312" i="81"/>
  <c r="F313" i="81" l="1"/>
  <c r="E314" i="81"/>
  <c r="H313" i="81"/>
  <c r="G314" i="81"/>
  <c r="G315" i="81" l="1"/>
  <c r="H314" i="81"/>
  <c r="E315" i="81"/>
  <c r="F314" i="81"/>
  <c r="E316" i="81" l="1"/>
  <c r="F315" i="81"/>
  <c r="G316" i="81"/>
  <c r="H315" i="81"/>
  <c r="G317" i="81" l="1"/>
  <c r="H316" i="81"/>
  <c r="E317" i="81"/>
  <c r="F316" i="81"/>
  <c r="F317" i="81" l="1"/>
  <c r="E318" i="81"/>
  <c r="G318" i="81"/>
  <c r="H317" i="81"/>
  <c r="E319" i="81" l="1"/>
  <c r="F318" i="81"/>
  <c r="G319" i="81"/>
  <c r="H318" i="81"/>
  <c r="H319" i="81" l="1"/>
  <c r="G320" i="81"/>
  <c r="F319" i="81"/>
  <c r="E320" i="81"/>
  <c r="G321" i="81" l="1"/>
  <c r="H320" i="81"/>
  <c r="E321" i="81"/>
  <c r="F320" i="81"/>
  <c r="E322" i="81" l="1"/>
  <c r="F321" i="81"/>
  <c r="G322" i="81"/>
  <c r="H321" i="81"/>
  <c r="G323" i="81" l="1"/>
  <c r="H322" i="81"/>
  <c r="E323" i="81"/>
  <c r="F322" i="81"/>
  <c r="E324" i="81" l="1"/>
  <c r="F323" i="81"/>
  <c r="G324" i="81"/>
  <c r="H323" i="81"/>
  <c r="G325" i="81" l="1"/>
  <c r="H324" i="81"/>
  <c r="E325" i="81"/>
  <c r="F324" i="81"/>
  <c r="F325" i="81" l="1"/>
  <c r="E326" i="81"/>
  <c r="H325" i="81"/>
  <c r="G326" i="81"/>
  <c r="E327" i="81" l="1"/>
  <c r="F326" i="81"/>
  <c r="H326" i="81"/>
  <c r="G327" i="81"/>
  <c r="G328" i="81" l="1"/>
  <c r="H327" i="81"/>
  <c r="E328" i="81"/>
  <c r="F327" i="81"/>
  <c r="E329" i="81" l="1"/>
  <c r="F328" i="81"/>
  <c r="G329" i="81"/>
  <c r="H328" i="81"/>
  <c r="H329" i="81" l="1"/>
  <c r="G330" i="81"/>
  <c r="E330" i="81"/>
  <c r="F329" i="81"/>
  <c r="E331" i="81" l="1"/>
  <c r="F330" i="81"/>
  <c r="G331" i="81"/>
  <c r="H330" i="81"/>
  <c r="G332" i="81" l="1"/>
  <c r="H331" i="81"/>
  <c r="E332" i="81"/>
  <c r="F331" i="81"/>
  <c r="E333" i="81" l="1"/>
  <c r="F332" i="81"/>
  <c r="G333" i="81"/>
  <c r="H332" i="81"/>
  <c r="H333" i="81" l="1"/>
  <c r="G334" i="81"/>
  <c r="E334" i="81"/>
  <c r="F333" i="81"/>
  <c r="E335" i="81" l="1"/>
  <c r="F334" i="81"/>
  <c r="H334" i="81"/>
  <c r="G335" i="81"/>
  <c r="G336" i="81" l="1"/>
  <c r="H335" i="81"/>
  <c r="E336" i="81"/>
  <c r="F335" i="81"/>
  <c r="F336" i="81" l="1"/>
  <c r="E337" i="81"/>
  <c r="G337" i="81"/>
  <c r="H336" i="81"/>
  <c r="H337" i="81" l="1"/>
  <c r="G338" i="81"/>
  <c r="E338" i="81"/>
  <c r="F337" i="81"/>
  <c r="E339" i="81" l="1"/>
  <c r="F338" i="81"/>
  <c r="G339" i="81"/>
  <c r="H338" i="81"/>
  <c r="E340" i="81" l="1"/>
  <c r="F339" i="81"/>
  <c r="G340" i="81"/>
  <c r="H339" i="81"/>
  <c r="H340" i="81" l="1"/>
  <c r="G341" i="81"/>
  <c r="E341" i="81"/>
  <c r="F340" i="81"/>
  <c r="E342" i="81" l="1"/>
  <c r="F341" i="81"/>
  <c r="H341" i="81"/>
  <c r="G342" i="81"/>
  <c r="E343" i="81" l="1"/>
  <c r="F342" i="81"/>
  <c r="G343" i="81"/>
  <c r="H342" i="81"/>
  <c r="G344" i="81" l="1"/>
  <c r="H343" i="81"/>
  <c r="E344" i="81"/>
  <c r="F343" i="81"/>
  <c r="G345" i="81" l="1"/>
  <c r="H344" i="81"/>
  <c r="E345" i="81"/>
  <c r="F344" i="81"/>
  <c r="F345" i="81" l="1"/>
  <c r="E346" i="81"/>
  <c r="G346" i="81"/>
  <c r="H345" i="81"/>
  <c r="G347" i="81" l="1"/>
  <c r="H346" i="81"/>
  <c r="F346" i="81"/>
  <c r="E347" i="81"/>
  <c r="E348" i="81" l="1"/>
  <c r="F347" i="81"/>
  <c r="G348" i="81"/>
  <c r="H347" i="81"/>
  <c r="G349" i="81" l="1"/>
  <c r="H348" i="81"/>
  <c r="E349" i="81"/>
  <c r="F348" i="81"/>
  <c r="E350" i="81" l="1"/>
  <c r="F349" i="81"/>
  <c r="G350" i="81"/>
  <c r="H349" i="81"/>
  <c r="G351" i="81" l="1"/>
  <c r="H350" i="81"/>
  <c r="E351" i="81"/>
  <c r="F350" i="81"/>
  <c r="E352" i="81" l="1"/>
  <c r="F351" i="81"/>
  <c r="G352" i="81"/>
  <c r="H351" i="81"/>
  <c r="E353" i="81" l="1"/>
  <c r="F352" i="81"/>
  <c r="G353" i="81"/>
  <c r="H352" i="81"/>
  <c r="E354" i="81" l="1"/>
  <c r="F353" i="81"/>
  <c r="G354" i="81"/>
  <c r="H353" i="81"/>
  <c r="E355" i="81" l="1"/>
  <c r="F354" i="81"/>
  <c r="G355" i="81"/>
  <c r="H354" i="81"/>
  <c r="G356" i="81" l="1"/>
  <c r="H355" i="81"/>
  <c r="E356" i="81"/>
  <c r="F355" i="81"/>
  <c r="E357" i="81" l="1"/>
  <c r="F356" i="81"/>
  <c r="G357" i="81"/>
  <c r="H356" i="81"/>
  <c r="G358" i="81" l="1"/>
  <c r="H357" i="81"/>
  <c r="E358" i="81"/>
  <c r="F357" i="81"/>
  <c r="E359" i="81" l="1"/>
  <c r="F358" i="81"/>
  <c r="G359" i="81"/>
  <c r="H358" i="81"/>
  <c r="G360" i="81" l="1"/>
  <c r="H359" i="81"/>
  <c r="E360" i="81"/>
  <c r="F359" i="81"/>
  <c r="E361" i="81" l="1"/>
  <c r="F360" i="81"/>
  <c r="G361" i="81"/>
  <c r="H360" i="81"/>
  <c r="E362" i="81" l="1"/>
  <c r="F361" i="81"/>
  <c r="G362" i="81"/>
  <c r="H361" i="81"/>
  <c r="G363" i="81" l="1"/>
  <c r="H362" i="81"/>
  <c r="E363" i="81"/>
  <c r="F362" i="81"/>
  <c r="E364" i="81" l="1"/>
  <c r="F363" i="81"/>
  <c r="G364" i="81"/>
  <c r="H363" i="81"/>
  <c r="E365" i="81" l="1"/>
  <c r="F364" i="81"/>
  <c r="G365" i="81"/>
  <c r="H364" i="81"/>
  <c r="G366" i="81" l="1"/>
  <c r="H365" i="81"/>
  <c r="E366" i="81"/>
  <c r="F365" i="81"/>
  <c r="E367" i="81" l="1"/>
  <c r="F366" i="81"/>
  <c r="G367" i="81"/>
  <c r="H366" i="81"/>
  <c r="H367" i="81" l="1"/>
  <c r="G368" i="81"/>
  <c r="E368" i="81"/>
  <c r="F367" i="81"/>
  <c r="E369" i="81" l="1"/>
  <c r="F368" i="81"/>
  <c r="G369" i="81"/>
  <c r="H368" i="81"/>
  <c r="G370" i="81" l="1"/>
  <c r="H369" i="81"/>
  <c r="E370" i="81"/>
  <c r="F369" i="81"/>
  <c r="E371" i="81" l="1"/>
  <c r="F370" i="81"/>
  <c r="G371" i="81"/>
  <c r="H370" i="81"/>
  <c r="G372" i="81" l="1"/>
  <c r="H371" i="81"/>
  <c r="E372" i="81"/>
  <c r="F371" i="81"/>
  <c r="E373" i="81" l="1"/>
  <c r="F372" i="81"/>
  <c r="G373" i="81"/>
  <c r="H372" i="81"/>
  <c r="G374" i="81" l="1"/>
  <c r="H373" i="81"/>
  <c r="F373" i="81"/>
  <c r="E374" i="81"/>
  <c r="E375" i="81" l="1"/>
  <c r="F374" i="81"/>
  <c r="G375" i="81"/>
  <c r="H374" i="81"/>
  <c r="G376" i="81" l="1"/>
  <c r="H375" i="81"/>
  <c r="E376" i="81"/>
  <c r="F375" i="81"/>
  <c r="E377" i="81" l="1"/>
  <c r="F376" i="81"/>
  <c r="G377" i="81"/>
  <c r="H376" i="81"/>
  <c r="H377" i="81" l="1"/>
  <c r="G378" i="81"/>
  <c r="E378" i="81"/>
  <c r="F377" i="81"/>
  <c r="E379" i="81" l="1"/>
  <c r="F378" i="81"/>
  <c r="G379" i="81"/>
  <c r="H378" i="81"/>
  <c r="G380" i="81" l="1"/>
  <c r="H379" i="81"/>
  <c r="E380" i="81"/>
  <c r="F379" i="81"/>
  <c r="E381" i="81" l="1"/>
  <c r="F380" i="81"/>
  <c r="G381" i="81"/>
  <c r="H380" i="81"/>
  <c r="G382" i="81" l="1"/>
  <c r="H381" i="81"/>
  <c r="E382" i="81"/>
  <c r="F381" i="81"/>
  <c r="E383" i="81" l="1"/>
  <c r="F382" i="81"/>
  <c r="H382" i="81"/>
  <c r="G383" i="81"/>
  <c r="H383" i="81" l="1"/>
  <c r="G384" i="81"/>
  <c r="E384" i="81"/>
  <c r="F383" i="81"/>
  <c r="F384" i="81" l="1"/>
  <c r="E385" i="81"/>
  <c r="G385" i="81"/>
  <c r="H384" i="81"/>
  <c r="G386" i="81" l="1"/>
  <c r="H385" i="81"/>
  <c r="E386" i="81"/>
  <c r="F385" i="81"/>
  <c r="E387" i="81" l="1"/>
  <c r="F386" i="81"/>
  <c r="G387" i="81"/>
  <c r="H386" i="81"/>
  <c r="G388" i="81" l="1"/>
  <c r="H387" i="81"/>
  <c r="E388" i="81"/>
  <c r="F387" i="81"/>
  <c r="E389" i="81" l="1"/>
  <c r="F388" i="81"/>
  <c r="G389" i="81"/>
  <c r="H388" i="81"/>
  <c r="H389" i="81" l="1"/>
  <c r="G390" i="81"/>
  <c r="E390" i="81"/>
  <c r="F389" i="81"/>
  <c r="E391" i="81" l="1"/>
  <c r="F390" i="81"/>
  <c r="H390" i="81"/>
  <c r="G391" i="81"/>
  <c r="G392" i="81" l="1"/>
  <c r="H391" i="81"/>
  <c r="E392" i="81"/>
  <c r="F391" i="81"/>
  <c r="E393" i="81" l="1"/>
  <c r="F392" i="81"/>
  <c r="G393" i="81"/>
  <c r="H392" i="81"/>
  <c r="H393" i="81" l="1"/>
  <c r="G394" i="81"/>
  <c r="E394" i="81"/>
  <c r="F393" i="81"/>
  <c r="F394" i="81" l="1"/>
  <c r="E395" i="81"/>
  <c r="G395" i="81"/>
  <c r="H394" i="81"/>
  <c r="G396" i="81" l="1"/>
  <c r="H395" i="81"/>
  <c r="E396" i="81"/>
  <c r="F395" i="81"/>
  <c r="F396" i="81" l="1"/>
  <c r="E397" i="81"/>
  <c r="G397" i="81"/>
  <c r="H396" i="81"/>
  <c r="H397" i="81" l="1"/>
  <c r="G398" i="81"/>
  <c r="E398" i="81"/>
  <c r="F397" i="81"/>
  <c r="E399" i="81" l="1"/>
  <c r="F398" i="81"/>
  <c r="H398" i="81"/>
  <c r="G399" i="81"/>
  <c r="G400" i="81" l="1"/>
  <c r="H399" i="81"/>
  <c r="E400" i="81"/>
  <c r="F399" i="81"/>
  <c r="E401" i="81" l="1"/>
  <c r="F400" i="81"/>
  <c r="G401" i="81"/>
  <c r="H400" i="81"/>
  <c r="G402" i="81" l="1"/>
  <c r="H401" i="81"/>
  <c r="E402" i="81"/>
  <c r="F401" i="81"/>
  <c r="E403" i="81" l="1"/>
  <c r="F402" i="81"/>
  <c r="G403" i="81"/>
  <c r="H402" i="81"/>
  <c r="G404" i="81" l="1"/>
  <c r="H403" i="81"/>
  <c r="E404" i="81"/>
  <c r="F403" i="81"/>
  <c r="E405" i="81" l="1"/>
  <c r="F404" i="81"/>
  <c r="H404" i="81"/>
  <c r="G405" i="81"/>
  <c r="H405" i="81" l="1"/>
  <c r="G406" i="81"/>
  <c r="E406" i="81"/>
  <c r="F405" i="81"/>
  <c r="E407" i="81" l="1"/>
  <c r="F406" i="81"/>
  <c r="G407" i="81"/>
  <c r="H406" i="81"/>
  <c r="G408" i="81" l="1"/>
  <c r="H407" i="81"/>
  <c r="E408" i="81"/>
  <c r="F407" i="81"/>
  <c r="E409" i="81" l="1"/>
  <c r="F408" i="81"/>
  <c r="G409" i="81"/>
  <c r="H408" i="81"/>
  <c r="H409" i="81" l="1"/>
  <c r="G410" i="81"/>
  <c r="E410" i="81"/>
  <c r="F409" i="81"/>
  <c r="E411" i="81" l="1"/>
  <c r="F410" i="81"/>
  <c r="G411" i="81"/>
  <c r="H410" i="81"/>
  <c r="G412" i="81" l="1"/>
  <c r="H411" i="81"/>
  <c r="E412" i="81"/>
  <c r="F411" i="81"/>
  <c r="E413" i="81" l="1"/>
  <c r="F412" i="81"/>
  <c r="G413" i="81"/>
  <c r="H412" i="81"/>
  <c r="G414" i="81" l="1"/>
  <c r="H413" i="81"/>
  <c r="E414" i="81"/>
  <c r="F413" i="81"/>
  <c r="E415" i="81" l="1"/>
  <c r="F414" i="81"/>
  <c r="H414" i="81"/>
  <c r="G415" i="81"/>
  <c r="G416" i="81" l="1"/>
  <c r="H415" i="81"/>
  <c r="E416" i="81"/>
  <c r="F415" i="81"/>
  <c r="E417" i="81" l="1"/>
  <c r="F416" i="81"/>
  <c r="G417" i="81"/>
  <c r="H416" i="81"/>
  <c r="G418" i="81" l="1"/>
  <c r="H417" i="81"/>
  <c r="E418" i="81"/>
  <c r="F417" i="81"/>
  <c r="E419" i="81" l="1"/>
  <c r="F418" i="81"/>
  <c r="G419" i="81"/>
  <c r="H418" i="81"/>
  <c r="G420" i="81" l="1"/>
  <c r="H419" i="81"/>
  <c r="E420" i="81"/>
  <c r="F419" i="81"/>
  <c r="E421" i="81" l="1"/>
  <c r="F420" i="81"/>
  <c r="H420" i="81"/>
  <c r="G421" i="81"/>
  <c r="H421" i="81" l="1"/>
  <c r="G422" i="81"/>
  <c r="F421" i="81"/>
  <c r="E422" i="81"/>
  <c r="E423" i="81" l="1"/>
  <c r="F422" i="81"/>
  <c r="G423" i="81"/>
  <c r="H422" i="81"/>
  <c r="G424" i="81" l="1"/>
  <c r="H423" i="81"/>
  <c r="E424" i="81"/>
  <c r="F423" i="81"/>
  <c r="E425" i="81" l="1"/>
  <c r="F424" i="81"/>
  <c r="G425" i="81"/>
  <c r="H424" i="81"/>
  <c r="H425" i="81" l="1"/>
  <c r="G426" i="81"/>
  <c r="E426" i="81"/>
  <c r="F425" i="81"/>
  <c r="E427" i="81" l="1"/>
  <c r="F426" i="81"/>
  <c r="H426" i="81"/>
  <c r="G427" i="81"/>
  <c r="E428" i="81" l="1"/>
  <c r="F427" i="81"/>
  <c r="G428" i="81"/>
  <c r="H427" i="81"/>
  <c r="E429" i="81" l="1"/>
  <c r="F428" i="81"/>
  <c r="G429" i="81"/>
  <c r="H428" i="81"/>
  <c r="E430" i="81" l="1"/>
  <c r="F429" i="81"/>
  <c r="G430" i="81"/>
  <c r="H429" i="81"/>
  <c r="G431" i="81" l="1"/>
  <c r="H430" i="81"/>
  <c r="E431" i="81"/>
  <c r="F430" i="81"/>
  <c r="E432" i="81" l="1"/>
  <c r="F431" i="81"/>
  <c r="H431" i="81"/>
  <c r="G432" i="81"/>
  <c r="G433" i="81" l="1"/>
  <c r="H432" i="81"/>
  <c r="E433" i="81"/>
  <c r="F432" i="81"/>
  <c r="E434" i="81" l="1"/>
  <c r="F433" i="81"/>
  <c r="G434" i="81"/>
  <c r="H433" i="81"/>
  <c r="G435" i="81" l="1"/>
  <c r="H434" i="81"/>
  <c r="E435" i="81"/>
  <c r="F434" i="81"/>
  <c r="G436" i="81" l="1"/>
  <c r="H435" i="81"/>
  <c r="E436" i="81"/>
  <c r="F435" i="81"/>
  <c r="G437" i="81" l="1"/>
  <c r="H436" i="81"/>
  <c r="F436" i="81"/>
  <c r="E437" i="81"/>
  <c r="G438" i="81" l="1"/>
  <c r="H437" i="81"/>
  <c r="E438" i="81"/>
  <c r="F437" i="81"/>
  <c r="G439" i="81" l="1"/>
  <c r="H438" i="81"/>
  <c r="E439" i="81"/>
  <c r="F438" i="81"/>
  <c r="H439" i="81" l="1"/>
  <c r="G440" i="81"/>
  <c r="E440" i="81"/>
  <c r="F439" i="81"/>
  <c r="E441" i="81" l="1"/>
  <c r="F440" i="81"/>
  <c r="G441" i="81"/>
  <c r="H440" i="81"/>
  <c r="F441" i="81" l="1"/>
  <c r="E442" i="81"/>
  <c r="H441" i="81"/>
  <c r="G442" i="81"/>
  <c r="H442" i="81" l="1"/>
  <c r="G443" i="81"/>
  <c r="E443" i="81"/>
  <c r="F442" i="81"/>
  <c r="E444" i="81" l="1"/>
  <c r="F443" i="81"/>
  <c r="G444" i="81"/>
  <c r="H443" i="81"/>
  <c r="E445" i="81" l="1"/>
  <c r="F444" i="81"/>
  <c r="G445" i="81"/>
  <c r="H444" i="81"/>
  <c r="E446" i="81" l="1"/>
  <c r="F445" i="81"/>
  <c r="G446" i="81"/>
  <c r="H445" i="81"/>
  <c r="E447" i="81" l="1"/>
  <c r="F446" i="81"/>
  <c r="H446" i="81"/>
  <c r="G447" i="81"/>
  <c r="H447" i="81" l="1"/>
  <c r="G448" i="81"/>
  <c r="F447" i="81"/>
  <c r="E448" i="81"/>
  <c r="E449" i="81" l="1"/>
  <c r="F448" i="81"/>
  <c r="G449" i="81"/>
  <c r="H448" i="81"/>
  <c r="F449" i="81" l="1"/>
  <c r="E450" i="81"/>
  <c r="G450" i="81"/>
  <c r="H449" i="81"/>
  <c r="G451" i="81" l="1"/>
  <c r="H450" i="81"/>
  <c r="E451" i="81"/>
  <c r="F450" i="81"/>
  <c r="G452" i="81" l="1"/>
  <c r="H451" i="81"/>
  <c r="E452" i="81"/>
  <c r="F451" i="81"/>
  <c r="G453" i="81" l="1"/>
  <c r="H452" i="81"/>
  <c r="E453" i="81"/>
  <c r="F452" i="81"/>
  <c r="H453" i="81" l="1"/>
  <c r="G454" i="81"/>
  <c r="E454" i="81"/>
  <c r="F453" i="81"/>
  <c r="E455" i="81" l="1"/>
  <c r="F454" i="81"/>
  <c r="G455" i="81"/>
  <c r="H454" i="81"/>
  <c r="E456" i="81" l="1"/>
  <c r="F455" i="81"/>
  <c r="G456" i="81"/>
  <c r="H455" i="81"/>
  <c r="E457" i="81" l="1"/>
  <c r="F456" i="81"/>
  <c r="G457" i="81"/>
  <c r="H456" i="81"/>
  <c r="E458" i="81" l="1"/>
  <c r="F457" i="81"/>
  <c r="G458" i="81"/>
  <c r="H457" i="81"/>
  <c r="E459" i="81" l="1"/>
  <c r="F458" i="81"/>
  <c r="G459" i="81"/>
  <c r="H458" i="81"/>
  <c r="E460" i="81" l="1"/>
  <c r="F459" i="81"/>
  <c r="G460" i="81"/>
  <c r="H459" i="81"/>
  <c r="E461" i="81" l="1"/>
  <c r="F460" i="81"/>
  <c r="G461" i="81"/>
  <c r="H460" i="81"/>
  <c r="E462" i="81" l="1"/>
  <c r="F461" i="81"/>
  <c r="G462" i="81"/>
  <c r="H461" i="81"/>
  <c r="E463" i="81" l="1"/>
  <c r="F462" i="81"/>
  <c r="H462" i="81"/>
  <c r="G463" i="81"/>
  <c r="E464" i="81" l="1"/>
  <c r="F463" i="81"/>
  <c r="G464" i="81"/>
  <c r="H463" i="81"/>
  <c r="G465" i="81" l="1"/>
  <c r="H464" i="81"/>
  <c r="E465" i="81"/>
  <c r="F464" i="81"/>
  <c r="E466" i="81" l="1"/>
  <c r="F465" i="81"/>
  <c r="G466" i="81"/>
  <c r="H465" i="81"/>
  <c r="G467" i="81" l="1"/>
  <c r="H466" i="81"/>
  <c r="E467" i="81"/>
  <c r="F466" i="81"/>
  <c r="E468" i="81" l="1"/>
  <c r="F467" i="81"/>
  <c r="G468" i="81"/>
  <c r="H467" i="81"/>
  <c r="G469" i="81" l="1"/>
  <c r="H468" i="81"/>
  <c r="E469" i="81"/>
  <c r="F468" i="81"/>
  <c r="F469" i="81" l="1"/>
  <c r="E470" i="81"/>
  <c r="H469" i="81"/>
  <c r="G470" i="81"/>
  <c r="G471" i="81" l="1"/>
  <c r="H470" i="81"/>
  <c r="E471" i="81"/>
  <c r="F470" i="81"/>
  <c r="H471" i="81" l="1"/>
  <c r="G472" i="81"/>
  <c r="E472" i="81"/>
  <c r="F471" i="81"/>
  <c r="E473" i="81" l="1"/>
  <c r="F472" i="81"/>
  <c r="G473" i="81"/>
  <c r="H472" i="81"/>
  <c r="G474" i="81" l="1"/>
  <c r="H473" i="81"/>
  <c r="F473" i="81"/>
  <c r="E474" i="81"/>
  <c r="E475" i="81" l="1"/>
  <c r="F474" i="81"/>
  <c r="H474" i="81"/>
  <c r="G475" i="81"/>
  <c r="G476" i="81" l="1"/>
  <c r="H475" i="81"/>
  <c r="E476" i="81"/>
  <c r="F475" i="81"/>
  <c r="G477" i="81" l="1"/>
  <c r="H476" i="81"/>
  <c r="E477" i="81"/>
  <c r="F476" i="81"/>
  <c r="G478" i="81" l="1"/>
  <c r="H477" i="81"/>
  <c r="E478" i="81"/>
  <c r="F477" i="81"/>
  <c r="E479" i="81" l="1"/>
  <c r="F478" i="81"/>
  <c r="G479" i="81"/>
  <c r="H478" i="81"/>
  <c r="G480" i="81" l="1"/>
  <c r="H479" i="81"/>
  <c r="F479" i="81"/>
  <c r="E480" i="81"/>
  <c r="E481" i="81" l="1"/>
  <c r="F480" i="81"/>
  <c r="G481" i="81"/>
  <c r="H480" i="81"/>
  <c r="G482" i="81" l="1"/>
  <c r="H481" i="81"/>
  <c r="E482" i="81"/>
  <c r="F481" i="81"/>
  <c r="E483" i="81" l="1"/>
  <c r="F482" i="81"/>
  <c r="G483" i="81"/>
  <c r="H482" i="81"/>
  <c r="G484" i="81" l="1"/>
  <c r="H483" i="81"/>
  <c r="E484" i="81"/>
  <c r="F483" i="81"/>
  <c r="H484" i="81" l="1"/>
  <c r="G485" i="81"/>
  <c r="E485" i="81"/>
  <c r="F484" i="81"/>
  <c r="E486" i="81" l="1"/>
  <c r="F485" i="81"/>
  <c r="H485" i="81"/>
  <c r="G486" i="81"/>
  <c r="G487" i="81" l="1"/>
  <c r="H486" i="81"/>
  <c r="E487" i="81"/>
  <c r="F486" i="81"/>
  <c r="E488" i="81" l="1"/>
  <c r="F487" i="81"/>
  <c r="G488" i="81"/>
  <c r="H487" i="81"/>
  <c r="F488" i="81" l="1"/>
  <c r="E489" i="81"/>
  <c r="G489" i="81"/>
  <c r="H488" i="81"/>
  <c r="H489" i="81" l="1"/>
  <c r="G490" i="81"/>
  <c r="E490" i="81"/>
  <c r="F489" i="81"/>
  <c r="G491" i="81" l="1"/>
  <c r="H490" i="81"/>
  <c r="E491" i="81"/>
  <c r="F490" i="81"/>
  <c r="E492" i="81" l="1"/>
  <c r="F491" i="81"/>
  <c r="G492" i="81"/>
  <c r="H491" i="81"/>
  <c r="G493" i="81" l="1"/>
  <c r="H492" i="81"/>
  <c r="E493" i="81"/>
  <c r="F492" i="81"/>
  <c r="E494" i="81" l="1"/>
  <c r="F493" i="81"/>
  <c r="H493" i="81"/>
  <c r="G494" i="81"/>
  <c r="G495" i="81" l="1"/>
  <c r="H494" i="81"/>
  <c r="E495" i="81"/>
  <c r="F494" i="81"/>
  <c r="E496" i="81" l="1"/>
  <c r="F495" i="81"/>
  <c r="G496" i="81"/>
  <c r="H495" i="81"/>
  <c r="F496" i="81" l="1"/>
  <c r="E497" i="81"/>
  <c r="G497" i="81"/>
  <c r="H496" i="81"/>
  <c r="G498" i="81" l="1"/>
  <c r="H497" i="81"/>
  <c r="E498" i="81"/>
  <c r="F497" i="81"/>
  <c r="E499" i="81" l="1"/>
  <c r="F498" i="81"/>
  <c r="G499" i="81"/>
  <c r="H498" i="81"/>
  <c r="G500" i="81" l="1"/>
  <c r="H499" i="81"/>
  <c r="E500" i="81"/>
  <c r="F499" i="81"/>
  <c r="E501" i="81" l="1"/>
  <c r="F500" i="81"/>
  <c r="G501" i="81"/>
  <c r="H500" i="81"/>
  <c r="G502" i="81" l="1"/>
  <c r="H501" i="81"/>
  <c r="E502" i="81"/>
  <c r="F501" i="81"/>
  <c r="G503" i="81" l="1"/>
  <c r="H502" i="81"/>
  <c r="E503" i="81"/>
  <c r="F502" i="81"/>
  <c r="E504" i="81" l="1"/>
  <c r="F503" i="81"/>
  <c r="H503" i="81"/>
  <c r="G504" i="81"/>
  <c r="G505" i="81" l="1"/>
  <c r="H504" i="81"/>
  <c r="E505" i="81"/>
  <c r="F504" i="81"/>
  <c r="E506" i="81" l="1"/>
  <c r="F505" i="81"/>
  <c r="H505" i="81"/>
  <c r="G506" i="81"/>
  <c r="G507" i="81" l="1"/>
  <c r="H506" i="81"/>
  <c r="E507" i="81"/>
  <c r="F506" i="81"/>
  <c r="E508" i="81" l="1"/>
  <c r="F507" i="81"/>
  <c r="G508" i="81"/>
  <c r="H507" i="81"/>
  <c r="G509" i="81" l="1"/>
  <c r="H508" i="81"/>
  <c r="E509" i="81"/>
  <c r="F508" i="81"/>
  <c r="F509" i="81" l="1"/>
  <c r="E510" i="81"/>
  <c r="G510" i="81"/>
  <c r="H509" i="81"/>
  <c r="H510" i="81" l="1"/>
  <c r="G511" i="81"/>
  <c r="E511" i="81"/>
  <c r="F510" i="81"/>
  <c r="H511" i="81" l="1"/>
  <c r="G512" i="81"/>
  <c r="E512" i="81"/>
  <c r="F511" i="81"/>
  <c r="E513" i="81" l="1"/>
  <c r="F512" i="81"/>
  <c r="G513" i="81"/>
  <c r="H512" i="81"/>
  <c r="G514" i="81" l="1"/>
  <c r="H513" i="81"/>
  <c r="E514" i="81"/>
  <c r="F513" i="81"/>
  <c r="E515" i="81" l="1"/>
  <c r="F514" i="81"/>
  <c r="G515" i="81"/>
  <c r="H514" i="81"/>
  <c r="E516" i="81" l="1"/>
  <c r="F515" i="81"/>
  <c r="G516" i="81"/>
  <c r="H515" i="81"/>
  <c r="G517" i="81" l="1"/>
  <c r="H516" i="81"/>
  <c r="E517" i="81"/>
  <c r="F516" i="81"/>
  <c r="F517" i="81" l="1"/>
  <c r="E518" i="81"/>
  <c r="H517" i="81"/>
  <c r="G518" i="81"/>
  <c r="G519" i="81" l="1"/>
  <c r="H518" i="81"/>
  <c r="E519" i="81"/>
  <c r="F518" i="81"/>
  <c r="E520" i="81" l="1"/>
  <c r="F519" i="81"/>
  <c r="G520" i="81"/>
  <c r="H519" i="81"/>
  <c r="G521" i="81" l="1"/>
  <c r="H520" i="81"/>
  <c r="E521" i="81"/>
  <c r="F520" i="81"/>
  <c r="E522" i="81" l="1"/>
  <c r="F521" i="81"/>
  <c r="G522" i="81"/>
  <c r="H521" i="81"/>
  <c r="G523" i="81" l="1"/>
  <c r="H522" i="81"/>
  <c r="E523" i="81"/>
  <c r="F522" i="81"/>
  <c r="E524" i="81" l="1"/>
  <c r="F523" i="81"/>
  <c r="G524" i="81"/>
  <c r="H523" i="81"/>
  <c r="G525" i="81" l="1"/>
  <c r="H524" i="81"/>
  <c r="E525" i="81"/>
  <c r="F524" i="81"/>
  <c r="E526" i="81" l="1"/>
  <c r="F525" i="81"/>
  <c r="G526" i="81"/>
  <c r="H525" i="81"/>
  <c r="G527" i="81" l="1"/>
  <c r="H526" i="81"/>
  <c r="E527" i="81"/>
  <c r="F526" i="81"/>
  <c r="E528" i="81" l="1"/>
  <c r="F527" i="81"/>
  <c r="H527" i="81"/>
  <c r="G528" i="81"/>
  <c r="G529" i="81" l="1"/>
  <c r="H528" i="81"/>
  <c r="E529" i="81"/>
  <c r="F528" i="81"/>
  <c r="E530" i="81" l="1"/>
  <c r="F529" i="81"/>
  <c r="G530" i="81"/>
  <c r="H529" i="81"/>
  <c r="G531" i="81" l="1"/>
  <c r="H530" i="81"/>
  <c r="E531" i="81"/>
  <c r="F530" i="81"/>
  <c r="E532" i="81" l="1"/>
  <c r="F531" i="81"/>
  <c r="G532" i="81"/>
  <c r="H531" i="81"/>
  <c r="G533" i="81" l="1"/>
  <c r="H532" i="81"/>
  <c r="E533" i="81"/>
  <c r="F532" i="81"/>
  <c r="E534" i="81" l="1"/>
  <c r="F533" i="81"/>
  <c r="H533" i="81"/>
  <c r="G534" i="81"/>
  <c r="G535" i="81" l="1"/>
  <c r="H534" i="81"/>
  <c r="E535" i="81"/>
  <c r="F534" i="81"/>
  <c r="E536" i="81" l="1"/>
  <c r="F535" i="81"/>
  <c r="G536" i="81"/>
  <c r="H535" i="81"/>
  <c r="G537" i="81" l="1"/>
  <c r="H536" i="81"/>
  <c r="E537" i="81"/>
  <c r="F536" i="81"/>
  <c r="F537" i="81" l="1"/>
  <c r="E538" i="81"/>
  <c r="G538" i="81"/>
  <c r="H537" i="81"/>
  <c r="H538" i="81" l="1"/>
  <c r="G539" i="81"/>
  <c r="E539" i="81"/>
  <c r="F538" i="81"/>
  <c r="E540" i="81" l="1"/>
  <c r="F539" i="81"/>
  <c r="G540" i="81"/>
  <c r="H539" i="81"/>
  <c r="H540" i="81" l="1"/>
  <c r="G541" i="81"/>
  <c r="E541" i="81"/>
  <c r="F540" i="81"/>
  <c r="F541" i="81" l="1"/>
  <c r="E542" i="81"/>
  <c r="G542" i="81"/>
  <c r="H541" i="81"/>
  <c r="H542" i="81" l="1"/>
  <c r="G543" i="81"/>
  <c r="E543" i="81"/>
  <c r="F542" i="81"/>
  <c r="E544" i="81" l="1"/>
  <c r="F543" i="81"/>
  <c r="G544" i="81"/>
  <c r="H543" i="81"/>
  <c r="E545" i="81" l="1"/>
  <c r="F544" i="81"/>
  <c r="G545" i="81"/>
  <c r="H544" i="81"/>
  <c r="G546" i="81" l="1"/>
  <c r="H545" i="81"/>
  <c r="F545" i="81"/>
  <c r="E546" i="81"/>
  <c r="E547" i="81" l="1"/>
  <c r="F546" i="81"/>
  <c r="G547" i="81"/>
  <c r="H546" i="81"/>
  <c r="E548" i="81" l="1"/>
  <c r="F547" i="81"/>
  <c r="G548" i="81"/>
  <c r="H547" i="81"/>
  <c r="E549" i="81" l="1"/>
  <c r="F548" i="81"/>
  <c r="G549" i="81"/>
  <c r="H548" i="81"/>
  <c r="F549" i="81" l="1"/>
  <c r="E550" i="81"/>
  <c r="G550" i="81"/>
  <c r="H549" i="81"/>
  <c r="G551" i="81" l="1"/>
  <c r="H550" i="81"/>
  <c r="E551" i="81"/>
  <c r="F550" i="81"/>
  <c r="E552" i="81" l="1"/>
  <c r="F551" i="81"/>
  <c r="G552" i="81"/>
  <c r="H551" i="81"/>
  <c r="E553" i="81" l="1"/>
  <c r="F552" i="81"/>
  <c r="G553" i="81"/>
  <c r="H552" i="81"/>
  <c r="F553" i="81" l="1"/>
  <c r="E554" i="81"/>
  <c r="H553" i="81"/>
  <c r="G554" i="81"/>
  <c r="E555" i="81" l="1"/>
  <c r="F554" i="81"/>
  <c r="G555" i="81"/>
  <c r="H554" i="81"/>
  <c r="E556" i="81" l="1"/>
  <c r="F555" i="81"/>
  <c r="G556" i="81"/>
  <c r="H555" i="81"/>
  <c r="E557" i="81" l="1"/>
  <c r="F556" i="81"/>
  <c r="G557" i="81"/>
  <c r="H556" i="81"/>
  <c r="E558" i="81" l="1"/>
  <c r="F557" i="81"/>
  <c r="G558" i="81"/>
  <c r="H557" i="81"/>
  <c r="E559" i="81" l="1"/>
  <c r="F558" i="81"/>
  <c r="G559" i="81"/>
  <c r="H558" i="81"/>
  <c r="E560" i="81" l="1"/>
  <c r="F559" i="81"/>
  <c r="H559" i="81"/>
  <c r="G560" i="81"/>
  <c r="E561" i="81" l="1"/>
  <c r="F560" i="81"/>
  <c r="G561" i="81"/>
  <c r="H560" i="81"/>
  <c r="G562" i="81" l="1"/>
  <c r="H561" i="81"/>
  <c r="E562" i="81"/>
  <c r="F561" i="81"/>
  <c r="E563" i="81" l="1"/>
  <c r="F562" i="81"/>
  <c r="G563" i="81"/>
  <c r="H562" i="81"/>
  <c r="G564" i="81" l="1"/>
  <c r="H563" i="81"/>
  <c r="E564" i="81"/>
  <c r="F563" i="81"/>
  <c r="E565" i="81" l="1"/>
  <c r="F564" i="81"/>
  <c r="G565" i="81"/>
  <c r="H564" i="81"/>
  <c r="G566" i="81" l="1"/>
  <c r="H565" i="81"/>
  <c r="F565" i="81"/>
  <c r="E566" i="81"/>
  <c r="E567" i="81" l="1"/>
  <c r="F566" i="81"/>
  <c r="G567" i="81"/>
  <c r="H566" i="81"/>
  <c r="H567" i="81" l="1"/>
  <c r="G568" i="81"/>
  <c r="E568" i="81"/>
  <c r="F567" i="81"/>
  <c r="E569" i="81" l="1"/>
  <c r="F568" i="81"/>
  <c r="G569" i="81"/>
  <c r="H568" i="81"/>
  <c r="G570" i="81" l="1"/>
  <c r="H569" i="81"/>
  <c r="E570" i="81"/>
  <c r="F569" i="81"/>
  <c r="E571" i="81" l="1"/>
  <c r="F570" i="81"/>
  <c r="G571" i="81"/>
  <c r="H570" i="81"/>
  <c r="G572" i="81" l="1"/>
  <c r="H571" i="81"/>
  <c r="E572" i="81"/>
  <c r="F571" i="81"/>
  <c r="E573" i="81" l="1"/>
  <c r="F572" i="81"/>
  <c r="G573" i="81"/>
  <c r="H572" i="81"/>
  <c r="G574" i="81" l="1"/>
  <c r="H573" i="81"/>
  <c r="F573" i="81"/>
  <c r="E574" i="81"/>
  <c r="E575" i="81" l="1"/>
  <c r="F574" i="81"/>
  <c r="H574" i="81"/>
  <c r="G575" i="81"/>
  <c r="H575" i="81" l="1"/>
  <c r="G576" i="81"/>
  <c r="E576" i="81"/>
  <c r="F575" i="81"/>
  <c r="E577" i="81" l="1"/>
  <c r="F576" i="81"/>
  <c r="G577" i="81"/>
  <c r="H576" i="81"/>
  <c r="E578" i="81" l="1"/>
  <c r="F577" i="81"/>
  <c r="G578" i="81"/>
  <c r="H577" i="81"/>
  <c r="G579" i="81" l="1"/>
  <c r="H578" i="81"/>
  <c r="E579" i="81"/>
  <c r="F578" i="81"/>
  <c r="E580" i="81" l="1"/>
  <c r="F579" i="81"/>
  <c r="G580" i="81"/>
  <c r="H579" i="81"/>
  <c r="G581" i="81" l="1"/>
  <c r="H580" i="81"/>
  <c r="F580" i="81"/>
  <c r="E581" i="81"/>
  <c r="H581" i="81" l="1"/>
  <c r="G582" i="81"/>
  <c r="E582" i="81"/>
  <c r="F581" i="81"/>
  <c r="E583" i="81" l="1"/>
  <c r="F582" i="81"/>
  <c r="G583" i="81"/>
  <c r="H582" i="81"/>
  <c r="G584" i="81" l="1"/>
  <c r="H583" i="81"/>
  <c r="E584" i="81"/>
  <c r="F583" i="81"/>
  <c r="E585" i="81" l="1"/>
  <c r="F584" i="81"/>
  <c r="G585" i="81"/>
  <c r="H584" i="81"/>
  <c r="H585" i="81" l="1"/>
  <c r="G586" i="81"/>
  <c r="E586" i="81"/>
  <c r="F585" i="81"/>
  <c r="E587" i="81" l="1"/>
  <c r="F586" i="81"/>
  <c r="G587" i="81"/>
  <c r="H586" i="81"/>
  <c r="G588" i="81" l="1"/>
  <c r="H587" i="81"/>
  <c r="E588" i="81"/>
  <c r="F587" i="81"/>
  <c r="E589" i="81" l="1"/>
  <c r="F588" i="81"/>
  <c r="G589" i="81"/>
  <c r="H588" i="81"/>
  <c r="H589" i="81" l="1"/>
  <c r="G590" i="81"/>
  <c r="E590" i="81"/>
  <c r="F589" i="81"/>
  <c r="E591" i="81" l="1"/>
  <c r="F590" i="81"/>
  <c r="G591" i="81"/>
  <c r="H590" i="81"/>
  <c r="G592" i="81" l="1"/>
  <c r="H591" i="81"/>
  <c r="E592" i="81"/>
  <c r="F591" i="81"/>
  <c r="E593" i="81" l="1"/>
  <c r="F592" i="81"/>
  <c r="G593" i="81"/>
  <c r="H592" i="81"/>
  <c r="H593" i="81" l="1"/>
  <c r="G594" i="81"/>
  <c r="E594" i="81"/>
  <c r="F593" i="81"/>
  <c r="E595" i="81" l="1"/>
  <c r="F594" i="81"/>
  <c r="G595" i="81"/>
  <c r="H594" i="81"/>
  <c r="G596" i="81" l="1"/>
  <c r="H595" i="81"/>
  <c r="E596" i="81"/>
  <c r="F595" i="81"/>
  <c r="E597" i="81" l="1"/>
  <c r="F596" i="81"/>
  <c r="G597" i="81"/>
  <c r="H596" i="81"/>
  <c r="H597" i="81" l="1"/>
  <c r="G598" i="81"/>
  <c r="F597" i="81"/>
  <c r="E598" i="81"/>
  <c r="E599" i="81" l="1"/>
  <c r="F598" i="81"/>
  <c r="G599" i="81"/>
  <c r="H598" i="81"/>
  <c r="G600" i="81" l="1"/>
  <c r="H599" i="81"/>
  <c r="E600" i="81"/>
  <c r="F599" i="81"/>
  <c r="E601" i="81" l="1"/>
  <c r="F600" i="81"/>
  <c r="G601" i="81"/>
  <c r="H600" i="81"/>
  <c r="G602" i="81" l="1"/>
  <c r="H601" i="81"/>
  <c r="F601" i="81"/>
  <c r="E602" i="81"/>
  <c r="E603" i="81" l="1"/>
  <c r="F602" i="81"/>
  <c r="G603" i="81"/>
  <c r="H602" i="81"/>
  <c r="G604" i="81" l="1"/>
  <c r="H603" i="81"/>
  <c r="E604" i="81"/>
  <c r="F603" i="81"/>
  <c r="E605" i="81" l="1"/>
  <c r="F604" i="81"/>
  <c r="G605" i="81"/>
  <c r="H604" i="81"/>
  <c r="G606" i="81" l="1"/>
  <c r="H605" i="81"/>
  <c r="E606" i="81"/>
  <c r="F605" i="81"/>
  <c r="E607" i="81" l="1"/>
  <c r="F606" i="81"/>
  <c r="G607" i="81"/>
  <c r="H606" i="81"/>
  <c r="G608" i="81" l="1"/>
  <c r="H607" i="81"/>
  <c r="E608" i="81"/>
  <c r="F607" i="81"/>
  <c r="E609" i="81" l="1"/>
  <c r="F608" i="81"/>
  <c r="G609" i="81"/>
  <c r="H608" i="81"/>
  <c r="G610" i="81" l="1"/>
  <c r="H609" i="81"/>
  <c r="E610" i="81"/>
  <c r="F609" i="81"/>
  <c r="E611" i="81" l="1"/>
  <c r="F610" i="81"/>
  <c r="H610" i="81"/>
  <c r="G611" i="81"/>
  <c r="E612" i="81" l="1"/>
  <c r="F611" i="81"/>
  <c r="G612" i="81"/>
  <c r="H611" i="81"/>
  <c r="H612" i="81" l="1"/>
  <c r="G613" i="81"/>
  <c r="E613" i="81"/>
  <c r="F612" i="81"/>
  <c r="E614" i="81" l="1"/>
  <c r="F613" i="81"/>
  <c r="H613" i="81"/>
  <c r="G614" i="81"/>
  <c r="G615" i="81" l="1"/>
  <c r="H614" i="81"/>
  <c r="E615" i="81"/>
  <c r="F614" i="81"/>
  <c r="E616" i="81" l="1"/>
  <c r="F615" i="81"/>
  <c r="G616" i="81"/>
  <c r="H615" i="81"/>
  <c r="G617" i="81" l="1"/>
  <c r="H616" i="81"/>
  <c r="E617" i="81"/>
  <c r="F616" i="81"/>
  <c r="E618" i="81" l="1"/>
  <c r="F617" i="81"/>
  <c r="H617" i="81"/>
  <c r="G618" i="81"/>
  <c r="H618" i="81" l="1"/>
  <c r="G619" i="81"/>
  <c r="E619" i="81"/>
  <c r="F618" i="81"/>
  <c r="E620" i="81" l="1"/>
  <c r="F619" i="81"/>
  <c r="G620" i="81"/>
  <c r="H619" i="81"/>
  <c r="G621" i="81" l="1"/>
  <c r="H620" i="81"/>
  <c r="E621" i="81"/>
  <c r="F620" i="81"/>
  <c r="E622" i="81" l="1"/>
  <c r="F621" i="81"/>
  <c r="H621" i="81"/>
  <c r="G622" i="81"/>
  <c r="G623" i="81" l="1"/>
  <c r="H622" i="81"/>
  <c r="E623" i="81"/>
  <c r="F622" i="81"/>
  <c r="E624" i="81" l="1"/>
  <c r="F623" i="81"/>
  <c r="H623" i="81"/>
  <c r="G624" i="81"/>
  <c r="G625" i="81" l="1"/>
  <c r="H624" i="81"/>
  <c r="E625" i="81"/>
  <c r="F624" i="81"/>
  <c r="E626" i="81" l="1"/>
  <c r="F625" i="81"/>
  <c r="G626" i="81"/>
  <c r="H625" i="81"/>
  <c r="G627" i="81" l="1"/>
  <c r="H626" i="81"/>
  <c r="E627" i="81"/>
  <c r="F626" i="81"/>
  <c r="E628" i="81" l="1"/>
  <c r="F627" i="81"/>
  <c r="G628" i="81"/>
  <c r="H627" i="81"/>
  <c r="G629" i="81" l="1"/>
  <c r="H628" i="81"/>
  <c r="E629" i="81"/>
  <c r="F628" i="81"/>
  <c r="F629" i="81" l="1"/>
  <c r="E630" i="81"/>
  <c r="G630" i="81"/>
  <c r="H629" i="81"/>
  <c r="G631" i="81" l="1"/>
  <c r="H630" i="81"/>
  <c r="E631" i="81"/>
  <c r="F630" i="81"/>
  <c r="E632" i="81" l="1"/>
  <c r="F631" i="81"/>
  <c r="H631" i="81"/>
  <c r="G632" i="81"/>
  <c r="G633" i="81" l="1"/>
  <c r="H632" i="81"/>
  <c r="E633" i="81"/>
  <c r="F632" i="81"/>
  <c r="E634" i="81" l="1"/>
  <c r="F633" i="81"/>
  <c r="H633" i="81"/>
  <c r="G634" i="81"/>
  <c r="G635" i="81" l="1"/>
  <c r="H634" i="81"/>
  <c r="E635" i="81"/>
  <c r="F634" i="81"/>
  <c r="E636" i="81" l="1"/>
  <c r="F635" i="81"/>
  <c r="G636" i="81"/>
  <c r="H635" i="81"/>
  <c r="G637" i="81" l="1"/>
  <c r="H636" i="81"/>
  <c r="E637" i="81"/>
  <c r="F636" i="81"/>
  <c r="E638" i="81" l="1"/>
  <c r="F637" i="81"/>
  <c r="G638" i="81"/>
  <c r="H637" i="81"/>
  <c r="G639" i="81" l="1"/>
  <c r="H638" i="81"/>
  <c r="E639" i="81"/>
  <c r="F638" i="81"/>
  <c r="F639" i="81" l="1"/>
  <c r="E640" i="81"/>
  <c r="G640" i="81"/>
  <c r="H639" i="81"/>
  <c r="G641" i="81" l="1"/>
  <c r="H640" i="81"/>
  <c r="E641" i="81"/>
  <c r="F640" i="81"/>
  <c r="E642" i="81" l="1"/>
  <c r="F641" i="81"/>
  <c r="G642" i="81"/>
  <c r="H641" i="81"/>
  <c r="H642" i="81" l="1"/>
  <c r="G643" i="81"/>
  <c r="E643" i="81"/>
  <c r="F642" i="81"/>
  <c r="E644" i="81" l="1"/>
  <c r="F643" i="81"/>
  <c r="G644" i="81"/>
  <c r="H643" i="81"/>
  <c r="G645" i="81" l="1"/>
  <c r="H644" i="81"/>
  <c r="E645" i="81"/>
  <c r="F644" i="81"/>
  <c r="E646" i="81" l="1"/>
  <c r="F645" i="81"/>
  <c r="H645" i="81"/>
  <c r="G646" i="81"/>
  <c r="G647" i="81" l="1"/>
  <c r="H646" i="81"/>
  <c r="E647" i="81"/>
  <c r="F646" i="81"/>
  <c r="E648" i="81" l="1"/>
  <c r="F647" i="81"/>
  <c r="G648" i="81"/>
  <c r="H647" i="81"/>
  <c r="G649" i="81" l="1"/>
  <c r="H648" i="81"/>
  <c r="E649" i="81"/>
  <c r="F648" i="81"/>
  <c r="F649" i="81" l="1"/>
  <c r="E650" i="81"/>
  <c r="H649" i="81"/>
  <c r="G650" i="81"/>
  <c r="G651" i="81" l="1"/>
  <c r="H650" i="81"/>
  <c r="F650" i="81"/>
  <c r="E651" i="81"/>
  <c r="E652" i="81" l="1"/>
  <c r="F651" i="81"/>
  <c r="G652" i="81"/>
  <c r="H651" i="81"/>
  <c r="G653" i="81" l="1"/>
  <c r="H652" i="81"/>
  <c r="E653" i="81"/>
  <c r="F652" i="81"/>
  <c r="E654" i="81" l="1"/>
  <c r="F653" i="81"/>
  <c r="H653" i="81"/>
  <c r="G654" i="81"/>
  <c r="H654" i="81" l="1"/>
  <c r="G655" i="81"/>
  <c r="E655" i="81"/>
  <c r="F654" i="81"/>
  <c r="F655" i="81" l="1"/>
  <c r="E656" i="81"/>
  <c r="G656" i="81"/>
  <c r="H655" i="81"/>
  <c r="G657" i="81" l="1"/>
  <c r="H656" i="81"/>
  <c r="E657" i="81"/>
  <c r="F656" i="81"/>
  <c r="E658" i="81" l="1"/>
  <c r="F657" i="81"/>
  <c r="G658" i="81"/>
  <c r="H657" i="81"/>
  <c r="G659" i="81" l="1"/>
  <c r="H658" i="81"/>
  <c r="E659" i="81"/>
  <c r="F658" i="81"/>
  <c r="E660" i="81" l="1"/>
  <c r="F659" i="81"/>
  <c r="G660" i="81"/>
  <c r="H659" i="81"/>
  <c r="G661" i="81" l="1"/>
  <c r="H660" i="81"/>
  <c r="E661" i="81"/>
  <c r="F660" i="81"/>
  <c r="E662" i="81" l="1"/>
  <c r="F661" i="81"/>
  <c r="G662" i="81"/>
  <c r="H661" i="81"/>
  <c r="G663" i="81" l="1"/>
  <c r="H662" i="81"/>
  <c r="E663" i="81"/>
  <c r="F662" i="81"/>
  <c r="E664" i="81" l="1"/>
  <c r="F663" i="81"/>
  <c r="G664" i="81"/>
  <c r="H663" i="81"/>
  <c r="G665" i="81" l="1"/>
  <c r="H664" i="81"/>
  <c r="E665" i="81"/>
  <c r="F664" i="81"/>
  <c r="E666" i="81" l="1"/>
  <c r="F665" i="81"/>
  <c r="G666" i="81"/>
  <c r="H665" i="81"/>
  <c r="H666" i="81" l="1"/>
  <c r="G667" i="81"/>
  <c r="E667" i="81"/>
  <c r="F666" i="81"/>
  <c r="E668" i="81" l="1"/>
  <c r="F667" i="81"/>
  <c r="G668" i="81"/>
  <c r="H667" i="81"/>
  <c r="G669" i="81" l="1"/>
  <c r="H668" i="81"/>
  <c r="E669" i="81"/>
  <c r="F668" i="81"/>
  <c r="F669" i="81" l="1"/>
  <c r="E670" i="81"/>
  <c r="G670" i="81"/>
  <c r="H669" i="81"/>
  <c r="H670" i="81" l="1"/>
  <c r="G671" i="81"/>
  <c r="E671" i="81"/>
  <c r="F670" i="81"/>
  <c r="E672" i="81" l="1"/>
  <c r="F671" i="81"/>
  <c r="G672" i="81"/>
  <c r="H671" i="81"/>
  <c r="G673" i="81" l="1"/>
  <c r="H672" i="81"/>
  <c r="E673" i="81"/>
  <c r="F672" i="81"/>
  <c r="F673" i="81" l="1"/>
  <c r="E674" i="81"/>
  <c r="G674" i="81"/>
  <c r="H673" i="81"/>
  <c r="G675" i="81" l="1"/>
  <c r="H674" i="81"/>
  <c r="E675" i="81"/>
  <c r="F674" i="81"/>
  <c r="E676" i="81" l="1"/>
  <c r="F675" i="81"/>
  <c r="G676" i="81"/>
  <c r="H675" i="81"/>
  <c r="G677" i="81" l="1"/>
  <c r="H676" i="81"/>
  <c r="E677" i="81"/>
  <c r="F676" i="81"/>
  <c r="F677" i="81" l="1"/>
  <c r="E678" i="81"/>
  <c r="G678" i="81"/>
  <c r="H677" i="81"/>
  <c r="G679" i="81" l="1"/>
  <c r="H678" i="81"/>
  <c r="E679" i="81"/>
  <c r="F678" i="81"/>
  <c r="E680" i="81" l="1"/>
  <c r="F679" i="81"/>
  <c r="G680" i="81"/>
  <c r="H679" i="81"/>
  <c r="G681" i="81" l="1"/>
  <c r="H680" i="81"/>
  <c r="E681" i="81"/>
  <c r="F680" i="81"/>
  <c r="E682" i="81" l="1"/>
  <c r="F681" i="81"/>
  <c r="H681" i="81"/>
  <c r="G682" i="81"/>
  <c r="G683" i="81" l="1"/>
  <c r="H682" i="81"/>
  <c r="E683" i="81"/>
  <c r="F682" i="81"/>
  <c r="E684" i="81" l="1"/>
  <c r="F683" i="81"/>
  <c r="G684" i="81"/>
  <c r="H683" i="81"/>
  <c r="G685" i="81" l="1"/>
  <c r="H684" i="81"/>
  <c r="E685" i="81"/>
  <c r="F684" i="81"/>
  <c r="E686" i="81" l="1"/>
  <c r="F685" i="81"/>
  <c r="G686" i="81"/>
  <c r="H685" i="81"/>
  <c r="G687" i="81" l="1"/>
  <c r="H686" i="81"/>
  <c r="E687" i="81"/>
  <c r="F686" i="81"/>
  <c r="E688" i="81" l="1"/>
  <c r="F687" i="81"/>
  <c r="H687" i="81"/>
  <c r="G688" i="81"/>
  <c r="G689" i="81" l="1"/>
  <c r="H688" i="81"/>
  <c r="E689" i="81"/>
  <c r="F688" i="81"/>
  <c r="E690" i="81" l="1"/>
  <c r="F689" i="81"/>
  <c r="G690" i="81"/>
  <c r="H689" i="81"/>
  <c r="G691" i="81" l="1"/>
  <c r="H690" i="81"/>
  <c r="E691" i="81"/>
  <c r="F690" i="81"/>
  <c r="E692" i="81" l="1"/>
  <c r="F691" i="81"/>
  <c r="G692" i="81"/>
  <c r="H691" i="81"/>
  <c r="G693" i="81" l="1"/>
  <c r="H692" i="81"/>
  <c r="E693" i="81"/>
  <c r="F692" i="81"/>
  <c r="E694" i="81" l="1"/>
  <c r="F693" i="81"/>
  <c r="G694" i="81"/>
  <c r="H693" i="81"/>
  <c r="G695" i="81" l="1"/>
  <c r="H694" i="81"/>
  <c r="F694" i="81"/>
  <c r="E695" i="81"/>
  <c r="E696" i="81" l="1"/>
  <c r="F695" i="81"/>
  <c r="H695" i="81"/>
  <c r="G696" i="81"/>
  <c r="G697" i="81" l="1"/>
  <c r="H696" i="81"/>
  <c r="E697" i="81"/>
  <c r="F696" i="81"/>
  <c r="F697" i="81" l="1"/>
  <c r="E698" i="81"/>
  <c r="H697" i="81"/>
  <c r="G698" i="81"/>
  <c r="E699" i="81" l="1"/>
  <c r="F698" i="81"/>
  <c r="H698" i="81"/>
  <c r="G699" i="81"/>
  <c r="G700" i="81" l="1"/>
  <c r="H699" i="81"/>
  <c r="E700" i="81"/>
  <c r="F699" i="81"/>
  <c r="E701" i="81" l="1"/>
  <c r="F700" i="81"/>
  <c r="G701" i="81"/>
  <c r="H700" i="81"/>
  <c r="G702" i="81" l="1"/>
  <c r="H701" i="81"/>
  <c r="E702" i="81"/>
  <c r="F701" i="81"/>
  <c r="E703" i="81" l="1"/>
  <c r="F702" i="81"/>
  <c r="H702" i="81"/>
  <c r="G703" i="81"/>
  <c r="G704" i="81" l="1"/>
  <c r="H703" i="81"/>
  <c r="E704" i="81"/>
  <c r="F703" i="81"/>
  <c r="E705" i="81" l="1"/>
  <c r="F704" i="81"/>
  <c r="G705" i="81"/>
  <c r="H704" i="81"/>
  <c r="G706" i="81" l="1"/>
  <c r="H705" i="81"/>
  <c r="E706" i="81"/>
  <c r="F705" i="81"/>
  <c r="E707" i="81" l="1"/>
  <c r="F706" i="81"/>
  <c r="G707" i="81"/>
  <c r="H706" i="81"/>
  <c r="G708" i="81" l="1"/>
  <c r="H707" i="81"/>
  <c r="F707" i="81"/>
  <c r="E708" i="81"/>
  <c r="E709" i="81" l="1"/>
  <c r="F708" i="81"/>
  <c r="G709" i="81"/>
  <c r="H708" i="81"/>
  <c r="G710" i="81" l="1"/>
  <c r="H709" i="81"/>
  <c r="E710" i="81"/>
  <c r="F709" i="81"/>
  <c r="E711" i="81" l="1"/>
  <c r="F710" i="81"/>
  <c r="G711" i="81"/>
  <c r="H710" i="81"/>
  <c r="G712" i="81" l="1"/>
  <c r="H711" i="81"/>
  <c r="E712" i="81"/>
  <c r="F711" i="81"/>
  <c r="E713" i="81" l="1"/>
  <c r="F712" i="81"/>
  <c r="G713" i="81"/>
  <c r="H712" i="81"/>
  <c r="H713" i="81" l="1"/>
  <c r="G714" i="81"/>
  <c r="E714" i="81"/>
  <c r="F713" i="81"/>
  <c r="F714" i="81" l="1"/>
  <c r="E715" i="81"/>
  <c r="G715" i="81"/>
  <c r="H714" i="81"/>
  <c r="G716" i="81" l="1"/>
  <c r="H715" i="81"/>
  <c r="E716" i="81"/>
  <c r="F715" i="81"/>
  <c r="E717" i="81" l="1"/>
  <c r="F716" i="81"/>
  <c r="G717" i="81"/>
  <c r="H716" i="81"/>
  <c r="G718" i="81" l="1"/>
  <c r="H717" i="81"/>
  <c r="E718" i="81"/>
  <c r="F717" i="81"/>
  <c r="E719" i="81" l="1"/>
  <c r="F718" i="81"/>
  <c r="H718" i="81"/>
  <c r="G719" i="81"/>
  <c r="G720" i="81" l="1"/>
  <c r="H719" i="81"/>
  <c r="E720" i="81"/>
  <c r="F719" i="81"/>
  <c r="E721" i="81" l="1"/>
  <c r="F720" i="81"/>
  <c r="G721" i="81"/>
  <c r="H720" i="81"/>
  <c r="H721" i="81" l="1"/>
  <c r="G722" i="81"/>
  <c r="E722" i="81"/>
  <c r="F721" i="81"/>
  <c r="E723" i="81" l="1"/>
  <c r="F722" i="81"/>
  <c r="G723" i="81"/>
  <c r="H722" i="81"/>
  <c r="G724" i="81" l="1"/>
  <c r="H723" i="81"/>
  <c r="E724" i="81"/>
  <c r="F723" i="81"/>
  <c r="F724" i="81" l="1"/>
  <c r="E725" i="81"/>
  <c r="H724" i="81"/>
  <c r="G725" i="81"/>
  <c r="H725" i="81" l="1"/>
  <c r="G726" i="81"/>
  <c r="E726" i="81"/>
  <c r="F725" i="81"/>
  <c r="E727" i="81" l="1"/>
  <c r="F726" i="81"/>
  <c r="G727" i="81"/>
  <c r="H726" i="81"/>
  <c r="H727" i="81" l="1"/>
  <c r="G728" i="81"/>
  <c r="E728" i="81"/>
  <c r="F727" i="81"/>
  <c r="E729" i="81" l="1"/>
  <c r="F728" i="81"/>
  <c r="G729" i="81"/>
  <c r="H728" i="81"/>
  <c r="G730" i="81" l="1"/>
  <c r="H729" i="81"/>
  <c r="F729" i="81"/>
  <c r="E730" i="81"/>
  <c r="E731" i="81" l="1"/>
  <c r="F730" i="81"/>
  <c r="G731" i="81"/>
  <c r="H730" i="81"/>
  <c r="G732" i="81" l="1"/>
  <c r="H731" i="81"/>
  <c r="E732" i="81"/>
  <c r="F731" i="81"/>
  <c r="H732" i="81" l="1"/>
  <c r="G733" i="81"/>
  <c r="E733" i="81"/>
  <c r="F732" i="81"/>
  <c r="E734" i="81" l="1"/>
  <c r="F733" i="81"/>
  <c r="G734" i="81"/>
  <c r="H733" i="81"/>
  <c r="F734" i="81" l="1"/>
  <c r="E735" i="81"/>
  <c r="G735" i="81"/>
  <c r="H734" i="81"/>
  <c r="H735" i="81" l="1"/>
  <c r="G736" i="81"/>
  <c r="E736" i="81"/>
  <c r="F735" i="81"/>
  <c r="E737" i="81" l="1"/>
  <c r="F736" i="81"/>
  <c r="G737" i="81"/>
  <c r="H736" i="81"/>
  <c r="G738" i="81" l="1"/>
  <c r="H737" i="81"/>
  <c r="F737" i="81"/>
  <c r="E738" i="81"/>
  <c r="G739" i="81" l="1"/>
  <c r="H738" i="81"/>
  <c r="E739" i="81"/>
  <c r="F738" i="81"/>
  <c r="G740" i="81" l="1"/>
  <c r="H739" i="81"/>
  <c r="E740" i="81"/>
  <c r="F739" i="81"/>
  <c r="G741" i="81" l="1"/>
  <c r="H740" i="81"/>
  <c r="E741" i="81"/>
  <c r="F740" i="81"/>
  <c r="H741" i="81" l="1"/>
  <c r="G742" i="81"/>
  <c r="E742" i="81"/>
  <c r="F741" i="81"/>
  <c r="E743" i="81" l="1"/>
  <c r="F742" i="81"/>
  <c r="G743" i="81"/>
  <c r="H742" i="81"/>
  <c r="E744" i="81" l="1"/>
  <c r="F743" i="81"/>
  <c r="G744" i="81"/>
  <c r="H743" i="81"/>
  <c r="E745" i="81" l="1"/>
  <c r="F744" i="81"/>
  <c r="G745" i="81"/>
  <c r="H744" i="81"/>
  <c r="F745" i="81" l="1"/>
  <c r="E746" i="81"/>
  <c r="H745" i="81"/>
  <c r="G746" i="81"/>
  <c r="H746" i="81" l="1"/>
  <c r="G747" i="81"/>
  <c r="E747" i="81"/>
  <c r="F746" i="81"/>
  <c r="E748" i="81" l="1"/>
  <c r="F747" i="81"/>
  <c r="G748" i="81"/>
  <c r="H747" i="81"/>
  <c r="E749" i="81" l="1"/>
  <c r="F748" i="81"/>
  <c r="G749" i="81"/>
  <c r="H748" i="81"/>
  <c r="G750" i="81" l="1"/>
  <c r="H749" i="81"/>
  <c r="E750" i="81"/>
  <c r="F749" i="81"/>
  <c r="E751" i="81" l="1"/>
  <c r="F750" i="81"/>
  <c r="G751" i="81"/>
  <c r="H750" i="81"/>
  <c r="H751" i="81" l="1"/>
  <c r="G752" i="81"/>
  <c r="E752" i="81"/>
  <c r="F751" i="81"/>
  <c r="E753" i="81" l="1"/>
  <c r="F752" i="81"/>
  <c r="G753" i="81"/>
  <c r="H752" i="81"/>
  <c r="G754" i="81" l="1"/>
  <c r="H753" i="81"/>
  <c r="E754" i="81"/>
  <c r="F753" i="81"/>
  <c r="E755" i="81" l="1"/>
  <c r="F754" i="81"/>
  <c r="G755" i="81"/>
  <c r="H754" i="81"/>
  <c r="G756" i="81" l="1"/>
  <c r="H755" i="81"/>
  <c r="E756" i="81"/>
  <c r="F755" i="81"/>
  <c r="E757" i="81" l="1"/>
  <c r="F756" i="81"/>
  <c r="G757" i="81"/>
  <c r="H756" i="81"/>
  <c r="H757" i="81" l="1"/>
  <c r="G758" i="81"/>
  <c r="F757" i="81"/>
  <c r="E758" i="81"/>
  <c r="F758" i="81" l="1"/>
  <c r="L26" i="81" s="1"/>
  <c r="P18" i="81"/>
  <c r="Z18" i="81"/>
  <c r="H758" i="81"/>
  <c r="V26" i="81" s="1"/>
</calcChain>
</file>

<file path=xl/comments1.xml><?xml version="1.0" encoding="utf-8"?>
<comments xmlns="http://schemas.openxmlformats.org/spreadsheetml/2006/main">
  <authors>
    <author>Windows User</author>
    <author>Changwei Xiong</author>
  </authors>
  <commentList>
    <comment ref="E6" authorId="0" shapeId="0">
      <text>
        <r>
          <rPr>
            <sz val="8"/>
            <color indexed="81"/>
            <rFont val="Tahoma"/>
            <family val="2"/>
          </rPr>
          <t>Use sample standard deviation as the initial volatility</t>
        </r>
      </text>
    </comment>
    <comment ref="G6" authorId="0" shapeId="0">
      <text>
        <r>
          <rPr>
            <sz val="8"/>
            <color indexed="81"/>
            <rFont val="Tahoma"/>
            <family val="2"/>
          </rPr>
          <t>Use sample standard deviation as the initial volatility</t>
        </r>
      </text>
    </comment>
    <comment ref="L18" authorId="1" shapeId="0">
      <text>
        <r>
          <rPr>
            <sz val="8"/>
            <color indexed="81"/>
            <rFont val="Tahoma"/>
            <family val="2"/>
          </rPr>
          <t>must be positive</t>
        </r>
      </text>
    </comment>
    <comment ref="V18" authorId="1" shapeId="0">
      <text>
        <r>
          <rPr>
            <sz val="8"/>
            <color indexed="81"/>
            <rFont val="Tahoma"/>
            <family val="2"/>
          </rPr>
          <t>must be positive</t>
        </r>
      </text>
    </comment>
    <comment ref="L19" authorId="1" shapeId="0">
      <text>
        <r>
          <rPr>
            <sz val="8"/>
            <color indexed="81"/>
            <rFont val="Tahoma"/>
            <family val="2"/>
          </rPr>
          <t>must be positive</t>
        </r>
      </text>
    </comment>
    <comment ref="L20" authorId="1" shapeId="0">
      <text>
        <r>
          <rPr>
            <sz val="8"/>
            <color indexed="81"/>
            <rFont val="Tahoma"/>
            <family val="2"/>
          </rPr>
          <t>must be positive</t>
        </r>
      </text>
    </comment>
    <comment ref="E504" authorId="1" shapeId="0">
      <text>
        <r>
          <rPr>
            <sz val="8"/>
            <color indexed="81"/>
            <rFont val="Tahoma"/>
            <family val="2"/>
          </rPr>
          <t>Use sample standard deviation for the initial guess of the Sigma.</t>
        </r>
      </text>
    </comment>
    <comment ref="G504" authorId="1" shapeId="0">
      <text>
        <r>
          <rPr>
            <sz val="8"/>
            <color indexed="81"/>
            <rFont val="Tahoma"/>
            <family val="2"/>
          </rPr>
          <t>Use sample standard deviation for the initial guess of the Sigma.</t>
        </r>
      </text>
    </comment>
  </commentList>
</comments>
</file>

<file path=xl/sharedStrings.xml><?xml version="1.0" encoding="utf-8"?>
<sst xmlns="http://schemas.openxmlformats.org/spreadsheetml/2006/main" count="30" uniqueCount="24">
  <si>
    <t>SPX Index</t>
  </si>
  <si>
    <t>Total Log-Likelihood</t>
  </si>
  <si>
    <t>Log Return</t>
  </si>
  <si>
    <t>GARCH(1,1) Model</t>
  </si>
  <si>
    <t>Log-Likelihood</t>
  </si>
  <si>
    <t>Lambda, λ</t>
  </si>
  <si>
    <t>Alpha, α</t>
  </si>
  <si>
    <t>Beta, β</t>
  </si>
  <si>
    <t>Model Parameters</t>
  </si>
  <si>
    <t>GARCH(1,1) Volatility</t>
  </si>
  <si>
    <t>EWMAVolatility</t>
  </si>
  <si>
    <t>Model Parameter</t>
  </si>
  <si>
    <t>1-day Predicted Volatility</t>
  </si>
  <si>
    <t>Sigma(σ)</t>
  </si>
  <si>
    <t>EWMA Model</t>
  </si>
  <si>
    <t>Historical Date</t>
  </si>
  <si>
    <t>5Y Yield Rate Return</t>
  </si>
  <si>
    <t xml:space="preserve"> </t>
  </si>
  <si>
    <t>1-λ</t>
  </si>
  <si>
    <t>stationary, α + β</t>
  </si>
  <si>
    <t>λ/(1-α-β)</t>
  </si>
  <si>
    <t>long term vol</t>
  </si>
  <si>
    <t>Std. Dev.:</t>
  </si>
  <si>
    <t>@ 2013-12-31</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</si>
</sst>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43" formatCode="_(* #,##0.00_);_(* \(#,##0.00\);_(* &quot;-&quot;??_);_(@_)"/>
    <numFmt numFmtId="169" formatCode="yyyy\-mm\-dd"/>
    <numFmt numFmtId="172" formatCode="#,##0;[Red]\-#,##0"/>
    <numFmt numFmtId="178" formatCode="0.00;[Red]\-0.00;_(&quot;-&quot;_)"/>
    <numFmt numFmtId="179" formatCode="0.00%;[Red]\-0.00%;_(&quot;-&quot;_)"/>
    <numFmt numFmtId="186" formatCode="0.0000;[Red]\-0.0000;_(&quot;-&quot;_)"/>
    <numFmt numFmtId="188" formatCode="_-* #,##0.00_-;\-* #,##0.00_-;_-* &quot;-&quot;??_-;_-@_-"/>
    <numFmt numFmtId="190" formatCode="_-* #,##0.0000_-;\-* #,##0.0000_-;_-* &quot;-&quot;??_-;_-@_-"/>
    <numFmt numFmtId="206" formatCode="0.000000;[Red]\-0.000000;_(&quot;-&quot;_)"/>
    <numFmt numFmtId="211" formatCode="_-* #,##0.00000000_-;\-* #,##0.00000000_-;_-* &quot;-&quot;??_-;_-@_-"/>
    <numFmt numFmtId="212" formatCode="_-* #,##0.000000000_-;\-* #,##0.000000000_-;_-* &quot;-&quot;??_-;_-@_-"/>
    <numFmt numFmtId="214" formatCode="0.000%;[Red]\-0.000%;_(&quot;-&quot;_)"/>
  </numFmts>
  <fonts count="10" x14ac:knownFonts="1">
    <font>
      <sz val="10"/>
      <name val="Arial"/>
    </font>
    <font>
      <sz val="10"/>
      <name val="Arial"/>
      <family val="2"/>
    </font>
    <font>
      <sz val="8"/>
      <name val="Arial"/>
      <family val="2"/>
    </font>
    <font>
      <sz val="11"/>
      <color indexed="8"/>
      <name val="Calibri"/>
      <family val="2"/>
    </font>
    <font>
      <sz val="8"/>
      <color indexed="81"/>
      <name val="Tahoma"/>
      <family val="2"/>
    </font>
    <font>
      <sz val="10"/>
      <name val="Arial"/>
      <family val="2"/>
    </font>
    <font>
      <sz val="8"/>
      <name val="Cambria"/>
      <family val="1"/>
    </font>
    <font>
      <i/>
      <sz val="8"/>
      <name val="Cambria"/>
      <family val="1"/>
    </font>
    <font>
      <sz val="11"/>
      <color theme="1"/>
      <name val="Calibri"/>
      <family val="2"/>
      <scheme val="minor"/>
    </font>
    <font>
      <sz val="8"/>
      <name val="Cambria"/>
      <family val="1"/>
      <scheme val="major"/>
    </font>
  </fonts>
  <fills count="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6"/>
        <bgColor indexed="64"/>
      </patternFill>
    </fill>
    <fill>
      <patternFill patternType="solid">
        <fgColor indexed="51"/>
        <bgColor indexed="64"/>
      </patternFill>
    </fill>
    <fill>
      <patternFill patternType="solid">
        <fgColor indexed="43"/>
        <bgColor indexed="64"/>
      </patternFill>
    </fill>
    <fill>
      <patternFill patternType="solid">
        <fgColor theme="0"/>
        <bgColor indexed="64"/>
      </patternFill>
    </fill>
  </fills>
  <borders count="8">
    <border>
      <left/>
      <right/>
      <top/>
      <bottom/>
      <diagonal/>
    </border>
    <border>
      <left/>
      <right style="thin">
        <color indexed="64"/>
      </right>
      <top/>
      <bottom style="double">
        <color indexed="64"/>
      </bottom>
      <diagonal/>
    </border>
    <border>
      <left/>
      <right/>
      <top/>
      <bottom style="double">
        <color indexed="64"/>
      </bottom>
      <diagonal/>
    </border>
    <border>
      <left/>
      <right style="thin">
        <color indexed="64"/>
      </right>
      <top style="double">
        <color indexed="64"/>
      </top>
      <bottom/>
      <diagonal/>
    </border>
    <border>
      <left/>
      <right style="thin">
        <color indexed="64"/>
      </right>
      <top/>
      <bottom/>
      <diagonal/>
    </border>
    <border>
      <left/>
      <right/>
      <top style="double">
        <color indexed="64"/>
      </top>
      <bottom style="thin">
        <color indexed="64"/>
      </bottom>
      <diagonal/>
    </border>
    <border>
      <left/>
      <right/>
      <top/>
      <bottom style="thin">
        <color indexed="64"/>
      </bottom>
      <diagonal/>
    </border>
    <border>
      <left/>
      <right/>
      <top style="thin">
        <color indexed="64"/>
      </top>
      <bottom/>
      <diagonal/>
    </border>
  </borders>
  <cellStyleXfs count="10">
    <xf numFmtId="0" fontId="0" fillId="0" borderId="0"/>
    <xf numFmtId="43" fontId="1" fillId="0" borderId="0" applyFont="0" applyFill="0" applyBorder="0" applyAlignment="0" applyProtection="0"/>
    <xf numFmtId="43" fontId="3" fillId="0" borderId="0" applyFont="0" applyFill="0" applyBorder="0" applyAlignment="0" applyProtection="0"/>
    <xf numFmtId="43" fontId="1" fillId="0" borderId="0" applyFont="0" applyFill="0" applyBorder="0" applyAlignment="0" applyProtection="0"/>
    <xf numFmtId="188" fontId="1" fillId="0" borderId="0" applyFont="0" applyFill="0" applyBorder="0" applyAlignment="0" applyProtection="0"/>
    <xf numFmtId="188" fontId="5" fillId="0" borderId="0" applyFont="0" applyFill="0" applyBorder="0" applyAlignment="0" applyProtection="0"/>
    <xf numFmtId="0" fontId="8" fillId="0" borderId="0"/>
    <xf numFmtId="0" fontId="1" fillId="0" borderId="0"/>
    <xf numFmtId="9" fontId="1" fillId="0" borderId="0" applyFont="0" applyFill="0" applyBorder="0" applyAlignment="0" applyProtection="0"/>
    <xf numFmtId="9" fontId="1" fillId="0" borderId="0" applyFont="0" applyFill="0" applyBorder="0" applyAlignment="0" applyProtection="0"/>
  </cellStyleXfs>
  <cellXfs count="40">
    <xf numFmtId="0" fontId="0" fillId="0" borderId="0" xfId="0"/>
    <xf numFmtId="178" fontId="6" fillId="2" borderId="0" xfId="8" applyNumberFormat="1" applyFont="1" applyFill="1" applyBorder="1" applyAlignment="1" applyProtection="1">
      <alignment horizontal="center"/>
      <protection locked="0"/>
    </xf>
    <xf numFmtId="178" fontId="7" fillId="2" borderId="0" xfId="8" applyNumberFormat="1" applyFont="1" applyFill="1" applyBorder="1" applyAlignment="1" applyProtection="1">
      <alignment horizontal="center"/>
      <protection locked="0"/>
    </xf>
    <xf numFmtId="179" fontId="6" fillId="2" borderId="0" xfId="8" applyNumberFormat="1" applyFont="1" applyFill="1" applyBorder="1" applyAlignment="1" applyProtection="1">
      <alignment horizontal="center"/>
      <protection locked="0"/>
    </xf>
    <xf numFmtId="178" fontId="6" fillId="2" borderId="0" xfId="8" applyNumberFormat="1" applyFont="1" applyFill="1" applyAlignment="1" applyProtection="1">
      <alignment horizontal="center"/>
      <protection locked="0"/>
    </xf>
    <xf numFmtId="49" fontId="7" fillId="2" borderId="1" xfId="0" applyNumberFormat="1" applyFont="1" applyFill="1" applyBorder="1" applyAlignment="1">
      <alignment horizontal="center"/>
    </xf>
    <xf numFmtId="49" fontId="7" fillId="2" borderId="2" xfId="0" applyNumberFormat="1" applyFont="1" applyFill="1" applyBorder="1" applyAlignment="1">
      <alignment horizontal="center"/>
    </xf>
    <xf numFmtId="49" fontId="7" fillId="2" borderId="1" xfId="8" applyNumberFormat="1" applyFont="1" applyFill="1" applyBorder="1" applyAlignment="1">
      <alignment horizontal="center"/>
    </xf>
    <xf numFmtId="49" fontId="7" fillId="2" borderId="2" xfId="8" applyNumberFormat="1" applyFont="1" applyFill="1" applyBorder="1" applyAlignment="1" applyProtection="1">
      <alignment horizontal="center"/>
      <protection locked="0"/>
    </xf>
    <xf numFmtId="49" fontId="7" fillId="2" borderId="1" xfId="8" applyNumberFormat="1" applyFont="1" applyFill="1" applyBorder="1" applyAlignment="1" applyProtection="1">
      <alignment horizontal="center"/>
      <protection locked="0"/>
    </xf>
    <xf numFmtId="169" fontId="6" fillId="3" borderId="3" xfId="0" applyNumberFormat="1" applyFont="1" applyFill="1" applyBorder="1" applyAlignment="1"/>
    <xf numFmtId="172" fontId="6" fillId="3" borderId="0" xfId="1" applyNumberFormat="1" applyFont="1" applyFill="1"/>
    <xf numFmtId="179" fontId="6" fillId="2" borderId="4" xfId="8" applyNumberFormat="1" applyFont="1" applyFill="1" applyBorder="1" applyAlignment="1" applyProtection="1">
      <alignment horizontal="center"/>
      <protection locked="0"/>
    </xf>
    <xf numFmtId="179" fontId="6" fillId="4" borderId="0" xfId="8" applyNumberFormat="1" applyFont="1" applyFill="1" applyBorder="1" applyAlignment="1" applyProtection="1">
      <alignment horizontal="center"/>
      <protection locked="0"/>
    </xf>
    <xf numFmtId="178" fontId="6" fillId="4" borderId="4" xfId="8" applyNumberFormat="1" applyFont="1" applyFill="1" applyBorder="1" applyAlignment="1" applyProtection="1">
      <alignment horizontal="center"/>
      <protection locked="0"/>
    </xf>
    <xf numFmtId="178" fontId="6" fillId="4" borderId="0" xfId="8" applyNumberFormat="1" applyFont="1" applyFill="1" applyAlignment="1" applyProtection="1">
      <alignment horizontal="center"/>
      <protection locked="0"/>
    </xf>
    <xf numFmtId="169" fontId="6" fillId="3" borderId="4" xfId="0" applyNumberFormat="1" applyFont="1" applyFill="1" applyBorder="1" applyAlignment="1"/>
    <xf numFmtId="179" fontId="6" fillId="5" borderId="0" xfId="8" applyNumberFormat="1" applyFont="1" applyFill="1" applyBorder="1" applyAlignment="1" applyProtection="1">
      <alignment horizontal="center"/>
      <protection locked="0"/>
    </xf>
    <xf numFmtId="178" fontId="6" fillId="2" borderId="4" xfId="8" applyNumberFormat="1" applyFont="1" applyFill="1" applyBorder="1" applyAlignment="1" applyProtection="1">
      <alignment horizontal="center"/>
      <protection locked="0"/>
    </xf>
    <xf numFmtId="212" fontId="6" fillId="6" borderId="0" xfId="5" applyNumberFormat="1" applyFont="1" applyFill="1" applyBorder="1"/>
    <xf numFmtId="179" fontId="6" fillId="2" borderId="0" xfId="8" applyNumberFormat="1" applyFont="1" applyFill="1" applyBorder="1" applyAlignment="1" applyProtection="1">
      <alignment horizontal="right"/>
      <protection locked="0"/>
    </xf>
    <xf numFmtId="190" fontId="6" fillId="6" borderId="5" xfId="5" applyNumberFormat="1" applyFont="1" applyFill="1" applyBorder="1"/>
    <xf numFmtId="190" fontId="6" fillId="6" borderId="0" xfId="5" applyNumberFormat="1" applyFont="1" applyFill="1" applyBorder="1"/>
    <xf numFmtId="178" fontId="7" fillId="2" borderId="0" xfId="8" applyNumberFormat="1" applyFont="1" applyFill="1" applyAlignment="1" applyProtection="1">
      <alignment horizontal="right"/>
      <protection locked="0"/>
    </xf>
    <xf numFmtId="186" fontId="6" fillId="2" borderId="0" xfId="8" applyNumberFormat="1" applyFont="1" applyFill="1" applyAlignment="1" applyProtection="1">
      <alignment horizontal="center"/>
      <protection locked="0"/>
    </xf>
    <xf numFmtId="190" fontId="6" fillId="6" borderId="6" xfId="5" applyNumberFormat="1" applyFont="1" applyFill="1" applyBorder="1"/>
    <xf numFmtId="206" fontId="6" fillId="2" borderId="0" xfId="8" applyNumberFormat="1" applyFont="1" applyFill="1" applyAlignment="1" applyProtection="1">
      <alignment horizontal="center"/>
      <protection locked="0"/>
    </xf>
    <xf numFmtId="190" fontId="6" fillId="3" borderId="0" xfId="5" applyNumberFormat="1" applyFont="1" applyFill="1" applyBorder="1"/>
    <xf numFmtId="211" fontId="6" fillId="3" borderId="0" xfId="5" applyNumberFormat="1" applyFont="1" applyFill="1" applyBorder="1"/>
    <xf numFmtId="214" fontId="6" fillId="2" borderId="0" xfId="8" applyNumberFormat="1" applyFont="1" applyFill="1" applyBorder="1" applyAlignment="1" applyProtection="1">
      <alignment horizontal="right"/>
      <protection locked="0"/>
    </xf>
    <xf numFmtId="178" fontId="6" fillId="2" borderId="0" xfId="8" applyNumberFormat="1" applyFont="1" applyFill="1" applyAlignment="1" applyProtection="1">
      <alignment horizontal="right"/>
      <protection locked="0"/>
    </xf>
    <xf numFmtId="0" fontId="9" fillId="7" borderId="0" xfId="7" applyFont="1" applyFill="1"/>
    <xf numFmtId="49" fontId="7" fillId="2" borderId="0" xfId="8" applyNumberFormat="1" applyFont="1" applyFill="1" applyAlignment="1" applyProtection="1">
      <alignment horizontal="center"/>
      <protection locked="0"/>
    </xf>
    <xf numFmtId="49" fontId="7" fillId="3" borderId="0" xfId="5" applyNumberFormat="1" applyFont="1" applyFill="1" applyBorder="1" applyAlignment="1">
      <alignment horizontal="right"/>
    </xf>
    <xf numFmtId="49" fontId="7" fillId="2" borderId="2" xfId="8" applyNumberFormat="1" applyFont="1" applyFill="1" applyBorder="1" applyAlignment="1" applyProtection="1">
      <alignment horizontal="center"/>
      <protection locked="0"/>
    </xf>
    <xf numFmtId="49" fontId="7" fillId="3" borderId="5" xfId="5" applyNumberFormat="1" applyFont="1" applyFill="1" applyBorder="1" applyAlignment="1">
      <alignment horizontal="right"/>
    </xf>
    <xf numFmtId="49" fontId="7" fillId="3" borderId="6" xfId="5" applyNumberFormat="1" applyFont="1" applyFill="1" applyBorder="1" applyAlignment="1">
      <alignment horizontal="right"/>
    </xf>
    <xf numFmtId="178" fontId="7" fillId="2" borderId="7" xfId="8" applyNumberFormat="1" applyFont="1" applyFill="1" applyBorder="1" applyAlignment="1" applyProtection="1">
      <alignment horizontal="right"/>
      <protection locked="0"/>
    </xf>
    <xf numFmtId="178" fontId="7" fillId="2" borderId="0" xfId="8" applyNumberFormat="1" applyFont="1" applyFill="1" applyAlignment="1" applyProtection="1">
      <alignment horizontal="right"/>
      <protection locked="0"/>
    </xf>
    <xf numFmtId="178" fontId="7" fillId="2" borderId="0" xfId="8" applyNumberFormat="1" applyFont="1" applyFill="1" applyBorder="1" applyAlignment="1" applyProtection="1">
      <alignment horizontal="right"/>
      <protection locked="0"/>
    </xf>
  </cellXfs>
  <cellStyles count="10">
    <cellStyle name="Comma" xfId="1" builtinId="3"/>
    <cellStyle name="Comma 2" xfId="2"/>
    <cellStyle name="Comma 3" xfId="3"/>
    <cellStyle name="Comma 4" xfId="4"/>
    <cellStyle name="Comma_GARCH" xfId="5"/>
    <cellStyle name="Normal" xfId="0" builtinId="0"/>
    <cellStyle name="Normal 2" xfId="6"/>
    <cellStyle name="Normal 3" xfId="7"/>
    <cellStyle name="Percent" xfId="8" builtinId="5"/>
    <cellStyle name="Percent 2" xfId="9"/>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2469"/>
      <rgbColor rgb="00808000"/>
      <rgbColor rgb="00800080"/>
      <rgbColor rgb="00008080"/>
      <rgbColor rgb="00C0C0C0"/>
      <rgbColor rgb="00808080"/>
      <rgbColor rgb="0086A1C0"/>
      <rgbColor rgb="00B9C2D5"/>
      <rgbColor rgb="00A5A5A4"/>
      <rgbColor rgb="00CAC6C2"/>
      <rgbColor rgb="006B955B"/>
      <rgbColor rgb="00BDC96B"/>
      <rgbColor rgb="00D74046"/>
      <rgbColor rgb="00F69359"/>
      <rgbColor rgb="005381AC"/>
      <rgbColor rgb="003DB7DF"/>
      <rgbColor rgb="003A7224"/>
      <rgbColor rgb="00C90008"/>
      <rgbColor rgb="00F36F21"/>
      <rgbColor rgb="00E8C204"/>
      <rgbColor rgb="00820EB7"/>
      <rgbColor rgb="00747679"/>
      <rgbColor rgb="00002469"/>
      <rgbColor rgb="00FBBC53"/>
      <rgbColor rgb="00A14AC9"/>
      <rgbColor rgb="00C3C3C2"/>
      <rgbColor rgb="00EDC85C"/>
      <rgbColor rgb="00AFC1D5"/>
      <rgbColor rgb="00DCD9D6"/>
      <rgbColor rgb="00D0D6E3"/>
      <rgbColor rgb="009CB891"/>
      <rgbColor rgb="00D3DB9C"/>
      <rgbColor rgb="00E47F83"/>
      <rgbColor rgb="00F9B790"/>
      <rgbColor rgb="00F3E081"/>
      <rgbColor rgb="00FCD28C"/>
      <rgbColor rgb="00C086DB"/>
      <rgbColor rgb="009EDBEF"/>
      <rgbColor rgb="00E1E1E1"/>
      <rgbColor rgb="00D7E0EA"/>
      <rgbColor rgb="00EDECEB"/>
      <rgbColor rgb="00E8EBF1"/>
      <rgbColor rgb="00CEDCC8"/>
      <rgbColor rgb="00E9EDCD"/>
      <rgbColor rgb="00F1BFC1"/>
      <rgbColor rgb="00FCDBC7"/>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244907345304026"/>
          <c:y val="4.0948275862068964E-2"/>
          <c:w val="0.78336009811624474"/>
          <c:h val="0.76293103448275867"/>
        </c:manualLayout>
      </c:layout>
      <c:scatterChart>
        <c:scatterStyle val="lineMarker"/>
        <c:varyColors val="0"/>
        <c:ser>
          <c:idx val="0"/>
          <c:order val="0"/>
          <c:tx>
            <c:v>GARCH(1,1) Predicted Volatility</c:v>
          </c:tx>
          <c:spPr>
            <a:ln w="12700">
              <a:solidFill>
                <a:srgbClr val="0000FF"/>
              </a:solidFill>
              <a:prstDash val="solid"/>
            </a:ln>
          </c:spPr>
          <c:marker>
            <c:symbol val="none"/>
          </c:marker>
          <c:xVal>
            <c:numRef>
              <c:f>Volatility!$B$5:$B$757</c:f>
              <c:numCache>
                <c:formatCode>yyyy\-mm\-dd</c:formatCode>
                <c:ptCount val="753"/>
                <c:pt idx="0">
                  <c:v>40546</c:v>
                </c:pt>
                <c:pt idx="1">
                  <c:v>40547</c:v>
                </c:pt>
                <c:pt idx="2">
                  <c:v>40548</c:v>
                </c:pt>
                <c:pt idx="3">
                  <c:v>40549</c:v>
                </c:pt>
                <c:pt idx="4">
                  <c:v>40550</c:v>
                </c:pt>
                <c:pt idx="5">
                  <c:v>40553</c:v>
                </c:pt>
                <c:pt idx="6">
                  <c:v>40554</c:v>
                </c:pt>
                <c:pt idx="7">
                  <c:v>40555</c:v>
                </c:pt>
                <c:pt idx="8">
                  <c:v>40556</c:v>
                </c:pt>
                <c:pt idx="9">
                  <c:v>40557</c:v>
                </c:pt>
                <c:pt idx="10">
                  <c:v>40561</c:v>
                </c:pt>
                <c:pt idx="11">
                  <c:v>40562</c:v>
                </c:pt>
                <c:pt idx="12">
                  <c:v>40563</c:v>
                </c:pt>
                <c:pt idx="13">
                  <c:v>40564</c:v>
                </c:pt>
                <c:pt idx="14">
                  <c:v>40567</c:v>
                </c:pt>
                <c:pt idx="15">
                  <c:v>40568</c:v>
                </c:pt>
                <c:pt idx="16">
                  <c:v>40569</c:v>
                </c:pt>
                <c:pt idx="17">
                  <c:v>40570</c:v>
                </c:pt>
                <c:pt idx="18">
                  <c:v>40571</c:v>
                </c:pt>
                <c:pt idx="19">
                  <c:v>40574</c:v>
                </c:pt>
                <c:pt idx="20">
                  <c:v>40575</c:v>
                </c:pt>
                <c:pt idx="21">
                  <c:v>40576</c:v>
                </c:pt>
                <c:pt idx="22">
                  <c:v>40577</c:v>
                </c:pt>
                <c:pt idx="23">
                  <c:v>40578</c:v>
                </c:pt>
                <c:pt idx="24">
                  <c:v>40581</c:v>
                </c:pt>
                <c:pt idx="25">
                  <c:v>40582</c:v>
                </c:pt>
                <c:pt idx="26">
                  <c:v>40583</c:v>
                </c:pt>
                <c:pt idx="27">
                  <c:v>40584</c:v>
                </c:pt>
                <c:pt idx="28">
                  <c:v>40585</c:v>
                </c:pt>
                <c:pt idx="29">
                  <c:v>40588</c:v>
                </c:pt>
                <c:pt idx="30">
                  <c:v>40589</c:v>
                </c:pt>
                <c:pt idx="31">
                  <c:v>40590</c:v>
                </c:pt>
                <c:pt idx="32">
                  <c:v>40591</c:v>
                </c:pt>
                <c:pt idx="33">
                  <c:v>40592</c:v>
                </c:pt>
                <c:pt idx="34">
                  <c:v>40596</c:v>
                </c:pt>
                <c:pt idx="35">
                  <c:v>40597</c:v>
                </c:pt>
                <c:pt idx="36">
                  <c:v>40598</c:v>
                </c:pt>
                <c:pt idx="37">
                  <c:v>40599</c:v>
                </c:pt>
                <c:pt idx="38">
                  <c:v>40602</c:v>
                </c:pt>
                <c:pt idx="39">
                  <c:v>40603</c:v>
                </c:pt>
                <c:pt idx="40">
                  <c:v>40604</c:v>
                </c:pt>
                <c:pt idx="41">
                  <c:v>40605</c:v>
                </c:pt>
                <c:pt idx="42">
                  <c:v>40606</c:v>
                </c:pt>
                <c:pt idx="43">
                  <c:v>40609</c:v>
                </c:pt>
                <c:pt idx="44">
                  <c:v>40610</c:v>
                </c:pt>
                <c:pt idx="45">
                  <c:v>40611</c:v>
                </c:pt>
                <c:pt idx="46">
                  <c:v>40612</c:v>
                </c:pt>
                <c:pt idx="47">
                  <c:v>40613</c:v>
                </c:pt>
                <c:pt idx="48">
                  <c:v>40616</c:v>
                </c:pt>
                <c:pt idx="49">
                  <c:v>40617</c:v>
                </c:pt>
                <c:pt idx="50">
                  <c:v>40618</c:v>
                </c:pt>
                <c:pt idx="51">
                  <c:v>40619</c:v>
                </c:pt>
                <c:pt idx="52">
                  <c:v>40620</c:v>
                </c:pt>
                <c:pt idx="53">
                  <c:v>40623</c:v>
                </c:pt>
                <c:pt idx="54">
                  <c:v>40624</c:v>
                </c:pt>
                <c:pt idx="55">
                  <c:v>40625</c:v>
                </c:pt>
                <c:pt idx="56">
                  <c:v>40626</c:v>
                </c:pt>
                <c:pt idx="57">
                  <c:v>40627</c:v>
                </c:pt>
                <c:pt idx="58">
                  <c:v>40630</c:v>
                </c:pt>
                <c:pt idx="59">
                  <c:v>40631</c:v>
                </c:pt>
                <c:pt idx="60">
                  <c:v>40632</c:v>
                </c:pt>
                <c:pt idx="61">
                  <c:v>40633</c:v>
                </c:pt>
                <c:pt idx="62">
                  <c:v>40634</c:v>
                </c:pt>
                <c:pt idx="63">
                  <c:v>40637</c:v>
                </c:pt>
                <c:pt idx="64">
                  <c:v>40638</c:v>
                </c:pt>
                <c:pt idx="65">
                  <c:v>40639</c:v>
                </c:pt>
                <c:pt idx="66">
                  <c:v>40640</c:v>
                </c:pt>
                <c:pt idx="67">
                  <c:v>40641</c:v>
                </c:pt>
                <c:pt idx="68">
                  <c:v>40644</c:v>
                </c:pt>
                <c:pt idx="69">
                  <c:v>40645</c:v>
                </c:pt>
                <c:pt idx="70">
                  <c:v>40646</c:v>
                </c:pt>
                <c:pt idx="71">
                  <c:v>40647</c:v>
                </c:pt>
                <c:pt idx="72">
                  <c:v>40648</c:v>
                </c:pt>
                <c:pt idx="73">
                  <c:v>40651</c:v>
                </c:pt>
                <c:pt idx="74">
                  <c:v>40652</c:v>
                </c:pt>
                <c:pt idx="75">
                  <c:v>40653</c:v>
                </c:pt>
                <c:pt idx="76">
                  <c:v>40654</c:v>
                </c:pt>
                <c:pt idx="77">
                  <c:v>40658</c:v>
                </c:pt>
                <c:pt idx="78">
                  <c:v>40659</c:v>
                </c:pt>
                <c:pt idx="79">
                  <c:v>40660</c:v>
                </c:pt>
                <c:pt idx="80">
                  <c:v>40661</c:v>
                </c:pt>
                <c:pt idx="81">
                  <c:v>40662</c:v>
                </c:pt>
                <c:pt idx="82">
                  <c:v>40665</c:v>
                </c:pt>
                <c:pt idx="83">
                  <c:v>40666</c:v>
                </c:pt>
                <c:pt idx="84">
                  <c:v>40667</c:v>
                </c:pt>
                <c:pt idx="85">
                  <c:v>40668</c:v>
                </c:pt>
                <c:pt idx="86">
                  <c:v>40669</c:v>
                </c:pt>
                <c:pt idx="87">
                  <c:v>40672</c:v>
                </c:pt>
                <c:pt idx="88">
                  <c:v>40673</c:v>
                </c:pt>
                <c:pt idx="89">
                  <c:v>40674</c:v>
                </c:pt>
                <c:pt idx="90">
                  <c:v>40675</c:v>
                </c:pt>
                <c:pt idx="91">
                  <c:v>40676</c:v>
                </c:pt>
                <c:pt idx="92">
                  <c:v>40679</c:v>
                </c:pt>
                <c:pt idx="93">
                  <c:v>40680</c:v>
                </c:pt>
                <c:pt idx="94">
                  <c:v>40681</c:v>
                </c:pt>
                <c:pt idx="95">
                  <c:v>40682</c:v>
                </c:pt>
                <c:pt idx="96">
                  <c:v>40683</c:v>
                </c:pt>
                <c:pt idx="97">
                  <c:v>40686</c:v>
                </c:pt>
                <c:pt idx="98">
                  <c:v>40687</c:v>
                </c:pt>
                <c:pt idx="99">
                  <c:v>40688</c:v>
                </c:pt>
                <c:pt idx="100">
                  <c:v>40689</c:v>
                </c:pt>
                <c:pt idx="101">
                  <c:v>40690</c:v>
                </c:pt>
                <c:pt idx="102">
                  <c:v>40694</c:v>
                </c:pt>
                <c:pt idx="103">
                  <c:v>40695</c:v>
                </c:pt>
                <c:pt idx="104">
                  <c:v>40696</c:v>
                </c:pt>
                <c:pt idx="105">
                  <c:v>40697</c:v>
                </c:pt>
                <c:pt idx="106">
                  <c:v>40700</c:v>
                </c:pt>
                <c:pt idx="107">
                  <c:v>40701</c:v>
                </c:pt>
                <c:pt idx="108">
                  <c:v>40702</c:v>
                </c:pt>
                <c:pt idx="109">
                  <c:v>40703</c:v>
                </c:pt>
                <c:pt idx="110">
                  <c:v>40704</c:v>
                </c:pt>
                <c:pt idx="111">
                  <c:v>40707</c:v>
                </c:pt>
                <c:pt idx="112">
                  <c:v>40708</c:v>
                </c:pt>
                <c:pt idx="113">
                  <c:v>40709</c:v>
                </c:pt>
                <c:pt idx="114">
                  <c:v>40710</c:v>
                </c:pt>
                <c:pt idx="115">
                  <c:v>40711</c:v>
                </c:pt>
                <c:pt idx="116">
                  <c:v>40714</c:v>
                </c:pt>
                <c:pt idx="117">
                  <c:v>40715</c:v>
                </c:pt>
                <c:pt idx="118">
                  <c:v>40716</c:v>
                </c:pt>
                <c:pt idx="119">
                  <c:v>40717</c:v>
                </c:pt>
                <c:pt idx="120">
                  <c:v>40718</c:v>
                </c:pt>
                <c:pt idx="121">
                  <c:v>40721</c:v>
                </c:pt>
                <c:pt idx="122">
                  <c:v>40722</c:v>
                </c:pt>
                <c:pt idx="123">
                  <c:v>40723</c:v>
                </c:pt>
                <c:pt idx="124">
                  <c:v>40724</c:v>
                </c:pt>
                <c:pt idx="125">
                  <c:v>40725</c:v>
                </c:pt>
                <c:pt idx="126">
                  <c:v>40729</c:v>
                </c:pt>
                <c:pt idx="127">
                  <c:v>40730</c:v>
                </c:pt>
                <c:pt idx="128">
                  <c:v>40731</c:v>
                </c:pt>
                <c:pt idx="129">
                  <c:v>40732</c:v>
                </c:pt>
                <c:pt idx="130">
                  <c:v>40735</c:v>
                </c:pt>
                <c:pt idx="131">
                  <c:v>40736</c:v>
                </c:pt>
                <c:pt idx="132">
                  <c:v>40737</c:v>
                </c:pt>
                <c:pt idx="133">
                  <c:v>40738</c:v>
                </c:pt>
                <c:pt idx="134">
                  <c:v>40739</c:v>
                </c:pt>
                <c:pt idx="135">
                  <c:v>40742</c:v>
                </c:pt>
                <c:pt idx="136">
                  <c:v>40743</c:v>
                </c:pt>
                <c:pt idx="137">
                  <c:v>40744</c:v>
                </c:pt>
                <c:pt idx="138">
                  <c:v>40745</c:v>
                </c:pt>
                <c:pt idx="139">
                  <c:v>40746</c:v>
                </c:pt>
                <c:pt idx="140">
                  <c:v>40749</c:v>
                </c:pt>
                <c:pt idx="141">
                  <c:v>40750</c:v>
                </c:pt>
                <c:pt idx="142">
                  <c:v>40751</c:v>
                </c:pt>
                <c:pt idx="143">
                  <c:v>40752</c:v>
                </c:pt>
                <c:pt idx="144">
                  <c:v>40753</c:v>
                </c:pt>
                <c:pt idx="145">
                  <c:v>40756</c:v>
                </c:pt>
                <c:pt idx="146">
                  <c:v>40757</c:v>
                </c:pt>
                <c:pt idx="147">
                  <c:v>40758</c:v>
                </c:pt>
                <c:pt idx="148">
                  <c:v>40759</c:v>
                </c:pt>
                <c:pt idx="149">
                  <c:v>40760</c:v>
                </c:pt>
                <c:pt idx="150">
                  <c:v>40763</c:v>
                </c:pt>
                <c:pt idx="151">
                  <c:v>40764</c:v>
                </c:pt>
                <c:pt idx="152">
                  <c:v>40765</c:v>
                </c:pt>
                <c:pt idx="153">
                  <c:v>40766</c:v>
                </c:pt>
                <c:pt idx="154">
                  <c:v>40767</c:v>
                </c:pt>
                <c:pt idx="155">
                  <c:v>40770</c:v>
                </c:pt>
                <c:pt idx="156">
                  <c:v>40771</c:v>
                </c:pt>
                <c:pt idx="157">
                  <c:v>40772</c:v>
                </c:pt>
                <c:pt idx="158">
                  <c:v>40773</c:v>
                </c:pt>
                <c:pt idx="159">
                  <c:v>40774</c:v>
                </c:pt>
                <c:pt idx="160">
                  <c:v>40777</c:v>
                </c:pt>
                <c:pt idx="161">
                  <c:v>40778</c:v>
                </c:pt>
                <c:pt idx="162">
                  <c:v>40779</c:v>
                </c:pt>
                <c:pt idx="163">
                  <c:v>40780</c:v>
                </c:pt>
                <c:pt idx="164">
                  <c:v>40781</c:v>
                </c:pt>
                <c:pt idx="165">
                  <c:v>40784</c:v>
                </c:pt>
                <c:pt idx="166">
                  <c:v>40785</c:v>
                </c:pt>
                <c:pt idx="167">
                  <c:v>40786</c:v>
                </c:pt>
                <c:pt idx="168">
                  <c:v>40787</c:v>
                </c:pt>
                <c:pt idx="169">
                  <c:v>40788</c:v>
                </c:pt>
                <c:pt idx="170">
                  <c:v>40792</c:v>
                </c:pt>
                <c:pt idx="171">
                  <c:v>40793</c:v>
                </c:pt>
                <c:pt idx="172">
                  <c:v>40794</c:v>
                </c:pt>
                <c:pt idx="173">
                  <c:v>40795</c:v>
                </c:pt>
                <c:pt idx="174">
                  <c:v>40798</c:v>
                </c:pt>
                <c:pt idx="175">
                  <c:v>40799</c:v>
                </c:pt>
                <c:pt idx="176">
                  <c:v>40800</c:v>
                </c:pt>
                <c:pt idx="177">
                  <c:v>40801</c:v>
                </c:pt>
                <c:pt idx="178">
                  <c:v>40802</c:v>
                </c:pt>
                <c:pt idx="179">
                  <c:v>40805</c:v>
                </c:pt>
                <c:pt idx="180">
                  <c:v>40806</c:v>
                </c:pt>
                <c:pt idx="181">
                  <c:v>40807</c:v>
                </c:pt>
                <c:pt idx="182">
                  <c:v>40808</c:v>
                </c:pt>
                <c:pt idx="183">
                  <c:v>40809</c:v>
                </c:pt>
                <c:pt idx="184">
                  <c:v>40812</c:v>
                </c:pt>
                <c:pt idx="185">
                  <c:v>40813</c:v>
                </c:pt>
                <c:pt idx="186">
                  <c:v>40814</c:v>
                </c:pt>
                <c:pt idx="187">
                  <c:v>40815</c:v>
                </c:pt>
                <c:pt idx="188">
                  <c:v>40816</c:v>
                </c:pt>
                <c:pt idx="189">
                  <c:v>40819</c:v>
                </c:pt>
                <c:pt idx="190">
                  <c:v>40820</c:v>
                </c:pt>
                <c:pt idx="191">
                  <c:v>40821</c:v>
                </c:pt>
                <c:pt idx="192">
                  <c:v>40822</c:v>
                </c:pt>
                <c:pt idx="193">
                  <c:v>40823</c:v>
                </c:pt>
                <c:pt idx="194">
                  <c:v>40826</c:v>
                </c:pt>
                <c:pt idx="195">
                  <c:v>40827</c:v>
                </c:pt>
                <c:pt idx="196">
                  <c:v>40828</c:v>
                </c:pt>
                <c:pt idx="197">
                  <c:v>40829</c:v>
                </c:pt>
                <c:pt idx="198">
                  <c:v>40830</c:v>
                </c:pt>
                <c:pt idx="199">
                  <c:v>40833</c:v>
                </c:pt>
                <c:pt idx="200">
                  <c:v>40834</c:v>
                </c:pt>
                <c:pt idx="201">
                  <c:v>40835</c:v>
                </c:pt>
                <c:pt idx="202">
                  <c:v>40836</c:v>
                </c:pt>
                <c:pt idx="203">
                  <c:v>40837</c:v>
                </c:pt>
                <c:pt idx="204">
                  <c:v>40840</c:v>
                </c:pt>
                <c:pt idx="205">
                  <c:v>40841</c:v>
                </c:pt>
                <c:pt idx="206">
                  <c:v>40842</c:v>
                </c:pt>
                <c:pt idx="207">
                  <c:v>40843</c:v>
                </c:pt>
                <c:pt idx="208">
                  <c:v>40844</c:v>
                </c:pt>
                <c:pt idx="209">
                  <c:v>40847</c:v>
                </c:pt>
                <c:pt idx="210">
                  <c:v>40848</c:v>
                </c:pt>
                <c:pt idx="211">
                  <c:v>40849</c:v>
                </c:pt>
                <c:pt idx="212">
                  <c:v>40850</c:v>
                </c:pt>
                <c:pt idx="213">
                  <c:v>40851</c:v>
                </c:pt>
                <c:pt idx="214">
                  <c:v>40854</c:v>
                </c:pt>
                <c:pt idx="215">
                  <c:v>40855</c:v>
                </c:pt>
                <c:pt idx="216">
                  <c:v>40856</c:v>
                </c:pt>
                <c:pt idx="217">
                  <c:v>40857</c:v>
                </c:pt>
                <c:pt idx="218">
                  <c:v>40858</c:v>
                </c:pt>
                <c:pt idx="219">
                  <c:v>40861</c:v>
                </c:pt>
                <c:pt idx="220">
                  <c:v>40862</c:v>
                </c:pt>
                <c:pt idx="221">
                  <c:v>40863</c:v>
                </c:pt>
                <c:pt idx="222">
                  <c:v>40864</c:v>
                </c:pt>
                <c:pt idx="223">
                  <c:v>40865</c:v>
                </c:pt>
                <c:pt idx="224">
                  <c:v>40868</c:v>
                </c:pt>
                <c:pt idx="225">
                  <c:v>40869</c:v>
                </c:pt>
                <c:pt idx="226">
                  <c:v>40870</c:v>
                </c:pt>
                <c:pt idx="227">
                  <c:v>40872</c:v>
                </c:pt>
                <c:pt idx="228">
                  <c:v>40875</c:v>
                </c:pt>
                <c:pt idx="229">
                  <c:v>40876</c:v>
                </c:pt>
                <c:pt idx="230">
                  <c:v>40877</c:v>
                </c:pt>
                <c:pt idx="231">
                  <c:v>40878</c:v>
                </c:pt>
                <c:pt idx="232">
                  <c:v>40879</c:v>
                </c:pt>
                <c:pt idx="233">
                  <c:v>40882</c:v>
                </c:pt>
                <c:pt idx="234">
                  <c:v>40883</c:v>
                </c:pt>
                <c:pt idx="235">
                  <c:v>40884</c:v>
                </c:pt>
                <c:pt idx="236">
                  <c:v>40885</c:v>
                </c:pt>
                <c:pt idx="237">
                  <c:v>40886</c:v>
                </c:pt>
                <c:pt idx="238">
                  <c:v>40889</c:v>
                </c:pt>
                <c:pt idx="239">
                  <c:v>40890</c:v>
                </c:pt>
                <c:pt idx="240">
                  <c:v>40891</c:v>
                </c:pt>
                <c:pt idx="241">
                  <c:v>40892</c:v>
                </c:pt>
                <c:pt idx="242">
                  <c:v>40893</c:v>
                </c:pt>
                <c:pt idx="243">
                  <c:v>40896</c:v>
                </c:pt>
                <c:pt idx="244">
                  <c:v>40897</c:v>
                </c:pt>
                <c:pt idx="245">
                  <c:v>40898</c:v>
                </c:pt>
                <c:pt idx="246">
                  <c:v>40899</c:v>
                </c:pt>
                <c:pt idx="247">
                  <c:v>40900</c:v>
                </c:pt>
                <c:pt idx="248">
                  <c:v>40904</c:v>
                </c:pt>
                <c:pt idx="249">
                  <c:v>40905</c:v>
                </c:pt>
                <c:pt idx="250">
                  <c:v>40906</c:v>
                </c:pt>
                <c:pt idx="251">
                  <c:v>40907</c:v>
                </c:pt>
                <c:pt idx="252">
                  <c:v>40911</c:v>
                </c:pt>
                <c:pt idx="253">
                  <c:v>40912</c:v>
                </c:pt>
                <c:pt idx="254">
                  <c:v>40913</c:v>
                </c:pt>
                <c:pt idx="255">
                  <c:v>40914</c:v>
                </c:pt>
                <c:pt idx="256">
                  <c:v>40917</c:v>
                </c:pt>
                <c:pt idx="257">
                  <c:v>40918</c:v>
                </c:pt>
                <c:pt idx="258">
                  <c:v>40919</c:v>
                </c:pt>
                <c:pt idx="259">
                  <c:v>40920</c:v>
                </c:pt>
                <c:pt idx="260">
                  <c:v>40921</c:v>
                </c:pt>
                <c:pt idx="261">
                  <c:v>40925</c:v>
                </c:pt>
                <c:pt idx="262">
                  <c:v>40926</c:v>
                </c:pt>
                <c:pt idx="263">
                  <c:v>40927</c:v>
                </c:pt>
                <c:pt idx="264">
                  <c:v>40928</c:v>
                </c:pt>
                <c:pt idx="265">
                  <c:v>40931</c:v>
                </c:pt>
                <c:pt idx="266">
                  <c:v>40932</c:v>
                </c:pt>
                <c:pt idx="267">
                  <c:v>40933</c:v>
                </c:pt>
                <c:pt idx="268">
                  <c:v>40934</c:v>
                </c:pt>
                <c:pt idx="269">
                  <c:v>40935</c:v>
                </c:pt>
                <c:pt idx="270">
                  <c:v>40938</c:v>
                </c:pt>
                <c:pt idx="271">
                  <c:v>40939</c:v>
                </c:pt>
                <c:pt idx="272">
                  <c:v>40940</c:v>
                </c:pt>
                <c:pt idx="273">
                  <c:v>40941</c:v>
                </c:pt>
                <c:pt idx="274">
                  <c:v>40942</c:v>
                </c:pt>
                <c:pt idx="275">
                  <c:v>40945</c:v>
                </c:pt>
                <c:pt idx="276">
                  <c:v>40946</c:v>
                </c:pt>
                <c:pt idx="277">
                  <c:v>40947</c:v>
                </c:pt>
                <c:pt idx="278">
                  <c:v>40948</c:v>
                </c:pt>
                <c:pt idx="279">
                  <c:v>40949</c:v>
                </c:pt>
                <c:pt idx="280">
                  <c:v>40952</c:v>
                </c:pt>
                <c:pt idx="281">
                  <c:v>40953</c:v>
                </c:pt>
                <c:pt idx="282">
                  <c:v>40954</c:v>
                </c:pt>
                <c:pt idx="283">
                  <c:v>40955</c:v>
                </c:pt>
                <c:pt idx="284">
                  <c:v>40956</c:v>
                </c:pt>
                <c:pt idx="285">
                  <c:v>40960</c:v>
                </c:pt>
                <c:pt idx="286">
                  <c:v>40961</c:v>
                </c:pt>
                <c:pt idx="287">
                  <c:v>40962</c:v>
                </c:pt>
                <c:pt idx="288">
                  <c:v>40963</c:v>
                </c:pt>
                <c:pt idx="289">
                  <c:v>40966</c:v>
                </c:pt>
                <c:pt idx="290">
                  <c:v>40967</c:v>
                </c:pt>
                <c:pt idx="291">
                  <c:v>40968</c:v>
                </c:pt>
                <c:pt idx="292">
                  <c:v>40969</c:v>
                </c:pt>
                <c:pt idx="293">
                  <c:v>40970</c:v>
                </c:pt>
                <c:pt idx="294">
                  <c:v>40973</c:v>
                </c:pt>
                <c:pt idx="295">
                  <c:v>40974</c:v>
                </c:pt>
                <c:pt idx="296">
                  <c:v>40975</c:v>
                </c:pt>
                <c:pt idx="297">
                  <c:v>40976</c:v>
                </c:pt>
                <c:pt idx="298">
                  <c:v>40977</c:v>
                </c:pt>
                <c:pt idx="299">
                  <c:v>40980</c:v>
                </c:pt>
                <c:pt idx="300">
                  <c:v>40981</c:v>
                </c:pt>
                <c:pt idx="301">
                  <c:v>40982</c:v>
                </c:pt>
                <c:pt idx="302">
                  <c:v>40983</c:v>
                </c:pt>
                <c:pt idx="303">
                  <c:v>40984</c:v>
                </c:pt>
                <c:pt idx="304">
                  <c:v>40987</c:v>
                </c:pt>
                <c:pt idx="305">
                  <c:v>40988</c:v>
                </c:pt>
                <c:pt idx="306">
                  <c:v>40989</c:v>
                </c:pt>
                <c:pt idx="307">
                  <c:v>40990</c:v>
                </c:pt>
                <c:pt idx="308">
                  <c:v>40991</c:v>
                </c:pt>
                <c:pt idx="309">
                  <c:v>40994</c:v>
                </c:pt>
                <c:pt idx="310">
                  <c:v>40995</c:v>
                </c:pt>
                <c:pt idx="311">
                  <c:v>40996</c:v>
                </c:pt>
                <c:pt idx="312">
                  <c:v>40997</c:v>
                </c:pt>
                <c:pt idx="313">
                  <c:v>40998</c:v>
                </c:pt>
                <c:pt idx="314">
                  <c:v>41001</c:v>
                </c:pt>
                <c:pt idx="315">
                  <c:v>41002</c:v>
                </c:pt>
                <c:pt idx="316">
                  <c:v>41003</c:v>
                </c:pt>
                <c:pt idx="317">
                  <c:v>41004</c:v>
                </c:pt>
                <c:pt idx="318">
                  <c:v>41008</c:v>
                </c:pt>
                <c:pt idx="319">
                  <c:v>41009</c:v>
                </c:pt>
                <c:pt idx="320">
                  <c:v>41010</c:v>
                </c:pt>
                <c:pt idx="321">
                  <c:v>41011</c:v>
                </c:pt>
                <c:pt idx="322">
                  <c:v>41012</c:v>
                </c:pt>
                <c:pt idx="323">
                  <c:v>41015</c:v>
                </c:pt>
                <c:pt idx="324">
                  <c:v>41016</c:v>
                </c:pt>
                <c:pt idx="325">
                  <c:v>41017</c:v>
                </c:pt>
                <c:pt idx="326">
                  <c:v>41018</c:v>
                </c:pt>
                <c:pt idx="327">
                  <c:v>41019</c:v>
                </c:pt>
                <c:pt idx="328">
                  <c:v>41022</c:v>
                </c:pt>
                <c:pt idx="329">
                  <c:v>41023</c:v>
                </c:pt>
                <c:pt idx="330">
                  <c:v>41024</c:v>
                </c:pt>
                <c:pt idx="331">
                  <c:v>41025</c:v>
                </c:pt>
                <c:pt idx="332">
                  <c:v>41026</c:v>
                </c:pt>
                <c:pt idx="333">
                  <c:v>41029</c:v>
                </c:pt>
                <c:pt idx="334">
                  <c:v>41030</c:v>
                </c:pt>
                <c:pt idx="335">
                  <c:v>41031</c:v>
                </c:pt>
                <c:pt idx="336">
                  <c:v>41032</c:v>
                </c:pt>
                <c:pt idx="337">
                  <c:v>41033</c:v>
                </c:pt>
                <c:pt idx="338">
                  <c:v>41036</c:v>
                </c:pt>
                <c:pt idx="339">
                  <c:v>41037</c:v>
                </c:pt>
                <c:pt idx="340">
                  <c:v>41038</c:v>
                </c:pt>
                <c:pt idx="341">
                  <c:v>41039</c:v>
                </c:pt>
                <c:pt idx="342">
                  <c:v>41040</c:v>
                </c:pt>
                <c:pt idx="343">
                  <c:v>41043</c:v>
                </c:pt>
                <c:pt idx="344">
                  <c:v>41044</c:v>
                </c:pt>
                <c:pt idx="345">
                  <c:v>41045</c:v>
                </c:pt>
                <c:pt idx="346">
                  <c:v>41046</c:v>
                </c:pt>
                <c:pt idx="347">
                  <c:v>41047</c:v>
                </c:pt>
                <c:pt idx="348">
                  <c:v>41050</c:v>
                </c:pt>
                <c:pt idx="349">
                  <c:v>41051</c:v>
                </c:pt>
                <c:pt idx="350">
                  <c:v>41052</c:v>
                </c:pt>
                <c:pt idx="351">
                  <c:v>41053</c:v>
                </c:pt>
                <c:pt idx="352">
                  <c:v>41054</c:v>
                </c:pt>
                <c:pt idx="353">
                  <c:v>41058</c:v>
                </c:pt>
                <c:pt idx="354">
                  <c:v>41059</c:v>
                </c:pt>
                <c:pt idx="355">
                  <c:v>41060</c:v>
                </c:pt>
                <c:pt idx="356">
                  <c:v>41061</c:v>
                </c:pt>
                <c:pt idx="357">
                  <c:v>41064</c:v>
                </c:pt>
                <c:pt idx="358">
                  <c:v>41065</c:v>
                </c:pt>
                <c:pt idx="359">
                  <c:v>41066</c:v>
                </c:pt>
                <c:pt idx="360">
                  <c:v>41067</c:v>
                </c:pt>
                <c:pt idx="361">
                  <c:v>41068</c:v>
                </c:pt>
                <c:pt idx="362">
                  <c:v>41071</c:v>
                </c:pt>
                <c:pt idx="363">
                  <c:v>41072</c:v>
                </c:pt>
                <c:pt idx="364">
                  <c:v>41073</c:v>
                </c:pt>
                <c:pt idx="365">
                  <c:v>41074</c:v>
                </c:pt>
                <c:pt idx="366">
                  <c:v>41075</c:v>
                </c:pt>
                <c:pt idx="367">
                  <c:v>41078</c:v>
                </c:pt>
                <c:pt idx="368">
                  <c:v>41079</c:v>
                </c:pt>
                <c:pt idx="369">
                  <c:v>41080</c:v>
                </c:pt>
                <c:pt idx="370">
                  <c:v>41081</c:v>
                </c:pt>
                <c:pt idx="371">
                  <c:v>41082</c:v>
                </c:pt>
                <c:pt idx="372">
                  <c:v>41085</c:v>
                </c:pt>
                <c:pt idx="373">
                  <c:v>41086</c:v>
                </c:pt>
                <c:pt idx="374">
                  <c:v>41087</c:v>
                </c:pt>
                <c:pt idx="375">
                  <c:v>41088</c:v>
                </c:pt>
                <c:pt idx="376">
                  <c:v>41089</c:v>
                </c:pt>
                <c:pt idx="377">
                  <c:v>41092</c:v>
                </c:pt>
                <c:pt idx="378">
                  <c:v>41093</c:v>
                </c:pt>
                <c:pt idx="379">
                  <c:v>41095</c:v>
                </c:pt>
                <c:pt idx="380">
                  <c:v>41096</c:v>
                </c:pt>
                <c:pt idx="381">
                  <c:v>41099</c:v>
                </c:pt>
                <c:pt idx="382">
                  <c:v>41100</c:v>
                </c:pt>
                <c:pt idx="383">
                  <c:v>41101</c:v>
                </c:pt>
                <c:pt idx="384">
                  <c:v>41102</c:v>
                </c:pt>
                <c:pt idx="385">
                  <c:v>41103</c:v>
                </c:pt>
                <c:pt idx="386">
                  <c:v>41106</c:v>
                </c:pt>
                <c:pt idx="387">
                  <c:v>41107</c:v>
                </c:pt>
                <c:pt idx="388">
                  <c:v>41108</c:v>
                </c:pt>
                <c:pt idx="389">
                  <c:v>41109</c:v>
                </c:pt>
                <c:pt idx="390">
                  <c:v>41110</c:v>
                </c:pt>
                <c:pt idx="391">
                  <c:v>41113</c:v>
                </c:pt>
                <c:pt idx="392">
                  <c:v>41114</c:v>
                </c:pt>
                <c:pt idx="393">
                  <c:v>41115</c:v>
                </c:pt>
                <c:pt idx="394">
                  <c:v>41116</c:v>
                </c:pt>
                <c:pt idx="395">
                  <c:v>41117</c:v>
                </c:pt>
                <c:pt idx="396">
                  <c:v>41120</c:v>
                </c:pt>
                <c:pt idx="397">
                  <c:v>41121</c:v>
                </c:pt>
                <c:pt idx="398">
                  <c:v>41122</c:v>
                </c:pt>
                <c:pt idx="399">
                  <c:v>41123</c:v>
                </c:pt>
                <c:pt idx="400">
                  <c:v>41124</c:v>
                </c:pt>
                <c:pt idx="401">
                  <c:v>41127</c:v>
                </c:pt>
                <c:pt idx="402">
                  <c:v>41128</c:v>
                </c:pt>
                <c:pt idx="403">
                  <c:v>41129</c:v>
                </c:pt>
                <c:pt idx="404">
                  <c:v>41130</c:v>
                </c:pt>
                <c:pt idx="405">
                  <c:v>41131</c:v>
                </c:pt>
                <c:pt idx="406">
                  <c:v>41134</c:v>
                </c:pt>
                <c:pt idx="407">
                  <c:v>41135</c:v>
                </c:pt>
                <c:pt idx="408">
                  <c:v>41136</c:v>
                </c:pt>
                <c:pt idx="409">
                  <c:v>41137</c:v>
                </c:pt>
                <c:pt idx="410">
                  <c:v>41138</c:v>
                </c:pt>
                <c:pt idx="411">
                  <c:v>41141</c:v>
                </c:pt>
                <c:pt idx="412">
                  <c:v>41142</c:v>
                </c:pt>
                <c:pt idx="413">
                  <c:v>41143</c:v>
                </c:pt>
                <c:pt idx="414">
                  <c:v>41144</c:v>
                </c:pt>
                <c:pt idx="415">
                  <c:v>41145</c:v>
                </c:pt>
                <c:pt idx="416">
                  <c:v>41148</c:v>
                </c:pt>
                <c:pt idx="417">
                  <c:v>41149</c:v>
                </c:pt>
                <c:pt idx="418">
                  <c:v>41150</c:v>
                </c:pt>
                <c:pt idx="419">
                  <c:v>41151</c:v>
                </c:pt>
                <c:pt idx="420">
                  <c:v>41152</c:v>
                </c:pt>
                <c:pt idx="421">
                  <c:v>41156</c:v>
                </c:pt>
                <c:pt idx="422">
                  <c:v>41157</c:v>
                </c:pt>
                <c:pt idx="423">
                  <c:v>41158</c:v>
                </c:pt>
                <c:pt idx="424">
                  <c:v>41159</c:v>
                </c:pt>
                <c:pt idx="425">
                  <c:v>41162</c:v>
                </c:pt>
                <c:pt idx="426">
                  <c:v>41163</c:v>
                </c:pt>
                <c:pt idx="427">
                  <c:v>41164</c:v>
                </c:pt>
                <c:pt idx="428">
                  <c:v>41165</c:v>
                </c:pt>
                <c:pt idx="429">
                  <c:v>41166</c:v>
                </c:pt>
                <c:pt idx="430">
                  <c:v>41169</c:v>
                </c:pt>
                <c:pt idx="431">
                  <c:v>41170</c:v>
                </c:pt>
                <c:pt idx="432">
                  <c:v>41171</c:v>
                </c:pt>
                <c:pt idx="433">
                  <c:v>41172</c:v>
                </c:pt>
                <c:pt idx="434">
                  <c:v>41173</c:v>
                </c:pt>
                <c:pt idx="435">
                  <c:v>41176</c:v>
                </c:pt>
                <c:pt idx="436">
                  <c:v>41177</c:v>
                </c:pt>
                <c:pt idx="437">
                  <c:v>41178</c:v>
                </c:pt>
                <c:pt idx="438">
                  <c:v>41179</c:v>
                </c:pt>
                <c:pt idx="439">
                  <c:v>41180</c:v>
                </c:pt>
                <c:pt idx="440">
                  <c:v>41183</c:v>
                </c:pt>
                <c:pt idx="441">
                  <c:v>41184</c:v>
                </c:pt>
                <c:pt idx="442">
                  <c:v>41185</c:v>
                </c:pt>
                <c:pt idx="443">
                  <c:v>41186</c:v>
                </c:pt>
                <c:pt idx="444">
                  <c:v>41187</c:v>
                </c:pt>
                <c:pt idx="445">
                  <c:v>41190</c:v>
                </c:pt>
                <c:pt idx="446">
                  <c:v>41191</c:v>
                </c:pt>
                <c:pt idx="447">
                  <c:v>41192</c:v>
                </c:pt>
                <c:pt idx="448">
                  <c:v>41193</c:v>
                </c:pt>
                <c:pt idx="449">
                  <c:v>41194</c:v>
                </c:pt>
                <c:pt idx="450">
                  <c:v>41197</c:v>
                </c:pt>
                <c:pt idx="451">
                  <c:v>41198</c:v>
                </c:pt>
                <c:pt idx="452">
                  <c:v>41199</c:v>
                </c:pt>
                <c:pt idx="453">
                  <c:v>41200</c:v>
                </c:pt>
                <c:pt idx="454">
                  <c:v>41201</c:v>
                </c:pt>
                <c:pt idx="455">
                  <c:v>41204</c:v>
                </c:pt>
                <c:pt idx="456">
                  <c:v>41205</c:v>
                </c:pt>
                <c:pt idx="457">
                  <c:v>41206</c:v>
                </c:pt>
                <c:pt idx="458">
                  <c:v>41207</c:v>
                </c:pt>
                <c:pt idx="459">
                  <c:v>41208</c:v>
                </c:pt>
                <c:pt idx="460">
                  <c:v>41213</c:v>
                </c:pt>
                <c:pt idx="461">
                  <c:v>41214</c:v>
                </c:pt>
                <c:pt idx="462">
                  <c:v>41215</c:v>
                </c:pt>
                <c:pt idx="463">
                  <c:v>41218</c:v>
                </c:pt>
                <c:pt idx="464">
                  <c:v>41219</c:v>
                </c:pt>
                <c:pt idx="465">
                  <c:v>41220</c:v>
                </c:pt>
                <c:pt idx="466">
                  <c:v>41221</c:v>
                </c:pt>
                <c:pt idx="467">
                  <c:v>41222</c:v>
                </c:pt>
                <c:pt idx="468">
                  <c:v>41225</c:v>
                </c:pt>
                <c:pt idx="469">
                  <c:v>41226</c:v>
                </c:pt>
                <c:pt idx="470">
                  <c:v>41227</c:v>
                </c:pt>
                <c:pt idx="471">
                  <c:v>41228</c:v>
                </c:pt>
                <c:pt idx="472">
                  <c:v>41229</c:v>
                </c:pt>
                <c:pt idx="473">
                  <c:v>41232</c:v>
                </c:pt>
                <c:pt idx="474">
                  <c:v>41233</c:v>
                </c:pt>
                <c:pt idx="475">
                  <c:v>41234</c:v>
                </c:pt>
                <c:pt idx="476">
                  <c:v>41236</c:v>
                </c:pt>
                <c:pt idx="477">
                  <c:v>41239</c:v>
                </c:pt>
                <c:pt idx="478">
                  <c:v>41240</c:v>
                </c:pt>
                <c:pt idx="479">
                  <c:v>41241</c:v>
                </c:pt>
                <c:pt idx="480">
                  <c:v>41242</c:v>
                </c:pt>
                <c:pt idx="481">
                  <c:v>41243</c:v>
                </c:pt>
                <c:pt idx="482">
                  <c:v>41246</c:v>
                </c:pt>
                <c:pt idx="483">
                  <c:v>41247</c:v>
                </c:pt>
                <c:pt idx="484">
                  <c:v>41248</c:v>
                </c:pt>
                <c:pt idx="485">
                  <c:v>41249</c:v>
                </c:pt>
                <c:pt idx="486">
                  <c:v>41250</c:v>
                </c:pt>
                <c:pt idx="487">
                  <c:v>41253</c:v>
                </c:pt>
                <c:pt idx="488">
                  <c:v>41254</c:v>
                </c:pt>
                <c:pt idx="489">
                  <c:v>41255</c:v>
                </c:pt>
                <c:pt idx="490">
                  <c:v>41256</c:v>
                </c:pt>
                <c:pt idx="491">
                  <c:v>41257</c:v>
                </c:pt>
                <c:pt idx="492">
                  <c:v>41260</c:v>
                </c:pt>
                <c:pt idx="493">
                  <c:v>41261</c:v>
                </c:pt>
                <c:pt idx="494">
                  <c:v>41262</c:v>
                </c:pt>
                <c:pt idx="495">
                  <c:v>41263</c:v>
                </c:pt>
                <c:pt idx="496">
                  <c:v>41264</c:v>
                </c:pt>
                <c:pt idx="497">
                  <c:v>41267</c:v>
                </c:pt>
                <c:pt idx="498">
                  <c:v>41269</c:v>
                </c:pt>
                <c:pt idx="499">
                  <c:v>41270</c:v>
                </c:pt>
                <c:pt idx="500">
                  <c:v>41271</c:v>
                </c:pt>
                <c:pt idx="501">
                  <c:v>41274</c:v>
                </c:pt>
                <c:pt idx="502">
                  <c:v>41276</c:v>
                </c:pt>
                <c:pt idx="503">
                  <c:v>41277</c:v>
                </c:pt>
                <c:pt idx="504">
                  <c:v>41278</c:v>
                </c:pt>
                <c:pt idx="505">
                  <c:v>41281</c:v>
                </c:pt>
                <c:pt idx="506">
                  <c:v>41282</c:v>
                </c:pt>
                <c:pt idx="507">
                  <c:v>41283</c:v>
                </c:pt>
                <c:pt idx="508">
                  <c:v>41284</c:v>
                </c:pt>
                <c:pt idx="509">
                  <c:v>41285</c:v>
                </c:pt>
                <c:pt idx="510">
                  <c:v>41288</c:v>
                </c:pt>
                <c:pt idx="511">
                  <c:v>41289</c:v>
                </c:pt>
                <c:pt idx="512">
                  <c:v>41290</c:v>
                </c:pt>
                <c:pt idx="513">
                  <c:v>41291</c:v>
                </c:pt>
                <c:pt idx="514">
                  <c:v>41292</c:v>
                </c:pt>
                <c:pt idx="515">
                  <c:v>41296</c:v>
                </c:pt>
                <c:pt idx="516">
                  <c:v>41297</c:v>
                </c:pt>
                <c:pt idx="517">
                  <c:v>41298</c:v>
                </c:pt>
                <c:pt idx="518">
                  <c:v>41299</c:v>
                </c:pt>
                <c:pt idx="519">
                  <c:v>41302</c:v>
                </c:pt>
                <c:pt idx="520">
                  <c:v>41303</c:v>
                </c:pt>
                <c:pt idx="521">
                  <c:v>41304</c:v>
                </c:pt>
                <c:pt idx="522">
                  <c:v>41305</c:v>
                </c:pt>
                <c:pt idx="523">
                  <c:v>41306</c:v>
                </c:pt>
                <c:pt idx="524">
                  <c:v>41309</c:v>
                </c:pt>
                <c:pt idx="525">
                  <c:v>41310</c:v>
                </c:pt>
                <c:pt idx="526">
                  <c:v>41311</c:v>
                </c:pt>
                <c:pt idx="527">
                  <c:v>41312</c:v>
                </c:pt>
                <c:pt idx="528">
                  <c:v>41313</c:v>
                </c:pt>
                <c:pt idx="529">
                  <c:v>41316</c:v>
                </c:pt>
                <c:pt idx="530">
                  <c:v>41317</c:v>
                </c:pt>
                <c:pt idx="531">
                  <c:v>41318</c:v>
                </c:pt>
                <c:pt idx="532">
                  <c:v>41319</c:v>
                </c:pt>
                <c:pt idx="533">
                  <c:v>41320</c:v>
                </c:pt>
                <c:pt idx="534">
                  <c:v>41324</c:v>
                </c:pt>
                <c:pt idx="535">
                  <c:v>41325</c:v>
                </c:pt>
                <c:pt idx="536">
                  <c:v>41326</c:v>
                </c:pt>
                <c:pt idx="537">
                  <c:v>41327</c:v>
                </c:pt>
                <c:pt idx="538">
                  <c:v>41330</c:v>
                </c:pt>
                <c:pt idx="539">
                  <c:v>41331</c:v>
                </c:pt>
                <c:pt idx="540">
                  <c:v>41332</c:v>
                </c:pt>
                <c:pt idx="541">
                  <c:v>41333</c:v>
                </c:pt>
                <c:pt idx="542">
                  <c:v>41334</c:v>
                </c:pt>
                <c:pt idx="543">
                  <c:v>41337</c:v>
                </c:pt>
                <c:pt idx="544">
                  <c:v>41338</c:v>
                </c:pt>
                <c:pt idx="545">
                  <c:v>41339</c:v>
                </c:pt>
                <c:pt idx="546">
                  <c:v>41340</c:v>
                </c:pt>
                <c:pt idx="547">
                  <c:v>41341</c:v>
                </c:pt>
                <c:pt idx="548">
                  <c:v>41344</c:v>
                </c:pt>
                <c:pt idx="549">
                  <c:v>41345</c:v>
                </c:pt>
                <c:pt idx="550">
                  <c:v>41346</c:v>
                </c:pt>
                <c:pt idx="551">
                  <c:v>41347</c:v>
                </c:pt>
                <c:pt idx="552">
                  <c:v>41348</c:v>
                </c:pt>
                <c:pt idx="553">
                  <c:v>41351</c:v>
                </c:pt>
                <c:pt idx="554">
                  <c:v>41352</c:v>
                </c:pt>
                <c:pt idx="555">
                  <c:v>41353</c:v>
                </c:pt>
                <c:pt idx="556">
                  <c:v>41354</c:v>
                </c:pt>
                <c:pt idx="557">
                  <c:v>41355</c:v>
                </c:pt>
                <c:pt idx="558">
                  <c:v>41358</c:v>
                </c:pt>
                <c:pt idx="559">
                  <c:v>41359</c:v>
                </c:pt>
                <c:pt idx="560">
                  <c:v>41360</c:v>
                </c:pt>
                <c:pt idx="561">
                  <c:v>41361</c:v>
                </c:pt>
                <c:pt idx="562">
                  <c:v>41365</c:v>
                </c:pt>
                <c:pt idx="563">
                  <c:v>41366</c:v>
                </c:pt>
                <c:pt idx="564">
                  <c:v>41367</c:v>
                </c:pt>
                <c:pt idx="565">
                  <c:v>41368</c:v>
                </c:pt>
                <c:pt idx="566">
                  <c:v>41369</c:v>
                </c:pt>
                <c:pt idx="567">
                  <c:v>41372</c:v>
                </c:pt>
                <c:pt idx="568">
                  <c:v>41373</c:v>
                </c:pt>
                <c:pt idx="569">
                  <c:v>41374</c:v>
                </c:pt>
                <c:pt idx="570">
                  <c:v>41375</c:v>
                </c:pt>
                <c:pt idx="571">
                  <c:v>41376</c:v>
                </c:pt>
                <c:pt idx="572">
                  <c:v>41379</c:v>
                </c:pt>
                <c:pt idx="573">
                  <c:v>41380</c:v>
                </c:pt>
                <c:pt idx="574">
                  <c:v>41381</c:v>
                </c:pt>
                <c:pt idx="575">
                  <c:v>41382</c:v>
                </c:pt>
                <c:pt idx="576">
                  <c:v>41383</c:v>
                </c:pt>
                <c:pt idx="577">
                  <c:v>41386</c:v>
                </c:pt>
                <c:pt idx="578">
                  <c:v>41387</c:v>
                </c:pt>
                <c:pt idx="579">
                  <c:v>41388</c:v>
                </c:pt>
                <c:pt idx="580">
                  <c:v>41389</c:v>
                </c:pt>
                <c:pt idx="581">
                  <c:v>41390</c:v>
                </c:pt>
                <c:pt idx="582">
                  <c:v>41393</c:v>
                </c:pt>
                <c:pt idx="583">
                  <c:v>41394</c:v>
                </c:pt>
                <c:pt idx="584">
                  <c:v>41395</c:v>
                </c:pt>
                <c:pt idx="585">
                  <c:v>41396</c:v>
                </c:pt>
                <c:pt idx="586">
                  <c:v>41397</c:v>
                </c:pt>
                <c:pt idx="587">
                  <c:v>41400</c:v>
                </c:pt>
                <c:pt idx="588">
                  <c:v>41401</c:v>
                </c:pt>
                <c:pt idx="589">
                  <c:v>41402</c:v>
                </c:pt>
                <c:pt idx="590">
                  <c:v>41403</c:v>
                </c:pt>
                <c:pt idx="591">
                  <c:v>41404</c:v>
                </c:pt>
                <c:pt idx="592">
                  <c:v>41407</c:v>
                </c:pt>
                <c:pt idx="593">
                  <c:v>41408</c:v>
                </c:pt>
                <c:pt idx="594">
                  <c:v>41409</c:v>
                </c:pt>
                <c:pt idx="595">
                  <c:v>41410</c:v>
                </c:pt>
                <c:pt idx="596">
                  <c:v>41411</c:v>
                </c:pt>
                <c:pt idx="597">
                  <c:v>41414</c:v>
                </c:pt>
                <c:pt idx="598">
                  <c:v>41415</c:v>
                </c:pt>
                <c:pt idx="599">
                  <c:v>41416</c:v>
                </c:pt>
                <c:pt idx="600">
                  <c:v>41417</c:v>
                </c:pt>
                <c:pt idx="601">
                  <c:v>41418</c:v>
                </c:pt>
                <c:pt idx="602">
                  <c:v>41422</c:v>
                </c:pt>
                <c:pt idx="603">
                  <c:v>41423</c:v>
                </c:pt>
                <c:pt idx="604">
                  <c:v>41424</c:v>
                </c:pt>
                <c:pt idx="605">
                  <c:v>41425</c:v>
                </c:pt>
                <c:pt idx="606">
                  <c:v>41428</c:v>
                </c:pt>
                <c:pt idx="607">
                  <c:v>41429</c:v>
                </c:pt>
                <c:pt idx="608">
                  <c:v>41430</c:v>
                </c:pt>
                <c:pt idx="609">
                  <c:v>41431</c:v>
                </c:pt>
                <c:pt idx="610">
                  <c:v>41432</c:v>
                </c:pt>
                <c:pt idx="611">
                  <c:v>41435</c:v>
                </c:pt>
                <c:pt idx="612">
                  <c:v>41436</c:v>
                </c:pt>
                <c:pt idx="613">
                  <c:v>41437</c:v>
                </c:pt>
                <c:pt idx="614">
                  <c:v>41438</c:v>
                </c:pt>
                <c:pt idx="615">
                  <c:v>41439</c:v>
                </c:pt>
                <c:pt idx="616">
                  <c:v>41442</c:v>
                </c:pt>
                <c:pt idx="617">
                  <c:v>41443</c:v>
                </c:pt>
                <c:pt idx="618">
                  <c:v>41444</c:v>
                </c:pt>
                <c:pt idx="619">
                  <c:v>41445</c:v>
                </c:pt>
                <c:pt idx="620">
                  <c:v>41446</c:v>
                </c:pt>
                <c:pt idx="621">
                  <c:v>41449</c:v>
                </c:pt>
                <c:pt idx="622">
                  <c:v>41450</c:v>
                </c:pt>
                <c:pt idx="623">
                  <c:v>41451</c:v>
                </c:pt>
                <c:pt idx="624">
                  <c:v>41452</c:v>
                </c:pt>
                <c:pt idx="625">
                  <c:v>41453</c:v>
                </c:pt>
                <c:pt idx="626">
                  <c:v>41456</c:v>
                </c:pt>
                <c:pt idx="627">
                  <c:v>41457</c:v>
                </c:pt>
                <c:pt idx="628">
                  <c:v>41458</c:v>
                </c:pt>
                <c:pt idx="629">
                  <c:v>41460</c:v>
                </c:pt>
                <c:pt idx="630">
                  <c:v>41463</c:v>
                </c:pt>
                <c:pt idx="631">
                  <c:v>41464</c:v>
                </c:pt>
                <c:pt idx="632">
                  <c:v>41465</c:v>
                </c:pt>
                <c:pt idx="633">
                  <c:v>41466</c:v>
                </c:pt>
                <c:pt idx="634">
                  <c:v>41467</c:v>
                </c:pt>
                <c:pt idx="635">
                  <c:v>41470</c:v>
                </c:pt>
                <c:pt idx="636">
                  <c:v>41471</c:v>
                </c:pt>
                <c:pt idx="637">
                  <c:v>41472</c:v>
                </c:pt>
                <c:pt idx="638">
                  <c:v>41473</c:v>
                </c:pt>
                <c:pt idx="639">
                  <c:v>41474</c:v>
                </c:pt>
                <c:pt idx="640">
                  <c:v>41477</c:v>
                </c:pt>
                <c:pt idx="641">
                  <c:v>41478</c:v>
                </c:pt>
                <c:pt idx="642">
                  <c:v>41479</c:v>
                </c:pt>
                <c:pt idx="643">
                  <c:v>41480</c:v>
                </c:pt>
                <c:pt idx="644">
                  <c:v>41481</c:v>
                </c:pt>
                <c:pt idx="645">
                  <c:v>41484</c:v>
                </c:pt>
                <c:pt idx="646">
                  <c:v>41485</c:v>
                </c:pt>
                <c:pt idx="647">
                  <c:v>41486</c:v>
                </c:pt>
                <c:pt idx="648">
                  <c:v>41487</c:v>
                </c:pt>
                <c:pt idx="649">
                  <c:v>41488</c:v>
                </c:pt>
                <c:pt idx="650">
                  <c:v>41491</c:v>
                </c:pt>
                <c:pt idx="651">
                  <c:v>41492</c:v>
                </c:pt>
                <c:pt idx="652">
                  <c:v>41493</c:v>
                </c:pt>
                <c:pt idx="653">
                  <c:v>41494</c:v>
                </c:pt>
                <c:pt idx="654">
                  <c:v>41495</c:v>
                </c:pt>
                <c:pt idx="655">
                  <c:v>41498</c:v>
                </c:pt>
                <c:pt idx="656">
                  <c:v>41499</c:v>
                </c:pt>
                <c:pt idx="657">
                  <c:v>41500</c:v>
                </c:pt>
                <c:pt idx="658">
                  <c:v>41501</c:v>
                </c:pt>
                <c:pt idx="659">
                  <c:v>41502</c:v>
                </c:pt>
                <c:pt idx="660">
                  <c:v>41505</c:v>
                </c:pt>
                <c:pt idx="661">
                  <c:v>41506</c:v>
                </c:pt>
                <c:pt idx="662">
                  <c:v>41507</c:v>
                </c:pt>
                <c:pt idx="663">
                  <c:v>41508</c:v>
                </c:pt>
                <c:pt idx="664">
                  <c:v>41509</c:v>
                </c:pt>
                <c:pt idx="665">
                  <c:v>41512</c:v>
                </c:pt>
                <c:pt idx="666">
                  <c:v>41513</c:v>
                </c:pt>
                <c:pt idx="667">
                  <c:v>41514</c:v>
                </c:pt>
                <c:pt idx="668">
                  <c:v>41515</c:v>
                </c:pt>
                <c:pt idx="669">
                  <c:v>41516</c:v>
                </c:pt>
                <c:pt idx="670">
                  <c:v>41520</c:v>
                </c:pt>
                <c:pt idx="671">
                  <c:v>41521</c:v>
                </c:pt>
                <c:pt idx="672">
                  <c:v>41522</c:v>
                </c:pt>
                <c:pt idx="673">
                  <c:v>41523</c:v>
                </c:pt>
                <c:pt idx="674">
                  <c:v>41526</c:v>
                </c:pt>
                <c:pt idx="675">
                  <c:v>41527</c:v>
                </c:pt>
                <c:pt idx="676">
                  <c:v>41528</c:v>
                </c:pt>
                <c:pt idx="677">
                  <c:v>41529</c:v>
                </c:pt>
                <c:pt idx="678">
                  <c:v>41530</c:v>
                </c:pt>
                <c:pt idx="679">
                  <c:v>41533</c:v>
                </c:pt>
                <c:pt idx="680">
                  <c:v>41534</c:v>
                </c:pt>
                <c:pt idx="681">
                  <c:v>41535</c:v>
                </c:pt>
                <c:pt idx="682">
                  <c:v>41536</c:v>
                </c:pt>
                <c:pt idx="683">
                  <c:v>41537</c:v>
                </c:pt>
                <c:pt idx="684">
                  <c:v>41540</c:v>
                </c:pt>
                <c:pt idx="685">
                  <c:v>41541</c:v>
                </c:pt>
                <c:pt idx="686">
                  <c:v>41542</c:v>
                </c:pt>
                <c:pt idx="687">
                  <c:v>41543</c:v>
                </c:pt>
                <c:pt idx="688">
                  <c:v>41544</c:v>
                </c:pt>
                <c:pt idx="689">
                  <c:v>41547</c:v>
                </c:pt>
                <c:pt idx="690">
                  <c:v>41548</c:v>
                </c:pt>
                <c:pt idx="691">
                  <c:v>41549</c:v>
                </c:pt>
                <c:pt idx="692">
                  <c:v>41550</c:v>
                </c:pt>
                <c:pt idx="693">
                  <c:v>41551</c:v>
                </c:pt>
                <c:pt idx="694">
                  <c:v>41554</c:v>
                </c:pt>
                <c:pt idx="695">
                  <c:v>41555</c:v>
                </c:pt>
                <c:pt idx="696">
                  <c:v>41556</c:v>
                </c:pt>
                <c:pt idx="697">
                  <c:v>41557</c:v>
                </c:pt>
                <c:pt idx="698">
                  <c:v>41558</c:v>
                </c:pt>
                <c:pt idx="699">
                  <c:v>41561</c:v>
                </c:pt>
                <c:pt idx="700">
                  <c:v>41562</c:v>
                </c:pt>
                <c:pt idx="701">
                  <c:v>41563</c:v>
                </c:pt>
                <c:pt idx="702">
                  <c:v>41564</c:v>
                </c:pt>
                <c:pt idx="703">
                  <c:v>41565</c:v>
                </c:pt>
                <c:pt idx="704">
                  <c:v>41568</c:v>
                </c:pt>
                <c:pt idx="705">
                  <c:v>41569</c:v>
                </c:pt>
                <c:pt idx="706">
                  <c:v>41570</c:v>
                </c:pt>
                <c:pt idx="707">
                  <c:v>41571</c:v>
                </c:pt>
                <c:pt idx="708">
                  <c:v>41572</c:v>
                </c:pt>
                <c:pt idx="709">
                  <c:v>41575</c:v>
                </c:pt>
                <c:pt idx="710">
                  <c:v>41576</c:v>
                </c:pt>
                <c:pt idx="711">
                  <c:v>41577</c:v>
                </c:pt>
                <c:pt idx="712">
                  <c:v>41578</c:v>
                </c:pt>
                <c:pt idx="713">
                  <c:v>41579</c:v>
                </c:pt>
                <c:pt idx="714">
                  <c:v>41582</c:v>
                </c:pt>
                <c:pt idx="715">
                  <c:v>41583</c:v>
                </c:pt>
                <c:pt idx="716">
                  <c:v>41584</c:v>
                </c:pt>
                <c:pt idx="717">
                  <c:v>41585</c:v>
                </c:pt>
                <c:pt idx="718">
                  <c:v>41586</c:v>
                </c:pt>
                <c:pt idx="719">
                  <c:v>41589</c:v>
                </c:pt>
                <c:pt idx="720">
                  <c:v>41590</c:v>
                </c:pt>
                <c:pt idx="721">
                  <c:v>41591</c:v>
                </c:pt>
                <c:pt idx="722">
                  <c:v>41592</c:v>
                </c:pt>
                <c:pt idx="723">
                  <c:v>41593</c:v>
                </c:pt>
                <c:pt idx="724">
                  <c:v>41596</c:v>
                </c:pt>
                <c:pt idx="725">
                  <c:v>41597</c:v>
                </c:pt>
                <c:pt idx="726">
                  <c:v>41598</c:v>
                </c:pt>
                <c:pt idx="727">
                  <c:v>41599</c:v>
                </c:pt>
                <c:pt idx="728">
                  <c:v>41600</c:v>
                </c:pt>
                <c:pt idx="729">
                  <c:v>41603</c:v>
                </c:pt>
                <c:pt idx="730">
                  <c:v>41604</c:v>
                </c:pt>
                <c:pt idx="731">
                  <c:v>41605</c:v>
                </c:pt>
                <c:pt idx="732">
                  <c:v>41607</c:v>
                </c:pt>
                <c:pt idx="733">
                  <c:v>41610</c:v>
                </c:pt>
                <c:pt idx="734">
                  <c:v>41611</c:v>
                </c:pt>
                <c:pt idx="735">
                  <c:v>41612</c:v>
                </c:pt>
                <c:pt idx="736">
                  <c:v>41613</c:v>
                </c:pt>
                <c:pt idx="737">
                  <c:v>41614</c:v>
                </c:pt>
                <c:pt idx="738">
                  <c:v>41617</c:v>
                </c:pt>
                <c:pt idx="739">
                  <c:v>41618</c:v>
                </c:pt>
                <c:pt idx="740">
                  <c:v>41619</c:v>
                </c:pt>
                <c:pt idx="741">
                  <c:v>41620</c:v>
                </c:pt>
                <c:pt idx="742">
                  <c:v>41621</c:v>
                </c:pt>
                <c:pt idx="743">
                  <c:v>41624</c:v>
                </c:pt>
                <c:pt idx="744">
                  <c:v>41625</c:v>
                </c:pt>
                <c:pt idx="745">
                  <c:v>41626</c:v>
                </c:pt>
                <c:pt idx="746">
                  <c:v>41627</c:v>
                </c:pt>
                <c:pt idx="747">
                  <c:v>41628</c:v>
                </c:pt>
                <c:pt idx="748">
                  <c:v>41631</c:v>
                </c:pt>
                <c:pt idx="749">
                  <c:v>41632</c:v>
                </c:pt>
                <c:pt idx="750">
                  <c:v>41634</c:v>
                </c:pt>
                <c:pt idx="751">
                  <c:v>41635</c:v>
                </c:pt>
                <c:pt idx="752">
                  <c:v>41638</c:v>
                </c:pt>
              </c:numCache>
            </c:numRef>
          </c:xVal>
          <c:yVal>
            <c:numRef>
              <c:f>Volatility!$E$5:$E$757</c:f>
              <c:numCache>
                <c:formatCode>0.00%;[Red]\-0.00%;_("-"_)</c:formatCode>
                <c:ptCount val="753"/>
                <c:pt idx="1">
                  <c:v>1.0482619796036407E-2</c:v>
                </c:pt>
                <c:pt idx="2">
                  <c:v>9.7285796097253876E-3</c:v>
                </c:pt>
                <c:pt idx="3">
                  <c:v>9.2359911025311232E-3</c:v>
                </c:pt>
                <c:pt idx="4">
                  <c:v>8.6529375974555862E-3</c:v>
                </c:pt>
                <c:pt idx="5">
                  <c:v>8.1346876286349911E-3</c:v>
                </c:pt>
                <c:pt idx="6">
                  <c:v>7.6704636269729499E-3</c:v>
                </c:pt>
                <c:pt idx="7">
                  <c:v>7.3783647706763909E-3</c:v>
                </c:pt>
                <c:pt idx="8">
                  <c:v>7.7377797492376929E-3</c:v>
                </c:pt>
                <c:pt idx="9">
                  <c:v>7.3356801313379039E-3</c:v>
                </c:pt>
                <c:pt idx="10">
                  <c:v>7.4694023358847115E-3</c:v>
                </c:pt>
                <c:pt idx="11">
                  <c:v>7.0940480735747049E-3</c:v>
                </c:pt>
                <c:pt idx="12">
                  <c:v>7.7211423653380266E-3</c:v>
                </c:pt>
                <c:pt idx="13">
                  <c:v>7.3096757671662739E-3</c:v>
                </c:pt>
                <c:pt idx="14">
                  <c:v>6.9944508379863879E-3</c:v>
                </c:pt>
                <c:pt idx="15">
                  <c:v>7.0023690984769267E-3</c:v>
                </c:pt>
                <c:pt idx="16">
                  <c:v>6.6736624577963385E-3</c:v>
                </c:pt>
                <c:pt idx="17">
                  <c:v>6.5765468450073852E-3</c:v>
                </c:pt>
                <c:pt idx="18">
                  <c:v>6.3616414440155894E-3</c:v>
                </c:pt>
                <c:pt idx="19">
                  <c:v>9.0302614277819326E-3</c:v>
                </c:pt>
                <c:pt idx="20">
                  <c:v>8.8931043941976283E-3</c:v>
                </c:pt>
                <c:pt idx="21">
                  <c:v>1.0313171509903402E-2</c:v>
                </c:pt>
                <c:pt idx="22">
                  <c:v>9.6193064123640155E-3</c:v>
                </c:pt>
                <c:pt idx="23">
                  <c:v>8.9964147141614655E-3</c:v>
                </c:pt>
                <c:pt idx="24">
                  <c:v>8.4738113857749462E-3</c:v>
                </c:pt>
                <c:pt idx="25">
                  <c:v>8.2732804319361145E-3</c:v>
                </c:pt>
                <c:pt idx="26">
                  <c:v>7.9252381064274964E-3</c:v>
                </c:pt>
                <c:pt idx="27">
                  <c:v>7.5417069187466625E-3</c:v>
                </c:pt>
                <c:pt idx="28">
                  <c:v>7.1438557788520533E-3</c:v>
                </c:pt>
                <c:pt idx="29">
                  <c:v>7.0896144245093324E-3</c:v>
                </c:pt>
                <c:pt idx="30">
                  <c:v>6.8048714572582648E-3</c:v>
                </c:pt>
                <c:pt idx="31">
                  <c:v>6.6119441355360032E-3</c:v>
                </c:pt>
                <c:pt idx="32">
                  <c:v>6.7418007200835241E-3</c:v>
                </c:pt>
                <c:pt idx="33">
                  <c:v>6.5477030892115975E-3</c:v>
                </c:pt>
                <c:pt idx="34">
                  <c:v>6.3229705991997157E-3</c:v>
                </c:pt>
                <c:pt idx="35">
                  <c:v>9.7720758215004526E-3</c:v>
                </c:pt>
                <c:pt idx="36">
                  <c:v>9.3655882738615075E-3</c:v>
                </c:pt>
                <c:pt idx="37">
                  <c:v>8.7390441773826308E-3</c:v>
                </c:pt>
                <c:pt idx="38">
                  <c:v>9.0490985294689914E-3</c:v>
                </c:pt>
                <c:pt idx="39">
                  <c:v>8.6967109750504742E-3</c:v>
                </c:pt>
                <c:pt idx="40">
                  <c:v>1.0024453159400492E-2</c:v>
                </c:pt>
                <c:pt idx="41">
                  <c:v>9.3307297561958727E-3</c:v>
                </c:pt>
                <c:pt idx="42">
                  <c:v>1.0735763207526845E-2</c:v>
                </c:pt>
                <c:pt idx="43">
                  <c:v>1.0308068450759761E-2</c:v>
                </c:pt>
                <c:pt idx="44">
                  <c:v>1.0047759367779437E-2</c:v>
                </c:pt>
                <c:pt idx="45">
                  <c:v>9.8894577269274479E-3</c:v>
                </c:pt>
                <c:pt idx="46">
                  <c:v>9.2063757632261864E-3</c:v>
                </c:pt>
                <c:pt idx="47">
                  <c:v>1.1093591369231721E-2</c:v>
                </c:pt>
                <c:pt idx="48">
                  <c:v>1.0581714915179362E-2</c:v>
                </c:pt>
                <c:pt idx="49">
                  <c:v>1.0055764300168819E-2</c:v>
                </c:pt>
                <c:pt idx="50">
                  <c:v>1.0219649833588633E-2</c:v>
                </c:pt>
                <c:pt idx="51">
                  <c:v>1.193935155355175E-2</c:v>
                </c:pt>
                <c:pt idx="52">
                  <c:v>1.2050919913382594E-2</c:v>
                </c:pt>
                <c:pt idx="53">
                  <c:v>1.1219675136322384E-2</c:v>
                </c:pt>
                <c:pt idx="54">
                  <c:v>1.1729483234537735E-2</c:v>
                </c:pt>
                <c:pt idx="55">
                  <c:v>1.0900955417220646E-2</c:v>
                </c:pt>
                <c:pt idx="56">
                  <c:v>1.0143614023339634E-2</c:v>
                </c:pt>
                <c:pt idx="57">
                  <c:v>1.0020470587120524E-2</c:v>
                </c:pt>
                <c:pt idx="58">
                  <c:v>9.3805869772996455E-3</c:v>
                </c:pt>
                <c:pt idx="59">
                  <c:v>8.8030961720163801E-3</c:v>
                </c:pt>
                <c:pt idx="60">
                  <c:v>8.6357332313588379E-3</c:v>
                </c:pt>
                <c:pt idx="61">
                  <c:v>8.4551971033236424E-3</c:v>
                </c:pt>
                <c:pt idx="62">
                  <c:v>7.9619302396681368E-3</c:v>
                </c:pt>
                <c:pt idx="63">
                  <c:v>7.7217299786199282E-3</c:v>
                </c:pt>
                <c:pt idx="64">
                  <c:v>7.2956913144825554E-3</c:v>
                </c:pt>
                <c:pt idx="65">
                  <c:v>6.9260867124740482E-3</c:v>
                </c:pt>
                <c:pt idx="66">
                  <c:v>6.6560560024733813E-3</c:v>
                </c:pt>
                <c:pt idx="67">
                  <c:v>6.4003863993279285E-3</c:v>
                </c:pt>
                <c:pt idx="68">
                  <c:v>6.3324142973012493E-3</c:v>
                </c:pt>
                <c:pt idx="69">
                  <c:v>6.1860269252948146E-3</c:v>
                </c:pt>
                <c:pt idx="70">
                  <c:v>6.6313254598302602E-3</c:v>
                </c:pt>
                <c:pt idx="71">
                  <c:v>6.3550357012361371E-3</c:v>
                </c:pt>
                <c:pt idx="72">
                  <c:v>6.1189305434198003E-3</c:v>
                </c:pt>
                <c:pt idx="73">
                  <c:v>6.0917152826581401E-3</c:v>
                </c:pt>
                <c:pt idx="74">
                  <c:v>7.1701396393848175E-3</c:v>
                </c:pt>
                <c:pt idx="75">
                  <c:v>7.1350939558508632E-3</c:v>
                </c:pt>
                <c:pt idx="76">
                  <c:v>8.3978036309106004E-3</c:v>
                </c:pt>
                <c:pt idx="77">
                  <c:v>8.1180809729951842E-3</c:v>
                </c:pt>
                <c:pt idx="78">
                  <c:v>7.6617310930317661E-3</c:v>
                </c:pt>
                <c:pt idx="79">
                  <c:v>7.956091015793948E-3</c:v>
                </c:pt>
                <c:pt idx="80">
                  <c:v>7.8415997636074718E-3</c:v>
                </c:pt>
                <c:pt idx="81">
                  <c:v>7.5132988409084079E-3</c:v>
                </c:pt>
                <c:pt idx="82">
                  <c:v>7.164116538920998E-3</c:v>
                </c:pt>
                <c:pt idx="83">
                  <c:v>6.8428292741149538E-3</c:v>
                </c:pt>
                <c:pt idx="84">
                  <c:v>6.6537722319481487E-3</c:v>
                </c:pt>
                <c:pt idx="85">
                  <c:v>6.8591219800167814E-3</c:v>
                </c:pt>
                <c:pt idx="86">
                  <c:v>7.3597815667894679E-3</c:v>
                </c:pt>
                <c:pt idx="87">
                  <c:v>7.1210200583932013E-3</c:v>
                </c:pt>
                <c:pt idx="88">
                  <c:v>6.9779331045280073E-3</c:v>
                </c:pt>
                <c:pt idx="89">
                  <c:v>7.2817716655078591E-3</c:v>
                </c:pt>
                <c:pt idx="90">
                  <c:v>8.0463047460084831E-3</c:v>
                </c:pt>
                <c:pt idx="91">
                  <c:v>7.7873372606554261E-3</c:v>
                </c:pt>
                <c:pt idx="92">
                  <c:v>7.9340335963790191E-3</c:v>
                </c:pt>
                <c:pt idx="93">
                  <c:v>7.822536556541566E-3</c:v>
                </c:pt>
                <c:pt idx="94">
                  <c:v>7.3833515020875727E-3</c:v>
                </c:pt>
                <c:pt idx="95">
                  <c:v>7.7102111031511125E-3</c:v>
                </c:pt>
                <c:pt idx="96">
                  <c:v>7.3285456141934241E-3</c:v>
                </c:pt>
                <c:pt idx="97">
                  <c:v>7.5129158587753739E-3</c:v>
                </c:pt>
                <c:pt idx="98">
                  <c:v>8.374729638167662E-3</c:v>
                </c:pt>
                <c:pt idx="99">
                  <c:v>7.8689354200423955E-3</c:v>
                </c:pt>
                <c:pt idx="100">
                  <c:v>7.5141864104143509E-3</c:v>
                </c:pt>
                <c:pt idx="101">
                  <c:v>7.2616273826784476E-3</c:v>
                </c:pt>
                <c:pt idx="102">
                  <c:v>7.0576644833734228E-3</c:v>
                </c:pt>
                <c:pt idx="103">
                  <c:v>7.7610007985808088E-3</c:v>
                </c:pt>
                <c:pt idx="104">
                  <c:v>1.1216078306030422E-2</c:v>
                </c:pt>
                <c:pt idx="105">
                  <c:v>1.0375980038680432E-2</c:v>
                </c:pt>
                <c:pt idx="106">
                  <c:v>1.0274821421479422E-2</c:v>
                </c:pt>
                <c:pt idx="107">
                  <c:v>1.0332397308541175E-2</c:v>
                </c:pt>
                <c:pt idx="108">
                  <c:v>9.5902035661740177E-3</c:v>
                </c:pt>
                <c:pt idx="109">
                  <c:v>9.0617803277157419E-3</c:v>
                </c:pt>
                <c:pt idx="110">
                  <c:v>8.8870443850823464E-3</c:v>
                </c:pt>
                <c:pt idx="111">
                  <c:v>9.7966376713958074E-3</c:v>
                </c:pt>
                <c:pt idx="112">
                  <c:v>9.1141725301025333E-3</c:v>
                </c:pt>
                <c:pt idx="113">
                  <c:v>9.6821487413571525E-3</c:v>
                </c:pt>
                <c:pt idx="114">
                  <c:v>1.1097179888490745E-2</c:v>
                </c:pt>
                <c:pt idx="115">
                  <c:v>1.0281017809797111E-2</c:v>
                </c:pt>
                <c:pt idx="116">
                  <c:v>9.6038570932690023E-3</c:v>
                </c:pt>
                <c:pt idx="117">
                  <c:v>9.1580913748725221E-3</c:v>
                </c:pt>
                <c:pt idx="118">
                  <c:v>9.8597451982517497E-3</c:v>
                </c:pt>
                <c:pt idx="119">
                  <c:v>9.4730876971041971E-3</c:v>
                </c:pt>
                <c:pt idx="120">
                  <c:v>8.8873537914617422E-3</c:v>
                </c:pt>
                <c:pt idx="121">
                  <c:v>9.3787515637099601E-3</c:v>
                </c:pt>
                <c:pt idx="122">
                  <c:v>9.3692066273131751E-3</c:v>
                </c:pt>
                <c:pt idx="123">
                  <c:v>9.9367862410299091E-3</c:v>
                </c:pt>
                <c:pt idx="124">
                  <c:v>9.7215275398061449E-3</c:v>
                </c:pt>
                <c:pt idx="125">
                  <c:v>9.7756192971227146E-3</c:v>
                </c:pt>
                <c:pt idx="126">
                  <c:v>1.050940813811887E-2</c:v>
                </c:pt>
                <c:pt idx="127">
                  <c:v>9.7526694682760953E-3</c:v>
                </c:pt>
                <c:pt idx="128">
                  <c:v>9.0795861732261406E-3</c:v>
                </c:pt>
                <c:pt idx="129">
                  <c:v>9.3053278054146919E-3</c:v>
                </c:pt>
                <c:pt idx="130">
                  <c:v>9.0518760362171876E-3</c:v>
                </c:pt>
                <c:pt idx="131">
                  <c:v>1.0804153045547875E-2</c:v>
                </c:pt>
                <c:pt idx="132">
                  <c:v>1.0134147895275754E-2</c:v>
                </c:pt>
                <c:pt idx="133">
                  <c:v>9.4776977606527441E-3</c:v>
                </c:pt>
                <c:pt idx="134">
                  <c:v>9.1722926583244196E-3</c:v>
                </c:pt>
                <c:pt idx="135">
                  <c:v>8.8012993822491857E-3</c:v>
                </c:pt>
                <c:pt idx="136">
                  <c:v>8.7679026908974896E-3</c:v>
                </c:pt>
                <c:pt idx="137">
                  <c:v>1.0142323096434303E-2</c:v>
                </c:pt>
                <c:pt idx="138">
                  <c:v>9.4190608039602559E-3</c:v>
                </c:pt>
                <c:pt idx="139">
                  <c:v>1.0081110013123215E-2</c:v>
                </c:pt>
                <c:pt idx="140">
                  <c:v>9.3677408326360255E-3</c:v>
                </c:pt>
                <c:pt idx="141">
                  <c:v>8.9786192912464421E-3</c:v>
                </c:pt>
                <c:pt idx="142">
                  <c:v>8.5272321091598418E-3</c:v>
                </c:pt>
                <c:pt idx="143">
                  <c:v>1.1003186869360033E-2</c:v>
                </c:pt>
                <c:pt idx="144">
                  <c:v>1.0247120959363018E-2</c:v>
                </c:pt>
                <c:pt idx="145">
                  <c:v>9.8026784181775659E-3</c:v>
                </c:pt>
                <c:pt idx="146">
                  <c:v>9.2429107340571866E-3</c:v>
                </c:pt>
                <c:pt idx="147">
                  <c:v>1.2857752593001761E-2</c:v>
                </c:pt>
                <c:pt idx="148">
                  <c:v>1.1968761774685097E-2</c:v>
                </c:pt>
                <c:pt idx="149">
                  <c:v>2.1156973497022911E-2</c:v>
                </c:pt>
                <c:pt idx="150">
                  <c:v>1.9269322152773338E-2</c:v>
                </c:pt>
                <c:pt idx="151">
                  <c:v>3.0887379694692563E-2</c:v>
                </c:pt>
                <c:pt idx="152">
                  <c:v>3.2825587520708278E-2</c:v>
                </c:pt>
                <c:pt idx="153">
                  <c:v>3.4122427384510261E-2</c:v>
                </c:pt>
                <c:pt idx="154">
                  <c:v>3.5166192407794089E-2</c:v>
                </c:pt>
                <c:pt idx="155">
                  <c:v>3.1965697763576488E-2</c:v>
                </c:pt>
                <c:pt idx="156">
                  <c:v>3.0082745541163688E-2</c:v>
                </c:pt>
                <c:pt idx="157">
                  <c:v>2.7553001577034122E-2</c:v>
                </c:pt>
                <c:pt idx="158">
                  <c:v>2.5035420952214275E-2</c:v>
                </c:pt>
                <c:pt idx="159">
                  <c:v>2.8293749599303947E-2</c:v>
                </c:pt>
                <c:pt idx="160">
                  <c:v>2.6298245530697661E-2</c:v>
                </c:pt>
                <c:pt idx="161">
                  <c:v>2.3901255564284688E-2</c:v>
                </c:pt>
                <c:pt idx="162">
                  <c:v>2.5036757631904938E-2</c:v>
                </c:pt>
                <c:pt idx="163">
                  <c:v>2.3264418439318108E-2</c:v>
                </c:pt>
                <c:pt idx="164">
                  <c:v>2.1940856621920548E-2</c:v>
                </c:pt>
                <c:pt idx="165">
                  <c:v>2.0724958120774437E-2</c:v>
                </c:pt>
                <c:pt idx="166">
                  <c:v>2.1493531829437425E-2</c:v>
                </c:pt>
                <c:pt idx="167">
                  <c:v>1.9590161508232881E-2</c:v>
                </c:pt>
                <c:pt idx="168">
                  <c:v>1.7949903220622267E-2</c:v>
                </c:pt>
                <c:pt idx="169">
                  <c:v>1.6964874040905995E-2</c:v>
                </c:pt>
                <c:pt idx="170">
                  <c:v>1.8145113076111757E-2</c:v>
                </c:pt>
                <c:pt idx="171">
                  <c:v>1.6786557687165207E-2</c:v>
                </c:pt>
                <c:pt idx="172">
                  <c:v>1.8535956580296081E-2</c:v>
                </c:pt>
                <c:pt idx="173">
                  <c:v>1.7361655190926601E-2</c:v>
                </c:pt>
                <c:pt idx="174">
                  <c:v>1.8731203290714534E-2</c:v>
                </c:pt>
                <c:pt idx="175">
                  <c:v>1.7276682261032978E-2</c:v>
                </c:pt>
                <c:pt idx="176">
                  <c:v>1.6130629806066818E-2</c:v>
                </c:pt>
                <c:pt idx="177">
                  <c:v>1.555497115965411E-2</c:v>
                </c:pt>
                <c:pt idx="178">
                  <c:v>1.5559055247964417E-2</c:v>
                </c:pt>
                <c:pt idx="179">
                  <c:v>1.4393519878458676E-2</c:v>
                </c:pt>
                <c:pt idx="180">
                  <c:v>1.3686875295202194E-2</c:v>
                </c:pt>
                <c:pt idx="181">
                  <c:v>1.2580563916470736E-2</c:v>
                </c:pt>
                <c:pt idx="182">
                  <c:v>1.5963672267480217E-2</c:v>
                </c:pt>
                <c:pt idx="183">
                  <c:v>1.8860452510329855E-2</c:v>
                </c:pt>
                <c:pt idx="184">
                  <c:v>1.734696279756523E-2</c:v>
                </c:pt>
                <c:pt idx="185">
                  <c:v>1.7978361308955897E-2</c:v>
                </c:pt>
                <c:pt idx="186">
                  <c:v>1.68709598249248E-2</c:v>
                </c:pt>
                <c:pt idx="187">
                  <c:v>1.7233103465655236E-2</c:v>
                </c:pt>
                <c:pt idx="188">
                  <c:v>1.602005294136704E-2</c:v>
                </c:pt>
                <c:pt idx="189">
                  <c:v>1.736426888303752E-2</c:v>
                </c:pt>
                <c:pt idx="190">
                  <c:v>1.9093383759912427E-2</c:v>
                </c:pt>
                <c:pt idx="191">
                  <c:v>1.9243018654861728E-2</c:v>
                </c:pt>
                <c:pt idx="192">
                  <c:v>1.8719786253704778E-2</c:v>
                </c:pt>
                <c:pt idx="193">
                  <c:v>1.8336882615792336E-2</c:v>
                </c:pt>
                <c:pt idx="194">
                  <c:v>1.7002374046873082E-2</c:v>
                </c:pt>
                <c:pt idx="195">
                  <c:v>1.9852136532855977E-2</c:v>
                </c:pt>
                <c:pt idx="196">
                  <c:v>1.8095243575396401E-2</c:v>
                </c:pt>
                <c:pt idx="197">
                  <c:v>1.6900868515676952E-2</c:v>
                </c:pt>
                <c:pt idx="198">
                  <c:v>1.548180684051065E-2</c:v>
                </c:pt>
                <c:pt idx="199">
                  <c:v>1.5527589059990674E-2</c:v>
                </c:pt>
                <c:pt idx="200">
                  <c:v>1.5934170040449263E-2</c:v>
                </c:pt>
                <c:pt idx="201">
                  <c:v>1.6367912862944672E-2</c:v>
                </c:pt>
                <c:pt idx="202">
                  <c:v>1.5682452936466387E-2</c:v>
                </c:pt>
                <c:pt idx="203">
                  <c:v>1.444787491230843E-2</c:v>
                </c:pt>
                <c:pt idx="204">
                  <c:v>1.4918715229102928E-2</c:v>
                </c:pt>
                <c:pt idx="205">
                  <c:v>1.4456262134189888E-2</c:v>
                </c:pt>
                <c:pt idx="206">
                  <c:v>1.5208062271391277E-2</c:v>
                </c:pt>
                <c:pt idx="207">
                  <c:v>1.445114753145893E-2</c:v>
                </c:pt>
                <c:pt idx="208">
                  <c:v>1.8160331796528397E-2</c:v>
                </c:pt>
                <c:pt idx="209">
                  <c:v>1.6574117393274339E-2</c:v>
                </c:pt>
                <c:pt idx="210">
                  <c:v>1.7738778331086391E-2</c:v>
                </c:pt>
                <c:pt idx="211">
                  <c:v>1.926836702982564E-2</c:v>
                </c:pt>
                <c:pt idx="212">
                  <c:v>1.8528779623764469E-2</c:v>
                </c:pt>
                <c:pt idx="213">
                  <c:v>1.8241429963026117E-2</c:v>
                </c:pt>
                <c:pt idx="214">
                  <c:v>1.6807338518050923E-2</c:v>
                </c:pt>
                <c:pt idx="215">
                  <c:v>1.5532017849594839E-2</c:v>
                </c:pt>
                <c:pt idx="216">
                  <c:v>1.4851368708895508E-2</c:v>
                </c:pt>
                <c:pt idx="217">
                  <c:v>1.9360019067824863E-2</c:v>
                </c:pt>
                <c:pt idx="218">
                  <c:v>1.7932306369047551E-2</c:v>
                </c:pt>
                <c:pt idx="219">
                  <c:v>1.7846307029918868E-2</c:v>
                </c:pt>
                <c:pt idx="220">
                  <c:v>1.667059312669824E-2</c:v>
                </c:pt>
                <c:pt idx="221">
                  <c:v>1.5338825735252795E-2</c:v>
                </c:pt>
                <c:pt idx="222">
                  <c:v>1.5339548190769976E-2</c:v>
                </c:pt>
                <c:pt idx="223">
                  <c:v>1.5367969373626533E-2</c:v>
                </c:pt>
                <c:pt idx="224">
                  <c:v>1.406967594509306E-2</c:v>
                </c:pt>
                <c:pt idx="225">
                  <c:v>1.4652478686397002E-2</c:v>
                </c:pt>
                <c:pt idx="226">
                  <c:v>1.3515320993308551E-2</c:v>
                </c:pt>
                <c:pt idx="227">
                  <c:v>1.4893502631719307E-2</c:v>
                </c:pt>
                <c:pt idx="228">
                  <c:v>1.3680138128356523E-2</c:v>
                </c:pt>
                <c:pt idx="229">
                  <c:v>1.6445984091435589E-2</c:v>
                </c:pt>
                <c:pt idx="230">
                  <c:v>1.5056951054095E-2</c:v>
                </c:pt>
                <c:pt idx="231">
                  <c:v>2.0837141631169561E-2</c:v>
                </c:pt>
                <c:pt idx="232">
                  <c:v>1.8993348750487526E-2</c:v>
                </c:pt>
                <c:pt idx="233">
                  <c:v>1.7322217215297236E-2</c:v>
                </c:pt>
                <c:pt idx="234">
                  <c:v>1.6264006556628942E-2</c:v>
                </c:pt>
                <c:pt idx="235">
                  <c:v>1.4877313919872496E-2</c:v>
                </c:pt>
                <c:pt idx="236">
                  <c:v>1.3649961996786827E-2</c:v>
                </c:pt>
                <c:pt idx="237">
                  <c:v>1.4799795616412816E-2</c:v>
                </c:pt>
                <c:pt idx="238">
                  <c:v>1.4897113515285462E-2</c:v>
                </c:pt>
                <c:pt idx="239">
                  <c:v>1.4727348443723733E-2</c:v>
                </c:pt>
                <c:pt idx="240">
                  <c:v>1.3872950208555859E-2</c:v>
                </c:pt>
                <c:pt idx="241">
                  <c:v>1.3408086759066686E-2</c:v>
                </c:pt>
                <c:pt idx="242">
                  <c:v>1.2374415050096111E-2</c:v>
                </c:pt>
                <c:pt idx="243">
                  <c:v>1.1456709340103342E-2</c:v>
                </c:pt>
                <c:pt idx="244">
                  <c:v>1.1438191637048777E-2</c:v>
                </c:pt>
                <c:pt idx="245">
                  <c:v>1.5126007452118838E-2</c:v>
                </c:pt>
                <c:pt idx="246">
                  <c:v>1.38708727344373E-2</c:v>
                </c:pt>
                <c:pt idx="247">
                  <c:v>1.3086152860766779E-2</c:v>
                </c:pt>
                <c:pt idx="248">
                  <c:v>1.2477601464940679E-2</c:v>
                </c:pt>
                <c:pt idx="249">
                  <c:v>1.1487383366556343E-2</c:v>
                </c:pt>
                <c:pt idx="250">
                  <c:v>1.1571632565652658E-2</c:v>
                </c:pt>
                <c:pt idx="251">
                  <c:v>1.1379438631755912E-2</c:v>
                </c:pt>
                <c:pt idx="252">
                  <c:v>1.0629808020940417E-2</c:v>
                </c:pt>
                <c:pt idx="253">
                  <c:v>1.1355906704746682E-2</c:v>
                </c:pt>
                <c:pt idx="254">
                  <c:v>1.0490433323780066E-2</c:v>
                </c:pt>
                <c:pt idx="255">
                  <c:v>9.7835490263363366E-3</c:v>
                </c:pt>
                <c:pt idx="256">
                  <c:v>9.1472980960888312E-3</c:v>
                </c:pt>
                <c:pt idx="257">
                  <c:v>8.5800053143488732E-3</c:v>
                </c:pt>
                <c:pt idx="258">
                  <c:v>8.6776004691583326E-3</c:v>
                </c:pt>
                <c:pt idx="259">
                  <c:v>8.1285799022432336E-3</c:v>
                </c:pt>
                <c:pt idx="260">
                  <c:v>7.6965157695781427E-3</c:v>
                </c:pt>
                <c:pt idx="261">
                  <c:v>7.4987413963225448E-3</c:v>
                </c:pt>
                <c:pt idx="262">
                  <c:v>7.2205086289109143E-3</c:v>
                </c:pt>
                <c:pt idx="263">
                  <c:v>7.9769633976937791E-3</c:v>
                </c:pt>
                <c:pt idx="264">
                  <c:v>7.7323475123508142E-3</c:v>
                </c:pt>
                <c:pt idx="265">
                  <c:v>7.3079564457703763E-3</c:v>
                </c:pt>
                <c:pt idx="266">
                  <c:v>6.9385329389938331E-3</c:v>
                </c:pt>
                <c:pt idx="267">
                  <c:v>6.628861540814184E-3</c:v>
                </c:pt>
                <c:pt idx="268">
                  <c:v>7.1043314854288405E-3</c:v>
                </c:pt>
                <c:pt idx="269">
                  <c:v>7.0862195488872693E-3</c:v>
                </c:pt>
                <c:pt idx="270">
                  <c:v>6.7706411390618592E-3</c:v>
                </c:pt>
                <c:pt idx="271">
                  <c:v>6.5404555250295751E-3</c:v>
                </c:pt>
                <c:pt idx="272">
                  <c:v>6.2792326972950395E-3</c:v>
                </c:pt>
                <c:pt idx="273">
                  <c:v>6.878151084221882E-3</c:v>
                </c:pt>
                <c:pt idx="274">
                  <c:v>6.5785658187003564E-3</c:v>
                </c:pt>
                <c:pt idx="275">
                  <c:v>8.266904357736176E-3</c:v>
                </c:pt>
                <c:pt idx="276">
                  <c:v>7.7704971505564054E-3</c:v>
                </c:pt>
                <c:pt idx="277">
                  <c:v>7.374598183704153E-3</c:v>
                </c:pt>
                <c:pt idx="278">
                  <c:v>7.0389731950317221E-3</c:v>
                </c:pt>
                <c:pt idx="279">
                  <c:v>6.726376374132737E-3</c:v>
                </c:pt>
                <c:pt idx="280">
                  <c:v>6.9211592018141718E-3</c:v>
                </c:pt>
                <c:pt idx="281">
                  <c:v>7.059336443097009E-3</c:v>
                </c:pt>
                <c:pt idx="282">
                  <c:v>6.7308923550963877E-3</c:v>
                </c:pt>
                <c:pt idx="283">
                  <c:v>6.7398871569309213E-3</c:v>
                </c:pt>
                <c:pt idx="284">
                  <c:v>7.6084641814645158E-3</c:v>
                </c:pt>
                <c:pt idx="285">
                  <c:v>7.248075614323766E-3</c:v>
                </c:pt>
                <c:pt idx="286">
                  <c:v>6.8897669198694526E-3</c:v>
                </c:pt>
                <c:pt idx="287">
                  <c:v>6.6906782301242211E-3</c:v>
                </c:pt>
                <c:pt idx="288">
                  <c:v>6.5951433211810014E-3</c:v>
                </c:pt>
                <c:pt idx="289">
                  <c:v>6.3535911599324818E-3</c:v>
                </c:pt>
                <c:pt idx="290">
                  <c:v>6.1379134592847336E-3</c:v>
                </c:pt>
                <c:pt idx="291">
                  <c:v>6.0613858972111551E-3</c:v>
                </c:pt>
                <c:pt idx="292">
                  <c:v>6.1246367735952566E-3</c:v>
                </c:pt>
                <c:pt idx="293">
                  <c:v>6.3402043605538579E-3</c:v>
                </c:pt>
                <c:pt idx="294">
                  <c:v>6.2225688251085634E-3</c:v>
                </c:pt>
                <c:pt idx="295">
                  <c:v>6.1737019941198049E-3</c:v>
                </c:pt>
                <c:pt idx="296">
                  <c:v>8.2545554836789634E-3</c:v>
                </c:pt>
                <c:pt idx="297">
                  <c:v>8.1613020542370927E-3</c:v>
                </c:pt>
                <c:pt idx="298">
                  <c:v>8.4786707510636945E-3</c:v>
                </c:pt>
                <c:pt idx="299">
                  <c:v>8.0651180416743788E-3</c:v>
                </c:pt>
                <c:pt idx="300">
                  <c:v>7.5933018193368052E-3</c:v>
                </c:pt>
                <c:pt idx="301">
                  <c:v>9.7681731469882113E-3</c:v>
                </c:pt>
                <c:pt idx="302">
                  <c:v>9.0964512823080122E-3</c:v>
                </c:pt>
                <c:pt idx="303">
                  <c:v>8.7730867918464905E-3</c:v>
                </c:pt>
                <c:pt idx="304">
                  <c:v>8.2217138633005529E-3</c:v>
                </c:pt>
                <c:pt idx="305">
                  <c:v>7.8663839986363171E-3</c:v>
                </c:pt>
                <c:pt idx="306">
                  <c:v>7.5023213283123419E-3</c:v>
                </c:pt>
                <c:pt idx="307">
                  <c:v>7.1378458244483823E-3</c:v>
                </c:pt>
                <c:pt idx="308">
                  <c:v>7.293676138220918E-3</c:v>
                </c:pt>
                <c:pt idx="309">
                  <c:v>7.0178165434570984E-3</c:v>
                </c:pt>
                <c:pt idx="310">
                  <c:v>8.3972395269516342E-3</c:v>
                </c:pt>
                <c:pt idx="311">
                  <c:v>7.9508754264811365E-3</c:v>
                </c:pt>
                <c:pt idx="312">
                  <c:v>7.7126586428533928E-3</c:v>
                </c:pt>
                <c:pt idx="313">
                  <c:v>7.3107862788081455E-3</c:v>
                </c:pt>
                <c:pt idx="314">
                  <c:v>7.0708188443560716E-3</c:v>
                </c:pt>
                <c:pt idx="315">
                  <c:v>7.2735103376380334E-3</c:v>
                </c:pt>
                <c:pt idx="316">
                  <c:v>7.0617977476398275E-3</c:v>
                </c:pt>
                <c:pt idx="317">
                  <c:v>7.712644720754459E-3</c:v>
                </c:pt>
                <c:pt idx="318">
                  <c:v>7.2903859045940107E-3</c:v>
                </c:pt>
                <c:pt idx="319">
                  <c:v>8.1001210544065574E-3</c:v>
                </c:pt>
                <c:pt idx="320">
                  <c:v>9.9197740600986267E-3</c:v>
                </c:pt>
                <c:pt idx="321">
                  <c:v>9.6162264319939739E-3</c:v>
                </c:pt>
                <c:pt idx="322">
                  <c:v>1.027389501057858E-2</c:v>
                </c:pt>
                <c:pt idx="323">
                  <c:v>1.0594611668800701E-2</c:v>
                </c:pt>
                <c:pt idx="324">
                  <c:v>9.8173511497976363E-3</c:v>
                </c:pt>
                <c:pt idx="325">
                  <c:v>1.0742017631984228E-2</c:v>
                </c:pt>
                <c:pt idx="326">
                  <c:v>1.0058079981645089E-2</c:v>
                </c:pt>
                <c:pt idx="327">
                  <c:v>9.5953314686698533E-3</c:v>
                </c:pt>
                <c:pt idx="328">
                  <c:v>8.9438688283064831E-3</c:v>
                </c:pt>
                <c:pt idx="329">
                  <c:v>8.9208156877126649E-3</c:v>
                </c:pt>
                <c:pt idx="330">
                  <c:v>8.4498673573647886E-3</c:v>
                </c:pt>
                <c:pt idx="331">
                  <c:v>9.3695440956171432E-3</c:v>
                </c:pt>
                <c:pt idx="332">
                  <c:v>9.0726495139071064E-3</c:v>
                </c:pt>
                <c:pt idx="333">
                  <c:v>8.5204516115325972E-3</c:v>
                </c:pt>
                <c:pt idx="334">
                  <c:v>8.1178843293647183E-3</c:v>
                </c:pt>
                <c:pt idx="335">
                  <c:v>7.9167763576417603E-3</c:v>
                </c:pt>
                <c:pt idx="336">
                  <c:v>7.520599684504992E-3</c:v>
                </c:pt>
                <c:pt idx="337">
                  <c:v>7.6628640036138446E-3</c:v>
                </c:pt>
                <c:pt idx="338">
                  <c:v>9.4038237122119513E-3</c:v>
                </c:pt>
                <c:pt idx="339">
                  <c:v>8.7659310540564861E-3</c:v>
                </c:pt>
                <c:pt idx="340">
                  <c:v>8.3557729122064137E-3</c:v>
                </c:pt>
                <c:pt idx="341">
                  <c:v>8.2282621033193861E-3</c:v>
                </c:pt>
                <c:pt idx="342">
                  <c:v>7.7904801232479134E-3</c:v>
                </c:pt>
                <c:pt idx="343">
                  <c:v>7.4597310901884746E-3</c:v>
                </c:pt>
                <c:pt idx="344">
                  <c:v>8.1791067541364306E-3</c:v>
                </c:pt>
                <c:pt idx="345">
                  <c:v>7.9799052781244269E-3</c:v>
                </c:pt>
                <c:pt idx="346">
                  <c:v>7.6926894858625628E-3</c:v>
                </c:pt>
                <c:pt idx="347">
                  <c:v>9.1682439027307959E-3</c:v>
                </c:pt>
                <c:pt idx="348">
                  <c:v>8.9833314608740722E-3</c:v>
                </c:pt>
                <c:pt idx="349">
                  <c:v>1.0238778263384667E-2</c:v>
                </c:pt>
                <c:pt idx="350">
                  <c:v>9.502692457916186E-3</c:v>
                </c:pt>
                <c:pt idx="351">
                  <c:v>8.8738839274153016E-3</c:v>
                </c:pt>
                <c:pt idx="352">
                  <c:v>8.315222650754555E-3</c:v>
                </c:pt>
                <c:pt idx="353">
                  <c:v>7.8518038159137941E-3</c:v>
                </c:pt>
                <c:pt idx="354">
                  <c:v>8.4466451786889933E-3</c:v>
                </c:pt>
                <c:pt idx="355">
                  <c:v>9.5451555060986435E-3</c:v>
                </c:pt>
                <c:pt idx="356">
                  <c:v>8.9288973460696069E-3</c:v>
                </c:pt>
                <c:pt idx="357">
                  <c:v>1.2416727096263772E-2</c:v>
                </c:pt>
                <c:pt idx="358">
                  <c:v>1.1433219547363148E-2</c:v>
                </c:pt>
                <c:pt idx="359">
                  <c:v>1.0766344089776479E-2</c:v>
                </c:pt>
                <c:pt idx="360">
                  <c:v>1.3031636391323006E-2</c:v>
                </c:pt>
                <c:pt idx="361">
                  <c:v>1.1981067916552958E-2</c:v>
                </c:pt>
                <c:pt idx="362">
                  <c:v>1.1439698845488922E-2</c:v>
                </c:pt>
                <c:pt idx="363">
                  <c:v>1.155421712829161E-2</c:v>
                </c:pt>
                <c:pt idx="364">
                  <c:v>1.1488135161646516E-2</c:v>
                </c:pt>
                <c:pt idx="365">
                  <c:v>1.0920699442157313E-2</c:v>
                </c:pt>
                <c:pt idx="366">
                  <c:v>1.0853529970828359E-2</c:v>
                </c:pt>
                <c:pt idx="367">
                  <c:v>1.0735586183818039E-2</c:v>
                </c:pt>
                <c:pt idx="368">
                  <c:v>9.954584071535176E-3</c:v>
                </c:pt>
                <c:pt idx="369">
                  <c:v>9.9253604374529795E-3</c:v>
                </c:pt>
                <c:pt idx="370">
                  <c:v>9.2452736559717232E-3</c:v>
                </c:pt>
                <c:pt idx="371">
                  <c:v>1.196594942694415E-2</c:v>
                </c:pt>
                <c:pt idx="372">
                  <c:v>1.1342079412563058E-2</c:v>
                </c:pt>
                <c:pt idx="373">
                  <c:v>1.2037093970519362E-2</c:v>
                </c:pt>
                <c:pt idx="374">
                  <c:v>1.1233140283353805E-2</c:v>
                </c:pt>
                <c:pt idx="375">
                  <c:v>1.0891693498714012E-2</c:v>
                </c:pt>
                <c:pt idx="376">
                  <c:v>1.0108602901821362E-2</c:v>
                </c:pt>
                <c:pt idx="377">
                  <c:v>1.305072291745136E-2</c:v>
                </c:pt>
                <c:pt idx="378">
                  <c:v>1.2032095304481393E-2</c:v>
                </c:pt>
                <c:pt idx="379">
                  <c:v>1.1324590825710206E-2</c:v>
                </c:pt>
                <c:pt idx="380">
                  <c:v>1.0604593097911293E-2</c:v>
                </c:pt>
                <c:pt idx="381">
                  <c:v>1.0426362476624238E-2</c:v>
                </c:pt>
                <c:pt idx="382">
                  <c:v>9.6856488996013776E-3</c:v>
                </c:pt>
                <c:pt idx="383">
                  <c:v>9.5010099924199374E-3</c:v>
                </c:pt>
                <c:pt idx="384">
                  <c:v>8.850479858308587E-3</c:v>
                </c:pt>
                <c:pt idx="385">
                  <c:v>8.4815666842298684E-3</c:v>
                </c:pt>
                <c:pt idx="386">
                  <c:v>9.9818651802962132E-3</c:v>
                </c:pt>
                <c:pt idx="387">
                  <c:v>9.3133848367763592E-3</c:v>
                </c:pt>
                <c:pt idx="388">
                  <c:v>9.1012721842909042E-3</c:v>
                </c:pt>
                <c:pt idx="389">
                  <c:v>8.8459975250103663E-3</c:v>
                </c:pt>
                <c:pt idx="390">
                  <c:v>8.3354037950219891E-3</c:v>
                </c:pt>
                <c:pt idx="391">
                  <c:v>8.6698710393583751E-3</c:v>
                </c:pt>
                <c:pt idx="392">
                  <c:v>8.7646387607252622E-3</c:v>
                </c:pt>
                <c:pt idx="393">
                  <c:v>8.8599660372938871E-3</c:v>
                </c:pt>
                <c:pt idx="394">
                  <c:v>8.2882986761902751E-3</c:v>
                </c:pt>
                <c:pt idx="395">
                  <c:v>9.8575678664439212E-3</c:v>
                </c:pt>
                <c:pt idx="396">
                  <c:v>1.1509541976547182E-2</c:v>
                </c:pt>
                <c:pt idx="397">
                  <c:v>1.0628066966991924E-2</c:v>
                </c:pt>
                <c:pt idx="398">
                  <c:v>9.9733524081296026E-3</c:v>
                </c:pt>
                <c:pt idx="399">
                  <c:v>9.3338870972990151E-3</c:v>
                </c:pt>
                <c:pt idx="400">
                  <c:v>9.1205388159009033E-3</c:v>
                </c:pt>
                <c:pt idx="401">
                  <c:v>1.0990945368565631E-2</c:v>
                </c:pt>
                <c:pt idx="402">
                  <c:v>1.0202618763284941E-2</c:v>
                </c:pt>
                <c:pt idx="403">
                  <c:v>9.6532016357361305E-3</c:v>
                </c:pt>
                <c:pt idx="404">
                  <c:v>8.9873719815524063E-3</c:v>
                </c:pt>
                <c:pt idx="405">
                  <c:v>8.4005769866055333E-3</c:v>
                </c:pt>
                <c:pt idx="406">
                  <c:v>7.9266096672104078E-3</c:v>
                </c:pt>
                <c:pt idx="407">
                  <c:v>7.4867875066143503E-3</c:v>
                </c:pt>
                <c:pt idx="408">
                  <c:v>7.0911322090203887E-3</c:v>
                </c:pt>
                <c:pt idx="409">
                  <c:v>6.7623880072619161E-3</c:v>
                </c:pt>
                <c:pt idx="410">
                  <c:v>6.9723953610317862E-3</c:v>
                </c:pt>
                <c:pt idx="411">
                  <c:v>6.6827937482560034E-3</c:v>
                </c:pt>
                <c:pt idx="412">
                  <c:v>6.3986996064078188E-3</c:v>
                </c:pt>
                <c:pt idx="413">
                  <c:v>6.2898950955752814E-3</c:v>
                </c:pt>
                <c:pt idx="414">
                  <c:v>6.0640005874604257E-3</c:v>
                </c:pt>
                <c:pt idx="415">
                  <c:v>6.5872783428907299E-3</c:v>
                </c:pt>
                <c:pt idx="416">
                  <c:v>6.746999092033407E-3</c:v>
                </c:pt>
                <c:pt idx="417">
                  <c:v>6.4562052796936151E-3</c:v>
                </c:pt>
                <c:pt idx="418">
                  <c:v>6.2122099471165681E-3</c:v>
                </c:pt>
                <c:pt idx="419">
                  <c:v>6.005470336358806E-3</c:v>
                </c:pt>
                <c:pt idx="420">
                  <c:v>6.4986286232936808E-3</c:v>
                </c:pt>
                <c:pt idx="421">
                  <c:v>6.5137246760484631E-3</c:v>
                </c:pt>
                <c:pt idx="422">
                  <c:v>6.2688968101783692E-3</c:v>
                </c:pt>
                <c:pt idx="423">
                  <c:v>6.0583685644697294E-3</c:v>
                </c:pt>
                <c:pt idx="424">
                  <c:v>9.4845910828528987E-3</c:v>
                </c:pt>
                <c:pt idx="425">
                  <c:v>8.9605985952477766E-3</c:v>
                </c:pt>
                <c:pt idx="426">
                  <c:v>8.6783271161119478E-3</c:v>
                </c:pt>
                <c:pt idx="427">
                  <c:v>8.2097894572337182E-3</c:v>
                </c:pt>
                <c:pt idx="428">
                  <c:v>7.7574406777983895E-3</c:v>
                </c:pt>
                <c:pt idx="429">
                  <c:v>9.4436975858868868E-3</c:v>
                </c:pt>
                <c:pt idx="430">
                  <c:v>8.919612859263959E-3</c:v>
                </c:pt>
                <c:pt idx="431">
                  <c:v>8.4190832426469155E-3</c:v>
                </c:pt>
                <c:pt idx="432">
                  <c:v>7.9158263054633672E-3</c:v>
                </c:pt>
                <c:pt idx="433">
                  <c:v>7.4759273035459942E-3</c:v>
                </c:pt>
                <c:pt idx="434">
                  <c:v>7.0843784172048311E-3</c:v>
                </c:pt>
                <c:pt idx="435">
                  <c:v>6.7435986418204526E-3</c:v>
                </c:pt>
                <c:pt idx="436">
                  <c:v>6.5031143131763251E-3</c:v>
                </c:pt>
                <c:pt idx="437">
                  <c:v>7.3570915203995547E-3</c:v>
                </c:pt>
                <c:pt idx="438">
                  <c:v>7.2935356696465902E-3</c:v>
                </c:pt>
                <c:pt idx="439">
                  <c:v>7.7752337309364263E-3</c:v>
                </c:pt>
                <c:pt idx="440">
                  <c:v>7.5248816379872999E-3</c:v>
                </c:pt>
                <c:pt idx="441">
                  <c:v>7.1904303647495485E-3</c:v>
                </c:pt>
                <c:pt idx="442">
                  <c:v>6.8424770225182716E-3</c:v>
                </c:pt>
                <c:pt idx="443">
                  <c:v>6.6700819108579858E-3</c:v>
                </c:pt>
                <c:pt idx="444">
                  <c:v>6.9093795366509747E-3</c:v>
                </c:pt>
                <c:pt idx="445">
                  <c:v>6.5940845645613751E-3</c:v>
                </c:pt>
                <c:pt idx="446">
                  <c:v>6.4501930386423739E-3</c:v>
                </c:pt>
                <c:pt idx="447">
                  <c:v>7.2005586780395647E-3</c:v>
                </c:pt>
                <c:pt idx="448">
                  <c:v>7.2155879349292155E-3</c:v>
                </c:pt>
                <c:pt idx="449">
                  <c:v>6.8570108457887639E-3</c:v>
                </c:pt>
                <c:pt idx="450">
                  <c:v>6.638858435287001E-3</c:v>
                </c:pt>
                <c:pt idx="451">
                  <c:v>7.0176734241378007E-3</c:v>
                </c:pt>
                <c:pt idx="452">
                  <c:v>7.6727971960683702E-3</c:v>
                </c:pt>
                <c:pt idx="453">
                  <c:v>7.4083921907453429E-3</c:v>
                </c:pt>
                <c:pt idx="454">
                  <c:v>7.0807544733554719E-3</c:v>
                </c:pt>
                <c:pt idx="455">
                  <c:v>9.1283423305176629E-3</c:v>
                </c:pt>
                <c:pt idx="456">
                  <c:v>8.5244423810042803E-3</c:v>
                </c:pt>
                <c:pt idx="457">
                  <c:v>9.6243335833591116E-3</c:v>
                </c:pt>
                <c:pt idx="458">
                  <c:v>9.0310730292672541E-3</c:v>
                </c:pt>
                <c:pt idx="459">
                  <c:v>8.5091764650593593E-3</c:v>
                </c:pt>
                <c:pt idx="460">
                  <c:v>7.9849931656634111E-3</c:v>
                </c:pt>
                <c:pt idx="461">
                  <c:v>7.5235525016295783E-3</c:v>
                </c:pt>
                <c:pt idx="462">
                  <c:v>8.1707397978397125E-3</c:v>
                </c:pt>
                <c:pt idx="463">
                  <c:v>8.4328013428213531E-3</c:v>
                </c:pt>
                <c:pt idx="464">
                  <c:v>7.953694309861932E-3</c:v>
                </c:pt>
                <c:pt idx="465">
                  <c:v>8.0309256639476169E-3</c:v>
                </c:pt>
                <c:pt idx="466">
                  <c:v>1.1632246650714424E-2</c:v>
                </c:pt>
                <c:pt idx="467">
                  <c:v>1.1649720891733117E-2</c:v>
                </c:pt>
                <c:pt idx="468">
                  <c:v>1.0769226424904013E-2</c:v>
                </c:pt>
                <c:pt idx="469">
                  <c:v>9.9702676798487499E-3</c:v>
                </c:pt>
                <c:pt idx="470">
                  <c:v>9.3800352751820353E-3</c:v>
                </c:pt>
                <c:pt idx="471">
                  <c:v>1.0142149833420436E-2</c:v>
                </c:pt>
                <c:pt idx="472">
                  <c:v>9.4339741488826175E-3</c:v>
                </c:pt>
                <c:pt idx="473">
                  <c:v>8.9696182678958153E-3</c:v>
                </c:pt>
                <c:pt idx="474">
                  <c:v>1.1080501860147064E-2</c:v>
                </c:pt>
                <c:pt idx="475">
                  <c:v>1.0248846550390694E-2</c:v>
                </c:pt>
                <c:pt idx="476">
                  <c:v>9.5481433633282497E-3</c:v>
                </c:pt>
                <c:pt idx="477">
                  <c:v>1.0089502029721999E-2</c:v>
                </c:pt>
                <c:pt idx="478">
                  <c:v>9.3990277271254266E-3</c:v>
                </c:pt>
                <c:pt idx="479">
                  <c:v>8.9709235312129543E-3</c:v>
                </c:pt>
                <c:pt idx="480">
                  <c:v>8.8664722457347297E-3</c:v>
                </c:pt>
                <c:pt idx="481">
                  <c:v>8.4404120083880936E-3</c:v>
                </c:pt>
                <c:pt idx="482">
                  <c:v>7.9206126971751722E-3</c:v>
                </c:pt>
                <c:pt idx="483">
                  <c:v>7.6701600685092986E-3</c:v>
                </c:pt>
                <c:pt idx="484">
                  <c:v>7.2772051153699828E-3</c:v>
                </c:pt>
                <c:pt idx="485">
                  <c:v>6.9343908685850523E-3</c:v>
                </c:pt>
                <c:pt idx="486">
                  <c:v>6.7253751932328815E-3</c:v>
                </c:pt>
                <c:pt idx="487">
                  <c:v>6.5242443075108634E-3</c:v>
                </c:pt>
                <c:pt idx="488">
                  <c:v>6.2643706837460008E-3</c:v>
                </c:pt>
                <c:pt idx="489">
                  <c:v>6.5026829750864336E-3</c:v>
                </c:pt>
                <c:pt idx="490">
                  <c:v>6.246903554744089E-3</c:v>
                </c:pt>
                <c:pt idx="491">
                  <c:v>6.4637990786699387E-3</c:v>
                </c:pt>
                <c:pt idx="492">
                  <c:v>6.3963814389352254E-3</c:v>
                </c:pt>
                <c:pt idx="493">
                  <c:v>7.5346252563615965E-3</c:v>
                </c:pt>
                <c:pt idx="494">
                  <c:v>8.2808823996792374E-3</c:v>
                </c:pt>
                <c:pt idx="495">
                  <c:v>8.271747846457924E-3</c:v>
                </c:pt>
                <c:pt idx="496">
                  <c:v>8.0303875156994865E-3</c:v>
                </c:pt>
                <c:pt idx="497">
                  <c:v>8.3214402092168013E-3</c:v>
                </c:pt>
                <c:pt idx="498">
                  <c:v>7.8681602238380322E-3</c:v>
                </c:pt>
                <c:pt idx="499">
                  <c:v>7.6293858067726138E-3</c:v>
                </c:pt>
                <c:pt idx="500">
                  <c:v>7.2284589769593963E-3</c:v>
                </c:pt>
                <c:pt idx="501">
                  <c:v>7.9950604191845829E-3</c:v>
                </c:pt>
                <c:pt idx="502">
                  <c:v>9.7485883015426215E-3</c:v>
                </c:pt>
                <c:pt idx="503">
                  <c:v>1.2947572580596029E-2</c:v>
                </c:pt>
                <c:pt idx="504">
                  <c:v>1.193087325910017E-2</c:v>
                </c:pt>
                <c:pt idx="505">
                  <c:v>1.114524445746894E-2</c:v>
                </c:pt>
                <c:pt idx="506">
                  <c:v>1.0367573491615628E-2</c:v>
                </c:pt>
                <c:pt idx="507">
                  <c:v>9.688962448102854E-3</c:v>
                </c:pt>
                <c:pt idx="508">
                  <c:v>9.0687530070273619E-3</c:v>
                </c:pt>
                <c:pt idx="509">
                  <c:v>8.9176840787232332E-3</c:v>
                </c:pt>
                <c:pt idx="510">
                  <c:v>8.338102588663323E-3</c:v>
                </c:pt>
                <c:pt idx="511">
                  <c:v>7.8385599171418539E-3</c:v>
                </c:pt>
                <c:pt idx="512">
                  <c:v>7.4076882569927751E-3</c:v>
                </c:pt>
                <c:pt idx="513">
                  <c:v>7.0229214165414104E-3</c:v>
                </c:pt>
                <c:pt idx="514">
                  <c:v>7.0044077793293734E-3</c:v>
                </c:pt>
                <c:pt idx="515">
                  <c:v>6.7910386740591055E-3</c:v>
                </c:pt>
                <c:pt idx="516">
                  <c:v>6.6923858751900735E-3</c:v>
                </c:pt>
                <c:pt idx="517">
                  <c:v>6.430893726194039E-3</c:v>
                </c:pt>
                <c:pt idx="518">
                  <c:v>6.1834812382913652E-3</c:v>
                </c:pt>
                <c:pt idx="519">
                  <c:v>6.2991609687711864E-3</c:v>
                </c:pt>
                <c:pt idx="520">
                  <c:v>6.1094948296558857E-3</c:v>
                </c:pt>
                <c:pt idx="521">
                  <c:v>6.2009412840214485E-3</c:v>
                </c:pt>
                <c:pt idx="522">
                  <c:v>6.1584181997739202E-3</c:v>
                </c:pt>
                <c:pt idx="523">
                  <c:v>6.0263989127091744E-3</c:v>
                </c:pt>
                <c:pt idx="524">
                  <c:v>6.9052387920633491E-3</c:v>
                </c:pt>
                <c:pt idx="525">
                  <c:v>7.8549350826229956E-3</c:v>
                </c:pt>
                <c:pt idx="526">
                  <c:v>8.3357353284308801E-3</c:v>
                </c:pt>
                <c:pt idx="527">
                  <c:v>7.8315976622457279E-3</c:v>
                </c:pt>
                <c:pt idx="528">
                  <c:v>7.4198957004838403E-3</c:v>
                </c:pt>
                <c:pt idx="529">
                  <c:v>7.3337816032236734E-3</c:v>
                </c:pt>
                <c:pt idx="530">
                  <c:v>6.9622516208072372E-3</c:v>
                </c:pt>
                <c:pt idx="531">
                  <c:v>6.664376951390074E-3</c:v>
                </c:pt>
                <c:pt idx="532">
                  <c:v>6.3866564119509908E-3</c:v>
                </c:pt>
                <c:pt idx="533">
                  <c:v>6.1510420591200064E-3</c:v>
                </c:pt>
                <c:pt idx="534">
                  <c:v>5.9579749669937069E-3</c:v>
                </c:pt>
                <c:pt idx="535">
                  <c:v>6.3783902435091576E-3</c:v>
                </c:pt>
                <c:pt idx="536">
                  <c:v>7.6698396346545289E-3</c:v>
                </c:pt>
                <c:pt idx="537">
                  <c:v>7.614590213121275E-3</c:v>
                </c:pt>
                <c:pt idx="538">
                  <c:v>7.8877602304013323E-3</c:v>
                </c:pt>
                <c:pt idx="539">
                  <c:v>1.0083514741899618E-2</c:v>
                </c:pt>
                <c:pt idx="540">
                  <c:v>9.6289761747623166E-3</c:v>
                </c:pt>
                <c:pt idx="541">
                  <c:v>1.0101437180686771E-2</c:v>
                </c:pt>
                <c:pt idx="542">
                  <c:v>9.3851231181217524E-3</c:v>
                </c:pt>
                <c:pt idx="543">
                  <c:v>8.7902247483169008E-3</c:v>
                </c:pt>
                <c:pt idx="544">
                  <c:v>8.3991191083092401E-3</c:v>
                </c:pt>
                <c:pt idx="545">
                  <c:v>8.6291955820067302E-3</c:v>
                </c:pt>
                <c:pt idx="546">
                  <c:v>8.0952792709556628E-3</c:v>
                </c:pt>
                <c:pt idx="547">
                  <c:v>7.6486109391410238E-3</c:v>
                </c:pt>
                <c:pt idx="548">
                  <c:v>7.4163712859414551E-3</c:v>
                </c:pt>
                <c:pt idx="549">
                  <c:v>7.1308965393687539E-3</c:v>
                </c:pt>
                <c:pt idx="550">
                  <c:v>6.8412794126140259E-3</c:v>
                </c:pt>
                <c:pt idx="551">
                  <c:v>6.552427527332691E-3</c:v>
                </c:pt>
                <c:pt idx="552">
                  <c:v>6.615551752733359E-3</c:v>
                </c:pt>
                <c:pt idx="553">
                  <c:v>6.3691699449234243E-3</c:v>
                </c:pt>
                <c:pt idx="554">
                  <c:v>6.4599706039532483E-3</c:v>
                </c:pt>
                <c:pt idx="555">
                  <c:v>6.2722437538897287E-3</c:v>
                </c:pt>
                <c:pt idx="556">
                  <c:v>6.5291814793811305E-3</c:v>
                </c:pt>
                <c:pt idx="557">
                  <c:v>6.976159583550052E-3</c:v>
                </c:pt>
                <c:pt idx="558">
                  <c:v>7.152841805554231E-3</c:v>
                </c:pt>
                <c:pt idx="559">
                  <c:v>6.9132722906808022E-3</c:v>
                </c:pt>
                <c:pt idx="560">
                  <c:v>7.1884131399701139E-3</c:v>
                </c:pt>
                <c:pt idx="561">
                  <c:v>6.8366328016421498E-3</c:v>
                </c:pt>
                <c:pt idx="562">
                  <c:v>6.6986916495718795E-3</c:v>
                </c:pt>
                <c:pt idx="563">
                  <c:v>6.6216211014971183E-3</c:v>
                </c:pt>
                <c:pt idx="564">
                  <c:v>6.6248003328144931E-3</c:v>
                </c:pt>
                <c:pt idx="565">
                  <c:v>7.4541786337649187E-3</c:v>
                </c:pt>
                <c:pt idx="566">
                  <c:v>7.2178795158448885E-3</c:v>
                </c:pt>
                <c:pt idx="567">
                  <c:v>7.0395052815062954E-3</c:v>
                </c:pt>
                <c:pt idx="568">
                  <c:v>7.0931683627387752E-3</c:v>
                </c:pt>
                <c:pt idx="569">
                  <c:v>6.8757731977438907E-3</c:v>
                </c:pt>
                <c:pt idx="570">
                  <c:v>7.9377476102499341E-3</c:v>
                </c:pt>
                <c:pt idx="571">
                  <c:v>7.5954083994716551E-3</c:v>
                </c:pt>
                <c:pt idx="572">
                  <c:v>7.2608551283406906E-3</c:v>
                </c:pt>
                <c:pt idx="573">
                  <c:v>1.0991307062619237E-2</c:v>
                </c:pt>
                <c:pt idx="574">
                  <c:v>1.1434685423691577E-2</c:v>
                </c:pt>
                <c:pt idx="575">
                  <c:v>1.1822822495462567E-2</c:v>
                </c:pt>
                <c:pt idx="576">
                  <c:v>1.1182610689896002E-2</c:v>
                </c:pt>
                <c:pt idx="577">
                  <c:v>1.0833895464692326E-2</c:v>
                </c:pt>
                <c:pt idx="578">
                  <c:v>1.0172732339258566E-2</c:v>
                </c:pt>
                <c:pt idx="579">
                  <c:v>1.0185495330353253E-2</c:v>
                </c:pt>
                <c:pt idx="580">
                  <c:v>9.4539409461919591E-3</c:v>
                </c:pt>
                <c:pt idx="581">
                  <c:v>8.933079862328169E-3</c:v>
                </c:pt>
                <c:pt idx="582">
                  <c:v>8.3791572129216577E-3</c:v>
                </c:pt>
                <c:pt idx="583">
                  <c:v>8.2973315556373797E-3</c:v>
                </c:pt>
                <c:pt idx="584">
                  <c:v>7.8489033194977069E-3</c:v>
                </c:pt>
                <c:pt idx="585">
                  <c:v>8.1671159912572993E-3</c:v>
                </c:pt>
                <c:pt idx="586">
                  <c:v>8.4208882557759365E-3</c:v>
                </c:pt>
                <c:pt idx="587">
                  <c:v>8.7957998262807348E-3</c:v>
                </c:pt>
                <c:pt idx="588">
                  <c:v>8.2611646430501128E-3</c:v>
                </c:pt>
                <c:pt idx="589">
                  <c:v>7.998222174373992E-3</c:v>
                </c:pt>
                <c:pt idx="590">
                  <c:v>7.6869525779191808E-3</c:v>
                </c:pt>
                <c:pt idx="591">
                  <c:v>7.3907687571411309E-3</c:v>
                </c:pt>
                <c:pt idx="592">
                  <c:v>7.1857245979977218E-3</c:v>
                </c:pt>
                <c:pt idx="593">
                  <c:v>6.8308944586184537E-3</c:v>
                </c:pt>
                <c:pt idx="594">
                  <c:v>7.5101950474069836E-3</c:v>
                </c:pt>
                <c:pt idx="595">
                  <c:v>7.3553322158652163E-3</c:v>
                </c:pt>
                <c:pt idx="596">
                  <c:v>7.2184189582525935E-3</c:v>
                </c:pt>
                <c:pt idx="597">
                  <c:v>7.8292702999654112E-3</c:v>
                </c:pt>
                <c:pt idx="598">
                  <c:v>7.3925531320439015E-3</c:v>
                </c:pt>
                <c:pt idx="599">
                  <c:v>7.0380706608169511E-3</c:v>
                </c:pt>
                <c:pt idx="600">
                  <c:v>7.3692785599463028E-3</c:v>
                </c:pt>
                <c:pt idx="601">
                  <c:v>7.0720894996170553E-3</c:v>
                </c:pt>
                <c:pt idx="602">
                  <c:v>6.736024077744842E-3</c:v>
                </c:pt>
                <c:pt idx="603">
                  <c:v>6.8520703249167923E-3</c:v>
                </c:pt>
                <c:pt idx="604">
                  <c:v>7.0434574378929532E-3</c:v>
                </c:pt>
                <c:pt idx="605">
                  <c:v>6.8427260121960883E-3</c:v>
                </c:pt>
                <c:pt idx="606">
                  <c:v>8.4200986509534673E-3</c:v>
                </c:pt>
                <c:pt idx="607">
                  <c:v>8.1978819910564354E-3</c:v>
                </c:pt>
                <c:pt idx="608">
                  <c:v>7.9730013609880003E-3</c:v>
                </c:pt>
                <c:pt idx="609">
                  <c:v>9.0868924227862583E-3</c:v>
                </c:pt>
                <c:pt idx="610">
                  <c:v>9.0399673819437799E-3</c:v>
                </c:pt>
                <c:pt idx="611">
                  <c:v>9.663564493854573E-3</c:v>
                </c:pt>
                <c:pt idx="612">
                  <c:v>8.9944986233362681E-3</c:v>
                </c:pt>
                <c:pt idx="613">
                  <c:v>9.2078782633893564E-3</c:v>
                </c:pt>
                <c:pt idx="614">
                  <c:v>9.1335551398614798E-3</c:v>
                </c:pt>
                <c:pt idx="615">
                  <c:v>1.0096912512902375E-2</c:v>
                </c:pt>
                <c:pt idx="616">
                  <c:v>9.6245527080371495E-3</c:v>
                </c:pt>
                <c:pt idx="617">
                  <c:v>9.3798008013118127E-3</c:v>
                </c:pt>
                <c:pt idx="618">
                  <c:v>9.199399854477151E-3</c:v>
                </c:pt>
                <c:pt idx="619">
                  <c:v>1.0005500053633329E-2</c:v>
                </c:pt>
                <c:pt idx="620">
                  <c:v>1.3170331272861387E-2</c:v>
                </c:pt>
                <c:pt idx="621">
                  <c:v>1.2144467356034477E-2</c:v>
                </c:pt>
                <c:pt idx="622">
                  <c:v>1.2062254744171197E-2</c:v>
                </c:pt>
                <c:pt idx="623">
                  <c:v>1.1650285471932306E-2</c:v>
                </c:pt>
                <c:pt idx="624">
                  <c:v>1.1311917153261256E-2</c:v>
                </c:pt>
                <c:pt idx="625">
                  <c:v>1.0696317854905209E-2</c:v>
                </c:pt>
                <c:pt idx="626">
                  <c:v>1.0031395665767905E-2</c:v>
                </c:pt>
                <c:pt idx="627">
                  <c:v>9.5270486229260994E-3</c:v>
                </c:pt>
                <c:pt idx="628">
                  <c:v>8.8756650249609634E-3</c:v>
                </c:pt>
                <c:pt idx="629">
                  <c:v>8.3067942727487187E-3</c:v>
                </c:pt>
                <c:pt idx="630">
                  <c:v>8.653280473922954E-3</c:v>
                </c:pt>
                <c:pt idx="631">
                  <c:v>8.3329723222103479E-3</c:v>
                </c:pt>
                <c:pt idx="632">
                  <c:v>8.2642305618370656E-3</c:v>
                </c:pt>
                <c:pt idx="633">
                  <c:v>7.7668834680998406E-3</c:v>
                </c:pt>
                <c:pt idx="634">
                  <c:v>8.8533752383392339E-3</c:v>
                </c:pt>
                <c:pt idx="635">
                  <c:v>8.3591677688937445E-3</c:v>
                </c:pt>
                <c:pt idx="636">
                  <c:v>7.8657393883464818E-3</c:v>
                </c:pt>
                <c:pt idx="637">
                  <c:v>7.5448413908959459E-3</c:v>
                </c:pt>
                <c:pt idx="638">
                  <c:v>7.2137837954163054E-3</c:v>
                </c:pt>
                <c:pt idx="639">
                  <c:v>7.1001727643476304E-3</c:v>
                </c:pt>
                <c:pt idx="640">
                  <c:v>6.7830843751574615E-3</c:v>
                </c:pt>
                <c:pt idx="641">
                  <c:v>6.5276408937491202E-3</c:v>
                </c:pt>
                <c:pt idx="642">
                  <c:v>6.3031284240824626E-3</c:v>
                </c:pt>
                <c:pt idx="643">
                  <c:v>6.2354192400832448E-3</c:v>
                </c:pt>
                <c:pt idx="644">
                  <c:v>6.0901933683792783E-3</c:v>
                </c:pt>
                <c:pt idx="645">
                  <c:v>5.9018234155480929E-3</c:v>
                </c:pt>
                <c:pt idx="646">
                  <c:v>5.8981376480748077E-3</c:v>
                </c:pt>
                <c:pt idx="647">
                  <c:v>5.7332426118163176E-3</c:v>
                </c:pt>
                <c:pt idx="648">
                  <c:v>5.5929799073753794E-3</c:v>
                </c:pt>
                <c:pt idx="649">
                  <c:v>7.145218596969264E-3</c:v>
                </c:pt>
                <c:pt idx="650">
                  <c:v>6.8227277857271377E-3</c:v>
                </c:pt>
                <c:pt idx="651">
                  <c:v>6.5414156805847726E-3</c:v>
                </c:pt>
                <c:pt idx="652">
                  <c:v>6.6242813644968278E-3</c:v>
                </c:pt>
                <c:pt idx="653">
                  <c:v>6.5021709300881149E-3</c:v>
                </c:pt>
                <c:pt idx="654">
                  <c:v>6.405617160654989E-3</c:v>
                </c:pt>
                <c:pt idx="655">
                  <c:v>6.3012086902108381E-3</c:v>
                </c:pt>
                <c:pt idx="656">
                  <c:v>6.0878977065636298E-3</c:v>
                </c:pt>
                <c:pt idx="657">
                  <c:v>5.9798395696649591E-3</c:v>
                </c:pt>
                <c:pt idx="658">
                  <c:v>6.1075470560143404E-3</c:v>
                </c:pt>
                <c:pt idx="659">
                  <c:v>7.9367406055468204E-3</c:v>
                </c:pt>
                <c:pt idx="660">
                  <c:v>7.5800834401423371E-3</c:v>
                </c:pt>
                <c:pt idx="661">
                  <c:v>7.4957851942453468E-3</c:v>
                </c:pt>
                <c:pt idx="662">
                  <c:v>7.2364684803387525E-3</c:v>
                </c:pt>
                <c:pt idx="663">
                  <c:v>7.1986344314632069E-3</c:v>
                </c:pt>
                <c:pt idx="664">
                  <c:v>7.5371876668344539E-3</c:v>
                </c:pt>
                <c:pt idx="665">
                  <c:v>7.2806915641297912E-3</c:v>
                </c:pt>
                <c:pt idx="666">
                  <c:v>7.0718196926291442E-3</c:v>
                </c:pt>
                <c:pt idx="667">
                  <c:v>8.948590630544314E-3</c:v>
                </c:pt>
                <c:pt idx="668">
                  <c:v>8.426032559192026E-3</c:v>
                </c:pt>
                <c:pt idx="669">
                  <c:v>7.9407686930034176E-3</c:v>
                </c:pt>
                <c:pt idx="670">
                  <c:v>7.5759451464732933E-3</c:v>
                </c:pt>
                <c:pt idx="671">
                  <c:v>7.3298203510141586E-3</c:v>
                </c:pt>
                <c:pt idx="672">
                  <c:v>7.5660142344510265E-3</c:v>
                </c:pt>
                <c:pt idx="673">
                  <c:v>7.173418474625784E-3</c:v>
                </c:pt>
                <c:pt idx="674">
                  <c:v>6.8202946892002448E-3</c:v>
                </c:pt>
                <c:pt idx="675">
                  <c:v>7.4754706087659037E-3</c:v>
                </c:pt>
                <c:pt idx="676">
                  <c:v>7.5771045076323887E-3</c:v>
                </c:pt>
                <c:pt idx="677">
                  <c:v>7.2565590797602931E-3</c:v>
                </c:pt>
                <c:pt idx="678">
                  <c:v>7.0039635351647244E-3</c:v>
                </c:pt>
                <c:pt idx="679">
                  <c:v>6.7486349676211168E-3</c:v>
                </c:pt>
                <c:pt idx="680">
                  <c:v>6.7854160774645849E-3</c:v>
                </c:pt>
                <c:pt idx="681">
                  <c:v>6.6693523815796081E-3</c:v>
                </c:pt>
                <c:pt idx="682">
                  <c:v>7.7896483449858616E-3</c:v>
                </c:pt>
                <c:pt idx="683">
                  <c:v>7.3848698008937771E-3</c:v>
                </c:pt>
                <c:pt idx="684">
                  <c:v>7.4939311301801962E-3</c:v>
                </c:pt>
                <c:pt idx="685">
                  <c:v>7.3079916822715984E-3</c:v>
                </c:pt>
                <c:pt idx="686">
                  <c:v>7.0022359734499802E-3</c:v>
                </c:pt>
                <c:pt idx="687">
                  <c:v>6.7489300011196827E-3</c:v>
                </c:pt>
                <c:pt idx="688">
                  <c:v>6.5813634486071512E-3</c:v>
                </c:pt>
                <c:pt idx="689">
                  <c:v>6.488589704532673E-3</c:v>
                </c:pt>
                <c:pt idx="690">
                  <c:v>6.6188826890923209E-3</c:v>
                </c:pt>
                <c:pt idx="691">
                  <c:v>6.9899682748536295E-3</c:v>
                </c:pt>
                <c:pt idx="692">
                  <c:v>6.6668189760436449E-3</c:v>
                </c:pt>
                <c:pt idx="693">
                  <c:v>7.1978942672357793E-3</c:v>
                </c:pt>
                <c:pt idx="694">
                  <c:v>7.3149337893784801E-3</c:v>
                </c:pt>
                <c:pt idx="695">
                  <c:v>7.6223659718447538E-3</c:v>
                </c:pt>
                <c:pt idx="696">
                  <c:v>8.5356239382400351E-3</c:v>
                </c:pt>
                <c:pt idx="697">
                  <c:v>8.0063815539535167E-3</c:v>
                </c:pt>
                <c:pt idx="698">
                  <c:v>1.0962244491459319E-2</c:v>
                </c:pt>
                <c:pt idx="699">
                  <c:v>1.0400563910416395E-2</c:v>
                </c:pt>
                <c:pt idx="700">
                  <c:v>9.7596265149391282E-3</c:v>
                </c:pt>
                <c:pt idx="701">
                  <c:v>9.4463557140445353E-3</c:v>
                </c:pt>
                <c:pt idx="702">
                  <c:v>1.0152594715653504E-2</c:v>
                </c:pt>
                <c:pt idx="703">
                  <c:v>9.7447023394263508E-3</c:v>
                </c:pt>
                <c:pt idx="704">
                  <c:v>9.3785746111702886E-3</c:v>
                </c:pt>
                <c:pt idx="705">
                  <c:v>8.7428407155776856E-3</c:v>
                </c:pt>
                <c:pt idx="706">
                  <c:v>8.4518816803135707E-3</c:v>
                </c:pt>
                <c:pt idx="707">
                  <c:v>8.1200294871696926E-3</c:v>
                </c:pt>
                <c:pt idx="708">
                  <c:v>7.7342886895280022E-3</c:v>
                </c:pt>
                <c:pt idx="709">
                  <c:v>7.4819568053990258E-3</c:v>
                </c:pt>
                <c:pt idx="710">
                  <c:v>7.1036809966013399E-3</c:v>
                </c:pt>
                <c:pt idx="711">
                  <c:v>7.0645711068696489E-3</c:v>
                </c:pt>
                <c:pt idx="712">
                  <c:v>6.9633251083130064E-3</c:v>
                </c:pt>
                <c:pt idx="713">
                  <c:v>6.7889258881050438E-3</c:v>
                </c:pt>
                <c:pt idx="714">
                  <c:v>6.5769317112774851E-3</c:v>
                </c:pt>
                <c:pt idx="715">
                  <c:v>6.4433355487168815E-3</c:v>
                </c:pt>
                <c:pt idx="716">
                  <c:v>6.2799605235221755E-3</c:v>
                </c:pt>
                <c:pt idx="717">
                  <c:v>6.2547142934531652E-3</c:v>
                </c:pt>
                <c:pt idx="718">
                  <c:v>7.7654444905449907E-3</c:v>
                </c:pt>
                <c:pt idx="719">
                  <c:v>8.8266305563137817E-3</c:v>
                </c:pt>
                <c:pt idx="720">
                  <c:v>8.2625714432135663E-3</c:v>
                </c:pt>
                <c:pt idx="721">
                  <c:v>7.8142063336463872E-3</c:v>
                </c:pt>
                <c:pt idx="722">
                  <c:v>7.9505128475184511E-3</c:v>
                </c:pt>
                <c:pt idx="723">
                  <c:v>7.7013164032736451E-3</c:v>
                </c:pt>
                <c:pt idx="724">
                  <c:v>7.4405449134434427E-3</c:v>
                </c:pt>
                <c:pt idx="725">
                  <c:v>7.1818506263836204E-3</c:v>
                </c:pt>
                <c:pt idx="726">
                  <c:v>6.8689734175960996E-3</c:v>
                </c:pt>
                <c:pt idx="727">
                  <c:v>6.6941629915539562E-3</c:v>
                </c:pt>
                <c:pt idx="728">
                  <c:v>7.0684025963109179E-3</c:v>
                </c:pt>
                <c:pt idx="729">
                  <c:v>6.972378848411653E-3</c:v>
                </c:pt>
                <c:pt idx="730">
                  <c:v>6.6634573692076135E-3</c:v>
                </c:pt>
                <c:pt idx="731">
                  <c:v>6.3823814510293089E-3</c:v>
                </c:pt>
                <c:pt idx="732">
                  <c:v>6.2098223877948798E-3</c:v>
                </c:pt>
                <c:pt idx="733">
                  <c:v>6.002377294935966E-3</c:v>
                </c:pt>
                <c:pt idx="734">
                  <c:v>5.905422577845508E-3</c:v>
                </c:pt>
                <c:pt idx="735">
                  <c:v>5.8574287395770433E-3</c:v>
                </c:pt>
                <c:pt idx="736">
                  <c:v>5.7174918189379165E-3</c:v>
                </c:pt>
                <c:pt idx="737">
                  <c:v>5.804980203797246E-3</c:v>
                </c:pt>
                <c:pt idx="738">
                  <c:v>6.9932352714001155E-3</c:v>
                </c:pt>
                <c:pt idx="739">
                  <c:v>6.698569530201556E-3</c:v>
                </c:pt>
                <c:pt idx="740">
                  <c:v>6.5186464888374145E-3</c:v>
                </c:pt>
                <c:pt idx="741">
                  <c:v>7.5329894692218388E-3</c:v>
                </c:pt>
                <c:pt idx="742">
                  <c:v>7.2654981229555498E-3</c:v>
                </c:pt>
                <c:pt idx="743">
                  <c:v>6.8998025934856773E-3</c:v>
                </c:pt>
                <c:pt idx="744">
                  <c:v>6.98182635358475E-3</c:v>
                </c:pt>
                <c:pt idx="745">
                  <c:v>6.752917101199526E-3</c:v>
                </c:pt>
                <c:pt idx="746">
                  <c:v>8.8719084111023513E-3</c:v>
                </c:pt>
                <c:pt idx="747">
                  <c:v>8.3007093574951358E-3</c:v>
                </c:pt>
                <c:pt idx="748">
                  <c:v>7.9969616451147519E-3</c:v>
                </c:pt>
                <c:pt idx="749">
                  <c:v>7.7830027158284276E-3</c:v>
                </c:pt>
                <c:pt idx="750">
                  <c:v>7.4256377694544434E-3</c:v>
                </c:pt>
                <c:pt idx="751">
                  <c:v>7.2509353097499592E-3</c:v>
                </c:pt>
                <c:pt idx="752">
                  <c:v>6.8882485745575131E-3</c:v>
                </c:pt>
              </c:numCache>
            </c:numRef>
          </c:yVal>
          <c:smooth val="0"/>
        </c:ser>
        <c:ser>
          <c:idx val="1"/>
          <c:order val="1"/>
          <c:tx>
            <c:v>EWMA Predicted Volatility</c:v>
          </c:tx>
          <c:spPr>
            <a:ln w="12700">
              <a:solidFill>
                <a:srgbClr val="FF0000"/>
              </a:solidFill>
              <a:prstDash val="solid"/>
            </a:ln>
          </c:spPr>
          <c:marker>
            <c:symbol val="none"/>
          </c:marker>
          <c:xVal>
            <c:numRef>
              <c:f>Volatility!$B$5:$B$757</c:f>
              <c:numCache>
                <c:formatCode>yyyy\-mm\-dd</c:formatCode>
                <c:ptCount val="753"/>
                <c:pt idx="0">
                  <c:v>40546</c:v>
                </c:pt>
                <c:pt idx="1">
                  <c:v>40547</c:v>
                </c:pt>
                <c:pt idx="2">
                  <c:v>40548</c:v>
                </c:pt>
                <c:pt idx="3">
                  <c:v>40549</c:v>
                </c:pt>
                <c:pt idx="4">
                  <c:v>40550</c:v>
                </c:pt>
                <c:pt idx="5">
                  <c:v>40553</c:v>
                </c:pt>
                <c:pt idx="6">
                  <c:v>40554</c:v>
                </c:pt>
                <c:pt idx="7">
                  <c:v>40555</c:v>
                </c:pt>
                <c:pt idx="8">
                  <c:v>40556</c:v>
                </c:pt>
                <c:pt idx="9">
                  <c:v>40557</c:v>
                </c:pt>
                <c:pt idx="10">
                  <c:v>40561</c:v>
                </c:pt>
                <c:pt idx="11">
                  <c:v>40562</c:v>
                </c:pt>
                <c:pt idx="12">
                  <c:v>40563</c:v>
                </c:pt>
                <c:pt idx="13">
                  <c:v>40564</c:v>
                </c:pt>
                <c:pt idx="14">
                  <c:v>40567</c:v>
                </c:pt>
                <c:pt idx="15">
                  <c:v>40568</c:v>
                </c:pt>
                <c:pt idx="16">
                  <c:v>40569</c:v>
                </c:pt>
                <c:pt idx="17">
                  <c:v>40570</c:v>
                </c:pt>
                <c:pt idx="18">
                  <c:v>40571</c:v>
                </c:pt>
                <c:pt idx="19">
                  <c:v>40574</c:v>
                </c:pt>
                <c:pt idx="20">
                  <c:v>40575</c:v>
                </c:pt>
                <c:pt idx="21">
                  <c:v>40576</c:v>
                </c:pt>
                <c:pt idx="22">
                  <c:v>40577</c:v>
                </c:pt>
                <c:pt idx="23">
                  <c:v>40578</c:v>
                </c:pt>
                <c:pt idx="24">
                  <c:v>40581</c:v>
                </c:pt>
                <c:pt idx="25">
                  <c:v>40582</c:v>
                </c:pt>
                <c:pt idx="26">
                  <c:v>40583</c:v>
                </c:pt>
                <c:pt idx="27">
                  <c:v>40584</c:v>
                </c:pt>
                <c:pt idx="28">
                  <c:v>40585</c:v>
                </c:pt>
                <c:pt idx="29">
                  <c:v>40588</c:v>
                </c:pt>
                <c:pt idx="30">
                  <c:v>40589</c:v>
                </c:pt>
                <c:pt idx="31">
                  <c:v>40590</c:v>
                </c:pt>
                <c:pt idx="32">
                  <c:v>40591</c:v>
                </c:pt>
                <c:pt idx="33">
                  <c:v>40592</c:v>
                </c:pt>
                <c:pt idx="34">
                  <c:v>40596</c:v>
                </c:pt>
                <c:pt idx="35">
                  <c:v>40597</c:v>
                </c:pt>
                <c:pt idx="36">
                  <c:v>40598</c:v>
                </c:pt>
                <c:pt idx="37">
                  <c:v>40599</c:v>
                </c:pt>
                <c:pt idx="38">
                  <c:v>40602</c:v>
                </c:pt>
                <c:pt idx="39">
                  <c:v>40603</c:v>
                </c:pt>
                <c:pt idx="40">
                  <c:v>40604</c:v>
                </c:pt>
                <c:pt idx="41">
                  <c:v>40605</c:v>
                </c:pt>
                <c:pt idx="42">
                  <c:v>40606</c:v>
                </c:pt>
                <c:pt idx="43">
                  <c:v>40609</c:v>
                </c:pt>
                <c:pt idx="44">
                  <c:v>40610</c:v>
                </c:pt>
                <c:pt idx="45">
                  <c:v>40611</c:v>
                </c:pt>
                <c:pt idx="46">
                  <c:v>40612</c:v>
                </c:pt>
                <c:pt idx="47">
                  <c:v>40613</c:v>
                </c:pt>
                <c:pt idx="48">
                  <c:v>40616</c:v>
                </c:pt>
                <c:pt idx="49">
                  <c:v>40617</c:v>
                </c:pt>
                <c:pt idx="50">
                  <c:v>40618</c:v>
                </c:pt>
                <c:pt idx="51">
                  <c:v>40619</c:v>
                </c:pt>
                <c:pt idx="52">
                  <c:v>40620</c:v>
                </c:pt>
                <c:pt idx="53">
                  <c:v>40623</c:v>
                </c:pt>
                <c:pt idx="54">
                  <c:v>40624</c:v>
                </c:pt>
                <c:pt idx="55">
                  <c:v>40625</c:v>
                </c:pt>
                <c:pt idx="56">
                  <c:v>40626</c:v>
                </c:pt>
                <c:pt idx="57">
                  <c:v>40627</c:v>
                </c:pt>
                <c:pt idx="58">
                  <c:v>40630</c:v>
                </c:pt>
                <c:pt idx="59">
                  <c:v>40631</c:v>
                </c:pt>
                <c:pt idx="60">
                  <c:v>40632</c:v>
                </c:pt>
                <c:pt idx="61">
                  <c:v>40633</c:v>
                </c:pt>
                <c:pt idx="62">
                  <c:v>40634</c:v>
                </c:pt>
                <c:pt idx="63">
                  <c:v>40637</c:v>
                </c:pt>
                <c:pt idx="64">
                  <c:v>40638</c:v>
                </c:pt>
                <c:pt idx="65">
                  <c:v>40639</c:v>
                </c:pt>
                <c:pt idx="66">
                  <c:v>40640</c:v>
                </c:pt>
                <c:pt idx="67">
                  <c:v>40641</c:v>
                </c:pt>
                <c:pt idx="68">
                  <c:v>40644</c:v>
                </c:pt>
                <c:pt idx="69">
                  <c:v>40645</c:v>
                </c:pt>
                <c:pt idx="70">
                  <c:v>40646</c:v>
                </c:pt>
                <c:pt idx="71">
                  <c:v>40647</c:v>
                </c:pt>
                <c:pt idx="72">
                  <c:v>40648</c:v>
                </c:pt>
                <c:pt idx="73">
                  <c:v>40651</c:v>
                </c:pt>
                <c:pt idx="74">
                  <c:v>40652</c:v>
                </c:pt>
                <c:pt idx="75">
                  <c:v>40653</c:v>
                </c:pt>
                <c:pt idx="76">
                  <c:v>40654</c:v>
                </c:pt>
                <c:pt idx="77">
                  <c:v>40658</c:v>
                </c:pt>
                <c:pt idx="78">
                  <c:v>40659</c:v>
                </c:pt>
                <c:pt idx="79">
                  <c:v>40660</c:v>
                </c:pt>
                <c:pt idx="80">
                  <c:v>40661</c:v>
                </c:pt>
                <c:pt idx="81">
                  <c:v>40662</c:v>
                </c:pt>
                <c:pt idx="82">
                  <c:v>40665</c:v>
                </c:pt>
                <c:pt idx="83">
                  <c:v>40666</c:v>
                </c:pt>
                <c:pt idx="84">
                  <c:v>40667</c:v>
                </c:pt>
                <c:pt idx="85">
                  <c:v>40668</c:v>
                </c:pt>
                <c:pt idx="86">
                  <c:v>40669</c:v>
                </c:pt>
                <c:pt idx="87">
                  <c:v>40672</c:v>
                </c:pt>
                <c:pt idx="88">
                  <c:v>40673</c:v>
                </c:pt>
                <c:pt idx="89">
                  <c:v>40674</c:v>
                </c:pt>
                <c:pt idx="90">
                  <c:v>40675</c:v>
                </c:pt>
                <c:pt idx="91">
                  <c:v>40676</c:v>
                </c:pt>
                <c:pt idx="92">
                  <c:v>40679</c:v>
                </c:pt>
                <c:pt idx="93">
                  <c:v>40680</c:v>
                </c:pt>
                <c:pt idx="94">
                  <c:v>40681</c:v>
                </c:pt>
                <c:pt idx="95">
                  <c:v>40682</c:v>
                </c:pt>
                <c:pt idx="96">
                  <c:v>40683</c:v>
                </c:pt>
                <c:pt idx="97">
                  <c:v>40686</c:v>
                </c:pt>
                <c:pt idx="98">
                  <c:v>40687</c:v>
                </c:pt>
                <c:pt idx="99">
                  <c:v>40688</c:v>
                </c:pt>
                <c:pt idx="100">
                  <c:v>40689</c:v>
                </c:pt>
                <c:pt idx="101">
                  <c:v>40690</c:v>
                </c:pt>
                <c:pt idx="102">
                  <c:v>40694</c:v>
                </c:pt>
                <c:pt idx="103">
                  <c:v>40695</c:v>
                </c:pt>
                <c:pt idx="104">
                  <c:v>40696</c:v>
                </c:pt>
                <c:pt idx="105">
                  <c:v>40697</c:v>
                </c:pt>
                <c:pt idx="106">
                  <c:v>40700</c:v>
                </c:pt>
                <c:pt idx="107">
                  <c:v>40701</c:v>
                </c:pt>
                <c:pt idx="108">
                  <c:v>40702</c:v>
                </c:pt>
                <c:pt idx="109">
                  <c:v>40703</c:v>
                </c:pt>
                <c:pt idx="110">
                  <c:v>40704</c:v>
                </c:pt>
                <c:pt idx="111">
                  <c:v>40707</c:v>
                </c:pt>
                <c:pt idx="112">
                  <c:v>40708</c:v>
                </c:pt>
                <c:pt idx="113">
                  <c:v>40709</c:v>
                </c:pt>
                <c:pt idx="114">
                  <c:v>40710</c:v>
                </c:pt>
                <c:pt idx="115">
                  <c:v>40711</c:v>
                </c:pt>
                <c:pt idx="116">
                  <c:v>40714</c:v>
                </c:pt>
                <c:pt idx="117">
                  <c:v>40715</c:v>
                </c:pt>
                <c:pt idx="118">
                  <c:v>40716</c:v>
                </c:pt>
                <c:pt idx="119">
                  <c:v>40717</c:v>
                </c:pt>
                <c:pt idx="120">
                  <c:v>40718</c:v>
                </c:pt>
                <c:pt idx="121">
                  <c:v>40721</c:v>
                </c:pt>
                <c:pt idx="122">
                  <c:v>40722</c:v>
                </c:pt>
                <c:pt idx="123">
                  <c:v>40723</c:v>
                </c:pt>
                <c:pt idx="124">
                  <c:v>40724</c:v>
                </c:pt>
                <c:pt idx="125">
                  <c:v>40725</c:v>
                </c:pt>
                <c:pt idx="126">
                  <c:v>40729</c:v>
                </c:pt>
                <c:pt idx="127">
                  <c:v>40730</c:v>
                </c:pt>
                <c:pt idx="128">
                  <c:v>40731</c:v>
                </c:pt>
                <c:pt idx="129">
                  <c:v>40732</c:v>
                </c:pt>
                <c:pt idx="130">
                  <c:v>40735</c:v>
                </c:pt>
                <c:pt idx="131">
                  <c:v>40736</c:v>
                </c:pt>
                <c:pt idx="132">
                  <c:v>40737</c:v>
                </c:pt>
                <c:pt idx="133">
                  <c:v>40738</c:v>
                </c:pt>
                <c:pt idx="134">
                  <c:v>40739</c:v>
                </c:pt>
                <c:pt idx="135">
                  <c:v>40742</c:v>
                </c:pt>
                <c:pt idx="136">
                  <c:v>40743</c:v>
                </c:pt>
                <c:pt idx="137">
                  <c:v>40744</c:v>
                </c:pt>
                <c:pt idx="138">
                  <c:v>40745</c:v>
                </c:pt>
                <c:pt idx="139">
                  <c:v>40746</c:v>
                </c:pt>
                <c:pt idx="140">
                  <c:v>40749</c:v>
                </c:pt>
                <c:pt idx="141">
                  <c:v>40750</c:v>
                </c:pt>
                <c:pt idx="142">
                  <c:v>40751</c:v>
                </c:pt>
                <c:pt idx="143">
                  <c:v>40752</c:v>
                </c:pt>
                <c:pt idx="144">
                  <c:v>40753</c:v>
                </c:pt>
                <c:pt idx="145">
                  <c:v>40756</c:v>
                </c:pt>
                <c:pt idx="146">
                  <c:v>40757</c:v>
                </c:pt>
                <c:pt idx="147">
                  <c:v>40758</c:v>
                </c:pt>
                <c:pt idx="148">
                  <c:v>40759</c:v>
                </c:pt>
                <c:pt idx="149">
                  <c:v>40760</c:v>
                </c:pt>
                <c:pt idx="150">
                  <c:v>40763</c:v>
                </c:pt>
                <c:pt idx="151">
                  <c:v>40764</c:v>
                </c:pt>
                <c:pt idx="152">
                  <c:v>40765</c:v>
                </c:pt>
                <c:pt idx="153">
                  <c:v>40766</c:v>
                </c:pt>
                <c:pt idx="154">
                  <c:v>40767</c:v>
                </c:pt>
                <c:pt idx="155">
                  <c:v>40770</c:v>
                </c:pt>
                <c:pt idx="156">
                  <c:v>40771</c:v>
                </c:pt>
                <c:pt idx="157">
                  <c:v>40772</c:v>
                </c:pt>
                <c:pt idx="158">
                  <c:v>40773</c:v>
                </c:pt>
                <c:pt idx="159">
                  <c:v>40774</c:v>
                </c:pt>
                <c:pt idx="160">
                  <c:v>40777</c:v>
                </c:pt>
                <c:pt idx="161">
                  <c:v>40778</c:v>
                </c:pt>
                <c:pt idx="162">
                  <c:v>40779</c:v>
                </c:pt>
                <c:pt idx="163">
                  <c:v>40780</c:v>
                </c:pt>
                <c:pt idx="164">
                  <c:v>40781</c:v>
                </c:pt>
                <c:pt idx="165">
                  <c:v>40784</c:v>
                </c:pt>
                <c:pt idx="166">
                  <c:v>40785</c:v>
                </c:pt>
                <c:pt idx="167">
                  <c:v>40786</c:v>
                </c:pt>
                <c:pt idx="168">
                  <c:v>40787</c:v>
                </c:pt>
                <c:pt idx="169">
                  <c:v>40788</c:v>
                </c:pt>
                <c:pt idx="170">
                  <c:v>40792</c:v>
                </c:pt>
                <c:pt idx="171">
                  <c:v>40793</c:v>
                </c:pt>
                <c:pt idx="172">
                  <c:v>40794</c:v>
                </c:pt>
                <c:pt idx="173">
                  <c:v>40795</c:v>
                </c:pt>
                <c:pt idx="174">
                  <c:v>40798</c:v>
                </c:pt>
                <c:pt idx="175">
                  <c:v>40799</c:v>
                </c:pt>
                <c:pt idx="176">
                  <c:v>40800</c:v>
                </c:pt>
                <c:pt idx="177">
                  <c:v>40801</c:v>
                </c:pt>
                <c:pt idx="178">
                  <c:v>40802</c:v>
                </c:pt>
                <c:pt idx="179">
                  <c:v>40805</c:v>
                </c:pt>
                <c:pt idx="180">
                  <c:v>40806</c:v>
                </c:pt>
                <c:pt idx="181">
                  <c:v>40807</c:v>
                </c:pt>
                <c:pt idx="182">
                  <c:v>40808</c:v>
                </c:pt>
                <c:pt idx="183">
                  <c:v>40809</c:v>
                </c:pt>
                <c:pt idx="184">
                  <c:v>40812</c:v>
                </c:pt>
                <c:pt idx="185">
                  <c:v>40813</c:v>
                </c:pt>
                <c:pt idx="186">
                  <c:v>40814</c:v>
                </c:pt>
                <c:pt idx="187">
                  <c:v>40815</c:v>
                </c:pt>
                <c:pt idx="188">
                  <c:v>40816</c:v>
                </c:pt>
                <c:pt idx="189">
                  <c:v>40819</c:v>
                </c:pt>
                <c:pt idx="190">
                  <c:v>40820</c:v>
                </c:pt>
                <c:pt idx="191">
                  <c:v>40821</c:v>
                </c:pt>
                <c:pt idx="192">
                  <c:v>40822</c:v>
                </c:pt>
                <c:pt idx="193">
                  <c:v>40823</c:v>
                </c:pt>
                <c:pt idx="194">
                  <c:v>40826</c:v>
                </c:pt>
                <c:pt idx="195">
                  <c:v>40827</c:v>
                </c:pt>
                <c:pt idx="196">
                  <c:v>40828</c:v>
                </c:pt>
                <c:pt idx="197">
                  <c:v>40829</c:v>
                </c:pt>
                <c:pt idx="198">
                  <c:v>40830</c:v>
                </c:pt>
                <c:pt idx="199">
                  <c:v>40833</c:v>
                </c:pt>
                <c:pt idx="200">
                  <c:v>40834</c:v>
                </c:pt>
                <c:pt idx="201">
                  <c:v>40835</c:v>
                </c:pt>
                <c:pt idx="202">
                  <c:v>40836</c:v>
                </c:pt>
                <c:pt idx="203">
                  <c:v>40837</c:v>
                </c:pt>
                <c:pt idx="204">
                  <c:v>40840</c:v>
                </c:pt>
                <c:pt idx="205">
                  <c:v>40841</c:v>
                </c:pt>
                <c:pt idx="206">
                  <c:v>40842</c:v>
                </c:pt>
                <c:pt idx="207">
                  <c:v>40843</c:v>
                </c:pt>
                <c:pt idx="208">
                  <c:v>40844</c:v>
                </c:pt>
                <c:pt idx="209">
                  <c:v>40847</c:v>
                </c:pt>
                <c:pt idx="210">
                  <c:v>40848</c:v>
                </c:pt>
                <c:pt idx="211">
                  <c:v>40849</c:v>
                </c:pt>
                <c:pt idx="212">
                  <c:v>40850</c:v>
                </c:pt>
                <c:pt idx="213">
                  <c:v>40851</c:v>
                </c:pt>
                <c:pt idx="214">
                  <c:v>40854</c:v>
                </c:pt>
                <c:pt idx="215">
                  <c:v>40855</c:v>
                </c:pt>
                <c:pt idx="216">
                  <c:v>40856</c:v>
                </c:pt>
                <c:pt idx="217">
                  <c:v>40857</c:v>
                </c:pt>
                <c:pt idx="218">
                  <c:v>40858</c:v>
                </c:pt>
                <c:pt idx="219">
                  <c:v>40861</c:v>
                </c:pt>
                <c:pt idx="220">
                  <c:v>40862</c:v>
                </c:pt>
                <c:pt idx="221">
                  <c:v>40863</c:v>
                </c:pt>
                <c:pt idx="222">
                  <c:v>40864</c:v>
                </c:pt>
                <c:pt idx="223">
                  <c:v>40865</c:v>
                </c:pt>
                <c:pt idx="224">
                  <c:v>40868</c:v>
                </c:pt>
                <c:pt idx="225">
                  <c:v>40869</c:v>
                </c:pt>
                <c:pt idx="226">
                  <c:v>40870</c:v>
                </c:pt>
                <c:pt idx="227">
                  <c:v>40872</c:v>
                </c:pt>
                <c:pt idx="228">
                  <c:v>40875</c:v>
                </c:pt>
                <c:pt idx="229">
                  <c:v>40876</c:v>
                </c:pt>
                <c:pt idx="230">
                  <c:v>40877</c:v>
                </c:pt>
                <c:pt idx="231">
                  <c:v>40878</c:v>
                </c:pt>
                <c:pt idx="232">
                  <c:v>40879</c:v>
                </c:pt>
                <c:pt idx="233">
                  <c:v>40882</c:v>
                </c:pt>
                <c:pt idx="234">
                  <c:v>40883</c:v>
                </c:pt>
                <c:pt idx="235">
                  <c:v>40884</c:v>
                </c:pt>
                <c:pt idx="236">
                  <c:v>40885</c:v>
                </c:pt>
                <c:pt idx="237">
                  <c:v>40886</c:v>
                </c:pt>
                <c:pt idx="238">
                  <c:v>40889</c:v>
                </c:pt>
                <c:pt idx="239">
                  <c:v>40890</c:v>
                </c:pt>
                <c:pt idx="240">
                  <c:v>40891</c:v>
                </c:pt>
                <c:pt idx="241">
                  <c:v>40892</c:v>
                </c:pt>
                <c:pt idx="242">
                  <c:v>40893</c:v>
                </c:pt>
                <c:pt idx="243">
                  <c:v>40896</c:v>
                </c:pt>
                <c:pt idx="244">
                  <c:v>40897</c:v>
                </c:pt>
                <c:pt idx="245">
                  <c:v>40898</c:v>
                </c:pt>
                <c:pt idx="246">
                  <c:v>40899</c:v>
                </c:pt>
                <c:pt idx="247">
                  <c:v>40900</c:v>
                </c:pt>
                <c:pt idx="248">
                  <c:v>40904</c:v>
                </c:pt>
                <c:pt idx="249">
                  <c:v>40905</c:v>
                </c:pt>
                <c:pt idx="250">
                  <c:v>40906</c:v>
                </c:pt>
                <c:pt idx="251">
                  <c:v>40907</c:v>
                </c:pt>
                <c:pt idx="252">
                  <c:v>40911</c:v>
                </c:pt>
                <c:pt idx="253">
                  <c:v>40912</c:v>
                </c:pt>
                <c:pt idx="254">
                  <c:v>40913</c:v>
                </c:pt>
                <c:pt idx="255">
                  <c:v>40914</c:v>
                </c:pt>
                <c:pt idx="256">
                  <c:v>40917</c:v>
                </c:pt>
                <c:pt idx="257">
                  <c:v>40918</c:v>
                </c:pt>
                <c:pt idx="258">
                  <c:v>40919</c:v>
                </c:pt>
                <c:pt idx="259">
                  <c:v>40920</c:v>
                </c:pt>
                <c:pt idx="260">
                  <c:v>40921</c:v>
                </c:pt>
                <c:pt idx="261">
                  <c:v>40925</c:v>
                </c:pt>
                <c:pt idx="262">
                  <c:v>40926</c:v>
                </c:pt>
                <c:pt idx="263">
                  <c:v>40927</c:v>
                </c:pt>
                <c:pt idx="264">
                  <c:v>40928</c:v>
                </c:pt>
                <c:pt idx="265">
                  <c:v>40931</c:v>
                </c:pt>
                <c:pt idx="266">
                  <c:v>40932</c:v>
                </c:pt>
                <c:pt idx="267">
                  <c:v>40933</c:v>
                </c:pt>
                <c:pt idx="268">
                  <c:v>40934</c:v>
                </c:pt>
                <c:pt idx="269">
                  <c:v>40935</c:v>
                </c:pt>
                <c:pt idx="270">
                  <c:v>40938</c:v>
                </c:pt>
                <c:pt idx="271">
                  <c:v>40939</c:v>
                </c:pt>
                <c:pt idx="272">
                  <c:v>40940</c:v>
                </c:pt>
                <c:pt idx="273">
                  <c:v>40941</c:v>
                </c:pt>
                <c:pt idx="274">
                  <c:v>40942</c:v>
                </c:pt>
                <c:pt idx="275">
                  <c:v>40945</c:v>
                </c:pt>
                <c:pt idx="276">
                  <c:v>40946</c:v>
                </c:pt>
                <c:pt idx="277">
                  <c:v>40947</c:v>
                </c:pt>
                <c:pt idx="278">
                  <c:v>40948</c:v>
                </c:pt>
                <c:pt idx="279">
                  <c:v>40949</c:v>
                </c:pt>
                <c:pt idx="280">
                  <c:v>40952</c:v>
                </c:pt>
                <c:pt idx="281">
                  <c:v>40953</c:v>
                </c:pt>
                <c:pt idx="282">
                  <c:v>40954</c:v>
                </c:pt>
                <c:pt idx="283">
                  <c:v>40955</c:v>
                </c:pt>
                <c:pt idx="284">
                  <c:v>40956</c:v>
                </c:pt>
                <c:pt idx="285">
                  <c:v>40960</c:v>
                </c:pt>
                <c:pt idx="286">
                  <c:v>40961</c:v>
                </c:pt>
                <c:pt idx="287">
                  <c:v>40962</c:v>
                </c:pt>
                <c:pt idx="288">
                  <c:v>40963</c:v>
                </c:pt>
                <c:pt idx="289">
                  <c:v>40966</c:v>
                </c:pt>
                <c:pt idx="290">
                  <c:v>40967</c:v>
                </c:pt>
                <c:pt idx="291">
                  <c:v>40968</c:v>
                </c:pt>
                <c:pt idx="292">
                  <c:v>40969</c:v>
                </c:pt>
                <c:pt idx="293">
                  <c:v>40970</c:v>
                </c:pt>
                <c:pt idx="294">
                  <c:v>40973</c:v>
                </c:pt>
                <c:pt idx="295">
                  <c:v>40974</c:v>
                </c:pt>
                <c:pt idx="296">
                  <c:v>40975</c:v>
                </c:pt>
                <c:pt idx="297">
                  <c:v>40976</c:v>
                </c:pt>
                <c:pt idx="298">
                  <c:v>40977</c:v>
                </c:pt>
                <c:pt idx="299">
                  <c:v>40980</c:v>
                </c:pt>
                <c:pt idx="300">
                  <c:v>40981</c:v>
                </c:pt>
                <c:pt idx="301">
                  <c:v>40982</c:v>
                </c:pt>
                <c:pt idx="302">
                  <c:v>40983</c:v>
                </c:pt>
                <c:pt idx="303">
                  <c:v>40984</c:v>
                </c:pt>
                <c:pt idx="304">
                  <c:v>40987</c:v>
                </c:pt>
                <c:pt idx="305">
                  <c:v>40988</c:v>
                </c:pt>
                <c:pt idx="306">
                  <c:v>40989</c:v>
                </c:pt>
                <c:pt idx="307">
                  <c:v>40990</c:v>
                </c:pt>
                <c:pt idx="308">
                  <c:v>40991</c:v>
                </c:pt>
                <c:pt idx="309">
                  <c:v>40994</c:v>
                </c:pt>
                <c:pt idx="310">
                  <c:v>40995</c:v>
                </c:pt>
                <c:pt idx="311">
                  <c:v>40996</c:v>
                </c:pt>
                <c:pt idx="312">
                  <c:v>40997</c:v>
                </c:pt>
                <c:pt idx="313">
                  <c:v>40998</c:v>
                </c:pt>
                <c:pt idx="314">
                  <c:v>41001</c:v>
                </c:pt>
                <c:pt idx="315">
                  <c:v>41002</c:v>
                </c:pt>
                <c:pt idx="316">
                  <c:v>41003</c:v>
                </c:pt>
                <c:pt idx="317">
                  <c:v>41004</c:v>
                </c:pt>
                <c:pt idx="318">
                  <c:v>41008</c:v>
                </c:pt>
                <c:pt idx="319">
                  <c:v>41009</c:v>
                </c:pt>
                <c:pt idx="320">
                  <c:v>41010</c:v>
                </c:pt>
                <c:pt idx="321">
                  <c:v>41011</c:v>
                </c:pt>
                <c:pt idx="322">
                  <c:v>41012</c:v>
                </c:pt>
                <c:pt idx="323">
                  <c:v>41015</c:v>
                </c:pt>
                <c:pt idx="324">
                  <c:v>41016</c:v>
                </c:pt>
                <c:pt idx="325">
                  <c:v>41017</c:v>
                </c:pt>
                <c:pt idx="326">
                  <c:v>41018</c:v>
                </c:pt>
                <c:pt idx="327">
                  <c:v>41019</c:v>
                </c:pt>
                <c:pt idx="328">
                  <c:v>41022</c:v>
                </c:pt>
                <c:pt idx="329">
                  <c:v>41023</c:v>
                </c:pt>
                <c:pt idx="330">
                  <c:v>41024</c:v>
                </c:pt>
                <c:pt idx="331">
                  <c:v>41025</c:v>
                </c:pt>
                <c:pt idx="332">
                  <c:v>41026</c:v>
                </c:pt>
                <c:pt idx="333">
                  <c:v>41029</c:v>
                </c:pt>
                <c:pt idx="334">
                  <c:v>41030</c:v>
                </c:pt>
                <c:pt idx="335">
                  <c:v>41031</c:v>
                </c:pt>
                <c:pt idx="336">
                  <c:v>41032</c:v>
                </c:pt>
                <c:pt idx="337">
                  <c:v>41033</c:v>
                </c:pt>
                <c:pt idx="338">
                  <c:v>41036</c:v>
                </c:pt>
                <c:pt idx="339">
                  <c:v>41037</c:v>
                </c:pt>
                <c:pt idx="340">
                  <c:v>41038</c:v>
                </c:pt>
                <c:pt idx="341">
                  <c:v>41039</c:v>
                </c:pt>
                <c:pt idx="342">
                  <c:v>41040</c:v>
                </c:pt>
                <c:pt idx="343">
                  <c:v>41043</c:v>
                </c:pt>
                <c:pt idx="344">
                  <c:v>41044</c:v>
                </c:pt>
                <c:pt idx="345">
                  <c:v>41045</c:v>
                </c:pt>
                <c:pt idx="346">
                  <c:v>41046</c:v>
                </c:pt>
                <c:pt idx="347">
                  <c:v>41047</c:v>
                </c:pt>
                <c:pt idx="348">
                  <c:v>41050</c:v>
                </c:pt>
                <c:pt idx="349">
                  <c:v>41051</c:v>
                </c:pt>
                <c:pt idx="350">
                  <c:v>41052</c:v>
                </c:pt>
                <c:pt idx="351">
                  <c:v>41053</c:v>
                </c:pt>
                <c:pt idx="352">
                  <c:v>41054</c:v>
                </c:pt>
                <c:pt idx="353">
                  <c:v>41058</c:v>
                </c:pt>
                <c:pt idx="354">
                  <c:v>41059</c:v>
                </c:pt>
                <c:pt idx="355">
                  <c:v>41060</c:v>
                </c:pt>
                <c:pt idx="356">
                  <c:v>41061</c:v>
                </c:pt>
                <c:pt idx="357">
                  <c:v>41064</c:v>
                </c:pt>
                <c:pt idx="358">
                  <c:v>41065</c:v>
                </c:pt>
                <c:pt idx="359">
                  <c:v>41066</c:v>
                </c:pt>
                <c:pt idx="360">
                  <c:v>41067</c:v>
                </c:pt>
                <c:pt idx="361">
                  <c:v>41068</c:v>
                </c:pt>
                <c:pt idx="362">
                  <c:v>41071</c:v>
                </c:pt>
                <c:pt idx="363">
                  <c:v>41072</c:v>
                </c:pt>
                <c:pt idx="364">
                  <c:v>41073</c:v>
                </c:pt>
                <c:pt idx="365">
                  <c:v>41074</c:v>
                </c:pt>
                <c:pt idx="366">
                  <c:v>41075</c:v>
                </c:pt>
                <c:pt idx="367">
                  <c:v>41078</c:v>
                </c:pt>
                <c:pt idx="368">
                  <c:v>41079</c:v>
                </c:pt>
                <c:pt idx="369">
                  <c:v>41080</c:v>
                </c:pt>
                <c:pt idx="370">
                  <c:v>41081</c:v>
                </c:pt>
                <c:pt idx="371">
                  <c:v>41082</c:v>
                </c:pt>
                <c:pt idx="372">
                  <c:v>41085</c:v>
                </c:pt>
                <c:pt idx="373">
                  <c:v>41086</c:v>
                </c:pt>
                <c:pt idx="374">
                  <c:v>41087</c:v>
                </c:pt>
                <c:pt idx="375">
                  <c:v>41088</c:v>
                </c:pt>
                <c:pt idx="376">
                  <c:v>41089</c:v>
                </c:pt>
                <c:pt idx="377">
                  <c:v>41092</c:v>
                </c:pt>
                <c:pt idx="378">
                  <c:v>41093</c:v>
                </c:pt>
                <c:pt idx="379">
                  <c:v>41095</c:v>
                </c:pt>
                <c:pt idx="380">
                  <c:v>41096</c:v>
                </c:pt>
                <c:pt idx="381">
                  <c:v>41099</c:v>
                </c:pt>
                <c:pt idx="382">
                  <c:v>41100</c:v>
                </c:pt>
                <c:pt idx="383">
                  <c:v>41101</c:v>
                </c:pt>
                <c:pt idx="384">
                  <c:v>41102</c:v>
                </c:pt>
                <c:pt idx="385">
                  <c:v>41103</c:v>
                </c:pt>
                <c:pt idx="386">
                  <c:v>41106</c:v>
                </c:pt>
                <c:pt idx="387">
                  <c:v>41107</c:v>
                </c:pt>
                <c:pt idx="388">
                  <c:v>41108</c:v>
                </c:pt>
                <c:pt idx="389">
                  <c:v>41109</c:v>
                </c:pt>
                <c:pt idx="390">
                  <c:v>41110</c:v>
                </c:pt>
                <c:pt idx="391">
                  <c:v>41113</c:v>
                </c:pt>
                <c:pt idx="392">
                  <c:v>41114</c:v>
                </c:pt>
                <c:pt idx="393">
                  <c:v>41115</c:v>
                </c:pt>
                <c:pt idx="394">
                  <c:v>41116</c:v>
                </c:pt>
                <c:pt idx="395">
                  <c:v>41117</c:v>
                </c:pt>
                <c:pt idx="396">
                  <c:v>41120</c:v>
                </c:pt>
                <c:pt idx="397">
                  <c:v>41121</c:v>
                </c:pt>
                <c:pt idx="398">
                  <c:v>41122</c:v>
                </c:pt>
                <c:pt idx="399">
                  <c:v>41123</c:v>
                </c:pt>
                <c:pt idx="400">
                  <c:v>41124</c:v>
                </c:pt>
                <c:pt idx="401">
                  <c:v>41127</c:v>
                </c:pt>
                <c:pt idx="402">
                  <c:v>41128</c:v>
                </c:pt>
                <c:pt idx="403">
                  <c:v>41129</c:v>
                </c:pt>
                <c:pt idx="404">
                  <c:v>41130</c:v>
                </c:pt>
                <c:pt idx="405">
                  <c:v>41131</c:v>
                </c:pt>
                <c:pt idx="406">
                  <c:v>41134</c:v>
                </c:pt>
                <c:pt idx="407">
                  <c:v>41135</c:v>
                </c:pt>
                <c:pt idx="408">
                  <c:v>41136</c:v>
                </c:pt>
                <c:pt idx="409">
                  <c:v>41137</c:v>
                </c:pt>
                <c:pt idx="410">
                  <c:v>41138</c:v>
                </c:pt>
                <c:pt idx="411">
                  <c:v>41141</c:v>
                </c:pt>
                <c:pt idx="412">
                  <c:v>41142</c:v>
                </c:pt>
                <c:pt idx="413">
                  <c:v>41143</c:v>
                </c:pt>
                <c:pt idx="414">
                  <c:v>41144</c:v>
                </c:pt>
                <c:pt idx="415">
                  <c:v>41145</c:v>
                </c:pt>
                <c:pt idx="416">
                  <c:v>41148</c:v>
                </c:pt>
                <c:pt idx="417">
                  <c:v>41149</c:v>
                </c:pt>
                <c:pt idx="418">
                  <c:v>41150</c:v>
                </c:pt>
                <c:pt idx="419">
                  <c:v>41151</c:v>
                </c:pt>
                <c:pt idx="420">
                  <c:v>41152</c:v>
                </c:pt>
                <c:pt idx="421">
                  <c:v>41156</c:v>
                </c:pt>
                <c:pt idx="422">
                  <c:v>41157</c:v>
                </c:pt>
                <c:pt idx="423">
                  <c:v>41158</c:v>
                </c:pt>
                <c:pt idx="424">
                  <c:v>41159</c:v>
                </c:pt>
                <c:pt idx="425">
                  <c:v>41162</c:v>
                </c:pt>
                <c:pt idx="426">
                  <c:v>41163</c:v>
                </c:pt>
                <c:pt idx="427">
                  <c:v>41164</c:v>
                </c:pt>
                <c:pt idx="428">
                  <c:v>41165</c:v>
                </c:pt>
                <c:pt idx="429">
                  <c:v>41166</c:v>
                </c:pt>
                <c:pt idx="430">
                  <c:v>41169</c:v>
                </c:pt>
                <c:pt idx="431">
                  <c:v>41170</c:v>
                </c:pt>
                <c:pt idx="432">
                  <c:v>41171</c:v>
                </c:pt>
                <c:pt idx="433">
                  <c:v>41172</c:v>
                </c:pt>
                <c:pt idx="434">
                  <c:v>41173</c:v>
                </c:pt>
                <c:pt idx="435">
                  <c:v>41176</c:v>
                </c:pt>
                <c:pt idx="436">
                  <c:v>41177</c:v>
                </c:pt>
                <c:pt idx="437">
                  <c:v>41178</c:v>
                </c:pt>
                <c:pt idx="438">
                  <c:v>41179</c:v>
                </c:pt>
                <c:pt idx="439">
                  <c:v>41180</c:v>
                </c:pt>
                <c:pt idx="440">
                  <c:v>41183</c:v>
                </c:pt>
                <c:pt idx="441">
                  <c:v>41184</c:v>
                </c:pt>
                <c:pt idx="442">
                  <c:v>41185</c:v>
                </c:pt>
                <c:pt idx="443">
                  <c:v>41186</c:v>
                </c:pt>
                <c:pt idx="444">
                  <c:v>41187</c:v>
                </c:pt>
                <c:pt idx="445">
                  <c:v>41190</c:v>
                </c:pt>
                <c:pt idx="446">
                  <c:v>41191</c:v>
                </c:pt>
                <c:pt idx="447">
                  <c:v>41192</c:v>
                </c:pt>
                <c:pt idx="448">
                  <c:v>41193</c:v>
                </c:pt>
                <c:pt idx="449">
                  <c:v>41194</c:v>
                </c:pt>
                <c:pt idx="450">
                  <c:v>41197</c:v>
                </c:pt>
                <c:pt idx="451">
                  <c:v>41198</c:v>
                </c:pt>
                <c:pt idx="452">
                  <c:v>41199</c:v>
                </c:pt>
                <c:pt idx="453">
                  <c:v>41200</c:v>
                </c:pt>
                <c:pt idx="454">
                  <c:v>41201</c:v>
                </c:pt>
                <c:pt idx="455">
                  <c:v>41204</c:v>
                </c:pt>
                <c:pt idx="456">
                  <c:v>41205</c:v>
                </c:pt>
                <c:pt idx="457">
                  <c:v>41206</c:v>
                </c:pt>
                <c:pt idx="458">
                  <c:v>41207</c:v>
                </c:pt>
                <c:pt idx="459">
                  <c:v>41208</c:v>
                </c:pt>
                <c:pt idx="460">
                  <c:v>41213</c:v>
                </c:pt>
                <c:pt idx="461">
                  <c:v>41214</c:v>
                </c:pt>
                <c:pt idx="462">
                  <c:v>41215</c:v>
                </c:pt>
                <c:pt idx="463">
                  <c:v>41218</c:v>
                </c:pt>
                <c:pt idx="464">
                  <c:v>41219</c:v>
                </c:pt>
                <c:pt idx="465">
                  <c:v>41220</c:v>
                </c:pt>
                <c:pt idx="466">
                  <c:v>41221</c:v>
                </c:pt>
                <c:pt idx="467">
                  <c:v>41222</c:v>
                </c:pt>
                <c:pt idx="468">
                  <c:v>41225</c:v>
                </c:pt>
                <c:pt idx="469">
                  <c:v>41226</c:v>
                </c:pt>
                <c:pt idx="470">
                  <c:v>41227</c:v>
                </c:pt>
                <c:pt idx="471">
                  <c:v>41228</c:v>
                </c:pt>
                <c:pt idx="472">
                  <c:v>41229</c:v>
                </c:pt>
                <c:pt idx="473">
                  <c:v>41232</c:v>
                </c:pt>
                <c:pt idx="474">
                  <c:v>41233</c:v>
                </c:pt>
                <c:pt idx="475">
                  <c:v>41234</c:v>
                </c:pt>
                <c:pt idx="476">
                  <c:v>41236</c:v>
                </c:pt>
                <c:pt idx="477">
                  <c:v>41239</c:v>
                </c:pt>
                <c:pt idx="478">
                  <c:v>41240</c:v>
                </c:pt>
                <c:pt idx="479">
                  <c:v>41241</c:v>
                </c:pt>
                <c:pt idx="480">
                  <c:v>41242</c:v>
                </c:pt>
                <c:pt idx="481">
                  <c:v>41243</c:v>
                </c:pt>
                <c:pt idx="482">
                  <c:v>41246</c:v>
                </c:pt>
                <c:pt idx="483">
                  <c:v>41247</c:v>
                </c:pt>
                <c:pt idx="484">
                  <c:v>41248</c:v>
                </c:pt>
                <c:pt idx="485">
                  <c:v>41249</c:v>
                </c:pt>
                <c:pt idx="486">
                  <c:v>41250</c:v>
                </c:pt>
                <c:pt idx="487">
                  <c:v>41253</c:v>
                </c:pt>
                <c:pt idx="488">
                  <c:v>41254</c:v>
                </c:pt>
                <c:pt idx="489">
                  <c:v>41255</c:v>
                </c:pt>
                <c:pt idx="490">
                  <c:v>41256</c:v>
                </c:pt>
                <c:pt idx="491">
                  <c:v>41257</c:v>
                </c:pt>
                <c:pt idx="492">
                  <c:v>41260</c:v>
                </c:pt>
                <c:pt idx="493">
                  <c:v>41261</c:v>
                </c:pt>
                <c:pt idx="494">
                  <c:v>41262</c:v>
                </c:pt>
                <c:pt idx="495">
                  <c:v>41263</c:v>
                </c:pt>
                <c:pt idx="496">
                  <c:v>41264</c:v>
                </c:pt>
                <c:pt idx="497">
                  <c:v>41267</c:v>
                </c:pt>
                <c:pt idx="498">
                  <c:v>41269</c:v>
                </c:pt>
                <c:pt idx="499">
                  <c:v>41270</c:v>
                </c:pt>
                <c:pt idx="500">
                  <c:v>41271</c:v>
                </c:pt>
                <c:pt idx="501">
                  <c:v>41274</c:v>
                </c:pt>
                <c:pt idx="502">
                  <c:v>41276</c:v>
                </c:pt>
                <c:pt idx="503">
                  <c:v>41277</c:v>
                </c:pt>
                <c:pt idx="504">
                  <c:v>41278</c:v>
                </c:pt>
                <c:pt idx="505">
                  <c:v>41281</c:v>
                </c:pt>
                <c:pt idx="506">
                  <c:v>41282</c:v>
                </c:pt>
                <c:pt idx="507">
                  <c:v>41283</c:v>
                </c:pt>
                <c:pt idx="508">
                  <c:v>41284</c:v>
                </c:pt>
                <c:pt idx="509">
                  <c:v>41285</c:v>
                </c:pt>
                <c:pt idx="510">
                  <c:v>41288</c:v>
                </c:pt>
                <c:pt idx="511">
                  <c:v>41289</c:v>
                </c:pt>
                <c:pt idx="512">
                  <c:v>41290</c:v>
                </c:pt>
                <c:pt idx="513">
                  <c:v>41291</c:v>
                </c:pt>
                <c:pt idx="514">
                  <c:v>41292</c:v>
                </c:pt>
                <c:pt idx="515">
                  <c:v>41296</c:v>
                </c:pt>
                <c:pt idx="516">
                  <c:v>41297</c:v>
                </c:pt>
                <c:pt idx="517">
                  <c:v>41298</c:v>
                </c:pt>
                <c:pt idx="518">
                  <c:v>41299</c:v>
                </c:pt>
                <c:pt idx="519">
                  <c:v>41302</c:v>
                </c:pt>
                <c:pt idx="520">
                  <c:v>41303</c:v>
                </c:pt>
                <c:pt idx="521">
                  <c:v>41304</c:v>
                </c:pt>
                <c:pt idx="522">
                  <c:v>41305</c:v>
                </c:pt>
                <c:pt idx="523">
                  <c:v>41306</c:v>
                </c:pt>
                <c:pt idx="524">
                  <c:v>41309</c:v>
                </c:pt>
                <c:pt idx="525">
                  <c:v>41310</c:v>
                </c:pt>
                <c:pt idx="526">
                  <c:v>41311</c:v>
                </c:pt>
                <c:pt idx="527">
                  <c:v>41312</c:v>
                </c:pt>
                <c:pt idx="528">
                  <c:v>41313</c:v>
                </c:pt>
                <c:pt idx="529">
                  <c:v>41316</c:v>
                </c:pt>
                <c:pt idx="530">
                  <c:v>41317</c:v>
                </c:pt>
                <c:pt idx="531">
                  <c:v>41318</c:v>
                </c:pt>
                <c:pt idx="532">
                  <c:v>41319</c:v>
                </c:pt>
                <c:pt idx="533">
                  <c:v>41320</c:v>
                </c:pt>
                <c:pt idx="534">
                  <c:v>41324</c:v>
                </c:pt>
                <c:pt idx="535">
                  <c:v>41325</c:v>
                </c:pt>
                <c:pt idx="536">
                  <c:v>41326</c:v>
                </c:pt>
                <c:pt idx="537">
                  <c:v>41327</c:v>
                </c:pt>
                <c:pt idx="538">
                  <c:v>41330</c:v>
                </c:pt>
                <c:pt idx="539">
                  <c:v>41331</c:v>
                </c:pt>
                <c:pt idx="540">
                  <c:v>41332</c:v>
                </c:pt>
                <c:pt idx="541">
                  <c:v>41333</c:v>
                </c:pt>
                <c:pt idx="542">
                  <c:v>41334</c:v>
                </c:pt>
                <c:pt idx="543">
                  <c:v>41337</c:v>
                </c:pt>
                <c:pt idx="544">
                  <c:v>41338</c:v>
                </c:pt>
                <c:pt idx="545">
                  <c:v>41339</c:v>
                </c:pt>
                <c:pt idx="546">
                  <c:v>41340</c:v>
                </c:pt>
                <c:pt idx="547">
                  <c:v>41341</c:v>
                </c:pt>
                <c:pt idx="548">
                  <c:v>41344</c:v>
                </c:pt>
                <c:pt idx="549">
                  <c:v>41345</c:v>
                </c:pt>
                <c:pt idx="550">
                  <c:v>41346</c:v>
                </c:pt>
                <c:pt idx="551">
                  <c:v>41347</c:v>
                </c:pt>
                <c:pt idx="552">
                  <c:v>41348</c:v>
                </c:pt>
                <c:pt idx="553">
                  <c:v>41351</c:v>
                </c:pt>
                <c:pt idx="554">
                  <c:v>41352</c:v>
                </c:pt>
                <c:pt idx="555">
                  <c:v>41353</c:v>
                </c:pt>
                <c:pt idx="556">
                  <c:v>41354</c:v>
                </c:pt>
                <c:pt idx="557">
                  <c:v>41355</c:v>
                </c:pt>
                <c:pt idx="558">
                  <c:v>41358</c:v>
                </c:pt>
                <c:pt idx="559">
                  <c:v>41359</c:v>
                </c:pt>
                <c:pt idx="560">
                  <c:v>41360</c:v>
                </c:pt>
                <c:pt idx="561">
                  <c:v>41361</c:v>
                </c:pt>
                <c:pt idx="562">
                  <c:v>41365</c:v>
                </c:pt>
                <c:pt idx="563">
                  <c:v>41366</c:v>
                </c:pt>
                <c:pt idx="564">
                  <c:v>41367</c:v>
                </c:pt>
                <c:pt idx="565">
                  <c:v>41368</c:v>
                </c:pt>
                <c:pt idx="566">
                  <c:v>41369</c:v>
                </c:pt>
                <c:pt idx="567">
                  <c:v>41372</c:v>
                </c:pt>
                <c:pt idx="568">
                  <c:v>41373</c:v>
                </c:pt>
                <c:pt idx="569">
                  <c:v>41374</c:v>
                </c:pt>
                <c:pt idx="570">
                  <c:v>41375</c:v>
                </c:pt>
                <c:pt idx="571">
                  <c:v>41376</c:v>
                </c:pt>
                <c:pt idx="572">
                  <c:v>41379</c:v>
                </c:pt>
                <c:pt idx="573">
                  <c:v>41380</c:v>
                </c:pt>
                <c:pt idx="574">
                  <c:v>41381</c:v>
                </c:pt>
                <c:pt idx="575">
                  <c:v>41382</c:v>
                </c:pt>
                <c:pt idx="576">
                  <c:v>41383</c:v>
                </c:pt>
                <c:pt idx="577">
                  <c:v>41386</c:v>
                </c:pt>
                <c:pt idx="578">
                  <c:v>41387</c:v>
                </c:pt>
                <c:pt idx="579">
                  <c:v>41388</c:v>
                </c:pt>
                <c:pt idx="580">
                  <c:v>41389</c:v>
                </c:pt>
                <c:pt idx="581">
                  <c:v>41390</c:v>
                </c:pt>
                <c:pt idx="582">
                  <c:v>41393</c:v>
                </c:pt>
                <c:pt idx="583">
                  <c:v>41394</c:v>
                </c:pt>
                <c:pt idx="584">
                  <c:v>41395</c:v>
                </c:pt>
                <c:pt idx="585">
                  <c:v>41396</c:v>
                </c:pt>
                <c:pt idx="586">
                  <c:v>41397</c:v>
                </c:pt>
                <c:pt idx="587">
                  <c:v>41400</c:v>
                </c:pt>
                <c:pt idx="588">
                  <c:v>41401</c:v>
                </c:pt>
                <c:pt idx="589">
                  <c:v>41402</c:v>
                </c:pt>
                <c:pt idx="590">
                  <c:v>41403</c:v>
                </c:pt>
                <c:pt idx="591">
                  <c:v>41404</c:v>
                </c:pt>
                <c:pt idx="592">
                  <c:v>41407</c:v>
                </c:pt>
                <c:pt idx="593">
                  <c:v>41408</c:v>
                </c:pt>
                <c:pt idx="594">
                  <c:v>41409</c:v>
                </c:pt>
                <c:pt idx="595">
                  <c:v>41410</c:v>
                </c:pt>
                <c:pt idx="596">
                  <c:v>41411</c:v>
                </c:pt>
                <c:pt idx="597">
                  <c:v>41414</c:v>
                </c:pt>
                <c:pt idx="598">
                  <c:v>41415</c:v>
                </c:pt>
                <c:pt idx="599">
                  <c:v>41416</c:v>
                </c:pt>
                <c:pt idx="600">
                  <c:v>41417</c:v>
                </c:pt>
                <c:pt idx="601">
                  <c:v>41418</c:v>
                </c:pt>
                <c:pt idx="602">
                  <c:v>41422</c:v>
                </c:pt>
                <c:pt idx="603">
                  <c:v>41423</c:v>
                </c:pt>
                <c:pt idx="604">
                  <c:v>41424</c:v>
                </c:pt>
                <c:pt idx="605">
                  <c:v>41425</c:v>
                </c:pt>
                <c:pt idx="606">
                  <c:v>41428</c:v>
                </c:pt>
                <c:pt idx="607">
                  <c:v>41429</c:v>
                </c:pt>
                <c:pt idx="608">
                  <c:v>41430</c:v>
                </c:pt>
                <c:pt idx="609">
                  <c:v>41431</c:v>
                </c:pt>
                <c:pt idx="610">
                  <c:v>41432</c:v>
                </c:pt>
                <c:pt idx="611">
                  <c:v>41435</c:v>
                </c:pt>
                <c:pt idx="612">
                  <c:v>41436</c:v>
                </c:pt>
                <c:pt idx="613">
                  <c:v>41437</c:v>
                </c:pt>
                <c:pt idx="614">
                  <c:v>41438</c:v>
                </c:pt>
                <c:pt idx="615">
                  <c:v>41439</c:v>
                </c:pt>
                <c:pt idx="616">
                  <c:v>41442</c:v>
                </c:pt>
                <c:pt idx="617">
                  <c:v>41443</c:v>
                </c:pt>
                <c:pt idx="618">
                  <c:v>41444</c:v>
                </c:pt>
                <c:pt idx="619">
                  <c:v>41445</c:v>
                </c:pt>
                <c:pt idx="620">
                  <c:v>41446</c:v>
                </c:pt>
                <c:pt idx="621">
                  <c:v>41449</c:v>
                </c:pt>
                <c:pt idx="622">
                  <c:v>41450</c:v>
                </c:pt>
                <c:pt idx="623">
                  <c:v>41451</c:v>
                </c:pt>
                <c:pt idx="624">
                  <c:v>41452</c:v>
                </c:pt>
                <c:pt idx="625">
                  <c:v>41453</c:v>
                </c:pt>
                <c:pt idx="626">
                  <c:v>41456</c:v>
                </c:pt>
                <c:pt idx="627">
                  <c:v>41457</c:v>
                </c:pt>
                <c:pt idx="628">
                  <c:v>41458</c:v>
                </c:pt>
                <c:pt idx="629">
                  <c:v>41460</c:v>
                </c:pt>
                <c:pt idx="630">
                  <c:v>41463</c:v>
                </c:pt>
                <c:pt idx="631">
                  <c:v>41464</c:v>
                </c:pt>
                <c:pt idx="632">
                  <c:v>41465</c:v>
                </c:pt>
                <c:pt idx="633">
                  <c:v>41466</c:v>
                </c:pt>
                <c:pt idx="634">
                  <c:v>41467</c:v>
                </c:pt>
                <c:pt idx="635">
                  <c:v>41470</c:v>
                </c:pt>
                <c:pt idx="636">
                  <c:v>41471</c:v>
                </c:pt>
                <c:pt idx="637">
                  <c:v>41472</c:v>
                </c:pt>
                <c:pt idx="638">
                  <c:v>41473</c:v>
                </c:pt>
                <c:pt idx="639">
                  <c:v>41474</c:v>
                </c:pt>
                <c:pt idx="640">
                  <c:v>41477</c:v>
                </c:pt>
                <c:pt idx="641">
                  <c:v>41478</c:v>
                </c:pt>
                <c:pt idx="642">
                  <c:v>41479</c:v>
                </c:pt>
                <c:pt idx="643">
                  <c:v>41480</c:v>
                </c:pt>
                <c:pt idx="644">
                  <c:v>41481</c:v>
                </c:pt>
                <c:pt idx="645">
                  <c:v>41484</c:v>
                </c:pt>
                <c:pt idx="646">
                  <c:v>41485</c:v>
                </c:pt>
                <c:pt idx="647">
                  <c:v>41486</c:v>
                </c:pt>
                <c:pt idx="648">
                  <c:v>41487</c:v>
                </c:pt>
                <c:pt idx="649">
                  <c:v>41488</c:v>
                </c:pt>
                <c:pt idx="650">
                  <c:v>41491</c:v>
                </c:pt>
                <c:pt idx="651">
                  <c:v>41492</c:v>
                </c:pt>
                <c:pt idx="652">
                  <c:v>41493</c:v>
                </c:pt>
                <c:pt idx="653">
                  <c:v>41494</c:v>
                </c:pt>
                <c:pt idx="654">
                  <c:v>41495</c:v>
                </c:pt>
                <c:pt idx="655">
                  <c:v>41498</c:v>
                </c:pt>
                <c:pt idx="656">
                  <c:v>41499</c:v>
                </c:pt>
                <c:pt idx="657">
                  <c:v>41500</c:v>
                </c:pt>
                <c:pt idx="658">
                  <c:v>41501</c:v>
                </c:pt>
                <c:pt idx="659">
                  <c:v>41502</c:v>
                </c:pt>
                <c:pt idx="660">
                  <c:v>41505</c:v>
                </c:pt>
                <c:pt idx="661">
                  <c:v>41506</c:v>
                </c:pt>
                <c:pt idx="662">
                  <c:v>41507</c:v>
                </c:pt>
                <c:pt idx="663">
                  <c:v>41508</c:v>
                </c:pt>
                <c:pt idx="664">
                  <c:v>41509</c:v>
                </c:pt>
                <c:pt idx="665">
                  <c:v>41512</c:v>
                </c:pt>
                <c:pt idx="666">
                  <c:v>41513</c:v>
                </c:pt>
                <c:pt idx="667">
                  <c:v>41514</c:v>
                </c:pt>
                <c:pt idx="668">
                  <c:v>41515</c:v>
                </c:pt>
                <c:pt idx="669">
                  <c:v>41516</c:v>
                </c:pt>
                <c:pt idx="670">
                  <c:v>41520</c:v>
                </c:pt>
                <c:pt idx="671">
                  <c:v>41521</c:v>
                </c:pt>
                <c:pt idx="672">
                  <c:v>41522</c:v>
                </c:pt>
                <c:pt idx="673">
                  <c:v>41523</c:v>
                </c:pt>
                <c:pt idx="674">
                  <c:v>41526</c:v>
                </c:pt>
                <c:pt idx="675">
                  <c:v>41527</c:v>
                </c:pt>
                <c:pt idx="676">
                  <c:v>41528</c:v>
                </c:pt>
                <c:pt idx="677">
                  <c:v>41529</c:v>
                </c:pt>
                <c:pt idx="678">
                  <c:v>41530</c:v>
                </c:pt>
                <c:pt idx="679">
                  <c:v>41533</c:v>
                </c:pt>
                <c:pt idx="680">
                  <c:v>41534</c:v>
                </c:pt>
                <c:pt idx="681">
                  <c:v>41535</c:v>
                </c:pt>
                <c:pt idx="682">
                  <c:v>41536</c:v>
                </c:pt>
                <c:pt idx="683">
                  <c:v>41537</c:v>
                </c:pt>
                <c:pt idx="684">
                  <c:v>41540</c:v>
                </c:pt>
                <c:pt idx="685">
                  <c:v>41541</c:v>
                </c:pt>
                <c:pt idx="686">
                  <c:v>41542</c:v>
                </c:pt>
                <c:pt idx="687">
                  <c:v>41543</c:v>
                </c:pt>
                <c:pt idx="688">
                  <c:v>41544</c:v>
                </c:pt>
                <c:pt idx="689">
                  <c:v>41547</c:v>
                </c:pt>
                <c:pt idx="690">
                  <c:v>41548</c:v>
                </c:pt>
                <c:pt idx="691">
                  <c:v>41549</c:v>
                </c:pt>
                <c:pt idx="692">
                  <c:v>41550</c:v>
                </c:pt>
                <c:pt idx="693">
                  <c:v>41551</c:v>
                </c:pt>
                <c:pt idx="694">
                  <c:v>41554</c:v>
                </c:pt>
                <c:pt idx="695">
                  <c:v>41555</c:v>
                </c:pt>
                <c:pt idx="696">
                  <c:v>41556</c:v>
                </c:pt>
                <c:pt idx="697">
                  <c:v>41557</c:v>
                </c:pt>
                <c:pt idx="698">
                  <c:v>41558</c:v>
                </c:pt>
                <c:pt idx="699">
                  <c:v>41561</c:v>
                </c:pt>
                <c:pt idx="700">
                  <c:v>41562</c:v>
                </c:pt>
                <c:pt idx="701">
                  <c:v>41563</c:v>
                </c:pt>
                <c:pt idx="702">
                  <c:v>41564</c:v>
                </c:pt>
                <c:pt idx="703">
                  <c:v>41565</c:v>
                </c:pt>
                <c:pt idx="704">
                  <c:v>41568</c:v>
                </c:pt>
                <c:pt idx="705">
                  <c:v>41569</c:v>
                </c:pt>
                <c:pt idx="706">
                  <c:v>41570</c:v>
                </c:pt>
                <c:pt idx="707">
                  <c:v>41571</c:v>
                </c:pt>
                <c:pt idx="708">
                  <c:v>41572</c:v>
                </c:pt>
                <c:pt idx="709">
                  <c:v>41575</c:v>
                </c:pt>
                <c:pt idx="710">
                  <c:v>41576</c:v>
                </c:pt>
                <c:pt idx="711">
                  <c:v>41577</c:v>
                </c:pt>
                <c:pt idx="712">
                  <c:v>41578</c:v>
                </c:pt>
                <c:pt idx="713">
                  <c:v>41579</c:v>
                </c:pt>
                <c:pt idx="714">
                  <c:v>41582</c:v>
                </c:pt>
                <c:pt idx="715">
                  <c:v>41583</c:v>
                </c:pt>
                <c:pt idx="716">
                  <c:v>41584</c:v>
                </c:pt>
                <c:pt idx="717">
                  <c:v>41585</c:v>
                </c:pt>
                <c:pt idx="718">
                  <c:v>41586</c:v>
                </c:pt>
                <c:pt idx="719">
                  <c:v>41589</c:v>
                </c:pt>
                <c:pt idx="720">
                  <c:v>41590</c:v>
                </c:pt>
                <c:pt idx="721">
                  <c:v>41591</c:v>
                </c:pt>
                <c:pt idx="722">
                  <c:v>41592</c:v>
                </c:pt>
                <c:pt idx="723">
                  <c:v>41593</c:v>
                </c:pt>
                <c:pt idx="724">
                  <c:v>41596</c:v>
                </c:pt>
                <c:pt idx="725">
                  <c:v>41597</c:v>
                </c:pt>
                <c:pt idx="726">
                  <c:v>41598</c:v>
                </c:pt>
                <c:pt idx="727">
                  <c:v>41599</c:v>
                </c:pt>
                <c:pt idx="728">
                  <c:v>41600</c:v>
                </c:pt>
                <c:pt idx="729">
                  <c:v>41603</c:v>
                </c:pt>
                <c:pt idx="730">
                  <c:v>41604</c:v>
                </c:pt>
                <c:pt idx="731">
                  <c:v>41605</c:v>
                </c:pt>
                <c:pt idx="732">
                  <c:v>41607</c:v>
                </c:pt>
                <c:pt idx="733">
                  <c:v>41610</c:v>
                </c:pt>
                <c:pt idx="734">
                  <c:v>41611</c:v>
                </c:pt>
                <c:pt idx="735">
                  <c:v>41612</c:v>
                </c:pt>
                <c:pt idx="736">
                  <c:v>41613</c:v>
                </c:pt>
                <c:pt idx="737">
                  <c:v>41614</c:v>
                </c:pt>
                <c:pt idx="738">
                  <c:v>41617</c:v>
                </c:pt>
                <c:pt idx="739">
                  <c:v>41618</c:v>
                </c:pt>
                <c:pt idx="740">
                  <c:v>41619</c:v>
                </c:pt>
                <c:pt idx="741">
                  <c:v>41620</c:v>
                </c:pt>
                <c:pt idx="742">
                  <c:v>41621</c:v>
                </c:pt>
                <c:pt idx="743">
                  <c:v>41624</c:v>
                </c:pt>
                <c:pt idx="744">
                  <c:v>41625</c:v>
                </c:pt>
                <c:pt idx="745">
                  <c:v>41626</c:v>
                </c:pt>
                <c:pt idx="746">
                  <c:v>41627</c:v>
                </c:pt>
                <c:pt idx="747">
                  <c:v>41628</c:v>
                </c:pt>
                <c:pt idx="748">
                  <c:v>41631</c:v>
                </c:pt>
                <c:pt idx="749">
                  <c:v>41632</c:v>
                </c:pt>
                <c:pt idx="750">
                  <c:v>41634</c:v>
                </c:pt>
                <c:pt idx="751">
                  <c:v>41635</c:v>
                </c:pt>
                <c:pt idx="752">
                  <c:v>41638</c:v>
                </c:pt>
              </c:numCache>
            </c:numRef>
          </c:xVal>
          <c:yVal>
            <c:numRef>
              <c:f>Volatility!$G$5:$G$757</c:f>
              <c:numCache>
                <c:formatCode>0.00%;[Red]\-0.00%;_("-"_)</c:formatCode>
                <c:ptCount val="753"/>
                <c:pt idx="1">
                  <c:v>1.0482619796036407E-2</c:v>
                </c:pt>
                <c:pt idx="2">
                  <c:v>1.0073510178558502E-2</c:v>
                </c:pt>
                <c:pt idx="3">
                  <c:v>9.7736983990749596E-3</c:v>
                </c:pt>
                <c:pt idx="4">
                  <c:v>9.404729900312785E-3</c:v>
                </c:pt>
                <c:pt idx="5">
                  <c:v>9.0463727987558484E-3</c:v>
                </c:pt>
                <c:pt idx="6">
                  <c:v>8.6960491656563089E-3</c:v>
                </c:pt>
                <c:pt idx="7">
                  <c:v>8.4152496035082049E-3</c:v>
                </c:pt>
                <c:pt idx="8">
                  <c:v>8.459462491606045E-3</c:v>
                </c:pt>
                <c:pt idx="9">
                  <c:v>8.1379510720885791E-3</c:v>
                </c:pt>
                <c:pt idx="10">
                  <c:v>8.079966491846554E-3</c:v>
                </c:pt>
                <c:pt idx="11">
                  <c:v>7.7689619599949876E-3</c:v>
                </c:pt>
                <c:pt idx="12">
                  <c:v>7.981310360390622E-3</c:v>
                </c:pt>
                <c:pt idx="13">
                  <c:v>7.6732576372402243E-3</c:v>
                </c:pt>
                <c:pt idx="14">
                  <c:v>7.399507276259501E-3</c:v>
                </c:pt>
                <c:pt idx="15">
                  <c:v>7.2889357222864779E-3</c:v>
                </c:pt>
                <c:pt idx="16">
                  <c:v>7.0002184790235447E-3</c:v>
                </c:pt>
                <c:pt idx="17">
                  <c:v>6.8243951762180207E-3</c:v>
                </c:pt>
                <c:pt idx="18">
                  <c:v>6.583461680307808E-3</c:v>
                </c:pt>
                <c:pt idx="19">
                  <c:v>8.0748083388487886E-3</c:v>
                </c:pt>
                <c:pt idx="20">
                  <c:v>8.0413508128964369E-3</c:v>
                </c:pt>
                <c:pt idx="21">
                  <c:v>8.9970721426427241E-3</c:v>
                </c:pt>
                <c:pt idx="22">
                  <c:v>8.673598000140564E-3</c:v>
                </c:pt>
                <c:pt idx="23">
                  <c:v>8.3553430582261595E-3</c:v>
                </c:pt>
                <c:pt idx="24">
                  <c:v>8.0640330187410868E-3</c:v>
                </c:pt>
                <c:pt idx="25">
                  <c:v>7.9360763931559369E-3</c:v>
                </c:pt>
                <c:pt idx="26">
                  <c:v>7.709754178677794E-3</c:v>
                </c:pt>
                <c:pt idx="27">
                  <c:v>7.4447123506787283E-3</c:v>
                </c:pt>
                <c:pt idx="28">
                  <c:v>7.1524830125625988E-3</c:v>
                </c:pt>
                <c:pt idx="29">
                  <c:v>7.03745090583333E-3</c:v>
                </c:pt>
                <c:pt idx="30">
                  <c:v>6.7908873301027557E-3</c:v>
                </c:pt>
                <c:pt idx="31">
                  <c:v>6.5838283673341777E-3</c:v>
                </c:pt>
                <c:pt idx="32">
                  <c:v>6.5575920177068795E-3</c:v>
                </c:pt>
                <c:pt idx="33">
                  <c:v>6.3554472645491258E-3</c:v>
                </c:pt>
                <c:pt idx="34">
                  <c:v>6.1268770478037915E-3</c:v>
                </c:pt>
                <c:pt idx="35">
                  <c:v>8.2505863987595175E-3</c:v>
                </c:pt>
                <c:pt idx="36">
                  <c:v>8.1056654366443003E-3</c:v>
                </c:pt>
                <c:pt idx="37">
                  <c:v>7.7891101728675138E-3</c:v>
                </c:pt>
                <c:pt idx="38">
                  <c:v>8.0322742364343398E-3</c:v>
                </c:pt>
                <c:pt idx="39">
                  <c:v>7.8671647100577152E-3</c:v>
                </c:pt>
                <c:pt idx="40">
                  <c:v>8.7549947381904952E-3</c:v>
                </c:pt>
                <c:pt idx="41">
                  <c:v>8.4197789979374524E-3</c:v>
                </c:pt>
                <c:pt idx="42">
                  <c:v>9.3831263113100805E-3</c:v>
                </c:pt>
                <c:pt idx="43">
                  <c:v>9.2445359960998136E-3</c:v>
                </c:pt>
                <c:pt idx="44">
                  <c:v>9.1799654883562391E-3</c:v>
                </c:pt>
                <c:pt idx="45">
                  <c:v>9.1572362936417143E-3</c:v>
                </c:pt>
                <c:pt idx="46">
                  <c:v>8.802236302194141E-3</c:v>
                </c:pt>
                <c:pt idx="47">
                  <c:v>9.9837691049186206E-3</c:v>
                </c:pt>
                <c:pt idx="48">
                  <c:v>9.7875501952156985E-3</c:v>
                </c:pt>
                <c:pt idx="49">
                  <c:v>9.5504087162082436E-3</c:v>
                </c:pt>
                <c:pt idx="50">
                  <c:v>9.6944693629741185E-3</c:v>
                </c:pt>
                <c:pt idx="51">
                  <c:v>1.0807969633170022E-2</c:v>
                </c:pt>
                <c:pt idx="52">
                  <c:v>1.1022825226799763E-2</c:v>
                </c:pt>
                <c:pt idx="53">
                  <c:v>1.0653099044934245E-2</c:v>
                </c:pt>
                <c:pt idx="54">
                  <c:v>1.1040189084572764E-2</c:v>
                </c:pt>
                <c:pt idx="55">
                  <c:v>1.0648589596076946E-2</c:v>
                </c:pt>
                <c:pt idx="56">
                  <c:v>1.0258368824901165E-2</c:v>
                </c:pt>
                <c:pt idx="57">
                  <c:v>1.0186900963800002E-2</c:v>
                </c:pt>
                <c:pt idx="58">
                  <c:v>9.8223616193033481E-3</c:v>
                </c:pt>
                <c:pt idx="59">
                  <c:v>9.463927204238623E-3</c:v>
                </c:pt>
                <c:pt idx="60">
                  <c:v>9.2978623249006138E-3</c:v>
                </c:pt>
                <c:pt idx="61">
                  <c:v>9.1202931628470672E-3</c:v>
                </c:pt>
                <c:pt idx="62">
                  <c:v>8.7734238552083302E-3</c:v>
                </c:pt>
                <c:pt idx="63">
                  <c:v>8.5377820563589772E-3</c:v>
                </c:pt>
                <c:pt idx="64">
                  <c:v>8.1997113125530496E-3</c:v>
                </c:pt>
                <c:pt idx="65">
                  <c:v>7.8746447012255933E-3</c:v>
                </c:pt>
                <c:pt idx="66">
                  <c:v>7.5867315531865298E-3</c:v>
                </c:pt>
                <c:pt idx="67">
                  <c:v>7.2981537748547523E-3</c:v>
                </c:pt>
                <c:pt idx="68">
                  <c:v>7.0974305037742958E-3</c:v>
                </c:pt>
                <c:pt idx="69">
                  <c:v>6.8604077581559111E-3</c:v>
                </c:pt>
                <c:pt idx="70">
                  <c:v>6.9386531609690726E-3</c:v>
                </c:pt>
                <c:pt idx="71">
                  <c:v>6.6636551384065589E-3</c:v>
                </c:pt>
                <c:pt idx="72">
                  <c:v>6.3993958609490087E-3</c:v>
                </c:pt>
                <c:pt idx="73">
                  <c:v>6.2419135048437172E-3</c:v>
                </c:pt>
                <c:pt idx="74">
                  <c:v>6.7435753084844775E-3</c:v>
                </c:pt>
                <c:pt idx="75">
                  <c:v>6.6692786401227055E-3</c:v>
                </c:pt>
                <c:pt idx="76">
                  <c:v>7.4184376276983082E-3</c:v>
                </c:pt>
                <c:pt idx="77">
                  <c:v>7.2737761815512298E-3</c:v>
                </c:pt>
                <c:pt idx="78">
                  <c:v>6.9994006371712977E-3</c:v>
                </c:pt>
                <c:pt idx="79">
                  <c:v>7.169100133069645E-3</c:v>
                </c:pt>
                <c:pt idx="80">
                  <c:v>7.1005615613012399E-3</c:v>
                </c:pt>
                <c:pt idx="81">
                  <c:v>6.8903726416793933E-3</c:v>
                </c:pt>
                <c:pt idx="82">
                  <c:v>6.648032254454741E-3</c:v>
                </c:pt>
                <c:pt idx="83">
                  <c:v>6.403061770509701E-3</c:v>
                </c:pt>
                <c:pt idx="84">
                  <c:v>6.221118682667331E-3</c:v>
                </c:pt>
                <c:pt idx="85">
                  <c:v>6.2747342146193662E-3</c:v>
                </c:pt>
                <c:pt idx="86">
                  <c:v>6.539543168807567E-3</c:v>
                </c:pt>
                <c:pt idx="87">
                  <c:v>6.3695141722129121E-3</c:v>
                </c:pt>
                <c:pt idx="88">
                  <c:v>6.2461552090881051E-3</c:v>
                </c:pt>
                <c:pt idx="89">
                  <c:v>6.4038326946786461E-3</c:v>
                </c:pt>
                <c:pt idx="90">
                  <c:v>6.8940538258163743E-3</c:v>
                </c:pt>
                <c:pt idx="91">
                  <c:v>6.7592000171111883E-3</c:v>
                </c:pt>
                <c:pt idx="92">
                  <c:v>6.8728402923319927E-3</c:v>
                </c:pt>
                <c:pt idx="93">
                  <c:v>6.8245804235120382E-3</c:v>
                </c:pt>
                <c:pt idx="94">
                  <c:v>6.5547018331359929E-3</c:v>
                </c:pt>
                <c:pt idx="95">
                  <c:v>6.7525715232367002E-3</c:v>
                </c:pt>
                <c:pt idx="96">
                  <c:v>6.5130581435795887E-3</c:v>
                </c:pt>
                <c:pt idx="97">
                  <c:v>6.6146213868792623E-3</c:v>
                </c:pt>
                <c:pt idx="98">
                  <c:v>7.1793166690104996E-3</c:v>
                </c:pt>
                <c:pt idx="99">
                  <c:v>6.8984244634875411E-3</c:v>
                </c:pt>
                <c:pt idx="100">
                  <c:v>6.6838223173567484E-3</c:v>
                </c:pt>
                <c:pt idx="101">
                  <c:v>6.5123160901962339E-3</c:v>
                </c:pt>
                <c:pt idx="102">
                  <c:v>6.3562835416305008E-3</c:v>
                </c:pt>
                <c:pt idx="103">
                  <c:v>6.7744959063465839E-3</c:v>
                </c:pt>
                <c:pt idx="104">
                  <c:v>9.1449321645174012E-3</c:v>
                </c:pt>
                <c:pt idx="105">
                  <c:v>8.7888608174923524E-3</c:v>
                </c:pt>
                <c:pt idx="106">
                  <c:v>8.8700308938957171E-3</c:v>
                </c:pt>
                <c:pt idx="107">
                  <c:v>9.0366086221992624E-3</c:v>
                </c:pt>
                <c:pt idx="108">
                  <c:v>8.6822879125126751E-3</c:v>
                </c:pt>
                <c:pt idx="109">
                  <c:v>8.4196031529316321E-3</c:v>
                </c:pt>
                <c:pt idx="110">
                  <c:v>8.3413882024459176E-3</c:v>
                </c:pt>
                <c:pt idx="111">
                  <c:v>8.9207468517183402E-3</c:v>
                </c:pt>
                <c:pt idx="112">
                  <c:v>8.5689496388190144E-3</c:v>
                </c:pt>
                <c:pt idx="113">
                  <c:v>8.9403949923666289E-3</c:v>
                </c:pt>
                <c:pt idx="114">
                  <c:v>9.8874293067217085E-3</c:v>
                </c:pt>
                <c:pt idx="115">
                  <c:v>9.5078332988253675E-3</c:v>
                </c:pt>
                <c:pt idx="116">
                  <c:v>9.1699969327218647E-3</c:v>
                </c:pt>
                <c:pt idx="117">
                  <c:v>8.9331837698323046E-3</c:v>
                </c:pt>
                <c:pt idx="118">
                  <c:v>9.349942243588219E-3</c:v>
                </c:pt>
                <c:pt idx="119">
                  <c:v>9.1596150563628149E-3</c:v>
                </c:pt>
                <c:pt idx="120">
                  <c:v>8.8316904625786591E-3</c:v>
                </c:pt>
                <c:pt idx="121">
                  <c:v>9.0967773319283931E-3</c:v>
                </c:pt>
                <c:pt idx="122">
                  <c:v>9.1003419988559594E-3</c:v>
                </c:pt>
                <c:pt idx="123">
                  <c:v>9.4466010582337986E-3</c:v>
                </c:pt>
                <c:pt idx="124">
                  <c:v>9.3589553001173862E-3</c:v>
                </c:pt>
                <c:pt idx="125">
                  <c:v>9.4160324703118116E-3</c:v>
                </c:pt>
                <c:pt idx="126">
                  <c:v>9.8834671466531097E-3</c:v>
                </c:pt>
                <c:pt idx="127">
                  <c:v>9.4987767686919543E-3</c:v>
                </c:pt>
                <c:pt idx="128">
                  <c:v>9.1262950577946662E-3</c:v>
                </c:pt>
                <c:pt idx="129">
                  <c:v>9.2315960892316428E-3</c:v>
                </c:pt>
                <c:pt idx="130">
                  <c:v>9.0769053623921733E-3</c:v>
                </c:pt>
                <c:pt idx="131">
                  <c:v>1.009446219730015E-2</c:v>
                </c:pt>
                <c:pt idx="132">
                  <c:v>9.7729419009094758E-3</c:v>
                </c:pt>
                <c:pt idx="133">
                  <c:v>9.4250662191171612E-3</c:v>
                </c:pt>
                <c:pt idx="134">
                  <c:v>9.2442303559424413E-3</c:v>
                </c:pt>
                <c:pt idx="135">
                  <c:v>9.0109309420073908E-3</c:v>
                </c:pt>
                <c:pt idx="136">
                  <c:v>8.9478873689225625E-3</c:v>
                </c:pt>
                <c:pt idx="137">
                  <c:v>9.7050169818827456E-3</c:v>
                </c:pt>
                <c:pt idx="138">
                  <c:v>9.3219632003735328E-3</c:v>
                </c:pt>
                <c:pt idx="139">
                  <c:v>9.7066447212177318E-3</c:v>
                </c:pt>
                <c:pt idx="140">
                  <c:v>9.3250820006030039E-3</c:v>
                </c:pt>
                <c:pt idx="141">
                  <c:v>9.0931823550328035E-3</c:v>
                </c:pt>
                <c:pt idx="142">
                  <c:v>8.8075203062248537E-3</c:v>
                </c:pt>
                <c:pt idx="143">
                  <c:v>1.0211434868433742E-2</c:v>
                </c:pt>
                <c:pt idx="144">
                  <c:v>9.8479258839727288E-3</c:v>
                </c:pt>
                <c:pt idx="145">
                  <c:v>9.627941333381634E-3</c:v>
                </c:pt>
                <c:pt idx="146">
                  <c:v>9.3178814321124327E-3</c:v>
                </c:pt>
                <c:pt idx="147">
                  <c:v>1.1497193833237572E-2</c:v>
                </c:pt>
                <c:pt idx="148">
                  <c:v>1.1128968956570831E-2</c:v>
                </c:pt>
                <c:pt idx="149">
                  <c:v>1.7347099069921452E-2</c:v>
                </c:pt>
                <c:pt idx="150">
                  <c:v>1.6659829682255788E-2</c:v>
                </c:pt>
                <c:pt idx="151">
                  <c:v>2.5014107844393573E-2</c:v>
                </c:pt>
                <c:pt idx="152">
                  <c:v>2.7273777179096664E-2</c:v>
                </c:pt>
                <c:pt idx="153">
                  <c:v>2.9061500048893438E-2</c:v>
                </c:pt>
                <c:pt idx="154">
                  <c:v>3.0628604449011127E-2</c:v>
                </c:pt>
                <c:pt idx="155">
                  <c:v>2.9450153537027214E-2</c:v>
                </c:pt>
                <c:pt idx="156">
                  <c:v>2.8913434671805047E-2</c:v>
                </c:pt>
                <c:pt idx="157">
                  <c:v>2.7900404925281837E-2</c:v>
                </c:pt>
                <c:pt idx="158">
                  <c:v>2.6795086874652631E-2</c:v>
                </c:pt>
                <c:pt idx="159">
                  <c:v>2.870471363152249E-2</c:v>
                </c:pt>
                <c:pt idx="160">
                  <c:v>2.7886860680448065E-2</c:v>
                </c:pt>
                <c:pt idx="161">
                  <c:v>2.6780875509535687E-2</c:v>
                </c:pt>
                <c:pt idx="162">
                  <c:v>2.7382597040281009E-2</c:v>
                </c:pt>
                <c:pt idx="163">
                  <c:v>2.6546509825437319E-2</c:v>
                </c:pt>
                <c:pt idx="164">
                  <c:v>2.5866178590476255E-2</c:v>
                </c:pt>
                <c:pt idx="165">
                  <c:v>2.5190310650443817E-2</c:v>
                </c:pt>
                <c:pt idx="166">
                  <c:v>2.5410299684353117E-2</c:v>
                </c:pt>
                <c:pt idx="167">
                  <c:v>2.4411199343717719E-2</c:v>
                </c:pt>
                <c:pt idx="168">
                  <c:v>2.3482917794555747E-2</c:v>
                </c:pt>
                <c:pt idx="169">
                  <c:v>2.2796052558022025E-2</c:v>
                </c:pt>
                <c:pt idx="170">
                  <c:v>2.3026915053326696E-2</c:v>
                </c:pt>
                <c:pt idx="171">
                  <c:v>2.2211323373737747E-2</c:v>
                </c:pt>
                <c:pt idx="172">
                  <c:v>2.2737824685938254E-2</c:v>
                </c:pt>
                <c:pt idx="173">
                  <c:v>2.2037692806277417E-2</c:v>
                </c:pt>
                <c:pt idx="174">
                  <c:v>2.2469278080221689E-2</c:v>
                </c:pt>
                <c:pt idx="175">
                  <c:v>2.1664714263472603E-2</c:v>
                </c:pt>
                <c:pt idx="176">
                  <c:v>2.0958871921920141E-2</c:v>
                </c:pt>
                <c:pt idx="177">
                  <c:v>2.0470936930625634E-2</c:v>
                </c:pt>
                <c:pt idx="178">
                  <c:v>2.0225121212166023E-2</c:v>
                </c:pt>
                <c:pt idx="179">
                  <c:v>1.9487634429896365E-2</c:v>
                </c:pt>
                <c:pt idx="180">
                  <c:v>1.8915203685345224E-2</c:v>
                </c:pt>
                <c:pt idx="181">
                  <c:v>1.8170879896052709E-2</c:v>
                </c:pt>
                <c:pt idx="182">
                  <c:v>1.9331324173646039E-2</c:v>
                </c:pt>
                <c:pt idx="183">
                  <c:v>2.0646513535793758E-2</c:v>
                </c:pt>
                <c:pt idx="184">
                  <c:v>1.9899566885548007E-2</c:v>
                </c:pt>
                <c:pt idx="185">
                  <c:v>2.0163791069542372E-2</c:v>
                </c:pt>
                <c:pt idx="186">
                  <c:v>1.9589646170824954E-2</c:v>
                </c:pt>
                <c:pt idx="187">
                  <c:v>1.9695336694373261E-2</c:v>
                </c:pt>
                <c:pt idx="188">
                  <c:v>1.9047925358232402E-2</c:v>
                </c:pt>
                <c:pt idx="189">
                  <c:v>1.9604784401702616E-2</c:v>
                </c:pt>
                <c:pt idx="190">
                  <c:v>2.0475347341962893E-2</c:v>
                </c:pt>
                <c:pt idx="191">
                  <c:v>2.0617914543989015E-2</c:v>
                </c:pt>
                <c:pt idx="192">
                  <c:v>2.0406532024394047E-2</c:v>
                </c:pt>
                <c:pt idx="193">
                  <c:v>2.0239280254690815E-2</c:v>
                </c:pt>
                <c:pt idx="194">
                  <c:v>1.9570451857288028E-2</c:v>
                </c:pt>
                <c:pt idx="195">
                  <c:v>2.099455458202934E-2</c:v>
                </c:pt>
                <c:pt idx="196">
                  <c:v>2.0162413847677235E-2</c:v>
                </c:pt>
                <c:pt idx="197">
                  <c:v>1.9552530680602486E-2</c:v>
                </c:pt>
                <c:pt idx="198">
                  <c:v>1.8795369206639798E-2</c:v>
                </c:pt>
                <c:pt idx="199">
                  <c:v>1.8678433579236136E-2</c:v>
                </c:pt>
                <c:pt idx="200">
                  <c:v>1.874846132739455E-2</c:v>
                </c:pt>
                <c:pt idx="201">
                  <c:v>1.8866413247711329E-2</c:v>
                </c:pt>
                <c:pt idx="202">
                  <c:v>1.8462549255904948E-2</c:v>
                </c:pt>
                <c:pt idx="203">
                  <c:v>1.7775478744622389E-2</c:v>
                </c:pt>
                <c:pt idx="204">
                  <c:v>1.7843719040773816E-2</c:v>
                </c:pt>
                <c:pt idx="205">
                  <c:v>1.7503219835504191E-2</c:v>
                </c:pt>
                <c:pt idx="206">
                  <c:v>1.7731913640440945E-2</c:v>
                </c:pt>
                <c:pt idx="207">
                  <c:v>1.7277603998585026E-2</c:v>
                </c:pt>
                <c:pt idx="208">
                  <c:v>1.9070807702288407E-2</c:v>
                </c:pt>
                <c:pt idx="209">
                  <c:v>1.8314720093460059E-2</c:v>
                </c:pt>
                <c:pt idx="210">
                  <c:v>1.8924415277475834E-2</c:v>
                </c:pt>
                <c:pt idx="211">
                  <c:v>1.9817557587530996E-2</c:v>
                </c:pt>
                <c:pt idx="212">
                  <c:v>1.9545976598779227E-2</c:v>
                </c:pt>
                <c:pt idx="213">
                  <c:v>1.9474636573641943E-2</c:v>
                </c:pt>
                <c:pt idx="214">
                  <c:v>1.8784527841789897E-2</c:v>
                </c:pt>
                <c:pt idx="215">
                  <c:v>1.8124159549921279E-2</c:v>
                </c:pt>
                <c:pt idx="216">
                  <c:v>1.7706737630931318E-2</c:v>
                </c:pt>
                <c:pt idx="217">
                  <c:v>1.9945507472411139E-2</c:v>
                </c:pt>
                <c:pt idx="218">
                  <c:v>1.9303212542846324E-2</c:v>
                </c:pt>
                <c:pt idx="219">
                  <c:v>1.93030614669761E-2</c:v>
                </c:pt>
                <c:pt idx="220">
                  <c:v>1.8729564420836901E-2</c:v>
                </c:pt>
                <c:pt idx="221">
                  <c:v>1.8036535703469952E-2</c:v>
                </c:pt>
                <c:pt idx="222">
                  <c:v>1.7940231324089461E-2</c:v>
                </c:pt>
                <c:pt idx="223">
                  <c:v>1.7864663435797366E-2</c:v>
                </c:pt>
                <c:pt idx="224">
                  <c:v>1.7156447041525996E-2</c:v>
                </c:pt>
                <c:pt idx="225">
                  <c:v>1.7291916565821096E-2</c:v>
                </c:pt>
                <c:pt idx="226">
                  <c:v>1.6646324987326946E-2</c:v>
                </c:pt>
                <c:pt idx="227">
                  <c:v>1.7157207335904475E-2</c:v>
                </c:pt>
                <c:pt idx="228">
                  <c:v>1.6493751315481055E-2</c:v>
                </c:pt>
                <c:pt idx="229">
                  <c:v>1.7761689109723384E-2</c:v>
                </c:pt>
                <c:pt idx="230">
                  <c:v>1.7068345077426071E-2</c:v>
                </c:pt>
                <c:pt idx="231">
                  <c:v>2.0210909268737386E-2</c:v>
                </c:pt>
                <c:pt idx="232">
                  <c:v>1.9416589426174531E-2</c:v>
                </c:pt>
                <c:pt idx="233">
                  <c:v>1.8646586715107025E-2</c:v>
                </c:pt>
                <c:pt idx="234">
                  <c:v>1.813298298696172E-2</c:v>
                </c:pt>
                <c:pt idx="235">
                  <c:v>1.7416497406260566E-2</c:v>
                </c:pt>
                <c:pt idx="236">
                  <c:v>1.6735150410395899E-2</c:v>
                </c:pt>
                <c:pt idx="237">
                  <c:v>1.7140370534014415E-2</c:v>
                </c:pt>
                <c:pt idx="238">
                  <c:v>1.7109761968300708E-2</c:v>
                </c:pt>
                <c:pt idx="239">
                  <c:v>1.6956954396616319E-2</c:v>
                </c:pt>
                <c:pt idx="240">
                  <c:v>1.6465080558513534E-2</c:v>
                </c:pt>
                <c:pt idx="241">
                  <c:v>1.6129114417910689E-2</c:v>
                </c:pt>
                <c:pt idx="242">
                  <c:v>1.551567213793931E-2</c:v>
                </c:pt>
                <c:pt idx="243">
                  <c:v>1.4927147584619891E-2</c:v>
                </c:pt>
                <c:pt idx="244">
                  <c:v>1.4707994018914157E-2</c:v>
                </c:pt>
                <c:pt idx="245">
                  <c:v>1.6329809630978756E-2</c:v>
                </c:pt>
                <c:pt idx="246">
                  <c:v>1.5691518515684195E-2</c:v>
                </c:pt>
                <c:pt idx="247">
                  <c:v>1.5242949344940533E-2</c:v>
                </c:pt>
                <c:pt idx="248">
                  <c:v>1.4851669152715076E-2</c:v>
                </c:pt>
                <c:pt idx="249">
                  <c:v>1.4262621597190491E-2</c:v>
                </c:pt>
                <c:pt idx="250">
                  <c:v>1.4137347630278626E-2</c:v>
                </c:pt>
                <c:pt idx="251">
                  <c:v>1.3897615863568236E-2</c:v>
                </c:pt>
                <c:pt idx="252">
                  <c:v>1.3400156597110462E-2</c:v>
                </c:pt>
                <c:pt idx="253">
                  <c:v>1.3562295013015022E-2</c:v>
                </c:pt>
                <c:pt idx="254">
                  <c:v>1.3024476527657692E-2</c:v>
                </c:pt>
                <c:pt idx="255">
                  <c:v>1.2534709996174681E-2</c:v>
                </c:pt>
                <c:pt idx="256">
                  <c:v>1.205836460998258E-2</c:v>
                </c:pt>
                <c:pt idx="257">
                  <c:v>1.1597212719813442E-2</c:v>
                </c:pt>
                <c:pt idx="258">
                  <c:v>1.1407144028334872E-2</c:v>
                </c:pt>
                <c:pt idx="259">
                  <c:v>1.0955040311650411E-2</c:v>
                </c:pt>
                <c:pt idx="260">
                  <c:v>1.0540637366279398E-2</c:v>
                </c:pt>
                <c:pt idx="261">
                  <c:v>1.021661653106843E-2</c:v>
                </c:pt>
                <c:pt idx="262">
                  <c:v>9.8611073637172517E-3</c:v>
                </c:pt>
                <c:pt idx="263">
                  <c:v>9.9583524998101448E-3</c:v>
                </c:pt>
                <c:pt idx="264">
                  <c:v>9.6615329489622599E-3</c:v>
                </c:pt>
                <c:pt idx="265">
                  <c:v>9.2802021421132357E-3</c:v>
                </c:pt>
                <c:pt idx="266">
                  <c:v>8.9130883536964016E-3</c:v>
                </c:pt>
                <c:pt idx="267">
                  <c:v>8.5643500143459741E-3</c:v>
                </c:pt>
                <c:pt idx="268">
                  <c:v>8.5697958423860444E-3</c:v>
                </c:pt>
                <c:pt idx="269">
                  <c:v>8.385309549828383E-3</c:v>
                </c:pt>
                <c:pt idx="270">
                  <c:v>8.0649797680594649E-3</c:v>
                </c:pt>
                <c:pt idx="271">
                  <c:v>7.7770424553868988E-3</c:v>
                </c:pt>
                <c:pt idx="272">
                  <c:v>7.4696675266695319E-3</c:v>
                </c:pt>
                <c:pt idx="273">
                  <c:v>7.5869371049868206E-3</c:v>
                </c:pt>
                <c:pt idx="274">
                  <c:v>7.2924039846864602E-3</c:v>
                </c:pt>
                <c:pt idx="275">
                  <c:v>8.0864903429497814E-3</c:v>
                </c:pt>
                <c:pt idx="276">
                  <c:v>7.766653904797664E-3</c:v>
                </c:pt>
                <c:pt idx="277">
                  <c:v>7.479868380140078E-3</c:v>
                </c:pt>
                <c:pt idx="278">
                  <c:v>7.2083518647179552E-3</c:v>
                </c:pt>
                <c:pt idx="279">
                  <c:v>6.9346207067288758E-3</c:v>
                </c:pt>
                <c:pt idx="280">
                  <c:v>6.9327226520440729E-3</c:v>
                </c:pt>
                <c:pt idx="281">
                  <c:v>6.9207418514857285E-3</c:v>
                </c:pt>
                <c:pt idx="282">
                  <c:v>6.6514091387152377E-3</c:v>
                </c:pt>
                <c:pt idx="283">
                  <c:v>6.5625242952189909E-3</c:v>
                </c:pt>
                <c:pt idx="284">
                  <c:v>7.0047885614030548E-3</c:v>
                </c:pt>
                <c:pt idx="285">
                  <c:v>6.7586945896837593E-3</c:v>
                </c:pt>
                <c:pt idx="286">
                  <c:v>6.4937247215823809E-3</c:v>
                </c:pt>
                <c:pt idx="287">
                  <c:v>6.3055611135649659E-3</c:v>
                </c:pt>
                <c:pt idx="288">
                  <c:v>6.1710306401843058E-3</c:v>
                </c:pt>
                <c:pt idx="289">
                  <c:v>5.9445529530972353E-3</c:v>
                </c:pt>
                <c:pt idx="290">
                  <c:v>5.7212379854627172E-3</c:v>
                </c:pt>
                <c:pt idx="291">
                  <c:v>5.5731881208333466E-3</c:v>
                </c:pt>
                <c:pt idx="292">
                  <c:v>5.5134732413886891E-3</c:v>
                </c:pt>
                <c:pt idx="293">
                  <c:v>5.5646505676661762E-3</c:v>
                </c:pt>
                <c:pt idx="294">
                  <c:v>5.4202848149924572E-3</c:v>
                </c:pt>
                <c:pt idx="295">
                  <c:v>5.3163855988781908E-3</c:v>
                </c:pt>
                <c:pt idx="296">
                  <c:v>6.6873999141157624E-3</c:v>
                </c:pt>
                <c:pt idx="297">
                  <c:v>6.7023268329062342E-3</c:v>
                </c:pt>
                <c:pt idx="298">
                  <c:v>6.9892939768270192E-3</c:v>
                </c:pt>
                <c:pt idx="299">
                  <c:v>6.7877481972385923E-3</c:v>
                </c:pt>
                <c:pt idx="300">
                  <c:v>6.5186780229725899E-3</c:v>
                </c:pt>
                <c:pt idx="301">
                  <c:v>8.0184116876649524E-3</c:v>
                </c:pt>
                <c:pt idx="302">
                  <c:v>7.7076066868186684E-3</c:v>
                </c:pt>
                <c:pt idx="303">
                  <c:v>7.5855322456240687E-3</c:v>
                </c:pt>
                <c:pt idx="304">
                  <c:v>7.2913419777947694E-3</c:v>
                </c:pt>
                <c:pt idx="305">
                  <c:v>7.088936171405668E-3</c:v>
                </c:pt>
                <c:pt idx="306">
                  <c:v>6.8591410547714261E-3</c:v>
                </c:pt>
                <c:pt idx="307">
                  <c:v>6.6077567983105889E-3</c:v>
                </c:pt>
                <c:pt idx="308">
                  <c:v>6.6584468309841775E-3</c:v>
                </c:pt>
                <c:pt idx="309">
                  <c:v>6.4526663256923734E-3</c:v>
                </c:pt>
                <c:pt idx="310">
                  <c:v>7.2928715423639674E-3</c:v>
                </c:pt>
                <c:pt idx="311">
                  <c:v>7.0476415517863808E-3</c:v>
                </c:pt>
                <c:pt idx="312">
                  <c:v>6.9076306223475907E-3</c:v>
                </c:pt>
                <c:pt idx="313">
                  <c:v>6.6488108995251451E-3</c:v>
                </c:pt>
                <c:pt idx="314">
                  <c:v>6.4675435901348508E-3</c:v>
                </c:pt>
                <c:pt idx="315">
                  <c:v>6.5515734902886211E-3</c:v>
                </c:pt>
                <c:pt idx="316">
                  <c:v>6.3896506098830184E-3</c:v>
                </c:pt>
                <c:pt idx="317">
                  <c:v>6.7697789438585466E-3</c:v>
                </c:pt>
                <c:pt idx="318">
                  <c:v>6.5036351370461069E-3</c:v>
                </c:pt>
                <c:pt idx="319">
                  <c:v>7.0110566154061617E-3</c:v>
                </c:pt>
                <c:pt idx="320">
                  <c:v>8.271227206509477E-3</c:v>
                </c:pt>
                <c:pt idx="321">
                  <c:v>8.2082981012103536E-3</c:v>
                </c:pt>
                <c:pt idx="322">
                  <c:v>8.7578364229133308E-3</c:v>
                </c:pt>
                <c:pt idx="323">
                  <c:v>9.109842644077994E-3</c:v>
                </c:pt>
                <c:pt idx="324">
                  <c:v>8.7496445153956593E-3</c:v>
                </c:pt>
                <c:pt idx="325">
                  <c:v>9.4322312552805425E-3</c:v>
                </c:pt>
                <c:pt idx="326">
                  <c:v>9.12871271086034E-3</c:v>
                </c:pt>
                <c:pt idx="327">
                  <c:v>8.9223626420877142E-3</c:v>
                </c:pt>
                <c:pt idx="328">
                  <c:v>8.574667040338161E-3</c:v>
                </c:pt>
                <c:pt idx="329">
                  <c:v>8.5645058352218969E-3</c:v>
                </c:pt>
                <c:pt idx="330">
                  <c:v>8.2883330651609532E-3</c:v>
                </c:pt>
                <c:pt idx="331">
                  <c:v>8.8111156640774905E-3</c:v>
                </c:pt>
                <c:pt idx="332">
                  <c:v>8.6629077221821362E-3</c:v>
                </c:pt>
                <c:pt idx="333">
                  <c:v>8.3464382914119947E-3</c:v>
                </c:pt>
                <c:pt idx="334">
                  <c:v>8.0884943484050096E-3</c:v>
                </c:pt>
                <c:pt idx="335">
                  <c:v>7.9254227088852644E-3</c:v>
                </c:pt>
                <c:pt idx="336">
                  <c:v>7.6429299474860095E-3</c:v>
                </c:pt>
                <c:pt idx="337">
                  <c:v>7.6464649778274522E-3</c:v>
                </c:pt>
                <c:pt idx="338">
                  <c:v>8.6329262546825519E-3</c:v>
                </c:pt>
                <c:pt idx="339">
                  <c:v>8.2910930295181269E-3</c:v>
                </c:pt>
                <c:pt idx="340">
                  <c:v>8.0515121587300606E-3</c:v>
                </c:pt>
                <c:pt idx="341">
                  <c:v>7.956292991909834E-3</c:v>
                </c:pt>
                <c:pt idx="342">
                  <c:v>7.6728169690891378E-3</c:v>
                </c:pt>
                <c:pt idx="343">
                  <c:v>7.4289845462658759E-3</c:v>
                </c:pt>
                <c:pt idx="344">
                  <c:v>7.7851507697600355E-3</c:v>
                </c:pt>
                <c:pt idx="345">
                  <c:v>7.6470859313277984E-3</c:v>
                </c:pt>
                <c:pt idx="346">
                  <c:v>7.4461848041958312E-3</c:v>
                </c:pt>
                <c:pt idx="347">
                  <c:v>8.3076966955332211E-3</c:v>
                </c:pt>
                <c:pt idx="348">
                  <c:v>8.2417674706957954E-3</c:v>
                </c:pt>
                <c:pt idx="349">
                  <c:v>9.0732265429570493E-3</c:v>
                </c:pt>
                <c:pt idx="350">
                  <c:v>8.7144081115885248E-3</c:v>
                </c:pt>
                <c:pt idx="351">
                  <c:v>8.3820600764548323E-3</c:v>
                </c:pt>
                <c:pt idx="352">
                  <c:v>8.0587802025770157E-3</c:v>
                </c:pt>
                <c:pt idx="353">
                  <c:v>7.7627161556791894E-3</c:v>
                </c:pt>
                <c:pt idx="354">
                  <c:v>8.0630821979380939E-3</c:v>
                </c:pt>
                <c:pt idx="355">
                  <c:v>8.7274085804975206E-3</c:v>
                </c:pt>
                <c:pt idx="356">
                  <c:v>8.4053145830912685E-3</c:v>
                </c:pt>
                <c:pt idx="357">
                  <c:v>1.0656591663093486E-2</c:v>
                </c:pt>
                <c:pt idx="358">
                  <c:v>1.0233962819696032E-2</c:v>
                </c:pt>
                <c:pt idx="359">
                  <c:v>9.9562120436171263E-3</c:v>
                </c:pt>
                <c:pt idx="360">
                  <c:v>1.1480185912291403E-2</c:v>
                </c:pt>
                <c:pt idx="361">
                  <c:v>1.1024885079494635E-2</c:v>
                </c:pt>
                <c:pt idx="362">
                  <c:v>1.0824754384427215E-2</c:v>
                </c:pt>
                <c:pt idx="363">
                  <c:v>1.0982086944472046E-2</c:v>
                </c:pt>
                <c:pt idx="364">
                  <c:v>1.1030015574572114E-2</c:v>
                </c:pt>
                <c:pt idx="365">
                  <c:v>1.0773301276151536E-2</c:v>
                </c:pt>
                <c:pt idx="366">
                  <c:v>1.0772004770538007E-2</c:v>
                </c:pt>
                <c:pt idx="367">
                  <c:v>1.0734912336498377E-2</c:v>
                </c:pt>
                <c:pt idx="368">
                  <c:v>1.0316987958497151E-2</c:v>
                </c:pt>
                <c:pt idx="369">
                  <c:v>1.0275344503137347E-2</c:v>
                </c:pt>
                <c:pt idx="370">
                  <c:v>9.8790075780365461E-3</c:v>
                </c:pt>
                <c:pt idx="371">
                  <c:v>1.1376091177782009E-2</c:v>
                </c:pt>
                <c:pt idx="372">
                  <c:v>1.110525957765995E-2</c:v>
                </c:pt>
                <c:pt idx="373">
                  <c:v>1.1569389386382457E-2</c:v>
                </c:pt>
                <c:pt idx="374">
                  <c:v>1.1189555239268716E-2</c:v>
                </c:pt>
                <c:pt idx="375">
                  <c:v>1.1031407311491669E-2</c:v>
                </c:pt>
                <c:pt idx="376">
                  <c:v>1.0610224037469657E-2</c:v>
                </c:pt>
                <c:pt idx="377">
                  <c:v>1.2285495598025654E-2</c:v>
                </c:pt>
                <c:pt idx="378">
                  <c:v>1.1818077937864963E-2</c:v>
                </c:pt>
                <c:pt idx="379">
                  <c:v>1.1480791080830086E-2</c:v>
                </c:pt>
                <c:pt idx="380">
                  <c:v>1.1102978346554979E-2</c:v>
                </c:pt>
                <c:pt idx="381">
                  <c:v>1.0985218541150235E-2</c:v>
                </c:pt>
                <c:pt idx="382">
                  <c:v>1.0559417976343466E-2</c:v>
                </c:pt>
                <c:pt idx="383">
                  <c:v>1.0392683101481259E-2</c:v>
                </c:pt>
                <c:pt idx="384">
                  <c:v>9.9804770003862134E-3</c:v>
                </c:pt>
                <c:pt idx="385">
                  <c:v>9.6854769216191804E-3</c:v>
                </c:pt>
                <c:pt idx="386">
                  <c:v>1.0360123259746177E-2</c:v>
                </c:pt>
                <c:pt idx="387">
                  <c:v>9.9701627948977425E-3</c:v>
                </c:pt>
                <c:pt idx="388">
                  <c:v>9.7934986613465464E-3</c:v>
                </c:pt>
                <c:pt idx="389">
                  <c:v>9.5865592236850251E-3</c:v>
                </c:pt>
                <c:pt idx="390">
                  <c:v>9.2373646926481728E-3</c:v>
                </c:pt>
                <c:pt idx="391">
                  <c:v>9.3083713793298186E-3</c:v>
                </c:pt>
                <c:pt idx="392">
                  <c:v>9.2809256635090921E-3</c:v>
                </c:pt>
                <c:pt idx="393">
                  <c:v>9.2656177392893852E-3</c:v>
                </c:pt>
                <c:pt idx="394">
                  <c:v>8.8985442090259714E-3</c:v>
                </c:pt>
                <c:pt idx="395">
                  <c:v>9.6929980638574154E-3</c:v>
                </c:pt>
                <c:pt idx="396">
                  <c:v>1.0696994568116517E-2</c:v>
                </c:pt>
                <c:pt idx="397">
                  <c:v>1.0273602419464426E-2</c:v>
                </c:pt>
                <c:pt idx="398">
                  <c:v>9.9395903871621321E-3</c:v>
                </c:pt>
                <c:pt idx="399">
                  <c:v>9.5827988105819835E-3</c:v>
                </c:pt>
                <c:pt idx="400">
                  <c:v>9.4312778903873819E-3</c:v>
                </c:pt>
                <c:pt idx="401">
                  <c:v>1.0473467292200804E-2</c:v>
                </c:pt>
                <c:pt idx="402">
                  <c:v>1.0078956570794965E-2</c:v>
                </c:pt>
                <c:pt idx="403">
                  <c:v>9.7828522025484779E-3</c:v>
                </c:pt>
                <c:pt idx="404">
                  <c:v>9.3964268904567824E-3</c:v>
                </c:pt>
                <c:pt idx="405">
                  <c:v>9.0244713870832969E-3</c:v>
                </c:pt>
                <c:pt idx="406">
                  <c:v>8.6879433354487383E-3</c:v>
                </c:pt>
                <c:pt idx="407">
                  <c:v>8.3506604265464347E-3</c:v>
                </c:pt>
                <c:pt idx="408">
                  <c:v>8.0195262717581116E-3</c:v>
                </c:pt>
                <c:pt idx="409">
                  <c:v>7.7079924242609253E-3</c:v>
                </c:pt>
                <c:pt idx="410">
                  <c:v>7.6606819328650542E-3</c:v>
                </c:pt>
                <c:pt idx="411">
                  <c:v>7.3752980133381879E-3</c:v>
                </c:pt>
                <c:pt idx="412">
                  <c:v>7.0827726214971725E-3</c:v>
                </c:pt>
                <c:pt idx="413">
                  <c:v>6.8716529962385194E-3</c:v>
                </c:pt>
                <c:pt idx="414">
                  <c:v>6.5994033158275215E-3</c:v>
                </c:pt>
                <c:pt idx="415">
                  <c:v>6.7285558235714886E-3</c:v>
                </c:pt>
                <c:pt idx="416">
                  <c:v>6.7061135859915423E-3</c:v>
                </c:pt>
                <c:pt idx="417">
                  <c:v>6.4415715758567391E-3</c:v>
                </c:pt>
                <c:pt idx="418">
                  <c:v>6.1901858235638065E-3</c:v>
                </c:pt>
                <c:pt idx="419">
                  <c:v>5.9493203613466836E-3</c:v>
                </c:pt>
                <c:pt idx="420">
                  <c:v>6.1169576554859009E-3</c:v>
                </c:pt>
                <c:pt idx="421">
                  <c:v>6.0414411473650705E-3</c:v>
                </c:pt>
                <c:pt idx="422">
                  <c:v>5.8109310523000455E-3</c:v>
                </c:pt>
                <c:pt idx="423">
                  <c:v>5.5883950186595725E-3</c:v>
                </c:pt>
                <c:pt idx="424">
                  <c:v>7.7859529140872508E-3</c:v>
                </c:pt>
                <c:pt idx="425">
                  <c:v>7.5615966475879896E-3</c:v>
                </c:pt>
                <c:pt idx="426">
                  <c:v>7.4624960287786816E-3</c:v>
                </c:pt>
                <c:pt idx="427">
                  <c:v>7.2194592043460411E-3</c:v>
                </c:pt>
                <c:pt idx="428">
                  <c:v>6.9575747220294495E-3</c:v>
                </c:pt>
                <c:pt idx="429">
                  <c:v>8.0619291181550663E-3</c:v>
                </c:pt>
                <c:pt idx="430">
                  <c:v>7.8201652149255223E-3</c:v>
                </c:pt>
                <c:pt idx="431">
                  <c:v>7.5605224014419726E-3</c:v>
                </c:pt>
                <c:pt idx="432">
                  <c:v>7.2694235569520258E-3</c:v>
                </c:pt>
                <c:pt idx="433">
                  <c:v>6.9889076778699632E-3</c:v>
                </c:pt>
                <c:pt idx="434">
                  <c:v>6.7133994831123558E-3</c:v>
                </c:pt>
                <c:pt idx="435">
                  <c:v>6.4471588621738546E-3</c:v>
                </c:pt>
                <c:pt idx="436">
                  <c:v>6.2227343756445655E-3</c:v>
                </c:pt>
                <c:pt idx="437">
                  <c:v>6.6616686379657635E-3</c:v>
                </c:pt>
                <c:pt idx="438">
                  <c:v>6.5955229719582512E-3</c:v>
                </c:pt>
                <c:pt idx="439">
                  <c:v>6.876649932382079E-3</c:v>
                </c:pt>
                <c:pt idx="440">
                  <c:v>6.72142009152838E-3</c:v>
                </c:pt>
                <c:pt idx="441">
                  <c:v>6.4969227862663103E-3</c:v>
                </c:pt>
                <c:pt idx="442">
                  <c:v>6.2439691632601695E-3</c:v>
                </c:pt>
                <c:pt idx="443">
                  <c:v>6.0805823602800317E-3</c:v>
                </c:pt>
                <c:pt idx="444">
                  <c:v>6.1702736906924698E-3</c:v>
                </c:pt>
                <c:pt idx="445">
                  <c:v>5.9262197371458417E-3</c:v>
                </c:pt>
                <c:pt idx="446">
                  <c:v>5.7724916486171967E-3</c:v>
                </c:pt>
                <c:pt idx="447">
                  <c:v>6.1978501437118206E-3</c:v>
                </c:pt>
                <c:pt idx="448">
                  <c:v>6.1985861968936124E-3</c:v>
                </c:pt>
                <c:pt idx="449">
                  <c:v>5.9529799347738952E-3</c:v>
                </c:pt>
                <c:pt idx="450">
                  <c:v>5.7765611824469529E-3</c:v>
                </c:pt>
                <c:pt idx="451">
                  <c:v>5.9838982921954637E-3</c:v>
                </c:pt>
                <c:pt idx="452">
                  <c:v>6.4140625542543342E-3</c:v>
                </c:pt>
                <c:pt idx="453">
                  <c:v>6.2652968443141889E-3</c:v>
                </c:pt>
                <c:pt idx="454">
                  <c:v>6.0553506299044785E-3</c:v>
                </c:pt>
                <c:pt idx="455">
                  <c:v>7.4516558018158192E-3</c:v>
                </c:pt>
                <c:pt idx="456">
                  <c:v>7.1571485711498161E-3</c:v>
                </c:pt>
                <c:pt idx="457">
                  <c:v>7.9812758715354336E-3</c:v>
                </c:pt>
                <c:pt idx="458">
                  <c:v>7.7129954748498871E-3</c:v>
                </c:pt>
                <c:pt idx="459">
                  <c:v>7.453882461164749E-3</c:v>
                </c:pt>
                <c:pt idx="460">
                  <c:v>7.1611251891076956E-3</c:v>
                </c:pt>
                <c:pt idx="461">
                  <c:v>6.877229340611018E-3</c:v>
                </c:pt>
                <c:pt idx="462">
                  <c:v>7.2664499041194446E-3</c:v>
                </c:pt>
                <c:pt idx="463">
                  <c:v>7.4565941561256484E-3</c:v>
                </c:pt>
                <c:pt idx="464">
                  <c:v>7.1861604321568125E-3</c:v>
                </c:pt>
                <c:pt idx="465">
                  <c:v>7.2376445709346864E-3</c:v>
                </c:pt>
                <c:pt idx="466">
                  <c:v>9.6468075704129602E-3</c:v>
                </c:pt>
                <c:pt idx="467">
                  <c:v>9.8767413011619561E-3</c:v>
                </c:pt>
                <c:pt idx="468">
                  <c:v>9.4967983403572622E-3</c:v>
                </c:pt>
                <c:pt idx="469">
                  <c:v>9.1201975499158559E-3</c:v>
                </c:pt>
                <c:pt idx="470">
                  <c:v>8.8289628855006737E-3</c:v>
                </c:pt>
                <c:pt idx="471">
                  <c:v>9.3283511145860719E-3</c:v>
                </c:pt>
                <c:pt idx="472">
                  <c:v>8.9693895708800285E-3</c:v>
                </c:pt>
                <c:pt idx="473">
                  <c:v>8.7182155023807321E-3</c:v>
                </c:pt>
                <c:pt idx="474">
                  <c:v>1.0008638073913931E-2</c:v>
                </c:pt>
                <c:pt idx="475">
                  <c:v>9.6134420552713238E-3</c:v>
                </c:pt>
                <c:pt idx="476">
                  <c:v>9.2547314249377469E-3</c:v>
                </c:pt>
                <c:pt idx="477">
                  <c:v>9.5924034366162616E-3</c:v>
                </c:pt>
                <c:pt idx="478">
                  <c:v>9.2293412334565113E-3</c:v>
                </c:pt>
                <c:pt idx="479">
                  <c:v>8.9829150421110796E-3</c:v>
                </c:pt>
                <c:pt idx="480">
                  <c:v>8.8983045636251354E-3</c:v>
                </c:pt>
                <c:pt idx="481">
                  <c:v>8.627559764143769E-3</c:v>
                </c:pt>
                <c:pt idx="482">
                  <c:v>8.2854870034481179E-3</c:v>
                </c:pt>
                <c:pt idx="483">
                  <c:v>8.0666392462943673E-3</c:v>
                </c:pt>
                <c:pt idx="484">
                  <c:v>7.7613741951953388E-3</c:v>
                </c:pt>
                <c:pt idx="485">
                  <c:v>7.4666025150957084E-3</c:v>
                </c:pt>
                <c:pt idx="486">
                  <c:v>7.2292978266475022E-3</c:v>
                </c:pt>
                <c:pt idx="487">
                  <c:v>6.9900349887175922E-3</c:v>
                </c:pt>
                <c:pt idx="488">
                  <c:v>6.7134511922007315E-3</c:v>
                </c:pt>
                <c:pt idx="489">
                  <c:v>6.6991847458879759E-3</c:v>
                </c:pt>
                <c:pt idx="490">
                  <c:v>6.4346871183222042E-3</c:v>
                </c:pt>
                <c:pt idx="491">
                  <c:v>6.4274876020604024E-3</c:v>
                </c:pt>
                <c:pt idx="492">
                  <c:v>6.2797795837252358E-3</c:v>
                </c:pt>
                <c:pt idx="493">
                  <c:v>6.8700048128751265E-3</c:v>
                </c:pt>
                <c:pt idx="494">
                  <c:v>7.3259527688656848E-3</c:v>
                </c:pt>
                <c:pt idx="495">
                  <c:v>7.3490893468706976E-3</c:v>
                </c:pt>
                <c:pt idx="496">
                  <c:v>7.2207263585761334E-3</c:v>
                </c:pt>
                <c:pt idx="497">
                  <c:v>7.4154474954653349E-3</c:v>
                </c:pt>
                <c:pt idx="498">
                  <c:v>7.153842330583882E-3</c:v>
                </c:pt>
                <c:pt idx="499">
                  <c:v>6.9992044276672473E-3</c:v>
                </c:pt>
                <c:pt idx="500">
                  <c:v>6.7301855181371812E-3</c:v>
                </c:pt>
                <c:pt idx="501">
                  <c:v>7.1675219193222551E-3</c:v>
                </c:pt>
                <c:pt idx="502">
                  <c:v>8.3261198071567562E-3</c:v>
                </c:pt>
                <c:pt idx="503">
                  <c:v>1.0623790869338021E-2</c:v>
                </c:pt>
                <c:pt idx="504">
                  <c:v>1.0219013077163898E-2</c:v>
                </c:pt>
                <c:pt idx="505">
                  <c:v>9.9065660199400343E-3</c:v>
                </c:pt>
                <c:pt idx="506">
                  <c:v>9.5535401630466189E-3</c:v>
                </c:pt>
                <c:pt idx="507">
                  <c:v>9.2192007739215071E-3</c:v>
                </c:pt>
                <c:pt idx="508">
                  <c:v>8.8843752111542242E-3</c:v>
                </c:pt>
                <c:pt idx="509">
                  <c:v>8.7891425298077096E-3</c:v>
                </c:pt>
                <c:pt idx="510">
                  <c:v>8.440547512351031E-3</c:v>
                </c:pt>
                <c:pt idx="511">
                  <c:v>8.1099255005982595E-3</c:v>
                </c:pt>
                <c:pt idx="512">
                  <c:v>7.7946097926279304E-3</c:v>
                </c:pt>
                <c:pt idx="513">
                  <c:v>7.4856521476505782E-3</c:v>
                </c:pt>
                <c:pt idx="514">
                  <c:v>7.3579948527756709E-3</c:v>
                </c:pt>
                <c:pt idx="515">
                  <c:v>7.1293765735507622E-3</c:v>
                </c:pt>
                <c:pt idx="516">
                  <c:v>6.9565655749339404E-3</c:v>
                </c:pt>
                <c:pt idx="517">
                  <c:v>6.6938373181153745E-3</c:v>
                </c:pt>
                <c:pt idx="518">
                  <c:v>6.4283386457952771E-3</c:v>
                </c:pt>
                <c:pt idx="519">
                  <c:v>6.35638542527041E-3</c:v>
                </c:pt>
                <c:pt idx="520">
                  <c:v>6.1260619798762508E-3</c:v>
                </c:pt>
                <c:pt idx="521">
                  <c:v>6.052067912613918E-3</c:v>
                </c:pt>
                <c:pt idx="522">
                  <c:v>5.9132597056203041E-3</c:v>
                </c:pt>
                <c:pt idx="523">
                  <c:v>5.7236412617537018E-3</c:v>
                </c:pt>
                <c:pt idx="524">
                  <c:v>6.1637681820104909E-3</c:v>
                </c:pt>
                <c:pt idx="525">
                  <c:v>6.7461790639721485E-3</c:v>
                </c:pt>
                <c:pt idx="526">
                  <c:v>7.0937782166934108E-3</c:v>
                </c:pt>
                <c:pt idx="527">
                  <c:v>6.814136444731703E-3</c:v>
                </c:pt>
                <c:pt idx="528">
                  <c:v>6.5632369223691915E-3</c:v>
                </c:pt>
                <c:pt idx="529">
                  <c:v>6.4962913359236383E-3</c:v>
                </c:pt>
                <c:pt idx="530">
                  <c:v>6.2409177998582624E-3</c:v>
                </c:pt>
                <c:pt idx="531">
                  <c:v>6.0098412738953831E-3</c:v>
                </c:pt>
                <c:pt idx="532">
                  <c:v>5.7738332494897448E-3</c:v>
                </c:pt>
                <c:pt idx="533">
                  <c:v>5.5481655740351231E-3</c:v>
                </c:pt>
                <c:pt idx="534">
                  <c:v>5.3360795578649206E-3</c:v>
                </c:pt>
                <c:pt idx="535">
                  <c:v>5.5149228194491156E-3</c:v>
                </c:pt>
                <c:pt idx="536">
                  <c:v>6.3374273600204801E-3</c:v>
                </c:pt>
                <c:pt idx="537">
                  <c:v>6.3363119635830118E-3</c:v>
                </c:pt>
                <c:pt idx="538">
                  <c:v>6.5542908107687654E-3</c:v>
                </c:pt>
                <c:pt idx="539">
                  <c:v>8.1344942561845067E-3</c:v>
                </c:pt>
                <c:pt idx="540">
                  <c:v>7.9943503759001971E-3</c:v>
                </c:pt>
                <c:pt idx="541">
                  <c:v>8.4483251762344502E-3</c:v>
                </c:pt>
                <c:pt idx="542">
                  <c:v>8.1168179825899106E-3</c:v>
                </c:pt>
                <c:pt idx="543">
                  <c:v>7.8217058036639739E-3</c:v>
                </c:pt>
                <c:pt idx="544">
                  <c:v>7.6202073438966138E-3</c:v>
                </c:pt>
                <c:pt idx="545">
                  <c:v>7.784610294320966E-3</c:v>
                </c:pt>
                <c:pt idx="546">
                  <c:v>7.4819556835226363E-3</c:v>
                </c:pt>
                <c:pt idx="547">
                  <c:v>7.2029956215589712E-3</c:v>
                </c:pt>
                <c:pt idx="548">
                  <c:v>7.0287558532276875E-3</c:v>
                </c:pt>
                <c:pt idx="549">
                  <c:v>6.8103090565505174E-3</c:v>
                </c:pt>
                <c:pt idx="550">
                  <c:v>6.5745150962839239E-3</c:v>
                </c:pt>
                <c:pt idx="551">
                  <c:v>6.3243578487788069E-3</c:v>
                </c:pt>
                <c:pt idx="552">
                  <c:v>6.2701617743774422E-3</c:v>
                </c:pt>
                <c:pt idx="553">
                  <c:v>6.038382275293898E-3</c:v>
                </c:pt>
                <c:pt idx="554">
                  <c:v>6.0000822481231127E-3</c:v>
                </c:pt>
                <c:pt idx="555">
                  <c:v>5.8016555273614429E-3</c:v>
                </c:pt>
                <c:pt idx="556">
                  <c:v>5.8742328443011317E-3</c:v>
                </c:pt>
                <c:pt idx="557">
                  <c:v>6.0993417251838863E-3</c:v>
                </c:pt>
                <c:pt idx="558">
                  <c:v>6.1873138211449808E-3</c:v>
                </c:pt>
                <c:pt idx="559">
                  <c:v>6.0146922663987202E-3</c:v>
                </c:pt>
                <c:pt idx="560">
                  <c:v>6.1676297972874236E-3</c:v>
                </c:pt>
                <c:pt idx="561">
                  <c:v>5.9252746573852195E-3</c:v>
                </c:pt>
                <c:pt idx="562">
                  <c:v>5.8011589152015047E-3</c:v>
                </c:pt>
                <c:pt idx="563">
                  <c:v>5.7096309711081828E-3</c:v>
                </c:pt>
                <c:pt idx="564">
                  <c:v>5.6687329375942211E-3</c:v>
                </c:pt>
                <c:pt idx="565">
                  <c:v>6.1948184270706596E-3</c:v>
                </c:pt>
                <c:pt idx="566">
                  <c:v>6.0548453195724741E-3</c:v>
                </c:pt>
                <c:pt idx="567">
                  <c:v>5.9372620413574292E-3</c:v>
                </c:pt>
                <c:pt idx="568">
                  <c:v>5.9648638072230453E-3</c:v>
                </c:pt>
                <c:pt idx="569">
                  <c:v>5.8126126619358611E-3</c:v>
                </c:pt>
                <c:pt idx="570">
                  <c:v>6.5247521162703328E-3</c:v>
                </c:pt>
                <c:pt idx="571">
                  <c:v>6.3434926306758501E-3</c:v>
                </c:pt>
                <c:pt idx="572">
                  <c:v>6.1431743319315148E-3</c:v>
                </c:pt>
                <c:pt idx="573">
                  <c:v>8.7622718361820839E-3</c:v>
                </c:pt>
                <c:pt idx="574">
                  <c:v>9.3004747267984838E-3</c:v>
                </c:pt>
                <c:pt idx="575">
                  <c:v>9.7962473274023337E-3</c:v>
                </c:pt>
                <c:pt idx="576">
                  <c:v>9.5926884753500495E-3</c:v>
                </c:pt>
                <c:pt idx="577">
                  <c:v>9.5340626302416048E-3</c:v>
                </c:pt>
                <c:pt idx="578">
                  <c:v>9.247297314515783E-3</c:v>
                </c:pt>
                <c:pt idx="579">
                  <c:v>9.3390250073890346E-3</c:v>
                </c:pt>
                <c:pt idx="580">
                  <c:v>8.9686096557855376E-3</c:v>
                </c:pt>
                <c:pt idx="581">
                  <c:v>8.6857623952337048E-3</c:v>
                </c:pt>
                <c:pt idx="582">
                  <c:v>8.3570867705986089E-3</c:v>
                </c:pt>
                <c:pt idx="583">
                  <c:v>8.2702457413203513E-3</c:v>
                </c:pt>
                <c:pt idx="584">
                  <c:v>7.9723149010109684E-3</c:v>
                </c:pt>
                <c:pt idx="585">
                  <c:v>8.0879853475133122E-3</c:v>
                </c:pt>
                <c:pt idx="586">
                  <c:v>8.1943263408140263E-3</c:v>
                </c:pt>
                <c:pt idx="587">
                  <c:v>8.3943413681034935E-3</c:v>
                </c:pt>
                <c:pt idx="588">
                  <c:v>8.0788953893951056E-3</c:v>
                </c:pt>
                <c:pt idx="589">
                  <c:v>7.8936464392643547E-3</c:v>
                </c:pt>
                <c:pt idx="590">
                  <c:v>7.6675589895401127E-3</c:v>
                </c:pt>
                <c:pt idx="591">
                  <c:v>7.4351339612610994E-3</c:v>
                </c:pt>
                <c:pt idx="592">
                  <c:v>7.2407793601507505E-3</c:v>
                </c:pt>
                <c:pt idx="593">
                  <c:v>6.953597214803711E-3</c:v>
                </c:pt>
                <c:pt idx="594">
                  <c:v>7.2464186461767286E-3</c:v>
                </c:pt>
                <c:pt idx="595">
                  <c:v>7.1028812852217925E-3</c:v>
                </c:pt>
                <c:pt idx="596">
                  <c:v>6.9634335306326877E-3</c:v>
                </c:pt>
                <c:pt idx="597">
                  <c:v>7.2721400802592028E-3</c:v>
                </c:pt>
                <c:pt idx="598">
                  <c:v>6.9864929504686894E-3</c:v>
                </c:pt>
                <c:pt idx="599">
                  <c:v>6.7265245966226595E-3</c:v>
                </c:pt>
                <c:pt idx="600">
                  <c:v>6.8625724605951696E-3</c:v>
                </c:pt>
                <c:pt idx="601">
                  <c:v>6.6407661751770467E-3</c:v>
                </c:pt>
                <c:pt idx="602">
                  <c:v>6.3792260309919599E-3</c:v>
                </c:pt>
                <c:pt idx="603">
                  <c:v>6.3747110546861548E-3</c:v>
                </c:pt>
                <c:pt idx="604">
                  <c:v>6.4317147895370658E-3</c:v>
                </c:pt>
                <c:pt idx="605">
                  <c:v>6.2605223319383008E-3</c:v>
                </c:pt>
                <c:pt idx="606">
                  <c:v>7.23140438747168E-3</c:v>
                </c:pt>
                <c:pt idx="607">
                  <c:v>7.1379792903762153E-3</c:v>
                </c:pt>
                <c:pt idx="608">
                  <c:v>7.0259169837407452E-3</c:v>
                </c:pt>
                <c:pt idx="609">
                  <c:v>7.7778704697695437E-3</c:v>
                </c:pt>
                <c:pt idx="610">
                  <c:v>7.832570981155914E-3</c:v>
                </c:pt>
                <c:pt idx="611">
                  <c:v>8.3197792064146972E-3</c:v>
                </c:pt>
                <c:pt idx="612">
                  <c:v>7.9903757675541861E-3</c:v>
                </c:pt>
                <c:pt idx="613">
                  <c:v>8.1841071309901106E-3</c:v>
                </c:pt>
                <c:pt idx="614">
                  <c:v>8.2014785206957746E-3</c:v>
                </c:pt>
                <c:pt idx="615">
                  <c:v>8.8758840620321387E-3</c:v>
                </c:pt>
                <c:pt idx="616">
                  <c:v>8.6812791269333823E-3</c:v>
                </c:pt>
                <c:pt idx="617">
                  <c:v>8.5978951588560736E-3</c:v>
                </c:pt>
                <c:pt idx="618">
                  <c:v>8.5357629197955875E-3</c:v>
                </c:pt>
                <c:pt idx="619">
                  <c:v>9.0731189392001584E-3</c:v>
                </c:pt>
                <c:pt idx="620">
                  <c:v>1.1216122265582915E-2</c:v>
                </c:pt>
                <c:pt idx="621">
                  <c:v>1.0796880694155143E-2</c:v>
                </c:pt>
                <c:pt idx="622">
                  <c:v>1.0914128198317989E-2</c:v>
                </c:pt>
                <c:pt idx="623">
                  <c:v>1.0807565856738482E-2</c:v>
                </c:pt>
                <c:pt idx="624">
                  <c:v>1.0714719035224128E-2</c:v>
                </c:pt>
                <c:pt idx="625">
                  <c:v>1.0433072978251285E-2</c:v>
                </c:pt>
                <c:pt idx="626">
                  <c:v>1.0090715095901702E-2</c:v>
                </c:pt>
                <c:pt idx="627">
                  <c:v>9.8063123106796758E-3</c:v>
                </c:pt>
                <c:pt idx="628">
                  <c:v>9.4185890153968607E-3</c:v>
                </c:pt>
                <c:pt idx="629">
                  <c:v>9.047933169242052E-3</c:v>
                </c:pt>
                <c:pt idx="630">
                  <c:v>9.138393853511435E-3</c:v>
                </c:pt>
                <c:pt idx="631">
                  <c:v>8.896640259662851E-3</c:v>
                </c:pt>
                <c:pt idx="632">
                  <c:v>8.7767227587199764E-3</c:v>
                </c:pt>
                <c:pt idx="633">
                  <c:v>8.4287619553501721E-3</c:v>
                </c:pt>
                <c:pt idx="634">
                  <c:v>8.9226394873634183E-3</c:v>
                </c:pt>
                <c:pt idx="635">
                  <c:v>8.6117210681899096E-3</c:v>
                </c:pt>
                <c:pt idx="636">
                  <c:v>8.2790212834889104E-3</c:v>
                </c:pt>
                <c:pt idx="637">
                  <c:v>8.0178731181662737E-3</c:v>
                </c:pt>
                <c:pt idx="638">
                  <c:v>7.7385075598494796E-3</c:v>
                </c:pt>
                <c:pt idx="639">
                  <c:v>7.5622737343321398E-3</c:v>
                </c:pt>
                <c:pt idx="640">
                  <c:v>7.2761714925108582E-3</c:v>
                </c:pt>
                <c:pt idx="641">
                  <c:v>7.010486012374792E-3</c:v>
                </c:pt>
                <c:pt idx="642">
                  <c:v>6.7522399094656653E-3</c:v>
                </c:pt>
                <c:pt idx="643">
                  <c:v>6.5712595797800324E-3</c:v>
                </c:pt>
                <c:pt idx="644">
                  <c:v>6.3506539819890035E-3</c:v>
                </c:pt>
                <c:pt idx="645">
                  <c:v>6.1031348129095371E-3</c:v>
                </c:pt>
                <c:pt idx="646">
                  <c:v>5.953268492267772E-3</c:v>
                </c:pt>
                <c:pt idx="647">
                  <c:v>5.7180926495047583E-3</c:v>
                </c:pt>
                <c:pt idx="648">
                  <c:v>5.4914266266507866E-3</c:v>
                </c:pt>
                <c:pt idx="649">
                  <c:v>6.3156446888222436E-3</c:v>
                </c:pt>
                <c:pt idx="650">
                  <c:v>6.0823423743941885E-3</c:v>
                </c:pt>
                <c:pt idx="651">
                  <c:v>5.8556757370668332E-3</c:v>
                </c:pt>
                <c:pt idx="652">
                  <c:v>5.8467225190131419E-3</c:v>
                </c:pt>
                <c:pt idx="653">
                  <c:v>5.7146106948343846E-3</c:v>
                </c:pt>
                <c:pt idx="654">
                  <c:v>5.5934693424159188E-3</c:v>
                </c:pt>
                <c:pt idx="655">
                  <c:v>5.4634007206129237E-3</c:v>
                </c:pt>
                <c:pt idx="656">
                  <c:v>5.2565553902977147E-3</c:v>
                </c:pt>
                <c:pt idx="657">
                  <c:v>5.1069046636970823E-3</c:v>
                </c:pt>
                <c:pt idx="658">
                  <c:v>5.1134180915377364E-3</c:v>
                </c:pt>
                <c:pt idx="659">
                  <c:v>6.3405281367143454E-3</c:v>
                </c:pt>
                <c:pt idx="660">
                  <c:v>6.1585996043528775E-3</c:v>
                </c:pt>
                <c:pt idx="661">
                  <c:v>6.1402182571796502E-3</c:v>
                </c:pt>
                <c:pt idx="662">
                  <c:v>5.9918135616878997E-3</c:v>
                </c:pt>
                <c:pt idx="663">
                  <c:v>5.9768496594149933E-3</c:v>
                </c:pt>
                <c:pt idx="664">
                  <c:v>6.2187149586763607E-3</c:v>
                </c:pt>
                <c:pt idx="665">
                  <c:v>6.0722353453411312E-3</c:v>
                </c:pt>
                <c:pt idx="666">
                  <c:v>5.9396228909025881E-3</c:v>
                </c:pt>
                <c:pt idx="667">
                  <c:v>7.241866717249021E-3</c:v>
                </c:pt>
                <c:pt idx="668">
                  <c:v>6.9965915407257714E-3</c:v>
                </c:pt>
                <c:pt idx="669">
                  <c:v>6.7413074901291527E-3</c:v>
                </c:pt>
                <c:pt idx="670">
                  <c:v>6.5343439523832996E-3</c:v>
                </c:pt>
                <c:pt idx="671">
                  <c:v>6.3812582766267813E-3</c:v>
                </c:pt>
                <c:pt idx="672">
                  <c:v>6.5296133119254474E-3</c:v>
                </c:pt>
                <c:pt idx="673">
                  <c:v>6.2796855689633583E-3</c:v>
                </c:pt>
                <c:pt idx="674">
                  <c:v>6.0306322667754778E-3</c:v>
                </c:pt>
                <c:pt idx="675">
                  <c:v>6.4209192832312637E-3</c:v>
                </c:pt>
                <c:pt idx="676">
                  <c:v>6.4951949058535781E-3</c:v>
                </c:pt>
                <c:pt idx="677">
                  <c:v>6.295197574326318E-3</c:v>
                </c:pt>
                <c:pt idx="678">
                  <c:v>6.118800355192809E-3</c:v>
                </c:pt>
                <c:pt idx="679">
                  <c:v>5.9245356344196027E-3</c:v>
                </c:pt>
                <c:pt idx="680">
                  <c:v>5.905662217645039E-3</c:v>
                </c:pt>
                <c:pt idx="681">
                  <c:v>5.7915811313135109E-3</c:v>
                </c:pt>
                <c:pt idx="682">
                  <c:v>6.5058416453201654E-3</c:v>
                </c:pt>
                <c:pt idx="683">
                  <c:v>6.2689361691689472E-3</c:v>
                </c:pt>
                <c:pt idx="684">
                  <c:v>6.3500404981809092E-3</c:v>
                </c:pt>
                <c:pt idx="685">
                  <c:v>6.2392198300611984E-3</c:v>
                </c:pt>
                <c:pt idx="686">
                  <c:v>6.0354733700688622E-3</c:v>
                </c:pt>
                <c:pt idx="687">
                  <c:v>5.8463438327144967E-3</c:v>
                </c:pt>
                <c:pt idx="688">
                  <c:v>5.6976682541768752E-3</c:v>
                </c:pt>
                <c:pt idx="689">
                  <c:v>5.5888218082900034E-3</c:v>
                </c:pt>
                <c:pt idx="690">
                  <c:v>5.6258272286459545E-3</c:v>
                </c:pt>
                <c:pt idx="691">
                  <c:v>5.8415733803284875E-3</c:v>
                </c:pt>
                <c:pt idx="692">
                  <c:v>5.6129591644932062E-3</c:v>
                </c:pt>
                <c:pt idx="693">
                  <c:v>5.9482516709410656E-3</c:v>
                </c:pt>
                <c:pt idx="694">
                  <c:v>6.0391752098276135E-3</c:v>
                </c:pt>
                <c:pt idx="695">
                  <c:v>6.2697816499793129E-3</c:v>
                </c:pt>
                <c:pt idx="696">
                  <c:v>6.9444820838247372E-3</c:v>
                </c:pt>
                <c:pt idx="697">
                  <c:v>6.6709601220737618E-3</c:v>
                </c:pt>
                <c:pt idx="698">
                  <c:v>8.7922311682135709E-3</c:v>
                </c:pt>
                <c:pt idx="699">
                  <c:v>8.6224239204491689E-3</c:v>
                </c:pt>
                <c:pt idx="700">
                  <c:v>8.3577053102373063E-3</c:v>
                </c:pt>
                <c:pt idx="701">
                  <c:v>8.2660317191204022E-3</c:v>
                </c:pt>
                <c:pt idx="702">
                  <c:v>8.8135186872716383E-3</c:v>
                </c:pt>
                <c:pt idx="703">
                  <c:v>8.6689666233290778E-3</c:v>
                </c:pt>
                <c:pt idx="704">
                  <c:v>8.5217720681712364E-3</c:v>
                </c:pt>
                <c:pt idx="705">
                  <c:v>8.1838113583796012E-3</c:v>
                </c:pt>
                <c:pt idx="706">
                  <c:v>8.0194896235069504E-3</c:v>
                </c:pt>
                <c:pt idx="707">
                  <c:v>7.8138028787773893E-3</c:v>
                </c:pt>
                <c:pt idx="708">
                  <c:v>7.5585033863048356E-3</c:v>
                </c:pt>
                <c:pt idx="709">
                  <c:v>7.3609802836613995E-3</c:v>
                </c:pt>
                <c:pt idx="710">
                  <c:v>7.0787248373106945E-3</c:v>
                </c:pt>
                <c:pt idx="711">
                  <c:v>6.97304835362615E-3</c:v>
                </c:pt>
                <c:pt idx="712">
                  <c:v>6.8337714003587147E-3</c:v>
                </c:pt>
                <c:pt idx="713">
                  <c:v>6.6498030620495375E-3</c:v>
                </c:pt>
                <c:pt idx="714">
                  <c:v>6.4370179096828566E-3</c:v>
                </c:pt>
                <c:pt idx="715">
                  <c:v>6.2610867072008776E-3</c:v>
                </c:pt>
                <c:pt idx="716">
                  <c:v>6.0635722668704144E-3</c:v>
                </c:pt>
                <c:pt idx="717">
                  <c:v>5.9427983207219551E-3</c:v>
                </c:pt>
                <c:pt idx="718">
                  <c:v>6.8017337288881112E-3</c:v>
                </c:pt>
                <c:pt idx="719">
                  <c:v>7.5166075940466216E-3</c:v>
                </c:pt>
                <c:pt idx="720">
                  <c:v>7.2212869780669386E-3</c:v>
                </c:pt>
                <c:pt idx="721">
                  <c:v>6.9663684154249441E-3</c:v>
                </c:pt>
                <c:pt idx="722">
                  <c:v>7.057722072816801E-3</c:v>
                </c:pt>
                <c:pt idx="723">
                  <c:v>6.910067625682509E-3</c:v>
                </c:pt>
                <c:pt idx="724">
                  <c:v>6.7391793799323864E-3</c:v>
                </c:pt>
                <c:pt idx="725">
                  <c:v>6.5538232856110412E-3</c:v>
                </c:pt>
                <c:pt idx="726">
                  <c:v>6.3196577807117611E-3</c:v>
                </c:pt>
                <c:pt idx="727">
                  <c:v>6.1533914153950918E-3</c:v>
                </c:pt>
                <c:pt idx="728">
                  <c:v>6.3258323245391837E-3</c:v>
                </c:pt>
                <c:pt idx="729">
                  <c:v>6.2297094981720808E-3</c:v>
                </c:pt>
                <c:pt idx="730">
                  <c:v>5.9929946359178442E-3</c:v>
                </c:pt>
                <c:pt idx="731">
                  <c:v>5.755444892870794E-3</c:v>
                </c:pt>
                <c:pt idx="732">
                  <c:v>5.5703274648550207E-3</c:v>
                </c:pt>
                <c:pt idx="733">
                  <c:v>5.3538789225489403E-3</c:v>
                </c:pt>
                <c:pt idx="734">
                  <c:v>5.1972775441375867E-3</c:v>
                </c:pt>
                <c:pt idx="735">
                  <c:v>5.0701700179306523E-3</c:v>
                </c:pt>
                <c:pt idx="736">
                  <c:v>4.8826363537612947E-3</c:v>
                </c:pt>
                <c:pt idx="737">
                  <c:v>4.8432529304356098E-3</c:v>
                </c:pt>
                <c:pt idx="738">
                  <c:v>5.5985269435196048E-3</c:v>
                </c:pt>
                <c:pt idx="739">
                  <c:v>5.4002504761673613E-3</c:v>
                </c:pt>
                <c:pt idx="740">
                  <c:v>5.2615416971881117E-3</c:v>
                </c:pt>
                <c:pt idx="741">
                  <c:v>5.9668372979608166E-3</c:v>
                </c:pt>
                <c:pt idx="742">
                  <c:v>5.8261915986463977E-3</c:v>
                </c:pt>
                <c:pt idx="743">
                  <c:v>5.5951776737374623E-3</c:v>
                </c:pt>
                <c:pt idx="744">
                  <c:v>5.6531401081224572E-3</c:v>
                </c:pt>
                <c:pt idx="745">
                  <c:v>5.4975590738411372E-3</c:v>
                </c:pt>
                <c:pt idx="746">
                  <c:v>7.0049609658023159E-3</c:v>
                </c:pt>
                <c:pt idx="747">
                  <c:v>6.7290661418001217E-3</c:v>
                </c:pt>
                <c:pt idx="748">
                  <c:v>6.5997296142583754E-3</c:v>
                </c:pt>
                <c:pt idx="749">
                  <c:v>6.5082384825318178E-3</c:v>
                </c:pt>
                <c:pt idx="750">
                  <c:v>6.3026086667952201E-3</c:v>
                </c:pt>
                <c:pt idx="751">
                  <c:v>6.1949171065641354E-3</c:v>
                </c:pt>
                <c:pt idx="752">
                  <c:v>5.9499474616659595E-3</c:v>
                </c:pt>
              </c:numCache>
            </c:numRef>
          </c:yVal>
          <c:smooth val="0"/>
        </c:ser>
        <c:dLbls>
          <c:showLegendKey val="0"/>
          <c:showVal val="0"/>
          <c:showCatName val="0"/>
          <c:showSerName val="0"/>
          <c:showPercent val="0"/>
          <c:showBubbleSize val="0"/>
        </c:dLbls>
        <c:axId val="-170451536"/>
        <c:axId val="-170449968"/>
      </c:scatterChart>
      <c:scatterChart>
        <c:scatterStyle val="lineMarker"/>
        <c:varyColors val="0"/>
        <c:ser>
          <c:idx val="2"/>
          <c:order val="2"/>
          <c:tx>
            <c:v>Index Return</c:v>
          </c:tx>
          <c:spPr>
            <a:ln w="12700">
              <a:solidFill>
                <a:srgbClr val="000000"/>
              </a:solidFill>
              <a:prstDash val="solid"/>
            </a:ln>
          </c:spPr>
          <c:marker>
            <c:symbol val="none"/>
          </c:marker>
          <c:xVal>
            <c:numRef>
              <c:f>Volatility!$B$5:$B$757</c:f>
              <c:numCache>
                <c:formatCode>yyyy\-mm\-dd</c:formatCode>
                <c:ptCount val="753"/>
                <c:pt idx="0">
                  <c:v>40546</c:v>
                </c:pt>
                <c:pt idx="1">
                  <c:v>40547</c:v>
                </c:pt>
                <c:pt idx="2">
                  <c:v>40548</c:v>
                </c:pt>
                <c:pt idx="3">
                  <c:v>40549</c:v>
                </c:pt>
                <c:pt idx="4">
                  <c:v>40550</c:v>
                </c:pt>
                <c:pt idx="5">
                  <c:v>40553</c:v>
                </c:pt>
                <c:pt idx="6">
                  <c:v>40554</c:v>
                </c:pt>
                <c:pt idx="7">
                  <c:v>40555</c:v>
                </c:pt>
                <c:pt idx="8">
                  <c:v>40556</c:v>
                </c:pt>
                <c:pt idx="9">
                  <c:v>40557</c:v>
                </c:pt>
                <c:pt idx="10">
                  <c:v>40561</c:v>
                </c:pt>
                <c:pt idx="11">
                  <c:v>40562</c:v>
                </c:pt>
                <c:pt idx="12">
                  <c:v>40563</c:v>
                </c:pt>
                <c:pt idx="13">
                  <c:v>40564</c:v>
                </c:pt>
                <c:pt idx="14">
                  <c:v>40567</c:v>
                </c:pt>
                <c:pt idx="15">
                  <c:v>40568</c:v>
                </c:pt>
                <c:pt idx="16">
                  <c:v>40569</c:v>
                </c:pt>
                <c:pt idx="17">
                  <c:v>40570</c:v>
                </c:pt>
                <c:pt idx="18">
                  <c:v>40571</c:v>
                </c:pt>
                <c:pt idx="19">
                  <c:v>40574</c:v>
                </c:pt>
                <c:pt idx="20">
                  <c:v>40575</c:v>
                </c:pt>
                <c:pt idx="21">
                  <c:v>40576</c:v>
                </c:pt>
                <c:pt idx="22">
                  <c:v>40577</c:v>
                </c:pt>
                <c:pt idx="23">
                  <c:v>40578</c:v>
                </c:pt>
                <c:pt idx="24">
                  <c:v>40581</c:v>
                </c:pt>
                <c:pt idx="25">
                  <c:v>40582</c:v>
                </c:pt>
                <c:pt idx="26">
                  <c:v>40583</c:v>
                </c:pt>
                <c:pt idx="27">
                  <c:v>40584</c:v>
                </c:pt>
                <c:pt idx="28">
                  <c:v>40585</c:v>
                </c:pt>
                <c:pt idx="29">
                  <c:v>40588</c:v>
                </c:pt>
                <c:pt idx="30">
                  <c:v>40589</c:v>
                </c:pt>
                <c:pt idx="31">
                  <c:v>40590</c:v>
                </c:pt>
                <c:pt idx="32">
                  <c:v>40591</c:v>
                </c:pt>
                <c:pt idx="33">
                  <c:v>40592</c:v>
                </c:pt>
                <c:pt idx="34">
                  <c:v>40596</c:v>
                </c:pt>
                <c:pt idx="35">
                  <c:v>40597</c:v>
                </c:pt>
                <c:pt idx="36">
                  <c:v>40598</c:v>
                </c:pt>
                <c:pt idx="37">
                  <c:v>40599</c:v>
                </c:pt>
                <c:pt idx="38">
                  <c:v>40602</c:v>
                </c:pt>
                <c:pt idx="39">
                  <c:v>40603</c:v>
                </c:pt>
                <c:pt idx="40">
                  <c:v>40604</c:v>
                </c:pt>
                <c:pt idx="41">
                  <c:v>40605</c:v>
                </c:pt>
                <c:pt idx="42">
                  <c:v>40606</c:v>
                </c:pt>
                <c:pt idx="43">
                  <c:v>40609</c:v>
                </c:pt>
                <c:pt idx="44">
                  <c:v>40610</c:v>
                </c:pt>
                <c:pt idx="45">
                  <c:v>40611</c:v>
                </c:pt>
                <c:pt idx="46">
                  <c:v>40612</c:v>
                </c:pt>
                <c:pt idx="47">
                  <c:v>40613</c:v>
                </c:pt>
                <c:pt idx="48">
                  <c:v>40616</c:v>
                </c:pt>
                <c:pt idx="49">
                  <c:v>40617</c:v>
                </c:pt>
                <c:pt idx="50">
                  <c:v>40618</c:v>
                </c:pt>
                <c:pt idx="51">
                  <c:v>40619</c:v>
                </c:pt>
                <c:pt idx="52">
                  <c:v>40620</c:v>
                </c:pt>
                <c:pt idx="53">
                  <c:v>40623</c:v>
                </c:pt>
                <c:pt idx="54">
                  <c:v>40624</c:v>
                </c:pt>
                <c:pt idx="55">
                  <c:v>40625</c:v>
                </c:pt>
                <c:pt idx="56">
                  <c:v>40626</c:v>
                </c:pt>
                <c:pt idx="57">
                  <c:v>40627</c:v>
                </c:pt>
                <c:pt idx="58">
                  <c:v>40630</c:v>
                </c:pt>
                <c:pt idx="59">
                  <c:v>40631</c:v>
                </c:pt>
                <c:pt idx="60">
                  <c:v>40632</c:v>
                </c:pt>
                <c:pt idx="61">
                  <c:v>40633</c:v>
                </c:pt>
                <c:pt idx="62">
                  <c:v>40634</c:v>
                </c:pt>
                <c:pt idx="63">
                  <c:v>40637</c:v>
                </c:pt>
                <c:pt idx="64">
                  <c:v>40638</c:v>
                </c:pt>
                <c:pt idx="65">
                  <c:v>40639</c:v>
                </c:pt>
                <c:pt idx="66">
                  <c:v>40640</c:v>
                </c:pt>
                <c:pt idx="67">
                  <c:v>40641</c:v>
                </c:pt>
                <c:pt idx="68">
                  <c:v>40644</c:v>
                </c:pt>
                <c:pt idx="69">
                  <c:v>40645</c:v>
                </c:pt>
                <c:pt idx="70">
                  <c:v>40646</c:v>
                </c:pt>
                <c:pt idx="71">
                  <c:v>40647</c:v>
                </c:pt>
                <c:pt idx="72">
                  <c:v>40648</c:v>
                </c:pt>
                <c:pt idx="73">
                  <c:v>40651</c:v>
                </c:pt>
                <c:pt idx="74">
                  <c:v>40652</c:v>
                </c:pt>
                <c:pt idx="75">
                  <c:v>40653</c:v>
                </c:pt>
                <c:pt idx="76">
                  <c:v>40654</c:v>
                </c:pt>
                <c:pt idx="77">
                  <c:v>40658</c:v>
                </c:pt>
                <c:pt idx="78">
                  <c:v>40659</c:v>
                </c:pt>
                <c:pt idx="79">
                  <c:v>40660</c:v>
                </c:pt>
                <c:pt idx="80">
                  <c:v>40661</c:v>
                </c:pt>
                <c:pt idx="81">
                  <c:v>40662</c:v>
                </c:pt>
                <c:pt idx="82">
                  <c:v>40665</c:v>
                </c:pt>
                <c:pt idx="83">
                  <c:v>40666</c:v>
                </c:pt>
                <c:pt idx="84">
                  <c:v>40667</c:v>
                </c:pt>
                <c:pt idx="85">
                  <c:v>40668</c:v>
                </c:pt>
                <c:pt idx="86">
                  <c:v>40669</c:v>
                </c:pt>
                <c:pt idx="87">
                  <c:v>40672</c:v>
                </c:pt>
                <c:pt idx="88">
                  <c:v>40673</c:v>
                </c:pt>
                <c:pt idx="89">
                  <c:v>40674</c:v>
                </c:pt>
                <c:pt idx="90">
                  <c:v>40675</c:v>
                </c:pt>
                <c:pt idx="91">
                  <c:v>40676</c:v>
                </c:pt>
                <c:pt idx="92">
                  <c:v>40679</c:v>
                </c:pt>
                <c:pt idx="93">
                  <c:v>40680</c:v>
                </c:pt>
                <c:pt idx="94">
                  <c:v>40681</c:v>
                </c:pt>
                <c:pt idx="95">
                  <c:v>40682</c:v>
                </c:pt>
                <c:pt idx="96">
                  <c:v>40683</c:v>
                </c:pt>
                <c:pt idx="97">
                  <c:v>40686</c:v>
                </c:pt>
                <c:pt idx="98">
                  <c:v>40687</c:v>
                </c:pt>
                <c:pt idx="99">
                  <c:v>40688</c:v>
                </c:pt>
                <c:pt idx="100">
                  <c:v>40689</c:v>
                </c:pt>
                <c:pt idx="101">
                  <c:v>40690</c:v>
                </c:pt>
                <c:pt idx="102">
                  <c:v>40694</c:v>
                </c:pt>
                <c:pt idx="103">
                  <c:v>40695</c:v>
                </c:pt>
                <c:pt idx="104">
                  <c:v>40696</c:v>
                </c:pt>
                <c:pt idx="105">
                  <c:v>40697</c:v>
                </c:pt>
                <c:pt idx="106">
                  <c:v>40700</c:v>
                </c:pt>
                <c:pt idx="107">
                  <c:v>40701</c:v>
                </c:pt>
                <c:pt idx="108">
                  <c:v>40702</c:v>
                </c:pt>
                <c:pt idx="109">
                  <c:v>40703</c:v>
                </c:pt>
                <c:pt idx="110">
                  <c:v>40704</c:v>
                </c:pt>
                <c:pt idx="111">
                  <c:v>40707</c:v>
                </c:pt>
                <c:pt idx="112">
                  <c:v>40708</c:v>
                </c:pt>
                <c:pt idx="113">
                  <c:v>40709</c:v>
                </c:pt>
                <c:pt idx="114">
                  <c:v>40710</c:v>
                </c:pt>
                <c:pt idx="115">
                  <c:v>40711</c:v>
                </c:pt>
                <c:pt idx="116">
                  <c:v>40714</c:v>
                </c:pt>
                <c:pt idx="117">
                  <c:v>40715</c:v>
                </c:pt>
                <c:pt idx="118">
                  <c:v>40716</c:v>
                </c:pt>
                <c:pt idx="119">
                  <c:v>40717</c:v>
                </c:pt>
                <c:pt idx="120">
                  <c:v>40718</c:v>
                </c:pt>
                <c:pt idx="121">
                  <c:v>40721</c:v>
                </c:pt>
                <c:pt idx="122">
                  <c:v>40722</c:v>
                </c:pt>
                <c:pt idx="123">
                  <c:v>40723</c:v>
                </c:pt>
                <c:pt idx="124">
                  <c:v>40724</c:v>
                </c:pt>
                <c:pt idx="125">
                  <c:v>40725</c:v>
                </c:pt>
                <c:pt idx="126">
                  <c:v>40729</c:v>
                </c:pt>
                <c:pt idx="127">
                  <c:v>40730</c:v>
                </c:pt>
                <c:pt idx="128">
                  <c:v>40731</c:v>
                </c:pt>
                <c:pt idx="129">
                  <c:v>40732</c:v>
                </c:pt>
                <c:pt idx="130">
                  <c:v>40735</c:v>
                </c:pt>
                <c:pt idx="131">
                  <c:v>40736</c:v>
                </c:pt>
                <c:pt idx="132">
                  <c:v>40737</c:v>
                </c:pt>
                <c:pt idx="133">
                  <c:v>40738</c:v>
                </c:pt>
                <c:pt idx="134">
                  <c:v>40739</c:v>
                </c:pt>
                <c:pt idx="135">
                  <c:v>40742</c:v>
                </c:pt>
                <c:pt idx="136">
                  <c:v>40743</c:v>
                </c:pt>
                <c:pt idx="137">
                  <c:v>40744</c:v>
                </c:pt>
                <c:pt idx="138">
                  <c:v>40745</c:v>
                </c:pt>
                <c:pt idx="139">
                  <c:v>40746</c:v>
                </c:pt>
                <c:pt idx="140">
                  <c:v>40749</c:v>
                </c:pt>
                <c:pt idx="141">
                  <c:v>40750</c:v>
                </c:pt>
                <c:pt idx="142">
                  <c:v>40751</c:v>
                </c:pt>
                <c:pt idx="143">
                  <c:v>40752</c:v>
                </c:pt>
                <c:pt idx="144">
                  <c:v>40753</c:v>
                </c:pt>
                <c:pt idx="145">
                  <c:v>40756</c:v>
                </c:pt>
                <c:pt idx="146">
                  <c:v>40757</c:v>
                </c:pt>
                <c:pt idx="147">
                  <c:v>40758</c:v>
                </c:pt>
                <c:pt idx="148">
                  <c:v>40759</c:v>
                </c:pt>
                <c:pt idx="149">
                  <c:v>40760</c:v>
                </c:pt>
                <c:pt idx="150">
                  <c:v>40763</c:v>
                </c:pt>
                <c:pt idx="151">
                  <c:v>40764</c:v>
                </c:pt>
                <c:pt idx="152">
                  <c:v>40765</c:v>
                </c:pt>
                <c:pt idx="153">
                  <c:v>40766</c:v>
                </c:pt>
                <c:pt idx="154">
                  <c:v>40767</c:v>
                </c:pt>
                <c:pt idx="155">
                  <c:v>40770</c:v>
                </c:pt>
                <c:pt idx="156">
                  <c:v>40771</c:v>
                </c:pt>
                <c:pt idx="157">
                  <c:v>40772</c:v>
                </c:pt>
                <c:pt idx="158">
                  <c:v>40773</c:v>
                </c:pt>
                <c:pt idx="159">
                  <c:v>40774</c:v>
                </c:pt>
                <c:pt idx="160">
                  <c:v>40777</c:v>
                </c:pt>
                <c:pt idx="161">
                  <c:v>40778</c:v>
                </c:pt>
                <c:pt idx="162">
                  <c:v>40779</c:v>
                </c:pt>
                <c:pt idx="163">
                  <c:v>40780</c:v>
                </c:pt>
                <c:pt idx="164">
                  <c:v>40781</c:v>
                </c:pt>
                <c:pt idx="165">
                  <c:v>40784</c:v>
                </c:pt>
                <c:pt idx="166">
                  <c:v>40785</c:v>
                </c:pt>
                <c:pt idx="167">
                  <c:v>40786</c:v>
                </c:pt>
                <c:pt idx="168">
                  <c:v>40787</c:v>
                </c:pt>
                <c:pt idx="169">
                  <c:v>40788</c:v>
                </c:pt>
                <c:pt idx="170">
                  <c:v>40792</c:v>
                </c:pt>
                <c:pt idx="171">
                  <c:v>40793</c:v>
                </c:pt>
                <c:pt idx="172">
                  <c:v>40794</c:v>
                </c:pt>
                <c:pt idx="173">
                  <c:v>40795</c:v>
                </c:pt>
                <c:pt idx="174">
                  <c:v>40798</c:v>
                </c:pt>
                <c:pt idx="175">
                  <c:v>40799</c:v>
                </c:pt>
                <c:pt idx="176">
                  <c:v>40800</c:v>
                </c:pt>
                <c:pt idx="177">
                  <c:v>40801</c:v>
                </c:pt>
                <c:pt idx="178">
                  <c:v>40802</c:v>
                </c:pt>
                <c:pt idx="179">
                  <c:v>40805</c:v>
                </c:pt>
                <c:pt idx="180">
                  <c:v>40806</c:v>
                </c:pt>
                <c:pt idx="181">
                  <c:v>40807</c:v>
                </c:pt>
                <c:pt idx="182">
                  <c:v>40808</c:v>
                </c:pt>
                <c:pt idx="183">
                  <c:v>40809</c:v>
                </c:pt>
                <c:pt idx="184">
                  <c:v>40812</c:v>
                </c:pt>
                <c:pt idx="185">
                  <c:v>40813</c:v>
                </c:pt>
                <c:pt idx="186">
                  <c:v>40814</c:v>
                </c:pt>
                <c:pt idx="187">
                  <c:v>40815</c:v>
                </c:pt>
                <c:pt idx="188">
                  <c:v>40816</c:v>
                </c:pt>
                <c:pt idx="189">
                  <c:v>40819</c:v>
                </c:pt>
                <c:pt idx="190">
                  <c:v>40820</c:v>
                </c:pt>
                <c:pt idx="191">
                  <c:v>40821</c:v>
                </c:pt>
                <c:pt idx="192">
                  <c:v>40822</c:v>
                </c:pt>
                <c:pt idx="193">
                  <c:v>40823</c:v>
                </c:pt>
                <c:pt idx="194">
                  <c:v>40826</c:v>
                </c:pt>
                <c:pt idx="195">
                  <c:v>40827</c:v>
                </c:pt>
                <c:pt idx="196">
                  <c:v>40828</c:v>
                </c:pt>
                <c:pt idx="197">
                  <c:v>40829</c:v>
                </c:pt>
                <c:pt idx="198">
                  <c:v>40830</c:v>
                </c:pt>
                <c:pt idx="199">
                  <c:v>40833</c:v>
                </c:pt>
                <c:pt idx="200">
                  <c:v>40834</c:v>
                </c:pt>
                <c:pt idx="201">
                  <c:v>40835</c:v>
                </c:pt>
                <c:pt idx="202">
                  <c:v>40836</c:v>
                </c:pt>
                <c:pt idx="203">
                  <c:v>40837</c:v>
                </c:pt>
                <c:pt idx="204">
                  <c:v>40840</c:v>
                </c:pt>
                <c:pt idx="205">
                  <c:v>40841</c:v>
                </c:pt>
                <c:pt idx="206">
                  <c:v>40842</c:v>
                </c:pt>
                <c:pt idx="207">
                  <c:v>40843</c:v>
                </c:pt>
                <c:pt idx="208">
                  <c:v>40844</c:v>
                </c:pt>
                <c:pt idx="209">
                  <c:v>40847</c:v>
                </c:pt>
                <c:pt idx="210">
                  <c:v>40848</c:v>
                </c:pt>
                <c:pt idx="211">
                  <c:v>40849</c:v>
                </c:pt>
                <c:pt idx="212">
                  <c:v>40850</c:v>
                </c:pt>
                <c:pt idx="213">
                  <c:v>40851</c:v>
                </c:pt>
                <c:pt idx="214">
                  <c:v>40854</c:v>
                </c:pt>
                <c:pt idx="215">
                  <c:v>40855</c:v>
                </c:pt>
                <c:pt idx="216">
                  <c:v>40856</c:v>
                </c:pt>
                <c:pt idx="217">
                  <c:v>40857</c:v>
                </c:pt>
                <c:pt idx="218">
                  <c:v>40858</c:v>
                </c:pt>
                <c:pt idx="219">
                  <c:v>40861</c:v>
                </c:pt>
                <c:pt idx="220">
                  <c:v>40862</c:v>
                </c:pt>
                <c:pt idx="221">
                  <c:v>40863</c:v>
                </c:pt>
                <c:pt idx="222">
                  <c:v>40864</c:v>
                </c:pt>
                <c:pt idx="223">
                  <c:v>40865</c:v>
                </c:pt>
                <c:pt idx="224">
                  <c:v>40868</c:v>
                </c:pt>
                <c:pt idx="225">
                  <c:v>40869</c:v>
                </c:pt>
                <c:pt idx="226">
                  <c:v>40870</c:v>
                </c:pt>
                <c:pt idx="227">
                  <c:v>40872</c:v>
                </c:pt>
                <c:pt idx="228">
                  <c:v>40875</c:v>
                </c:pt>
                <c:pt idx="229">
                  <c:v>40876</c:v>
                </c:pt>
                <c:pt idx="230">
                  <c:v>40877</c:v>
                </c:pt>
                <c:pt idx="231">
                  <c:v>40878</c:v>
                </c:pt>
                <c:pt idx="232">
                  <c:v>40879</c:v>
                </c:pt>
                <c:pt idx="233">
                  <c:v>40882</c:v>
                </c:pt>
                <c:pt idx="234">
                  <c:v>40883</c:v>
                </c:pt>
                <c:pt idx="235">
                  <c:v>40884</c:v>
                </c:pt>
                <c:pt idx="236">
                  <c:v>40885</c:v>
                </c:pt>
                <c:pt idx="237">
                  <c:v>40886</c:v>
                </c:pt>
                <c:pt idx="238">
                  <c:v>40889</c:v>
                </c:pt>
                <c:pt idx="239">
                  <c:v>40890</c:v>
                </c:pt>
                <c:pt idx="240">
                  <c:v>40891</c:v>
                </c:pt>
                <c:pt idx="241">
                  <c:v>40892</c:v>
                </c:pt>
                <c:pt idx="242">
                  <c:v>40893</c:v>
                </c:pt>
                <c:pt idx="243">
                  <c:v>40896</c:v>
                </c:pt>
                <c:pt idx="244">
                  <c:v>40897</c:v>
                </c:pt>
                <c:pt idx="245">
                  <c:v>40898</c:v>
                </c:pt>
                <c:pt idx="246">
                  <c:v>40899</c:v>
                </c:pt>
                <c:pt idx="247">
                  <c:v>40900</c:v>
                </c:pt>
                <c:pt idx="248">
                  <c:v>40904</c:v>
                </c:pt>
                <c:pt idx="249">
                  <c:v>40905</c:v>
                </c:pt>
                <c:pt idx="250">
                  <c:v>40906</c:v>
                </c:pt>
                <c:pt idx="251">
                  <c:v>40907</c:v>
                </c:pt>
                <c:pt idx="252">
                  <c:v>40911</c:v>
                </c:pt>
                <c:pt idx="253">
                  <c:v>40912</c:v>
                </c:pt>
                <c:pt idx="254">
                  <c:v>40913</c:v>
                </c:pt>
                <c:pt idx="255">
                  <c:v>40914</c:v>
                </c:pt>
                <c:pt idx="256">
                  <c:v>40917</c:v>
                </c:pt>
                <c:pt idx="257">
                  <c:v>40918</c:v>
                </c:pt>
                <c:pt idx="258">
                  <c:v>40919</c:v>
                </c:pt>
                <c:pt idx="259">
                  <c:v>40920</c:v>
                </c:pt>
                <c:pt idx="260">
                  <c:v>40921</c:v>
                </c:pt>
                <c:pt idx="261">
                  <c:v>40925</c:v>
                </c:pt>
                <c:pt idx="262">
                  <c:v>40926</c:v>
                </c:pt>
                <c:pt idx="263">
                  <c:v>40927</c:v>
                </c:pt>
                <c:pt idx="264">
                  <c:v>40928</c:v>
                </c:pt>
                <c:pt idx="265">
                  <c:v>40931</c:v>
                </c:pt>
                <c:pt idx="266">
                  <c:v>40932</c:v>
                </c:pt>
                <c:pt idx="267">
                  <c:v>40933</c:v>
                </c:pt>
                <c:pt idx="268">
                  <c:v>40934</c:v>
                </c:pt>
                <c:pt idx="269">
                  <c:v>40935</c:v>
                </c:pt>
                <c:pt idx="270">
                  <c:v>40938</c:v>
                </c:pt>
                <c:pt idx="271">
                  <c:v>40939</c:v>
                </c:pt>
                <c:pt idx="272">
                  <c:v>40940</c:v>
                </c:pt>
                <c:pt idx="273">
                  <c:v>40941</c:v>
                </c:pt>
                <c:pt idx="274">
                  <c:v>40942</c:v>
                </c:pt>
                <c:pt idx="275">
                  <c:v>40945</c:v>
                </c:pt>
                <c:pt idx="276">
                  <c:v>40946</c:v>
                </c:pt>
                <c:pt idx="277">
                  <c:v>40947</c:v>
                </c:pt>
                <c:pt idx="278">
                  <c:v>40948</c:v>
                </c:pt>
                <c:pt idx="279">
                  <c:v>40949</c:v>
                </c:pt>
                <c:pt idx="280">
                  <c:v>40952</c:v>
                </c:pt>
                <c:pt idx="281">
                  <c:v>40953</c:v>
                </c:pt>
                <c:pt idx="282">
                  <c:v>40954</c:v>
                </c:pt>
                <c:pt idx="283">
                  <c:v>40955</c:v>
                </c:pt>
                <c:pt idx="284">
                  <c:v>40956</c:v>
                </c:pt>
                <c:pt idx="285">
                  <c:v>40960</c:v>
                </c:pt>
                <c:pt idx="286">
                  <c:v>40961</c:v>
                </c:pt>
                <c:pt idx="287">
                  <c:v>40962</c:v>
                </c:pt>
                <c:pt idx="288">
                  <c:v>40963</c:v>
                </c:pt>
                <c:pt idx="289">
                  <c:v>40966</c:v>
                </c:pt>
                <c:pt idx="290">
                  <c:v>40967</c:v>
                </c:pt>
                <c:pt idx="291">
                  <c:v>40968</c:v>
                </c:pt>
                <c:pt idx="292">
                  <c:v>40969</c:v>
                </c:pt>
                <c:pt idx="293">
                  <c:v>40970</c:v>
                </c:pt>
                <c:pt idx="294">
                  <c:v>40973</c:v>
                </c:pt>
                <c:pt idx="295">
                  <c:v>40974</c:v>
                </c:pt>
                <c:pt idx="296">
                  <c:v>40975</c:v>
                </c:pt>
                <c:pt idx="297">
                  <c:v>40976</c:v>
                </c:pt>
                <c:pt idx="298">
                  <c:v>40977</c:v>
                </c:pt>
                <c:pt idx="299">
                  <c:v>40980</c:v>
                </c:pt>
                <c:pt idx="300">
                  <c:v>40981</c:v>
                </c:pt>
                <c:pt idx="301">
                  <c:v>40982</c:v>
                </c:pt>
                <c:pt idx="302">
                  <c:v>40983</c:v>
                </c:pt>
                <c:pt idx="303">
                  <c:v>40984</c:v>
                </c:pt>
                <c:pt idx="304">
                  <c:v>40987</c:v>
                </c:pt>
                <c:pt idx="305">
                  <c:v>40988</c:v>
                </c:pt>
                <c:pt idx="306">
                  <c:v>40989</c:v>
                </c:pt>
                <c:pt idx="307">
                  <c:v>40990</c:v>
                </c:pt>
                <c:pt idx="308">
                  <c:v>40991</c:v>
                </c:pt>
                <c:pt idx="309">
                  <c:v>40994</c:v>
                </c:pt>
                <c:pt idx="310">
                  <c:v>40995</c:v>
                </c:pt>
                <c:pt idx="311">
                  <c:v>40996</c:v>
                </c:pt>
                <c:pt idx="312">
                  <c:v>40997</c:v>
                </c:pt>
                <c:pt idx="313">
                  <c:v>40998</c:v>
                </c:pt>
                <c:pt idx="314">
                  <c:v>41001</c:v>
                </c:pt>
                <c:pt idx="315">
                  <c:v>41002</c:v>
                </c:pt>
                <c:pt idx="316">
                  <c:v>41003</c:v>
                </c:pt>
                <c:pt idx="317">
                  <c:v>41004</c:v>
                </c:pt>
                <c:pt idx="318">
                  <c:v>41008</c:v>
                </c:pt>
                <c:pt idx="319">
                  <c:v>41009</c:v>
                </c:pt>
                <c:pt idx="320">
                  <c:v>41010</c:v>
                </c:pt>
                <c:pt idx="321">
                  <c:v>41011</c:v>
                </c:pt>
                <c:pt idx="322">
                  <c:v>41012</c:v>
                </c:pt>
                <c:pt idx="323">
                  <c:v>41015</c:v>
                </c:pt>
                <c:pt idx="324">
                  <c:v>41016</c:v>
                </c:pt>
                <c:pt idx="325">
                  <c:v>41017</c:v>
                </c:pt>
                <c:pt idx="326">
                  <c:v>41018</c:v>
                </c:pt>
                <c:pt idx="327">
                  <c:v>41019</c:v>
                </c:pt>
                <c:pt idx="328">
                  <c:v>41022</c:v>
                </c:pt>
                <c:pt idx="329">
                  <c:v>41023</c:v>
                </c:pt>
                <c:pt idx="330">
                  <c:v>41024</c:v>
                </c:pt>
                <c:pt idx="331">
                  <c:v>41025</c:v>
                </c:pt>
                <c:pt idx="332">
                  <c:v>41026</c:v>
                </c:pt>
                <c:pt idx="333">
                  <c:v>41029</c:v>
                </c:pt>
                <c:pt idx="334">
                  <c:v>41030</c:v>
                </c:pt>
                <c:pt idx="335">
                  <c:v>41031</c:v>
                </c:pt>
                <c:pt idx="336">
                  <c:v>41032</c:v>
                </c:pt>
                <c:pt idx="337">
                  <c:v>41033</c:v>
                </c:pt>
                <c:pt idx="338">
                  <c:v>41036</c:v>
                </c:pt>
                <c:pt idx="339">
                  <c:v>41037</c:v>
                </c:pt>
                <c:pt idx="340">
                  <c:v>41038</c:v>
                </c:pt>
                <c:pt idx="341">
                  <c:v>41039</c:v>
                </c:pt>
                <c:pt idx="342">
                  <c:v>41040</c:v>
                </c:pt>
                <c:pt idx="343">
                  <c:v>41043</c:v>
                </c:pt>
                <c:pt idx="344">
                  <c:v>41044</c:v>
                </c:pt>
                <c:pt idx="345">
                  <c:v>41045</c:v>
                </c:pt>
                <c:pt idx="346">
                  <c:v>41046</c:v>
                </c:pt>
                <c:pt idx="347">
                  <c:v>41047</c:v>
                </c:pt>
                <c:pt idx="348">
                  <c:v>41050</c:v>
                </c:pt>
                <c:pt idx="349">
                  <c:v>41051</c:v>
                </c:pt>
                <c:pt idx="350">
                  <c:v>41052</c:v>
                </c:pt>
                <c:pt idx="351">
                  <c:v>41053</c:v>
                </c:pt>
                <c:pt idx="352">
                  <c:v>41054</c:v>
                </c:pt>
                <c:pt idx="353">
                  <c:v>41058</c:v>
                </c:pt>
                <c:pt idx="354">
                  <c:v>41059</c:v>
                </c:pt>
                <c:pt idx="355">
                  <c:v>41060</c:v>
                </c:pt>
                <c:pt idx="356">
                  <c:v>41061</c:v>
                </c:pt>
                <c:pt idx="357">
                  <c:v>41064</c:v>
                </c:pt>
                <c:pt idx="358">
                  <c:v>41065</c:v>
                </c:pt>
                <c:pt idx="359">
                  <c:v>41066</c:v>
                </c:pt>
                <c:pt idx="360">
                  <c:v>41067</c:v>
                </c:pt>
                <c:pt idx="361">
                  <c:v>41068</c:v>
                </c:pt>
                <c:pt idx="362">
                  <c:v>41071</c:v>
                </c:pt>
                <c:pt idx="363">
                  <c:v>41072</c:v>
                </c:pt>
                <c:pt idx="364">
                  <c:v>41073</c:v>
                </c:pt>
                <c:pt idx="365">
                  <c:v>41074</c:v>
                </c:pt>
                <c:pt idx="366">
                  <c:v>41075</c:v>
                </c:pt>
                <c:pt idx="367">
                  <c:v>41078</c:v>
                </c:pt>
                <c:pt idx="368">
                  <c:v>41079</c:v>
                </c:pt>
                <c:pt idx="369">
                  <c:v>41080</c:v>
                </c:pt>
                <c:pt idx="370">
                  <c:v>41081</c:v>
                </c:pt>
                <c:pt idx="371">
                  <c:v>41082</c:v>
                </c:pt>
                <c:pt idx="372">
                  <c:v>41085</c:v>
                </c:pt>
                <c:pt idx="373">
                  <c:v>41086</c:v>
                </c:pt>
                <c:pt idx="374">
                  <c:v>41087</c:v>
                </c:pt>
                <c:pt idx="375">
                  <c:v>41088</c:v>
                </c:pt>
                <c:pt idx="376">
                  <c:v>41089</c:v>
                </c:pt>
                <c:pt idx="377">
                  <c:v>41092</c:v>
                </c:pt>
                <c:pt idx="378">
                  <c:v>41093</c:v>
                </c:pt>
                <c:pt idx="379">
                  <c:v>41095</c:v>
                </c:pt>
                <c:pt idx="380">
                  <c:v>41096</c:v>
                </c:pt>
                <c:pt idx="381">
                  <c:v>41099</c:v>
                </c:pt>
                <c:pt idx="382">
                  <c:v>41100</c:v>
                </c:pt>
                <c:pt idx="383">
                  <c:v>41101</c:v>
                </c:pt>
                <c:pt idx="384">
                  <c:v>41102</c:v>
                </c:pt>
                <c:pt idx="385">
                  <c:v>41103</c:v>
                </c:pt>
                <c:pt idx="386">
                  <c:v>41106</c:v>
                </c:pt>
                <c:pt idx="387">
                  <c:v>41107</c:v>
                </c:pt>
                <c:pt idx="388">
                  <c:v>41108</c:v>
                </c:pt>
                <c:pt idx="389">
                  <c:v>41109</c:v>
                </c:pt>
                <c:pt idx="390">
                  <c:v>41110</c:v>
                </c:pt>
                <c:pt idx="391">
                  <c:v>41113</c:v>
                </c:pt>
                <c:pt idx="392">
                  <c:v>41114</c:v>
                </c:pt>
                <c:pt idx="393">
                  <c:v>41115</c:v>
                </c:pt>
                <c:pt idx="394">
                  <c:v>41116</c:v>
                </c:pt>
                <c:pt idx="395">
                  <c:v>41117</c:v>
                </c:pt>
                <c:pt idx="396">
                  <c:v>41120</c:v>
                </c:pt>
                <c:pt idx="397">
                  <c:v>41121</c:v>
                </c:pt>
                <c:pt idx="398">
                  <c:v>41122</c:v>
                </c:pt>
                <c:pt idx="399">
                  <c:v>41123</c:v>
                </c:pt>
                <c:pt idx="400">
                  <c:v>41124</c:v>
                </c:pt>
                <c:pt idx="401">
                  <c:v>41127</c:v>
                </c:pt>
                <c:pt idx="402">
                  <c:v>41128</c:v>
                </c:pt>
                <c:pt idx="403">
                  <c:v>41129</c:v>
                </c:pt>
                <c:pt idx="404">
                  <c:v>41130</c:v>
                </c:pt>
                <c:pt idx="405">
                  <c:v>41131</c:v>
                </c:pt>
                <c:pt idx="406">
                  <c:v>41134</c:v>
                </c:pt>
                <c:pt idx="407">
                  <c:v>41135</c:v>
                </c:pt>
                <c:pt idx="408">
                  <c:v>41136</c:v>
                </c:pt>
                <c:pt idx="409">
                  <c:v>41137</c:v>
                </c:pt>
                <c:pt idx="410">
                  <c:v>41138</c:v>
                </c:pt>
                <c:pt idx="411">
                  <c:v>41141</c:v>
                </c:pt>
                <c:pt idx="412">
                  <c:v>41142</c:v>
                </c:pt>
                <c:pt idx="413">
                  <c:v>41143</c:v>
                </c:pt>
                <c:pt idx="414">
                  <c:v>41144</c:v>
                </c:pt>
                <c:pt idx="415">
                  <c:v>41145</c:v>
                </c:pt>
                <c:pt idx="416">
                  <c:v>41148</c:v>
                </c:pt>
                <c:pt idx="417">
                  <c:v>41149</c:v>
                </c:pt>
                <c:pt idx="418">
                  <c:v>41150</c:v>
                </c:pt>
                <c:pt idx="419">
                  <c:v>41151</c:v>
                </c:pt>
                <c:pt idx="420">
                  <c:v>41152</c:v>
                </c:pt>
                <c:pt idx="421">
                  <c:v>41156</c:v>
                </c:pt>
                <c:pt idx="422">
                  <c:v>41157</c:v>
                </c:pt>
                <c:pt idx="423">
                  <c:v>41158</c:v>
                </c:pt>
                <c:pt idx="424">
                  <c:v>41159</c:v>
                </c:pt>
                <c:pt idx="425">
                  <c:v>41162</c:v>
                </c:pt>
                <c:pt idx="426">
                  <c:v>41163</c:v>
                </c:pt>
                <c:pt idx="427">
                  <c:v>41164</c:v>
                </c:pt>
                <c:pt idx="428">
                  <c:v>41165</c:v>
                </c:pt>
                <c:pt idx="429">
                  <c:v>41166</c:v>
                </c:pt>
                <c:pt idx="430">
                  <c:v>41169</c:v>
                </c:pt>
                <c:pt idx="431">
                  <c:v>41170</c:v>
                </c:pt>
                <c:pt idx="432">
                  <c:v>41171</c:v>
                </c:pt>
                <c:pt idx="433">
                  <c:v>41172</c:v>
                </c:pt>
                <c:pt idx="434">
                  <c:v>41173</c:v>
                </c:pt>
                <c:pt idx="435">
                  <c:v>41176</c:v>
                </c:pt>
                <c:pt idx="436">
                  <c:v>41177</c:v>
                </c:pt>
                <c:pt idx="437">
                  <c:v>41178</c:v>
                </c:pt>
                <c:pt idx="438">
                  <c:v>41179</c:v>
                </c:pt>
                <c:pt idx="439">
                  <c:v>41180</c:v>
                </c:pt>
                <c:pt idx="440">
                  <c:v>41183</c:v>
                </c:pt>
                <c:pt idx="441">
                  <c:v>41184</c:v>
                </c:pt>
                <c:pt idx="442">
                  <c:v>41185</c:v>
                </c:pt>
                <c:pt idx="443">
                  <c:v>41186</c:v>
                </c:pt>
                <c:pt idx="444">
                  <c:v>41187</c:v>
                </c:pt>
                <c:pt idx="445">
                  <c:v>41190</c:v>
                </c:pt>
                <c:pt idx="446">
                  <c:v>41191</c:v>
                </c:pt>
                <c:pt idx="447">
                  <c:v>41192</c:v>
                </c:pt>
                <c:pt idx="448">
                  <c:v>41193</c:v>
                </c:pt>
                <c:pt idx="449">
                  <c:v>41194</c:v>
                </c:pt>
                <c:pt idx="450">
                  <c:v>41197</c:v>
                </c:pt>
                <c:pt idx="451">
                  <c:v>41198</c:v>
                </c:pt>
                <c:pt idx="452">
                  <c:v>41199</c:v>
                </c:pt>
                <c:pt idx="453">
                  <c:v>41200</c:v>
                </c:pt>
                <c:pt idx="454">
                  <c:v>41201</c:v>
                </c:pt>
                <c:pt idx="455">
                  <c:v>41204</c:v>
                </c:pt>
                <c:pt idx="456">
                  <c:v>41205</c:v>
                </c:pt>
                <c:pt idx="457">
                  <c:v>41206</c:v>
                </c:pt>
                <c:pt idx="458">
                  <c:v>41207</c:v>
                </c:pt>
                <c:pt idx="459">
                  <c:v>41208</c:v>
                </c:pt>
                <c:pt idx="460">
                  <c:v>41213</c:v>
                </c:pt>
                <c:pt idx="461">
                  <c:v>41214</c:v>
                </c:pt>
                <c:pt idx="462">
                  <c:v>41215</c:v>
                </c:pt>
                <c:pt idx="463">
                  <c:v>41218</c:v>
                </c:pt>
                <c:pt idx="464">
                  <c:v>41219</c:v>
                </c:pt>
                <c:pt idx="465">
                  <c:v>41220</c:v>
                </c:pt>
                <c:pt idx="466">
                  <c:v>41221</c:v>
                </c:pt>
                <c:pt idx="467">
                  <c:v>41222</c:v>
                </c:pt>
                <c:pt idx="468">
                  <c:v>41225</c:v>
                </c:pt>
                <c:pt idx="469">
                  <c:v>41226</c:v>
                </c:pt>
                <c:pt idx="470">
                  <c:v>41227</c:v>
                </c:pt>
                <c:pt idx="471">
                  <c:v>41228</c:v>
                </c:pt>
                <c:pt idx="472">
                  <c:v>41229</c:v>
                </c:pt>
                <c:pt idx="473">
                  <c:v>41232</c:v>
                </c:pt>
                <c:pt idx="474">
                  <c:v>41233</c:v>
                </c:pt>
                <c:pt idx="475">
                  <c:v>41234</c:v>
                </c:pt>
                <c:pt idx="476">
                  <c:v>41236</c:v>
                </c:pt>
                <c:pt idx="477">
                  <c:v>41239</c:v>
                </c:pt>
                <c:pt idx="478">
                  <c:v>41240</c:v>
                </c:pt>
                <c:pt idx="479">
                  <c:v>41241</c:v>
                </c:pt>
                <c:pt idx="480">
                  <c:v>41242</c:v>
                </c:pt>
                <c:pt idx="481">
                  <c:v>41243</c:v>
                </c:pt>
                <c:pt idx="482">
                  <c:v>41246</c:v>
                </c:pt>
                <c:pt idx="483">
                  <c:v>41247</c:v>
                </c:pt>
                <c:pt idx="484">
                  <c:v>41248</c:v>
                </c:pt>
                <c:pt idx="485">
                  <c:v>41249</c:v>
                </c:pt>
                <c:pt idx="486">
                  <c:v>41250</c:v>
                </c:pt>
                <c:pt idx="487">
                  <c:v>41253</c:v>
                </c:pt>
                <c:pt idx="488">
                  <c:v>41254</c:v>
                </c:pt>
                <c:pt idx="489">
                  <c:v>41255</c:v>
                </c:pt>
                <c:pt idx="490">
                  <c:v>41256</c:v>
                </c:pt>
                <c:pt idx="491">
                  <c:v>41257</c:v>
                </c:pt>
                <c:pt idx="492">
                  <c:v>41260</c:v>
                </c:pt>
                <c:pt idx="493">
                  <c:v>41261</c:v>
                </c:pt>
                <c:pt idx="494">
                  <c:v>41262</c:v>
                </c:pt>
                <c:pt idx="495">
                  <c:v>41263</c:v>
                </c:pt>
                <c:pt idx="496">
                  <c:v>41264</c:v>
                </c:pt>
                <c:pt idx="497">
                  <c:v>41267</c:v>
                </c:pt>
                <c:pt idx="498">
                  <c:v>41269</c:v>
                </c:pt>
                <c:pt idx="499">
                  <c:v>41270</c:v>
                </c:pt>
                <c:pt idx="500">
                  <c:v>41271</c:v>
                </c:pt>
                <c:pt idx="501">
                  <c:v>41274</c:v>
                </c:pt>
                <c:pt idx="502">
                  <c:v>41276</c:v>
                </c:pt>
                <c:pt idx="503">
                  <c:v>41277</c:v>
                </c:pt>
                <c:pt idx="504">
                  <c:v>41278</c:v>
                </c:pt>
                <c:pt idx="505">
                  <c:v>41281</c:v>
                </c:pt>
                <c:pt idx="506">
                  <c:v>41282</c:v>
                </c:pt>
                <c:pt idx="507">
                  <c:v>41283</c:v>
                </c:pt>
                <c:pt idx="508">
                  <c:v>41284</c:v>
                </c:pt>
                <c:pt idx="509">
                  <c:v>41285</c:v>
                </c:pt>
                <c:pt idx="510">
                  <c:v>41288</c:v>
                </c:pt>
                <c:pt idx="511">
                  <c:v>41289</c:v>
                </c:pt>
                <c:pt idx="512">
                  <c:v>41290</c:v>
                </c:pt>
                <c:pt idx="513">
                  <c:v>41291</c:v>
                </c:pt>
                <c:pt idx="514">
                  <c:v>41292</c:v>
                </c:pt>
                <c:pt idx="515">
                  <c:v>41296</c:v>
                </c:pt>
                <c:pt idx="516">
                  <c:v>41297</c:v>
                </c:pt>
                <c:pt idx="517">
                  <c:v>41298</c:v>
                </c:pt>
                <c:pt idx="518">
                  <c:v>41299</c:v>
                </c:pt>
                <c:pt idx="519">
                  <c:v>41302</c:v>
                </c:pt>
                <c:pt idx="520">
                  <c:v>41303</c:v>
                </c:pt>
                <c:pt idx="521">
                  <c:v>41304</c:v>
                </c:pt>
                <c:pt idx="522">
                  <c:v>41305</c:v>
                </c:pt>
                <c:pt idx="523">
                  <c:v>41306</c:v>
                </c:pt>
                <c:pt idx="524">
                  <c:v>41309</c:v>
                </c:pt>
                <c:pt idx="525">
                  <c:v>41310</c:v>
                </c:pt>
                <c:pt idx="526">
                  <c:v>41311</c:v>
                </c:pt>
                <c:pt idx="527">
                  <c:v>41312</c:v>
                </c:pt>
                <c:pt idx="528">
                  <c:v>41313</c:v>
                </c:pt>
                <c:pt idx="529">
                  <c:v>41316</c:v>
                </c:pt>
                <c:pt idx="530">
                  <c:v>41317</c:v>
                </c:pt>
                <c:pt idx="531">
                  <c:v>41318</c:v>
                </c:pt>
                <c:pt idx="532">
                  <c:v>41319</c:v>
                </c:pt>
                <c:pt idx="533">
                  <c:v>41320</c:v>
                </c:pt>
                <c:pt idx="534">
                  <c:v>41324</c:v>
                </c:pt>
                <c:pt idx="535">
                  <c:v>41325</c:v>
                </c:pt>
                <c:pt idx="536">
                  <c:v>41326</c:v>
                </c:pt>
                <c:pt idx="537">
                  <c:v>41327</c:v>
                </c:pt>
                <c:pt idx="538">
                  <c:v>41330</c:v>
                </c:pt>
                <c:pt idx="539">
                  <c:v>41331</c:v>
                </c:pt>
                <c:pt idx="540">
                  <c:v>41332</c:v>
                </c:pt>
                <c:pt idx="541">
                  <c:v>41333</c:v>
                </c:pt>
                <c:pt idx="542">
                  <c:v>41334</c:v>
                </c:pt>
                <c:pt idx="543">
                  <c:v>41337</c:v>
                </c:pt>
                <c:pt idx="544">
                  <c:v>41338</c:v>
                </c:pt>
                <c:pt idx="545">
                  <c:v>41339</c:v>
                </c:pt>
                <c:pt idx="546">
                  <c:v>41340</c:v>
                </c:pt>
                <c:pt idx="547">
                  <c:v>41341</c:v>
                </c:pt>
                <c:pt idx="548">
                  <c:v>41344</c:v>
                </c:pt>
                <c:pt idx="549">
                  <c:v>41345</c:v>
                </c:pt>
                <c:pt idx="550">
                  <c:v>41346</c:v>
                </c:pt>
                <c:pt idx="551">
                  <c:v>41347</c:v>
                </c:pt>
                <c:pt idx="552">
                  <c:v>41348</c:v>
                </c:pt>
                <c:pt idx="553">
                  <c:v>41351</c:v>
                </c:pt>
                <c:pt idx="554">
                  <c:v>41352</c:v>
                </c:pt>
                <c:pt idx="555">
                  <c:v>41353</c:v>
                </c:pt>
                <c:pt idx="556">
                  <c:v>41354</c:v>
                </c:pt>
                <c:pt idx="557">
                  <c:v>41355</c:v>
                </c:pt>
                <c:pt idx="558">
                  <c:v>41358</c:v>
                </c:pt>
                <c:pt idx="559">
                  <c:v>41359</c:v>
                </c:pt>
                <c:pt idx="560">
                  <c:v>41360</c:v>
                </c:pt>
                <c:pt idx="561">
                  <c:v>41361</c:v>
                </c:pt>
                <c:pt idx="562">
                  <c:v>41365</c:v>
                </c:pt>
                <c:pt idx="563">
                  <c:v>41366</c:v>
                </c:pt>
                <c:pt idx="564">
                  <c:v>41367</c:v>
                </c:pt>
                <c:pt idx="565">
                  <c:v>41368</c:v>
                </c:pt>
                <c:pt idx="566">
                  <c:v>41369</c:v>
                </c:pt>
                <c:pt idx="567">
                  <c:v>41372</c:v>
                </c:pt>
                <c:pt idx="568">
                  <c:v>41373</c:v>
                </c:pt>
                <c:pt idx="569">
                  <c:v>41374</c:v>
                </c:pt>
                <c:pt idx="570">
                  <c:v>41375</c:v>
                </c:pt>
                <c:pt idx="571">
                  <c:v>41376</c:v>
                </c:pt>
                <c:pt idx="572">
                  <c:v>41379</c:v>
                </c:pt>
                <c:pt idx="573">
                  <c:v>41380</c:v>
                </c:pt>
                <c:pt idx="574">
                  <c:v>41381</c:v>
                </c:pt>
                <c:pt idx="575">
                  <c:v>41382</c:v>
                </c:pt>
                <c:pt idx="576">
                  <c:v>41383</c:v>
                </c:pt>
                <c:pt idx="577">
                  <c:v>41386</c:v>
                </c:pt>
                <c:pt idx="578">
                  <c:v>41387</c:v>
                </c:pt>
                <c:pt idx="579">
                  <c:v>41388</c:v>
                </c:pt>
                <c:pt idx="580">
                  <c:v>41389</c:v>
                </c:pt>
                <c:pt idx="581">
                  <c:v>41390</c:v>
                </c:pt>
                <c:pt idx="582">
                  <c:v>41393</c:v>
                </c:pt>
                <c:pt idx="583">
                  <c:v>41394</c:v>
                </c:pt>
                <c:pt idx="584">
                  <c:v>41395</c:v>
                </c:pt>
                <c:pt idx="585">
                  <c:v>41396</c:v>
                </c:pt>
                <c:pt idx="586">
                  <c:v>41397</c:v>
                </c:pt>
                <c:pt idx="587">
                  <c:v>41400</c:v>
                </c:pt>
                <c:pt idx="588">
                  <c:v>41401</c:v>
                </c:pt>
                <c:pt idx="589">
                  <c:v>41402</c:v>
                </c:pt>
                <c:pt idx="590">
                  <c:v>41403</c:v>
                </c:pt>
                <c:pt idx="591">
                  <c:v>41404</c:v>
                </c:pt>
                <c:pt idx="592">
                  <c:v>41407</c:v>
                </c:pt>
                <c:pt idx="593">
                  <c:v>41408</c:v>
                </c:pt>
                <c:pt idx="594">
                  <c:v>41409</c:v>
                </c:pt>
                <c:pt idx="595">
                  <c:v>41410</c:v>
                </c:pt>
                <c:pt idx="596">
                  <c:v>41411</c:v>
                </c:pt>
                <c:pt idx="597">
                  <c:v>41414</c:v>
                </c:pt>
                <c:pt idx="598">
                  <c:v>41415</c:v>
                </c:pt>
                <c:pt idx="599">
                  <c:v>41416</c:v>
                </c:pt>
                <c:pt idx="600">
                  <c:v>41417</c:v>
                </c:pt>
                <c:pt idx="601">
                  <c:v>41418</c:v>
                </c:pt>
                <c:pt idx="602">
                  <c:v>41422</c:v>
                </c:pt>
                <c:pt idx="603">
                  <c:v>41423</c:v>
                </c:pt>
                <c:pt idx="604">
                  <c:v>41424</c:v>
                </c:pt>
                <c:pt idx="605">
                  <c:v>41425</c:v>
                </c:pt>
                <c:pt idx="606">
                  <c:v>41428</c:v>
                </c:pt>
                <c:pt idx="607">
                  <c:v>41429</c:v>
                </c:pt>
                <c:pt idx="608">
                  <c:v>41430</c:v>
                </c:pt>
                <c:pt idx="609">
                  <c:v>41431</c:v>
                </c:pt>
                <c:pt idx="610">
                  <c:v>41432</c:v>
                </c:pt>
                <c:pt idx="611">
                  <c:v>41435</c:v>
                </c:pt>
                <c:pt idx="612">
                  <c:v>41436</c:v>
                </c:pt>
                <c:pt idx="613">
                  <c:v>41437</c:v>
                </c:pt>
                <c:pt idx="614">
                  <c:v>41438</c:v>
                </c:pt>
                <c:pt idx="615">
                  <c:v>41439</c:v>
                </c:pt>
                <c:pt idx="616">
                  <c:v>41442</c:v>
                </c:pt>
                <c:pt idx="617">
                  <c:v>41443</c:v>
                </c:pt>
                <c:pt idx="618">
                  <c:v>41444</c:v>
                </c:pt>
                <c:pt idx="619">
                  <c:v>41445</c:v>
                </c:pt>
                <c:pt idx="620">
                  <c:v>41446</c:v>
                </c:pt>
                <c:pt idx="621">
                  <c:v>41449</c:v>
                </c:pt>
                <c:pt idx="622">
                  <c:v>41450</c:v>
                </c:pt>
                <c:pt idx="623">
                  <c:v>41451</c:v>
                </c:pt>
                <c:pt idx="624">
                  <c:v>41452</c:v>
                </c:pt>
                <c:pt idx="625">
                  <c:v>41453</c:v>
                </c:pt>
                <c:pt idx="626">
                  <c:v>41456</c:v>
                </c:pt>
                <c:pt idx="627">
                  <c:v>41457</c:v>
                </c:pt>
                <c:pt idx="628">
                  <c:v>41458</c:v>
                </c:pt>
                <c:pt idx="629">
                  <c:v>41460</c:v>
                </c:pt>
                <c:pt idx="630">
                  <c:v>41463</c:v>
                </c:pt>
                <c:pt idx="631">
                  <c:v>41464</c:v>
                </c:pt>
                <c:pt idx="632">
                  <c:v>41465</c:v>
                </c:pt>
                <c:pt idx="633">
                  <c:v>41466</c:v>
                </c:pt>
                <c:pt idx="634">
                  <c:v>41467</c:v>
                </c:pt>
                <c:pt idx="635">
                  <c:v>41470</c:v>
                </c:pt>
                <c:pt idx="636">
                  <c:v>41471</c:v>
                </c:pt>
                <c:pt idx="637">
                  <c:v>41472</c:v>
                </c:pt>
                <c:pt idx="638">
                  <c:v>41473</c:v>
                </c:pt>
                <c:pt idx="639">
                  <c:v>41474</c:v>
                </c:pt>
                <c:pt idx="640">
                  <c:v>41477</c:v>
                </c:pt>
                <c:pt idx="641">
                  <c:v>41478</c:v>
                </c:pt>
                <c:pt idx="642">
                  <c:v>41479</c:v>
                </c:pt>
                <c:pt idx="643">
                  <c:v>41480</c:v>
                </c:pt>
                <c:pt idx="644">
                  <c:v>41481</c:v>
                </c:pt>
                <c:pt idx="645">
                  <c:v>41484</c:v>
                </c:pt>
                <c:pt idx="646">
                  <c:v>41485</c:v>
                </c:pt>
                <c:pt idx="647">
                  <c:v>41486</c:v>
                </c:pt>
                <c:pt idx="648">
                  <c:v>41487</c:v>
                </c:pt>
                <c:pt idx="649">
                  <c:v>41488</c:v>
                </c:pt>
                <c:pt idx="650">
                  <c:v>41491</c:v>
                </c:pt>
                <c:pt idx="651">
                  <c:v>41492</c:v>
                </c:pt>
                <c:pt idx="652">
                  <c:v>41493</c:v>
                </c:pt>
                <c:pt idx="653">
                  <c:v>41494</c:v>
                </c:pt>
                <c:pt idx="654">
                  <c:v>41495</c:v>
                </c:pt>
                <c:pt idx="655">
                  <c:v>41498</c:v>
                </c:pt>
                <c:pt idx="656">
                  <c:v>41499</c:v>
                </c:pt>
                <c:pt idx="657">
                  <c:v>41500</c:v>
                </c:pt>
                <c:pt idx="658">
                  <c:v>41501</c:v>
                </c:pt>
                <c:pt idx="659">
                  <c:v>41502</c:v>
                </c:pt>
                <c:pt idx="660">
                  <c:v>41505</c:v>
                </c:pt>
                <c:pt idx="661">
                  <c:v>41506</c:v>
                </c:pt>
                <c:pt idx="662">
                  <c:v>41507</c:v>
                </c:pt>
                <c:pt idx="663">
                  <c:v>41508</c:v>
                </c:pt>
                <c:pt idx="664">
                  <c:v>41509</c:v>
                </c:pt>
                <c:pt idx="665">
                  <c:v>41512</c:v>
                </c:pt>
                <c:pt idx="666">
                  <c:v>41513</c:v>
                </c:pt>
                <c:pt idx="667">
                  <c:v>41514</c:v>
                </c:pt>
                <c:pt idx="668">
                  <c:v>41515</c:v>
                </c:pt>
                <c:pt idx="669">
                  <c:v>41516</c:v>
                </c:pt>
                <c:pt idx="670">
                  <c:v>41520</c:v>
                </c:pt>
                <c:pt idx="671">
                  <c:v>41521</c:v>
                </c:pt>
                <c:pt idx="672">
                  <c:v>41522</c:v>
                </c:pt>
                <c:pt idx="673">
                  <c:v>41523</c:v>
                </c:pt>
                <c:pt idx="674">
                  <c:v>41526</c:v>
                </c:pt>
                <c:pt idx="675">
                  <c:v>41527</c:v>
                </c:pt>
                <c:pt idx="676">
                  <c:v>41528</c:v>
                </c:pt>
                <c:pt idx="677">
                  <c:v>41529</c:v>
                </c:pt>
                <c:pt idx="678">
                  <c:v>41530</c:v>
                </c:pt>
                <c:pt idx="679">
                  <c:v>41533</c:v>
                </c:pt>
                <c:pt idx="680">
                  <c:v>41534</c:v>
                </c:pt>
                <c:pt idx="681">
                  <c:v>41535</c:v>
                </c:pt>
                <c:pt idx="682">
                  <c:v>41536</c:v>
                </c:pt>
                <c:pt idx="683">
                  <c:v>41537</c:v>
                </c:pt>
                <c:pt idx="684">
                  <c:v>41540</c:v>
                </c:pt>
                <c:pt idx="685">
                  <c:v>41541</c:v>
                </c:pt>
                <c:pt idx="686">
                  <c:v>41542</c:v>
                </c:pt>
                <c:pt idx="687">
                  <c:v>41543</c:v>
                </c:pt>
                <c:pt idx="688">
                  <c:v>41544</c:v>
                </c:pt>
                <c:pt idx="689">
                  <c:v>41547</c:v>
                </c:pt>
                <c:pt idx="690">
                  <c:v>41548</c:v>
                </c:pt>
                <c:pt idx="691">
                  <c:v>41549</c:v>
                </c:pt>
                <c:pt idx="692">
                  <c:v>41550</c:v>
                </c:pt>
                <c:pt idx="693">
                  <c:v>41551</c:v>
                </c:pt>
                <c:pt idx="694">
                  <c:v>41554</c:v>
                </c:pt>
                <c:pt idx="695">
                  <c:v>41555</c:v>
                </c:pt>
                <c:pt idx="696">
                  <c:v>41556</c:v>
                </c:pt>
                <c:pt idx="697">
                  <c:v>41557</c:v>
                </c:pt>
                <c:pt idx="698">
                  <c:v>41558</c:v>
                </c:pt>
                <c:pt idx="699">
                  <c:v>41561</c:v>
                </c:pt>
                <c:pt idx="700">
                  <c:v>41562</c:v>
                </c:pt>
                <c:pt idx="701">
                  <c:v>41563</c:v>
                </c:pt>
                <c:pt idx="702">
                  <c:v>41564</c:v>
                </c:pt>
                <c:pt idx="703">
                  <c:v>41565</c:v>
                </c:pt>
                <c:pt idx="704">
                  <c:v>41568</c:v>
                </c:pt>
                <c:pt idx="705">
                  <c:v>41569</c:v>
                </c:pt>
                <c:pt idx="706">
                  <c:v>41570</c:v>
                </c:pt>
                <c:pt idx="707">
                  <c:v>41571</c:v>
                </c:pt>
                <c:pt idx="708">
                  <c:v>41572</c:v>
                </c:pt>
                <c:pt idx="709">
                  <c:v>41575</c:v>
                </c:pt>
                <c:pt idx="710">
                  <c:v>41576</c:v>
                </c:pt>
                <c:pt idx="711">
                  <c:v>41577</c:v>
                </c:pt>
                <c:pt idx="712">
                  <c:v>41578</c:v>
                </c:pt>
                <c:pt idx="713">
                  <c:v>41579</c:v>
                </c:pt>
                <c:pt idx="714">
                  <c:v>41582</c:v>
                </c:pt>
                <c:pt idx="715">
                  <c:v>41583</c:v>
                </c:pt>
                <c:pt idx="716">
                  <c:v>41584</c:v>
                </c:pt>
                <c:pt idx="717">
                  <c:v>41585</c:v>
                </c:pt>
                <c:pt idx="718">
                  <c:v>41586</c:v>
                </c:pt>
                <c:pt idx="719">
                  <c:v>41589</c:v>
                </c:pt>
                <c:pt idx="720">
                  <c:v>41590</c:v>
                </c:pt>
                <c:pt idx="721">
                  <c:v>41591</c:v>
                </c:pt>
                <c:pt idx="722">
                  <c:v>41592</c:v>
                </c:pt>
                <c:pt idx="723">
                  <c:v>41593</c:v>
                </c:pt>
                <c:pt idx="724">
                  <c:v>41596</c:v>
                </c:pt>
                <c:pt idx="725">
                  <c:v>41597</c:v>
                </c:pt>
                <c:pt idx="726">
                  <c:v>41598</c:v>
                </c:pt>
                <c:pt idx="727">
                  <c:v>41599</c:v>
                </c:pt>
                <c:pt idx="728">
                  <c:v>41600</c:v>
                </c:pt>
                <c:pt idx="729">
                  <c:v>41603</c:v>
                </c:pt>
                <c:pt idx="730">
                  <c:v>41604</c:v>
                </c:pt>
                <c:pt idx="731">
                  <c:v>41605</c:v>
                </c:pt>
                <c:pt idx="732">
                  <c:v>41607</c:v>
                </c:pt>
                <c:pt idx="733">
                  <c:v>41610</c:v>
                </c:pt>
                <c:pt idx="734">
                  <c:v>41611</c:v>
                </c:pt>
                <c:pt idx="735">
                  <c:v>41612</c:v>
                </c:pt>
                <c:pt idx="736">
                  <c:v>41613</c:v>
                </c:pt>
                <c:pt idx="737">
                  <c:v>41614</c:v>
                </c:pt>
                <c:pt idx="738">
                  <c:v>41617</c:v>
                </c:pt>
                <c:pt idx="739">
                  <c:v>41618</c:v>
                </c:pt>
                <c:pt idx="740">
                  <c:v>41619</c:v>
                </c:pt>
                <c:pt idx="741">
                  <c:v>41620</c:v>
                </c:pt>
                <c:pt idx="742">
                  <c:v>41621</c:v>
                </c:pt>
                <c:pt idx="743">
                  <c:v>41624</c:v>
                </c:pt>
                <c:pt idx="744">
                  <c:v>41625</c:v>
                </c:pt>
                <c:pt idx="745">
                  <c:v>41626</c:v>
                </c:pt>
                <c:pt idx="746">
                  <c:v>41627</c:v>
                </c:pt>
                <c:pt idx="747">
                  <c:v>41628</c:v>
                </c:pt>
                <c:pt idx="748">
                  <c:v>41631</c:v>
                </c:pt>
                <c:pt idx="749">
                  <c:v>41632</c:v>
                </c:pt>
                <c:pt idx="750">
                  <c:v>41634</c:v>
                </c:pt>
                <c:pt idx="751">
                  <c:v>41635</c:v>
                </c:pt>
                <c:pt idx="752">
                  <c:v>41638</c:v>
                </c:pt>
              </c:numCache>
            </c:numRef>
          </c:xVal>
          <c:yVal>
            <c:numRef>
              <c:f>Volatility!$D$5:$D$757</c:f>
              <c:numCache>
                <c:formatCode>0.00%;[Red]\-0.00%;_("-"_)</c:formatCode>
                <c:ptCount val="753"/>
                <c:pt idx="1">
                  <c:v>-1.3138900504268149E-3</c:v>
                </c:pt>
                <c:pt idx="2">
                  <c:v>4.9945917332972515E-3</c:v>
                </c:pt>
                <c:pt idx="3">
                  <c:v>-2.1251493053446057E-3</c:v>
                </c:pt>
                <c:pt idx="4">
                  <c:v>-1.8465049346529077E-3</c:v>
                </c:pt>
                <c:pt idx="5">
                  <c:v>-1.3772751808198854E-3</c:v>
                </c:pt>
                <c:pt idx="6">
                  <c:v>3.7182215832849935E-3</c:v>
                </c:pt>
                <c:pt idx="7">
                  <c:v>8.9672688501128191E-3</c:v>
                </c:pt>
                <c:pt idx="8">
                  <c:v>-1.7122492236479141E-3</c:v>
                </c:pt>
                <c:pt idx="9">
                  <c:v>7.3574255056363773E-3</c:v>
                </c:pt>
                <c:pt idx="10">
                  <c:v>1.3754416330838501E-3</c:v>
                </c:pt>
                <c:pt idx="11">
                  <c:v>-1.0167184992425787E-2</c:v>
                </c:pt>
                <c:pt idx="12">
                  <c:v>-1.2957717508255116E-3</c:v>
                </c:pt>
                <c:pt idx="13">
                  <c:v>2.4106642558033367E-3</c:v>
                </c:pt>
                <c:pt idx="14">
                  <c:v>5.8193226895376926E-3</c:v>
                </c:pt>
                <c:pt idx="15">
                  <c:v>2.6335969664466899E-4</c:v>
                </c:pt>
                <c:pt idx="16">
                  <c:v>4.2120619810420094E-3</c:v>
                </c:pt>
                <c:pt idx="17">
                  <c:v>2.2417647678586914E-3</c:v>
                </c:pt>
                <c:pt idx="18">
                  <c:v>-1.8013748586016589E-2</c:v>
                </c:pt>
                <c:pt idx="19">
                  <c:v>7.6333269499724958E-3</c:v>
                </c:pt>
                <c:pt idx="20">
                  <c:v>1.655581418074286E-2</c:v>
                </c:pt>
                <c:pt idx="21">
                  <c:v>-2.7262788652279426E-3</c:v>
                </c:pt>
                <c:pt idx="22">
                  <c:v>2.3514734345755294E-3</c:v>
                </c:pt>
                <c:pt idx="23">
                  <c:v>2.8800961095791244E-3</c:v>
                </c:pt>
                <c:pt idx="24">
                  <c:v>6.2207416034440674E-3</c:v>
                </c:pt>
                <c:pt idx="25">
                  <c:v>4.1760979432013739E-3</c:v>
                </c:pt>
                <c:pt idx="26">
                  <c:v>-2.7896973241534964E-3</c:v>
                </c:pt>
                <c:pt idx="27">
                  <c:v>7.4921959800166693E-4</c:v>
                </c:pt>
                <c:pt idx="28">
                  <c:v>5.4922394398424258E-3</c:v>
                </c:pt>
                <c:pt idx="29">
                  <c:v>2.3821433260880175E-3</c:v>
                </c:pt>
                <c:pt idx="30">
                  <c:v>-3.2402023589993278E-3</c:v>
                </c:pt>
                <c:pt idx="31">
                  <c:v>6.2379862455999606E-3</c:v>
                </c:pt>
                <c:pt idx="32">
                  <c:v>3.0708906172792973E-3</c:v>
                </c:pt>
                <c:pt idx="33">
                  <c:v>1.9229055205082848E-3</c:v>
                </c:pt>
                <c:pt idx="34">
                  <c:v>-2.0742153105926635E-2</c:v>
                </c:pt>
                <c:pt idx="35">
                  <c:v>-6.130778227341465E-3</c:v>
                </c:pt>
                <c:pt idx="36">
                  <c:v>-9.9483459515377977E-4</c:v>
                </c:pt>
                <c:pt idx="37">
                  <c:v>1.0495225773550236E-2</c:v>
                </c:pt>
                <c:pt idx="38">
                  <c:v>5.5457057245348928E-3</c:v>
                </c:pt>
                <c:pt idx="39">
                  <c:v>-1.5864850224639092E-2</c:v>
                </c:pt>
                <c:pt idx="40">
                  <c:v>1.6139090306173224E-3</c:v>
                </c:pt>
                <c:pt idx="41">
                  <c:v>1.7072411809528822E-2</c:v>
                </c:pt>
                <c:pt idx="42">
                  <c:v>-7.4054302804431073E-3</c:v>
                </c:pt>
                <c:pt idx="43">
                  <c:v>-8.3762005038354979E-3</c:v>
                </c:pt>
                <c:pt idx="44">
                  <c:v>8.8832058912233485E-3</c:v>
                </c:pt>
                <c:pt idx="45">
                  <c:v>-1.3626868232272332E-3</c:v>
                </c:pt>
                <c:pt idx="46">
                  <c:v>-1.9051254369579457E-2</c:v>
                </c:pt>
                <c:pt idx="47">
                  <c:v>7.0555307518902583E-3</c:v>
                </c:pt>
                <c:pt idx="48">
                  <c:v>-6.0676857940746946E-3</c:v>
                </c:pt>
                <c:pt idx="49">
                  <c:v>-1.1263529286306983E-2</c:v>
                </c:pt>
                <c:pt idx="50">
                  <c:v>-1.9687489643372059E-2</c:v>
                </c:pt>
                <c:pt idx="51">
                  <c:v>1.3309293117774694E-2</c:v>
                </c:pt>
                <c:pt idx="52">
                  <c:v>4.2931297626278894E-3</c:v>
                </c:pt>
                <c:pt idx="53">
                  <c:v>1.4882450988371786E-2</c:v>
                </c:pt>
                <c:pt idx="54">
                  <c:v>-3.5568966767270528E-3</c:v>
                </c:pt>
                <c:pt idx="55">
                  <c:v>2.9097272498432949E-3</c:v>
                </c:pt>
                <c:pt idx="56">
                  <c:v>9.2973974423822842E-3</c:v>
                </c:pt>
                <c:pt idx="57">
                  <c:v>3.1561399347577791E-3</c:v>
                </c:pt>
                <c:pt idx="58">
                  <c:v>-2.7515366122545675E-3</c:v>
                </c:pt>
                <c:pt idx="59">
                  <c:v>7.0352392937787864E-3</c:v>
                </c:pt>
                <c:pt idx="60">
                  <c:v>6.6624108659960593E-3</c:v>
                </c:pt>
                <c:pt idx="61">
                  <c:v>-1.8311366072702206E-3</c:v>
                </c:pt>
                <c:pt idx="62">
                  <c:v>4.9506541464152936E-3</c:v>
                </c:pt>
                <c:pt idx="63">
                  <c:v>3.4517949676367792E-4</c:v>
                </c:pt>
                <c:pt idx="64">
                  <c:v>-1.8007878495468458E-4</c:v>
                </c:pt>
                <c:pt idx="65">
                  <c:v>2.1812711737267251E-3</c:v>
                </c:pt>
                <c:pt idx="66">
                  <c:v>-1.5211407740053193E-3</c:v>
                </c:pt>
                <c:pt idx="67">
                  <c:v>-4.0125087648393782E-3</c:v>
                </c:pt>
                <c:pt idx="68">
                  <c:v>-2.7972257111361096E-3</c:v>
                </c:pt>
                <c:pt idx="69">
                  <c:v>-7.8071509476483102E-3</c:v>
                </c:pt>
                <c:pt idx="70">
                  <c:v>1.9021749525698333E-4</c:v>
                </c:pt>
                <c:pt idx="71">
                  <c:v>8.3684236601243054E-5</c:v>
                </c:pt>
                <c:pt idx="72">
                  <c:v>3.9177029836831535E-3</c:v>
                </c:pt>
                <c:pt idx="73">
                  <c:v>-1.1078968252260089E-2</c:v>
                </c:pt>
                <c:pt idx="74">
                  <c:v>5.7148251616446506E-3</c:v>
                </c:pt>
                <c:pt idx="75">
                  <c:v>1.3424442423331911E-2</c:v>
                </c:pt>
                <c:pt idx="76">
                  <c:v>5.2628938377450567E-3</c:v>
                </c:pt>
                <c:pt idx="77">
                  <c:v>-1.5939358990673606E-3</c:v>
                </c:pt>
                <c:pt idx="78">
                  <c:v>8.939515038808828E-3</c:v>
                </c:pt>
                <c:pt idx="79">
                  <c:v>6.2303653386323599E-3</c:v>
                </c:pt>
                <c:pt idx="80">
                  <c:v>3.549158040161472E-3</c:v>
                </c:pt>
                <c:pt idx="81">
                  <c:v>2.2980161282694822E-3</c:v>
                </c:pt>
                <c:pt idx="82">
                  <c:v>-1.7542383289275007E-3</c:v>
                </c:pt>
                <c:pt idx="83">
                  <c:v>-3.3850442943174071E-3</c:v>
                </c:pt>
                <c:pt idx="84">
                  <c:v>-6.8788779870610373E-3</c:v>
                </c:pt>
                <c:pt idx="85">
                  <c:v>-9.1112387593966487E-3</c:v>
                </c:pt>
                <c:pt idx="86">
                  <c:v>3.8126611430211355E-3</c:v>
                </c:pt>
                <c:pt idx="87">
                  <c:v>4.5338046535472768E-3</c:v>
                </c:pt>
                <c:pt idx="88">
                  <c:v>8.041619839871084E-3</c:v>
                </c:pt>
                <c:pt idx="89">
                  <c:v>-1.1173631758988237E-2</c:v>
                </c:pt>
                <c:pt idx="90">
                  <c:v>4.8834428253912788E-3</c:v>
                </c:pt>
                <c:pt idx="91">
                  <c:v>-8.100043542688503E-3</c:v>
                </c:pt>
                <c:pt idx="92">
                  <c:v>-6.2236820017320723E-3</c:v>
                </c:pt>
                <c:pt idx="93">
                  <c:v>-3.6863586341581039E-4</c:v>
                </c:pt>
                <c:pt idx="94">
                  <c:v>8.7652172248235682E-3</c:v>
                </c:pt>
                <c:pt idx="95">
                  <c:v>2.1756308222586783E-3</c:v>
                </c:pt>
                <c:pt idx="96">
                  <c:v>-7.7180074323803353E-3</c:v>
                </c:pt>
                <c:pt idx="97">
                  <c:v>-1.1997246485370225E-2</c:v>
                </c:pt>
                <c:pt idx="98">
                  <c:v>-8.2774860914392031E-4</c:v>
                </c:pt>
                <c:pt idx="99">
                  <c:v>3.1781576006994698E-3</c:v>
                </c:pt>
                <c:pt idx="100">
                  <c:v>3.9453447796788249E-3</c:v>
                </c:pt>
                <c:pt idx="101">
                  <c:v>4.0725894613520327E-3</c:v>
                </c:pt>
                <c:pt idx="102">
                  <c:v>1.0537032813141153E-2</c:v>
                </c:pt>
                <c:pt idx="103">
                  <c:v>-2.304829914304651E-2</c:v>
                </c:pt>
                <c:pt idx="104">
                  <c:v>-1.2255043417858898E-3</c:v>
                </c:pt>
                <c:pt idx="105">
                  <c:v>-9.7815635819200348E-3</c:v>
                </c:pt>
                <c:pt idx="106">
                  <c:v>-1.0818523892467404E-2</c:v>
                </c:pt>
                <c:pt idx="107">
                  <c:v>-9.5678527471204644E-4</c:v>
                </c:pt>
                <c:pt idx="108">
                  <c:v>-4.1957558140942137E-3</c:v>
                </c:pt>
                <c:pt idx="109">
                  <c:v>7.3504551210990064E-3</c:v>
                </c:pt>
                <c:pt idx="110">
                  <c:v>-1.4078467514767179E-2</c:v>
                </c:pt>
                <c:pt idx="111">
                  <c:v>6.6855174524230523E-4</c:v>
                </c:pt>
                <c:pt idx="112">
                  <c:v>1.2532882723673302E-2</c:v>
                </c:pt>
                <c:pt idx="113">
                  <c:v>-1.7585608026490646E-2</c:v>
                </c:pt>
                <c:pt idx="114">
                  <c:v>1.752821147853282E-3</c:v>
                </c:pt>
                <c:pt idx="115">
                  <c:v>3.0404018474758767E-3</c:v>
                </c:pt>
                <c:pt idx="116">
                  <c:v>5.3807005489322057E-3</c:v>
                </c:pt>
                <c:pt idx="117">
                  <c:v>1.3334152526697675E-2</c:v>
                </c:pt>
                <c:pt idx="118">
                  <c:v>-6.4894561490243261E-3</c:v>
                </c:pt>
                <c:pt idx="119">
                  <c:v>-2.8319814775847074E-3</c:v>
                </c:pt>
                <c:pt idx="120">
                  <c:v>-1.1795038682533874E-2</c:v>
                </c:pt>
                <c:pt idx="121">
                  <c:v>9.1425172334026923E-3</c:v>
                </c:pt>
                <c:pt idx="122">
                  <c:v>1.2861239773101529E-2</c:v>
                </c:pt>
                <c:pt idx="123">
                  <c:v>8.2486412827602693E-3</c:v>
                </c:pt>
                <c:pt idx="124">
                  <c:v>1.0068386646291337E-2</c:v>
                </c:pt>
                <c:pt idx="125">
                  <c:v>1.430684739491854E-2</c:v>
                </c:pt>
                <c:pt idx="126">
                  <c:v>-1.3370433916550409E-3</c:v>
                </c:pt>
                <c:pt idx="127">
                  <c:v>1.0010833453429403E-3</c:v>
                </c:pt>
                <c:pt idx="128">
                  <c:v>1.0399582665769434E-2</c:v>
                </c:pt>
                <c:pt idx="129">
                  <c:v>-6.9855160925432255E-3</c:v>
                </c:pt>
                <c:pt idx="130">
                  <c:v>-1.8256123199656974E-2</c:v>
                </c:pt>
                <c:pt idx="131">
                  <c:v>-4.4433883819261907E-3</c:v>
                </c:pt>
                <c:pt idx="132">
                  <c:v>3.1010604931557902E-3</c:v>
                </c:pt>
                <c:pt idx="133">
                  <c:v>-6.7388008717841662E-3</c:v>
                </c:pt>
                <c:pt idx="134">
                  <c:v>5.5390406798801889E-3</c:v>
                </c:pt>
                <c:pt idx="135">
                  <c:v>-8.1630615252281328E-3</c:v>
                </c:pt>
                <c:pt idx="136">
                  <c:v>1.617711948389583E-2</c:v>
                </c:pt>
                <c:pt idx="137">
                  <c:v>-6.7104734909738265E-4</c:v>
                </c:pt>
                <c:pt idx="138">
                  <c:v>1.3455200670761065E-2</c:v>
                </c:pt>
                <c:pt idx="139">
                  <c:v>9.0746132781000964E-4</c:v>
                </c:pt>
                <c:pt idx="140">
                  <c:v>-5.6590208618957933E-3</c:v>
                </c:pt>
                <c:pt idx="141">
                  <c:v>-4.1133359112329139E-3</c:v>
                </c:pt>
                <c:pt idx="142">
                  <c:v>-2.0517780024378287E-2</c:v>
                </c:pt>
                <c:pt idx="143">
                  <c:v>-3.239229716375921E-3</c:v>
                </c:pt>
                <c:pt idx="144">
                  <c:v>-6.4714161711867876E-3</c:v>
                </c:pt>
                <c:pt idx="145">
                  <c:v>-4.1407926660313879E-3</c:v>
                </c:pt>
                <c:pt idx="146">
                  <c:v>-2.5888993656482444E-2</c:v>
                </c:pt>
                <c:pt idx="147">
                  <c:v>5.0032120084815218E-3</c:v>
                </c:pt>
                <c:pt idx="148">
                  <c:v>-4.9001637406655293E-2</c:v>
                </c:pt>
                <c:pt idx="149">
                  <c:v>-5.7513181689091645E-4</c:v>
                </c:pt>
                <c:pt idx="150">
                  <c:v>-6.8958330427454667E-2</c:v>
                </c:pt>
                <c:pt idx="151">
                  <c:v>4.6317381183297257E-2</c:v>
                </c:pt>
                <c:pt idx="152">
                  <c:v>-4.5156780754835528E-2</c:v>
                </c:pt>
                <c:pt idx="153">
                  <c:v>4.5250590585321757E-2</c:v>
                </c:pt>
                <c:pt idx="154">
                  <c:v>5.2478378532748692E-3</c:v>
                </c:pt>
                <c:pt idx="155">
                  <c:v>2.1550785789564535E-2</c:v>
                </c:pt>
                <c:pt idx="156">
                  <c:v>-9.7862914727229987E-3</c:v>
                </c:pt>
                <c:pt idx="157">
                  <c:v>9.4693405772772654E-4</c:v>
                </c:pt>
                <c:pt idx="158">
                  <c:v>-4.5618608066500282E-2</c:v>
                </c:pt>
                <c:pt idx="159">
                  <c:v>-1.5122760800306435E-2</c:v>
                </c:pt>
                <c:pt idx="160">
                  <c:v>2.5808174214938097E-4</c:v>
                </c:pt>
                <c:pt idx="161">
                  <c:v>3.3710221597341987E-2</c:v>
                </c:pt>
                <c:pt idx="162">
                  <c:v>1.3034651096542811E-2</c:v>
                </c:pt>
                <c:pt idx="163">
                  <c:v>-1.5687972317898854E-2</c:v>
                </c:pt>
                <c:pt idx="164">
                  <c:v>1.5008393630514818E-2</c:v>
                </c:pt>
                <c:pt idx="165">
                  <c:v>2.7887582820491672E-2</c:v>
                </c:pt>
                <c:pt idx="166">
                  <c:v>2.3442024767237161E-3</c:v>
                </c:pt>
                <c:pt idx="167">
                  <c:v>4.9099329252263561E-3</c:v>
                </c:pt>
                <c:pt idx="168">
                  <c:v>-1.1942485261153978E-2</c:v>
                </c:pt>
                <c:pt idx="169">
                  <c:v>-2.5606955849665675E-2</c:v>
                </c:pt>
                <c:pt idx="170">
                  <c:v>-7.464093032212224E-3</c:v>
                </c:pt>
                <c:pt idx="171">
                  <c:v>2.8243820652058067E-2</c:v>
                </c:pt>
                <c:pt idx="172">
                  <c:v>-1.066891504794603E-2</c:v>
                </c:pt>
                <c:pt idx="173">
                  <c:v>-2.706852500255939E-2</c:v>
                </c:pt>
                <c:pt idx="174">
                  <c:v>6.9415344561686897E-3</c:v>
                </c:pt>
                <c:pt idx="175">
                  <c:v>9.0787471478858441E-3</c:v>
                </c:pt>
                <c:pt idx="176">
                  <c:v>1.3389711169736475E-2</c:v>
                </c:pt>
                <c:pt idx="177">
                  <c:v>1.7041104018524895E-2</c:v>
                </c:pt>
                <c:pt idx="178">
                  <c:v>5.6904554160021482E-3</c:v>
                </c:pt>
                <c:pt idx="179">
                  <c:v>-9.8509122708815514E-3</c:v>
                </c:pt>
                <c:pt idx="180">
                  <c:v>-1.6623864054958564E-3</c:v>
                </c:pt>
                <c:pt idx="181">
                  <c:v>-2.9831031890565053E-2</c:v>
                </c:pt>
                <c:pt idx="182">
                  <c:v>-3.240250026243683E-2</c:v>
                </c:pt>
                <c:pt idx="183">
                  <c:v>6.0635934396792946E-3</c:v>
                </c:pt>
                <c:pt idx="184">
                  <c:v>2.3068110546269296E-2</c:v>
                </c:pt>
                <c:pt idx="185">
                  <c:v>1.0631619216616888E-2</c:v>
                </c:pt>
                <c:pt idx="186">
                  <c:v>-2.0908242602619344E-2</c:v>
                </c:pt>
                <c:pt idx="187">
                  <c:v>8.081516300173678E-3</c:v>
                </c:pt>
                <c:pt idx="188">
                  <c:v>-2.5291292280362729E-2</c:v>
                </c:pt>
                <c:pt idx="189">
                  <c:v>-2.8863546294817782E-2</c:v>
                </c:pt>
                <c:pt idx="190">
                  <c:v>2.2239331806361014E-2</c:v>
                </c:pt>
                <c:pt idx="191">
                  <c:v>1.7707849893700365E-2</c:v>
                </c:pt>
                <c:pt idx="192">
                  <c:v>1.8138219223145281E-2</c:v>
                </c:pt>
                <c:pt idx="193">
                  <c:v>-8.1968025289200601E-3</c:v>
                </c:pt>
                <c:pt idx="194">
                  <c:v>3.3555597853170506E-2</c:v>
                </c:pt>
                <c:pt idx="195">
                  <c:v>5.4383522296828565E-4</c:v>
                </c:pt>
                <c:pt idx="196">
                  <c:v>9.7470796111575157E-3</c:v>
                </c:pt>
                <c:pt idx="197">
                  <c:v>-2.978130791599371E-3</c:v>
                </c:pt>
                <c:pt idx="198">
                  <c:v>1.7231013084970263E-2</c:v>
                </c:pt>
                <c:pt idx="199">
                  <c:v>-1.955996128718929E-2</c:v>
                </c:pt>
                <c:pt idx="200">
                  <c:v>2.0213033197288798E-2</c:v>
                </c:pt>
                <c:pt idx="201">
                  <c:v>-1.2729818838075795E-2</c:v>
                </c:pt>
                <c:pt idx="202">
                  <c:v>4.5438318044085119E-3</c:v>
                </c:pt>
                <c:pt idx="203">
                  <c:v>1.8634079544892792E-2</c:v>
                </c:pt>
                <c:pt idx="204">
                  <c:v>1.2790853398772921E-2</c:v>
                </c:pt>
                <c:pt idx="205">
                  <c:v>-2.0248432646129442E-2</c:v>
                </c:pt>
                <c:pt idx="206">
                  <c:v>1.0481470272433699E-2</c:v>
                </c:pt>
                <c:pt idx="207">
                  <c:v>3.3716617775602885E-2</c:v>
                </c:pt>
                <c:pt idx="208">
                  <c:v>3.8915351818900429E-4</c:v>
                </c:pt>
                <c:pt idx="209">
                  <c:v>-2.5048682169739451E-2</c:v>
                </c:pt>
                <c:pt idx="210">
                  <c:v>-2.834004470968389E-2</c:v>
                </c:pt>
                <c:pt idx="211">
                  <c:v>1.597636762997209E-2</c:v>
                </c:pt>
                <c:pt idx="212">
                  <c:v>1.8607607564519471E-2</c:v>
                </c:pt>
                <c:pt idx="213">
                  <c:v>-6.2997845938890726E-3</c:v>
                </c:pt>
                <c:pt idx="214">
                  <c:v>6.2759964982437742E-3</c:v>
                </c:pt>
                <c:pt idx="215">
                  <c:v>1.1667272007859919E-2</c:v>
                </c:pt>
                <c:pt idx="216">
                  <c:v>-3.7385292793563688E-2</c:v>
                </c:pt>
                <c:pt idx="217">
                  <c:v>8.5791541229383456E-3</c:v>
                </c:pt>
                <c:pt idx="218">
                  <c:v>1.9301269434906725E-2</c:v>
                </c:pt>
                <c:pt idx="219">
                  <c:v>-9.5960794089423214E-3</c:v>
                </c:pt>
                <c:pt idx="220">
                  <c:v>4.805575097530124E-3</c:v>
                </c:pt>
                <c:pt idx="221">
                  <c:v>-1.6755779391136084E-2</c:v>
                </c:pt>
                <c:pt idx="222">
                  <c:v>-1.6942648369624176E-2</c:v>
                </c:pt>
                <c:pt idx="223">
                  <c:v>-3.9477255856521859E-4</c:v>
                </c:pt>
                <c:pt idx="224">
                  <c:v>-1.8824534649997567E-2</c:v>
                </c:pt>
                <c:pt idx="225">
                  <c:v>-4.1494881086074744E-3</c:v>
                </c:pt>
                <c:pt idx="226">
                  <c:v>-2.2342971201496673E-2</c:v>
                </c:pt>
                <c:pt idx="227">
                  <c:v>-2.6891236049403243E-3</c:v>
                </c:pt>
                <c:pt idx="228">
                  <c:v>2.8821076021685699E-2</c:v>
                </c:pt>
                <c:pt idx="229">
                  <c:v>2.2112969383296607E-3</c:v>
                </c:pt>
                <c:pt idx="230">
                  <c:v>4.2403420637779909E-2</c:v>
                </c:pt>
                <c:pt idx="231">
                  <c:v>-1.910465594686547E-3</c:v>
                </c:pt>
                <c:pt idx="232">
                  <c:v>-2.4107422792193239E-4</c:v>
                </c:pt>
                <c:pt idx="233">
                  <c:v>1.0234521802755791E-2</c:v>
                </c:pt>
                <c:pt idx="234">
                  <c:v>1.1051262280358551E-3</c:v>
                </c:pt>
                <c:pt idx="235">
                  <c:v>2.0162897586126602E-3</c:v>
                </c:pt>
                <c:pt idx="236">
                  <c:v>-2.1368471427759831E-2</c:v>
                </c:pt>
                <c:pt idx="237">
                  <c:v>1.6742439809384415E-2</c:v>
                </c:pt>
                <c:pt idx="238">
                  <c:v>-1.5026409891996106E-2</c:v>
                </c:pt>
                <c:pt idx="239">
                  <c:v>-8.7239607798868263E-3</c:v>
                </c:pt>
                <c:pt idx="240">
                  <c:v>-1.1413223108981121E-2</c:v>
                </c:pt>
                <c:pt idx="241">
                  <c:v>3.2378085355431558E-3</c:v>
                </c:pt>
                <c:pt idx="242">
                  <c:v>3.2109610779535356E-3</c:v>
                </c:pt>
                <c:pt idx="243">
                  <c:v>-1.1802150179861201E-2</c:v>
                </c:pt>
                <c:pt idx="244">
                  <c:v>2.9389236339914412E-2</c:v>
                </c:pt>
                <c:pt idx="245">
                  <c:v>1.9476710569789914E-3</c:v>
                </c:pt>
                <c:pt idx="246">
                  <c:v>8.2315536139849193E-3</c:v>
                </c:pt>
                <c:pt idx="247">
                  <c:v>8.9945155134233852E-3</c:v>
                </c:pt>
                <c:pt idx="248">
                  <c:v>7.9027643911078077E-5</c:v>
                </c:pt>
                <c:pt idx="249">
                  <c:v>-1.2556475533817963E-2</c:v>
                </c:pt>
                <c:pt idx="250">
                  <c:v>1.0650168721478698E-2</c:v>
                </c:pt>
                <c:pt idx="251">
                  <c:v>-4.3005358629192147E-3</c:v>
                </c:pt>
                <c:pt idx="252">
                  <c:v>1.5355418375209207E-2</c:v>
                </c:pt>
                <c:pt idx="253">
                  <c:v>1.8791399857992464E-4</c:v>
                </c:pt>
                <c:pt idx="254">
                  <c:v>2.9393851586132893E-3</c:v>
                </c:pt>
                <c:pt idx="255">
                  <c:v>-2.5401851188711095E-3</c:v>
                </c:pt>
                <c:pt idx="256">
                  <c:v>2.2591283435529062E-3</c:v>
                </c:pt>
                <c:pt idx="257">
                  <c:v>8.8465194982314723E-3</c:v>
                </c:pt>
                <c:pt idx="258">
                  <c:v>3.0953044479032282E-4</c:v>
                </c:pt>
                <c:pt idx="259">
                  <c:v>2.3338676271165535E-3</c:v>
                </c:pt>
                <c:pt idx="260">
                  <c:v>-4.9601779332832637E-3</c:v>
                </c:pt>
                <c:pt idx="261">
                  <c:v>3.5465972840967364E-3</c:v>
                </c:pt>
                <c:pt idx="262">
                  <c:v>1.104669323633066E-2</c:v>
                </c:pt>
                <c:pt idx="263">
                  <c:v>4.9265315806270226E-3</c:v>
                </c:pt>
                <c:pt idx="264">
                  <c:v>6.6923208119318213E-4</c:v>
                </c:pt>
                <c:pt idx="265">
                  <c:v>4.7123563413351943E-4</c:v>
                </c:pt>
                <c:pt idx="266">
                  <c:v>-1.026362395993147E-3</c:v>
                </c:pt>
                <c:pt idx="267">
                  <c:v>8.6341279362811534E-3</c:v>
                </c:pt>
                <c:pt idx="268">
                  <c:v>-5.7629636748621049E-3</c:v>
                </c:pt>
                <c:pt idx="269">
                  <c:v>-1.5940734220098644E-3</c:v>
                </c:pt>
                <c:pt idx="270">
                  <c:v>-2.5253499086551E-3</c:v>
                </c:pt>
                <c:pt idx="271">
                  <c:v>-4.5706973394398057E-4</c:v>
                </c:pt>
                <c:pt idx="272">
                  <c:v>8.860289331437619E-3</c:v>
                </c:pt>
                <c:pt idx="273">
                  <c:v>1.0944925478258915E-3</c:v>
                </c:pt>
                <c:pt idx="274">
                  <c:v>1.4499737264160701E-2</c:v>
                </c:pt>
                <c:pt idx="275">
                  <c:v>-4.2391317108323237E-4</c:v>
                </c:pt>
                <c:pt idx="276">
                  <c:v>2.0212685879011623E-3</c:v>
                </c:pt>
                <c:pt idx="277">
                  <c:v>2.1579461175579256E-3</c:v>
                </c:pt>
                <c:pt idx="278">
                  <c:v>1.4730323066491182E-3</c:v>
                </c:pt>
                <c:pt idx="279">
                  <c:v>-6.9101696706045917E-3</c:v>
                </c:pt>
                <c:pt idx="280">
                  <c:v>6.7770197880235375E-3</c:v>
                </c:pt>
                <c:pt idx="281">
                  <c:v>-9.3995055527716274E-4</c:v>
                </c:pt>
                <c:pt idx="282">
                  <c:v>-5.3977329957059358E-3</c:v>
                </c:pt>
                <c:pt idx="283">
                  <c:v>1.0965322528886171E-2</c:v>
                </c:pt>
                <c:pt idx="284">
                  <c:v>2.3462189950568782E-3</c:v>
                </c:pt>
                <c:pt idx="285">
                  <c:v>7.1967808528795797E-4</c:v>
                </c:pt>
                <c:pt idx="286">
                  <c:v>-3.34575126341362E-3</c:v>
                </c:pt>
                <c:pt idx="287">
                  <c:v>4.262957005584894E-3</c:v>
                </c:pt>
                <c:pt idx="288">
                  <c:v>1.6708196763969795E-3</c:v>
                </c:pt>
                <c:pt idx="289">
                  <c:v>1.3536603940939738E-3</c:v>
                </c:pt>
                <c:pt idx="290">
                  <c:v>3.3506493568948885E-3</c:v>
                </c:pt>
                <c:pt idx="291">
                  <c:v>-4.7482429432547935E-3</c:v>
                </c:pt>
                <c:pt idx="292">
                  <c:v>6.1392207480289963E-3</c:v>
                </c:pt>
                <c:pt idx="293">
                  <c:v>-3.2510634673347419E-3</c:v>
                </c:pt>
                <c:pt idx="294">
                  <c:v>-3.877164727582936E-3</c:v>
                </c:pt>
                <c:pt idx="295">
                  <c:v>-1.5489527433395317E-2</c:v>
                </c:pt>
                <c:pt idx="296">
                  <c:v>6.8769072088010284E-3</c:v>
                </c:pt>
                <c:pt idx="297">
                  <c:v>9.7700277612063294E-3</c:v>
                </c:pt>
                <c:pt idx="298">
                  <c:v>3.6247016059477617E-3</c:v>
                </c:pt>
                <c:pt idx="299">
                  <c:v>1.6046915379674782E-4</c:v>
                </c:pt>
                <c:pt idx="300">
                  <c:v>1.796914314001119E-2</c:v>
                </c:pt>
                <c:pt idx="301">
                  <c:v>-1.1970340792054287E-3</c:v>
                </c:pt>
                <c:pt idx="302">
                  <c:v>5.9495041200391232E-3</c:v>
                </c:pt>
                <c:pt idx="303">
                  <c:v>1.1187237741202927E-3</c:v>
                </c:pt>
                <c:pt idx="304">
                  <c:v>3.9660028103612023E-3</c:v>
                </c:pt>
                <c:pt idx="305">
                  <c:v>-3.0050426304927035E-3</c:v>
                </c:pt>
                <c:pt idx="306">
                  <c:v>-1.8729464492867856E-3</c:v>
                </c:pt>
                <c:pt idx="307">
                  <c:v>-7.2326448201014181E-3</c:v>
                </c:pt>
                <c:pt idx="308">
                  <c:v>3.1040675271881042E-3</c:v>
                </c:pt>
                <c:pt idx="309">
                  <c:v>1.3790282585130287E-2</c:v>
                </c:pt>
                <c:pt idx="310">
                  <c:v>-2.8207566873393645E-3</c:v>
                </c:pt>
                <c:pt idx="311">
                  <c:v>-4.9537726478604228E-3</c:v>
                </c:pt>
                <c:pt idx="312">
                  <c:v>-1.6092170290043855E-3</c:v>
                </c:pt>
                <c:pt idx="313">
                  <c:v>3.6916552995440582E-3</c:v>
                </c:pt>
                <c:pt idx="314">
                  <c:v>7.4765777930732918E-3</c:v>
                </c:pt>
                <c:pt idx="315">
                  <c:v>-3.9965877474346378E-3</c:v>
                </c:pt>
                <c:pt idx="316">
                  <c:v>-1.0254895475303529E-2</c:v>
                </c:pt>
                <c:pt idx="317">
                  <c:v>-6.2923664233309191E-4</c:v>
                </c:pt>
                <c:pt idx="318">
                  <c:v>-1.1423434105777059E-2</c:v>
                </c:pt>
                <c:pt idx="319">
                  <c:v>-1.7229035445361768E-2</c:v>
                </c:pt>
                <c:pt idx="320">
                  <c:v>7.4212931815645089E-3</c:v>
                </c:pt>
                <c:pt idx="321">
                  <c:v>1.3685325404961968E-2</c:v>
                </c:pt>
                <c:pt idx="322">
                  <c:v>-1.2553512960530443E-2</c:v>
                </c:pt>
                <c:pt idx="323">
                  <c:v>-5.036808959588716E-4</c:v>
                </c:pt>
                <c:pt idx="324">
                  <c:v>1.5367918875513488E-2</c:v>
                </c:pt>
                <c:pt idx="325">
                  <c:v>-4.0635232720984613E-3</c:v>
                </c:pt>
                <c:pt idx="326">
                  <c:v>-5.952096817443118E-3</c:v>
                </c:pt>
                <c:pt idx="327">
                  <c:v>1.1685932847406632E-3</c:v>
                </c:pt>
                <c:pt idx="328">
                  <c:v>-8.4430489857261516E-3</c:v>
                </c:pt>
                <c:pt idx="329">
                  <c:v>3.6729981305998567E-3</c:v>
                </c:pt>
                <c:pt idx="330">
                  <c:v>1.3552363677729872E-2</c:v>
                </c:pt>
                <c:pt idx="331">
                  <c:v>6.6579239517370777E-3</c:v>
                </c:pt>
                <c:pt idx="332">
                  <c:v>2.4114104160489723E-3</c:v>
                </c:pt>
                <c:pt idx="333">
                  <c:v>-3.8910971640511403E-3</c:v>
                </c:pt>
                <c:pt idx="334">
                  <c:v>5.6424983763752054E-3</c:v>
                </c:pt>
                <c:pt idx="335">
                  <c:v>-2.4998855665210461E-3</c:v>
                </c:pt>
                <c:pt idx="336">
                  <c:v>-7.688270722404974E-3</c:v>
                </c:pt>
                <c:pt idx="337">
                  <c:v>-1.6279016486759133E-2</c:v>
                </c:pt>
                <c:pt idx="338">
                  <c:v>3.5053383740709244E-4</c:v>
                </c:pt>
                <c:pt idx="339">
                  <c:v>-4.2878637386193951E-3</c:v>
                </c:pt>
                <c:pt idx="340">
                  <c:v>-6.7248165728184027E-3</c:v>
                </c:pt>
                <c:pt idx="341">
                  <c:v>2.5142221555989205E-3</c:v>
                </c:pt>
                <c:pt idx="342">
                  <c:v>-3.3931093490318499E-3</c:v>
                </c:pt>
                <c:pt idx="343">
                  <c:v>-1.1175044036911441E-2</c:v>
                </c:pt>
                <c:pt idx="344">
                  <c:v>-5.7624522046803815E-3</c:v>
                </c:pt>
                <c:pt idx="345">
                  <c:v>-4.4135550996594808E-3</c:v>
                </c:pt>
                <c:pt idx="346">
                  <c:v>-1.516574932256603E-2</c:v>
                </c:pt>
                <c:pt idx="347">
                  <c:v>-7.4151904335883496E-3</c:v>
                </c:pt>
                <c:pt idx="348">
                  <c:v>1.5908669197356163E-2</c:v>
                </c:pt>
                <c:pt idx="349">
                  <c:v>4.8620766582948318E-4</c:v>
                </c:pt>
                <c:pt idx="350">
                  <c:v>1.6922853300106668E-3</c:v>
                </c:pt>
                <c:pt idx="351">
                  <c:v>1.3790283825421373E-3</c:v>
                </c:pt>
                <c:pt idx="352">
                  <c:v>-2.167899276191806E-3</c:v>
                </c:pt>
                <c:pt idx="353">
                  <c:v>1.1017981539835837E-2</c:v>
                </c:pt>
                <c:pt idx="354">
                  <c:v>-1.4438555426152216E-2</c:v>
                </c:pt>
                <c:pt idx="355">
                  <c:v>-2.2792684195200048E-3</c:v>
                </c:pt>
                <c:pt idx="356">
                  <c:v>-2.4951359516333108E-2</c:v>
                </c:pt>
                <c:pt idx="357">
                  <c:v>1.0953673794903053E-4</c:v>
                </c:pt>
                <c:pt idx="358">
                  <c:v>5.7105566157771509E-3</c:v>
                </c:pt>
                <c:pt idx="359">
                  <c:v>2.2787772335250183E-2</c:v>
                </c:pt>
                <c:pt idx="360">
                  <c:v>-1.0645902098176338E-4</c:v>
                </c:pt>
                <c:pt idx="361">
                  <c:v>8.0813875904548593E-3</c:v>
                </c:pt>
                <c:pt idx="362">
                  <c:v>-1.2700439066485178E-2</c:v>
                </c:pt>
                <c:pt idx="363">
                  <c:v>1.1583390373813106E-2</c:v>
                </c:pt>
                <c:pt idx="364">
                  <c:v>-7.0479932229503646E-3</c:v>
                </c:pt>
                <c:pt idx="365">
                  <c:v>1.0756614732241909E-2</c:v>
                </c:pt>
                <c:pt idx="366">
                  <c:v>1.0284752736562524E-2</c:v>
                </c:pt>
                <c:pt idx="367">
                  <c:v>1.4436567200249713E-3</c:v>
                </c:pt>
                <c:pt idx="368">
                  <c:v>9.767870585814924E-3</c:v>
                </c:pt>
                <c:pt idx="369">
                  <c:v>-1.6877516747354983E-3</c:v>
                </c:pt>
                <c:pt idx="370">
                  <c:v>-2.2513258771434952E-2</c:v>
                </c:pt>
                <c:pt idx="371">
                  <c:v>7.1489819720210544E-3</c:v>
                </c:pt>
                <c:pt idx="372">
                  <c:v>-1.6083465459972662E-2</c:v>
                </c:pt>
                <c:pt idx="373">
                  <c:v>4.7613532585773716E-3</c:v>
                </c:pt>
                <c:pt idx="374">
                  <c:v>8.9447923523008708E-3</c:v>
                </c:pt>
                <c:pt idx="375">
                  <c:v>-2.112076068222122E-3</c:v>
                </c:pt>
                <c:pt idx="376">
                  <c:v>2.4614798034165282E-2</c:v>
                </c:pt>
                <c:pt idx="377">
                  <c:v>2.4563100993451855E-3</c:v>
                </c:pt>
                <c:pt idx="378">
                  <c:v>6.2127645053796339E-3</c:v>
                </c:pt>
                <c:pt idx="379">
                  <c:v>-4.6979952180121604E-3</c:v>
                </c:pt>
                <c:pt idx="380">
                  <c:v>-9.4774904376453764E-3</c:v>
                </c:pt>
                <c:pt idx="381">
                  <c:v>-1.6401076395319903E-3</c:v>
                </c:pt>
                <c:pt idx="382">
                  <c:v>-8.1591288327641839E-3</c:v>
                </c:pt>
                <c:pt idx="383">
                  <c:v>-1.490912885989825E-5</c:v>
                </c:pt>
                <c:pt idx="384">
                  <c:v>-4.9996180683616704E-3</c:v>
                </c:pt>
                <c:pt idx="385">
                  <c:v>1.636274497101934E-2</c:v>
                </c:pt>
                <c:pt idx="386">
                  <c:v>-2.316985120192678E-3</c:v>
                </c:pt>
                <c:pt idx="387">
                  <c:v>7.3823344056611782E-3</c:v>
                </c:pt>
                <c:pt idx="388">
                  <c:v>6.6582862145774472E-3</c:v>
                </c:pt>
                <c:pt idx="389">
                  <c:v>2.7134294953041031E-3</c:v>
                </c:pt>
                <c:pt idx="390">
                  <c:v>-1.011263852275059E-2</c:v>
                </c:pt>
                <c:pt idx="391">
                  <c:v>-8.9489683826660012E-3</c:v>
                </c:pt>
                <c:pt idx="392">
                  <c:v>-9.0820795122977943E-3</c:v>
                </c:pt>
                <c:pt idx="393">
                  <c:v>-3.1387788913235705E-4</c:v>
                </c:pt>
                <c:pt idx="394">
                  <c:v>1.6405659452859416E-2</c:v>
                </c:pt>
                <c:pt idx="395">
                  <c:v>1.8900849989626385E-2</c:v>
                </c:pt>
                <c:pt idx="396">
                  <c:v>-4.8353283011341573E-4</c:v>
                </c:pt>
                <c:pt idx="397">
                  <c:v>-4.3260985787338772E-3</c:v>
                </c:pt>
                <c:pt idx="398">
                  <c:v>-3.0350799857287686E-3</c:v>
                </c:pt>
                <c:pt idx="399">
                  <c:v>-7.4011154803105836E-3</c:v>
                </c:pt>
                <c:pt idx="400">
                  <c:v>1.8861295205931709E-2</c:v>
                </c:pt>
                <c:pt idx="401">
                  <c:v>2.3265677120569918E-3</c:v>
                </c:pt>
                <c:pt idx="402">
                  <c:v>5.0937661557810326E-3</c:v>
                </c:pt>
                <c:pt idx="403">
                  <c:v>6.2063727884550447E-4</c:v>
                </c:pt>
                <c:pt idx="404">
                  <c:v>4.13544294347905E-4</c:v>
                </c:pt>
                <c:pt idx="405">
                  <c:v>2.1860889478816747E-3</c:v>
                </c:pt>
                <c:pt idx="406">
                  <c:v>-1.2526781188120387E-3</c:v>
                </c:pt>
                <c:pt idx="407">
                  <c:v>-1.2820330212278219E-4</c:v>
                </c:pt>
                <c:pt idx="408">
                  <c:v>1.1390090430037803E-3</c:v>
                </c:pt>
                <c:pt idx="409">
                  <c:v>7.0754343324954463E-3</c:v>
                </c:pt>
                <c:pt idx="410">
                  <c:v>1.8703665370596102E-3</c:v>
                </c:pt>
                <c:pt idx="411">
                  <c:v>-2.1154395355287849E-5</c:v>
                </c:pt>
                <c:pt idx="412">
                  <c:v>-3.5036944682847937E-3</c:v>
                </c:pt>
                <c:pt idx="413">
                  <c:v>2.2641562930589981E-4</c:v>
                </c:pt>
                <c:pt idx="414">
                  <c:v>-8.1049751636543699E-3</c:v>
                </c:pt>
                <c:pt idx="415">
                  <c:v>6.4339535401051222E-3</c:v>
                </c:pt>
                <c:pt idx="416">
                  <c:v>-4.8908941741975952E-4</c:v>
                </c:pt>
                <c:pt idx="417">
                  <c:v>-8.0858523276048809E-4</c:v>
                </c:pt>
                <c:pt idx="418">
                  <c:v>8.4403453494465283E-4</c:v>
                </c:pt>
                <c:pt idx="419">
                  <c:v>-7.836422697165871E-3</c:v>
                </c:pt>
                <c:pt idx="420">
                  <c:v>5.0604870542372508E-3</c:v>
                </c:pt>
                <c:pt idx="421">
                  <c:v>-1.1666288598383128E-3</c:v>
                </c:pt>
                <c:pt idx="422">
                  <c:v>-1.0682316087138285E-3</c:v>
                </c:pt>
                <c:pt idx="423">
                  <c:v>2.0229498271412946E-2</c:v>
                </c:pt>
                <c:pt idx="424">
                  <c:v>4.0417610177212364E-3</c:v>
                </c:pt>
                <c:pt idx="425">
                  <c:v>-6.1667443421586504E-3</c:v>
                </c:pt>
                <c:pt idx="426">
                  <c:v>3.1299804777848361E-3</c:v>
                </c:pt>
                <c:pt idx="427">
                  <c:v>2.0905056879527827E-3</c:v>
                </c:pt>
                <c:pt idx="428">
                  <c:v>1.617821963021452E-2</c:v>
                </c:pt>
                <c:pt idx="429">
                  <c:v>3.9511152790704966E-3</c:v>
                </c:pt>
                <c:pt idx="430">
                  <c:v>-3.1295294353358739E-3</c:v>
                </c:pt>
                <c:pt idx="431">
                  <c:v>-1.2805984266831857E-3</c:v>
                </c:pt>
                <c:pt idx="432">
                  <c:v>1.18478151903211E-3</c:v>
                </c:pt>
                <c:pt idx="433">
                  <c:v>-5.4085326052881347E-4</c:v>
                </c:pt>
                <c:pt idx="434">
                  <c:v>-7.5331888366289224E-5</c:v>
                </c:pt>
                <c:pt idx="435">
                  <c:v>-2.2351434037312782E-3</c:v>
                </c:pt>
                <c:pt idx="436">
                  <c:v>-1.0557355654258943E-2</c:v>
                </c:pt>
                <c:pt idx="437">
                  <c:v>-5.7532394483594748E-3</c:v>
                </c:pt>
                <c:pt idx="438">
                  <c:v>9.6026733646948151E-3</c:v>
                </c:pt>
                <c:pt idx="439">
                  <c:v>-4.4878218697084783E-3</c:v>
                </c:pt>
                <c:pt idx="440">
                  <c:v>2.6480349319839992E-3</c:v>
                </c:pt>
                <c:pt idx="441">
                  <c:v>8.7189996666161944E-4</c:v>
                </c:pt>
                <c:pt idx="442">
                  <c:v>3.6178640233520921E-3</c:v>
                </c:pt>
                <c:pt idx="443">
                  <c:v>7.1487982954376974E-3</c:v>
                </c:pt>
                <c:pt idx="444">
                  <c:v>-3.2166114302795205E-4</c:v>
                </c:pt>
                <c:pt idx="445">
                  <c:v>-3.4626904363913532E-3</c:v>
                </c:pt>
                <c:pt idx="446">
                  <c:v>-9.9401652318431739E-3</c:v>
                </c:pt>
                <c:pt idx="447">
                  <c:v>-6.2073100173509251E-3</c:v>
                </c:pt>
                <c:pt idx="448">
                  <c:v>1.954351929163438E-4</c:v>
                </c:pt>
                <c:pt idx="449">
                  <c:v>-2.9705448850503111E-3</c:v>
                </c:pt>
                <c:pt idx="450">
                  <c:v>8.0454434366606341E-3</c:v>
                </c:pt>
                <c:pt idx="451">
                  <c:v>1.0217529003082159E-2</c:v>
                </c:pt>
                <c:pt idx="452">
                  <c:v>4.1086129344168739E-3</c:v>
                </c:pt>
                <c:pt idx="453">
                  <c:v>-2.4466730272574805E-3</c:v>
                </c:pt>
                <c:pt idx="454">
                  <c:v>-1.6710127170061661E-2</c:v>
                </c:pt>
                <c:pt idx="455">
                  <c:v>4.3948225512983235E-4</c:v>
                </c:pt>
                <c:pt idx="456">
                  <c:v>-1.4549262064668257E-2</c:v>
                </c:pt>
                <c:pt idx="457">
                  <c:v>-3.0901628496863881E-3</c:v>
                </c:pt>
                <c:pt idx="458">
                  <c:v>2.9910856826463454E-3</c:v>
                </c:pt>
                <c:pt idx="459">
                  <c:v>-7.2922680414156456E-4</c:v>
                </c:pt>
                <c:pt idx="460">
                  <c:v>1.5580184869156202E-4</c:v>
                </c:pt>
                <c:pt idx="461">
                  <c:v>1.0867260747050345E-2</c:v>
                </c:pt>
                <c:pt idx="462">
                  <c:v>-9.4237076580922455E-3</c:v>
                </c:pt>
                <c:pt idx="463">
                  <c:v>2.1614299275310735E-3</c:v>
                </c:pt>
                <c:pt idx="464">
                  <c:v>7.822505758014995E-3</c:v>
                </c:pt>
                <c:pt idx="465">
                  <c:v>-2.3990494932418175E-2</c:v>
                </c:pt>
                <c:pt idx="466">
                  <c:v>-1.2279919394418561E-2</c:v>
                </c:pt>
                <c:pt idx="467">
                  <c:v>1.6972760624259981E-3</c:v>
                </c:pt>
                <c:pt idx="468">
                  <c:v>1.3044045411771709E-4</c:v>
                </c:pt>
                <c:pt idx="469">
                  <c:v>-3.9933835596909703E-3</c:v>
                </c:pt>
                <c:pt idx="470">
                  <c:v>-1.394884192572606E-2</c:v>
                </c:pt>
                <c:pt idx="471">
                  <c:v>-1.5947906895285239E-3</c:v>
                </c:pt>
                <c:pt idx="472">
                  <c:v>4.8282386725694085E-3</c:v>
                </c:pt>
                <c:pt idx="473">
                  <c:v>1.9667369768091868E-2</c:v>
                </c:pt>
                <c:pt idx="474">
                  <c:v>6.6313477760757589E-4</c:v>
                </c:pt>
                <c:pt idx="475">
                  <c:v>2.3175148199859131E-3</c:v>
                </c:pt>
                <c:pt idx="476">
                  <c:v>1.2942205804867957E-2</c:v>
                </c:pt>
                <c:pt idx="477">
                  <c:v>-2.0316547209315592E-3</c:v>
                </c:pt>
                <c:pt idx="478">
                  <c:v>-5.2402240238485368E-3</c:v>
                </c:pt>
                <c:pt idx="479">
                  <c:v>7.8252507809793547E-3</c:v>
                </c:pt>
                <c:pt idx="480">
                  <c:v>4.2606261459933554E-3</c:v>
                </c:pt>
                <c:pt idx="481">
                  <c:v>1.6242192307947768E-4</c:v>
                </c:pt>
                <c:pt idx="482">
                  <c:v>-4.7564535251138646E-3</c:v>
                </c:pt>
                <c:pt idx="483">
                  <c:v>-1.7113382080492271E-3</c:v>
                </c:pt>
                <c:pt idx="484">
                  <c:v>1.5836215685260085E-3</c:v>
                </c:pt>
                <c:pt idx="485">
                  <c:v>3.3011980873050694E-3</c:v>
                </c:pt>
                <c:pt idx="486">
                  <c:v>2.916658435379544E-3</c:v>
                </c:pt>
                <c:pt idx="487">
                  <c:v>3.3843095274054159E-4</c:v>
                </c:pt>
                <c:pt idx="488">
                  <c:v>6.52758967448202E-3</c:v>
                </c:pt>
                <c:pt idx="489">
                  <c:v>4.4812906866902318E-4</c:v>
                </c:pt>
                <c:pt idx="490">
                  <c:v>-6.3414692504306803E-3</c:v>
                </c:pt>
                <c:pt idx="491">
                  <c:v>-4.1439789908631845E-3</c:v>
                </c:pt>
                <c:pt idx="492">
                  <c:v>1.1800667190939215E-2</c:v>
                </c:pt>
                <c:pt idx="493">
                  <c:v>1.1421148426265303E-2</c:v>
                </c:pt>
                <c:pt idx="494">
                  <c:v>-7.6181593722409987E-3</c:v>
                </c:pt>
                <c:pt idx="495">
                  <c:v>5.4731860885176876E-3</c:v>
                </c:pt>
                <c:pt idx="496">
                  <c:v>-9.4230021072279815E-3</c:v>
                </c:pt>
                <c:pt idx="497">
                  <c:v>-2.4432858581227004E-3</c:v>
                </c:pt>
                <c:pt idx="498">
                  <c:v>-4.7989018809801616E-3</c:v>
                </c:pt>
                <c:pt idx="499">
                  <c:v>-1.2191986513380225E-3</c:v>
                </c:pt>
                <c:pt idx="500">
                  <c:v>-1.11115011894783E-2</c:v>
                </c:pt>
                <c:pt idx="501">
                  <c:v>1.6800106652478265E-2</c:v>
                </c:pt>
                <c:pt idx="502">
                  <c:v>2.5086044824864026E-2</c:v>
                </c:pt>
                <c:pt idx="503">
                  <c:v>-2.0877620279685176E-3</c:v>
                </c:pt>
                <c:pt idx="504">
                  <c:v>4.8533166109664457E-3</c:v>
                </c:pt>
                <c:pt idx="505">
                  <c:v>-3.1280332571486792E-3</c:v>
                </c:pt>
                <c:pt idx="506">
                  <c:v>-3.2476459151946561E-3</c:v>
                </c:pt>
                <c:pt idx="507">
                  <c:v>2.6523487451191913E-3</c:v>
                </c:pt>
                <c:pt idx="508">
                  <c:v>7.5687167942973159E-3</c:v>
                </c:pt>
                <c:pt idx="509">
                  <c:v>-4.7551601988409018E-5</c:v>
                </c:pt>
                <c:pt idx="510">
                  <c:v>-9.3110825592432821E-4</c:v>
                </c:pt>
                <c:pt idx="511">
                  <c:v>1.128093030996665E-3</c:v>
                </c:pt>
                <c:pt idx="512">
                  <c:v>1.969459797129973E-4</c:v>
                </c:pt>
                <c:pt idx="513">
                  <c:v>5.6271034223067872E-3</c:v>
                </c:pt>
                <c:pt idx="514">
                  <c:v>3.3974659565910057E-3</c:v>
                </c:pt>
                <c:pt idx="515">
                  <c:v>4.41827922681335E-3</c:v>
                </c:pt>
                <c:pt idx="516">
                  <c:v>1.5063419833833689E-3</c:v>
                </c:pt>
                <c:pt idx="517">
                  <c:v>6.689791044299383E-6</c:v>
                </c:pt>
                <c:pt idx="518">
                  <c:v>5.4306987208722545E-3</c:v>
                </c:pt>
                <c:pt idx="519">
                  <c:v>-1.8513960681661246E-3</c:v>
                </c:pt>
                <c:pt idx="520">
                  <c:v>5.0930622521802886E-3</c:v>
                </c:pt>
                <c:pt idx="521">
                  <c:v>-3.9072413320486547E-3</c:v>
                </c:pt>
                <c:pt idx="522">
                  <c:v>-2.5666081881304615E-3</c:v>
                </c:pt>
                <c:pt idx="523">
                  <c:v>1.0002474404177631E-2</c:v>
                </c:pt>
                <c:pt idx="524">
                  <c:v>-1.1605777551404992E-2</c:v>
                </c:pt>
                <c:pt idx="525">
                  <c:v>1.036258025857612E-2</c:v>
                </c:pt>
                <c:pt idx="526">
                  <c:v>5.4904893537455462E-4</c:v>
                </c:pt>
                <c:pt idx="527">
                  <c:v>-1.807043989846203E-3</c:v>
                </c:pt>
                <c:pt idx="528">
                  <c:v>5.6419689055853262E-3</c:v>
                </c:pt>
                <c:pt idx="529">
                  <c:v>-6.0627230072434325E-4</c:v>
                </c:pt>
                <c:pt idx="530">
                  <c:v>1.5939722256221329E-3</c:v>
                </c:pt>
                <c:pt idx="531">
                  <c:v>5.92152029303837E-4</c:v>
                </c:pt>
                <c:pt idx="532">
                  <c:v>6.9040115047624235E-4</c:v>
                </c:pt>
                <c:pt idx="533">
                  <c:v>-1.0456502891147328E-3</c:v>
                </c:pt>
                <c:pt idx="534">
                  <c:v>7.3097584169803118E-3</c:v>
                </c:pt>
                <c:pt idx="535">
                  <c:v>-1.248171740825915E-2</c:v>
                </c:pt>
                <c:pt idx="536">
                  <c:v>-6.3230670101523416E-3</c:v>
                </c:pt>
                <c:pt idx="537">
                  <c:v>8.7342587449727293E-3</c:v>
                </c:pt>
                <c:pt idx="538">
                  <c:v>-1.8479275284333255E-2</c:v>
                </c:pt>
                <c:pt idx="539">
                  <c:v>6.0908995959643225E-3</c:v>
                </c:pt>
                <c:pt idx="540">
                  <c:v>1.2645666418416045E-2</c:v>
                </c:pt>
                <c:pt idx="541">
                  <c:v>-8.644953634581831E-4</c:v>
                </c:pt>
                <c:pt idx="542">
                  <c:v>2.3212270716333073E-3</c:v>
                </c:pt>
                <c:pt idx="543">
                  <c:v>4.6001264007408333E-3</c:v>
                </c:pt>
                <c:pt idx="544">
                  <c:v>9.5204944895365129E-3</c:v>
                </c:pt>
                <c:pt idx="545">
                  <c:v>1.0839757653689358E-3</c:v>
                </c:pt>
                <c:pt idx="546">
                  <c:v>1.8148119521493281E-3</c:v>
                </c:pt>
                <c:pt idx="547">
                  <c:v>4.4711004109199912E-3</c:v>
                </c:pt>
                <c:pt idx="548">
                  <c:v>3.2438723173948535E-3</c:v>
                </c:pt>
                <c:pt idx="549">
                  <c:v>-2.4061516417888235E-3</c:v>
                </c:pt>
                <c:pt idx="550">
                  <c:v>1.3131640123256268E-3</c:v>
                </c:pt>
                <c:pt idx="551">
                  <c:v>5.5873772173025285E-3</c:v>
                </c:pt>
                <c:pt idx="552">
                  <c:v>-1.6197549581095975E-3</c:v>
                </c:pt>
                <c:pt idx="553">
                  <c:v>-5.5255858913691377E-3</c:v>
                </c:pt>
                <c:pt idx="554">
                  <c:v>-2.4254633815200036E-3</c:v>
                </c:pt>
                <c:pt idx="555">
                  <c:v>6.6751668015524457E-3</c:v>
                </c:pt>
                <c:pt idx="556">
                  <c:v>-8.3169804044007662E-3</c:v>
                </c:pt>
                <c:pt idx="557">
                  <c:v>7.1486659821265496E-3</c:v>
                </c:pt>
                <c:pt idx="558">
                  <c:v>-3.3455821309178592E-3</c:v>
                </c:pt>
                <c:pt idx="559">
                  <c:v>7.7549129435386119E-3</c:v>
                </c:pt>
                <c:pt idx="560">
                  <c:v>-5.8849494121564802E-4</c:v>
                </c:pt>
                <c:pt idx="561">
                  <c:v>4.0484851148155808E-3</c:v>
                </c:pt>
                <c:pt idx="562">
                  <c:v>-4.4836823364220995E-3</c:v>
                </c:pt>
                <c:pt idx="563">
                  <c:v>5.1589620297942326E-3</c:v>
                </c:pt>
                <c:pt idx="564">
                  <c:v>-1.0602095506201462E-2</c:v>
                </c:pt>
                <c:pt idx="565">
                  <c:v>4.0402538202902035E-3</c:v>
                </c:pt>
                <c:pt idx="566">
                  <c:v>-4.3041765503969041E-3</c:v>
                </c:pt>
                <c:pt idx="567">
                  <c:v>6.2830119890327149E-3</c:v>
                </c:pt>
                <c:pt idx="568">
                  <c:v>3.5380407825949659E-3</c:v>
                </c:pt>
                <c:pt idx="569">
                  <c:v>1.2115446292433605E-2</c:v>
                </c:pt>
                <c:pt idx="570">
                  <c:v>3.5459469426653589E-3</c:v>
                </c:pt>
                <c:pt idx="571">
                  <c:v>-2.8407860171352811E-3</c:v>
                </c:pt>
                <c:pt idx="572">
                  <c:v>-2.3234130479996954E-2</c:v>
                </c:pt>
                <c:pt idx="573">
                  <c:v>1.4205865503323178E-2</c:v>
                </c:pt>
                <c:pt idx="574">
                  <c:v>-1.4431354089724242E-2</c:v>
                </c:pt>
                <c:pt idx="575">
                  <c:v>-6.7235401752622328E-3</c:v>
                </c:pt>
                <c:pt idx="576">
                  <c:v>8.8089795490163252E-3</c:v>
                </c:pt>
                <c:pt idx="577">
                  <c:v>4.6507982154273889E-3</c:v>
                </c:pt>
                <c:pt idx="578">
                  <c:v>1.0365294248898439E-2</c:v>
                </c:pt>
                <c:pt idx="579">
                  <c:v>6.3339846780946741E-6</c:v>
                </c:pt>
                <c:pt idx="580">
                  <c:v>4.0266177447456745E-3</c:v>
                </c:pt>
                <c:pt idx="581">
                  <c:v>-1.8437840671979098E-3</c:v>
                </c:pt>
                <c:pt idx="582">
                  <c:v>7.1603183893662135E-3</c:v>
                </c:pt>
                <c:pt idx="583">
                  <c:v>2.4818418469955725E-3</c:v>
                </c:pt>
                <c:pt idx="584">
                  <c:v>-9.3514754188050771E-3</c:v>
                </c:pt>
                <c:pt idx="585">
                  <c:v>9.3639943536941335E-3</c:v>
                </c:pt>
                <c:pt idx="586">
                  <c:v>1.04795153331448E-2</c:v>
                </c:pt>
                <c:pt idx="587">
                  <c:v>1.9059883489792062E-3</c:v>
                </c:pt>
                <c:pt idx="588">
                  <c:v>5.2166631841068997E-3</c:v>
                </c:pt>
                <c:pt idx="589">
                  <c:v>4.1305507302880854E-3</c:v>
                </c:pt>
                <c:pt idx="590">
                  <c:v>-3.6939809321391258E-3</c:v>
                </c:pt>
                <c:pt idx="591">
                  <c:v>4.3124006751514296E-3</c:v>
                </c:pt>
                <c:pt idx="592">
                  <c:v>4.2846606096343147E-5</c:v>
                </c:pt>
                <c:pt idx="593">
                  <c:v>1.0091099634557102E-2</c:v>
                </c:pt>
                <c:pt idx="594">
                  <c:v>5.1010651178161831E-3</c:v>
                </c:pt>
                <c:pt idx="595">
                  <c:v>-5.0222965730849136E-3</c:v>
                </c:pt>
                <c:pt idx="596">
                  <c:v>1.0247411805593496E-2</c:v>
                </c:pt>
                <c:pt idx="597">
                  <c:v>-7.0790941716164719E-4</c:v>
                </c:pt>
                <c:pt idx="598">
                  <c:v>1.7209076486218429E-3</c:v>
                </c:pt>
                <c:pt idx="599">
                  <c:v>-8.3080390400197494E-3</c:v>
                </c:pt>
                <c:pt idx="600">
                  <c:v>-2.928135769918223E-3</c:v>
                </c:pt>
                <c:pt idx="601">
                  <c:v>-5.5149678226770488E-4</c:v>
                </c:pt>
                <c:pt idx="602">
                  <c:v>6.3209120130071905E-3</c:v>
                </c:pt>
                <c:pt idx="603">
                  <c:v>-7.072892060328735E-3</c:v>
                </c:pt>
                <c:pt idx="604">
                  <c:v>3.6635955678957278E-3</c:v>
                </c:pt>
                <c:pt idx="605">
                  <c:v>-1.4410550273650714E-2</c:v>
                </c:pt>
                <c:pt idx="606">
                  <c:v>5.9184070822181989E-3</c:v>
                </c:pt>
                <c:pt idx="607">
                  <c:v>-5.5260242096006633E-3</c:v>
                </c:pt>
                <c:pt idx="608">
                  <c:v>-1.3875566725247141E-2</c:v>
                </c:pt>
                <c:pt idx="609">
                  <c:v>8.4544332066969503E-3</c:v>
                </c:pt>
                <c:pt idx="610">
                  <c:v>1.2749947667659597E-2</c:v>
                </c:pt>
                <c:pt idx="611">
                  <c:v>-3.4690629921981507E-4</c:v>
                </c:pt>
                <c:pt idx="612">
                  <c:v>-1.020523152075696E-2</c:v>
                </c:pt>
                <c:pt idx="613">
                  <c:v>-8.404786017584211E-3</c:v>
                </c:pt>
                <c:pt idx="614">
                  <c:v>1.4676090161454946E-2</c:v>
                </c:pt>
                <c:pt idx="615">
                  <c:v>-5.902398007852176E-3</c:v>
                </c:pt>
                <c:pt idx="616">
                  <c:v>7.5388397237181716E-3</c:v>
                </c:pt>
                <c:pt idx="617">
                  <c:v>7.7609517888806018E-3</c:v>
                </c:pt>
                <c:pt idx="618">
                  <c:v>-1.3948298829170962E-2</c:v>
                </c:pt>
                <c:pt idx="619">
                  <c:v>-2.532835452574456E-2</c:v>
                </c:pt>
                <c:pt idx="620">
                  <c:v>2.6661484311964016E-3</c:v>
                </c:pt>
                <c:pt idx="621">
                  <c:v>-1.2219313502973374E-2</c:v>
                </c:pt>
                <c:pt idx="622">
                  <c:v>9.4524163829988878E-3</c:v>
                </c:pt>
                <c:pt idx="623">
                  <c:v>9.5448020236501563E-3</c:v>
                </c:pt>
                <c:pt idx="624">
                  <c:v>6.1807276592703957E-3</c:v>
                </c:pt>
                <c:pt idx="625">
                  <c:v>-4.2988374872954703E-3</c:v>
                </c:pt>
                <c:pt idx="626">
                  <c:v>5.3892420362545825E-3</c:v>
                </c:pt>
                <c:pt idx="627">
                  <c:v>-5.4505365172693261E-4</c:v>
                </c:pt>
                <c:pt idx="628">
                  <c:v>8.236595098241727E-4</c:v>
                </c:pt>
                <c:pt idx="629">
                  <c:v>1.0150057885384197E-2</c:v>
                </c:pt>
                <c:pt idx="630">
                  <c:v>5.2378380021182091E-3</c:v>
                </c:pt>
                <c:pt idx="631">
                  <c:v>7.2036706293219874E-3</c:v>
                </c:pt>
                <c:pt idx="632">
                  <c:v>1.8154641283901302E-4</c:v>
                </c:pt>
                <c:pt idx="633">
                  <c:v>1.3463198150456835E-2</c:v>
                </c:pt>
                <c:pt idx="634">
                  <c:v>3.0817767542262128E-3</c:v>
                </c:pt>
                <c:pt idx="635">
                  <c:v>1.3739002782673193E-3</c:v>
                </c:pt>
                <c:pt idx="636">
                  <c:v>-3.7156612435484218E-3</c:v>
                </c:pt>
                <c:pt idx="637">
                  <c:v>2.7701921402020061E-3</c:v>
                </c:pt>
                <c:pt idx="638">
                  <c:v>5.0203649363598224E-3</c:v>
                </c:pt>
                <c:pt idx="639">
                  <c:v>1.6087728890168559E-3</c:v>
                </c:pt>
                <c:pt idx="640">
                  <c:v>2.0309250638510861E-3</c:v>
                </c:pt>
                <c:pt idx="641">
                  <c:v>-1.8536452449211241E-3</c:v>
                </c:pt>
                <c:pt idx="642">
                  <c:v>-3.8184593198933806E-3</c:v>
                </c:pt>
                <c:pt idx="643">
                  <c:v>2.5531752308375314E-3</c:v>
                </c:pt>
                <c:pt idx="644">
                  <c:v>8.2793700580897325E-4</c:v>
                </c:pt>
                <c:pt idx="645">
                  <c:v>-3.7429936680698351E-3</c:v>
                </c:pt>
                <c:pt idx="646">
                  <c:v>3.7374417942905253E-4</c:v>
                </c:pt>
                <c:pt idx="647">
                  <c:v>-1.3643009906418412E-4</c:v>
                </c:pt>
                <c:pt idx="648">
                  <c:v>1.2462579504871753E-2</c:v>
                </c:pt>
                <c:pt idx="649">
                  <c:v>1.6390855232919159E-3</c:v>
                </c:pt>
                <c:pt idx="650">
                  <c:v>-1.480913754279429E-3</c:v>
                </c:pt>
                <c:pt idx="651">
                  <c:v>-5.7394613731720544E-3</c:v>
                </c:pt>
                <c:pt idx="652">
                  <c:v>-3.81314875241731E-3</c:v>
                </c:pt>
                <c:pt idx="653">
                  <c:v>3.8779527938558253E-3</c:v>
                </c:pt>
                <c:pt idx="654">
                  <c:v>-3.5763855287662917E-3</c:v>
                </c:pt>
                <c:pt idx="655">
                  <c:v>-1.1535425383448848E-3</c:v>
                </c:pt>
                <c:pt idx="656">
                  <c:v>2.7721724913956085E-3</c:v>
                </c:pt>
                <c:pt idx="657">
                  <c:v>-5.1900517442756379E-3</c:v>
                </c:pt>
                <c:pt idx="658">
                  <c:v>-1.4384523926260438E-2</c:v>
                </c:pt>
                <c:pt idx="659">
                  <c:v>-3.3100734140073594E-3</c:v>
                </c:pt>
                <c:pt idx="660">
                  <c:v>-5.9178400932658947E-3</c:v>
                </c:pt>
                <c:pt idx="661">
                  <c:v>3.8139634700918462E-3</c:v>
                </c:pt>
                <c:pt idx="662">
                  <c:v>-5.7964139652054766E-3</c:v>
                </c:pt>
                <c:pt idx="663">
                  <c:v>8.5824950407145766E-3</c:v>
                </c:pt>
                <c:pt idx="664">
                  <c:v>3.9392183354132132E-3</c:v>
                </c:pt>
                <c:pt idx="665">
                  <c:v>-4.047856913079035E-3</c:v>
                </c:pt>
                <c:pt idx="666">
                  <c:v>-1.6001509567328324E-2</c:v>
                </c:pt>
                <c:pt idx="667">
                  <c:v>2.7438892221566106E-3</c:v>
                </c:pt>
                <c:pt idx="668">
                  <c:v>1.9614259312179068E-3</c:v>
                </c:pt>
                <c:pt idx="669">
                  <c:v>-3.1793224259261555E-3</c:v>
                </c:pt>
                <c:pt idx="670">
                  <c:v>4.1555453751369511E-3</c:v>
                </c:pt>
                <c:pt idx="671">
                  <c:v>8.0842264234291927E-3</c:v>
                </c:pt>
                <c:pt idx="672">
                  <c:v>1.2091315073432651E-3</c:v>
                </c:pt>
                <c:pt idx="673">
                  <c:v>5.4376557675273835E-5</c:v>
                </c:pt>
                <c:pt idx="674">
                  <c:v>9.9433320560937486E-3</c:v>
                </c:pt>
                <c:pt idx="675">
                  <c:v>7.3189229171092005E-3</c:v>
                </c:pt>
                <c:pt idx="676">
                  <c:v>3.0476259239930587E-3</c:v>
                </c:pt>
                <c:pt idx="677">
                  <c:v>-3.3861650418574234E-3</c:v>
                </c:pt>
                <c:pt idx="678">
                  <c:v>2.7110335432424617E-3</c:v>
                </c:pt>
                <c:pt idx="679">
                  <c:v>5.6770168919803715E-3</c:v>
                </c:pt>
                <c:pt idx="680">
                  <c:v>4.2088494865901299E-3</c:v>
                </c:pt>
                <c:pt idx="681">
                  <c:v>1.2104115967809937E-2</c:v>
                </c:pt>
                <c:pt idx="682">
                  <c:v>-1.8446229845168335E-3</c:v>
                </c:pt>
                <c:pt idx="683">
                  <c:v>-7.2430937969337897E-3</c:v>
                </c:pt>
                <c:pt idx="684">
                  <c:v>-4.7307188688171364E-3</c:v>
                </c:pt>
                <c:pt idx="685">
                  <c:v>-2.6005674711671984E-3</c:v>
                </c:pt>
                <c:pt idx="686">
                  <c:v>-2.7432108029442847E-3</c:v>
                </c:pt>
                <c:pt idx="687">
                  <c:v>3.4793515156158698E-3</c:v>
                </c:pt>
                <c:pt idx="688">
                  <c:v>-4.0820957930202389E-3</c:v>
                </c:pt>
                <c:pt idx="689">
                  <c:v>-6.0475090187600816E-3</c:v>
                </c:pt>
                <c:pt idx="690">
                  <c:v>7.9667537209757739E-3</c:v>
                </c:pt>
                <c:pt idx="691">
                  <c:v>-6.6688898770376765E-4</c:v>
                </c:pt>
                <c:pt idx="692">
                  <c:v>-9.0199957444824265E-3</c:v>
                </c:pt>
                <c:pt idx="693">
                  <c:v>7.0284870655762189E-3</c:v>
                </c:pt>
                <c:pt idx="694">
                  <c:v>-8.5427446236556424E-3</c:v>
                </c:pt>
                <c:pt idx="695">
                  <c:v>-1.2408723348868085E-2</c:v>
                </c:pt>
                <c:pt idx="696">
                  <c:v>5.7369749599523064E-4</c:v>
                </c:pt>
                <c:pt idx="697">
                  <c:v>2.1595603003649867E-2</c:v>
                </c:pt>
                <c:pt idx="698">
                  <c:v>6.2666589042077387E-3</c:v>
                </c:pt>
                <c:pt idx="699">
                  <c:v>4.0664039111895159E-3</c:v>
                </c:pt>
                <c:pt idx="700">
                  <c:v>-7.0888155544114413E-3</c:v>
                </c:pt>
                <c:pt idx="701">
                  <c:v>1.3732816122981576E-2</c:v>
                </c:pt>
                <c:pt idx="702">
                  <c:v>6.7213230176509332E-3</c:v>
                </c:pt>
                <c:pt idx="703">
                  <c:v>6.5274195501484516E-3</c:v>
                </c:pt>
                <c:pt idx="704">
                  <c:v>9.1712618574313345E-5</c:v>
                </c:pt>
                <c:pt idx="705">
                  <c:v>5.7211107858845976E-3</c:v>
                </c:pt>
                <c:pt idx="706">
                  <c:v>-4.7357309912257808E-3</c:v>
                </c:pt>
                <c:pt idx="707">
                  <c:v>3.2528719960210105E-3</c:v>
                </c:pt>
                <c:pt idx="708">
                  <c:v>4.3851726383198801E-3</c:v>
                </c:pt>
                <c:pt idx="709">
                  <c:v>1.328835930998072E-3</c:v>
                </c:pt>
                <c:pt idx="710">
                  <c:v>5.568680457237637E-3</c:v>
                </c:pt>
                <c:pt idx="711">
                  <c:v>-4.8879104801314577E-3</c:v>
                </c:pt>
                <c:pt idx="712">
                  <c:v>-3.846759576849974E-3</c:v>
                </c:pt>
                <c:pt idx="713">
                  <c:v>2.8992283353028092E-3</c:v>
                </c:pt>
                <c:pt idx="714">
                  <c:v>3.5641773126337483E-3</c:v>
                </c:pt>
                <c:pt idx="715">
                  <c:v>-2.8094838497391963E-3</c:v>
                </c:pt>
                <c:pt idx="716">
                  <c:v>4.2564576101536706E-3</c:v>
                </c:pt>
                <c:pt idx="717">
                  <c:v>-1.327045548901987E-2</c:v>
                </c:pt>
                <c:pt idx="718">
                  <c:v>1.333823103901602E-2</c:v>
                </c:pt>
                <c:pt idx="719">
                  <c:v>7.2265352474504111E-4</c:v>
                </c:pt>
                <c:pt idx="720">
                  <c:v>-2.3731640314203425E-3</c:v>
                </c:pt>
                <c:pt idx="721">
                  <c:v>8.0627195734255634E-3</c:v>
                </c:pt>
                <c:pt idx="722">
                  <c:v>4.8255995473341796E-3</c:v>
                </c:pt>
                <c:pt idx="723">
                  <c:v>4.2131136773868576E-3</c:v>
                </c:pt>
                <c:pt idx="724">
                  <c:v>-3.7050389068854113E-3</c:v>
                </c:pt>
                <c:pt idx="725">
                  <c:v>-2.0450361935312332E-3</c:v>
                </c:pt>
                <c:pt idx="726">
                  <c:v>-3.642235986195912E-3</c:v>
                </c:pt>
                <c:pt idx="727">
                  <c:v>8.0957162744240488E-3</c:v>
                </c:pt>
                <c:pt idx="728">
                  <c:v>4.9491714942796741E-3</c:v>
                </c:pt>
                <c:pt idx="729">
                  <c:v>-1.2641245404365169E-3</c:v>
                </c:pt>
                <c:pt idx="730">
                  <c:v>1.4978239973848013E-4</c:v>
                </c:pt>
                <c:pt idx="731">
                  <c:v>2.4820094847459511E-3</c:v>
                </c:pt>
                <c:pt idx="732">
                  <c:v>-7.8604171175170024E-4</c:v>
                </c:pt>
                <c:pt idx="733">
                  <c:v>-2.7227046439559808E-3</c:v>
                </c:pt>
                <c:pt idx="734">
                  <c:v>-3.1979560353162999E-3</c:v>
                </c:pt>
                <c:pt idx="735">
                  <c:v>-1.3043625524062031E-3</c:v>
                </c:pt>
                <c:pt idx="736">
                  <c:v>-4.3489995429874546E-3</c:v>
                </c:pt>
                <c:pt idx="737">
                  <c:v>1.1175230224585924E-2</c:v>
                </c:pt>
                <c:pt idx="738">
                  <c:v>1.8154350128978636E-3</c:v>
                </c:pt>
                <c:pt idx="739">
                  <c:v>-3.1847248870443094E-3</c:v>
                </c:pt>
                <c:pt idx="740">
                  <c:v>-1.1381383944921048E-2</c:v>
                </c:pt>
                <c:pt idx="741">
                  <c:v>-3.777704817573199E-3</c:v>
                </c:pt>
                <c:pt idx="742">
                  <c:v>-1.0138503227667498E-4</c:v>
                </c:pt>
                <c:pt idx="743">
                  <c:v>6.3001000102775595E-3</c:v>
                </c:pt>
                <c:pt idx="744">
                  <c:v>-3.1057840714818681E-3</c:v>
                </c:pt>
                <c:pt idx="745">
                  <c:v>1.6510892525584176E-2</c:v>
                </c:pt>
                <c:pt idx="746">
                  <c:v>-5.8007045338986994E-4</c:v>
                </c:pt>
                <c:pt idx="747">
                  <c:v>4.8071714880478693E-3</c:v>
                </c:pt>
                <c:pt idx="748">
                  <c:v>5.3040046897099881E-3</c:v>
                </c:pt>
                <c:pt idx="749">
                  <c:v>2.9115282591196121E-3</c:v>
                </c:pt>
                <c:pt idx="750">
                  <c:v>4.7342647208743665E-3</c:v>
                </c:pt>
                <c:pt idx="751">
                  <c:v>-3.3664366586225631E-4</c:v>
                </c:pt>
                <c:pt idx="752">
                  <c:v>-1.7922752982837381E-4</c:v>
                </c:pt>
              </c:numCache>
            </c:numRef>
          </c:yVal>
          <c:smooth val="0"/>
        </c:ser>
        <c:dLbls>
          <c:showLegendKey val="0"/>
          <c:showVal val="0"/>
          <c:showCatName val="0"/>
          <c:showSerName val="0"/>
          <c:showPercent val="0"/>
          <c:showBubbleSize val="0"/>
        </c:dLbls>
        <c:axId val="-170457024"/>
        <c:axId val="-170443696"/>
      </c:scatterChart>
      <c:valAx>
        <c:axId val="-170451536"/>
        <c:scaling>
          <c:orientation val="minMax"/>
          <c:max val="41639"/>
          <c:min val="40546"/>
        </c:scaling>
        <c:delete val="0"/>
        <c:axPos val="b"/>
        <c:numFmt formatCode="[$-409]d\-mmm\-yyyy;@" sourceLinked="0"/>
        <c:majorTickMark val="out"/>
        <c:minorTickMark val="none"/>
        <c:tickLblPos val="nextTo"/>
        <c:spPr>
          <a:ln w="3175">
            <a:solidFill>
              <a:srgbClr val="000000"/>
            </a:solidFill>
            <a:prstDash val="solid"/>
          </a:ln>
        </c:spPr>
        <c:txPr>
          <a:bodyPr rot="-2700000" vert="horz"/>
          <a:lstStyle/>
          <a:p>
            <a:pPr>
              <a:defRPr sz="1100" b="0" i="0" u="none" strike="noStrike" baseline="0">
                <a:solidFill>
                  <a:srgbClr val="000000"/>
                </a:solidFill>
                <a:latin typeface="Times New Roman"/>
                <a:ea typeface="Times New Roman"/>
                <a:cs typeface="Times New Roman"/>
              </a:defRPr>
            </a:pPr>
            <a:endParaRPr lang="en-US"/>
          </a:p>
        </c:txPr>
        <c:crossAx val="-170449968"/>
        <c:crossesAt val="-0.15"/>
        <c:crossBetween val="midCat"/>
        <c:majorUnit val="120"/>
      </c:valAx>
      <c:valAx>
        <c:axId val="-170449968"/>
        <c:scaling>
          <c:orientation val="minMax"/>
          <c:max val="0.04"/>
          <c:min val="-0.02"/>
        </c:scaling>
        <c:delete val="0"/>
        <c:axPos val="l"/>
        <c:title>
          <c:tx>
            <c:rich>
              <a:bodyPr/>
              <a:lstStyle/>
              <a:p>
                <a:pPr>
                  <a:defRPr b="1"/>
                </a:pPr>
                <a:r>
                  <a:rPr lang="en-US" b="1"/>
                  <a:t>Predicted Volatility</a:t>
                </a:r>
              </a:p>
            </c:rich>
          </c:tx>
          <c:layout>
            <c:manualLayout>
              <c:xMode val="edge"/>
              <c:yMode val="edge"/>
              <c:x val="1.4881106894605207E-3"/>
              <c:y val="0.30114014842972214"/>
            </c:manualLayout>
          </c:layout>
          <c:overlay val="0"/>
          <c:spPr>
            <a:noFill/>
            <a:ln w="25400">
              <a:noFill/>
            </a:ln>
          </c:spPr>
        </c:title>
        <c:numFmt formatCode="0%;[Red]\-0%" sourceLinked="0"/>
        <c:majorTickMark val="out"/>
        <c:minorTickMark val="none"/>
        <c:tickLblPos val="nextTo"/>
        <c:spPr>
          <a:ln w="3175">
            <a:solidFill>
              <a:srgbClr val="000000"/>
            </a:solidFill>
            <a:prstDash val="solid"/>
          </a:ln>
        </c:spPr>
        <c:txPr>
          <a:bodyPr rot="0" vert="horz"/>
          <a:lstStyle/>
          <a:p>
            <a:pPr>
              <a:defRPr/>
            </a:pPr>
            <a:endParaRPr lang="en-US"/>
          </a:p>
        </c:txPr>
        <c:crossAx val="-170451536"/>
        <c:crosses val="autoZero"/>
        <c:crossBetween val="midCat"/>
        <c:majorUnit val="0.01"/>
      </c:valAx>
      <c:valAx>
        <c:axId val="-170457024"/>
        <c:scaling>
          <c:orientation val="minMax"/>
        </c:scaling>
        <c:delete val="1"/>
        <c:axPos val="b"/>
        <c:numFmt formatCode="yyyy\-mm\-dd" sourceLinked="1"/>
        <c:majorTickMark val="out"/>
        <c:minorTickMark val="none"/>
        <c:tickLblPos val="nextTo"/>
        <c:crossAx val="-170443696"/>
        <c:crosses val="autoZero"/>
        <c:crossBetween val="midCat"/>
      </c:valAx>
      <c:valAx>
        <c:axId val="-170443696"/>
        <c:scaling>
          <c:orientation val="minMax"/>
          <c:max val="0.18"/>
          <c:min val="-0.06"/>
        </c:scaling>
        <c:delete val="0"/>
        <c:axPos val="r"/>
        <c:title>
          <c:tx>
            <c:rich>
              <a:bodyPr/>
              <a:lstStyle/>
              <a:p>
                <a:pPr>
                  <a:defRPr b="1"/>
                </a:pPr>
                <a:r>
                  <a:rPr lang="en-US" b="1"/>
                  <a:t>Index Return</a:t>
                </a:r>
              </a:p>
            </c:rich>
          </c:tx>
          <c:layout>
            <c:manualLayout>
              <c:xMode val="edge"/>
              <c:yMode val="edge"/>
              <c:x val="0.96725266484546579"/>
              <c:y val="0.34406439496787039"/>
            </c:manualLayout>
          </c:layout>
          <c:overlay val="0"/>
          <c:spPr>
            <a:noFill/>
            <a:ln w="25400">
              <a:noFill/>
            </a:ln>
          </c:spPr>
        </c:title>
        <c:numFmt formatCode="0%;[Red]\-0%" sourceLinked="0"/>
        <c:majorTickMark val="cross"/>
        <c:minorTickMark val="none"/>
        <c:tickLblPos val="nextTo"/>
        <c:spPr>
          <a:ln w="3175">
            <a:solidFill>
              <a:srgbClr val="000000"/>
            </a:solidFill>
            <a:prstDash val="solid"/>
          </a:ln>
        </c:spPr>
        <c:txPr>
          <a:bodyPr rot="0" vert="horz"/>
          <a:lstStyle/>
          <a:p>
            <a:pPr>
              <a:defRPr/>
            </a:pPr>
            <a:endParaRPr lang="en-US"/>
          </a:p>
        </c:txPr>
        <c:crossAx val="-170457024"/>
        <c:crosses val="max"/>
        <c:crossBetween val="midCat"/>
        <c:majorUnit val="0.04"/>
      </c:valAx>
      <c:spPr>
        <a:noFill/>
        <a:ln w="3175">
          <a:solidFill>
            <a:srgbClr val="000000"/>
          </a:solidFill>
          <a:prstDash val="solid"/>
        </a:ln>
      </c:spPr>
    </c:plotArea>
    <c:legend>
      <c:legendPos val="r"/>
      <c:layout>
        <c:manualLayout>
          <c:xMode val="edge"/>
          <c:yMode val="edge"/>
          <c:x val="0.48979624799647298"/>
          <c:y val="5.6034482758620691E-2"/>
          <c:w val="0.40659373622253253"/>
          <c:h val="0.18534482758620691"/>
        </c:manualLayout>
      </c:layout>
      <c:overlay val="0"/>
      <c:spPr>
        <a:solidFill>
          <a:srgbClr val="FFFFFF"/>
        </a:solidFill>
        <a:ln w="3175">
          <a:solidFill>
            <a:srgbClr val="000000"/>
          </a:solidFill>
          <a:prstDash val="solid"/>
        </a:ln>
      </c:spPr>
    </c:legend>
    <c:plotVisOnly val="1"/>
    <c:dispBlanksAs val="gap"/>
    <c:showDLblsOverMax val="0"/>
  </c:chart>
  <c:spPr>
    <a:solidFill>
      <a:srgbClr val="FFFFFF"/>
    </a:solidFill>
    <a:ln w="3175">
      <a:solidFill>
        <a:srgbClr val="000000"/>
      </a:solidFill>
      <a:prstDash val="solid"/>
    </a:ln>
  </c:spPr>
  <c:txPr>
    <a:bodyPr/>
    <a:lstStyle/>
    <a:p>
      <a:pPr>
        <a:defRPr sz="1100" b="0" i="0" u="none" strike="noStrike" baseline="0">
          <a:solidFill>
            <a:srgbClr val="000000"/>
          </a:solidFill>
          <a:latin typeface="Times New Roman"/>
          <a:ea typeface="Times New Roman"/>
          <a:cs typeface="Times New Roman"/>
        </a:defRPr>
      </a:pPr>
      <a:endParaRPr lang="en-US"/>
    </a:p>
  </c:txPr>
  <c:printSettings>
    <c:headerFooter alignWithMargins="0"/>
    <c:pageMargins b="1" l="0.75" r="0.75" t="1" header="0.5" footer="0.5"/>
    <c:pageSetup paperSize="9" orientation="landscape" horizontalDpi="300" verticalDpi="300"/>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27</xdr:col>
      <xdr:colOff>190500</xdr:colOff>
      <xdr:row>40</xdr:row>
      <xdr:rowOff>133350</xdr:rowOff>
    </xdr:to>
    <xdr:sp macro="" textlink="">
      <xdr:nvSpPr>
        <xdr:cNvPr id="2" name="TextBox 1"/>
        <xdr:cNvSpPr txBox="1"/>
      </xdr:nvSpPr>
      <xdr:spPr>
        <a:xfrm>
          <a:off x="304800" y="133350"/>
          <a:ext cx="8115300" cy="5334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latin typeface="+mj-lt"/>
            </a:rPr>
            <a:t>Copyright</a:t>
          </a:r>
          <a:r>
            <a:rPr lang="en-US" sz="1400" b="1" baseline="0">
              <a:latin typeface="+mj-lt"/>
            </a:rPr>
            <a:t> &amp; Disclaimer</a:t>
          </a:r>
        </a:p>
        <a:p>
          <a:pPr algn="l"/>
          <a:endParaRPr lang="en-US" sz="1400" b="1">
            <a:latin typeface="+mj-lt"/>
          </a:endParaRPr>
        </a:p>
        <a:p>
          <a:pPr algn="ctr"/>
          <a:r>
            <a:rPr lang="en-US" sz="1400" b="1">
              <a:latin typeface="+mj-lt"/>
            </a:rPr>
            <a:t>Copyright</a:t>
          </a:r>
          <a:r>
            <a:rPr lang="en-US" sz="1400" b="1" baseline="0">
              <a:latin typeface="+mj-lt"/>
            </a:rPr>
            <a:t> </a:t>
          </a:r>
          <a:r>
            <a:rPr lang="en-US" sz="1400" b="1">
              <a:latin typeface="+mj-lt"/>
            </a:rPr>
            <a:t>© 2014</a:t>
          </a:r>
          <a:r>
            <a:rPr lang="en-US" sz="1400" b="1" baseline="0">
              <a:latin typeface="+mj-lt"/>
            </a:rPr>
            <a:t> </a:t>
          </a:r>
          <a:r>
            <a:rPr lang="en-US" sz="1400" b="1">
              <a:latin typeface="+mj-lt"/>
            </a:rPr>
            <a:t>Changwei Xiong, &lt;http://www.cs.utah.edu/~cxiong/&gt;</a:t>
          </a:r>
        </a:p>
        <a:p>
          <a:pPr algn="ctr"/>
          <a:r>
            <a:rPr lang="en-US" sz="1400" b="1">
              <a:latin typeface="+mj-lt"/>
            </a:rPr>
            <a:t>All rights reserved</a:t>
          </a:r>
        </a:p>
        <a:p>
          <a:endParaRPr lang="en-US" sz="1400">
            <a:latin typeface="+mj-lt"/>
          </a:endParaRPr>
        </a:p>
        <a:p>
          <a:pPr algn="just"/>
          <a:r>
            <a:rPr lang="en-US" sz="1400">
              <a:latin typeface="+mj-lt"/>
            </a:rPr>
            <a:t>Redistribution and use in source and binary forms, with or without modification, are permitted provided that the following conditions are met: </a:t>
          </a:r>
        </a:p>
        <a:p>
          <a:pPr algn="just"/>
          <a:r>
            <a:rPr lang="en-US" sz="1400">
              <a:latin typeface="+mj-lt"/>
            </a:rPr>
            <a:t>(1)</a:t>
          </a:r>
          <a:r>
            <a:rPr lang="en-US" sz="1400" baseline="0">
              <a:latin typeface="+mj-lt"/>
            </a:rPr>
            <a:t>   </a:t>
          </a:r>
          <a:r>
            <a:rPr lang="en-US" sz="1400">
              <a:latin typeface="+mj-lt"/>
            </a:rPr>
            <a:t>Redistributions of source code must retain the above copyright notice, this list of conditions and the following disclaimer. </a:t>
          </a:r>
        </a:p>
        <a:p>
          <a:pPr algn="just"/>
          <a:r>
            <a:rPr lang="en-US" sz="1400">
              <a:latin typeface="+mj-lt"/>
            </a:rPr>
            <a:t>(2)</a:t>
          </a:r>
          <a:r>
            <a:rPr lang="en-US" sz="1400" baseline="0">
              <a:latin typeface="+mj-lt"/>
            </a:rPr>
            <a:t>    </a:t>
          </a:r>
          <a:r>
            <a:rPr lang="en-US" sz="1400">
              <a:latin typeface="+mj-lt"/>
            </a:rPr>
            <a:t>Redistributions in binary form must reproduce the above copyright notice, this list of conditions and the following disclaimer in the documentation and/or other materials provided with the distribution. </a:t>
          </a:r>
        </a:p>
        <a:p>
          <a:pPr algn="just"/>
          <a:r>
            <a:rPr lang="en-US" sz="1400">
              <a:latin typeface="+mj-lt"/>
            </a:rPr>
            <a:t>(3)</a:t>
          </a:r>
          <a:r>
            <a:rPr lang="en-US" sz="1400" baseline="0">
              <a:latin typeface="+mj-lt"/>
            </a:rPr>
            <a:t>    </a:t>
          </a:r>
          <a:r>
            <a:rPr lang="en-US" sz="1400">
              <a:latin typeface="+mj-lt"/>
            </a:rPr>
            <a:t>The name of the author may not be used to endorse or promote products derived from this software without specific prior written permission.</a:t>
          </a:r>
        </a:p>
        <a:p>
          <a:pPr algn="just"/>
          <a:endParaRPr lang="en-US" sz="1400">
            <a:latin typeface="+mj-lt"/>
          </a:endParaRPr>
        </a:p>
        <a:p>
          <a:pPr algn="just"/>
          <a:r>
            <a:rPr lang="en-US" sz="1400">
              <a:latin typeface="+mj-lt"/>
            </a:rPr>
            <a:t>THIS SOFTWARE IS PROVIDED BY THE AUTHOR ``AS IS'' AND ANY EXPRESS OR IMPLIED WARRANTIES, INCLUDING, BUT NOT LIMITED TO, THE IMPLIED WARRANTIES OF MERCHANTABILITY AND FITNESS FOR A PARTICULAR PURPOSE ARE DISCLAIMED. IN NO EVENT SHALL THE AUTHOR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 </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19050</xdr:colOff>
          <xdr:row>27</xdr:row>
          <xdr:rowOff>0</xdr:rowOff>
        </xdr:from>
        <xdr:to>
          <xdr:col>11</xdr:col>
          <xdr:colOff>533400</xdr:colOff>
          <xdr:row>28</xdr:row>
          <xdr:rowOff>123825</xdr:rowOff>
        </xdr:to>
        <xdr:sp macro="" textlink="">
          <xdr:nvSpPr>
            <xdr:cNvPr id="274439" name="Button 7" hidden="1">
              <a:extLst>
                <a:ext uri="{63B3BB69-23CF-44E3-9099-C40C66FF867C}">
                  <a14:compatExt spid="_x0000_s2744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GARCH Calibration</a:t>
              </a:r>
            </a:p>
          </xdr:txBody>
        </xdr:sp>
        <xdr:clientData fPrintsWithSheet="0"/>
      </xdr:twoCellAnchor>
    </mc:Choice>
    <mc:Fallback/>
  </mc:AlternateContent>
  <xdr:twoCellAnchor>
    <xdr:from>
      <xdr:col>8</xdr:col>
      <xdr:colOff>276225</xdr:colOff>
      <xdr:row>32</xdr:row>
      <xdr:rowOff>0</xdr:rowOff>
    </xdr:from>
    <xdr:to>
      <xdr:col>22</xdr:col>
      <xdr:colOff>390525</xdr:colOff>
      <xdr:row>65</xdr:row>
      <xdr:rowOff>19050</xdr:rowOff>
    </xdr:to>
    <xdr:graphicFrame macro="">
      <xdr:nvGraphicFramePr>
        <xdr:cNvPr id="274508"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19</xdr:col>
          <xdr:colOff>9525</xdr:colOff>
          <xdr:row>27</xdr:row>
          <xdr:rowOff>9525</xdr:rowOff>
        </xdr:from>
        <xdr:to>
          <xdr:col>22</xdr:col>
          <xdr:colOff>114300</xdr:colOff>
          <xdr:row>29</xdr:row>
          <xdr:rowOff>9525</xdr:rowOff>
        </xdr:to>
        <xdr:sp macro="" textlink="">
          <xdr:nvSpPr>
            <xdr:cNvPr id="274441" name="Button 9" hidden="1">
              <a:extLst>
                <a:ext uri="{63B3BB69-23CF-44E3-9099-C40C66FF867C}">
                  <a14:compatExt spid="_x0000_s2744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EWMA Calibration</a:t>
              </a:r>
            </a:p>
          </xdr:txBody>
        </xdr:sp>
        <xdr:clientData fPrintsWithSheet="0"/>
      </xdr:twoCellAnchor>
    </mc:Choice>
    <mc:Fallback/>
  </mc:AlternateContent>
  <xdr:twoCellAnchor>
    <xdr:from>
      <xdr:col>17</xdr:col>
      <xdr:colOff>323850</xdr:colOff>
      <xdr:row>1</xdr:row>
      <xdr:rowOff>0</xdr:rowOff>
    </xdr:from>
    <xdr:to>
      <xdr:col>27</xdr:col>
      <xdr:colOff>200025</xdr:colOff>
      <xdr:row>14</xdr:row>
      <xdr:rowOff>38100</xdr:rowOff>
    </xdr:to>
    <xdr:sp macro="" textlink="">
      <xdr:nvSpPr>
        <xdr:cNvPr id="274506" name="Text Box 21"/>
        <xdr:cNvSpPr txBox="1">
          <a:spLocks noChangeArrowheads="1"/>
        </xdr:cNvSpPr>
      </xdr:nvSpPr>
      <xdr:spPr bwMode="auto">
        <a:xfrm>
          <a:off x="9020175" y="133350"/>
          <a:ext cx="3724275" cy="17907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100" b="1" i="0" u="none" strike="noStrike" baseline="0">
              <a:solidFill>
                <a:srgbClr val="000000"/>
              </a:solidFill>
              <a:latin typeface="Cambria"/>
            </a:rPr>
            <a:t>EWMA Volatility Process:</a:t>
          </a:r>
          <a:endParaRPr lang="en-US" sz="1100" b="0" i="0" u="none" strike="noStrike" baseline="0">
            <a:solidFill>
              <a:srgbClr val="000000"/>
            </a:solidFill>
            <a:latin typeface="Cambria"/>
          </a:endParaRPr>
        </a:p>
        <a:p>
          <a:pPr algn="l" rtl="0">
            <a:defRPr sz="1000"/>
          </a:pPr>
          <a:endParaRPr lang="en-US" sz="1100" b="0" i="0" u="none" strike="noStrike" baseline="0">
            <a:solidFill>
              <a:srgbClr val="000000"/>
            </a:solidFill>
            <a:latin typeface="Cambria"/>
          </a:endParaRPr>
        </a:p>
        <a:p>
          <a:pPr algn="l" rtl="0">
            <a:defRPr sz="1000"/>
          </a:pPr>
          <a:r>
            <a:rPr lang="en-US" sz="1100" b="0" i="0" u="none" strike="noStrike" baseline="0">
              <a:solidFill>
                <a:srgbClr val="000000"/>
              </a:solidFill>
              <a:latin typeface="Cambria"/>
            </a:rPr>
            <a:t>The return series is assumed to follow a normal distribution with zero mean and time dependent variance:</a:t>
          </a:r>
        </a:p>
        <a:p>
          <a:pPr algn="l" rtl="0">
            <a:defRPr sz="1000"/>
          </a:pPr>
          <a:r>
            <a:rPr lang="en-US" sz="1100" b="0" i="0" u="none" strike="noStrike" baseline="0">
              <a:solidFill>
                <a:srgbClr val="000000"/>
              </a:solidFill>
              <a:latin typeface="Cambria"/>
            </a:rPr>
            <a:t>    return(i) ~ N(0, sigma(i)^2)</a:t>
          </a:r>
        </a:p>
        <a:p>
          <a:pPr algn="l" rtl="0">
            <a:defRPr sz="1000"/>
          </a:pPr>
          <a:endParaRPr lang="en-US" sz="1100" b="0" i="0" u="none" strike="noStrike" baseline="0">
            <a:solidFill>
              <a:srgbClr val="000000"/>
            </a:solidFill>
            <a:latin typeface="Cambria"/>
          </a:endParaRPr>
        </a:p>
        <a:p>
          <a:pPr algn="l" rtl="0">
            <a:defRPr sz="1000"/>
          </a:pPr>
          <a:r>
            <a:rPr lang="en-US" sz="1100" b="0" i="0" u="none" strike="noStrike" baseline="0">
              <a:solidFill>
                <a:srgbClr val="000000"/>
              </a:solidFill>
              <a:latin typeface="Cambria"/>
            </a:rPr>
            <a:t>The variance for the return series is assumed to have the following recursive process:</a:t>
          </a:r>
        </a:p>
        <a:p>
          <a:pPr algn="l" rtl="0">
            <a:defRPr sz="1000"/>
          </a:pPr>
          <a:r>
            <a:rPr lang="en-US" sz="1100" b="0" i="0" u="none" strike="noStrike" baseline="0">
              <a:solidFill>
                <a:srgbClr val="000000"/>
              </a:solidFill>
              <a:latin typeface="Cambria"/>
            </a:rPr>
            <a:t>    sigma(i)^2 = λ * sigma(i-1)^2 + (1-λ) * return(i-1)^2</a:t>
          </a:r>
        </a:p>
      </xdr:txBody>
    </xdr:sp>
    <xdr:clientData/>
  </xdr:twoCellAnchor>
  <xdr:twoCellAnchor>
    <xdr:from>
      <xdr:col>8</xdr:col>
      <xdr:colOff>304800</xdr:colOff>
      <xdr:row>1</xdr:row>
      <xdr:rowOff>0</xdr:rowOff>
    </xdr:from>
    <xdr:to>
      <xdr:col>17</xdr:col>
      <xdr:colOff>200025</xdr:colOff>
      <xdr:row>14</xdr:row>
      <xdr:rowOff>38100</xdr:rowOff>
    </xdr:to>
    <xdr:sp macro="" textlink="">
      <xdr:nvSpPr>
        <xdr:cNvPr id="274507" name="Text Box 22"/>
        <xdr:cNvSpPr txBox="1">
          <a:spLocks noChangeArrowheads="1"/>
        </xdr:cNvSpPr>
      </xdr:nvSpPr>
      <xdr:spPr bwMode="auto">
        <a:xfrm>
          <a:off x="4943475" y="133350"/>
          <a:ext cx="3952875" cy="17907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100" b="1" i="0" u="none" strike="noStrike" baseline="0">
              <a:solidFill>
                <a:srgbClr val="000000"/>
              </a:solidFill>
              <a:latin typeface="Cambria"/>
            </a:rPr>
            <a:t>GARCH(1,1) Volatility Process:</a:t>
          </a:r>
          <a:endParaRPr lang="en-US" sz="1100" b="0" i="0" u="none" strike="noStrike" baseline="0">
            <a:solidFill>
              <a:srgbClr val="000000"/>
            </a:solidFill>
            <a:latin typeface="Cambria"/>
          </a:endParaRPr>
        </a:p>
        <a:p>
          <a:pPr algn="l" rtl="0">
            <a:defRPr sz="1000"/>
          </a:pPr>
          <a:endParaRPr lang="en-US" sz="1100" b="0" i="0" u="none" strike="noStrike" baseline="0">
            <a:solidFill>
              <a:srgbClr val="000000"/>
            </a:solidFill>
            <a:latin typeface="Cambria"/>
          </a:endParaRPr>
        </a:p>
        <a:p>
          <a:pPr algn="l" rtl="0">
            <a:defRPr sz="1000"/>
          </a:pPr>
          <a:r>
            <a:rPr lang="en-US" sz="1100" b="0" i="0" u="none" strike="noStrike" baseline="0">
              <a:solidFill>
                <a:srgbClr val="000000"/>
              </a:solidFill>
              <a:latin typeface="Cambria"/>
            </a:rPr>
            <a:t>The return series is assumed to follow a normal distribution with zero mean and time dependent variance:</a:t>
          </a:r>
        </a:p>
        <a:p>
          <a:pPr algn="l" rtl="0">
            <a:defRPr sz="1000"/>
          </a:pPr>
          <a:r>
            <a:rPr lang="en-US" sz="1100" b="0" i="0" u="none" strike="noStrike" baseline="0">
              <a:solidFill>
                <a:srgbClr val="000000"/>
              </a:solidFill>
              <a:latin typeface="Cambria"/>
            </a:rPr>
            <a:t>    return(i) ~ N(0, sigma(i)^2)</a:t>
          </a:r>
        </a:p>
        <a:p>
          <a:pPr algn="l" rtl="0">
            <a:defRPr sz="1000"/>
          </a:pPr>
          <a:endParaRPr lang="en-US" sz="1100" b="0" i="0" u="none" strike="noStrike" baseline="0">
            <a:solidFill>
              <a:srgbClr val="000000"/>
            </a:solidFill>
            <a:latin typeface="Cambria"/>
          </a:endParaRPr>
        </a:p>
        <a:p>
          <a:pPr algn="l" rtl="0">
            <a:defRPr sz="1000"/>
          </a:pPr>
          <a:r>
            <a:rPr lang="en-US" sz="1100" b="0" i="0" u="none" strike="noStrike" baseline="0">
              <a:solidFill>
                <a:srgbClr val="000000"/>
              </a:solidFill>
              <a:latin typeface="Cambria"/>
            </a:rPr>
            <a:t>The variance for the return series is assumed to have the following recursive process:</a:t>
          </a:r>
        </a:p>
        <a:p>
          <a:pPr algn="l" rtl="0">
            <a:defRPr sz="1000"/>
          </a:pPr>
          <a:r>
            <a:rPr lang="en-US" sz="1100" b="0" i="0" u="none" strike="noStrike" baseline="0">
              <a:solidFill>
                <a:srgbClr val="000000"/>
              </a:solidFill>
              <a:latin typeface="Cambria"/>
            </a:rPr>
            <a:t>    sigma(i)^2 = λ + α * sigma(i-1)^2 + β * return(i-1)^2</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F0000"/>
  </sheetPr>
  <dimension ref="A1"/>
  <sheetViews>
    <sheetView workbookViewId="0"/>
  </sheetViews>
  <sheetFormatPr defaultColWidth="4.5703125" defaultRowHeight="10.5" x14ac:dyDescent="0.15"/>
  <cols>
    <col min="1" max="16384" width="4.5703125" style="31"/>
  </cols>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indexed="50"/>
  </sheetPr>
  <dimension ref="B1:Z758"/>
  <sheetViews>
    <sheetView tabSelected="1" workbookViewId="0"/>
  </sheetViews>
  <sheetFormatPr defaultColWidth="6" defaultRowHeight="10.5" x14ac:dyDescent="0.15"/>
  <cols>
    <col min="1" max="1" width="2.42578125" style="4" customWidth="1"/>
    <col min="2" max="2" width="11.42578125" style="1" bestFit="1" customWidth="1"/>
    <col min="3" max="3" width="8" style="1" bestFit="1" customWidth="1"/>
    <col min="4" max="4" width="8.85546875" style="4" bestFit="1" customWidth="1"/>
    <col min="5" max="5" width="7.7109375" style="4" bestFit="1" customWidth="1"/>
    <col min="6" max="6" width="11.7109375" style="4" bestFit="1" customWidth="1"/>
    <col min="7" max="7" width="7.7109375" style="4" bestFit="1" customWidth="1"/>
    <col min="8" max="8" width="11.7109375" style="4" bestFit="1" customWidth="1"/>
    <col min="9" max="11" width="6" style="4" customWidth="1"/>
    <col min="12" max="12" width="11" style="4" bestFit="1" customWidth="1"/>
    <col min="13" max="13" width="8.5703125" style="4" bestFit="1" customWidth="1"/>
    <col min="14" max="15" width="6" style="4" customWidth="1"/>
    <col min="16" max="16" width="5.28515625" style="4" bestFit="1" customWidth="1"/>
    <col min="17" max="20" width="6" style="4" customWidth="1"/>
    <col min="21" max="21" width="3.7109375" style="4" bestFit="1" customWidth="1"/>
    <col min="22" max="22" width="6.7109375" style="4" bestFit="1" customWidth="1"/>
    <col min="23" max="25" width="6" style="4" customWidth="1"/>
    <col min="26" max="26" width="5.28515625" style="4" bestFit="1" customWidth="1"/>
    <col min="27" max="16384" width="6" style="4"/>
  </cols>
  <sheetData>
    <row r="1" spans="2:26" x14ac:dyDescent="0.15">
      <c r="C1" s="2" t="s">
        <v>22</v>
      </c>
      <c r="D1" s="3">
        <f>STDEV(D6:D65536)</f>
        <v>1.0482619796036407E-2</v>
      </c>
    </row>
    <row r="2" spans="2:26" x14ac:dyDescent="0.15">
      <c r="C2" s="2"/>
      <c r="D2" s="3"/>
    </row>
    <row r="3" spans="2:26" x14ac:dyDescent="0.15">
      <c r="B3" s="32" t="s">
        <v>16</v>
      </c>
      <c r="C3" s="32"/>
      <c r="D3" s="32"/>
      <c r="E3" s="32" t="s">
        <v>3</v>
      </c>
      <c r="F3" s="32"/>
      <c r="G3" s="32" t="s">
        <v>14</v>
      </c>
      <c r="H3" s="32"/>
    </row>
    <row r="4" spans="2:26" ht="11.25" thickBot="1" x14ac:dyDescent="0.2">
      <c r="B4" s="5" t="s">
        <v>15</v>
      </c>
      <c r="C4" s="6" t="s">
        <v>0</v>
      </c>
      <c r="D4" s="7" t="s">
        <v>2</v>
      </c>
      <c r="E4" s="8" t="s">
        <v>13</v>
      </c>
      <c r="F4" s="9" t="s">
        <v>4</v>
      </c>
      <c r="G4" s="8" t="s">
        <v>13</v>
      </c>
      <c r="H4" s="8" t="s">
        <v>4</v>
      </c>
    </row>
    <row r="5" spans="2:26" ht="11.25" thickTop="1" x14ac:dyDescent="0.15">
      <c r="B5" s="10">
        <v>40546</v>
      </c>
      <c r="C5" s="11">
        <v>1271.8699999999999</v>
      </c>
      <c r="D5" s="12"/>
      <c r="E5" s="13"/>
      <c r="F5" s="14"/>
      <c r="G5" s="13"/>
      <c r="H5" s="15"/>
    </row>
    <row r="6" spans="2:26" x14ac:dyDescent="0.15">
      <c r="B6" s="16">
        <v>40547</v>
      </c>
      <c r="C6" s="11">
        <v>1270.2</v>
      </c>
      <c r="D6" s="12">
        <f>LN(C6/C5)</f>
        <v>-1.3138900504268149E-3</v>
      </c>
      <c r="E6" s="17">
        <f>D1</f>
        <v>1.0482619796036407E-2</v>
      </c>
      <c r="F6" s="14"/>
      <c r="G6" s="17">
        <f>D1</f>
        <v>1.0482619796036407E-2</v>
      </c>
      <c r="H6" s="15"/>
    </row>
    <row r="7" spans="2:26" x14ac:dyDescent="0.15">
      <c r="B7" s="16">
        <v>40548</v>
      </c>
      <c r="C7" s="11">
        <v>1276.56</v>
      </c>
      <c r="D7" s="12">
        <f t="shared" ref="D7:D70" si="0">LN(C7/C6)</f>
        <v>4.9945917332972515E-3</v>
      </c>
      <c r="E7" s="3">
        <f>SQRT($L$18 + $L$19*E6^2 + $L$20*D6^2)</f>
        <v>9.7285796097253876E-3</v>
      </c>
      <c r="F7" s="18">
        <f t="shared" ref="F7:F69" si="1" xml:space="preserve"> - LN(E7) - 0.5 * (D7/E7)^2</f>
        <v>4.5009008150580865</v>
      </c>
      <c r="G7" s="3">
        <f>SQRT($V$18*G6^2 + (1-$V$18)*D6^2)</f>
        <v>1.0073510178558502E-2</v>
      </c>
      <c r="H7" s="4">
        <f t="shared" ref="H7:H68" si="2" xml:space="preserve"> - LN(G7) - 0.5 * ($D7/G7)^2</f>
        <v>4.4749300794010116</v>
      </c>
    </row>
    <row r="8" spans="2:26" x14ac:dyDescent="0.15">
      <c r="B8" s="16">
        <v>40549</v>
      </c>
      <c r="C8" s="11">
        <v>1273.8499999999999</v>
      </c>
      <c r="D8" s="12">
        <f t="shared" si="0"/>
        <v>-2.1251493053446057E-3</v>
      </c>
      <c r="E8" s="3">
        <f t="shared" ref="E8:E71" si="3">SQRT($L$18 + $L$19*E7^2 + $L$20*D7^2)</f>
        <v>9.2359911025311232E-3</v>
      </c>
      <c r="F8" s="18">
        <f t="shared" si="1"/>
        <v>4.6581756474803271</v>
      </c>
      <c r="G8" s="3">
        <f t="shared" ref="G8:G71" si="4">SQRT($V$18*G7^2 + (1-$V$18)*D7^2)</f>
        <v>9.7736983990749596E-3</v>
      </c>
      <c r="H8" s="4">
        <f t="shared" si="2"/>
        <v>4.6044212329196181</v>
      </c>
    </row>
    <row r="9" spans="2:26" x14ac:dyDescent="0.15">
      <c r="B9" s="16">
        <v>40550</v>
      </c>
      <c r="C9" s="11">
        <v>1271.5</v>
      </c>
      <c r="D9" s="12">
        <f t="shared" si="0"/>
        <v>-1.8465049346529077E-3</v>
      </c>
      <c r="E9" s="3">
        <f t="shared" si="3"/>
        <v>8.6529375974555862E-3</v>
      </c>
      <c r="F9" s="18">
        <f t="shared" si="1"/>
        <v>4.7270874169646389</v>
      </c>
      <c r="G9" s="3">
        <f t="shared" si="4"/>
        <v>9.404729900312785E-3</v>
      </c>
      <c r="H9" s="4">
        <f t="shared" si="2"/>
        <v>4.647268249553532</v>
      </c>
    </row>
    <row r="10" spans="2:26" x14ac:dyDescent="0.15">
      <c r="B10" s="16">
        <v>40553</v>
      </c>
      <c r="C10" s="11">
        <v>1269.75</v>
      </c>
      <c r="D10" s="12">
        <f t="shared" si="0"/>
        <v>-1.3772751808198854E-3</v>
      </c>
      <c r="E10" s="3">
        <f t="shared" si="3"/>
        <v>8.1346876286349911E-3</v>
      </c>
      <c r="F10" s="18">
        <f t="shared" si="1"/>
        <v>4.7972851822187073</v>
      </c>
      <c r="G10" s="3">
        <f t="shared" si="4"/>
        <v>9.0463727987558484E-3</v>
      </c>
      <c r="H10" s="4">
        <f t="shared" si="2"/>
        <v>4.6938019564278983</v>
      </c>
    </row>
    <row r="11" spans="2:26" x14ac:dyDescent="0.15">
      <c r="B11" s="16">
        <v>40554</v>
      </c>
      <c r="C11" s="11">
        <v>1274.48</v>
      </c>
      <c r="D11" s="12">
        <f t="shared" si="0"/>
        <v>3.7182215832849935E-3</v>
      </c>
      <c r="E11" s="3">
        <f t="shared" si="3"/>
        <v>7.6704636269729499E-3</v>
      </c>
      <c r="F11" s="18">
        <f t="shared" si="1"/>
        <v>4.7528891909635202</v>
      </c>
      <c r="G11" s="3">
        <f t="shared" si="4"/>
        <v>8.6960491656563089E-3</v>
      </c>
      <c r="H11" s="4">
        <f t="shared" si="2"/>
        <v>4.6534758739271762</v>
      </c>
    </row>
    <row r="12" spans="2:26" x14ac:dyDescent="0.15">
      <c r="B12" s="16">
        <v>40555</v>
      </c>
      <c r="C12" s="11">
        <v>1285.96</v>
      </c>
      <c r="D12" s="12">
        <f t="shared" si="0"/>
        <v>8.9672688501128191E-3</v>
      </c>
      <c r="E12" s="3">
        <f t="shared" si="3"/>
        <v>7.3783647706763909E-3</v>
      </c>
      <c r="F12" s="18">
        <f t="shared" si="1"/>
        <v>4.1706698396036712</v>
      </c>
      <c r="G12" s="3">
        <f t="shared" si="4"/>
        <v>8.4152496035082049E-3</v>
      </c>
      <c r="H12" s="4">
        <f t="shared" si="2"/>
        <v>4.2099607853430854</v>
      </c>
    </row>
    <row r="13" spans="2:26" x14ac:dyDescent="0.15">
      <c r="B13" s="16">
        <v>40556</v>
      </c>
      <c r="C13" s="11">
        <v>1283.76</v>
      </c>
      <c r="D13" s="12">
        <f t="shared" si="0"/>
        <v>-1.7122492236479141E-3</v>
      </c>
      <c r="E13" s="3">
        <f t="shared" si="3"/>
        <v>7.7377797492376929E-3</v>
      </c>
      <c r="F13" s="18">
        <f t="shared" si="1"/>
        <v>4.8371571145406094</v>
      </c>
      <c r="G13" s="3">
        <f t="shared" si="4"/>
        <v>8.459462491606045E-3</v>
      </c>
      <c r="H13" s="4">
        <f t="shared" si="2"/>
        <v>4.7519854702690552</v>
      </c>
    </row>
    <row r="14" spans="2:26" x14ac:dyDescent="0.15">
      <c r="B14" s="16">
        <v>40557</v>
      </c>
      <c r="C14" s="11">
        <v>1293.24</v>
      </c>
      <c r="D14" s="12">
        <f t="shared" si="0"/>
        <v>7.3574255056363773E-3</v>
      </c>
      <c r="E14" s="3">
        <f t="shared" si="3"/>
        <v>7.3356801313379039E-3</v>
      </c>
      <c r="F14" s="18">
        <f t="shared" si="1"/>
        <v>4.4120364242769732</v>
      </c>
      <c r="G14" s="3">
        <f t="shared" si="4"/>
        <v>8.1379510720885791E-3</v>
      </c>
      <c r="H14" s="4">
        <f t="shared" si="2"/>
        <v>4.4025291084317812</v>
      </c>
    </row>
    <row r="15" spans="2:26" x14ac:dyDescent="0.15">
      <c r="B15" s="16">
        <v>40561</v>
      </c>
      <c r="C15" s="11">
        <v>1295.02</v>
      </c>
      <c r="D15" s="12">
        <f t="shared" si="0"/>
        <v>1.3754416330838501E-3</v>
      </c>
      <c r="E15" s="3">
        <f t="shared" si="3"/>
        <v>7.4694023358847115E-3</v>
      </c>
      <c r="F15" s="18">
        <f t="shared" si="1"/>
        <v>4.8799858836352286</v>
      </c>
      <c r="G15" s="3">
        <f t="shared" si="4"/>
        <v>8.079966491846554E-3</v>
      </c>
      <c r="H15" s="4">
        <f t="shared" si="2"/>
        <v>4.8038786601287811</v>
      </c>
    </row>
    <row r="16" spans="2:26" x14ac:dyDescent="0.15">
      <c r="B16" s="16">
        <v>40562</v>
      </c>
      <c r="C16" s="11">
        <v>1281.92</v>
      </c>
      <c r="D16" s="12">
        <f t="shared" si="0"/>
        <v>-1.0167184992425787E-2</v>
      </c>
      <c r="E16" s="3">
        <f t="shared" si="3"/>
        <v>7.0940480735747049E-3</v>
      </c>
      <c r="F16" s="18">
        <f t="shared" si="1"/>
        <v>3.9214689768724345</v>
      </c>
      <c r="G16" s="3">
        <f t="shared" si="4"/>
        <v>7.7689619599949876E-3</v>
      </c>
      <c r="H16" s="4">
        <f t="shared" si="2"/>
        <v>4.0012802276373911</v>
      </c>
      <c r="J16" s="32" t="s">
        <v>9</v>
      </c>
      <c r="K16" s="32"/>
      <c r="L16" s="32"/>
      <c r="N16" s="32" t="s">
        <v>12</v>
      </c>
      <c r="O16" s="32"/>
      <c r="P16" s="32"/>
      <c r="T16" s="32" t="s">
        <v>10</v>
      </c>
      <c r="U16" s="32"/>
      <c r="V16" s="32"/>
      <c r="X16" s="32" t="s">
        <v>12</v>
      </c>
      <c r="Y16" s="32"/>
      <c r="Z16" s="32"/>
    </row>
    <row r="17" spans="2:26" ht="11.25" thickBot="1" x14ac:dyDescent="0.2">
      <c r="B17" s="16">
        <v>40563</v>
      </c>
      <c r="C17" s="11">
        <v>1280.26</v>
      </c>
      <c r="D17" s="12">
        <f t="shared" si="0"/>
        <v>-1.2957717508255116E-3</v>
      </c>
      <c r="E17" s="3">
        <f t="shared" si="3"/>
        <v>7.7211423653380266E-3</v>
      </c>
      <c r="F17" s="18">
        <f t="shared" si="1"/>
        <v>4.8497109654006474</v>
      </c>
      <c r="G17" s="3">
        <f t="shared" si="4"/>
        <v>7.981310360390622E-3</v>
      </c>
      <c r="H17" s="4">
        <f t="shared" si="2"/>
        <v>4.8174737918589932</v>
      </c>
      <c r="J17" s="34" t="s">
        <v>8</v>
      </c>
      <c r="K17" s="34"/>
      <c r="L17" s="34"/>
      <c r="N17" s="34" t="s">
        <v>23</v>
      </c>
      <c r="O17" s="34"/>
      <c r="P17" s="34"/>
      <c r="T17" s="34" t="s">
        <v>11</v>
      </c>
      <c r="U17" s="34"/>
      <c r="V17" s="34"/>
      <c r="X17" s="34" t="s">
        <v>23</v>
      </c>
      <c r="Y17" s="34"/>
      <c r="Z17" s="34"/>
    </row>
    <row r="18" spans="2:26" ht="11.25" thickTop="1" x14ac:dyDescent="0.15">
      <c r="B18" s="16">
        <v>40564</v>
      </c>
      <c r="C18" s="11">
        <v>1283.3499999999999</v>
      </c>
      <c r="D18" s="12">
        <f t="shared" si="0"/>
        <v>2.4106642558033367E-3</v>
      </c>
      <c r="E18" s="3">
        <f t="shared" si="3"/>
        <v>7.3096757671662739E-3</v>
      </c>
      <c r="F18" s="18">
        <f t="shared" si="1"/>
        <v>4.864175355311124</v>
      </c>
      <c r="G18" s="3">
        <f t="shared" si="4"/>
        <v>7.6732576372402243E-3</v>
      </c>
      <c r="H18" s="4">
        <f t="shared" si="2"/>
        <v>4.8206643992692975</v>
      </c>
      <c r="J18" s="33" t="s">
        <v>5</v>
      </c>
      <c r="K18" s="33"/>
      <c r="L18" s="19">
        <v>4.334152147817364E-6</v>
      </c>
      <c r="P18" s="20">
        <f>SQRT($L$18 + $L$19*E758^2 + $L$20*D758^2)</f>
        <v>6.4725047524356195E-3</v>
      </c>
      <c r="T18" s="35" t="s">
        <v>5</v>
      </c>
      <c r="U18" s="35"/>
      <c r="V18" s="21">
        <v>0.92224678818281547</v>
      </c>
      <c r="Z18" s="20">
        <f>SQRT($V$18*G758^2 + (1-$V$18)*D758^2)</f>
        <v>5.5970756180386471E-3</v>
      </c>
    </row>
    <row r="19" spans="2:26" x14ac:dyDescent="0.15">
      <c r="B19" s="16">
        <v>40567</v>
      </c>
      <c r="C19" s="11">
        <v>1290.8399999999999</v>
      </c>
      <c r="D19" s="12">
        <f t="shared" si="0"/>
        <v>5.8193226895376926E-3</v>
      </c>
      <c r="E19" s="3">
        <f t="shared" si="3"/>
        <v>6.9944508379863879E-3</v>
      </c>
      <c r="F19" s="18">
        <f t="shared" si="1"/>
        <v>4.6165333672815034</v>
      </c>
      <c r="G19" s="3">
        <f t="shared" si="4"/>
        <v>7.399507276259501E-3</v>
      </c>
      <c r="H19" s="4">
        <f t="shared" si="2"/>
        <v>4.597092169286932</v>
      </c>
      <c r="J19" s="33" t="s">
        <v>6</v>
      </c>
      <c r="K19" s="33"/>
      <c r="L19" s="22">
        <v>0.81973495819596376</v>
      </c>
      <c r="U19" s="23" t="s">
        <v>18</v>
      </c>
      <c r="V19" s="24">
        <f>1-V18</f>
        <v>7.7753211817184531E-2</v>
      </c>
    </row>
    <row r="20" spans="2:26" x14ac:dyDescent="0.15">
      <c r="B20" s="16">
        <v>40568</v>
      </c>
      <c r="C20" s="11">
        <v>1291.18</v>
      </c>
      <c r="D20" s="12">
        <f t="shared" si="0"/>
        <v>2.6335969664466899E-4</v>
      </c>
      <c r="E20" s="3">
        <f t="shared" si="3"/>
        <v>7.0023690984769267E-3</v>
      </c>
      <c r="F20" s="18">
        <f t="shared" si="1"/>
        <v>4.9607994853010826</v>
      </c>
      <c r="G20" s="3">
        <f t="shared" si="4"/>
        <v>7.2889357222864779E-3</v>
      </c>
      <c r="H20" s="4">
        <f t="shared" si="2"/>
        <v>4.920744994830347</v>
      </c>
      <c r="J20" s="36" t="s">
        <v>7</v>
      </c>
      <c r="K20" s="36"/>
      <c r="L20" s="25">
        <v>0.13570742786432768</v>
      </c>
      <c r="P20" s="26"/>
      <c r="U20" s="27"/>
    </row>
    <row r="21" spans="2:26" x14ac:dyDescent="0.15">
      <c r="B21" s="16">
        <v>40569</v>
      </c>
      <c r="C21" s="11">
        <v>1296.6300000000001</v>
      </c>
      <c r="D21" s="12">
        <f t="shared" si="0"/>
        <v>4.2120619810420094E-3</v>
      </c>
      <c r="E21" s="3">
        <f t="shared" si="3"/>
        <v>6.6736624577963385E-3</v>
      </c>
      <c r="F21" s="18">
        <f t="shared" si="1"/>
        <v>4.8104132133296984</v>
      </c>
      <c r="G21" s="3">
        <f t="shared" si="4"/>
        <v>7.0002184790235447E-3</v>
      </c>
      <c r="H21" s="4">
        <f t="shared" si="2"/>
        <v>4.7807898505949167</v>
      </c>
      <c r="J21" s="37" t="s">
        <v>19</v>
      </c>
      <c r="K21" s="37"/>
      <c r="L21" s="27">
        <f>L19+L20</f>
        <v>0.95544238606029142</v>
      </c>
    </row>
    <row r="22" spans="2:26" x14ac:dyDescent="0.15">
      <c r="B22" s="16">
        <v>40570</v>
      </c>
      <c r="C22" s="11">
        <v>1299.54</v>
      </c>
      <c r="D22" s="12">
        <f t="shared" si="0"/>
        <v>2.2417647678586914E-3</v>
      </c>
      <c r="E22" s="3">
        <f t="shared" si="3"/>
        <v>6.5765468450073852E-3</v>
      </c>
      <c r="F22" s="18">
        <f t="shared" si="1"/>
        <v>4.9661483947185552</v>
      </c>
      <c r="G22" s="3">
        <f t="shared" si="4"/>
        <v>6.8243951762180207E-3</v>
      </c>
      <c r="H22" s="4">
        <f t="shared" si="2"/>
        <v>4.9332977966397449</v>
      </c>
      <c r="J22" s="38" t="s">
        <v>20</v>
      </c>
      <c r="K22" s="38"/>
      <c r="L22" s="28">
        <f>L18/(1-L19-L20)</f>
        <v>9.727074150967683E-5</v>
      </c>
      <c r="P22" s="4" t="s">
        <v>17</v>
      </c>
    </row>
    <row r="23" spans="2:26" x14ac:dyDescent="0.15">
      <c r="B23" s="16">
        <v>40571</v>
      </c>
      <c r="C23" s="11">
        <v>1276.3399999999999</v>
      </c>
      <c r="D23" s="12">
        <f t="shared" si="0"/>
        <v>-1.8013748586016589E-2</v>
      </c>
      <c r="E23" s="3">
        <f t="shared" si="3"/>
        <v>6.3616414440155894E-3</v>
      </c>
      <c r="F23" s="18">
        <f t="shared" si="1"/>
        <v>1.048434073385577</v>
      </c>
      <c r="G23" s="3">
        <f t="shared" si="4"/>
        <v>6.583461680307808E-3</v>
      </c>
      <c r="H23" s="4">
        <f t="shared" si="2"/>
        <v>1.2797658052546939</v>
      </c>
      <c r="J23" s="38" t="s">
        <v>21</v>
      </c>
      <c r="K23" s="39"/>
      <c r="L23" s="29">
        <f>SQRT(L22)</f>
        <v>9.8625930418768087E-3</v>
      </c>
    </row>
    <row r="24" spans="2:26" x14ac:dyDescent="0.15">
      <c r="B24" s="16">
        <v>40574</v>
      </c>
      <c r="C24" s="11">
        <v>1286.1199999999999</v>
      </c>
      <c r="D24" s="12">
        <f t="shared" si="0"/>
        <v>7.6333269499724958E-3</v>
      </c>
      <c r="E24" s="3">
        <f t="shared" si="3"/>
        <v>9.0302614277819326E-3</v>
      </c>
      <c r="F24" s="18">
        <f t="shared" si="1"/>
        <v>4.3499035196492715</v>
      </c>
      <c r="G24" s="3">
        <f t="shared" si="4"/>
        <v>8.0748083388487886E-3</v>
      </c>
      <c r="H24" s="4">
        <f t="shared" si="2"/>
        <v>4.3721854422734268</v>
      </c>
    </row>
    <row r="25" spans="2:26" ht="11.25" thickBot="1" x14ac:dyDescent="0.2">
      <c r="B25" s="16">
        <v>40575</v>
      </c>
      <c r="C25" s="11">
        <v>1307.5899999999999</v>
      </c>
      <c r="D25" s="12">
        <f t="shared" si="0"/>
        <v>1.655581418074286E-2</v>
      </c>
      <c r="E25" s="3">
        <f t="shared" si="3"/>
        <v>8.8931043941976283E-3</v>
      </c>
      <c r="F25" s="18">
        <f t="shared" si="1"/>
        <v>2.9896157652401314</v>
      </c>
      <c r="G25" s="3">
        <f t="shared" si="4"/>
        <v>8.0413508128964369E-3</v>
      </c>
      <c r="H25" s="4">
        <f t="shared" si="2"/>
        <v>2.7037575016992133</v>
      </c>
      <c r="J25" s="34" t="s">
        <v>1</v>
      </c>
      <c r="K25" s="34"/>
      <c r="L25" s="34"/>
      <c r="T25" s="34" t="s">
        <v>1</v>
      </c>
      <c r="U25" s="34"/>
      <c r="V25" s="34"/>
    </row>
    <row r="26" spans="2:26" ht="11.25" thickTop="1" x14ac:dyDescent="0.15">
      <c r="B26" s="16">
        <v>40576</v>
      </c>
      <c r="C26" s="11">
        <v>1304.03</v>
      </c>
      <c r="D26" s="12">
        <f t="shared" si="0"/>
        <v>-2.7262788652279426E-3</v>
      </c>
      <c r="E26" s="3">
        <f t="shared" si="3"/>
        <v>1.0313171509903402E-2</v>
      </c>
      <c r="F26" s="18">
        <f t="shared" si="1"/>
        <v>4.5393931577374946</v>
      </c>
      <c r="G26" s="3">
        <f t="shared" si="4"/>
        <v>8.9970721426427241E-3</v>
      </c>
      <c r="H26" s="4">
        <f t="shared" si="2"/>
        <v>4.6649459811993914</v>
      </c>
      <c r="L26" s="30">
        <f>SUM(F7:F65536)</f>
        <v>3171.197316754321</v>
      </c>
      <c r="V26" s="30">
        <f>SUM(H7:H65536)</f>
        <v>3158.0698309612662</v>
      </c>
    </row>
    <row r="27" spans="2:26" x14ac:dyDescent="0.15">
      <c r="B27" s="16">
        <v>40577</v>
      </c>
      <c r="C27" s="11">
        <v>1307.0999999999999</v>
      </c>
      <c r="D27" s="12">
        <f t="shared" si="0"/>
        <v>2.3514734345755294E-3</v>
      </c>
      <c r="E27" s="3">
        <f t="shared" si="3"/>
        <v>9.6193064123640155E-3</v>
      </c>
      <c r="F27" s="18">
        <f t="shared" si="1"/>
        <v>4.6141043505871346</v>
      </c>
      <c r="G27" s="3">
        <f t="shared" si="4"/>
        <v>8.673598000140564E-3</v>
      </c>
      <c r="H27" s="4">
        <f t="shared" si="2"/>
        <v>4.7107220678768176</v>
      </c>
    </row>
    <row r="28" spans="2:26" x14ac:dyDescent="0.15">
      <c r="B28" s="16">
        <v>40578</v>
      </c>
      <c r="C28" s="11">
        <v>1310.87</v>
      </c>
      <c r="D28" s="12">
        <f t="shared" si="0"/>
        <v>2.8800961095791244E-3</v>
      </c>
      <c r="E28" s="3">
        <f t="shared" si="3"/>
        <v>8.9964147141614655E-3</v>
      </c>
      <c r="F28" s="18">
        <f t="shared" si="1"/>
        <v>4.6596849091227517</v>
      </c>
      <c r="G28" s="3">
        <f t="shared" si="4"/>
        <v>8.3553430582261595E-3</v>
      </c>
      <c r="H28" s="4">
        <f t="shared" si="2"/>
        <v>4.7254446265063104</v>
      </c>
    </row>
    <row r="29" spans="2:26" x14ac:dyDescent="0.15">
      <c r="B29" s="16">
        <v>40581</v>
      </c>
      <c r="C29" s="11">
        <v>1319.05</v>
      </c>
      <c r="D29" s="12">
        <f t="shared" si="0"/>
        <v>6.2207416034440674E-3</v>
      </c>
      <c r="E29" s="3">
        <f t="shared" si="3"/>
        <v>8.4738113857749462E-3</v>
      </c>
      <c r="F29" s="18">
        <f t="shared" si="1"/>
        <v>4.5013133730322616</v>
      </c>
      <c r="G29" s="3">
        <f t="shared" si="4"/>
        <v>8.0640330187410868E-3</v>
      </c>
      <c r="H29" s="4">
        <f t="shared" si="2"/>
        <v>4.5227984756821389</v>
      </c>
    </row>
    <row r="30" spans="2:26" x14ac:dyDescent="0.15">
      <c r="B30" s="16">
        <v>40582</v>
      </c>
      <c r="C30" s="11">
        <v>1324.57</v>
      </c>
      <c r="D30" s="12">
        <f t="shared" si="0"/>
        <v>4.1760979432013739E-3</v>
      </c>
      <c r="E30" s="3">
        <f t="shared" si="3"/>
        <v>8.2732804319361145E-3</v>
      </c>
      <c r="F30" s="18">
        <f t="shared" si="1"/>
        <v>4.6673281607662558</v>
      </c>
      <c r="G30" s="3">
        <f t="shared" si="4"/>
        <v>7.9360763931559369E-3</v>
      </c>
      <c r="H30" s="4">
        <f t="shared" si="2"/>
        <v>4.6978841417602979</v>
      </c>
    </row>
    <row r="31" spans="2:26" x14ac:dyDescent="0.15">
      <c r="B31" s="16">
        <v>40583</v>
      </c>
      <c r="C31" s="11">
        <v>1320.88</v>
      </c>
      <c r="D31" s="12">
        <f t="shared" si="0"/>
        <v>-2.7896973241534964E-3</v>
      </c>
      <c r="E31" s="3">
        <f t="shared" si="3"/>
        <v>7.9252381064274964E-3</v>
      </c>
      <c r="F31" s="18">
        <f t="shared" si="1"/>
        <v>4.7757503146153244</v>
      </c>
      <c r="G31" s="3">
        <f t="shared" si="4"/>
        <v>7.709754178677794E-3</v>
      </c>
      <c r="H31" s="4">
        <f t="shared" si="2"/>
        <v>4.7998048885559497</v>
      </c>
    </row>
    <row r="32" spans="2:26" x14ac:dyDescent="0.15">
      <c r="B32" s="16">
        <v>40584</v>
      </c>
      <c r="C32" s="11">
        <v>1321.87</v>
      </c>
      <c r="D32" s="12">
        <f t="shared" si="0"/>
        <v>7.4921959800166693E-4</v>
      </c>
      <c r="E32" s="3">
        <f t="shared" si="3"/>
        <v>7.5417069187466625E-3</v>
      </c>
      <c r="F32" s="18">
        <f t="shared" si="1"/>
        <v>4.8823721748063154</v>
      </c>
      <c r="G32" s="3">
        <f t="shared" si="4"/>
        <v>7.4447123506787283E-3</v>
      </c>
      <c r="H32" s="4">
        <f t="shared" si="2"/>
        <v>4.8951872650807831</v>
      </c>
    </row>
    <row r="33" spans="2:8" x14ac:dyDescent="0.15">
      <c r="B33" s="16">
        <v>40585</v>
      </c>
      <c r="C33" s="11">
        <v>1329.15</v>
      </c>
      <c r="D33" s="12">
        <f t="shared" si="0"/>
        <v>5.4922394398424258E-3</v>
      </c>
      <c r="E33" s="3">
        <f t="shared" si="3"/>
        <v>7.1438557788520533E-3</v>
      </c>
      <c r="F33" s="18">
        <f t="shared" si="1"/>
        <v>4.6459712631974019</v>
      </c>
      <c r="G33" s="3">
        <f t="shared" si="4"/>
        <v>7.1524830125625988E-3</v>
      </c>
      <c r="H33" s="4">
        <f t="shared" si="2"/>
        <v>4.6454768502763377</v>
      </c>
    </row>
    <row r="34" spans="2:8" x14ac:dyDescent="0.15">
      <c r="B34" s="16">
        <v>40588</v>
      </c>
      <c r="C34" s="11">
        <v>1332.32</v>
      </c>
      <c r="D34" s="12">
        <f t="shared" si="0"/>
        <v>2.3821433260880175E-3</v>
      </c>
      <c r="E34" s="3">
        <f t="shared" si="3"/>
        <v>7.0896144245093324E-3</v>
      </c>
      <c r="F34" s="18">
        <f t="shared" si="1"/>
        <v>4.8926747646443323</v>
      </c>
      <c r="G34" s="3">
        <f t="shared" si="4"/>
        <v>7.03745090583333E-3</v>
      </c>
      <c r="H34" s="4">
        <f t="shared" si="2"/>
        <v>4.8992197626492837</v>
      </c>
    </row>
    <row r="35" spans="2:8" x14ac:dyDescent="0.15">
      <c r="B35" s="16">
        <v>40589</v>
      </c>
      <c r="C35" s="11">
        <v>1328.01</v>
      </c>
      <c r="D35" s="12">
        <f t="shared" si="0"/>
        <v>-3.2402023589993278E-3</v>
      </c>
      <c r="E35" s="3">
        <f t="shared" si="3"/>
        <v>6.8048714572582648E-3</v>
      </c>
      <c r="F35" s="18">
        <f t="shared" si="1"/>
        <v>4.8767527259588803</v>
      </c>
      <c r="G35" s="3">
        <f t="shared" si="4"/>
        <v>6.7908873301027557E-3</v>
      </c>
      <c r="H35" s="4">
        <f t="shared" si="2"/>
        <v>4.8783424881919588</v>
      </c>
    </row>
    <row r="36" spans="2:8" x14ac:dyDescent="0.15">
      <c r="B36" s="16">
        <v>40590</v>
      </c>
      <c r="C36" s="11">
        <v>1336.32</v>
      </c>
      <c r="D36" s="12">
        <f t="shared" si="0"/>
        <v>6.2379862455999606E-3</v>
      </c>
      <c r="E36" s="3">
        <f t="shared" si="3"/>
        <v>6.6119441355360032E-3</v>
      </c>
      <c r="F36" s="18">
        <f t="shared" si="1"/>
        <v>4.5738360806206888</v>
      </c>
      <c r="G36" s="3">
        <f t="shared" si="4"/>
        <v>6.5838283673341777E-3</v>
      </c>
      <c r="H36" s="4">
        <f t="shared" si="2"/>
        <v>4.5742882651585708</v>
      </c>
    </row>
    <row r="37" spans="2:8" x14ac:dyDescent="0.15">
      <c r="B37" s="16">
        <v>40591</v>
      </c>
      <c r="C37" s="11">
        <v>1340.43</v>
      </c>
      <c r="D37" s="12">
        <f t="shared" si="0"/>
        <v>3.0708906172792973E-3</v>
      </c>
      <c r="E37" s="3">
        <f t="shared" si="3"/>
        <v>6.7418007200835241E-3</v>
      </c>
      <c r="F37" s="18">
        <f t="shared" si="1"/>
        <v>4.8956880692881599</v>
      </c>
      <c r="G37" s="3">
        <f t="shared" si="4"/>
        <v>6.5575920177068795E-3</v>
      </c>
      <c r="H37" s="4">
        <f t="shared" si="2"/>
        <v>4.9174814916101646</v>
      </c>
    </row>
    <row r="38" spans="2:8" x14ac:dyDescent="0.15">
      <c r="B38" s="16">
        <v>40592</v>
      </c>
      <c r="C38" s="11">
        <v>1343.01</v>
      </c>
      <c r="D38" s="12">
        <f t="shared" si="0"/>
        <v>1.9229055205082848E-3</v>
      </c>
      <c r="E38" s="3">
        <f t="shared" si="3"/>
        <v>6.5477030892115975E-3</v>
      </c>
      <c r="F38" s="18">
        <f t="shared" si="1"/>
        <v>4.9855180660226006</v>
      </c>
      <c r="G38" s="3">
        <f t="shared" si="4"/>
        <v>6.3554472645491258E-3</v>
      </c>
      <c r="H38" s="4">
        <f t="shared" si="2"/>
        <v>5.0126716536069535</v>
      </c>
    </row>
    <row r="39" spans="2:8" x14ac:dyDescent="0.15">
      <c r="B39" s="16">
        <v>40596</v>
      </c>
      <c r="C39" s="11">
        <v>1315.44</v>
      </c>
      <c r="D39" s="12">
        <f t="shared" si="0"/>
        <v>-2.0742153105926635E-2</v>
      </c>
      <c r="E39" s="3">
        <f t="shared" si="3"/>
        <v>6.3229705991997157E-3</v>
      </c>
      <c r="F39" s="18">
        <f t="shared" si="1"/>
        <v>-0.31709137992777947</v>
      </c>
      <c r="G39" s="3">
        <f t="shared" si="4"/>
        <v>6.1268770478037915E-3</v>
      </c>
      <c r="H39" s="4">
        <f t="shared" si="2"/>
        <v>-0.63551998934312071</v>
      </c>
    </row>
    <row r="40" spans="2:8" x14ac:dyDescent="0.15">
      <c r="B40" s="16">
        <v>40597</v>
      </c>
      <c r="C40" s="11">
        <v>1307.4000000000001</v>
      </c>
      <c r="D40" s="12">
        <f t="shared" si="0"/>
        <v>-6.130778227341465E-3</v>
      </c>
      <c r="E40" s="3">
        <f t="shared" si="3"/>
        <v>9.7720758215004526E-3</v>
      </c>
      <c r="F40" s="18">
        <f t="shared" si="1"/>
        <v>4.4314252486308732</v>
      </c>
      <c r="G40" s="3">
        <f t="shared" si="4"/>
        <v>8.2505863987595175E-3</v>
      </c>
      <c r="H40" s="4">
        <f t="shared" si="2"/>
        <v>4.5213931398511349</v>
      </c>
    </row>
    <row r="41" spans="2:8" x14ac:dyDescent="0.15">
      <c r="B41" s="16">
        <v>40598</v>
      </c>
      <c r="C41" s="11">
        <v>1306.0999999999999</v>
      </c>
      <c r="D41" s="12">
        <f t="shared" si="0"/>
        <v>-9.9483459515377977E-4</v>
      </c>
      <c r="E41" s="3">
        <f t="shared" si="3"/>
        <v>9.3655882738615075E-3</v>
      </c>
      <c r="F41" s="18">
        <f t="shared" si="1"/>
        <v>4.6650715372965328</v>
      </c>
      <c r="G41" s="3">
        <f t="shared" si="4"/>
        <v>8.1056654366443003E-3</v>
      </c>
      <c r="H41" s="4">
        <f t="shared" si="2"/>
        <v>4.807660300864014</v>
      </c>
    </row>
    <row r="42" spans="2:8" x14ac:dyDescent="0.15">
      <c r="B42" s="16">
        <v>40599</v>
      </c>
      <c r="C42" s="11">
        <v>1319.88</v>
      </c>
      <c r="D42" s="12">
        <f t="shared" si="0"/>
        <v>1.0495225773550236E-2</v>
      </c>
      <c r="E42" s="3">
        <f t="shared" si="3"/>
        <v>8.7390441773826308E-3</v>
      </c>
      <c r="F42" s="18">
        <f t="shared" si="1"/>
        <v>4.0188042943250828</v>
      </c>
      <c r="G42" s="3">
        <f t="shared" si="4"/>
        <v>7.7891101728675138E-3</v>
      </c>
      <c r="H42" s="4">
        <f t="shared" si="2"/>
        <v>3.9472543551632238</v>
      </c>
    </row>
    <row r="43" spans="2:8" x14ac:dyDescent="0.15">
      <c r="B43" s="16">
        <v>40602</v>
      </c>
      <c r="C43" s="11">
        <v>1327.22</v>
      </c>
      <c r="D43" s="12">
        <f t="shared" si="0"/>
        <v>5.5457057245348928E-3</v>
      </c>
      <c r="E43" s="3">
        <f t="shared" si="3"/>
        <v>9.0490985294689914E-3</v>
      </c>
      <c r="F43" s="18">
        <f t="shared" si="1"/>
        <v>4.5172998985711645</v>
      </c>
      <c r="G43" s="3">
        <f t="shared" si="4"/>
        <v>8.0322742364343398E-3</v>
      </c>
      <c r="H43" s="4">
        <f t="shared" si="2"/>
        <v>4.5859422748145793</v>
      </c>
    </row>
    <row r="44" spans="2:8" x14ac:dyDescent="0.15">
      <c r="B44" s="16">
        <v>40603</v>
      </c>
      <c r="C44" s="11">
        <v>1306.33</v>
      </c>
      <c r="D44" s="12">
        <f t="shared" si="0"/>
        <v>-1.5864850224639092E-2</v>
      </c>
      <c r="E44" s="3">
        <f t="shared" si="3"/>
        <v>8.6967109750504742E-3</v>
      </c>
      <c r="F44" s="18">
        <f t="shared" si="1"/>
        <v>3.0808925147824304</v>
      </c>
      <c r="G44" s="3">
        <f t="shared" si="4"/>
        <v>7.8671647100577152E-3</v>
      </c>
      <c r="H44" s="4">
        <f t="shared" si="2"/>
        <v>2.8117387687254722</v>
      </c>
    </row>
    <row r="45" spans="2:8" x14ac:dyDescent="0.15">
      <c r="B45" s="16">
        <v>40604</v>
      </c>
      <c r="C45" s="11">
        <v>1308.44</v>
      </c>
      <c r="D45" s="12">
        <f t="shared" si="0"/>
        <v>1.6139090306173224E-3</v>
      </c>
      <c r="E45" s="3">
        <f t="shared" si="3"/>
        <v>1.0024453159400492E-2</v>
      </c>
      <c r="F45" s="18">
        <f t="shared" si="1"/>
        <v>4.5897678035088356</v>
      </c>
      <c r="G45" s="3">
        <f t="shared" si="4"/>
        <v>8.7549947381904952E-3</v>
      </c>
      <c r="H45" s="4">
        <f t="shared" si="2"/>
        <v>4.7211400164004305</v>
      </c>
    </row>
    <row r="46" spans="2:8" x14ac:dyDescent="0.15">
      <c r="B46" s="16">
        <v>40605</v>
      </c>
      <c r="C46" s="11">
        <v>1330.97</v>
      </c>
      <c r="D46" s="12">
        <f t="shared" si="0"/>
        <v>1.7072411809528822E-2</v>
      </c>
      <c r="E46" s="3">
        <f t="shared" si="3"/>
        <v>9.3307297561958727E-3</v>
      </c>
      <c r="F46" s="18">
        <f t="shared" si="1"/>
        <v>3.0005457957507051</v>
      </c>
      <c r="G46" s="3">
        <f t="shared" si="4"/>
        <v>8.4197789979374524E-3</v>
      </c>
      <c r="H46" s="4">
        <f t="shared" si="2"/>
        <v>2.7214781367646386</v>
      </c>
    </row>
    <row r="47" spans="2:8" x14ac:dyDescent="0.15">
      <c r="B47" s="16">
        <v>40606</v>
      </c>
      <c r="C47" s="11">
        <v>1321.15</v>
      </c>
      <c r="D47" s="12">
        <f t="shared" si="0"/>
        <v>-7.4054302804431073E-3</v>
      </c>
      <c r="E47" s="3">
        <f t="shared" si="3"/>
        <v>1.0735763207526845E-2</v>
      </c>
      <c r="F47" s="18">
        <f t="shared" si="1"/>
        <v>4.2962691074575892</v>
      </c>
      <c r="G47" s="3">
        <f t="shared" si="4"/>
        <v>9.3831263113100805E-3</v>
      </c>
      <c r="H47" s="4">
        <f t="shared" si="2"/>
        <v>4.3574014990644265</v>
      </c>
    </row>
    <row r="48" spans="2:8" x14ac:dyDescent="0.15">
      <c r="B48" s="16">
        <v>40609</v>
      </c>
      <c r="C48" s="11">
        <v>1310.1300000000001</v>
      </c>
      <c r="D48" s="12">
        <f t="shared" si="0"/>
        <v>-8.3762005038354979E-3</v>
      </c>
      <c r="E48" s="3">
        <f t="shared" si="3"/>
        <v>1.0308068450759761E-2</v>
      </c>
      <c r="F48" s="18">
        <f t="shared" si="1"/>
        <v>4.2446796802919486</v>
      </c>
      <c r="G48" s="3">
        <f t="shared" si="4"/>
        <v>9.2445359960998136E-3</v>
      </c>
      <c r="H48" s="4">
        <f t="shared" si="2"/>
        <v>4.2732408127855983</v>
      </c>
    </row>
    <row r="49" spans="2:8" x14ac:dyDescent="0.15">
      <c r="B49" s="16">
        <v>40610</v>
      </c>
      <c r="C49" s="11">
        <v>1321.82</v>
      </c>
      <c r="D49" s="12">
        <f t="shared" si="0"/>
        <v>8.8832058912233485E-3</v>
      </c>
      <c r="E49" s="3">
        <f t="shared" si="3"/>
        <v>1.0047759367779437E-2</v>
      </c>
      <c r="F49" s="18">
        <f t="shared" si="1"/>
        <v>4.2095908112189617</v>
      </c>
      <c r="G49" s="3">
        <f t="shared" si="4"/>
        <v>9.1799654883562391E-3</v>
      </c>
      <c r="H49" s="4">
        <f t="shared" si="2"/>
        <v>4.2225361954016893</v>
      </c>
    </row>
    <row r="50" spans="2:8" x14ac:dyDescent="0.15">
      <c r="B50" s="16">
        <v>40611</v>
      </c>
      <c r="C50" s="11">
        <v>1320.02</v>
      </c>
      <c r="D50" s="12">
        <f t="shared" si="0"/>
        <v>-1.3626868232272332E-3</v>
      </c>
      <c r="E50" s="3">
        <f t="shared" si="3"/>
        <v>9.8894577269274479E-3</v>
      </c>
      <c r="F50" s="18">
        <f t="shared" si="1"/>
        <v>4.6067926662740017</v>
      </c>
      <c r="G50" s="3">
        <f t="shared" si="4"/>
        <v>9.1572362936417143E-3</v>
      </c>
      <c r="H50" s="4">
        <f t="shared" si="2"/>
        <v>4.6821386769713378</v>
      </c>
    </row>
    <row r="51" spans="2:8" x14ac:dyDescent="0.15">
      <c r="B51" s="16">
        <v>40612</v>
      </c>
      <c r="C51" s="11">
        <v>1295.1099999999999</v>
      </c>
      <c r="D51" s="12">
        <f t="shared" si="0"/>
        <v>-1.9051254369579457E-2</v>
      </c>
      <c r="E51" s="3">
        <f t="shared" si="3"/>
        <v>9.2063757632261864E-3</v>
      </c>
      <c r="F51" s="18">
        <f t="shared" si="1"/>
        <v>2.5467451612749872</v>
      </c>
      <c r="G51" s="3">
        <f t="shared" si="4"/>
        <v>8.802236302194141E-3</v>
      </c>
      <c r="H51" s="4">
        <f t="shared" si="2"/>
        <v>2.3905109981024308</v>
      </c>
    </row>
    <row r="52" spans="2:8" x14ac:dyDescent="0.15">
      <c r="B52" s="16">
        <v>40613</v>
      </c>
      <c r="C52" s="11">
        <v>1304.28</v>
      </c>
      <c r="D52" s="12">
        <f t="shared" si="0"/>
        <v>7.0555307518902583E-3</v>
      </c>
      <c r="E52" s="3">
        <f t="shared" si="3"/>
        <v>1.1093591369231721E-2</v>
      </c>
      <c r="F52" s="18">
        <f t="shared" si="1"/>
        <v>4.2991393107854652</v>
      </c>
      <c r="G52" s="3">
        <f t="shared" si="4"/>
        <v>9.9837691049186206E-3</v>
      </c>
      <c r="H52" s="4">
        <f t="shared" si="2"/>
        <v>4.3570820694685866</v>
      </c>
    </row>
    <row r="53" spans="2:8" x14ac:dyDescent="0.15">
      <c r="B53" s="16">
        <v>40616</v>
      </c>
      <c r="C53" s="11">
        <v>1296.3900000000001</v>
      </c>
      <c r="D53" s="12">
        <f t="shared" si="0"/>
        <v>-6.0676857940746946E-3</v>
      </c>
      <c r="E53" s="3">
        <f t="shared" si="3"/>
        <v>1.0581714915179362E-2</v>
      </c>
      <c r="F53" s="18">
        <f t="shared" si="1"/>
        <v>4.3842269258946631</v>
      </c>
      <c r="G53" s="3">
        <f t="shared" si="4"/>
        <v>9.7875501952156985E-3</v>
      </c>
      <c r="H53" s="4">
        <f t="shared" si="2"/>
        <v>4.4344817987767788</v>
      </c>
    </row>
    <row r="54" spans="2:8" x14ac:dyDescent="0.15">
      <c r="B54" s="16">
        <v>40617</v>
      </c>
      <c r="C54" s="11">
        <v>1281.8699999999999</v>
      </c>
      <c r="D54" s="12">
        <f t="shared" si="0"/>
        <v>-1.1263529286306983E-2</v>
      </c>
      <c r="E54" s="3">
        <f t="shared" si="3"/>
        <v>1.0055764300168819E-2</v>
      </c>
      <c r="F54" s="18">
        <f t="shared" si="1"/>
        <v>3.9722897013505709</v>
      </c>
      <c r="G54" s="3">
        <f t="shared" si="4"/>
        <v>9.5504087162082436E-3</v>
      </c>
      <c r="H54" s="4">
        <f t="shared" si="2"/>
        <v>3.9557066559323975</v>
      </c>
    </row>
    <row r="55" spans="2:8" x14ac:dyDescent="0.15">
      <c r="B55" s="16">
        <v>40618</v>
      </c>
      <c r="C55" s="11">
        <v>1256.8800000000001</v>
      </c>
      <c r="D55" s="12">
        <f t="shared" si="0"/>
        <v>-1.9687489643372059E-2</v>
      </c>
      <c r="E55" s="3">
        <f t="shared" si="3"/>
        <v>1.0219649833588633E-2</v>
      </c>
      <c r="F55" s="18">
        <f t="shared" si="1"/>
        <v>2.727867332739593</v>
      </c>
      <c r="G55" s="3">
        <f t="shared" si="4"/>
        <v>9.6944693629741185E-3</v>
      </c>
      <c r="H55" s="4">
        <f t="shared" si="2"/>
        <v>2.5741335198850721</v>
      </c>
    </row>
    <row r="56" spans="2:8" x14ac:dyDescent="0.15">
      <c r="B56" s="16">
        <v>40619</v>
      </c>
      <c r="C56" s="11">
        <v>1273.72</v>
      </c>
      <c r="D56" s="12">
        <f t="shared" si="0"/>
        <v>1.3309293117774694E-2</v>
      </c>
      <c r="E56" s="3">
        <f t="shared" si="3"/>
        <v>1.193935155355175E-2</v>
      </c>
      <c r="F56" s="18">
        <f t="shared" si="1"/>
        <v>3.8065909458384697</v>
      </c>
      <c r="G56" s="3">
        <f t="shared" si="4"/>
        <v>1.0807969633170022E-2</v>
      </c>
      <c r="H56" s="4">
        <f t="shared" si="2"/>
        <v>3.7692575694834813</v>
      </c>
    </row>
    <row r="57" spans="2:8" x14ac:dyDescent="0.15">
      <c r="B57" s="16">
        <v>40620</v>
      </c>
      <c r="C57" s="11">
        <v>1279.2</v>
      </c>
      <c r="D57" s="12">
        <f t="shared" si="0"/>
        <v>4.2931297626278894E-3</v>
      </c>
      <c r="E57" s="3">
        <f t="shared" si="3"/>
        <v>1.2050919913382594E-2</v>
      </c>
      <c r="F57" s="18">
        <f t="shared" si="1"/>
        <v>4.3551575584654971</v>
      </c>
      <c r="G57" s="3">
        <f t="shared" si="4"/>
        <v>1.1022825226799763E-2</v>
      </c>
      <c r="H57" s="4">
        <f t="shared" si="2"/>
        <v>4.4319412209026225</v>
      </c>
    </row>
    <row r="58" spans="2:8" x14ac:dyDescent="0.15">
      <c r="B58" s="16">
        <v>40623</v>
      </c>
      <c r="C58" s="11">
        <v>1298.3800000000001</v>
      </c>
      <c r="D58" s="12">
        <f t="shared" si="0"/>
        <v>1.4882450988371786E-2</v>
      </c>
      <c r="E58" s="3">
        <f t="shared" si="3"/>
        <v>1.1219675136322384E-2</v>
      </c>
      <c r="F58" s="18">
        <f t="shared" si="1"/>
        <v>3.6103381838973796</v>
      </c>
      <c r="G58" s="3">
        <f t="shared" si="4"/>
        <v>1.0653099044934245E-2</v>
      </c>
      <c r="H58" s="4">
        <f t="shared" si="2"/>
        <v>3.5660905467300004</v>
      </c>
    </row>
    <row r="59" spans="2:8" x14ac:dyDescent="0.15">
      <c r="B59" s="16">
        <v>40624</v>
      </c>
      <c r="C59" s="11">
        <v>1293.77</v>
      </c>
      <c r="D59" s="12">
        <f t="shared" si="0"/>
        <v>-3.5568966767270528E-3</v>
      </c>
      <c r="E59" s="3">
        <f t="shared" si="3"/>
        <v>1.1729483234537735E-2</v>
      </c>
      <c r="F59" s="18">
        <f t="shared" si="1"/>
        <v>4.3996711778996893</v>
      </c>
      <c r="G59" s="3">
        <f t="shared" si="4"/>
        <v>1.1040189084572764E-2</v>
      </c>
      <c r="H59" s="4">
        <f t="shared" si="2"/>
        <v>4.4543140524210436</v>
      </c>
    </row>
    <row r="60" spans="2:8" x14ac:dyDescent="0.15">
      <c r="B60" s="16">
        <v>40625</v>
      </c>
      <c r="C60" s="11">
        <v>1297.54</v>
      </c>
      <c r="D60" s="12">
        <f t="shared" si="0"/>
        <v>2.9097272498432949E-3</v>
      </c>
      <c r="E60" s="3">
        <f t="shared" si="3"/>
        <v>1.0900955417220646E-2</v>
      </c>
      <c r="F60" s="18">
        <f t="shared" si="1"/>
        <v>4.4832806144144923</v>
      </c>
      <c r="G60" s="3">
        <f t="shared" si="4"/>
        <v>1.0648589596076946E-2</v>
      </c>
      <c r="H60" s="4">
        <f t="shared" si="2"/>
        <v>4.5049950429777077</v>
      </c>
    </row>
    <row r="61" spans="2:8" x14ac:dyDescent="0.15">
      <c r="B61" s="16">
        <v>40626</v>
      </c>
      <c r="C61" s="11">
        <v>1309.6600000000001</v>
      </c>
      <c r="D61" s="12">
        <f t="shared" si="0"/>
        <v>9.2973974423822842E-3</v>
      </c>
      <c r="E61" s="3">
        <f t="shared" si="3"/>
        <v>1.0143614023339634E-2</v>
      </c>
      <c r="F61" s="18">
        <f t="shared" si="1"/>
        <v>4.1708547635547024</v>
      </c>
      <c r="G61" s="3">
        <f t="shared" si="4"/>
        <v>1.0258368824901165E-2</v>
      </c>
      <c r="H61" s="4">
        <f t="shared" si="2"/>
        <v>4.1689505836184342</v>
      </c>
    </row>
    <row r="62" spans="2:8" x14ac:dyDescent="0.15">
      <c r="B62" s="16">
        <v>40627</v>
      </c>
      <c r="C62" s="11">
        <v>1313.8</v>
      </c>
      <c r="D62" s="12">
        <f t="shared" si="0"/>
        <v>3.1561399347577791E-3</v>
      </c>
      <c r="E62" s="3">
        <f t="shared" si="3"/>
        <v>1.0020470587120524E-2</v>
      </c>
      <c r="F62" s="18">
        <f t="shared" si="1"/>
        <v>4.553522410788962</v>
      </c>
      <c r="G62" s="3">
        <f t="shared" si="4"/>
        <v>1.0186900963800002E-2</v>
      </c>
      <c r="H62" s="4">
        <f t="shared" si="2"/>
        <v>4.5386573445168059</v>
      </c>
    </row>
    <row r="63" spans="2:8" x14ac:dyDescent="0.15">
      <c r="B63" s="16">
        <v>40630</v>
      </c>
      <c r="C63" s="11">
        <v>1310.19</v>
      </c>
      <c r="D63" s="12">
        <f t="shared" si="0"/>
        <v>-2.7515366122545675E-3</v>
      </c>
      <c r="E63" s="3">
        <f t="shared" si="3"/>
        <v>9.3805869772996455E-3</v>
      </c>
      <c r="F63" s="18">
        <f t="shared" si="1"/>
        <v>4.6260939149992453</v>
      </c>
      <c r="G63" s="3">
        <f t="shared" si="4"/>
        <v>9.8223616193033481E-3</v>
      </c>
      <c r="H63" s="4">
        <f t="shared" si="2"/>
        <v>4.5838573304678869</v>
      </c>
    </row>
    <row r="64" spans="2:8" x14ac:dyDescent="0.15">
      <c r="B64" s="16">
        <v>40631</v>
      </c>
      <c r="C64" s="11">
        <v>1319.44</v>
      </c>
      <c r="D64" s="12">
        <f t="shared" si="0"/>
        <v>7.0352392937787864E-3</v>
      </c>
      <c r="E64" s="3">
        <f t="shared" si="3"/>
        <v>8.8030961720163801E-3</v>
      </c>
      <c r="F64" s="18">
        <f t="shared" si="1"/>
        <v>4.4133091798721455</v>
      </c>
      <c r="G64" s="3">
        <f t="shared" si="4"/>
        <v>9.463927204238623E-3</v>
      </c>
      <c r="H64" s="4">
        <f t="shared" si="2"/>
        <v>4.3839652451952587</v>
      </c>
    </row>
    <row r="65" spans="2:8" x14ac:dyDescent="0.15">
      <c r="B65" s="16">
        <v>40632</v>
      </c>
      <c r="C65" s="11">
        <v>1328.26</v>
      </c>
      <c r="D65" s="12">
        <f t="shared" si="0"/>
        <v>6.6624108659960593E-3</v>
      </c>
      <c r="E65" s="3">
        <f t="shared" si="3"/>
        <v>8.6357332313588379E-3</v>
      </c>
      <c r="F65" s="18">
        <f t="shared" si="1"/>
        <v>4.4542456531241932</v>
      </c>
      <c r="G65" s="3">
        <f t="shared" si="4"/>
        <v>9.2978623249006138E-3</v>
      </c>
      <c r="H65" s="4">
        <f t="shared" si="2"/>
        <v>4.4212466831860349</v>
      </c>
    </row>
    <row r="66" spans="2:8" x14ac:dyDescent="0.15">
      <c r="B66" s="16">
        <v>40633</v>
      </c>
      <c r="C66" s="11">
        <v>1325.83</v>
      </c>
      <c r="D66" s="12">
        <f t="shared" si="0"/>
        <v>-1.8311366072702206E-3</v>
      </c>
      <c r="E66" s="3">
        <f t="shared" si="3"/>
        <v>8.4551971033236424E-3</v>
      </c>
      <c r="F66" s="18">
        <f t="shared" si="1"/>
        <v>4.7495228414777522</v>
      </c>
      <c r="G66" s="3">
        <f t="shared" si="4"/>
        <v>9.1202931628470672E-3</v>
      </c>
      <c r="H66" s="4">
        <f t="shared" si="2"/>
        <v>4.6770978154680645</v>
      </c>
    </row>
    <row r="67" spans="2:8" x14ac:dyDescent="0.15">
      <c r="B67" s="16">
        <v>40634</v>
      </c>
      <c r="C67" s="11">
        <v>1332.41</v>
      </c>
      <c r="D67" s="12">
        <f t="shared" si="0"/>
        <v>4.9506541464152936E-3</v>
      </c>
      <c r="E67" s="3">
        <f t="shared" si="3"/>
        <v>7.9619302396681368E-3</v>
      </c>
      <c r="F67" s="18">
        <f t="shared" si="1"/>
        <v>4.6397719811928537</v>
      </c>
      <c r="G67" s="3">
        <f t="shared" si="4"/>
        <v>8.7734238552083302E-3</v>
      </c>
      <c r="H67" s="4">
        <f t="shared" si="2"/>
        <v>4.5768230503332417</v>
      </c>
    </row>
    <row r="68" spans="2:8" x14ac:dyDescent="0.15">
      <c r="B68" s="16">
        <v>40637</v>
      </c>
      <c r="C68" s="11">
        <v>1332.87</v>
      </c>
      <c r="D68" s="12">
        <f t="shared" si="0"/>
        <v>3.4517949676367792E-4</v>
      </c>
      <c r="E68" s="3">
        <f t="shared" si="3"/>
        <v>7.7217299786199282E-3</v>
      </c>
      <c r="F68" s="18">
        <f t="shared" si="1"/>
        <v>4.8627176993878374</v>
      </c>
      <c r="G68" s="3">
        <f t="shared" si="4"/>
        <v>8.5377820563589772E-3</v>
      </c>
      <c r="H68" s="4">
        <f t="shared" si="2"/>
        <v>4.7624367391895701</v>
      </c>
    </row>
    <row r="69" spans="2:8" x14ac:dyDescent="0.15">
      <c r="B69" s="16">
        <v>40638</v>
      </c>
      <c r="C69" s="11">
        <v>1332.63</v>
      </c>
      <c r="D69" s="12">
        <f t="shared" si="0"/>
        <v>-1.8007878495468458E-4</v>
      </c>
      <c r="E69" s="3">
        <f t="shared" si="3"/>
        <v>7.2956913144825554E-3</v>
      </c>
      <c r="F69" s="18">
        <f t="shared" si="1"/>
        <v>4.920166713314889</v>
      </c>
      <c r="G69" s="3">
        <f t="shared" si="4"/>
        <v>8.1997113125530496E-3</v>
      </c>
      <c r="H69" s="4">
        <f t="shared" ref="H69:H132" si="5" xml:space="preserve"> - LN(G69) - 0.5 * ($D69/G69)^2</f>
        <v>4.8034151751672294</v>
      </c>
    </row>
    <row r="70" spans="2:8" x14ac:dyDescent="0.15">
      <c r="B70" s="16">
        <v>40639</v>
      </c>
      <c r="C70" s="11">
        <v>1335.54</v>
      </c>
      <c r="D70" s="12">
        <f t="shared" si="0"/>
        <v>2.1812711737267251E-3</v>
      </c>
      <c r="E70" s="3">
        <f t="shared" si="3"/>
        <v>6.9260867124740482E-3</v>
      </c>
      <c r="F70" s="18">
        <f t="shared" ref="F70:F133" si="6" xml:space="preserve"> - LN(E70) - 0.5 * (D70/E70)^2</f>
        <v>4.9228681017373734</v>
      </c>
      <c r="G70" s="3">
        <f t="shared" si="4"/>
        <v>7.8746447012255933E-3</v>
      </c>
      <c r="H70" s="4">
        <f t="shared" si="5"/>
        <v>4.8057429028435816</v>
      </c>
    </row>
    <row r="71" spans="2:8" x14ac:dyDescent="0.15">
      <c r="B71" s="16">
        <v>40640</v>
      </c>
      <c r="C71" s="11">
        <v>1333.51</v>
      </c>
      <c r="D71" s="12">
        <f t="shared" ref="D71:D134" si="7">LN(C71/C70)</f>
        <v>-1.5211407740053193E-3</v>
      </c>
      <c r="E71" s="3">
        <f t="shared" si="3"/>
        <v>6.6560560024733813E-3</v>
      </c>
      <c r="F71" s="18">
        <f t="shared" si="6"/>
        <v>4.9861140723563659</v>
      </c>
      <c r="G71" s="3">
        <f t="shared" si="4"/>
        <v>7.5867315531865298E-3</v>
      </c>
      <c r="H71" s="4">
        <f t="shared" si="5"/>
        <v>4.8612542517171171</v>
      </c>
    </row>
    <row r="72" spans="2:8" x14ac:dyDescent="0.15">
      <c r="B72" s="16">
        <v>40641</v>
      </c>
      <c r="C72" s="11">
        <v>1328.17</v>
      </c>
      <c r="D72" s="12">
        <f t="shared" si="7"/>
        <v>-4.0125087648393782E-3</v>
      </c>
      <c r="E72" s="3">
        <f t="shared" ref="E72:E135" si="8">SQRT($L$18 + $L$19*E71^2 + $L$20*D71^2)</f>
        <v>6.4003863993279285E-3</v>
      </c>
      <c r="F72" s="18">
        <f t="shared" si="6"/>
        <v>4.8548846759812472</v>
      </c>
      <c r="G72" s="3">
        <f t="shared" ref="G72:G135" si="9">SQRT($V$18*G71^2 + (1-$V$18)*D71^2)</f>
        <v>7.2981537748547523E-3</v>
      </c>
      <c r="H72" s="4">
        <f t="shared" si="5"/>
        <v>4.7689950693154399</v>
      </c>
    </row>
    <row r="73" spans="2:8" x14ac:dyDescent="0.15">
      <c r="B73" s="16">
        <v>40644</v>
      </c>
      <c r="C73" s="11">
        <v>1324.46</v>
      </c>
      <c r="D73" s="12">
        <f t="shared" si="7"/>
        <v>-2.7972257111361096E-3</v>
      </c>
      <c r="E73" s="3">
        <f t="shared" si="8"/>
        <v>6.3324142973012493E-3</v>
      </c>
      <c r="F73" s="18">
        <f t="shared" si="6"/>
        <v>4.9645104314915276</v>
      </c>
      <c r="G73" s="3">
        <f t="shared" si="9"/>
        <v>7.0974305037742958E-3</v>
      </c>
      <c r="H73" s="4">
        <f t="shared" si="5"/>
        <v>4.8703579292643164</v>
      </c>
    </row>
    <row r="74" spans="2:8" x14ac:dyDescent="0.15">
      <c r="B74" s="16">
        <v>40645</v>
      </c>
      <c r="C74" s="11">
        <v>1314.16</v>
      </c>
      <c r="D74" s="12">
        <f t="shared" si="7"/>
        <v>-7.8071509476483102E-3</v>
      </c>
      <c r="E74" s="3">
        <f t="shared" si="8"/>
        <v>6.1860269252948146E-3</v>
      </c>
      <c r="F74" s="18">
        <f t="shared" si="6"/>
        <v>4.2890617135742364</v>
      </c>
      <c r="G74" s="3">
        <f t="shared" si="9"/>
        <v>6.8604077581559111E-3</v>
      </c>
      <c r="H74" s="4">
        <f t="shared" si="5"/>
        <v>4.3344652513487389</v>
      </c>
    </row>
    <row r="75" spans="2:8" x14ac:dyDescent="0.15">
      <c r="B75" s="16">
        <v>40646</v>
      </c>
      <c r="C75" s="11">
        <v>1314.41</v>
      </c>
      <c r="D75" s="12">
        <f t="shared" si="7"/>
        <v>1.9021749525698333E-4</v>
      </c>
      <c r="E75" s="3">
        <f t="shared" si="8"/>
        <v>6.6313254598302602E-3</v>
      </c>
      <c r="F75" s="18">
        <f t="shared" si="6"/>
        <v>5.0155391706046313</v>
      </c>
      <c r="G75" s="3">
        <f t="shared" si="9"/>
        <v>6.9386531609690726E-3</v>
      </c>
      <c r="H75" s="4">
        <f t="shared" si="5"/>
        <v>4.9702718236555876</v>
      </c>
    </row>
    <row r="76" spans="2:8" x14ac:dyDescent="0.15">
      <c r="B76" s="16">
        <v>40647</v>
      </c>
      <c r="C76" s="11">
        <v>1314.52</v>
      </c>
      <c r="D76" s="12">
        <f t="shared" si="7"/>
        <v>8.3684236601243054E-5</v>
      </c>
      <c r="E76" s="3">
        <f t="shared" si="8"/>
        <v>6.3550357012361371E-3</v>
      </c>
      <c r="F76" s="18">
        <f t="shared" si="6"/>
        <v>5.0584210560919054</v>
      </c>
      <c r="G76" s="3">
        <f t="shared" si="9"/>
        <v>6.6636551384065589E-3</v>
      </c>
      <c r="H76" s="4">
        <f t="shared" si="5"/>
        <v>5.0110082698401577</v>
      </c>
    </row>
    <row r="77" spans="2:8" x14ac:dyDescent="0.15">
      <c r="B77" s="16">
        <v>40648</v>
      </c>
      <c r="C77" s="11">
        <v>1319.68</v>
      </c>
      <c r="D77" s="12">
        <f t="shared" si="7"/>
        <v>3.9177029836831535E-3</v>
      </c>
      <c r="E77" s="3">
        <f t="shared" si="8"/>
        <v>6.1189305434198003E-3</v>
      </c>
      <c r="F77" s="18">
        <f t="shared" si="6"/>
        <v>4.891401876500896</v>
      </c>
      <c r="G77" s="3">
        <f t="shared" si="9"/>
        <v>6.3993958609490087E-3</v>
      </c>
      <c r="H77" s="4">
        <f t="shared" si="5"/>
        <v>4.8641579549902847</v>
      </c>
    </row>
    <row r="78" spans="2:8" x14ac:dyDescent="0.15">
      <c r="B78" s="16">
        <v>40651</v>
      </c>
      <c r="C78" s="11">
        <v>1305.1400000000001</v>
      </c>
      <c r="D78" s="12">
        <f t="shared" si="7"/>
        <v>-1.1078968252260089E-2</v>
      </c>
      <c r="E78" s="3">
        <f t="shared" si="8"/>
        <v>6.0917152826581401E-3</v>
      </c>
      <c r="F78" s="18">
        <f t="shared" si="6"/>
        <v>3.4470009863079998</v>
      </c>
      <c r="G78" s="3">
        <f t="shared" si="9"/>
        <v>6.2419135048437172E-3</v>
      </c>
      <c r="H78" s="4">
        <f t="shared" si="5"/>
        <v>3.5012777615410933</v>
      </c>
    </row>
    <row r="79" spans="2:8" x14ac:dyDescent="0.15">
      <c r="B79" s="16">
        <v>40652</v>
      </c>
      <c r="C79" s="11">
        <v>1312.62</v>
      </c>
      <c r="D79" s="12">
        <f t="shared" si="7"/>
        <v>5.7148251616446506E-3</v>
      </c>
      <c r="E79" s="3">
        <f t="shared" si="8"/>
        <v>7.1701396393848175E-3</v>
      </c>
      <c r="F79" s="18">
        <f t="shared" si="6"/>
        <v>4.6202007643034078</v>
      </c>
      <c r="G79" s="3">
        <f t="shared" si="9"/>
        <v>6.7435753084844775E-3</v>
      </c>
      <c r="H79" s="4">
        <f t="shared" si="5"/>
        <v>4.6400815107828413</v>
      </c>
    </row>
    <row r="80" spans="2:8" x14ac:dyDescent="0.15">
      <c r="B80" s="16">
        <v>40653</v>
      </c>
      <c r="C80" s="11">
        <v>1330.36</v>
      </c>
      <c r="D80" s="12">
        <f t="shared" si="7"/>
        <v>1.3424442423331911E-2</v>
      </c>
      <c r="E80" s="3">
        <f t="shared" si="8"/>
        <v>7.1350939558508632E-3</v>
      </c>
      <c r="F80" s="18">
        <f t="shared" si="6"/>
        <v>3.1727711920373523</v>
      </c>
      <c r="G80" s="3">
        <f t="shared" si="9"/>
        <v>6.6692786401227055E-3</v>
      </c>
      <c r="H80" s="4">
        <f t="shared" si="5"/>
        <v>2.9844052048537422</v>
      </c>
    </row>
    <row r="81" spans="2:8" x14ac:dyDescent="0.15">
      <c r="B81" s="16">
        <v>40654</v>
      </c>
      <c r="C81" s="11">
        <v>1337.38</v>
      </c>
      <c r="D81" s="12">
        <f t="shared" si="7"/>
        <v>5.2628938377450567E-3</v>
      </c>
      <c r="E81" s="3">
        <f t="shared" si="8"/>
        <v>8.3978036309106004E-3</v>
      </c>
      <c r="F81" s="18">
        <f t="shared" si="6"/>
        <v>4.5834093585431397</v>
      </c>
      <c r="G81" s="3">
        <f t="shared" si="9"/>
        <v>7.4184376276983082E-3</v>
      </c>
      <c r="H81" s="4">
        <f t="shared" si="5"/>
        <v>4.6521383188764824</v>
      </c>
    </row>
    <row r="82" spans="2:8" x14ac:dyDescent="0.15">
      <c r="B82" s="16">
        <v>40658</v>
      </c>
      <c r="C82" s="11">
        <v>1335.25</v>
      </c>
      <c r="D82" s="12">
        <f t="shared" si="7"/>
        <v>-1.5939358990673606E-3</v>
      </c>
      <c r="E82" s="3">
        <f t="shared" si="8"/>
        <v>8.1180809729951842E-3</v>
      </c>
      <c r="F82" s="18">
        <f t="shared" si="6"/>
        <v>4.7943860172525481</v>
      </c>
      <c r="G82" s="3">
        <f t="shared" si="9"/>
        <v>7.2737761815512298E-3</v>
      </c>
      <c r="H82" s="4">
        <f t="shared" si="5"/>
        <v>4.8994697201502593</v>
      </c>
    </row>
    <row r="83" spans="2:8" x14ac:dyDescent="0.15">
      <c r="B83" s="16">
        <v>40659</v>
      </c>
      <c r="C83" s="11">
        <v>1347.24</v>
      </c>
      <c r="D83" s="12">
        <f t="shared" si="7"/>
        <v>8.939515038808828E-3</v>
      </c>
      <c r="E83" s="3">
        <f t="shared" si="8"/>
        <v>7.6617310930317661E-3</v>
      </c>
      <c r="F83" s="18">
        <f t="shared" si="6"/>
        <v>4.1908355706555929</v>
      </c>
      <c r="G83" s="3">
        <f t="shared" si="9"/>
        <v>6.9994006371712977E-3</v>
      </c>
      <c r="H83" s="4">
        <f t="shared" si="5"/>
        <v>4.1463326339901796</v>
      </c>
    </row>
    <row r="84" spans="2:8" x14ac:dyDescent="0.15">
      <c r="B84" s="16">
        <v>40660</v>
      </c>
      <c r="C84" s="11">
        <v>1355.66</v>
      </c>
      <c r="D84" s="12">
        <f t="shared" si="7"/>
        <v>6.2303653386323599E-3</v>
      </c>
      <c r="E84" s="3">
        <f t="shared" si="8"/>
        <v>7.956091015793948E-3</v>
      </c>
      <c r="F84" s="18">
        <f t="shared" si="6"/>
        <v>4.5271995488428196</v>
      </c>
      <c r="G84" s="3">
        <f t="shared" si="9"/>
        <v>7.169100133069645E-3</v>
      </c>
      <c r="H84" s="4">
        <f t="shared" si="5"/>
        <v>4.5603440493431133</v>
      </c>
    </row>
    <row r="85" spans="2:8" x14ac:dyDescent="0.15">
      <c r="B85" s="16">
        <v>40661</v>
      </c>
      <c r="C85" s="11">
        <v>1360.48</v>
      </c>
      <c r="D85" s="12">
        <f t="shared" si="7"/>
        <v>3.549158040161472E-3</v>
      </c>
      <c r="E85" s="3">
        <f t="shared" si="8"/>
        <v>7.8415997636074718E-3</v>
      </c>
      <c r="F85" s="18">
        <f t="shared" si="6"/>
        <v>4.7458861487854245</v>
      </c>
      <c r="G85" s="3">
        <f t="shared" si="9"/>
        <v>7.1005615613012399E-3</v>
      </c>
      <c r="H85" s="4">
        <f t="shared" si="5"/>
        <v>4.8226604523991128</v>
      </c>
    </row>
    <row r="86" spans="2:8" x14ac:dyDescent="0.15">
      <c r="B86" s="16">
        <v>40662</v>
      </c>
      <c r="C86" s="11">
        <v>1363.61</v>
      </c>
      <c r="D86" s="12">
        <f t="shared" si="7"/>
        <v>2.2980161282694822E-3</v>
      </c>
      <c r="E86" s="3">
        <f t="shared" si="8"/>
        <v>7.5132988409084079E-3</v>
      </c>
      <c r="F86" s="18">
        <f t="shared" si="6"/>
        <v>4.8443055393180439</v>
      </c>
      <c r="G86" s="3">
        <f t="shared" si="9"/>
        <v>6.8903726416793933E-3</v>
      </c>
      <c r="H86" s="4">
        <f t="shared" si="5"/>
        <v>4.9220152662168033</v>
      </c>
    </row>
    <row r="87" spans="2:8" x14ac:dyDescent="0.15">
      <c r="B87" s="16">
        <v>40665</v>
      </c>
      <c r="C87" s="11">
        <v>1361.22</v>
      </c>
      <c r="D87" s="12">
        <f t="shared" si="7"/>
        <v>-1.7542383289275007E-3</v>
      </c>
      <c r="E87" s="3">
        <f t="shared" si="8"/>
        <v>7.164116538920998E-3</v>
      </c>
      <c r="F87" s="18">
        <f t="shared" si="6"/>
        <v>4.9086911983466157</v>
      </c>
      <c r="G87" s="3">
        <f t="shared" si="9"/>
        <v>6.648032254454741E-3</v>
      </c>
      <c r="H87" s="4">
        <f t="shared" si="5"/>
        <v>4.9786198057204647</v>
      </c>
    </row>
    <row r="88" spans="2:8" x14ac:dyDescent="0.15">
      <c r="B88" s="16">
        <v>40666</v>
      </c>
      <c r="C88" s="11">
        <v>1356.62</v>
      </c>
      <c r="D88" s="12">
        <f t="shared" si="7"/>
        <v>-3.3850442943174071E-3</v>
      </c>
      <c r="E88" s="3">
        <f t="shared" si="8"/>
        <v>6.8428292741149538E-3</v>
      </c>
      <c r="F88" s="18">
        <f t="shared" si="6"/>
        <v>4.8621974226695786</v>
      </c>
      <c r="G88" s="3">
        <f t="shared" si="9"/>
        <v>6.403061770509701E-3</v>
      </c>
      <c r="H88" s="4">
        <f t="shared" si="5"/>
        <v>4.9112381666220006</v>
      </c>
    </row>
    <row r="89" spans="2:8" x14ac:dyDescent="0.15">
      <c r="B89" s="16">
        <v>40667</v>
      </c>
      <c r="C89" s="11">
        <v>1347.32</v>
      </c>
      <c r="D89" s="12">
        <f t="shared" si="7"/>
        <v>-6.8788779870610373E-3</v>
      </c>
      <c r="E89" s="3">
        <f t="shared" si="8"/>
        <v>6.6537722319481487E-3</v>
      </c>
      <c r="F89" s="18">
        <f t="shared" si="6"/>
        <v>4.4781677552473065</v>
      </c>
      <c r="G89" s="3">
        <f t="shared" si="9"/>
        <v>6.221118682667331E-3</v>
      </c>
      <c r="H89" s="4">
        <f t="shared" si="5"/>
        <v>4.4684860437038836</v>
      </c>
    </row>
    <row r="90" spans="2:8" x14ac:dyDescent="0.15">
      <c r="B90" s="16">
        <v>40668</v>
      </c>
      <c r="C90" s="11">
        <v>1335.1</v>
      </c>
      <c r="D90" s="12">
        <f t="shared" si="7"/>
        <v>-9.1112387593966487E-3</v>
      </c>
      <c r="E90" s="3">
        <f t="shared" si="8"/>
        <v>6.8591219800167814E-3</v>
      </c>
      <c r="F90" s="18">
        <f t="shared" si="6"/>
        <v>4.0999336787149669</v>
      </c>
      <c r="G90" s="3">
        <f t="shared" si="9"/>
        <v>6.2747342146193662E-3</v>
      </c>
      <c r="H90" s="4">
        <f t="shared" si="5"/>
        <v>4.0169970174885972</v>
      </c>
    </row>
    <row r="91" spans="2:8" x14ac:dyDescent="0.15">
      <c r="B91" s="16">
        <v>40669</v>
      </c>
      <c r="C91" s="11">
        <v>1340.2</v>
      </c>
      <c r="D91" s="12">
        <f t="shared" si="7"/>
        <v>3.8126611430211355E-3</v>
      </c>
      <c r="E91" s="3">
        <f t="shared" si="8"/>
        <v>7.3597815667894679E-3</v>
      </c>
      <c r="F91" s="18">
        <f t="shared" si="6"/>
        <v>4.7775423113345354</v>
      </c>
      <c r="G91" s="3">
        <f t="shared" si="9"/>
        <v>6.539543168807567E-3</v>
      </c>
      <c r="H91" s="4">
        <f t="shared" si="5"/>
        <v>4.8599338862362123</v>
      </c>
    </row>
    <row r="92" spans="2:8" x14ac:dyDescent="0.15">
      <c r="B92" s="16">
        <v>40672</v>
      </c>
      <c r="C92" s="11">
        <v>1346.29</v>
      </c>
      <c r="D92" s="12">
        <f t="shared" si="7"/>
        <v>4.5338046535472768E-3</v>
      </c>
      <c r="E92" s="3">
        <f t="shared" si="8"/>
        <v>7.1210200583932013E-3</v>
      </c>
      <c r="F92" s="18">
        <f t="shared" si="6"/>
        <v>4.7420241579583076</v>
      </c>
      <c r="G92" s="3">
        <f t="shared" si="9"/>
        <v>6.3695141722129121E-3</v>
      </c>
      <c r="H92" s="4">
        <f t="shared" si="5"/>
        <v>4.8029041963692922</v>
      </c>
    </row>
    <row r="93" spans="2:8" x14ac:dyDescent="0.15">
      <c r="B93" s="16">
        <v>40673</v>
      </c>
      <c r="C93" s="11">
        <v>1357.16</v>
      </c>
      <c r="D93" s="12">
        <f t="shared" si="7"/>
        <v>8.041619839871084E-3</v>
      </c>
      <c r="E93" s="3">
        <f t="shared" si="8"/>
        <v>6.9779331045280073E-3</v>
      </c>
      <c r="F93" s="18">
        <f t="shared" si="6"/>
        <v>4.3009483995060949</v>
      </c>
      <c r="G93" s="3">
        <f t="shared" si="9"/>
        <v>6.2461552090881051E-3</v>
      </c>
      <c r="H93" s="4">
        <f t="shared" si="5"/>
        <v>4.2470239118708015</v>
      </c>
    </row>
    <row r="94" spans="2:8" x14ac:dyDescent="0.15">
      <c r="B94" s="16">
        <v>40674</v>
      </c>
      <c r="C94" s="11">
        <v>1342.08</v>
      </c>
      <c r="D94" s="12">
        <f t="shared" si="7"/>
        <v>-1.1173631758988237E-2</v>
      </c>
      <c r="E94" s="3">
        <f t="shared" si="8"/>
        <v>7.2817716655078591E-3</v>
      </c>
      <c r="F94" s="18">
        <f t="shared" si="6"/>
        <v>3.7450879817482496</v>
      </c>
      <c r="G94" s="3">
        <f t="shared" si="9"/>
        <v>6.4038326946786461E-3</v>
      </c>
      <c r="H94" s="4">
        <f t="shared" si="5"/>
        <v>3.5286339282923329</v>
      </c>
    </row>
    <row r="95" spans="2:8" x14ac:dyDescent="0.15">
      <c r="B95" s="16">
        <v>40675</v>
      </c>
      <c r="C95" s="11">
        <v>1348.65</v>
      </c>
      <c r="D95" s="12">
        <f t="shared" si="7"/>
        <v>4.8834428253912788E-3</v>
      </c>
      <c r="E95" s="3">
        <f t="shared" si="8"/>
        <v>8.0463047460084831E-3</v>
      </c>
      <c r="F95" s="18">
        <f t="shared" si="6"/>
        <v>4.638367930092163</v>
      </c>
      <c r="G95" s="3">
        <f t="shared" si="9"/>
        <v>6.8940538258163743E-3</v>
      </c>
      <c r="H95" s="4">
        <f t="shared" si="5"/>
        <v>4.7262120528684983</v>
      </c>
    </row>
    <row r="96" spans="2:8" x14ac:dyDescent="0.15">
      <c r="B96" s="16">
        <v>40676</v>
      </c>
      <c r="C96" s="11">
        <v>1337.77</v>
      </c>
      <c r="D96" s="12">
        <f t="shared" si="7"/>
        <v>-8.100043542688503E-3</v>
      </c>
      <c r="E96" s="3">
        <f t="shared" si="8"/>
        <v>7.7873372606554261E-3</v>
      </c>
      <c r="F96" s="18">
        <f t="shared" si="6"/>
        <v>4.3142943119759591</v>
      </c>
      <c r="G96" s="3">
        <f t="shared" si="9"/>
        <v>6.7592000171111883E-3</v>
      </c>
      <c r="H96" s="4">
        <f t="shared" si="5"/>
        <v>4.2788016817278756</v>
      </c>
    </row>
    <row r="97" spans="2:8" x14ac:dyDescent="0.15">
      <c r="B97" s="16">
        <v>40679</v>
      </c>
      <c r="C97" s="11">
        <v>1329.47</v>
      </c>
      <c r="D97" s="12">
        <f t="shared" si="7"/>
        <v>-6.2236820017320723E-3</v>
      </c>
      <c r="E97" s="3">
        <f t="shared" si="8"/>
        <v>7.9340335963790191E-3</v>
      </c>
      <c r="F97" s="18">
        <f t="shared" si="6"/>
        <v>4.5289296936529304</v>
      </c>
      <c r="G97" s="3">
        <f t="shared" si="9"/>
        <v>6.8728402923319927E-3</v>
      </c>
      <c r="H97" s="4">
        <f t="shared" si="5"/>
        <v>4.5701698636360826</v>
      </c>
    </row>
    <row r="98" spans="2:8" x14ac:dyDescent="0.15">
      <c r="B98" s="16">
        <v>40680</v>
      </c>
      <c r="C98" s="11">
        <v>1328.98</v>
      </c>
      <c r="D98" s="12">
        <f t="shared" si="7"/>
        <v>-3.6863586341581039E-4</v>
      </c>
      <c r="E98" s="3">
        <f t="shared" si="8"/>
        <v>7.822536556541566E-3</v>
      </c>
      <c r="F98" s="18">
        <f t="shared" si="6"/>
        <v>4.8496360334233879</v>
      </c>
      <c r="G98" s="3">
        <f t="shared" si="9"/>
        <v>6.8245804235120382E-3</v>
      </c>
      <c r="H98" s="4">
        <f t="shared" si="5"/>
        <v>4.9857655574060402</v>
      </c>
    </row>
    <row r="99" spans="2:8" x14ac:dyDescent="0.15">
      <c r="B99" s="16">
        <v>40681</v>
      </c>
      <c r="C99" s="11">
        <v>1340.68</v>
      </c>
      <c r="D99" s="12">
        <f t="shared" si="7"/>
        <v>8.7652172248235682E-3</v>
      </c>
      <c r="E99" s="3">
        <f t="shared" si="8"/>
        <v>7.3833515020875727E-3</v>
      </c>
      <c r="F99" s="18">
        <f t="shared" si="6"/>
        <v>4.2038535545350646</v>
      </c>
      <c r="G99" s="3">
        <f t="shared" si="9"/>
        <v>6.5547018331359929E-3</v>
      </c>
      <c r="H99" s="4">
        <f t="shared" si="5"/>
        <v>4.1334656607625213</v>
      </c>
    </row>
    <row r="100" spans="2:8" x14ac:dyDescent="0.15">
      <c r="B100" s="16">
        <v>40682</v>
      </c>
      <c r="C100" s="11">
        <v>1343.6</v>
      </c>
      <c r="D100" s="12">
        <f t="shared" si="7"/>
        <v>2.1756308222586783E-3</v>
      </c>
      <c r="E100" s="3">
        <f t="shared" si="8"/>
        <v>7.7102111031511125E-3</v>
      </c>
      <c r="F100" s="18">
        <f t="shared" si="6"/>
        <v>4.8253982726847173</v>
      </c>
      <c r="G100" s="3">
        <f t="shared" si="9"/>
        <v>6.7525715232367002E-3</v>
      </c>
      <c r="H100" s="4">
        <f t="shared" si="5"/>
        <v>4.945927737304415</v>
      </c>
    </row>
    <row r="101" spans="2:8" x14ac:dyDescent="0.15">
      <c r="B101" s="16">
        <v>40683</v>
      </c>
      <c r="C101" s="11">
        <v>1333.27</v>
      </c>
      <c r="D101" s="12">
        <f t="shared" si="7"/>
        <v>-7.7180074323803353E-3</v>
      </c>
      <c r="E101" s="3">
        <f t="shared" si="8"/>
        <v>7.3285456141934241E-3</v>
      </c>
      <c r="F101" s="18">
        <f t="shared" si="6"/>
        <v>4.3614229770637643</v>
      </c>
      <c r="G101" s="3">
        <f t="shared" si="9"/>
        <v>6.5130581435795887E-3</v>
      </c>
      <c r="H101" s="4">
        <f t="shared" si="5"/>
        <v>4.3318275712044079</v>
      </c>
    </row>
    <row r="102" spans="2:8" x14ac:dyDescent="0.15">
      <c r="B102" s="16">
        <v>40686</v>
      </c>
      <c r="C102" s="11">
        <v>1317.37</v>
      </c>
      <c r="D102" s="12">
        <f t="shared" si="7"/>
        <v>-1.1997246485370225E-2</v>
      </c>
      <c r="E102" s="3">
        <f t="shared" si="8"/>
        <v>7.5129158587753739E-3</v>
      </c>
      <c r="F102" s="18">
        <f t="shared" si="6"/>
        <v>3.6161142074013002</v>
      </c>
      <c r="G102" s="3">
        <f t="shared" si="9"/>
        <v>6.6146213868792623E-3</v>
      </c>
      <c r="H102" s="4">
        <f t="shared" si="5"/>
        <v>3.3736345091167808</v>
      </c>
    </row>
    <row r="103" spans="2:8" x14ac:dyDescent="0.15">
      <c r="B103" s="16">
        <v>40687</v>
      </c>
      <c r="C103" s="11">
        <v>1316.28</v>
      </c>
      <c r="D103" s="12">
        <f t="shared" si="7"/>
        <v>-8.2774860914392031E-4</v>
      </c>
      <c r="E103" s="3">
        <f t="shared" si="8"/>
        <v>8.374729638167662E-3</v>
      </c>
      <c r="F103" s="18">
        <f t="shared" si="6"/>
        <v>4.7776519251080991</v>
      </c>
      <c r="G103" s="3">
        <f t="shared" si="9"/>
        <v>7.1793166690104996E-3</v>
      </c>
      <c r="H103" s="4">
        <f t="shared" si="5"/>
        <v>4.9299044541327355</v>
      </c>
    </row>
    <row r="104" spans="2:8" x14ac:dyDescent="0.15">
      <c r="B104" s="16">
        <v>40688</v>
      </c>
      <c r="C104" s="11">
        <v>1320.47</v>
      </c>
      <c r="D104" s="12">
        <f t="shared" si="7"/>
        <v>3.1781576006994698E-3</v>
      </c>
      <c r="E104" s="3">
        <f t="shared" si="8"/>
        <v>7.8689354200423955E-3</v>
      </c>
      <c r="F104" s="18">
        <f t="shared" si="6"/>
        <v>4.7632703020641198</v>
      </c>
      <c r="G104" s="3">
        <f t="shared" si="9"/>
        <v>6.8984244634875411E-3</v>
      </c>
      <c r="H104" s="4">
        <f t="shared" si="5"/>
        <v>4.8703364174515045</v>
      </c>
    </row>
    <row r="105" spans="2:8" x14ac:dyDescent="0.15">
      <c r="B105" s="16">
        <v>40689</v>
      </c>
      <c r="C105" s="11">
        <v>1325.69</v>
      </c>
      <c r="D105" s="12">
        <f t="shared" si="7"/>
        <v>3.9453447796788249E-3</v>
      </c>
      <c r="E105" s="3">
        <f t="shared" si="8"/>
        <v>7.5141864104143509E-3</v>
      </c>
      <c r="F105" s="18">
        <f t="shared" si="6"/>
        <v>4.7531222907901371</v>
      </c>
      <c r="G105" s="3">
        <f t="shared" si="9"/>
        <v>6.6838223173567484E-3</v>
      </c>
      <c r="H105" s="4">
        <f t="shared" si="5"/>
        <v>4.8338484104559418</v>
      </c>
    </row>
    <row r="106" spans="2:8" x14ac:dyDescent="0.15">
      <c r="B106" s="16">
        <v>40690</v>
      </c>
      <c r="C106" s="11">
        <v>1331.1</v>
      </c>
      <c r="D106" s="12">
        <f t="shared" si="7"/>
        <v>4.0725894613520327E-3</v>
      </c>
      <c r="E106" s="3">
        <f t="shared" si="8"/>
        <v>7.2616273826784476E-3</v>
      </c>
      <c r="F106" s="18">
        <f t="shared" si="6"/>
        <v>4.7678822363931319</v>
      </c>
      <c r="G106" s="3">
        <f t="shared" si="9"/>
        <v>6.5123160901962339E-3</v>
      </c>
      <c r="H106" s="4">
        <f t="shared" si="5"/>
        <v>4.8385179884550888</v>
      </c>
    </row>
    <row r="107" spans="2:8" x14ac:dyDescent="0.15">
      <c r="B107" s="16">
        <v>40694</v>
      </c>
      <c r="C107" s="11">
        <v>1345.2</v>
      </c>
      <c r="D107" s="12">
        <f t="shared" si="7"/>
        <v>1.0537032813141153E-2</v>
      </c>
      <c r="E107" s="3">
        <f t="shared" si="8"/>
        <v>7.0576644833734228E-3</v>
      </c>
      <c r="F107" s="18">
        <f t="shared" si="6"/>
        <v>3.8391293395891695</v>
      </c>
      <c r="G107" s="3">
        <f t="shared" si="9"/>
        <v>6.3562835416305008E-3</v>
      </c>
      <c r="H107" s="4">
        <f t="shared" si="5"/>
        <v>3.6842689865987457</v>
      </c>
    </row>
    <row r="108" spans="2:8" x14ac:dyDescent="0.15">
      <c r="B108" s="16">
        <v>40695</v>
      </c>
      <c r="C108" s="11">
        <v>1314.55</v>
      </c>
      <c r="D108" s="12">
        <f t="shared" si="7"/>
        <v>-2.304829914304651E-2</v>
      </c>
      <c r="E108" s="3">
        <f t="shared" si="8"/>
        <v>7.7610007985808088E-3</v>
      </c>
      <c r="F108" s="18">
        <f t="shared" si="6"/>
        <v>0.44891080713781495</v>
      </c>
      <c r="G108" s="3">
        <f t="shared" si="9"/>
        <v>6.7744959063465839E-3</v>
      </c>
      <c r="H108" s="4">
        <f t="shared" si="5"/>
        <v>-0.7929469263661435</v>
      </c>
    </row>
    <row r="109" spans="2:8" x14ac:dyDescent="0.15">
      <c r="B109" s="16">
        <v>40696</v>
      </c>
      <c r="C109" s="11">
        <v>1312.94</v>
      </c>
      <c r="D109" s="12">
        <f t="shared" si="7"/>
        <v>-1.2255043417858898E-3</v>
      </c>
      <c r="E109" s="3">
        <f t="shared" si="8"/>
        <v>1.1216078306030422E-2</v>
      </c>
      <c r="F109" s="18">
        <f t="shared" si="6"/>
        <v>4.4844377462263179</v>
      </c>
      <c r="G109" s="3">
        <f t="shared" si="9"/>
        <v>9.1449321645174012E-3</v>
      </c>
      <c r="H109" s="4">
        <f t="shared" si="5"/>
        <v>4.6855761923735821</v>
      </c>
    </row>
    <row r="110" spans="2:8" x14ac:dyDescent="0.15">
      <c r="B110" s="16">
        <v>40697</v>
      </c>
      <c r="C110" s="11">
        <v>1300.1600000000001</v>
      </c>
      <c r="D110" s="12">
        <f t="shared" si="7"/>
        <v>-9.7815635819200348E-3</v>
      </c>
      <c r="E110" s="3">
        <f t="shared" si="8"/>
        <v>1.0375980038680432E-2</v>
      </c>
      <c r="F110" s="18">
        <f t="shared" si="6"/>
        <v>4.1239085541038119</v>
      </c>
      <c r="G110" s="3">
        <f t="shared" si="9"/>
        <v>8.7888608174923524E-3</v>
      </c>
      <c r="H110" s="4">
        <f t="shared" si="5"/>
        <v>4.1149412058515997</v>
      </c>
    </row>
    <row r="111" spans="2:8" x14ac:dyDescent="0.15">
      <c r="B111" s="16">
        <v>40700</v>
      </c>
      <c r="C111" s="11">
        <v>1286.17</v>
      </c>
      <c r="D111" s="12">
        <f t="shared" si="7"/>
        <v>-1.0818523892467404E-2</v>
      </c>
      <c r="E111" s="3">
        <f t="shared" si="8"/>
        <v>1.0274821421479422E-2</v>
      </c>
      <c r="F111" s="18">
        <f t="shared" si="6"/>
        <v>4.0237428450115393</v>
      </c>
      <c r="G111" s="3">
        <f t="shared" si="9"/>
        <v>8.8700308938957171E-3</v>
      </c>
      <c r="H111" s="4">
        <f t="shared" si="5"/>
        <v>3.9812777147747878</v>
      </c>
    </row>
    <row r="112" spans="2:8" x14ac:dyDescent="0.15">
      <c r="B112" s="16">
        <v>40701</v>
      </c>
      <c r="C112" s="11">
        <v>1284.94</v>
      </c>
      <c r="D112" s="12">
        <f t="shared" si="7"/>
        <v>-9.5678527471204644E-4</v>
      </c>
      <c r="E112" s="3">
        <f t="shared" si="8"/>
        <v>1.0332397308541175E-2</v>
      </c>
      <c r="F112" s="18">
        <f t="shared" si="6"/>
        <v>4.5681835229570442</v>
      </c>
      <c r="G112" s="3">
        <f t="shared" si="9"/>
        <v>9.0366086221992624E-3</v>
      </c>
      <c r="H112" s="4">
        <f t="shared" si="5"/>
        <v>4.7008661672588561</v>
      </c>
    </row>
    <row r="113" spans="2:8" x14ac:dyDescent="0.15">
      <c r="B113" s="16">
        <v>40702</v>
      </c>
      <c r="C113" s="11">
        <v>1279.56</v>
      </c>
      <c r="D113" s="12">
        <f t="shared" si="7"/>
        <v>-4.1957558140942137E-3</v>
      </c>
      <c r="E113" s="3">
        <f t="shared" si="8"/>
        <v>9.5902035661740177E-3</v>
      </c>
      <c r="F113" s="18">
        <f t="shared" si="6"/>
        <v>4.5513081335909744</v>
      </c>
      <c r="G113" s="3">
        <f t="shared" si="9"/>
        <v>8.6822879125126751E-3</v>
      </c>
      <c r="H113" s="4">
        <f t="shared" si="5"/>
        <v>4.6297026829794783</v>
      </c>
    </row>
    <row r="114" spans="2:8" x14ac:dyDescent="0.15">
      <c r="B114" s="16">
        <v>40703</v>
      </c>
      <c r="C114" s="11">
        <v>1289</v>
      </c>
      <c r="D114" s="12">
        <f t="shared" si="7"/>
        <v>7.3504551210990064E-3</v>
      </c>
      <c r="E114" s="3">
        <f t="shared" si="8"/>
        <v>9.0617803277157419E-3</v>
      </c>
      <c r="F114" s="18">
        <f t="shared" si="6"/>
        <v>4.3747082281844225</v>
      </c>
      <c r="G114" s="3">
        <f t="shared" si="9"/>
        <v>8.4196031529316321E-3</v>
      </c>
      <c r="H114" s="4">
        <f t="shared" si="5"/>
        <v>4.3961134044127466</v>
      </c>
    </row>
    <row r="115" spans="2:8" x14ac:dyDescent="0.15">
      <c r="B115" s="16">
        <v>40704</v>
      </c>
      <c r="C115" s="11">
        <v>1270.98</v>
      </c>
      <c r="D115" s="12">
        <f t="shared" si="7"/>
        <v>-1.4078467514767179E-2</v>
      </c>
      <c r="E115" s="3">
        <f t="shared" si="8"/>
        <v>8.8870443850823464E-3</v>
      </c>
      <c r="F115" s="18">
        <f t="shared" si="6"/>
        <v>3.4683851292495014</v>
      </c>
      <c r="G115" s="3">
        <f t="shared" si="9"/>
        <v>8.3413882024459176E-3</v>
      </c>
      <c r="H115" s="4">
        <f t="shared" si="5"/>
        <v>3.3622170022657683</v>
      </c>
    </row>
    <row r="116" spans="2:8" x14ac:dyDescent="0.15">
      <c r="B116" s="16">
        <v>40707</v>
      </c>
      <c r="C116" s="11">
        <v>1271.83</v>
      </c>
      <c r="D116" s="12">
        <f t="shared" si="7"/>
        <v>6.6855174524230523E-4</v>
      </c>
      <c r="E116" s="3">
        <f t="shared" si="8"/>
        <v>9.7966376713958074E-3</v>
      </c>
      <c r="F116" s="18">
        <f t="shared" si="6"/>
        <v>4.6233874947958933</v>
      </c>
      <c r="G116" s="3">
        <f t="shared" si="9"/>
        <v>8.9207468517183402E-3</v>
      </c>
      <c r="H116" s="4">
        <f t="shared" si="5"/>
        <v>4.7165673460982998</v>
      </c>
    </row>
    <row r="117" spans="2:8" x14ac:dyDescent="0.15">
      <c r="B117" s="16">
        <v>40708</v>
      </c>
      <c r="C117" s="11">
        <v>1287.8699999999999</v>
      </c>
      <c r="D117" s="12">
        <f t="shared" si="7"/>
        <v>1.2532882723673302E-2</v>
      </c>
      <c r="E117" s="3">
        <f t="shared" si="8"/>
        <v>9.1141725301025333E-3</v>
      </c>
      <c r="F117" s="18">
        <f t="shared" si="6"/>
        <v>3.7524770533909981</v>
      </c>
      <c r="G117" s="3">
        <f t="shared" si="9"/>
        <v>8.5689496388190144E-3</v>
      </c>
      <c r="H117" s="4">
        <f t="shared" si="5"/>
        <v>3.6900214927247807</v>
      </c>
    </row>
    <row r="118" spans="2:8" x14ac:dyDescent="0.15">
      <c r="B118" s="16">
        <v>40709</v>
      </c>
      <c r="C118" s="11">
        <v>1265.42</v>
      </c>
      <c r="D118" s="12">
        <f t="shared" si="7"/>
        <v>-1.7585608026490646E-2</v>
      </c>
      <c r="E118" s="3">
        <f t="shared" si="8"/>
        <v>9.6821487413571525E-3</v>
      </c>
      <c r="F118" s="18">
        <f t="shared" si="6"/>
        <v>2.9880133495078636</v>
      </c>
      <c r="G118" s="3">
        <f t="shared" si="9"/>
        <v>8.9403949923666289E-3</v>
      </c>
      <c r="H118" s="4">
        <f t="shared" si="5"/>
        <v>2.7826637730954262</v>
      </c>
    </row>
    <row r="119" spans="2:8" x14ac:dyDescent="0.15">
      <c r="B119" s="16">
        <v>40710</v>
      </c>
      <c r="C119" s="11">
        <v>1267.6400000000001</v>
      </c>
      <c r="D119" s="12">
        <f t="shared" si="7"/>
        <v>1.752821147853282E-3</v>
      </c>
      <c r="E119" s="3">
        <f t="shared" si="8"/>
        <v>1.1097179888490745E-2</v>
      </c>
      <c r="F119" s="18">
        <f t="shared" si="6"/>
        <v>4.4885898585724675</v>
      </c>
      <c r="G119" s="3">
        <f t="shared" si="9"/>
        <v>9.8874293067217085E-3</v>
      </c>
      <c r="H119" s="4">
        <f t="shared" si="5"/>
        <v>4.6007773966615941</v>
      </c>
    </row>
    <row r="120" spans="2:8" x14ac:dyDescent="0.15">
      <c r="B120" s="16">
        <v>40711</v>
      </c>
      <c r="C120" s="11">
        <v>1271.5</v>
      </c>
      <c r="D120" s="12">
        <f t="shared" si="7"/>
        <v>3.0404018474758767E-3</v>
      </c>
      <c r="E120" s="3">
        <f t="shared" si="8"/>
        <v>1.0281017809797111E-2</v>
      </c>
      <c r="F120" s="18">
        <f t="shared" si="6"/>
        <v>4.5337280007687069</v>
      </c>
      <c r="G120" s="3">
        <f t="shared" si="9"/>
        <v>9.5078332988253675E-3</v>
      </c>
      <c r="H120" s="4">
        <f t="shared" si="5"/>
        <v>4.6045100782506294</v>
      </c>
    </row>
    <row r="121" spans="2:8" x14ac:dyDescent="0.15">
      <c r="B121" s="16">
        <v>40714</v>
      </c>
      <c r="C121" s="11">
        <v>1278.3599999999999</v>
      </c>
      <c r="D121" s="12">
        <f t="shared" si="7"/>
        <v>5.3807005489322057E-3</v>
      </c>
      <c r="E121" s="3">
        <f t="shared" si="8"/>
        <v>9.6038570932690023E-3</v>
      </c>
      <c r="F121" s="18">
        <f t="shared" si="6"/>
        <v>4.4886423048742357</v>
      </c>
      <c r="G121" s="3">
        <f t="shared" si="9"/>
        <v>9.1699969327218647E-3</v>
      </c>
      <c r="H121" s="4">
        <f t="shared" si="5"/>
        <v>4.5196674382904272</v>
      </c>
    </row>
    <row r="122" spans="2:8" x14ac:dyDescent="0.15">
      <c r="B122" s="16">
        <v>40715</v>
      </c>
      <c r="C122" s="11">
        <v>1295.52</v>
      </c>
      <c r="D122" s="12">
        <f t="shared" si="7"/>
        <v>1.3334152526697675E-2</v>
      </c>
      <c r="E122" s="3">
        <f t="shared" si="8"/>
        <v>9.1580913748725221E-3</v>
      </c>
      <c r="F122" s="18">
        <f t="shared" si="6"/>
        <v>3.6331540206693367</v>
      </c>
      <c r="G122" s="3">
        <f t="shared" si="9"/>
        <v>8.9331837698323046E-3</v>
      </c>
      <c r="H122" s="4">
        <f t="shared" si="5"/>
        <v>3.6039744339278661</v>
      </c>
    </row>
    <row r="123" spans="2:8" x14ac:dyDescent="0.15">
      <c r="B123" s="16">
        <v>40716</v>
      </c>
      <c r="C123" s="11">
        <v>1287.1400000000001</v>
      </c>
      <c r="D123" s="12">
        <f t="shared" si="7"/>
        <v>-6.4894561490243261E-3</v>
      </c>
      <c r="E123" s="3">
        <f t="shared" si="8"/>
        <v>9.8597451982517497E-3</v>
      </c>
      <c r="F123" s="18">
        <f t="shared" si="6"/>
        <v>4.4026965622069172</v>
      </c>
      <c r="G123" s="3">
        <f t="shared" si="9"/>
        <v>9.349942243588219E-3</v>
      </c>
      <c r="H123" s="4">
        <f t="shared" si="5"/>
        <v>4.4315228554712291</v>
      </c>
    </row>
    <row r="124" spans="2:8" x14ac:dyDescent="0.15">
      <c r="B124" s="16">
        <v>40717</v>
      </c>
      <c r="C124" s="11">
        <v>1283.5</v>
      </c>
      <c r="D124" s="12">
        <f t="shared" si="7"/>
        <v>-2.8319814775847074E-3</v>
      </c>
      <c r="E124" s="3">
        <f t="shared" si="8"/>
        <v>9.4730876971041971E-3</v>
      </c>
      <c r="F124" s="18">
        <f t="shared" si="6"/>
        <v>4.614614763004079</v>
      </c>
      <c r="G124" s="3">
        <f t="shared" si="9"/>
        <v>9.1596150563628149E-3</v>
      </c>
      <c r="H124" s="4">
        <f t="shared" si="5"/>
        <v>4.6451545946500108</v>
      </c>
    </row>
    <row r="125" spans="2:8" x14ac:dyDescent="0.15">
      <c r="B125" s="16">
        <v>40718</v>
      </c>
      <c r="C125" s="11">
        <v>1268.45</v>
      </c>
      <c r="D125" s="12">
        <f t="shared" si="7"/>
        <v>-1.1795038682533874E-2</v>
      </c>
      <c r="E125" s="3">
        <f t="shared" si="8"/>
        <v>8.8873537914617422E-3</v>
      </c>
      <c r="F125" s="18">
        <f t="shared" si="6"/>
        <v>3.8424344341433043</v>
      </c>
      <c r="G125" s="3">
        <f t="shared" si="9"/>
        <v>8.8316904625786591E-3</v>
      </c>
      <c r="H125" s="4">
        <f t="shared" si="5"/>
        <v>3.8375809166247952</v>
      </c>
    </row>
    <row r="126" spans="2:8" x14ac:dyDescent="0.15">
      <c r="B126" s="16">
        <v>40721</v>
      </c>
      <c r="C126" s="11">
        <v>1280.0999999999999</v>
      </c>
      <c r="D126" s="12">
        <f t="shared" si="7"/>
        <v>9.1425172334026923E-3</v>
      </c>
      <c r="E126" s="3">
        <f t="shared" si="8"/>
        <v>9.3787515637099601E-3</v>
      </c>
      <c r="F126" s="18">
        <f t="shared" si="6"/>
        <v>4.1941796454950175</v>
      </c>
      <c r="G126" s="3">
        <f t="shared" si="9"/>
        <v>9.0967773319283931E-3</v>
      </c>
      <c r="H126" s="4">
        <f t="shared" si="5"/>
        <v>4.1947942829538434</v>
      </c>
    </row>
    <row r="127" spans="2:8" x14ac:dyDescent="0.15">
      <c r="B127" s="16">
        <v>40722</v>
      </c>
      <c r="C127" s="11">
        <v>1296.67</v>
      </c>
      <c r="D127" s="12">
        <f t="shared" si="7"/>
        <v>1.2861239773101529E-2</v>
      </c>
      <c r="E127" s="3">
        <f t="shared" si="8"/>
        <v>9.3692066273131751E-3</v>
      </c>
      <c r="F127" s="18">
        <f t="shared" si="6"/>
        <v>3.7281551903143004</v>
      </c>
      <c r="G127" s="3">
        <f t="shared" si="9"/>
        <v>9.1003419988559594E-3</v>
      </c>
      <c r="H127" s="4">
        <f t="shared" si="5"/>
        <v>3.7007773249532914</v>
      </c>
    </row>
    <row r="128" spans="2:8" x14ac:dyDescent="0.15">
      <c r="B128" s="16">
        <v>40723</v>
      </c>
      <c r="C128" s="11">
        <v>1307.4100000000001</v>
      </c>
      <c r="D128" s="12">
        <f t="shared" si="7"/>
        <v>8.2486412827602693E-3</v>
      </c>
      <c r="E128" s="3">
        <f t="shared" si="8"/>
        <v>9.9367862410299091E-3</v>
      </c>
      <c r="F128" s="18">
        <f t="shared" si="6"/>
        <v>4.2669690124258359</v>
      </c>
      <c r="G128" s="3">
        <f t="shared" si="9"/>
        <v>9.4466010582337986E-3</v>
      </c>
      <c r="H128" s="4">
        <f t="shared" si="5"/>
        <v>4.2808732454244103</v>
      </c>
    </row>
    <row r="129" spans="2:8" x14ac:dyDescent="0.15">
      <c r="B129" s="16">
        <v>40724</v>
      </c>
      <c r="C129" s="11">
        <v>1320.64</v>
      </c>
      <c r="D129" s="12">
        <f t="shared" si="7"/>
        <v>1.0068386646291337E-2</v>
      </c>
      <c r="E129" s="3">
        <f t="shared" si="8"/>
        <v>9.7215275398061449E-3</v>
      </c>
      <c r="F129" s="18">
        <f t="shared" si="6"/>
        <v>4.0970965196178</v>
      </c>
      <c r="G129" s="3">
        <f t="shared" si="9"/>
        <v>9.3589553001173862E-3</v>
      </c>
      <c r="H129" s="4">
        <f t="shared" si="5"/>
        <v>4.0927461976508015</v>
      </c>
    </row>
    <row r="130" spans="2:8" x14ac:dyDescent="0.15">
      <c r="B130" s="16">
        <v>40725</v>
      </c>
      <c r="C130" s="11">
        <v>1339.67</v>
      </c>
      <c r="D130" s="12">
        <f t="shared" si="7"/>
        <v>1.430684739491854E-2</v>
      </c>
      <c r="E130" s="3">
        <f t="shared" si="8"/>
        <v>9.7756192971227146E-3</v>
      </c>
      <c r="F130" s="18">
        <f t="shared" si="6"/>
        <v>3.556913478069724</v>
      </c>
      <c r="G130" s="3">
        <f t="shared" si="9"/>
        <v>9.4160324703118116E-3</v>
      </c>
      <c r="H130" s="4">
        <f t="shared" si="5"/>
        <v>3.5110326809849393</v>
      </c>
    </row>
    <row r="131" spans="2:8" x14ac:dyDescent="0.15">
      <c r="B131" s="16">
        <v>40729</v>
      </c>
      <c r="C131" s="11">
        <v>1337.88</v>
      </c>
      <c r="D131" s="12">
        <f t="shared" si="7"/>
        <v>-1.3370433916550409E-3</v>
      </c>
      <c r="E131" s="3">
        <f t="shared" si="8"/>
        <v>1.050940813811887E-2</v>
      </c>
      <c r="F131" s="18">
        <f t="shared" si="6"/>
        <v>4.54739150393491</v>
      </c>
      <c r="G131" s="3">
        <f t="shared" si="9"/>
        <v>9.8834671466531097E-3</v>
      </c>
      <c r="H131" s="4">
        <f t="shared" si="5"/>
        <v>4.6077414549089299</v>
      </c>
    </row>
    <row r="132" spans="2:8" x14ac:dyDescent="0.15">
      <c r="B132" s="16">
        <v>40730</v>
      </c>
      <c r="C132" s="11">
        <v>1339.22</v>
      </c>
      <c r="D132" s="12">
        <f t="shared" si="7"/>
        <v>1.0010833453429403E-3</v>
      </c>
      <c r="E132" s="3">
        <f t="shared" si="8"/>
        <v>9.7526694682760953E-3</v>
      </c>
      <c r="F132" s="18">
        <f t="shared" si="6"/>
        <v>4.6249460251312771</v>
      </c>
      <c r="G132" s="3">
        <f t="shared" si="9"/>
        <v>9.4987767686919543E-3</v>
      </c>
      <c r="H132" s="4">
        <f t="shared" si="5"/>
        <v>4.651038643236828</v>
      </c>
    </row>
    <row r="133" spans="2:8" x14ac:dyDescent="0.15">
      <c r="B133" s="16">
        <v>40731</v>
      </c>
      <c r="C133" s="11">
        <v>1353.22</v>
      </c>
      <c r="D133" s="12">
        <f t="shared" si="7"/>
        <v>1.0399582665769434E-2</v>
      </c>
      <c r="E133" s="3">
        <f t="shared" si="8"/>
        <v>9.0795861732261406E-3</v>
      </c>
      <c r="F133" s="18">
        <f t="shared" si="6"/>
        <v>4.0457782018220927</v>
      </c>
      <c r="G133" s="3">
        <f t="shared" si="9"/>
        <v>9.1262950577946662E-3</v>
      </c>
      <c r="H133" s="4">
        <f t="shared" ref="H133:H196" si="10" xml:space="preserve"> - LN(G133) - 0.5 * ($D133/G133)^2</f>
        <v>4.0473441832365324</v>
      </c>
    </row>
    <row r="134" spans="2:8" x14ac:dyDescent="0.15">
      <c r="B134" s="16">
        <v>40732</v>
      </c>
      <c r="C134" s="11">
        <v>1343.8</v>
      </c>
      <c r="D134" s="12">
        <f t="shared" si="7"/>
        <v>-6.9855160925432255E-3</v>
      </c>
      <c r="E134" s="3">
        <f t="shared" si="8"/>
        <v>9.3053278054146919E-3</v>
      </c>
      <c r="F134" s="18">
        <f t="shared" ref="F134:F197" si="11" xml:space="preserve"> - LN(E134) - 0.5 * (D134/E134)^2</f>
        <v>4.3953923904445089</v>
      </c>
      <c r="G134" s="3">
        <f t="shared" si="9"/>
        <v>9.2315960892316428E-3</v>
      </c>
      <c r="H134" s="4">
        <f t="shared" si="10"/>
        <v>4.3988285540949388</v>
      </c>
    </row>
    <row r="135" spans="2:8" x14ac:dyDescent="0.15">
      <c r="B135" s="16">
        <v>40735</v>
      </c>
      <c r="C135" s="11">
        <v>1319.49</v>
      </c>
      <c r="D135" s="12">
        <f t="shared" ref="D135:D198" si="12">LN(C135/C134)</f>
        <v>-1.8256123199656974E-2</v>
      </c>
      <c r="E135" s="3">
        <f t="shared" si="8"/>
        <v>9.0518760362171876E-3</v>
      </c>
      <c r="F135" s="18">
        <f t="shared" si="11"/>
        <v>2.6709753709285695</v>
      </c>
      <c r="G135" s="3">
        <f t="shared" si="9"/>
        <v>9.0769053623921733E-3</v>
      </c>
      <c r="H135" s="4">
        <f t="shared" si="10"/>
        <v>2.6794149669093787</v>
      </c>
    </row>
    <row r="136" spans="2:8" x14ac:dyDescent="0.15">
      <c r="B136" s="16">
        <v>40736</v>
      </c>
      <c r="C136" s="11">
        <v>1313.64</v>
      </c>
      <c r="D136" s="12">
        <f t="shared" si="12"/>
        <v>-4.4433883819261907E-3</v>
      </c>
      <c r="E136" s="3">
        <f t="shared" ref="E136:E199" si="13">SQRT($L$18 + $L$19*E135^2 + $L$20*D135^2)</f>
        <v>1.0804153045547875E-2</v>
      </c>
      <c r="F136" s="18">
        <f t="shared" si="11"/>
        <v>4.4432545277709252</v>
      </c>
      <c r="G136" s="3">
        <f t="shared" ref="G136:G199" si="14">SQRT($V$18*G135^2 + (1-$V$18)*D135^2)</f>
        <v>1.009446219730015E-2</v>
      </c>
      <c r="H136" s="4">
        <f t="shared" si="10"/>
        <v>4.4988887372331314</v>
      </c>
    </row>
    <row r="137" spans="2:8" x14ac:dyDescent="0.15">
      <c r="B137" s="16">
        <v>40737</v>
      </c>
      <c r="C137" s="11">
        <v>1317.72</v>
      </c>
      <c r="D137" s="12">
        <f t="shared" si="12"/>
        <v>3.1010604931557902E-3</v>
      </c>
      <c r="E137" s="3">
        <f t="shared" si="13"/>
        <v>1.0134147895275754E-2</v>
      </c>
      <c r="F137" s="18">
        <f t="shared" si="11"/>
        <v>4.5450262387592604</v>
      </c>
      <c r="G137" s="3">
        <f t="shared" si="14"/>
        <v>9.7729419009094758E-3</v>
      </c>
      <c r="H137" s="4">
        <f t="shared" si="10"/>
        <v>4.577794655010023</v>
      </c>
    </row>
    <row r="138" spans="2:8" x14ac:dyDescent="0.15">
      <c r="B138" s="16">
        <v>40738</v>
      </c>
      <c r="C138" s="11">
        <v>1308.8699999999999</v>
      </c>
      <c r="D138" s="12">
        <f t="shared" si="12"/>
        <v>-6.7388008717841662E-3</v>
      </c>
      <c r="E138" s="3">
        <f t="shared" si="13"/>
        <v>9.4776977606527441E-3</v>
      </c>
      <c r="F138" s="18">
        <f t="shared" si="11"/>
        <v>4.4060415091506657</v>
      </c>
      <c r="G138" s="3">
        <f t="shared" si="14"/>
        <v>9.4250662191171612E-3</v>
      </c>
      <c r="H138" s="4">
        <f t="shared" si="10"/>
        <v>4.4087792349599901</v>
      </c>
    </row>
    <row r="139" spans="2:8" x14ac:dyDescent="0.15">
      <c r="B139" s="16">
        <v>40739</v>
      </c>
      <c r="C139" s="11">
        <v>1316.14</v>
      </c>
      <c r="D139" s="12">
        <f t="shared" si="12"/>
        <v>5.5390406798801889E-3</v>
      </c>
      <c r="E139" s="3">
        <f t="shared" si="13"/>
        <v>9.1722926583244196E-3</v>
      </c>
      <c r="F139" s="18">
        <f t="shared" si="11"/>
        <v>4.5092274370166336</v>
      </c>
      <c r="G139" s="3">
        <f t="shared" si="14"/>
        <v>9.2442303559424413E-3</v>
      </c>
      <c r="H139" s="4">
        <f t="shared" si="10"/>
        <v>4.5042419685127646</v>
      </c>
    </row>
    <row r="140" spans="2:8" x14ac:dyDescent="0.15">
      <c r="B140" s="16">
        <v>40742</v>
      </c>
      <c r="C140" s="11">
        <v>1305.44</v>
      </c>
      <c r="D140" s="12">
        <f t="shared" si="12"/>
        <v>-8.1630615252281328E-3</v>
      </c>
      <c r="E140" s="3">
        <f t="shared" si="13"/>
        <v>8.8012993822491857E-3</v>
      </c>
      <c r="F140" s="18">
        <f t="shared" si="11"/>
        <v>4.3027429245300377</v>
      </c>
      <c r="G140" s="3">
        <f t="shared" si="14"/>
        <v>9.0109309420073908E-3</v>
      </c>
      <c r="H140" s="4">
        <f t="shared" si="10"/>
        <v>4.2989835344218337</v>
      </c>
    </row>
    <row r="141" spans="2:8" x14ac:dyDescent="0.15">
      <c r="B141" s="16">
        <v>40743</v>
      </c>
      <c r="C141" s="11">
        <v>1326.73</v>
      </c>
      <c r="D141" s="12">
        <f t="shared" si="12"/>
        <v>1.617711948389583E-2</v>
      </c>
      <c r="E141" s="3">
        <f t="shared" si="13"/>
        <v>8.7679026908974896E-3</v>
      </c>
      <c r="F141" s="18">
        <f t="shared" si="11"/>
        <v>3.0345738076429001</v>
      </c>
      <c r="G141" s="3">
        <f t="shared" si="14"/>
        <v>8.9478873689225625E-3</v>
      </c>
      <c r="H141" s="4">
        <f t="shared" si="10"/>
        <v>3.0820393564832829</v>
      </c>
    </row>
    <row r="142" spans="2:8" x14ac:dyDescent="0.15">
      <c r="B142" s="16">
        <v>40744</v>
      </c>
      <c r="C142" s="11">
        <v>1325.84</v>
      </c>
      <c r="D142" s="12">
        <f t="shared" si="12"/>
        <v>-6.7104734909738265E-4</v>
      </c>
      <c r="E142" s="3">
        <f t="shared" si="13"/>
        <v>1.0142323096434303E-2</v>
      </c>
      <c r="F142" s="18">
        <f t="shared" si="11"/>
        <v>4.5888494281732264</v>
      </c>
      <c r="G142" s="3">
        <f t="shared" si="14"/>
        <v>9.7050169818827456E-3</v>
      </c>
      <c r="H142" s="4">
        <f t="shared" si="10"/>
        <v>4.6327218401474468</v>
      </c>
    </row>
    <row r="143" spans="2:8" x14ac:dyDescent="0.15">
      <c r="B143" s="16">
        <v>40745</v>
      </c>
      <c r="C143" s="11">
        <v>1343.8</v>
      </c>
      <c r="D143" s="12">
        <f t="shared" si="12"/>
        <v>1.3455200670761065E-2</v>
      </c>
      <c r="E143" s="3">
        <f t="shared" si="13"/>
        <v>9.4190608039602559E-3</v>
      </c>
      <c r="F143" s="18">
        <f t="shared" si="11"/>
        <v>3.644702805750462</v>
      </c>
      <c r="G143" s="3">
        <f t="shared" si="14"/>
        <v>9.3219632003735328E-3</v>
      </c>
      <c r="H143" s="4">
        <f t="shared" si="10"/>
        <v>3.6336989859998199</v>
      </c>
    </row>
    <row r="144" spans="2:8" x14ac:dyDescent="0.15">
      <c r="B144" s="16">
        <v>40746</v>
      </c>
      <c r="C144" s="11">
        <v>1345.02</v>
      </c>
      <c r="D144" s="12">
        <f t="shared" si="12"/>
        <v>9.0746132781000964E-4</v>
      </c>
      <c r="E144" s="3">
        <f t="shared" si="13"/>
        <v>1.0081110013123215E-2</v>
      </c>
      <c r="F144" s="18">
        <f t="shared" si="11"/>
        <v>4.5930404607734987</v>
      </c>
      <c r="G144" s="3">
        <f t="shared" si="14"/>
        <v>9.7066447212177318E-3</v>
      </c>
      <c r="H144" s="4">
        <f t="shared" si="10"/>
        <v>4.6305745392604347</v>
      </c>
    </row>
    <row r="145" spans="2:8" x14ac:dyDescent="0.15">
      <c r="B145" s="16">
        <v>40749</v>
      </c>
      <c r="C145" s="11">
        <v>1337.43</v>
      </c>
      <c r="D145" s="12">
        <f t="shared" si="12"/>
        <v>-5.6590208618957933E-3</v>
      </c>
      <c r="E145" s="3">
        <f t="shared" si="13"/>
        <v>9.3677408326360255E-3</v>
      </c>
      <c r="F145" s="18">
        <f t="shared" si="11"/>
        <v>4.4880169365337013</v>
      </c>
      <c r="G145" s="3">
        <f t="shared" si="14"/>
        <v>9.3250820006030039E-3</v>
      </c>
      <c r="H145" s="4">
        <f t="shared" si="10"/>
        <v>4.490907885999798</v>
      </c>
    </row>
    <row r="146" spans="2:8" x14ac:dyDescent="0.15">
      <c r="B146" s="16">
        <v>40750</v>
      </c>
      <c r="C146" s="11">
        <v>1331.94</v>
      </c>
      <c r="D146" s="12">
        <f t="shared" si="12"/>
        <v>-4.1133359112329139E-3</v>
      </c>
      <c r="E146" s="3">
        <f t="shared" si="13"/>
        <v>8.9786192912464421E-3</v>
      </c>
      <c r="F146" s="18">
        <f t="shared" si="11"/>
        <v>4.6079696009226998</v>
      </c>
      <c r="G146" s="3">
        <f t="shared" si="14"/>
        <v>9.0931823550328035E-3</v>
      </c>
      <c r="H146" s="4">
        <f t="shared" si="10"/>
        <v>4.5979183419499305</v>
      </c>
    </row>
    <row r="147" spans="2:8" x14ac:dyDescent="0.15">
      <c r="B147" s="16">
        <v>40751</v>
      </c>
      <c r="C147" s="11">
        <v>1304.8900000000001</v>
      </c>
      <c r="D147" s="12">
        <f t="shared" si="12"/>
        <v>-2.0517780024378287E-2</v>
      </c>
      <c r="E147" s="3">
        <f t="shared" si="13"/>
        <v>8.5272321091598418E-3</v>
      </c>
      <c r="F147" s="18">
        <f t="shared" si="11"/>
        <v>1.8697170544622459</v>
      </c>
      <c r="G147" s="3">
        <f t="shared" si="14"/>
        <v>8.8075203062248537E-3</v>
      </c>
      <c r="H147" s="4">
        <f t="shared" si="10"/>
        <v>2.0186892619772072</v>
      </c>
    </row>
    <row r="148" spans="2:8" x14ac:dyDescent="0.15">
      <c r="B148" s="16">
        <v>40752</v>
      </c>
      <c r="C148" s="11">
        <v>1300.67</v>
      </c>
      <c r="D148" s="12">
        <f t="shared" si="12"/>
        <v>-3.239229716375921E-3</v>
      </c>
      <c r="E148" s="3">
        <f t="shared" si="13"/>
        <v>1.1003186869360033E-2</v>
      </c>
      <c r="F148" s="18">
        <f t="shared" si="11"/>
        <v>4.4662375556571989</v>
      </c>
      <c r="G148" s="3">
        <f t="shared" si="14"/>
        <v>1.0211434868433742E-2</v>
      </c>
      <c r="H148" s="4">
        <f t="shared" si="10"/>
        <v>4.5339341508204933</v>
      </c>
    </row>
    <row r="149" spans="2:8" x14ac:dyDescent="0.15">
      <c r="B149" s="16">
        <v>40753</v>
      </c>
      <c r="C149" s="11">
        <v>1292.28</v>
      </c>
      <c r="D149" s="12">
        <f t="shared" si="12"/>
        <v>-6.4714161711867876E-3</v>
      </c>
      <c r="E149" s="3">
        <f t="shared" si="13"/>
        <v>1.0247120959363018E-2</v>
      </c>
      <c r="F149" s="18">
        <f t="shared" si="11"/>
        <v>4.381340227549221</v>
      </c>
      <c r="G149" s="3">
        <f t="shared" si="14"/>
        <v>9.8479258839727288E-3</v>
      </c>
      <c r="H149" s="4">
        <f t="shared" si="10"/>
        <v>4.4045812523561141</v>
      </c>
    </row>
    <row r="150" spans="2:8" x14ac:dyDescent="0.15">
      <c r="B150" s="16">
        <v>40756</v>
      </c>
      <c r="C150" s="11">
        <v>1286.94</v>
      </c>
      <c r="D150" s="12">
        <f t="shared" si="12"/>
        <v>-4.1407926660313879E-3</v>
      </c>
      <c r="E150" s="3">
        <f t="shared" si="13"/>
        <v>9.8026784181775659E-3</v>
      </c>
      <c r="F150" s="18">
        <f t="shared" si="11"/>
        <v>4.5358826538174437</v>
      </c>
      <c r="G150" s="3">
        <f t="shared" si="14"/>
        <v>9.627941333381634E-3</v>
      </c>
      <c r="H150" s="4">
        <f t="shared" si="10"/>
        <v>4.5506011071587809</v>
      </c>
    </row>
    <row r="151" spans="2:8" x14ac:dyDescent="0.15">
      <c r="B151" s="16">
        <v>40757</v>
      </c>
      <c r="C151" s="11">
        <v>1254.05</v>
      </c>
      <c r="D151" s="12">
        <f t="shared" si="12"/>
        <v>-2.5888993656482444E-2</v>
      </c>
      <c r="E151" s="3">
        <f t="shared" si="13"/>
        <v>9.2429107340571866E-3</v>
      </c>
      <c r="F151" s="18">
        <f t="shared" si="11"/>
        <v>0.76121893550234443</v>
      </c>
      <c r="G151" s="3">
        <f t="shared" si="14"/>
        <v>9.3178814321124327E-3</v>
      </c>
      <c r="H151" s="4">
        <f t="shared" si="10"/>
        <v>0.8160094937658342</v>
      </c>
    </row>
    <row r="152" spans="2:8" x14ac:dyDescent="0.15">
      <c r="B152" s="16">
        <v>40758</v>
      </c>
      <c r="C152" s="11">
        <v>1260.3399999999999</v>
      </c>
      <c r="D152" s="12">
        <f t="shared" si="12"/>
        <v>5.0032120084815218E-3</v>
      </c>
      <c r="E152" s="3">
        <f t="shared" si="13"/>
        <v>1.2857752593001761E-2</v>
      </c>
      <c r="F152" s="18">
        <f t="shared" si="11"/>
        <v>4.2781010472721794</v>
      </c>
      <c r="G152" s="3">
        <f t="shared" si="14"/>
        <v>1.1497193833237572E-2</v>
      </c>
      <c r="H152" s="4">
        <f t="shared" si="10"/>
        <v>4.3709666497793895</v>
      </c>
    </row>
    <row r="153" spans="2:8" x14ac:dyDescent="0.15">
      <c r="B153" s="16">
        <v>40759</v>
      </c>
      <c r="C153" s="11">
        <v>1200.07</v>
      </c>
      <c r="D153" s="12">
        <f t="shared" si="12"/>
        <v>-4.9001637406655293E-2</v>
      </c>
      <c r="E153" s="3">
        <f t="shared" si="13"/>
        <v>1.1968761774685097E-2</v>
      </c>
      <c r="F153" s="18">
        <f t="shared" si="11"/>
        <v>-3.9554850182756036</v>
      </c>
      <c r="G153" s="3">
        <f t="shared" si="14"/>
        <v>1.1128968956570831E-2</v>
      </c>
      <c r="H153" s="4">
        <f t="shared" si="10"/>
        <v>-5.1953121481051836</v>
      </c>
    </row>
    <row r="154" spans="2:8" x14ac:dyDescent="0.15">
      <c r="B154" s="16">
        <v>40760</v>
      </c>
      <c r="C154" s="11">
        <v>1199.3800000000001</v>
      </c>
      <c r="D154" s="12">
        <f t="shared" si="12"/>
        <v>-5.7513181689091645E-4</v>
      </c>
      <c r="E154" s="3">
        <f t="shared" si="13"/>
        <v>2.1156973497022911E-2</v>
      </c>
      <c r="F154" s="18">
        <f t="shared" si="11"/>
        <v>3.8554162259006564</v>
      </c>
      <c r="G154" s="3">
        <f t="shared" si="14"/>
        <v>1.7347099069921452E-2</v>
      </c>
      <c r="H154" s="4">
        <f t="shared" si="10"/>
        <v>4.0537803816441231</v>
      </c>
    </row>
    <row r="155" spans="2:8" x14ac:dyDescent="0.15">
      <c r="B155" s="16">
        <v>40763</v>
      </c>
      <c r="C155" s="11">
        <v>1119.46</v>
      </c>
      <c r="D155" s="12">
        <f t="shared" si="12"/>
        <v>-6.8958330427454667E-2</v>
      </c>
      <c r="E155" s="3">
        <f t="shared" si="13"/>
        <v>1.9269322152773338E-2</v>
      </c>
      <c r="F155" s="18">
        <f t="shared" si="11"/>
        <v>-2.4541586408016851</v>
      </c>
      <c r="G155" s="3">
        <f t="shared" si="14"/>
        <v>1.6659829682255788E-2</v>
      </c>
      <c r="H155" s="4">
        <f t="shared" si="10"/>
        <v>-4.4717243627943875</v>
      </c>
    </row>
    <row r="156" spans="2:8" x14ac:dyDescent="0.15">
      <c r="B156" s="16">
        <v>40764</v>
      </c>
      <c r="C156" s="11">
        <v>1172.53</v>
      </c>
      <c r="D156" s="12">
        <f t="shared" si="12"/>
        <v>4.6317381183297257E-2</v>
      </c>
      <c r="E156" s="3">
        <f t="shared" si="13"/>
        <v>3.0887379694692563E-2</v>
      </c>
      <c r="F156" s="18">
        <f t="shared" si="11"/>
        <v>2.3530722593624684</v>
      </c>
      <c r="G156" s="3">
        <f t="shared" si="14"/>
        <v>2.5014107844393573E-2</v>
      </c>
      <c r="H156" s="4">
        <f t="shared" si="10"/>
        <v>1.9740108169512194</v>
      </c>
    </row>
    <row r="157" spans="2:8" x14ac:dyDescent="0.15">
      <c r="B157" s="16">
        <v>40765</v>
      </c>
      <c r="C157" s="11">
        <v>1120.76</v>
      </c>
      <c r="D157" s="12">
        <f t="shared" si="12"/>
        <v>-4.5156780754835528E-2</v>
      </c>
      <c r="E157" s="3">
        <f t="shared" si="13"/>
        <v>3.2825587520708278E-2</v>
      </c>
      <c r="F157" s="18">
        <f t="shared" si="11"/>
        <v>2.4703295493299189</v>
      </c>
      <c r="G157" s="3">
        <f t="shared" si="14"/>
        <v>2.7273777179096664E-2</v>
      </c>
      <c r="H157" s="4">
        <f t="shared" si="10"/>
        <v>2.2311833546503048</v>
      </c>
    </row>
    <row r="158" spans="2:8" x14ac:dyDescent="0.15">
      <c r="B158" s="16">
        <v>40766</v>
      </c>
      <c r="C158" s="11">
        <v>1172.6400000000001</v>
      </c>
      <c r="D158" s="12">
        <f t="shared" si="12"/>
        <v>4.5250590585321757E-2</v>
      </c>
      <c r="E158" s="3">
        <f t="shared" si="13"/>
        <v>3.4122427384510261E-2</v>
      </c>
      <c r="F158" s="18">
        <f t="shared" si="11"/>
        <v>2.4984971804444438</v>
      </c>
      <c r="G158" s="3">
        <f t="shared" si="14"/>
        <v>2.9061500048893438E-2</v>
      </c>
      <c r="H158" s="4">
        <f t="shared" si="10"/>
        <v>2.3261181886324263</v>
      </c>
    </row>
    <row r="159" spans="2:8" x14ac:dyDescent="0.15">
      <c r="B159" s="16">
        <v>40767</v>
      </c>
      <c r="C159" s="11">
        <v>1178.81</v>
      </c>
      <c r="D159" s="12">
        <f t="shared" si="12"/>
        <v>5.2478378532748692E-3</v>
      </c>
      <c r="E159" s="3">
        <f t="shared" si="13"/>
        <v>3.5166192407794089E-2</v>
      </c>
      <c r="F159" s="18">
        <f t="shared" si="11"/>
        <v>3.336535359744262</v>
      </c>
      <c r="G159" s="3">
        <f t="shared" si="14"/>
        <v>3.0628604449011127E-2</v>
      </c>
      <c r="H159" s="4">
        <f t="shared" si="10"/>
        <v>3.471142599055641</v>
      </c>
    </row>
    <row r="160" spans="2:8" x14ac:dyDescent="0.15">
      <c r="B160" s="16">
        <v>40770</v>
      </c>
      <c r="C160" s="11">
        <v>1204.49</v>
      </c>
      <c r="D160" s="12">
        <f t="shared" si="12"/>
        <v>2.1550785789564535E-2</v>
      </c>
      <c r="E160" s="3">
        <f t="shared" si="13"/>
        <v>3.1965697763576488E-2</v>
      </c>
      <c r="F160" s="18">
        <f t="shared" si="11"/>
        <v>3.2158293609439625</v>
      </c>
      <c r="G160" s="3">
        <f t="shared" si="14"/>
        <v>2.9450153537027214E-2</v>
      </c>
      <c r="H160" s="4">
        <f t="shared" si="10"/>
        <v>3.2573113227171642</v>
      </c>
    </row>
    <row r="161" spans="2:8" x14ac:dyDescent="0.15">
      <c r="B161" s="16">
        <v>40771</v>
      </c>
      <c r="C161" s="11">
        <v>1192.76</v>
      </c>
      <c r="D161" s="12">
        <f t="shared" si="12"/>
        <v>-9.7862914727229987E-3</v>
      </c>
      <c r="E161" s="3">
        <f t="shared" si="13"/>
        <v>3.0082745541163688E-2</v>
      </c>
      <c r="F161" s="18">
        <f t="shared" si="11"/>
        <v>3.4508894163316515</v>
      </c>
      <c r="G161" s="3">
        <f t="shared" si="14"/>
        <v>2.8913434671805047E-2</v>
      </c>
      <c r="H161" s="4">
        <f t="shared" si="10"/>
        <v>3.4861684076383814</v>
      </c>
    </row>
    <row r="162" spans="2:8" x14ac:dyDescent="0.15">
      <c r="B162" s="16">
        <v>40772</v>
      </c>
      <c r="C162" s="11">
        <v>1193.8900000000001</v>
      </c>
      <c r="D162" s="12">
        <f t="shared" si="12"/>
        <v>9.4693405772772654E-4</v>
      </c>
      <c r="E162" s="3">
        <f t="shared" si="13"/>
        <v>2.7553001577034122E-2</v>
      </c>
      <c r="F162" s="18">
        <f t="shared" si="11"/>
        <v>3.5910532287968859</v>
      </c>
      <c r="G162" s="3">
        <f t="shared" si="14"/>
        <v>2.7900404925281837E-2</v>
      </c>
      <c r="H162" s="4">
        <f t="shared" si="10"/>
        <v>3.5785381219253152</v>
      </c>
    </row>
    <row r="163" spans="2:8" x14ac:dyDescent="0.15">
      <c r="B163" s="16">
        <v>40773</v>
      </c>
      <c r="C163" s="11">
        <v>1140.6500000000001</v>
      </c>
      <c r="D163" s="12">
        <f t="shared" si="12"/>
        <v>-4.5618608066500282E-2</v>
      </c>
      <c r="E163" s="3">
        <f t="shared" si="13"/>
        <v>2.5035420952214275E-2</v>
      </c>
      <c r="F163" s="18">
        <f t="shared" si="11"/>
        <v>2.0273253242012608</v>
      </c>
      <c r="G163" s="3">
        <f t="shared" si="14"/>
        <v>2.6795086874652631E-2</v>
      </c>
      <c r="H163" s="4">
        <f t="shared" si="10"/>
        <v>2.1702853458134626</v>
      </c>
    </row>
    <row r="164" spans="2:8" x14ac:dyDescent="0.15">
      <c r="B164" s="16">
        <v>40774</v>
      </c>
      <c r="C164" s="11">
        <v>1123.53</v>
      </c>
      <c r="D164" s="12">
        <f t="shared" si="12"/>
        <v>-1.5122760800306435E-2</v>
      </c>
      <c r="E164" s="3">
        <f t="shared" si="13"/>
        <v>2.8293749599303947E-2</v>
      </c>
      <c r="F164" s="18">
        <f t="shared" si="11"/>
        <v>3.4222739277064607</v>
      </c>
      <c r="G164" s="3">
        <f t="shared" si="14"/>
        <v>2.870471363152249E-2</v>
      </c>
      <c r="H164" s="4">
        <f t="shared" si="10"/>
        <v>3.4119142991979561</v>
      </c>
    </row>
    <row r="165" spans="2:8" x14ac:dyDescent="0.15">
      <c r="B165" s="16">
        <v>40777</v>
      </c>
      <c r="C165" s="11">
        <v>1123.82</v>
      </c>
      <c r="D165" s="12">
        <f t="shared" si="12"/>
        <v>2.5808174214938097E-4</v>
      </c>
      <c r="E165" s="3">
        <f t="shared" si="13"/>
        <v>2.6298245530697661E-2</v>
      </c>
      <c r="F165" s="18">
        <f t="shared" si="11"/>
        <v>3.6382048980329622</v>
      </c>
      <c r="G165" s="3">
        <f t="shared" si="14"/>
        <v>2.7886860680448065E-2</v>
      </c>
      <c r="H165" s="4">
        <f t="shared" si="10"/>
        <v>3.5795568206255726</v>
      </c>
    </row>
    <row r="166" spans="2:8" x14ac:dyDescent="0.15">
      <c r="B166" s="16">
        <v>40778</v>
      </c>
      <c r="C166" s="11">
        <v>1162.3499999999999</v>
      </c>
      <c r="D166" s="12">
        <f t="shared" si="12"/>
        <v>3.3710221597341987E-2</v>
      </c>
      <c r="E166" s="3">
        <f t="shared" si="13"/>
        <v>2.3901255564284688E-2</v>
      </c>
      <c r="F166" s="18">
        <f t="shared" si="11"/>
        <v>2.7392166541572536</v>
      </c>
      <c r="G166" s="3">
        <f t="shared" si="14"/>
        <v>2.6780875509535687E-2</v>
      </c>
      <c r="H166" s="4">
        <f t="shared" si="10"/>
        <v>2.8278511218485178</v>
      </c>
    </row>
    <row r="167" spans="2:8" x14ac:dyDescent="0.15">
      <c r="B167" s="16">
        <v>40779</v>
      </c>
      <c r="C167" s="11">
        <v>1177.5999999999999</v>
      </c>
      <c r="D167" s="12">
        <f t="shared" si="12"/>
        <v>1.3034651096542811E-2</v>
      </c>
      <c r="E167" s="3">
        <f t="shared" si="13"/>
        <v>2.5036757631904938E-2</v>
      </c>
      <c r="F167" s="18">
        <f t="shared" si="11"/>
        <v>3.5518873383258445</v>
      </c>
      <c r="G167" s="3">
        <f t="shared" si="14"/>
        <v>2.7382597040281009E-2</v>
      </c>
      <c r="H167" s="4">
        <f t="shared" si="10"/>
        <v>3.4845503132798594</v>
      </c>
    </row>
    <row r="168" spans="2:8" x14ac:dyDescent="0.15">
      <c r="B168" s="16">
        <v>40780</v>
      </c>
      <c r="C168" s="11">
        <v>1159.27</v>
      </c>
      <c r="D168" s="12">
        <f t="shared" si="12"/>
        <v>-1.5687972317898854E-2</v>
      </c>
      <c r="E168" s="3">
        <f t="shared" si="13"/>
        <v>2.3264418439318108E-2</v>
      </c>
      <c r="F168" s="18">
        <f t="shared" si="11"/>
        <v>3.5334674839778133</v>
      </c>
      <c r="G168" s="3">
        <f t="shared" si="14"/>
        <v>2.6546509825437319E-2</v>
      </c>
      <c r="H168" s="4">
        <f t="shared" si="10"/>
        <v>3.4542390923829265</v>
      </c>
    </row>
    <row r="169" spans="2:8" x14ac:dyDescent="0.15">
      <c r="B169" s="16">
        <v>40781</v>
      </c>
      <c r="C169" s="11">
        <v>1176.8</v>
      </c>
      <c r="D169" s="12">
        <f t="shared" si="12"/>
        <v>1.5008393630514818E-2</v>
      </c>
      <c r="E169" s="3">
        <f t="shared" si="13"/>
        <v>2.1940856621920548E-2</v>
      </c>
      <c r="F169" s="18">
        <f t="shared" si="11"/>
        <v>3.5854503534649398</v>
      </c>
      <c r="G169" s="3">
        <f t="shared" si="14"/>
        <v>2.5866178590476255E-2</v>
      </c>
      <c r="H169" s="4">
        <f t="shared" si="10"/>
        <v>3.4864842186410647</v>
      </c>
    </row>
    <row r="170" spans="2:8" x14ac:dyDescent="0.15">
      <c r="B170" s="16">
        <v>40784</v>
      </c>
      <c r="C170" s="11">
        <v>1210.08</v>
      </c>
      <c r="D170" s="12">
        <f t="shared" si="12"/>
        <v>2.7887582820491672E-2</v>
      </c>
      <c r="E170" s="3">
        <f t="shared" si="13"/>
        <v>2.0724958120774437E-2</v>
      </c>
      <c r="F170" s="18">
        <f t="shared" si="11"/>
        <v>2.9710917782248849</v>
      </c>
      <c r="G170" s="3">
        <f t="shared" si="14"/>
        <v>2.5190310650443817E-2</v>
      </c>
      <c r="H170" s="4">
        <f t="shared" si="10"/>
        <v>3.0684874646872657</v>
      </c>
    </row>
    <row r="171" spans="2:8" x14ac:dyDescent="0.15">
      <c r="B171" s="16">
        <v>40785</v>
      </c>
      <c r="C171" s="11">
        <v>1212.92</v>
      </c>
      <c r="D171" s="12">
        <f t="shared" si="12"/>
        <v>2.3442024767237161E-3</v>
      </c>
      <c r="E171" s="3">
        <f t="shared" si="13"/>
        <v>2.1493531829437425E-2</v>
      </c>
      <c r="F171" s="18">
        <f t="shared" si="11"/>
        <v>3.8340555942276335</v>
      </c>
      <c r="G171" s="3">
        <f t="shared" si="14"/>
        <v>2.5410299684353117E-2</v>
      </c>
      <c r="H171" s="4">
        <f t="shared" si="10"/>
        <v>3.6683452850045191</v>
      </c>
    </row>
    <row r="172" spans="2:8" x14ac:dyDescent="0.15">
      <c r="B172" s="16">
        <v>40786</v>
      </c>
      <c r="C172" s="11">
        <v>1218.8900000000001</v>
      </c>
      <c r="D172" s="12">
        <f t="shared" si="12"/>
        <v>4.9099329252263561E-3</v>
      </c>
      <c r="E172" s="3">
        <f t="shared" si="13"/>
        <v>1.9590161508232881E-2</v>
      </c>
      <c r="F172" s="18">
        <f t="shared" si="11"/>
        <v>3.9013194549512509</v>
      </c>
      <c r="G172" s="3">
        <f t="shared" si="14"/>
        <v>2.4411199343717719E-2</v>
      </c>
      <c r="H172" s="4">
        <f t="shared" si="10"/>
        <v>3.6924857308850485</v>
      </c>
    </row>
    <row r="173" spans="2:8" x14ac:dyDescent="0.15">
      <c r="B173" s="16">
        <v>40787</v>
      </c>
      <c r="C173" s="11">
        <v>1204.42</v>
      </c>
      <c r="D173" s="12">
        <f t="shared" si="12"/>
        <v>-1.1942485261153978E-2</v>
      </c>
      <c r="E173" s="3">
        <f t="shared" si="13"/>
        <v>1.7949903220622267E-2</v>
      </c>
      <c r="F173" s="18">
        <f t="shared" si="11"/>
        <v>3.7988431417627373</v>
      </c>
      <c r="G173" s="3">
        <f t="shared" si="14"/>
        <v>2.3482917794555747E-2</v>
      </c>
      <c r="H173" s="4">
        <f t="shared" si="10"/>
        <v>3.6221651151092757</v>
      </c>
    </row>
    <row r="174" spans="2:8" x14ac:dyDescent="0.15">
      <c r="B174" s="16">
        <v>40788</v>
      </c>
      <c r="C174" s="11">
        <v>1173.97</v>
      </c>
      <c r="D174" s="12">
        <f t="shared" si="12"/>
        <v>-2.5606955849665675E-2</v>
      </c>
      <c r="E174" s="3">
        <f t="shared" si="13"/>
        <v>1.6964874040905995E-2</v>
      </c>
      <c r="F174" s="18">
        <f t="shared" si="11"/>
        <v>2.9374505577147225</v>
      </c>
      <c r="G174" s="3">
        <f t="shared" si="14"/>
        <v>2.2796052558022025E-2</v>
      </c>
      <c r="H174" s="4">
        <f t="shared" si="10"/>
        <v>3.150259054444378</v>
      </c>
    </row>
    <row r="175" spans="2:8" x14ac:dyDescent="0.15">
      <c r="B175" s="16">
        <v>40792</v>
      </c>
      <c r="C175" s="11">
        <v>1165.24</v>
      </c>
      <c r="D175" s="12">
        <f t="shared" si="12"/>
        <v>-7.464093032212224E-3</v>
      </c>
      <c r="E175" s="3">
        <f t="shared" si="13"/>
        <v>1.8145113076111757E-2</v>
      </c>
      <c r="F175" s="18">
        <f t="shared" si="11"/>
        <v>3.9247473108453788</v>
      </c>
      <c r="G175" s="3">
        <f t="shared" si="14"/>
        <v>2.3026915053326696E-2</v>
      </c>
      <c r="H175" s="4">
        <f t="shared" si="10"/>
        <v>3.7185560632873345</v>
      </c>
    </row>
    <row r="176" spans="2:8" x14ac:dyDescent="0.15">
      <c r="B176" s="16">
        <v>40793</v>
      </c>
      <c r="C176" s="11">
        <v>1198.6199999999999</v>
      </c>
      <c r="D176" s="12">
        <f t="shared" si="12"/>
        <v>2.8243820652058067E-2</v>
      </c>
      <c r="E176" s="3">
        <f t="shared" si="13"/>
        <v>1.6786557687165207E-2</v>
      </c>
      <c r="F176" s="18">
        <f t="shared" si="11"/>
        <v>2.6717298906885247</v>
      </c>
      <c r="G176" s="3">
        <f t="shared" si="14"/>
        <v>2.2211323373737747E-2</v>
      </c>
      <c r="H176" s="4">
        <f t="shared" si="10"/>
        <v>2.9986753973458282</v>
      </c>
    </row>
    <row r="177" spans="2:8" x14ac:dyDescent="0.15">
      <c r="B177" s="16">
        <v>40794</v>
      </c>
      <c r="C177" s="11">
        <v>1185.9000000000001</v>
      </c>
      <c r="D177" s="12">
        <f t="shared" si="12"/>
        <v>-1.066891504794603E-2</v>
      </c>
      <c r="E177" s="3">
        <f t="shared" si="13"/>
        <v>1.8535956580296081E-2</v>
      </c>
      <c r="F177" s="18">
        <f t="shared" si="11"/>
        <v>3.8223970027287066</v>
      </c>
      <c r="G177" s="3">
        <f t="shared" si="14"/>
        <v>2.2737824685938254E-2</v>
      </c>
      <c r="H177" s="4">
        <f t="shared" si="10"/>
        <v>3.6736443731097728</v>
      </c>
    </row>
    <row r="178" spans="2:8" x14ac:dyDescent="0.15">
      <c r="B178" s="16">
        <v>40795</v>
      </c>
      <c r="C178" s="11">
        <v>1154.23</v>
      </c>
      <c r="D178" s="12">
        <f t="shared" si="12"/>
        <v>-2.706852500255939E-2</v>
      </c>
      <c r="E178" s="3">
        <f t="shared" si="13"/>
        <v>1.7361655190926601E-2</v>
      </c>
      <c r="F178" s="18">
        <f t="shared" si="11"/>
        <v>2.8380976624205663</v>
      </c>
      <c r="G178" s="3">
        <f t="shared" si="14"/>
        <v>2.2037692806277417E-2</v>
      </c>
      <c r="H178" s="4">
        <f t="shared" si="10"/>
        <v>3.0606613307726733</v>
      </c>
    </row>
    <row r="179" spans="2:8" x14ac:dyDescent="0.15">
      <c r="B179" s="16">
        <v>40798</v>
      </c>
      <c r="C179" s="11">
        <v>1162.27</v>
      </c>
      <c r="D179" s="12">
        <f t="shared" si="12"/>
        <v>6.9415344561686897E-3</v>
      </c>
      <c r="E179" s="3">
        <f t="shared" si="13"/>
        <v>1.8731203290714534E-2</v>
      </c>
      <c r="F179" s="18">
        <f t="shared" si="11"/>
        <v>3.9088972765395957</v>
      </c>
      <c r="G179" s="3">
        <f t="shared" si="14"/>
        <v>2.2469278080221689E-2</v>
      </c>
      <c r="H179" s="4">
        <f t="shared" si="10"/>
        <v>3.7478860688937847</v>
      </c>
    </row>
    <row r="180" spans="2:8" x14ac:dyDescent="0.15">
      <c r="B180" s="16">
        <v>40799</v>
      </c>
      <c r="C180" s="11">
        <v>1172.8699999999999</v>
      </c>
      <c r="D180" s="12">
        <f t="shared" si="12"/>
        <v>9.0787471478858441E-3</v>
      </c>
      <c r="E180" s="3">
        <f t="shared" si="13"/>
        <v>1.7276682261032978E-2</v>
      </c>
      <c r="F180" s="18">
        <f t="shared" si="11"/>
        <v>3.9203269514440908</v>
      </c>
      <c r="G180" s="3">
        <f t="shared" si="14"/>
        <v>2.1664714263472603E-2</v>
      </c>
      <c r="H180" s="4">
        <f t="shared" si="10"/>
        <v>3.7442660864686133</v>
      </c>
    </row>
    <row r="181" spans="2:8" x14ac:dyDescent="0.15">
      <c r="B181" s="16">
        <v>40800</v>
      </c>
      <c r="C181" s="11">
        <v>1188.68</v>
      </c>
      <c r="D181" s="12">
        <f t="shared" si="12"/>
        <v>1.3389711169736475E-2</v>
      </c>
      <c r="E181" s="3">
        <f t="shared" si="13"/>
        <v>1.6130629806066818E-2</v>
      </c>
      <c r="F181" s="18">
        <f t="shared" si="11"/>
        <v>3.782519042706503</v>
      </c>
      <c r="G181" s="3">
        <f t="shared" si="14"/>
        <v>2.0958871921920141E-2</v>
      </c>
      <c r="H181" s="4">
        <f t="shared" si="10"/>
        <v>3.6611244395959948</v>
      </c>
    </row>
    <row r="182" spans="2:8" x14ac:dyDescent="0.15">
      <c r="B182" s="16">
        <v>40801</v>
      </c>
      <c r="C182" s="11">
        <v>1209.1099999999999</v>
      </c>
      <c r="D182" s="12">
        <f t="shared" si="12"/>
        <v>1.7041104018524895E-2</v>
      </c>
      <c r="E182" s="3">
        <f t="shared" si="13"/>
        <v>1.555497115965411E-2</v>
      </c>
      <c r="F182" s="18">
        <f t="shared" si="11"/>
        <v>3.5632702882275304</v>
      </c>
      <c r="G182" s="3">
        <f t="shared" si="14"/>
        <v>2.0470936930625634E-2</v>
      </c>
      <c r="H182" s="4">
        <f t="shared" si="10"/>
        <v>3.5422596571031431</v>
      </c>
    </row>
    <row r="183" spans="2:8" x14ac:dyDescent="0.15">
      <c r="B183" s="16">
        <v>40802</v>
      </c>
      <c r="C183" s="11">
        <v>1216.01</v>
      </c>
      <c r="D183" s="12">
        <f t="shared" si="12"/>
        <v>5.6904554160021482E-3</v>
      </c>
      <c r="E183" s="3">
        <f t="shared" si="13"/>
        <v>1.5559055247964417E-2</v>
      </c>
      <c r="F183" s="18">
        <f t="shared" si="11"/>
        <v>4.0962322717897806</v>
      </c>
      <c r="G183" s="3">
        <f t="shared" si="14"/>
        <v>2.0225121212166023E-2</v>
      </c>
      <c r="H183" s="4">
        <f t="shared" si="10"/>
        <v>3.8612492761950068</v>
      </c>
    </row>
    <row r="184" spans="2:8" x14ac:dyDescent="0.15">
      <c r="B184" s="16">
        <v>40805</v>
      </c>
      <c r="C184" s="11">
        <v>1204.0899999999999</v>
      </c>
      <c r="D184" s="12">
        <f t="shared" si="12"/>
        <v>-9.8509122708815514E-3</v>
      </c>
      <c r="E184" s="3">
        <f t="shared" si="13"/>
        <v>1.4393519878458676E-2</v>
      </c>
      <c r="F184" s="18">
        <f t="shared" si="11"/>
        <v>4.0067761076124802</v>
      </c>
      <c r="G184" s="3">
        <f t="shared" si="14"/>
        <v>1.9487634429896365E-2</v>
      </c>
      <c r="H184" s="4">
        <f t="shared" si="10"/>
        <v>3.8102122763612778</v>
      </c>
    </row>
    <row r="185" spans="2:8" x14ac:dyDescent="0.15">
      <c r="B185" s="16">
        <v>40806</v>
      </c>
      <c r="C185" s="11">
        <v>1202.0899999999999</v>
      </c>
      <c r="D185" s="12">
        <f t="shared" si="12"/>
        <v>-1.6623864054958564E-3</v>
      </c>
      <c r="E185" s="3">
        <f t="shared" si="13"/>
        <v>1.3686875295202194E-2</v>
      </c>
      <c r="F185" s="18">
        <f t="shared" si="11"/>
        <v>4.2839418376888911</v>
      </c>
      <c r="G185" s="3">
        <f t="shared" si="14"/>
        <v>1.8915203685345224E-2</v>
      </c>
      <c r="H185" s="4">
        <f t="shared" si="10"/>
        <v>3.9639272556318463</v>
      </c>
    </row>
    <row r="186" spans="2:8" x14ac:dyDescent="0.15">
      <c r="B186" s="16">
        <v>40807</v>
      </c>
      <c r="C186" s="11">
        <v>1166.76</v>
      </c>
      <c r="D186" s="12">
        <f t="shared" si="12"/>
        <v>-2.9831031890565053E-2</v>
      </c>
      <c r="E186" s="3">
        <f t="shared" si="13"/>
        <v>1.2580563916470736E-2</v>
      </c>
      <c r="F186" s="18">
        <f t="shared" si="11"/>
        <v>1.5643077213122867</v>
      </c>
      <c r="G186" s="3">
        <f t="shared" si="14"/>
        <v>1.8170879896052709E-2</v>
      </c>
      <c r="H186" s="4">
        <f t="shared" si="10"/>
        <v>2.6603547094559272</v>
      </c>
    </row>
    <row r="187" spans="2:8" x14ac:dyDescent="0.15">
      <c r="B187" s="16">
        <v>40808</v>
      </c>
      <c r="C187" s="11">
        <v>1129.56</v>
      </c>
      <c r="D187" s="12">
        <f t="shared" si="12"/>
        <v>-3.240250026243683E-2</v>
      </c>
      <c r="E187" s="3">
        <f t="shared" si="13"/>
        <v>1.5963672267480217E-2</v>
      </c>
      <c r="F187" s="18">
        <f t="shared" si="11"/>
        <v>2.0774670224621046</v>
      </c>
      <c r="G187" s="3">
        <f t="shared" si="14"/>
        <v>1.9331324173646039E-2</v>
      </c>
      <c r="H187" s="4">
        <f t="shared" si="10"/>
        <v>2.5412629529808655</v>
      </c>
    </row>
    <row r="188" spans="2:8" x14ac:dyDescent="0.15">
      <c r="B188" s="16">
        <v>40809</v>
      </c>
      <c r="C188" s="11">
        <v>1136.43</v>
      </c>
      <c r="D188" s="12">
        <f t="shared" si="12"/>
        <v>6.0635934396792946E-3</v>
      </c>
      <c r="E188" s="3">
        <f t="shared" si="13"/>
        <v>1.8860452510329855E-2</v>
      </c>
      <c r="F188" s="18">
        <f t="shared" si="11"/>
        <v>3.9190076006027228</v>
      </c>
      <c r="G188" s="3">
        <f t="shared" si="14"/>
        <v>2.0646513535793758E-2</v>
      </c>
      <c r="H188" s="4">
        <f t="shared" si="10"/>
        <v>3.8370830557258979</v>
      </c>
    </row>
    <row r="189" spans="2:8" x14ac:dyDescent="0.15">
      <c r="B189" s="16">
        <v>40812</v>
      </c>
      <c r="C189" s="11">
        <v>1162.95</v>
      </c>
      <c r="D189" s="12">
        <f t="shared" si="12"/>
        <v>2.3068110546269296E-2</v>
      </c>
      <c r="E189" s="3">
        <f t="shared" si="13"/>
        <v>1.734696279756523E-2</v>
      </c>
      <c r="F189" s="18">
        <f t="shared" si="11"/>
        <v>3.170144668320896</v>
      </c>
      <c r="G189" s="3">
        <f t="shared" si="14"/>
        <v>1.9899566885548007E-2</v>
      </c>
      <c r="H189" s="4">
        <f t="shared" si="10"/>
        <v>3.2451539656507316</v>
      </c>
    </row>
    <row r="190" spans="2:8" x14ac:dyDescent="0.15">
      <c r="B190" s="16">
        <v>40813</v>
      </c>
      <c r="C190" s="11">
        <v>1175.3800000000001</v>
      </c>
      <c r="D190" s="12">
        <f t="shared" si="12"/>
        <v>1.0631619216616888E-2</v>
      </c>
      <c r="E190" s="3">
        <f t="shared" si="13"/>
        <v>1.7978361308955897E-2</v>
      </c>
      <c r="F190" s="18">
        <f t="shared" si="11"/>
        <v>3.8437351914234497</v>
      </c>
      <c r="G190" s="3">
        <f t="shared" si="14"/>
        <v>2.0163791069542372E-2</v>
      </c>
      <c r="H190" s="4">
        <f t="shared" si="10"/>
        <v>3.7648637146565598</v>
      </c>
    </row>
    <row r="191" spans="2:8" x14ac:dyDescent="0.15">
      <c r="B191" s="16">
        <v>40814</v>
      </c>
      <c r="C191" s="11">
        <v>1151.06</v>
      </c>
      <c r="D191" s="12">
        <f t="shared" si="12"/>
        <v>-2.0908242602619344E-2</v>
      </c>
      <c r="E191" s="3">
        <f t="shared" si="13"/>
        <v>1.68709598249248E-2</v>
      </c>
      <c r="F191" s="18">
        <f t="shared" si="11"/>
        <v>3.3142246825656372</v>
      </c>
      <c r="G191" s="3">
        <f t="shared" si="14"/>
        <v>1.9589646170824954E-2</v>
      </c>
      <c r="H191" s="4">
        <f t="shared" si="10"/>
        <v>3.3631778456829808</v>
      </c>
    </row>
    <row r="192" spans="2:8" x14ac:dyDescent="0.15">
      <c r="B192" s="16">
        <v>40815</v>
      </c>
      <c r="C192" s="11">
        <v>1160.4000000000001</v>
      </c>
      <c r="D192" s="12">
        <f t="shared" si="12"/>
        <v>8.081516300173678E-3</v>
      </c>
      <c r="E192" s="3">
        <f t="shared" si="13"/>
        <v>1.7233103465655236E-2</v>
      </c>
      <c r="F192" s="18">
        <f t="shared" si="11"/>
        <v>3.9509646467877713</v>
      </c>
      <c r="G192" s="3">
        <f t="shared" si="14"/>
        <v>1.9695336694373261E-2</v>
      </c>
      <c r="H192" s="4">
        <f t="shared" si="10"/>
        <v>3.8431895163134833</v>
      </c>
    </row>
    <row r="193" spans="2:8" x14ac:dyDescent="0.15">
      <c r="B193" s="16">
        <v>40816</v>
      </c>
      <c r="C193" s="11">
        <v>1131.42</v>
      </c>
      <c r="D193" s="12">
        <f t="shared" si="12"/>
        <v>-2.5291292280362729E-2</v>
      </c>
      <c r="E193" s="3">
        <f t="shared" si="13"/>
        <v>1.602005294136704E-2</v>
      </c>
      <c r="F193" s="18">
        <f t="shared" si="11"/>
        <v>2.8877243494778124</v>
      </c>
      <c r="G193" s="3">
        <f t="shared" si="14"/>
        <v>1.9047925358232402E-2</v>
      </c>
      <c r="H193" s="4">
        <f t="shared" si="10"/>
        <v>3.0793085203810096</v>
      </c>
    </row>
    <row r="194" spans="2:8" x14ac:dyDescent="0.15">
      <c r="B194" s="16">
        <v>40819</v>
      </c>
      <c r="C194" s="11">
        <v>1099.23</v>
      </c>
      <c r="D194" s="12">
        <f t="shared" si="12"/>
        <v>-2.8863546294817782E-2</v>
      </c>
      <c r="E194" s="3">
        <f t="shared" si="13"/>
        <v>1.736426888303752E-2</v>
      </c>
      <c r="F194" s="18">
        <f t="shared" si="11"/>
        <v>2.6718232352456646</v>
      </c>
      <c r="G194" s="3">
        <f t="shared" si="14"/>
        <v>1.9604784401702616E-2</v>
      </c>
      <c r="H194" s="4">
        <f t="shared" si="10"/>
        <v>2.8481913856663814</v>
      </c>
    </row>
    <row r="195" spans="2:8" x14ac:dyDescent="0.15">
      <c r="B195" s="16">
        <v>40820</v>
      </c>
      <c r="C195" s="11">
        <v>1123.95</v>
      </c>
      <c r="D195" s="12">
        <f t="shared" si="12"/>
        <v>2.2239331806361014E-2</v>
      </c>
      <c r="E195" s="3">
        <f t="shared" si="13"/>
        <v>1.9093383759912427E-2</v>
      </c>
      <c r="F195" s="18">
        <f t="shared" si="11"/>
        <v>3.2800730242891456</v>
      </c>
      <c r="G195" s="3">
        <f t="shared" si="14"/>
        <v>2.0475347341962893E-2</v>
      </c>
      <c r="H195" s="4">
        <f t="shared" si="10"/>
        <v>3.2986710079647534</v>
      </c>
    </row>
    <row r="196" spans="2:8" x14ac:dyDescent="0.15">
      <c r="B196" s="16">
        <v>40821</v>
      </c>
      <c r="C196" s="11">
        <v>1144.03</v>
      </c>
      <c r="D196" s="12">
        <f t="shared" si="12"/>
        <v>1.7707849893700365E-2</v>
      </c>
      <c r="E196" s="3">
        <f t="shared" si="13"/>
        <v>1.9243018654861728E-2</v>
      </c>
      <c r="F196" s="18">
        <f t="shared" si="11"/>
        <v>3.5272026493135478</v>
      </c>
      <c r="G196" s="3">
        <f t="shared" si="14"/>
        <v>2.0617914543989015E-2</v>
      </c>
      <c r="H196" s="4">
        <f t="shared" si="10"/>
        <v>3.5127768673333626</v>
      </c>
    </row>
    <row r="197" spans="2:8" x14ac:dyDescent="0.15">
      <c r="B197" s="16">
        <v>40822</v>
      </c>
      <c r="C197" s="11">
        <v>1164.97</v>
      </c>
      <c r="D197" s="12">
        <f t="shared" si="12"/>
        <v>1.8138219223145281E-2</v>
      </c>
      <c r="E197" s="3">
        <f t="shared" si="13"/>
        <v>1.8719786253704778E-2</v>
      </c>
      <c r="F197" s="18">
        <f t="shared" si="11"/>
        <v>3.5087586173741689</v>
      </c>
      <c r="G197" s="3">
        <f t="shared" si="14"/>
        <v>2.0406532024394047E-2</v>
      </c>
      <c r="H197" s="4">
        <f t="shared" ref="H197:H260" si="15" xml:space="preserve"> - LN(G197) - 0.5 * ($D197/G197)^2</f>
        <v>3.4968785924361172</v>
      </c>
    </row>
    <row r="198" spans="2:8" x14ac:dyDescent="0.15">
      <c r="B198" s="16">
        <v>40823</v>
      </c>
      <c r="C198" s="11">
        <v>1155.46</v>
      </c>
      <c r="D198" s="12">
        <f t="shared" si="12"/>
        <v>-8.1968025289200601E-3</v>
      </c>
      <c r="E198" s="3">
        <f t="shared" si="13"/>
        <v>1.8336882615792336E-2</v>
      </c>
      <c r="F198" s="18">
        <f t="shared" ref="F198:F261" si="16" xml:space="preserve"> - LN(E198) - 0.5 * (D198/E198)^2</f>
        <v>3.8989310384158018</v>
      </c>
      <c r="G198" s="3">
        <f t="shared" si="14"/>
        <v>2.0239280254690815E-2</v>
      </c>
      <c r="H198" s="4">
        <f t="shared" si="15"/>
        <v>3.8181196163276265</v>
      </c>
    </row>
    <row r="199" spans="2:8" x14ac:dyDescent="0.15">
      <c r="B199" s="16">
        <v>40826</v>
      </c>
      <c r="C199" s="11">
        <v>1194.8900000000001</v>
      </c>
      <c r="D199" s="12">
        <f t="shared" ref="D199:D262" si="17">LN(C199/C198)</f>
        <v>3.3555597853170506E-2</v>
      </c>
      <c r="E199" s="3">
        <f t="shared" si="13"/>
        <v>1.7002374046873082E-2</v>
      </c>
      <c r="F199" s="18">
        <f t="shared" si="16"/>
        <v>2.1268871947460841</v>
      </c>
      <c r="G199" s="3">
        <f t="shared" si="14"/>
        <v>1.9570451857288028E-2</v>
      </c>
      <c r="H199" s="4">
        <f t="shared" si="15"/>
        <v>2.4637989711203714</v>
      </c>
    </row>
    <row r="200" spans="2:8" x14ac:dyDescent="0.15">
      <c r="B200" s="16">
        <v>40827</v>
      </c>
      <c r="C200" s="11">
        <v>1195.54</v>
      </c>
      <c r="D200" s="12">
        <f t="shared" si="17"/>
        <v>5.4383522296828565E-4</v>
      </c>
      <c r="E200" s="3">
        <f t="shared" ref="E200:E263" si="18">SQRT($L$18 + $L$19*E199^2 + $L$20*D199^2)</f>
        <v>1.9852136532855977E-2</v>
      </c>
      <c r="F200" s="18">
        <f t="shared" si="16"/>
        <v>3.9190684201297428</v>
      </c>
      <c r="G200" s="3">
        <f t="shared" ref="G200:G263" si="19">SQRT($V$18*G199^2 + (1-$V$18)*D199^2)</f>
        <v>2.099455458202934E-2</v>
      </c>
      <c r="H200" s="4">
        <f t="shared" si="15"/>
        <v>3.8631566814177583</v>
      </c>
    </row>
    <row r="201" spans="2:8" x14ac:dyDescent="0.15">
      <c r="B201" s="16">
        <v>40828</v>
      </c>
      <c r="C201" s="11">
        <v>1207.25</v>
      </c>
      <c r="D201" s="12">
        <f t="shared" si="17"/>
        <v>9.7470796111575157E-3</v>
      </c>
      <c r="E201" s="3">
        <f t="shared" si="18"/>
        <v>1.8095243575396401E-2</v>
      </c>
      <c r="F201" s="18">
        <f t="shared" si="16"/>
        <v>3.8670319679212106</v>
      </c>
      <c r="G201" s="3">
        <f t="shared" si="19"/>
        <v>2.0162413847677235E-2</v>
      </c>
      <c r="H201" s="4">
        <f t="shared" si="15"/>
        <v>3.7870836919144044</v>
      </c>
    </row>
    <row r="202" spans="2:8" x14ac:dyDescent="0.15">
      <c r="B202" s="16">
        <v>40829</v>
      </c>
      <c r="C202" s="11">
        <v>1203.6600000000001</v>
      </c>
      <c r="D202" s="12">
        <f t="shared" si="17"/>
        <v>-2.978130791599371E-3</v>
      </c>
      <c r="E202" s="3">
        <f t="shared" si="18"/>
        <v>1.6900868515676952E-2</v>
      </c>
      <c r="F202" s="18">
        <f t="shared" si="16"/>
        <v>4.0648649851071434</v>
      </c>
      <c r="G202" s="3">
        <f t="shared" si="19"/>
        <v>1.9552530680602486E-2</v>
      </c>
      <c r="H202" s="4">
        <f t="shared" si="15"/>
        <v>3.9230507253770557</v>
      </c>
    </row>
    <row r="203" spans="2:8" x14ac:dyDescent="0.15">
      <c r="B203" s="16">
        <v>40830</v>
      </c>
      <c r="C203" s="11">
        <v>1224.58</v>
      </c>
      <c r="D203" s="12">
        <f t="shared" si="17"/>
        <v>1.7231013084970263E-2</v>
      </c>
      <c r="E203" s="3">
        <f t="shared" si="18"/>
        <v>1.548180684051065E-2</v>
      </c>
      <c r="F203" s="18">
        <f t="shared" si="16"/>
        <v>3.548722301430117</v>
      </c>
      <c r="G203" s="3">
        <f t="shared" si="19"/>
        <v>1.8795369206639798E-2</v>
      </c>
      <c r="H203" s="4">
        <f t="shared" si="15"/>
        <v>3.5539119974975124</v>
      </c>
    </row>
    <row r="204" spans="2:8" x14ac:dyDescent="0.15">
      <c r="B204" s="16">
        <v>40833</v>
      </c>
      <c r="C204" s="11">
        <v>1200.8599999999999</v>
      </c>
      <c r="D204" s="12">
        <f t="shared" si="17"/>
        <v>-1.955996128718929E-2</v>
      </c>
      <c r="E204" s="3">
        <f t="shared" si="18"/>
        <v>1.5527589059990674E-2</v>
      </c>
      <c r="F204" s="18">
        <f t="shared" si="16"/>
        <v>3.3717264257165374</v>
      </c>
      <c r="G204" s="3">
        <f t="shared" si="19"/>
        <v>1.8678433579236136E-2</v>
      </c>
      <c r="H204" s="4">
        <f t="shared" si="15"/>
        <v>3.4320770752782694</v>
      </c>
    </row>
    <row r="205" spans="2:8" x14ac:dyDescent="0.15">
      <c r="B205" s="16">
        <v>40834</v>
      </c>
      <c r="C205" s="11">
        <v>1225.3800000000001</v>
      </c>
      <c r="D205" s="12">
        <f t="shared" si="17"/>
        <v>2.0213033197288798E-2</v>
      </c>
      <c r="E205" s="3">
        <f t="shared" si="18"/>
        <v>1.5934170040449263E-2</v>
      </c>
      <c r="F205" s="18">
        <f t="shared" si="16"/>
        <v>3.3347004215501643</v>
      </c>
      <c r="G205" s="3">
        <f t="shared" si="19"/>
        <v>1.874846132739455E-2</v>
      </c>
      <c r="H205" s="4">
        <f t="shared" si="15"/>
        <v>3.3954755564427366</v>
      </c>
    </row>
    <row r="206" spans="2:8" x14ac:dyDescent="0.15">
      <c r="B206" s="16">
        <v>40835</v>
      </c>
      <c r="C206" s="11">
        <v>1209.8800000000001</v>
      </c>
      <c r="D206" s="12">
        <f t="shared" si="17"/>
        <v>-1.2729818838075795E-2</v>
      </c>
      <c r="E206" s="3">
        <f t="shared" si="18"/>
        <v>1.6367912862944672E-2</v>
      </c>
      <c r="F206" s="18">
        <f t="shared" si="16"/>
        <v>3.8100003234881759</v>
      </c>
      <c r="G206" s="3">
        <f t="shared" si="19"/>
        <v>1.8866413247711329E-2</v>
      </c>
      <c r="H206" s="4">
        <f t="shared" si="15"/>
        <v>3.7427387302040604</v>
      </c>
    </row>
    <row r="207" spans="2:8" x14ac:dyDescent="0.15">
      <c r="B207" s="16">
        <v>40836</v>
      </c>
      <c r="C207" s="11">
        <v>1215.3900000000001</v>
      </c>
      <c r="D207" s="12">
        <f t="shared" si="17"/>
        <v>4.5438318044085119E-3</v>
      </c>
      <c r="E207" s="3">
        <f t="shared" si="18"/>
        <v>1.5682452936466387E-2</v>
      </c>
      <c r="F207" s="18">
        <f t="shared" si="16"/>
        <v>4.1132382441923827</v>
      </c>
      <c r="G207" s="3">
        <f t="shared" si="19"/>
        <v>1.8462549255904948E-2</v>
      </c>
      <c r="H207" s="4">
        <f t="shared" si="15"/>
        <v>3.9617257131377182</v>
      </c>
    </row>
    <row r="208" spans="2:8" x14ac:dyDescent="0.15">
      <c r="B208" s="16">
        <v>40837</v>
      </c>
      <c r="C208" s="11">
        <v>1238.25</v>
      </c>
      <c r="D208" s="12">
        <f t="shared" si="17"/>
        <v>1.8634079544892792E-2</v>
      </c>
      <c r="E208" s="3">
        <f t="shared" si="18"/>
        <v>1.444787491230843E-2</v>
      </c>
      <c r="F208" s="18">
        <f t="shared" si="16"/>
        <v>3.4054864009085177</v>
      </c>
      <c r="G208" s="3">
        <f t="shared" si="19"/>
        <v>1.7775478744622389E-2</v>
      </c>
      <c r="H208" s="4">
        <f t="shared" si="15"/>
        <v>3.4804662607734564</v>
      </c>
    </row>
    <row r="209" spans="2:8" x14ac:dyDescent="0.15">
      <c r="B209" s="16">
        <v>40840</v>
      </c>
      <c r="C209" s="11">
        <v>1254.19</v>
      </c>
      <c r="D209" s="12">
        <f t="shared" si="17"/>
        <v>1.2790853398772921E-2</v>
      </c>
      <c r="E209" s="3">
        <f t="shared" si="18"/>
        <v>1.4918715229102928E-2</v>
      </c>
      <c r="F209" s="18">
        <f t="shared" si="16"/>
        <v>3.8375974548858429</v>
      </c>
      <c r="G209" s="3">
        <f t="shared" si="19"/>
        <v>1.7843719040773816E-2</v>
      </c>
      <c r="H209" s="4">
        <f t="shared" si="15"/>
        <v>3.769183481851297</v>
      </c>
    </row>
    <row r="210" spans="2:8" x14ac:dyDescent="0.15">
      <c r="B210" s="16">
        <v>40841</v>
      </c>
      <c r="C210" s="11">
        <v>1229.05</v>
      </c>
      <c r="D210" s="12">
        <f t="shared" si="17"/>
        <v>-2.0248432646129442E-2</v>
      </c>
      <c r="E210" s="3">
        <f t="shared" si="18"/>
        <v>1.4456262134189888E-2</v>
      </c>
      <c r="F210" s="18">
        <f t="shared" si="16"/>
        <v>3.2556913095848929</v>
      </c>
      <c r="G210" s="3">
        <f t="shared" si="19"/>
        <v>1.7503219835504191E-2</v>
      </c>
      <c r="H210" s="4">
        <f t="shared" si="15"/>
        <v>3.3762305152829457</v>
      </c>
    </row>
    <row r="211" spans="2:8" x14ac:dyDescent="0.15">
      <c r="B211" s="16">
        <v>40842</v>
      </c>
      <c r="C211" s="11">
        <v>1242</v>
      </c>
      <c r="D211" s="12">
        <f t="shared" si="17"/>
        <v>1.0481470272433699E-2</v>
      </c>
      <c r="E211" s="3">
        <f t="shared" si="18"/>
        <v>1.5208062271391277E-2</v>
      </c>
      <c r="F211" s="18">
        <f t="shared" si="16"/>
        <v>3.9484279167119625</v>
      </c>
      <c r="G211" s="3">
        <f t="shared" si="19"/>
        <v>1.7731913640440945E-2</v>
      </c>
      <c r="H211" s="4">
        <f t="shared" si="15"/>
        <v>3.8576850897509067</v>
      </c>
    </row>
    <row r="212" spans="2:8" x14ac:dyDescent="0.15">
      <c r="B212" s="16">
        <v>40843</v>
      </c>
      <c r="C212" s="11">
        <v>1284.5899999999999</v>
      </c>
      <c r="D212" s="12">
        <f t="shared" si="17"/>
        <v>3.3716617775602885E-2</v>
      </c>
      <c r="E212" s="3">
        <f t="shared" si="18"/>
        <v>1.445114753145893E-2</v>
      </c>
      <c r="F212" s="18">
        <f t="shared" si="16"/>
        <v>1.5151994382000811</v>
      </c>
      <c r="G212" s="3">
        <f t="shared" si="19"/>
        <v>1.7277603998585026E-2</v>
      </c>
      <c r="H212" s="4">
        <f t="shared" si="15"/>
        <v>2.1542388118587925</v>
      </c>
    </row>
    <row r="213" spans="2:8" x14ac:dyDescent="0.15">
      <c r="B213" s="16">
        <v>40844</v>
      </c>
      <c r="C213" s="11">
        <v>1285.0899999999999</v>
      </c>
      <c r="D213" s="12">
        <f t="shared" si="17"/>
        <v>3.8915351818900429E-4</v>
      </c>
      <c r="E213" s="3">
        <f t="shared" si="18"/>
        <v>1.8160331796528397E-2</v>
      </c>
      <c r="F213" s="18">
        <f t="shared" si="16"/>
        <v>4.0082860392150002</v>
      </c>
      <c r="G213" s="3">
        <f t="shared" si="19"/>
        <v>1.9070807702288407E-2</v>
      </c>
      <c r="H213" s="4">
        <f t="shared" si="15"/>
        <v>3.9593883090059334</v>
      </c>
    </row>
    <row r="214" spans="2:8" x14ac:dyDescent="0.15">
      <c r="B214" s="16">
        <v>40847</v>
      </c>
      <c r="C214" s="11">
        <v>1253.3</v>
      </c>
      <c r="D214" s="12">
        <f t="shared" si="17"/>
        <v>-2.5048682169739451E-2</v>
      </c>
      <c r="E214" s="3">
        <f t="shared" si="18"/>
        <v>1.6574117393274339E-2</v>
      </c>
      <c r="F214" s="18">
        <f t="shared" si="16"/>
        <v>2.9578792198780763</v>
      </c>
      <c r="G214" s="3">
        <f t="shared" si="19"/>
        <v>1.8314720093460059E-2</v>
      </c>
      <c r="H214" s="4">
        <f t="shared" si="15"/>
        <v>3.0647754420303182</v>
      </c>
    </row>
    <row r="215" spans="2:8" x14ac:dyDescent="0.15">
      <c r="B215" s="16">
        <v>40848</v>
      </c>
      <c r="C215" s="11">
        <v>1218.28</v>
      </c>
      <c r="D215" s="12">
        <f t="shared" si="17"/>
        <v>-2.834004470968389E-2</v>
      </c>
      <c r="E215" s="3">
        <f t="shared" si="18"/>
        <v>1.7738778331086391E-2</v>
      </c>
      <c r="F215" s="18">
        <f t="shared" si="16"/>
        <v>2.7557877330324687</v>
      </c>
      <c r="G215" s="3">
        <f t="shared" si="19"/>
        <v>1.8924415277475834E-2</v>
      </c>
      <c r="H215" s="4">
        <f t="shared" si="15"/>
        <v>2.8459912618207657</v>
      </c>
    </row>
    <row r="216" spans="2:8" x14ac:dyDescent="0.15">
      <c r="B216" s="16">
        <v>40849</v>
      </c>
      <c r="C216" s="11">
        <v>1237.9000000000001</v>
      </c>
      <c r="D216" s="12">
        <f t="shared" si="17"/>
        <v>1.597636762997209E-2</v>
      </c>
      <c r="E216" s="3">
        <f t="shared" si="18"/>
        <v>1.926836702982564E-2</v>
      </c>
      <c r="F216" s="18">
        <f t="shared" si="16"/>
        <v>3.6055456328285547</v>
      </c>
      <c r="G216" s="3">
        <f t="shared" si="19"/>
        <v>1.9817557587530996E-2</v>
      </c>
      <c r="H216" s="4">
        <f t="shared" si="15"/>
        <v>3.5962300316297289</v>
      </c>
    </row>
    <row r="217" spans="2:8" x14ac:dyDescent="0.15">
      <c r="B217" s="16">
        <v>40850</v>
      </c>
      <c r="C217" s="11">
        <v>1261.1500000000001</v>
      </c>
      <c r="D217" s="12">
        <f t="shared" si="17"/>
        <v>1.8607607564519471E-2</v>
      </c>
      <c r="E217" s="3">
        <f t="shared" si="18"/>
        <v>1.8528779623764469E-2</v>
      </c>
      <c r="F217" s="18">
        <f t="shared" si="16"/>
        <v>3.48416669911837</v>
      </c>
      <c r="G217" s="3">
        <f t="shared" si="19"/>
        <v>1.9545976598779227E-2</v>
      </c>
      <c r="H217" s="4">
        <f t="shared" si="15"/>
        <v>3.4818417122616676</v>
      </c>
    </row>
    <row r="218" spans="2:8" x14ac:dyDescent="0.15">
      <c r="B218" s="16">
        <v>40851</v>
      </c>
      <c r="C218" s="11">
        <v>1253.23</v>
      </c>
      <c r="D218" s="12">
        <f t="shared" si="17"/>
        <v>-6.2997845938890726E-3</v>
      </c>
      <c r="E218" s="3">
        <f t="shared" si="18"/>
        <v>1.8241429963026117E-2</v>
      </c>
      <c r="F218" s="18">
        <f t="shared" si="16"/>
        <v>3.944424567919397</v>
      </c>
      <c r="G218" s="3">
        <f t="shared" si="19"/>
        <v>1.9474636573641943E-2</v>
      </c>
      <c r="H218" s="4">
        <f t="shared" si="15"/>
        <v>3.8863205480441394</v>
      </c>
    </row>
    <row r="219" spans="2:8" x14ac:dyDescent="0.15">
      <c r="B219" s="16">
        <v>40854</v>
      </c>
      <c r="C219" s="11">
        <v>1261.1199999999999</v>
      </c>
      <c r="D219" s="12">
        <f t="shared" si="17"/>
        <v>6.2759964982437742E-3</v>
      </c>
      <c r="E219" s="3">
        <f t="shared" si="18"/>
        <v>1.6807338518050923E-2</v>
      </c>
      <c r="F219" s="18">
        <f t="shared" si="16"/>
        <v>4.0162228633566075</v>
      </c>
      <c r="G219" s="3">
        <f t="shared" si="19"/>
        <v>1.8784527841789897E-2</v>
      </c>
      <c r="H219" s="4">
        <f t="shared" si="15"/>
        <v>3.918908805038122</v>
      </c>
    </row>
    <row r="220" spans="2:8" x14ac:dyDescent="0.15">
      <c r="B220" s="16">
        <v>40855</v>
      </c>
      <c r="C220" s="11">
        <v>1275.92</v>
      </c>
      <c r="D220" s="12">
        <f t="shared" si="17"/>
        <v>1.1667272007859919E-2</v>
      </c>
      <c r="E220" s="3">
        <f t="shared" si="18"/>
        <v>1.5532017849594839E-2</v>
      </c>
      <c r="F220" s="18">
        <f t="shared" si="16"/>
        <v>3.8827193665159907</v>
      </c>
      <c r="G220" s="3">
        <f t="shared" si="19"/>
        <v>1.8124159549921279E-2</v>
      </c>
      <c r="H220" s="4">
        <f t="shared" si="15"/>
        <v>3.8033079480653518</v>
      </c>
    </row>
    <row r="221" spans="2:8" x14ac:dyDescent="0.15">
      <c r="B221" s="16">
        <v>40856</v>
      </c>
      <c r="C221" s="11">
        <v>1229.0999999999999</v>
      </c>
      <c r="D221" s="12">
        <f t="shared" si="17"/>
        <v>-3.7385292793563688E-2</v>
      </c>
      <c r="E221" s="3">
        <f t="shared" si="18"/>
        <v>1.4851368708895508E-2</v>
      </c>
      <c r="F221" s="18">
        <f t="shared" si="16"/>
        <v>1.0412733769157914</v>
      </c>
      <c r="G221" s="3">
        <f t="shared" si="19"/>
        <v>1.7706737630931318E-2</v>
      </c>
      <c r="H221" s="4">
        <f t="shared" si="15"/>
        <v>1.8048900988010779</v>
      </c>
    </row>
    <row r="222" spans="2:8" x14ac:dyDescent="0.15">
      <c r="B222" s="16">
        <v>40857</v>
      </c>
      <c r="C222" s="11">
        <v>1239.69</v>
      </c>
      <c r="D222" s="12">
        <f t="shared" si="17"/>
        <v>8.5791541229383456E-3</v>
      </c>
      <c r="E222" s="3">
        <f t="shared" si="18"/>
        <v>1.9360019067824863E-2</v>
      </c>
      <c r="F222" s="18">
        <f t="shared" si="16"/>
        <v>3.8463597061941166</v>
      </c>
      <c r="G222" s="3">
        <f t="shared" si="19"/>
        <v>1.9945507472411139E-2</v>
      </c>
      <c r="H222" s="4">
        <f t="shared" si="15"/>
        <v>3.8222455929978127</v>
      </c>
    </row>
    <row r="223" spans="2:8" x14ac:dyDescent="0.15">
      <c r="B223" s="16">
        <v>40858</v>
      </c>
      <c r="C223" s="11">
        <v>1263.8499999999999</v>
      </c>
      <c r="D223" s="12">
        <f t="shared" si="17"/>
        <v>1.9301269434906725E-2</v>
      </c>
      <c r="E223" s="3">
        <f t="shared" si="18"/>
        <v>1.7932306369047551E-2</v>
      </c>
      <c r="F223" s="18">
        <f t="shared" si="16"/>
        <v>3.4418968218879682</v>
      </c>
      <c r="G223" s="3">
        <f t="shared" si="19"/>
        <v>1.9303212542846324E-2</v>
      </c>
      <c r="H223" s="4">
        <f t="shared" si="15"/>
        <v>3.4475844012716754</v>
      </c>
    </row>
    <row r="224" spans="2:8" x14ac:dyDescent="0.15">
      <c r="B224" s="16">
        <v>40861</v>
      </c>
      <c r="C224" s="11">
        <v>1251.78</v>
      </c>
      <c r="D224" s="12">
        <f t="shared" si="17"/>
        <v>-9.5960794089423214E-3</v>
      </c>
      <c r="E224" s="3">
        <f t="shared" si="18"/>
        <v>1.7846307029918868E-2</v>
      </c>
      <c r="F224" s="18">
        <f t="shared" si="16"/>
        <v>3.8813944170965287</v>
      </c>
      <c r="G224" s="3">
        <f t="shared" si="19"/>
        <v>1.93030614669761E-2</v>
      </c>
      <c r="H224" s="4">
        <f t="shared" si="15"/>
        <v>3.8239237792758138</v>
      </c>
    </row>
    <row r="225" spans="2:8" x14ac:dyDescent="0.15">
      <c r="B225" s="16">
        <v>40862</v>
      </c>
      <c r="C225" s="11">
        <v>1257.81</v>
      </c>
      <c r="D225" s="12">
        <f t="shared" si="17"/>
        <v>4.805575097530124E-3</v>
      </c>
      <c r="E225" s="3">
        <f t="shared" si="18"/>
        <v>1.667059312669824E-2</v>
      </c>
      <c r="F225" s="18">
        <f t="shared" si="16"/>
        <v>4.0525601878113919</v>
      </c>
      <c r="G225" s="3">
        <f t="shared" si="19"/>
        <v>1.8729564420836901E-2</v>
      </c>
      <c r="H225" s="4">
        <f t="shared" si="15"/>
        <v>3.9447361448608773</v>
      </c>
    </row>
    <row r="226" spans="2:8" x14ac:dyDescent="0.15">
      <c r="B226" s="16">
        <v>40863</v>
      </c>
      <c r="C226" s="11">
        <v>1236.9100000000001</v>
      </c>
      <c r="D226" s="12">
        <f t="shared" si="17"/>
        <v>-1.6755779391136084E-2</v>
      </c>
      <c r="E226" s="3">
        <f t="shared" si="18"/>
        <v>1.5338825735252795E-2</v>
      </c>
      <c r="F226" s="18">
        <f t="shared" si="16"/>
        <v>3.580724354820318</v>
      </c>
      <c r="G226" s="3">
        <f t="shared" si="19"/>
        <v>1.8036535703469952E-2</v>
      </c>
      <c r="H226" s="4">
        <f t="shared" si="15"/>
        <v>3.5838436752746512</v>
      </c>
    </row>
    <row r="227" spans="2:8" x14ac:dyDescent="0.15">
      <c r="B227" s="16">
        <v>40864</v>
      </c>
      <c r="C227" s="11">
        <v>1216.1300000000001</v>
      </c>
      <c r="D227" s="12">
        <f t="shared" si="17"/>
        <v>-1.6942648369624176E-2</v>
      </c>
      <c r="E227" s="3">
        <f t="shared" si="18"/>
        <v>1.5339548190769976E-2</v>
      </c>
      <c r="F227" s="18">
        <f t="shared" si="16"/>
        <v>3.5673523587690212</v>
      </c>
      <c r="G227" s="3">
        <f t="shared" si="19"/>
        <v>1.7940231324089461E-2</v>
      </c>
      <c r="H227" s="4">
        <f t="shared" si="15"/>
        <v>3.5747694329802484</v>
      </c>
    </row>
    <row r="228" spans="2:8" x14ac:dyDescent="0.15">
      <c r="B228" s="16">
        <v>40865</v>
      </c>
      <c r="C228" s="11">
        <v>1215.6500000000001</v>
      </c>
      <c r="D228" s="12">
        <f t="shared" si="17"/>
        <v>-3.9477255856521859E-4</v>
      </c>
      <c r="E228" s="3">
        <f t="shared" si="18"/>
        <v>1.5367969373626533E-2</v>
      </c>
      <c r="F228" s="18">
        <f t="shared" si="16"/>
        <v>4.1751399094428283</v>
      </c>
      <c r="G228" s="3">
        <f t="shared" si="19"/>
        <v>1.7864663435797366E-2</v>
      </c>
      <c r="H228" s="4">
        <f t="shared" si="15"/>
        <v>4.024686467145739</v>
      </c>
    </row>
    <row r="229" spans="2:8" x14ac:dyDescent="0.15">
      <c r="B229" s="16">
        <v>40868</v>
      </c>
      <c r="C229" s="11">
        <v>1192.98</v>
      </c>
      <c r="D229" s="12">
        <f t="shared" si="17"/>
        <v>-1.8824534649997567E-2</v>
      </c>
      <c r="E229" s="3">
        <f t="shared" si="18"/>
        <v>1.406967594509306E-2</v>
      </c>
      <c r="F229" s="18">
        <f t="shared" si="16"/>
        <v>3.3686772240534868</v>
      </c>
      <c r="G229" s="3">
        <f t="shared" si="19"/>
        <v>1.7156447041525996E-2</v>
      </c>
      <c r="H229" s="4">
        <f t="shared" si="15"/>
        <v>3.4634265764231795</v>
      </c>
    </row>
    <row r="230" spans="2:8" x14ac:dyDescent="0.15">
      <c r="B230" s="16">
        <v>40869</v>
      </c>
      <c r="C230" s="11">
        <v>1188.04</v>
      </c>
      <c r="D230" s="12">
        <f t="shared" si="17"/>
        <v>-4.1494881086074744E-3</v>
      </c>
      <c r="E230" s="3">
        <f t="shared" si="18"/>
        <v>1.4652478686397002E-2</v>
      </c>
      <c r="F230" s="18">
        <f t="shared" si="16"/>
        <v>4.1830464582163334</v>
      </c>
      <c r="G230" s="3">
        <f t="shared" si="19"/>
        <v>1.7291916565821096E-2</v>
      </c>
      <c r="H230" s="4">
        <f t="shared" si="15"/>
        <v>4.0287240737839491</v>
      </c>
    </row>
    <row r="231" spans="2:8" x14ac:dyDescent="0.15">
      <c r="B231" s="16">
        <v>40870</v>
      </c>
      <c r="C231" s="11">
        <v>1161.79</v>
      </c>
      <c r="D231" s="12">
        <f t="shared" si="17"/>
        <v>-2.2342971201496673E-2</v>
      </c>
      <c r="E231" s="3">
        <f t="shared" si="18"/>
        <v>1.3515320993308551E-2</v>
      </c>
      <c r="F231" s="18">
        <f t="shared" si="16"/>
        <v>2.937464417112623</v>
      </c>
      <c r="G231" s="3">
        <f t="shared" si="19"/>
        <v>1.6646324987326946E-2</v>
      </c>
      <c r="H231" s="4">
        <f t="shared" si="15"/>
        <v>3.194793311376007</v>
      </c>
    </row>
    <row r="232" spans="2:8" x14ac:dyDescent="0.15">
      <c r="B232" s="16">
        <v>40872</v>
      </c>
      <c r="C232" s="11">
        <v>1158.67</v>
      </c>
      <c r="D232" s="12">
        <f t="shared" si="17"/>
        <v>-2.6891236049403243E-3</v>
      </c>
      <c r="E232" s="3">
        <f t="shared" si="18"/>
        <v>1.4893502631719307E-2</v>
      </c>
      <c r="F232" s="18">
        <f t="shared" si="16"/>
        <v>4.1905298419064376</v>
      </c>
      <c r="G232" s="3">
        <f t="shared" si="19"/>
        <v>1.7157207335904475E-2</v>
      </c>
      <c r="H232" s="4">
        <f t="shared" si="15"/>
        <v>4.0530541138245093</v>
      </c>
    </row>
    <row r="233" spans="2:8" x14ac:dyDescent="0.15">
      <c r="B233" s="16">
        <v>40875</v>
      </c>
      <c r="C233" s="11">
        <v>1192.55</v>
      </c>
      <c r="D233" s="12">
        <f t="shared" si="17"/>
        <v>2.8821076021685699E-2</v>
      </c>
      <c r="E233" s="3">
        <f t="shared" si="18"/>
        <v>1.3680138128356523E-2</v>
      </c>
      <c r="F233" s="18">
        <f t="shared" si="16"/>
        <v>2.0725439546289071</v>
      </c>
      <c r="G233" s="3">
        <f t="shared" si="19"/>
        <v>1.6493751315481055E-2</v>
      </c>
      <c r="H233" s="4">
        <f t="shared" si="15"/>
        <v>2.5780814248259478</v>
      </c>
    </row>
    <row r="234" spans="2:8" x14ac:dyDescent="0.15">
      <c r="B234" s="16">
        <v>40876</v>
      </c>
      <c r="C234" s="11">
        <v>1195.19</v>
      </c>
      <c r="D234" s="12">
        <f t="shared" si="17"/>
        <v>2.2112969383296607E-3</v>
      </c>
      <c r="E234" s="3">
        <f t="shared" si="18"/>
        <v>1.6445984091435589E-2</v>
      </c>
      <c r="F234" s="18">
        <f t="shared" si="16"/>
        <v>4.0986344599044742</v>
      </c>
      <c r="G234" s="3">
        <f t="shared" si="19"/>
        <v>1.7761689109723384E-2</v>
      </c>
      <c r="H234" s="4">
        <f t="shared" si="15"/>
        <v>4.0229615472159592</v>
      </c>
    </row>
    <row r="235" spans="2:8" x14ac:dyDescent="0.15">
      <c r="B235" s="16">
        <v>40877</v>
      </c>
      <c r="C235" s="11">
        <v>1246.96</v>
      </c>
      <c r="D235" s="12">
        <f t="shared" si="17"/>
        <v>4.2403420637779909E-2</v>
      </c>
      <c r="E235" s="3">
        <f t="shared" si="18"/>
        <v>1.5056951054095E-2</v>
      </c>
      <c r="F235" s="18">
        <f t="shared" si="16"/>
        <v>0.23041774925228919</v>
      </c>
      <c r="G235" s="3">
        <f t="shared" si="19"/>
        <v>1.7068345077426071E-2</v>
      </c>
      <c r="H235" s="4">
        <f t="shared" si="15"/>
        <v>0.98457916899318132</v>
      </c>
    </row>
    <row r="236" spans="2:8" x14ac:dyDescent="0.15">
      <c r="B236" s="16">
        <v>40878</v>
      </c>
      <c r="C236" s="11">
        <v>1244.58</v>
      </c>
      <c r="D236" s="12">
        <f t="shared" si="17"/>
        <v>-1.910465594686547E-3</v>
      </c>
      <c r="E236" s="3">
        <f t="shared" si="18"/>
        <v>2.0837141631169561E-2</v>
      </c>
      <c r="F236" s="18">
        <f t="shared" si="16"/>
        <v>3.8668151057410989</v>
      </c>
      <c r="G236" s="3">
        <f t="shared" si="19"/>
        <v>2.0210909268737386E-2</v>
      </c>
      <c r="H236" s="4">
        <f t="shared" si="15"/>
        <v>3.897065132250773</v>
      </c>
    </row>
    <row r="237" spans="2:8" x14ac:dyDescent="0.15">
      <c r="B237" s="16">
        <v>40879</v>
      </c>
      <c r="C237" s="11">
        <v>1244.28</v>
      </c>
      <c r="D237" s="12">
        <f t="shared" si="17"/>
        <v>-2.4107422792193239E-4</v>
      </c>
      <c r="E237" s="3">
        <f t="shared" si="18"/>
        <v>1.8993348750487526E-2</v>
      </c>
      <c r="F237" s="18">
        <f t="shared" si="16"/>
        <v>3.9635858763209386</v>
      </c>
      <c r="G237" s="3">
        <f t="shared" si="19"/>
        <v>1.9416589426174531E-2</v>
      </c>
      <c r="H237" s="4">
        <f t="shared" si="15"/>
        <v>3.9415503761079584</v>
      </c>
    </row>
    <row r="238" spans="2:8" x14ac:dyDescent="0.15">
      <c r="B238" s="16">
        <v>40882</v>
      </c>
      <c r="C238" s="11">
        <v>1257.08</v>
      </c>
      <c r="D238" s="12">
        <f t="shared" si="17"/>
        <v>1.0234521802755791E-2</v>
      </c>
      <c r="E238" s="3">
        <f t="shared" si="18"/>
        <v>1.7322217215297236E-2</v>
      </c>
      <c r="F238" s="18">
        <f t="shared" si="16"/>
        <v>3.8812240899456452</v>
      </c>
      <c r="G238" s="3">
        <f t="shared" si="19"/>
        <v>1.8646586715107025E-2</v>
      </c>
      <c r="H238" s="4">
        <f t="shared" si="15"/>
        <v>3.8314639194971538</v>
      </c>
    </row>
    <row r="239" spans="2:8" x14ac:dyDescent="0.15">
      <c r="B239" s="16">
        <v>40883</v>
      </c>
      <c r="C239" s="11">
        <v>1258.47</v>
      </c>
      <c r="D239" s="12">
        <f t="shared" si="17"/>
        <v>1.1051262280358551E-3</v>
      </c>
      <c r="E239" s="3">
        <f t="shared" si="18"/>
        <v>1.6264006556628942E-2</v>
      </c>
      <c r="F239" s="18">
        <f t="shared" si="16"/>
        <v>4.1164922526545586</v>
      </c>
      <c r="G239" s="3">
        <f t="shared" si="19"/>
        <v>1.813298298696172E-2</v>
      </c>
      <c r="H239" s="4">
        <f t="shared" si="15"/>
        <v>4.0081655491141976</v>
      </c>
    </row>
    <row r="240" spans="2:8" x14ac:dyDescent="0.15">
      <c r="B240" s="16">
        <v>40884</v>
      </c>
      <c r="C240" s="11">
        <v>1261.01</v>
      </c>
      <c r="D240" s="12">
        <f t="shared" si="17"/>
        <v>2.0162897586126602E-3</v>
      </c>
      <c r="E240" s="3">
        <f t="shared" si="18"/>
        <v>1.4877313919872496E-2</v>
      </c>
      <c r="F240" s="18">
        <f t="shared" si="16"/>
        <v>4.1987338885104792</v>
      </c>
      <c r="G240" s="3">
        <f t="shared" si="19"/>
        <v>1.7416497406260566E-2</v>
      </c>
      <c r="H240" s="4">
        <f t="shared" si="15"/>
        <v>4.0436361693226779</v>
      </c>
    </row>
    <row r="241" spans="2:8" x14ac:dyDescent="0.15">
      <c r="B241" s="16">
        <v>40885</v>
      </c>
      <c r="C241" s="11">
        <v>1234.3499999999999</v>
      </c>
      <c r="D241" s="12">
        <f t="shared" si="17"/>
        <v>-2.1368471427759831E-2</v>
      </c>
      <c r="E241" s="3">
        <f t="shared" si="18"/>
        <v>1.3649961996786827E-2</v>
      </c>
      <c r="F241" s="18">
        <f t="shared" si="16"/>
        <v>3.0686858154450736</v>
      </c>
      <c r="G241" s="3">
        <f t="shared" si="19"/>
        <v>1.6735150410395899E-2</v>
      </c>
      <c r="H241" s="4">
        <f t="shared" si="15"/>
        <v>3.2750561457733487</v>
      </c>
    </row>
    <row r="242" spans="2:8" x14ac:dyDescent="0.15">
      <c r="B242" s="16">
        <v>40886</v>
      </c>
      <c r="C242" s="11">
        <v>1255.19</v>
      </c>
      <c r="D242" s="12">
        <f t="shared" si="17"/>
        <v>1.6742439809384415E-2</v>
      </c>
      <c r="E242" s="3">
        <f t="shared" si="18"/>
        <v>1.4799795616412816E-2</v>
      </c>
      <c r="F242" s="18">
        <f t="shared" si="16"/>
        <v>3.5732655545882177</v>
      </c>
      <c r="G242" s="3">
        <f t="shared" si="19"/>
        <v>1.7140370534014415E-2</v>
      </c>
      <c r="H242" s="4">
        <f t="shared" si="15"/>
        <v>3.5892652499242748</v>
      </c>
    </row>
    <row r="243" spans="2:8" x14ac:dyDescent="0.15">
      <c r="B243" s="16">
        <v>40889</v>
      </c>
      <c r="C243" s="11">
        <v>1236.47</v>
      </c>
      <c r="D243" s="12">
        <f t="shared" si="17"/>
        <v>-1.5026409891996106E-2</v>
      </c>
      <c r="E243" s="3">
        <f t="shared" si="18"/>
        <v>1.4897113515285462E-2</v>
      </c>
      <c r="F243" s="18">
        <f t="shared" si="16"/>
        <v>3.6978708530012181</v>
      </c>
      <c r="G243" s="3">
        <f t="shared" si="19"/>
        <v>1.7109761968300708E-2</v>
      </c>
      <c r="H243" s="4">
        <f t="shared" si="15"/>
        <v>3.6824568168705158</v>
      </c>
    </row>
    <row r="244" spans="2:8" x14ac:dyDescent="0.15">
      <c r="B244" s="16">
        <v>40890</v>
      </c>
      <c r="C244" s="11">
        <v>1225.73</v>
      </c>
      <c r="D244" s="12">
        <f t="shared" si="17"/>
        <v>-8.7239607798868263E-3</v>
      </c>
      <c r="E244" s="3">
        <f t="shared" si="18"/>
        <v>1.4727348443723733E-2</v>
      </c>
      <c r="F244" s="18">
        <f t="shared" si="16"/>
        <v>4.0426011290537804</v>
      </c>
      <c r="G244" s="3">
        <f t="shared" si="19"/>
        <v>1.6956954396616319E-2</v>
      </c>
      <c r="H244" s="4">
        <f t="shared" si="15"/>
        <v>3.9447340168318079</v>
      </c>
    </row>
    <row r="245" spans="2:8" x14ac:dyDescent="0.15">
      <c r="B245" s="16">
        <v>40891</v>
      </c>
      <c r="C245" s="11">
        <v>1211.82</v>
      </c>
      <c r="D245" s="12">
        <f t="shared" si="17"/>
        <v>-1.1413223108981121E-2</v>
      </c>
      <c r="E245" s="3">
        <f t="shared" si="18"/>
        <v>1.3872950208555859E-2</v>
      </c>
      <c r="F245" s="18">
        <f t="shared" si="16"/>
        <v>3.9393998626392914</v>
      </c>
      <c r="G245" s="3">
        <f t="shared" si="19"/>
        <v>1.6465080558513534E-2</v>
      </c>
      <c r="H245" s="4">
        <f t="shared" si="15"/>
        <v>3.8662659585614176</v>
      </c>
    </row>
    <row r="246" spans="2:8" x14ac:dyDescent="0.15">
      <c r="B246" s="16">
        <v>40892</v>
      </c>
      <c r="C246" s="11">
        <v>1215.75</v>
      </c>
      <c r="D246" s="12">
        <f t="shared" si="17"/>
        <v>3.2378085355431558E-3</v>
      </c>
      <c r="E246" s="3">
        <f t="shared" si="18"/>
        <v>1.3408086759066686E-2</v>
      </c>
      <c r="F246" s="18">
        <f t="shared" si="16"/>
        <v>4.2827405417202327</v>
      </c>
      <c r="G246" s="3">
        <f t="shared" si="19"/>
        <v>1.6129114417910689E-2</v>
      </c>
      <c r="H246" s="4">
        <f t="shared" si="15"/>
        <v>4.1069803937166141</v>
      </c>
    </row>
    <row r="247" spans="2:8" x14ac:dyDescent="0.15">
      <c r="B247" s="16">
        <v>40893</v>
      </c>
      <c r="C247" s="11">
        <v>1219.6600000000001</v>
      </c>
      <c r="D247" s="12">
        <f t="shared" si="17"/>
        <v>3.2109610779535356E-3</v>
      </c>
      <c r="E247" s="3">
        <f t="shared" si="18"/>
        <v>1.2374415050096111E-2</v>
      </c>
      <c r="F247" s="18">
        <f t="shared" si="16"/>
        <v>4.3584583015205967</v>
      </c>
      <c r="G247" s="3">
        <f t="shared" si="19"/>
        <v>1.551567213793931E-2</v>
      </c>
      <c r="H247" s="4">
        <f t="shared" si="15"/>
        <v>4.1444906059377882</v>
      </c>
    </row>
    <row r="248" spans="2:8" x14ac:dyDescent="0.15">
      <c r="B248" s="16">
        <v>40896</v>
      </c>
      <c r="C248" s="11">
        <v>1205.3499999999999</v>
      </c>
      <c r="D248" s="12">
        <f t="shared" si="17"/>
        <v>-1.1802150179861201E-2</v>
      </c>
      <c r="E248" s="3">
        <f t="shared" si="18"/>
        <v>1.1456709340103342E-2</v>
      </c>
      <c r="F248" s="18">
        <f t="shared" si="16"/>
        <v>3.9385733477437332</v>
      </c>
      <c r="G248" s="3">
        <f t="shared" si="19"/>
        <v>1.4927147584619891E-2</v>
      </c>
      <c r="H248" s="4">
        <f t="shared" si="15"/>
        <v>3.8920099771386014</v>
      </c>
    </row>
    <row r="249" spans="2:8" x14ac:dyDescent="0.15">
      <c r="B249" s="16">
        <v>40897</v>
      </c>
      <c r="C249" s="11">
        <v>1241.3</v>
      </c>
      <c r="D249" s="12">
        <f t="shared" si="17"/>
        <v>2.9389236339914412E-2</v>
      </c>
      <c r="E249" s="3">
        <f t="shared" si="18"/>
        <v>1.1438191637048777E-2</v>
      </c>
      <c r="F249" s="18">
        <f t="shared" si="16"/>
        <v>1.1699011614491384</v>
      </c>
      <c r="G249" s="3">
        <f t="shared" si="19"/>
        <v>1.4707994018914157E-2</v>
      </c>
      <c r="H249" s="4">
        <f t="shared" si="15"/>
        <v>2.2230001766487857</v>
      </c>
    </row>
    <row r="250" spans="2:8" x14ac:dyDescent="0.15">
      <c r="B250" s="16">
        <v>40898</v>
      </c>
      <c r="C250" s="11">
        <v>1243.72</v>
      </c>
      <c r="D250" s="12">
        <f t="shared" si="17"/>
        <v>1.9476710569789914E-3</v>
      </c>
      <c r="E250" s="3">
        <f t="shared" si="18"/>
        <v>1.5126007452118838E-2</v>
      </c>
      <c r="F250" s="18">
        <f t="shared" si="16"/>
        <v>4.1830497056271607</v>
      </c>
      <c r="G250" s="3">
        <f t="shared" si="19"/>
        <v>1.6329809630978756E-2</v>
      </c>
      <c r="H250" s="4">
        <f t="shared" si="15"/>
        <v>4.1076502561518646</v>
      </c>
    </row>
    <row r="251" spans="2:8" x14ac:dyDescent="0.15">
      <c r="B251" s="16">
        <v>40899</v>
      </c>
      <c r="C251" s="11">
        <v>1254</v>
      </c>
      <c r="D251" s="12">
        <f t="shared" si="17"/>
        <v>8.2315536139849193E-3</v>
      </c>
      <c r="E251" s="3">
        <f t="shared" si="18"/>
        <v>1.38708727344373E-2</v>
      </c>
      <c r="F251" s="18">
        <f t="shared" si="16"/>
        <v>4.1018776277106648</v>
      </c>
      <c r="G251" s="3">
        <f t="shared" si="19"/>
        <v>1.5691518515684195E-2</v>
      </c>
      <c r="H251" s="4">
        <f t="shared" si="15"/>
        <v>4.0170396091736178</v>
      </c>
    </row>
    <row r="252" spans="2:8" x14ac:dyDescent="0.15">
      <c r="B252" s="16">
        <v>40900</v>
      </c>
      <c r="C252" s="11">
        <v>1265.33</v>
      </c>
      <c r="D252" s="12">
        <f t="shared" si="17"/>
        <v>8.9945155134233852E-3</v>
      </c>
      <c r="E252" s="3">
        <f t="shared" si="18"/>
        <v>1.3086152860766779E-2</v>
      </c>
      <c r="F252" s="18">
        <f t="shared" si="16"/>
        <v>4.0999888481210478</v>
      </c>
      <c r="G252" s="3">
        <f t="shared" si="19"/>
        <v>1.5242949344940533E-2</v>
      </c>
      <c r="H252" s="4">
        <f t="shared" si="15"/>
        <v>4.0095427223809565</v>
      </c>
    </row>
    <row r="253" spans="2:8" x14ac:dyDescent="0.15">
      <c r="B253" s="16">
        <v>40904</v>
      </c>
      <c r="C253" s="11">
        <v>1265.43</v>
      </c>
      <c r="D253" s="12">
        <f t="shared" si="17"/>
        <v>7.9027643911078077E-5</v>
      </c>
      <c r="E253" s="3">
        <f t="shared" si="18"/>
        <v>1.2477601464940679E-2</v>
      </c>
      <c r="F253" s="18">
        <f t="shared" si="16"/>
        <v>4.3838000678266464</v>
      </c>
      <c r="G253" s="3">
        <f t="shared" si="19"/>
        <v>1.4851669152715076E-2</v>
      </c>
      <c r="H253" s="4">
        <f t="shared" si="15"/>
        <v>4.2096288619880395</v>
      </c>
    </row>
    <row r="254" spans="2:8" x14ac:dyDescent="0.15">
      <c r="B254" s="16">
        <v>40905</v>
      </c>
      <c r="C254" s="11">
        <v>1249.6400000000001</v>
      </c>
      <c r="D254" s="12">
        <f t="shared" si="17"/>
        <v>-1.2556475533817963E-2</v>
      </c>
      <c r="E254" s="3">
        <f t="shared" si="18"/>
        <v>1.1487383366556343E-2</v>
      </c>
      <c r="F254" s="18">
        <f t="shared" si="16"/>
        <v>3.8691086051670238</v>
      </c>
      <c r="G254" s="3">
        <f t="shared" si="19"/>
        <v>1.4262621597190491E-2</v>
      </c>
      <c r="H254" s="4">
        <f t="shared" si="15"/>
        <v>3.8625817305491976</v>
      </c>
    </row>
    <row r="255" spans="2:8" x14ac:dyDescent="0.15">
      <c r="B255" s="16">
        <v>40906</v>
      </c>
      <c r="C255" s="11">
        <v>1263.02</v>
      </c>
      <c r="D255" s="12">
        <f t="shared" si="17"/>
        <v>1.0650168721478698E-2</v>
      </c>
      <c r="E255" s="3">
        <f t="shared" si="18"/>
        <v>1.1571632565652658E-2</v>
      </c>
      <c r="F255" s="18">
        <f t="shared" si="16"/>
        <v>4.0356593485470569</v>
      </c>
      <c r="G255" s="3">
        <f t="shared" si="19"/>
        <v>1.4137347630278626E-2</v>
      </c>
      <c r="H255" s="4">
        <f t="shared" si="15"/>
        <v>3.9751778742771968</v>
      </c>
    </row>
    <row r="256" spans="2:8" x14ac:dyDescent="0.15">
      <c r="B256" s="16">
        <v>40907</v>
      </c>
      <c r="C256" s="11">
        <v>1257.5999999999999</v>
      </c>
      <c r="D256" s="12">
        <f t="shared" si="17"/>
        <v>-4.3005358629192147E-3</v>
      </c>
      <c r="E256" s="3">
        <f t="shared" si="18"/>
        <v>1.1379438631755912E-2</v>
      </c>
      <c r="F256" s="18">
        <f t="shared" si="16"/>
        <v>4.4045348060872591</v>
      </c>
      <c r="G256" s="3">
        <f t="shared" si="19"/>
        <v>1.3897615863568236E-2</v>
      </c>
      <c r="H256" s="4">
        <f t="shared" si="15"/>
        <v>4.2281601346263162</v>
      </c>
    </row>
    <row r="257" spans="2:8" x14ac:dyDescent="0.15">
      <c r="B257" s="16">
        <v>40911</v>
      </c>
      <c r="C257" s="11">
        <v>1277.06</v>
      </c>
      <c r="D257" s="12">
        <f t="shared" si="17"/>
        <v>1.5355418375209207E-2</v>
      </c>
      <c r="E257" s="3">
        <f t="shared" si="18"/>
        <v>1.0629808020940417E-2</v>
      </c>
      <c r="F257" s="18">
        <f t="shared" si="16"/>
        <v>3.5007132379989638</v>
      </c>
      <c r="G257" s="3">
        <f t="shared" si="19"/>
        <v>1.3400156597110462E-2</v>
      </c>
      <c r="H257" s="4">
        <f t="shared" si="15"/>
        <v>3.6559301795964694</v>
      </c>
    </row>
    <row r="258" spans="2:8" x14ac:dyDescent="0.15">
      <c r="B258" s="16">
        <v>40912</v>
      </c>
      <c r="C258" s="11">
        <v>1277.3</v>
      </c>
      <c r="D258" s="12">
        <f t="shared" si="17"/>
        <v>1.8791399857992464E-4</v>
      </c>
      <c r="E258" s="3">
        <f t="shared" si="18"/>
        <v>1.1355906704746682E-2</v>
      </c>
      <c r="F258" s="18">
        <f t="shared" si="16"/>
        <v>4.4778803429228802</v>
      </c>
      <c r="G258" s="3">
        <f t="shared" si="19"/>
        <v>1.3562295013015022E-2</v>
      </c>
      <c r="H258" s="4">
        <f t="shared" si="15"/>
        <v>4.3003657729482381</v>
      </c>
    </row>
    <row r="259" spans="2:8" x14ac:dyDescent="0.15">
      <c r="B259" s="16">
        <v>40913</v>
      </c>
      <c r="C259" s="11">
        <v>1281.06</v>
      </c>
      <c r="D259" s="12">
        <f t="shared" si="17"/>
        <v>2.9393851586132893E-3</v>
      </c>
      <c r="E259" s="3">
        <f t="shared" si="18"/>
        <v>1.0490433323780066E-2</v>
      </c>
      <c r="F259" s="18">
        <f t="shared" si="16"/>
        <v>4.5180364442009733</v>
      </c>
      <c r="G259" s="3">
        <f t="shared" si="19"/>
        <v>1.3024476527657692E-2</v>
      </c>
      <c r="H259" s="4">
        <f t="shared" si="15"/>
        <v>4.3154587817629277</v>
      </c>
    </row>
    <row r="260" spans="2:8" x14ac:dyDescent="0.15">
      <c r="B260" s="16">
        <v>40914</v>
      </c>
      <c r="C260" s="11">
        <v>1277.81</v>
      </c>
      <c r="D260" s="12">
        <f t="shared" si="17"/>
        <v>-2.5401851188711095E-3</v>
      </c>
      <c r="E260" s="3">
        <f t="shared" si="18"/>
        <v>9.7835490263363366E-3</v>
      </c>
      <c r="F260" s="18">
        <f t="shared" si="16"/>
        <v>4.5933469225141454</v>
      </c>
      <c r="G260" s="3">
        <f t="shared" si="19"/>
        <v>1.2534709996174681E-2</v>
      </c>
      <c r="H260" s="4">
        <f t="shared" si="15"/>
        <v>4.3587197493356751</v>
      </c>
    </row>
    <row r="261" spans="2:8" x14ac:dyDescent="0.15">
      <c r="B261" s="16">
        <v>40917</v>
      </c>
      <c r="C261" s="11">
        <v>1280.7</v>
      </c>
      <c r="D261" s="12">
        <f t="shared" si="17"/>
        <v>2.2591283435529062E-3</v>
      </c>
      <c r="E261" s="3">
        <f t="shared" si="18"/>
        <v>9.1472980960888312E-3</v>
      </c>
      <c r="F261" s="18">
        <f t="shared" si="16"/>
        <v>4.663799099324855</v>
      </c>
      <c r="G261" s="3">
        <f t="shared" si="19"/>
        <v>1.205836460998258E-2</v>
      </c>
      <c r="H261" s="4">
        <f t="shared" ref="H261:H324" si="20" xml:space="preserve"> - LN(G261) - 0.5 * ($D261/G261)^2</f>
        <v>4.4004467874635358</v>
      </c>
    </row>
    <row r="262" spans="2:8" x14ac:dyDescent="0.15">
      <c r="B262" s="16">
        <v>40918</v>
      </c>
      <c r="C262" s="11">
        <v>1292.08</v>
      </c>
      <c r="D262" s="12">
        <f t="shared" si="17"/>
        <v>8.8465194982314723E-3</v>
      </c>
      <c r="E262" s="3">
        <f t="shared" si="18"/>
        <v>8.5800053143488732E-3</v>
      </c>
      <c r="F262" s="18">
        <f t="shared" ref="F262:F325" si="21" xml:space="preserve"> - LN(E262) - 0.5 * (D262/E262)^2</f>
        <v>4.2267760747647927</v>
      </c>
      <c r="G262" s="3">
        <f t="shared" si="19"/>
        <v>1.1597212719813442E-2</v>
      </c>
      <c r="H262" s="4">
        <f t="shared" si="20"/>
        <v>4.1660476778314619</v>
      </c>
    </row>
    <row r="263" spans="2:8" x14ac:dyDescent="0.15">
      <c r="B263" s="16">
        <v>40919</v>
      </c>
      <c r="C263" s="11">
        <v>1292.48</v>
      </c>
      <c r="D263" s="12">
        <f t="shared" ref="D263:D326" si="22">LN(C263/C262)</f>
        <v>3.0953044479032282E-4</v>
      </c>
      <c r="E263" s="3">
        <f t="shared" si="18"/>
        <v>8.6776004691583326E-3</v>
      </c>
      <c r="F263" s="18">
        <f t="shared" si="21"/>
        <v>4.7463740559303762</v>
      </c>
      <c r="G263" s="3">
        <f t="shared" si="19"/>
        <v>1.1407144028334872E-2</v>
      </c>
      <c r="H263" s="4">
        <f t="shared" si="20"/>
        <v>4.4731473023211805</v>
      </c>
    </row>
    <row r="264" spans="2:8" x14ac:dyDescent="0.15">
      <c r="B264" s="16">
        <v>40920</v>
      </c>
      <c r="C264" s="11">
        <v>1295.5</v>
      </c>
      <c r="D264" s="12">
        <f t="shared" si="22"/>
        <v>2.3338676271165535E-3</v>
      </c>
      <c r="E264" s="3">
        <f t="shared" ref="E264:E327" si="23">SQRT($L$18 + $L$19*E263^2 + $L$20*D263^2)</f>
        <v>8.1285799022432336E-3</v>
      </c>
      <c r="F264" s="18">
        <f t="shared" si="21"/>
        <v>4.771150458752607</v>
      </c>
      <c r="G264" s="3">
        <f t="shared" ref="G264:G327" si="24">SQRT($V$18*G263^2 + (1-$V$18)*D263^2)</f>
        <v>1.0955040311650411E-2</v>
      </c>
      <c r="H264" s="4">
        <f t="shared" si="20"/>
        <v>4.491262491840331</v>
      </c>
    </row>
    <row r="265" spans="2:8" x14ac:dyDescent="0.15">
      <c r="B265" s="16">
        <v>40921</v>
      </c>
      <c r="C265" s="11">
        <v>1289.0899999999999</v>
      </c>
      <c r="D265" s="12">
        <f t="shared" si="22"/>
        <v>-4.9601779332832637E-3</v>
      </c>
      <c r="E265" s="3">
        <f t="shared" si="23"/>
        <v>7.6965157695781427E-3</v>
      </c>
      <c r="F265" s="18">
        <f t="shared" si="21"/>
        <v>4.6593163898242276</v>
      </c>
      <c r="G265" s="3">
        <f t="shared" si="24"/>
        <v>1.0540637366279398E-2</v>
      </c>
      <c r="H265" s="4">
        <f t="shared" si="20"/>
        <v>4.4417960697239325</v>
      </c>
    </row>
    <row r="266" spans="2:8" x14ac:dyDescent="0.15">
      <c r="B266" s="16">
        <v>40925</v>
      </c>
      <c r="C266" s="11">
        <v>1293.67</v>
      </c>
      <c r="D266" s="12">
        <f t="shared" si="22"/>
        <v>3.5465972840967364E-3</v>
      </c>
      <c r="E266" s="3">
        <f t="shared" si="23"/>
        <v>7.4987413963225448E-3</v>
      </c>
      <c r="F266" s="18">
        <f t="shared" si="21"/>
        <v>4.7811749752235082</v>
      </c>
      <c r="G266" s="3">
        <f t="shared" si="24"/>
        <v>1.021661653106843E-2</v>
      </c>
      <c r="H266" s="4">
        <f t="shared" si="20"/>
        <v>4.5234866880078677</v>
      </c>
    </row>
    <row r="267" spans="2:8" x14ac:dyDescent="0.15">
      <c r="B267" s="16">
        <v>40926</v>
      </c>
      <c r="C267" s="11">
        <v>1308.04</v>
      </c>
      <c r="D267" s="12">
        <f t="shared" si="22"/>
        <v>1.104669323633066E-2</v>
      </c>
      <c r="E267" s="3">
        <f t="shared" si="23"/>
        <v>7.2205086289109143E-3</v>
      </c>
      <c r="F267" s="18">
        <f t="shared" si="21"/>
        <v>3.7605250186709362</v>
      </c>
      <c r="G267" s="3">
        <f t="shared" si="24"/>
        <v>9.8611073637172517E-3</v>
      </c>
      <c r="H267" s="4">
        <f t="shared" si="20"/>
        <v>3.9917008930081845</v>
      </c>
    </row>
    <row r="268" spans="2:8" x14ac:dyDescent="0.15">
      <c r="B268" s="16">
        <v>40927</v>
      </c>
      <c r="C268" s="11">
        <v>1314.5</v>
      </c>
      <c r="D268" s="12">
        <f t="shared" si="22"/>
        <v>4.9265315806270226E-3</v>
      </c>
      <c r="E268" s="3">
        <f t="shared" si="23"/>
        <v>7.9769633976937791E-3</v>
      </c>
      <c r="F268" s="18">
        <f t="shared" si="21"/>
        <v>4.6404857619389235</v>
      </c>
      <c r="G268" s="3">
        <f t="shared" si="24"/>
        <v>9.9583524998101448E-3</v>
      </c>
      <c r="H268" s="4">
        <f t="shared" si="20"/>
        <v>4.4869729011834325</v>
      </c>
    </row>
    <row r="269" spans="2:8" x14ac:dyDescent="0.15">
      <c r="B269" s="16">
        <v>40928</v>
      </c>
      <c r="C269" s="11">
        <v>1315.38</v>
      </c>
      <c r="D269" s="12">
        <f t="shared" si="22"/>
        <v>6.6923208119318213E-4</v>
      </c>
      <c r="E269" s="3">
        <f t="shared" si="23"/>
        <v>7.7323475123508142E-3</v>
      </c>
      <c r="F269" s="18">
        <f t="shared" si="21"/>
        <v>4.8585973517626302</v>
      </c>
      <c r="G269" s="3">
        <f t="shared" si="24"/>
        <v>9.6615329489622599E-3</v>
      </c>
      <c r="H269" s="4">
        <f t="shared" si="20"/>
        <v>4.6372039464542194</v>
      </c>
    </row>
    <row r="270" spans="2:8" x14ac:dyDescent="0.15">
      <c r="B270" s="16">
        <v>40931</v>
      </c>
      <c r="C270" s="11">
        <v>1316</v>
      </c>
      <c r="D270" s="12">
        <f t="shared" si="22"/>
        <v>4.7123563413351943E-4</v>
      </c>
      <c r="E270" s="3">
        <f t="shared" si="23"/>
        <v>7.3079564457703763E-3</v>
      </c>
      <c r="F270" s="18">
        <f t="shared" si="21"/>
        <v>4.9167126009476476</v>
      </c>
      <c r="G270" s="3">
        <f t="shared" si="24"/>
        <v>9.2802021421132357E-3</v>
      </c>
      <c r="H270" s="4">
        <f t="shared" si="20"/>
        <v>4.6785827169668739</v>
      </c>
    </row>
    <row r="271" spans="2:8" x14ac:dyDescent="0.15">
      <c r="B271" s="16">
        <v>40932</v>
      </c>
      <c r="C271" s="11">
        <v>1314.65</v>
      </c>
      <c r="D271" s="12">
        <f t="shared" si="22"/>
        <v>-1.026362395993147E-3</v>
      </c>
      <c r="E271" s="3">
        <f t="shared" si="23"/>
        <v>6.9385329389938331E-3</v>
      </c>
      <c r="F271" s="18">
        <f t="shared" si="21"/>
        <v>4.9597244443535509</v>
      </c>
      <c r="G271" s="3">
        <f t="shared" si="24"/>
        <v>8.9130883536964016E-3</v>
      </c>
      <c r="H271" s="4">
        <f t="shared" si="20"/>
        <v>4.7136044578290761</v>
      </c>
    </row>
    <row r="272" spans="2:8" x14ac:dyDescent="0.15">
      <c r="B272" s="16">
        <v>40933</v>
      </c>
      <c r="C272" s="11">
        <v>1326.05</v>
      </c>
      <c r="D272" s="12">
        <f t="shared" si="22"/>
        <v>8.6341279362811534E-3</v>
      </c>
      <c r="E272" s="3">
        <f t="shared" si="23"/>
        <v>6.628861540814184E-3</v>
      </c>
      <c r="F272" s="18">
        <f t="shared" si="21"/>
        <v>4.1680620475537093</v>
      </c>
      <c r="G272" s="3">
        <f t="shared" si="24"/>
        <v>8.5643500143459741E-3</v>
      </c>
      <c r="H272" s="4">
        <f t="shared" si="20"/>
        <v>4.2519663618866579</v>
      </c>
    </row>
    <row r="273" spans="2:8" x14ac:dyDescent="0.15">
      <c r="B273" s="16">
        <v>40934</v>
      </c>
      <c r="C273" s="11">
        <v>1318.43</v>
      </c>
      <c r="D273" s="12">
        <f t="shared" si="22"/>
        <v>-5.7629636748621049E-3</v>
      </c>
      <c r="E273" s="3">
        <f t="shared" si="23"/>
        <v>7.1043314854288405E-3</v>
      </c>
      <c r="F273" s="18">
        <f t="shared" si="21"/>
        <v>4.618035888384596</v>
      </c>
      <c r="G273" s="3">
        <f t="shared" si="24"/>
        <v>8.5697958423860444E-3</v>
      </c>
      <c r="H273" s="4">
        <f t="shared" si="20"/>
        <v>4.5334008239751231</v>
      </c>
    </row>
    <row r="274" spans="2:8" x14ac:dyDescent="0.15">
      <c r="B274" s="16">
        <v>40935</v>
      </c>
      <c r="C274" s="11">
        <v>1316.33</v>
      </c>
      <c r="D274" s="12">
        <f t="shared" si="22"/>
        <v>-1.5940734220098644E-3</v>
      </c>
      <c r="E274" s="3">
        <f t="shared" si="23"/>
        <v>7.0862195488872693E-3</v>
      </c>
      <c r="F274" s="18">
        <f t="shared" si="21"/>
        <v>4.9243011388180244</v>
      </c>
      <c r="G274" s="3">
        <f t="shared" si="24"/>
        <v>8.385309549828383E-3</v>
      </c>
      <c r="H274" s="4">
        <f t="shared" si="20"/>
        <v>4.7632043711182339</v>
      </c>
    </row>
    <row r="275" spans="2:8" x14ac:dyDescent="0.15">
      <c r="B275" s="16">
        <v>40938</v>
      </c>
      <c r="C275" s="11">
        <v>1313.01</v>
      </c>
      <c r="D275" s="12">
        <f t="shared" si="22"/>
        <v>-2.5253499086551E-3</v>
      </c>
      <c r="E275" s="3">
        <f t="shared" si="23"/>
        <v>6.7706411390618592E-3</v>
      </c>
      <c r="F275" s="18">
        <f t="shared" si="21"/>
        <v>4.9256004604731691</v>
      </c>
      <c r="G275" s="3">
        <f t="shared" si="24"/>
        <v>8.0649797680594649E-3</v>
      </c>
      <c r="H275" s="4">
        <f t="shared" si="20"/>
        <v>4.7712003221181201</v>
      </c>
    </row>
    <row r="276" spans="2:8" x14ac:dyDescent="0.15">
      <c r="B276" s="16">
        <v>40939</v>
      </c>
      <c r="C276" s="11">
        <v>1312.41</v>
      </c>
      <c r="D276" s="12">
        <f t="shared" si="22"/>
        <v>-4.5706973394398057E-4</v>
      </c>
      <c r="E276" s="3">
        <f t="shared" si="23"/>
        <v>6.5404555250295751E-3</v>
      </c>
      <c r="F276" s="18">
        <f t="shared" si="21"/>
        <v>5.0273066140346359</v>
      </c>
      <c r="G276" s="3">
        <f t="shared" si="24"/>
        <v>7.7770424553868988E-3</v>
      </c>
      <c r="H276" s="4">
        <f t="shared" si="20"/>
        <v>4.8548521058846488</v>
      </c>
    </row>
    <row r="277" spans="2:8" x14ac:dyDescent="0.15">
      <c r="B277" s="16">
        <v>40940</v>
      </c>
      <c r="C277" s="11">
        <v>1324.09</v>
      </c>
      <c r="D277" s="12">
        <f t="shared" si="22"/>
        <v>8.860289331437619E-3</v>
      </c>
      <c r="E277" s="3">
        <f t="shared" si="23"/>
        <v>6.2792326972950395E-3</v>
      </c>
      <c r="F277" s="18">
        <f t="shared" si="21"/>
        <v>4.0749813728206767</v>
      </c>
      <c r="G277" s="3">
        <f t="shared" si="24"/>
        <v>7.4696675266695319E-3</v>
      </c>
      <c r="H277" s="4">
        <f t="shared" si="20"/>
        <v>4.1934061385243524</v>
      </c>
    </row>
    <row r="278" spans="2:8" x14ac:dyDescent="0.15">
      <c r="B278" s="16">
        <v>40941</v>
      </c>
      <c r="C278" s="11">
        <v>1325.54</v>
      </c>
      <c r="D278" s="12">
        <f t="shared" si="22"/>
        <v>1.0944925478258915E-3</v>
      </c>
      <c r="E278" s="3">
        <f t="shared" si="23"/>
        <v>6.878151084221882E-3</v>
      </c>
      <c r="F278" s="18">
        <f t="shared" si="21"/>
        <v>4.9667448617870562</v>
      </c>
      <c r="G278" s="3">
        <f t="shared" si="24"/>
        <v>7.5869371049868206E-3</v>
      </c>
      <c r="H278" s="4">
        <f t="shared" si="20"/>
        <v>4.8709218196657433</v>
      </c>
    </row>
    <row r="279" spans="2:8" x14ac:dyDescent="0.15">
      <c r="B279" s="16">
        <v>40942</v>
      </c>
      <c r="C279" s="11">
        <v>1344.9</v>
      </c>
      <c r="D279" s="12">
        <f t="shared" si="22"/>
        <v>1.4499737264160701E-2</v>
      </c>
      <c r="E279" s="3">
        <f t="shared" si="23"/>
        <v>6.5785658187003564E-3</v>
      </c>
      <c r="F279" s="18">
        <f t="shared" si="21"/>
        <v>2.5949368014484833</v>
      </c>
      <c r="G279" s="3">
        <f t="shared" si="24"/>
        <v>7.2924039846864602E-3</v>
      </c>
      <c r="H279" s="4">
        <f t="shared" si="20"/>
        <v>2.9441852987374237</v>
      </c>
    </row>
    <row r="280" spans="2:8" x14ac:dyDescent="0.15">
      <c r="B280" s="16">
        <v>40945</v>
      </c>
      <c r="C280" s="11">
        <v>1344.33</v>
      </c>
      <c r="D280" s="12">
        <f t="shared" si="22"/>
        <v>-4.2391317108323237E-4</v>
      </c>
      <c r="E280" s="3">
        <f t="shared" si="23"/>
        <v>8.266904357736176E-3</v>
      </c>
      <c r="F280" s="18">
        <f t="shared" si="21"/>
        <v>4.7941804276242088</v>
      </c>
      <c r="G280" s="3">
        <f t="shared" si="24"/>
        <v>8.0864903429497814E-3</v>
      </c>
      <c r="H280" s="4">
        <f t="shared" si="20"/>
        <v>4.8161864150037808</v>
      </c>
    </row>
    <row r="281" spans="2:8" x14ac:dyDescent="0.15">
      <c r="B281" s="16">
        <v>40946</v>
      </c>
      <c r="C281" s="11">
        <v>1347.05</v>
      </c>
      <c r="D281" s="12">
        <f t="shared" si="22"/>
        <v>2.0212685879011623E-3</v>
      </c>
      <c r="E281" s="3">
        <f t="shared" si="23"/>
        <v>7.7704971505564054E-3</v>
      </c>
      <c r="F281" s="18">
        <f t="shared" si="21"/>
        <v>4.8235896961630687</v>
      </c>
      <c r="G281" s="3">
        <f t="shared" si="24"/>
        <v>7.766653904797664E-3</v>
      </c>
      <c r="H281" s="4">
        <f t="shared" si="20"/>
        <v>4.8240509225582144</v>
      </c>
    </row>
    <row r="282" spans="2:8" x14ac:dyDescent="0.15">
      <c r="B282" s="16">
        <v>40947</v>
      </c>
      <c r="C282" s="11">
        <v>1349.96</v>
      </c>
      <c r="D282" s="12">
        <f t="shared" si="22"/>
        <v>2.1579461175579256E-3</v>
      </c>
      <c r="E282" s="3">
        <f t="shared" si="23"/>
        <v>7.374598183704153E-3</v>
      </c>
      <c r="F282" s="18">
        <f t="shared" si="21"/>
        <v>4.866900978901878</v>
      </c>
      <c r="G282" s="3">
        <f t="shared" si="24"/>
        <v>7.479868380140078E-3</v>
      </c>
      <c r="H282" s="4">
        <f t="shared" si="20"/>
        <v>4.8539238006406062</v>
      </c>
    </row>
    <row r="283" spans="2:8" x14ac:dyDescent="0.15">
      <c r="B283" s="16">
        <v>40948</v>
      </c>
      <c r="C283" s="11">
        <v>1351.95</v>
      </c>
      <c r="D283" s="12">
        <f t="shared" si="22"/>
        <v>1.4730323066491182E-3</v>
      </c>
      <c r="E283" s="3">
        <f t="shared" si="23"/>
        <v>7.0389731950317221E-3</v>
      </c>
      <c r="F283" s="18">
        <f t="shared" si="21"/>
        <v>4.9343964107194198</v>
      </c>
      <c r="G283" s="3">
        <f t="shared" si="24"/>
        <v>7.2083518647179552E-3</v>
      </c>
      <c r="H283" s="4">
        <f t="shared" si="20"/>
        <v>4.9116353239149335</v>
      </c>
    </row>
    <row r="284" spans="2:8" x14ac:dyDescent="0.15">
      <c r="B284" s="16">
        <v>40949</v>
      </c>
      <c r="C284" s="11">
        <v>1342.64</v>
      </c>
      <c r="D284" s="12">
        <f t="shared" si="22"/>
        <v>-6.9101696706045917E-3</v>
      </c>
      <c r="E284" s="3">
        <f t="shared" si="23"/>
        <v>6.726376374132737E-3</v>
      </c>
      <c r="F284" s="18">
        <f t="shared" si="21"/>
        <v>4.4740211355013715</v>
      </c>
      <c r="G284" s="3">
        <f t="shared" si="24"/>
        <v>6.9346207067288758E-3</v>
      </c>
      <c r="H284" s="4">
        <f t="shared" si="20"/>
        <v>4.4747486402647079</v>
      </c>
    </row>
    <row r="285" spans="2:8" x14ac:dyDescent="0.15">
      <c r="B285" s="16">
        <v>40952</v>
      </c>
      <c r="C285" s="11">
        <v>1351.77</v>
      </c>
      <c r="D285" s="12">
        <f t="shared" si="22"/>
        <v>6.7770197880235375E-3</v>
      </c>
      <c r="E285" s="3">
        <f t="shared" si="23"/>
        <v>6.9211592018141718E-3</v>
      </c>
      <c r="F285" s="18">
        <f t="shared" si="21"/>
        <v>4.4937810558903513</v>
      </c>
      <c r="G285" s="3">
        <f t="shared" si="24"/>
        <v>6.9327226520440729E-3</v>
      </c>
      <c r="H285" s="4">
        <f t="shared" si="20"/>
        <v>4.4937095798000026</v>
      </c>
    </row>
    <row r="286" spans="2:8" x14ac:dyDescent="0.15">
      <c r="B286" s="16">
        <v>40953</v>
      </c>
      <c r="C286" s="11">
        <v>1350.5</v>
      </c>
      <c r="D286" s="12">
        <f t="shared" si="22"/>
        <v>-9.3995055527716274E-4</v>
      </c>
      <c r="E286" s="3">
        <f t="shared" si="23"/>
        <v>7.059336443097009E-3</v>
      </c>
      <c r="F286" s="18">
        <f t="shared" si="21"/>
        <v>4.9445397606115904</v>
      </c>
      <c r="G286" s="3">
        <f t="shared" si="24"/>
        <v>6.9207418514857285E-3</v>
      </c>
      <c r="H286" s="4">
        <f t="shared" si="20"/>
        <v>4.9640092577555279</v>
      </c>
    </row>
    <row r="287" spans="2:8" x14ac:dyDescent="0.15">
      <c r="B287" s="16">
        <v>40954</v>
      </c>
      <c r="C287" s="11">
        <v>1343.23</v>
      </c>
      <c r="D287" s="12">
        <f t="shared" si="22"/>
        <v>-5.3977329957059358E-3</v>
      </c>
      <c r="E287" s="3">
        <f t="shared" si="23"/>
        <v>6.7308923550963877E-3</v>
      </c>
      <c r="F287" s="18">
        <f t="shared" si="21"/>
        <v>4.6794982937575202</v>
      </c>
      <c r="G287" s="3">
        <f t="shared" si="24"/>
        <v>6.6514091387152377E-3</v>
      </c>
      <c r="H287" s="4">
        <f t="shared" si="20"/>
        <v>4.6836464540560483</v>
      </c>
    </row>
    <row r="288" spans="2:8" x14ac:dyDescent="0.15">
      <c r="B288" s="16">
        <v>40955</v>
      </c>
      <c r="C288" s="11">
        <v>1358.04</v>
      </c>
      <c r="D288" s="12">
        <f t="shared" si="22"/>
        <v>1.0965322528886171E-2</v>
      </c>
      <c r="E288" s="3">
        <f t="shared" si="23"/>
        <v>6.7398871569309213E-3</v>
      </c>
      <c r="F288" s="18">
        <f t="shared" si="21"/>
        <v>3.6762619869369422</v>
      </c>
      <c r="G288" s="3">
        <f t="shared" si="24"/>
        <v>6.5625242952189909E-3</v>
      </c>
      <c r="H288" s="4">
        <f t="shared" si="20"/>
        <v>3.6304263697865471</v>
      </c>
    </row>
    <row r="289" spans="2:8" x14ac:dyDescent="0.15">
      <c r="B289" s="16">
        <v>40956</v>
      </c>
      <c r="C289" s="11">
        <v>1361.23</v>
      </c>
      <c r="D289" s="12">
        <f t="shared" si="22"/>
        <v>2.3462189950568782E-3</v>
      </c>
      <c r="E289" s="3">
        <f t="shared" si="23"/>
        <v>7.6084641814645158E-3</v>
      </c>
      <c r="F289" s="18">
        <f t="shared" si="21"/>
        <v>4.8309480406933591</v>
      </c>
      <c r="G289" s="3">
        <f t="shared" si="24"/>
        <v>7.0047885614030548E-3</v>
      </c>
      <c r="H289" s="4">
        <f t="shared" si="20"/>
        <v>4.9050672027694961</v>
      </c>
    </row>
    <row r="290" spans="2:8" x14ac:dyDescent="0.15">
      <c r="B290" s="16">
        <v>40960</v>
      </c>
      <c r="C290" s="11">
        <v>1362.21</v>
      </c>
      <c r="D290" s="12">
        <f t="shared" si="22"/>
        <v>7.1967808528795797E-4</v>
      </c>
      <c r="E290" s="3">
        <f t="shared" si="23"/>
        <v>7.248075614323766E-3</v>
      </c>
      <c r="F290" s="18">
        <f t="shared" si="21"/>
        <v>4.9220897976149471</v>
      </c>
      <c r="G290" s="3">
        <f t="shared" si="24"/>
        <v>6.7586945896837593E-3</v>
      </c>
      <c r="H290" s="4">
        <f t="shared" si="20"/>
        <v>4.9912563268580561</v>
      </c>
    </row>
    <row r="291" spans="2:8" x14ac:dyDescent="0.15">
      <c r="B291" s="16">
        <v>40961</v>
      </c>
      <c r="C291" s="11">
        <v>1357.66</v>
      </c>
      <c r="D291" s="12">
        <f t="shared" si="22"/>
        <v>-3.34575126341362E-3</v>
      </c>
      <c r="E291" s="3">
        <f t="shared" si="23"/>
        <v>6.8897669198694526E-3</v>
      </c>
      <c r="F291" s="18">
        <f t="shared" si="21"/>
        <v>4.8598086731957411</v>
      </c>
      <c r="G291" s="3">
        <f t="shared" si="24"/>
        <v>6.4937247215823809E-3</v>
      </c>
      <c r="H291" s="4">
        <f t="shared" si="20"/>
        <v>4.9041888544768728</v>
      </c>
    </row>
    <row r="292" spans="2:8" x14ac:dyDescent="0.15">
      <c r="B292" s="16">
        <v>40962</v>
      </c>
      <c r="C292" s="11">
        <v>1363.46</v>
      </c>
      <c r="D292" s="12">
        <f t="shared" si="22"/>
        <v>4.262957005584894E-3</v>
      </c>
      <c r="E292" s="3">
        <f t="shared" si="23"/>
        <v>6.6906782301242211E-3</v>
      </c>
      <c r="F292" s="18">
        <f t="shared" si="21"/>
        <v>4.8040607907505741</v>
      </c>
      <c r="G292" s="3">
        <f t="shared" si="24"/>
        <v>6.3055611135649659E-3</v>
      </c>
      <c r="H292" s="4">
        <f t="shared" si="20"/>
        <v>4.8377926810865777</v>
      </c>
    </row>
    <row r="293" spans="2:8" x14ac:dyDescent="0.15">
      <c r="B293" s="16">
        <v>40963</v>
      </c>
      <c r="C293" s="11">
        <v>1365.74</v>
      </c>
      <c r="D293" s="12">
        <f t="shared" si="22"/>
        <v>1.6708196763969795E-3</v>
      </c>
      <c r="E293" s="3">
        <f t="shared" si="23"/>
        <v>6.5951433211810014E-3</v>
      </c>
      <c r="F293" s="18">
        <f t="shared" si="21"/>
        <v>4.9893309503865533</v>
      </c>
      <c r="G293" s="3">
        <f t="shared" si="24"/>
        <v>6.1710306401843058E-3</v>
      </c>
      <c r="H293" s="4">
        <f t="shared" si="20"/>
        <v>5.0512360571186008</v>
      </c>
    </row>
    <row r="294" spans="2:8" x14ac:dyDescent="0.15">
      <c r="B294" s="16">
        <v>40966</v>
      </c>
      <c r="C294" s="11">
        <v>1367.59</v>
      </c>
      <c r="D294" s="12">
        <f t="shared" si="22"/>
        <v>1.3536603940939738E-3</v>
      </c>
      <c r="E294" s="3">
        <f t="shared" si="23"/>
        <v>6.3535911599324818E-3</v>
      </c>
      <c r="F294" s="18">
        <f t="shared" si="21"/>
        <v>5.0360390055656872</v>
      </c>
      <c r="G294" s="3">
        <f t="shared" si="24"/>
        <v>5.9445529530972353E-3</v>
      </c>
      <c r="H294" s="4">
        <f t="shared" si="20"/>
        <v>5.0993530215469516</v>
      </c>
    </row>
    <row r="295" spans="2:8" x14ac:dyDescent="0.15">
      <c r="B295" s="16">
        <v>40967</v>
      </c>
      <c r="C295" s="11">
        <v>1372.18</v>
      </c>
      <c r="D295" s="12">
        <f t="shared" si="22"/>
        <v>3.3506493568948885E-3</v>
      </c>
      <c r="E295" s="3">
        <f t="shared" si="23"/>
        <v>6.1379134592847336E-3</v>
      </c>
      <c r="F295" s="18">
        <f t="shared" si="21"/>
        <v>4.9442703611909415</v>
      </c>
      <c r="G295" s="3">
        <f t="shared" si="24"/>
        <v>5.7212379854627172E-3</v>
      </c>
      <c r="H295" s="4">
        <f t="shared" si="20"/>
        <v>4.9920764566947007</v>
      </c>
    </row>
    <row r="296" spans="2:8" x14ac:dyDescent="0.15">
      <c r="B296" s="16">
        <v>40968</v>
      </c>
      <c r="C296" s="11">
        <v>1365.68</v>
      </c>
      <c r="D296" s="12">
        <f t="shared" si="22"/>
        <v>-4.7482429432547935E-3</v>
      </c>
      <c r="E296" s="3">
        <f t="shared" si="23"/>
        <v>6.0613858972111551E-3</v>
      </c>
      <c r="F296" s="18">
        <f t="shared" si="21"/>
        <v>4.7989909217645064</v>
      </c>
      <c r="G296" s="3">
        <f t="shared" si="24"/>
        <v>5.5731881208333466E-3</v>
      </c>
      <c r="H296" s="4">
        <f t="shared" si="20"/>
        <v>4.8268533411720975</v>
      </c>
    </row>
    <row r="297" spans="2:8" x14ac:dyDescent="0.15">
      <c r="B297" s="16">
        <v>40969</v>
      </c>
      <c r="C297" s="11">
        <v>1374.09</v>
      </c>
      <c r="D297" s="12">
        <f t="shared" si="22"/>
        <v>6.1392207480289963E-3</v>
      </c>
      <c r="E297" s="3">
        <f t="shared" si="23"/>
        <v>6.1246367735952566E-3</v>
      </c>
      <c r="F297" s="18">
        <f t="shared" si="21"/>
        <v>4.5930517932665094</v>
      </c>
      <c r="G297" s="3">
        <f t="shared" si="24"/>
        <v>5.5134732413886891E-3</v>
      </c>
      <c r="H297" s="4">
        <f t="shared" si="20"/>
        <v>4.5806257804398749</v>
      </c>
    </row>
    <row r="298" spans="2:8" x14ac:dyDescent="0.15">
      <c r="B298" s="16">
        <v>40970</v>
      </c>
      <c r="C298" s="11">
        <v>1369.63</v>
      </c>
      <c r="D298" s="12">
        <f t="shared" si="22"/>
        <v>-3.2510634673347419E-3</v>
      </c>
      <c r="E298" s="3">
        <f t="shared" si="23"/>
        <v>6.3402043605538579E-3</v>
      </c>
      <c r="F298" s="18">
        <f t="shared" si="21"/>
        <v>4.9293779936218813</v>
      </c>
      <c r="G298" s="3">
        <f t="shared" si="24"/>
        <v>5.5646505676661762E-3</v>
      </c>
      <c r="H298" s="4">
        <f t="shared" si="20"/>
        <v>5.0206558361792251</v>
      </c>
    </row>
    <row r="299" spans="2:8" x14ac:dyDescent="0.15">
      <c r="B299" s="16">
        <v>40973</v>
      </c>
      <c r="C299" s="11">
        <v>1364.33</v>
      </c>
      <c r="D299" s="12">
        <f t="shared" si="22"/>
        <v>-3.877164727582936E-3</v>
      </c>
      <c r="E299" s="3">
        <f t="shared" si="23"/>
        <v>6.2225688251085634E-3</v>
      </c>
      <c r="F299" s="18">
        <f t="shared" si="21"/>
        <v>4.8854574646296909</v>
      </c>
      <c r="G299" s="3">
        <f t="shared" si="24"/>
        <v>5.4202848149924572E-3</v>
      </c>
      <c r="H299" s="4">
        <f t="shared" si="20"/>
        <v>4.9617752522222522</v>
      </c>
    </row>
    <row r="300" spans="2:8" x14ac:dyDescent="0.15">
      <c r="B300" s="16">
        <v>40974</v>
      </c>
      <c r="C300" s="11">
        <v>1343.36</v>
      </c>
      <c r="D300" s="12">
        <f t="shared" si="22"/>
        <v>-1.5489527433395317E-2</v>
      </c>
      <c r="E300" s="3">
        <f t="shared" si="23"/>
        <v>6.1737019941198049E-3</v>
      </c>
      <c r="F300" s="18">
        <f t="shared" si="21"/>
        <v>1.9400343306968177</v>
      </c>
      <c r="G300" s="3">
        <f t="shared" si="24"/>
        <v>5.3163855988781908E-3</v>
      </c>
      <c r="H300" s="4">
        <f t="shared" si="20"/>
        <v>0.99259005472384931</v>
      </c>
    </row>
    <row r="301" spans="2:8" x14ac:dyDescent="0.15">
      <c r="B301" s="16">
        <v>40975</v>
      </c>
      <c r="C301" s="11">
        <v>1352.63</v>
      </c>
      <c r="D301" s="12">
        <f t="shared" si="22"/>
        <v>6.8769072088010284E-3</v>
      </c>
      <c r="E301" s="3">
        <f t="shared" si="23"/>
        <v>8.2545554836789634E-3</v>
      </c>
      <c r="F301" s="18">
        <f t="shared" si="21"/>
        <v>4.4499585083479687</v>
      </c>
      <c r="G301" s="3">
        <f t="shared" si="24"/>
        <v>6.6873999141157624E-3</v>
      </c>
      <c r="H301" s="4">
        <f t="shared" si="20"/>
        <v>4.4787906493964655</v>
      </c>
    </row>
    <row r="302" spans="2:8" x14ac:dyDescent="0.15">
      <c r="B302" s="16">
        <v>40976</v>
      </c>
      <c r="C302" s="11">
        <v>1365.91</v>
      </c>
      <c r="D302" s="12">
        <f t="shared" si="22"/>
        <v>9.7700277612063294E-3</v>
      </c>
      <c r="E302" s="3">
        <f t="shared" si="23"/>
        <v>8.1613020542370927E-3</v>
      </c>
      <c r="F302" s="18">
        <f t="shared" si="21"/>
        <v>4.0918078331161105</v>
      </c>
      <c r="G302" s="3">
        <f t="shared" si="24"/>
        <v>6.7023268329062342E-3</v>
      </c>
      <c r="H302" s="4">
        <f t="shared" si="20"/>
        <v>3.9428458884721951</v>
      </c>
    </row>
    <row r="303" spans="2:8" x14ac:dyDescent="0.15">
      <c r="B303" s="16">
        <v>40977</v>
      </c>
      <c r="C303" s="11">
        <v>1370.87</v>
      </c>
      <c r="D303" s="12">
        <f t="shared" si="22"/>
        <v>3.6247016059477617E-3</v>
      </c>
      <c r="E303" s="3">
        <f t="shared" si="23"/>
        <v>8.4786707510636945E-3</v>
      </c>
      <c r="F303" s="18">
        <f t="shared" si="21"/>
        <v>4.6788199451057109</v>
      </c>
      <c r="G303" s="3">
        <f t="shared" si="24"/>
        <v>6.9892939768270192E-3</v>
      </c>
      <c r="H303" s="4">
        <f t="shared" si="20"/>
        <v>4.828898764379371</v>
      </c>
    </row>
    <row r="304" spans="2:8" x14ac:dyDescent="0.15">
      <c r="B304" s="16">
        <v>40980</v>
      </c>
      <c r="C304" s="11">
        <v>1371.09</v>
      </c>
      <c r="D304" s="12">
        <f t="shared" si="22"/>
        <v>1.6046915379674782E-4</v>
      </c>
      <c r="E304" s="3">
        <f t="shared" si="23"/>
        <v>8.0651180416743788E-3</v>
      </c>
      <c r="F304" s="18">
        <f t="shared" si="21"/>
        <v>4.8200089920853904</v>
      </c>
      <c r="G304" s="3">
        <f t="shared" si="24"/>
        <v>6.7877481972385923E-3</v>
      </c>
      <c r="H304" s="4">
        <f t="shared" si="20"/>
        <v>4.9923565791424647</v>
      </c>
    </row>
    <row r="305" spans="2:8" x14ac:dyDescent="0.15">
      <c r="B305" s="16">
        <v>40981</v>
      </c>
      <c r="C305" s="11">
        <v>1395.95</v>
      </c>
      <c r="D305" s="12">
        <f t="shared" si="22"/>
        <v>1.796914314001119E-2</v>
      </c>
      <c r="E305" s="3">
        <f t="shared" si="23"/>
        <v>7.5933018193368052E-3</v>
      </c>
      <c r="F305" s="18">
        <f t="shared" si="21"/>
        <v>2.0804540460236245</v>
      </c>
      <c r="G305" s="3">
        <f t="shared" si="24"/>
        <v>6.5186780229725899E-3</v>
      </c>
      <c r="H305" s="4">
        <f t="shared" si="20"/>
        <v>1.2337653773519395</v>
      </c>
    </row>
    <row r="306" spans="2:8" x14ac:dyDescent="0.15">
      <c r="B306" s="16">
        <v>40982</v>
      </c>
      <c r="C306" s="11">
        <v>1394.28</v>
      </c>
      <c r="D306" s="12">
        <f t="shared" si="22"/>
        <v>-1.1970340792054287E-3</v>
      </c>
      <c r="E306" s="3">
        <f t="shared" si="23"/>
        <v>9.7681731469882113E-3</v>
      </c>
      <c r="F306" s="18">
        <f t="shared" si="21"/>
        <v>4.6211172619198102</v>
      </c>
      <c r="G306" s="3">
        <f t="shared" si="24"/>
        <v>8.0184116876649524E-3</v>
      </c>
      <c r="H306" s="4">
        <f t="shared" si="20"/>
        <v>4.8148718128170467</v>
      </c>
    </row>
    <row r="307" spans="2:8" x14ac:dyDescent="0.15">
      <c r="B307" s="16">
        <v>40983</v>
      </c>
      <c r="C307" s="11">
        <v>1402.6</v>
      </c>
      <c r="D307" s="12">
        <f t="shared" si="22"/>
        <v>5.9495041200391232E-3</v>
      </c>
      <c r="E307" s="3">
        <f t="shared" si="23"/>
        <v>9.0964512823080122E-3</v>
      </c>
      <c r="F307" s="18">
        <f t="shared" si="21"/>
        <v>4.485982354867482</v>
      </c>
      <c r="G307" s="3">
        <f t="shared" si="24"/>
        <v>7.7076066868186684E-3</v>
      </c>
      <c r="H307" s="4">
        <f t="shared" si="20"/>
        <v>4.5676324991304771</v>
      </c>
    </row>
    <row r="308" spans="2:8" x14ac:dyDescent="0.15">
      <c r="B308" s="16">
        <v>40984</v>
      </c>
      <c r="C308" s="11">
        <v>1404.17</v>
      </c>
      <c r="D308" s="12">
        <f t="shared" si="22"/>
        <v>1.1187237741202927E-3</v>
      </c>
      <c r="E308" s="3">
        <f t="shared" si="23"/>
        <v>8.7730867918464905E-3</v>
      </c>
      <c r="F308" s="18">
        <f t="shared" si="21"/>
        <v>4.7279361820116916</v>
      </c>
      <c r="G308" s="3">
        <f t="shared" si="24"/>
        <v>7.5855322456240687E-3</v>
      </c>
      <c r="H308" s="4">
        <f t="shared" si="20"/>
        <v>4.8706371383444411</v>
      </c>
    </row>
    <row r="309" spans="2:8" x14ac:dyDescent="0.15">
      <c r="B309" s="16">
        <v>40987</v>
      </c>
      <c r="C309" s="11">
        <v>1409.75</v>
      </c>
      <c r="D309" s="12">
        <f t="shared" si="22"/>
        <v>3.9660028103612023E-3</v>
      </c>
      <c r="E309" s="3">
        <f t="shared" si="23"/>
        <v>8.2217138633005529E-3</v>
      </c>
      <c r="F309" s="18">
        <f t="shared" si="21"/>
        <v>4.6846306282180157</v>
      </c>
      <c r="G309" s="3">
        <f t="shared" si="24"/>
        <v>7.2913419777947694E-3</v>
      </c>
      <c r="H309" s="4">
        <f t="shared" si="20"/>
        <v>4.773136014354499</v>
      </c>
    </row>
    <row r="310" spans="2:8" x14ac:dyDescent="0.15">
      <c r="B310" s="16">
        <v>40988</v>
      </c>
      <c r="C310" s="11">
        <v>1405.52</v>
      </c>
      <c r="D310" s="12">
        <f t="shared" si="22"/>
        <v>-3.0050426304927035E-3</v>
      </c>
      <c r="E310" s="3">
        <f t="shared" si="23"/>
        <v>7.8663839986363171E-3</v>
      </c>
      <c r="F310" s="18">
        <f t="shared" si="21"/>
        <v>4.7721907122217644</v>
      </c>
      <c r="G310" s="3">
        <f t="shared" si="24"/>
        <v>7.088936171405668E-3</v>
      </c>
      <c r="H310" s="4">
        <f t="shared" si="20"/>
        <v>4.8593718444061968</v>
      </c>
    </row>
    <row r="311" spans="2:8" x14ac:dyDescent="0.15">
      <c r="B311" s="16">
        <v>40989</v>
      </c>
      <c r="C311" s="11">
        <v>1402.89</v>
      </c>
      <c r="D311" s="12">
        <f t="shared" si="22"/>
        <v>-1.8729464492867856E-3</v>
      </c>
      <c r="E311" s="3">
        <f t="shared" si="23"/>
        <v>7.5023213283123419E-3</v>
      </c>
      <c r="F311" s="18">
        <f t="shared" si="21"/>
        <v>4.8613805031872683</v>
      </c>
      <c r="G311" s="3">
        <f t="shared" si="24"/>
        <v>6.8591410547714261E-3</v>
      </c>
      <c r="H311" s="4">
        <f t="shared" si="20"/>
        <v>4.9448925962234673</v>
      </c>
    </row>
    <row r="312" spans="2:8" x14ac:dyDescent="0.15">
      <c r="B312" s="16">
        <v>40990</v>
      </c>
      <c r="C312" s="11">
        <v>1392.78</v>
      </c>
      <c r="D312" s="12">
        <f t="shared" si="22"/>
        <v>-7.2326448201014181E-3</v>
      </c>
      <c r="E312" s="3">
        <f t="shared" si="23"/>
        <v>7.1378458244483823E-3</v>
      </c>
      <c r="F312" s="18">
        <f t="shared" si="21"/>
        <v>4.4289748813168908</v>
      </c>
      <c r="G312" s="3">
        <f t="shared" si="24"/>
        <v>6.6077567983105889E-3</v>
      </c>
      <c r="H312" s="4">
        <f t="shared" si="20"/>
        <v>4.4204705538875428</v>
      </c>
    </row>
    <row r="313" spans="2:8" x14ac:dyDescent="0.15">
      <c r="B313" s="16">
        <v>40991</v>
      </c>
      <c r="C313" s="11">
        <v>1397.11</v>
      </c>
      <c r="D313" s="12">
        <f t="shared" si="22"/>
        <v>3.1040675271881042E-3</v>
      </c>
      <c r="E313" s="3">
        <f t="shared" si="23"/>
        <v>7.293676138220918E-3</v>
      </c>
      <c r="F313" s="18">
        <f t="shared" si="21"/>
        <v>4.8301869713202192</v>
      </c>
      <c r="G313" s="3">
        <f t="shared" si="24"/>
        <v>6.6584468309841775E-3</v>
      </c>
      <c r="H313" s="4">
        <f t="shared" si="20"/>
        <v>4.9032048386927736</v>
      </c>
    </row>
    <row r="314" spans="2:8" x14ac:dyDescent="0.15">
      <c r="B314" s="16">
        <v>40994</v>
      </c>
      <c r="C314" s="11">
        <v>1416.51</v>
      </c>
      <c r="D314" s="12">
        <f t="shared" si="22"/>
        <v>1.3790282585130287E-2</v>
      </c>
      <c r="E314" s="3">
        <f t="shared" si="23"/>
        <v>7.0178165434570984E-3</v>
      </c>
      <c r="F314" s="18">
        <f t="shared" si="21"/>
        <v>3.028614180195198</v>
      </c>
      <c r="G314" s="3">
        <f t="shared" si="24"/>
        <v>6.4526663256923734E-3</v>
      </c>
      <c r="H314" s="4">
        <f t="shared" si="20"/>
        <v>2.7595678019761825</v>
      </c>
    </row>
    <row r="315" spans="2:8" x14ac:dyDescent="0.15">
      <c r="B315" s="16">
        <v>40995</v>
      </c>
      <c r="C315" s="11">
        <v>1412.52</v>
      </c>
      <c r="D315" s="12">
        <f t="shared" si="22"/>
        <v>-2.8207566873393645E-3</v>
      </c>
      <c r="E315" s="3">
        <f t="shared" si="23"/>
        <v>8.3972395269516342E-3</v>
      </c>
      <c r="F315" s="18">
        <f t="shared" si="21"/>
        <v>4.723432892414527</v>
      </c>
      <c r="G315" s="3">
        <f t="shared" si="24"/>
        <v>7.2928715423639674E-3</v>
      </c>
      <c r="H315" s="4">
        <f t="shared" si="20"/>
        <v>4.846057472951057</v>
      </c>
    </row>
    <row r="316" spans="2:8" x14ac:dyDescent="0.15">
      <c r="B316" s="16">
        <v>40996</v>
      </c>
      <c r="C316" s="11">
        <v>1405.54</v>
      </c>
      <c r="D316" s="12">
        <f t="shared" si="22"/>
        <v>-4.9537726478604228E-3</v>
      </c>
      <c r="E316" s="3">
        <f t="shared" si="23"/>
        <v>7.9508754264811365E-3</v>
      </c>
      <c r="F316" s="18">
        <f t="shared" si="21"/>
        <v>4.6403791782946708</v>
      </c>
      <c r="G316" s="3">
        <f t="shared" si="24"/>
        <v>7.0476415517863808E-3</v>
      </c>
      <c r="H316" s="4">
        <f t="shared" si="20"/>
        <v>4.7080295008130237</v>
      </c>
    </row>
    <row r="317" spans="2:8" x14ac:dyDescent="0.15">
      <c r="B317" s="16">
        <v>40997</v>
      </c>
      <c r="C317" s="11">
        <v>1403.28</v>
      </c>
      <c r="D317" s="12">
        <f t="shared" si="22"/>
        <v>-1.6092170290043855E-3</v>
      </c>
      <c r="E317" s="3">
        <f t="shared" si="23"/>
        <v>7.7126586428533928E-3</v>
      </c>
      <c r="F317" s="18">
        <f t="shared" si="21"/>
        <v>4.8431256989888736</v>
      </c>
      <c r="G317" s="3">
        <f t="shared" si="24"/>
        <v>6.9076306223475907E-3</v>
      </c>
      <c r="H317" s="4">
        <f t="shared" si="20"/>
        <v>4.9479928909834658</v>
      </c>
    </row>
    <row r="318" spans="2:8" x14ac:dyDescent="0.15">
      <c r="B318" s="16">
        <v>40998</v>
      </c>
      <c r="C318" s="11">
        <v>1408.47</v>
      </c>
      <c r="D318" s="12">
        <f t="shared" si="22"/>
        <v>3.6916552995440582E-3</v>
      </c>
      <c r="E318" s="3">
        <f t="shared" si="23"/>
        <v>7.3107862788081455E-3</v>
      </c>
      <c r="F318" s="18">
        <f t="shared" si="21"/>
        <v>4.7909121025242003</v>
      </c>
      <c r="G318" s="3">
        <f t="shared" si="24"/>
        <v>6.6488108995251451E-3</v>
      </c>
      <c r="H318" s="4">
        <f t="shared" si="20"/>
        <v>4.8591740676584623</v>
      </c>
    </row>
    <row r="319" spans="2:8" x14ac:dyDescent="0.15">
      <c r="B319" s="16">
        <v>41001</v>
      </c>
      <c r="C319" s="11">
        <v>1419.04</v>
      </c>
      <c r="D319" s="12">
        <f t="shared" si="22"/>
        <v>7.4765777930732918E-3</v>
      </c>
      <c r="E319" s="3">
        <f t="shared" si="23"/>
        <v>7.0708188443560716E-3</v>
      </c>
      <c r="F319" s="18">
        <f t="shared" si="21"/>
        <v>4.3927474657024623</v>
      </c>
      <c r="G319" s="3">
        <f t="shared" si="24"/>
        <v>6.4675435901348508E-3</v>
      </c>
      <c r="H319" s="4">
        <f t="shared" si="20"/>
        <v>4.3727734942807741</v>
      </c>
    </row>
    <row r="320" spans="2:8" x14ac:dyDescent="0.15">
      <c r="B320" s="16">
        <v>41002</v>
      </c>
      <c r="C320" s="11">
        <v>1413.38</v>
      </c>
      <c r="D320" s="12">
        <f t="shared" si="22"/>
        <v>-3.9965877474346378E-3</v>
      </c>
      <c r="E320" s="3">
        <f t="shared" si="23"/>
        <v>7.2735103376380334E-3</v>
      </c>
      <c r="F320" s="18">
        <f t="shared" si="21"/>
        <v>4.772556702820256</v>
      </c>
      <c r="G320" s="3">
        <f t="shared" si="24"/>
        <v>6.5515734902886211E-3</v>
      </c>
      <c r="H320" s="4">
        <f t="shared" si="20"/>
        <v>4.8419881203231023</v>
      </c>
    </row>
    <row r="321" spans="2:8" x14ac:dyDescent="0.15">
      <c r="B321" s="16">
        <v>41003</v>
      </c>
      <c r="C321" s="11">
        <v>1398.96</v>
      </c>
      <c r="D321" s="12">
        <f t="shared" si="22"/>
        <v>-1.0254895475303529E-2</v>
      </c>
      <c r="E321" s="3">
        <f t="shared" si="23"/>
        <v>7.0617977476398275E-3</v>
      </c>
      <c r="F321" s="18">
        <f t="shared" si="21"/>
        <v>3.8986640382699336</v>
      </c>
      <c r="G321" s="3">
        <f t="shared" si="24"/>
        <v>6.3896506098830184E-3</v>
      </c>
      <c r="H321" s="4">
        <f t="shared" si="20"/>
        <v>3.7651872114355411</v>
      </c>
    </row>
    <row r="322" spans="2:8" x14ac:dyDescent="0.15">
      <c r="B322" s="16">
        <v>41004</v>
      </c>
      <c r="C322" s="11">
        <v>1398.08</v>
      </c>
      <c r="D322" s="12">
        <f t="shared" si="22"/>
        <v>-6.2923664233309191E-4</v>
      </c>
      <c r="E322" s="3">
        <f t="shared" si="23"/>
        <v>7.712644720754459E-3</v>
      </c>
      <c r="F322" s="18">
        <f t="shared" si="21"/>
        <v>4.8615660638426377</v>
      </c>
      <c r="G322" s="3">
        <f t="shared" si="24"/>
        <v>6.7697789438585466E-3</v>
      </c>
      <c r="H322" s="4">
        <f t="shared" si="20"/>
        <v>4.990967190134346</v>
      </c>
    </row>
    <row r="323" spans="2:8" x14ac:dyDescent="0.15">
      <c r="B323" s="16">
        <v>41008</v>
      </c>
      <c r="C323" s="11">
        <v>1382.2</v>
      </c>
      <c r="D323" s="12">
        <f t="shared" si="22"/>
        <v>-1.1423434105777059E-2</v>
      </c>
      <c r="E323" s="3">
        <f t="shared" si="23"/>
        <v>7.2903859045940107E-3</v>
      </c>
      <c r="F323" s="18">
        <f t="shared" si="21"/>
        <v>3.6935833895865091</v>
      </c>
      <c r="G323" s="3">
        <f t="shared" si="24"/>
        <v>6.5036351370461069E-3</v>
      </c>
      <c r="H323" s="4">
        <f t="shared" si="20"/>
        <v>3.4928021704587362</v>
      </c>
    </row>
    <row r="324" spans="2:8" x14ac:dyDescent="0.15">
      <c r="B324" s="16">
        <v>41009</v>
      </c>
      <c r="C324" s="11">
        <v>1358.59</v>
      </c>
      <c r="D324" s="12">
        <f t="shared" si="22"/>
        <v>-1.7229035445361768E-2</v>
      </c>
      <c r="E324" s="3">
        <f t="shared" si="23"/>
        <v>8.1001210544065574E-3</v>
      </c>
      <c r="F324" s="18">
        <f t="shared" si="21"/>
        <v>2.5537913002750856</v>
      </c>
      <c r="G324" s="3">
        <f t="shared" si="24"/>
        <v>7.0110566154061617E-3</v>
      </c>
      <c r="H324" s="4">
        <f t="shared" si="20"/>
        <v>1.9408367253019474</v>
      </c>
    </row>
    <row r="325" spans="2:8" x14ac:dyDescent="0.15">
      <c r="B325" s="16">
        <v>41010</v>
      </c>
      <c r="C325" s="11">
        <v>1368.71</v>
      </c>
      <c r="D325" s="12">
        <f t="shared" si="22"/>
        <v>7.4212931815645089E-3</v>
      </c>
      <c r="E325" s="3">
        <f t="shared" si="23"/>
        <v>9.9197740600986267E-3</v>
      </c>
      <c r="F325" s="18">
        <f t="shared" si="21"/>
        <v>4.3333749343716894</v>
      </c>
      <c r="G325" s="3">
        <f t="shared" si="24"/>
        <v>8.271227206509477E-3</v>
      </c>
      <c r="H325" s="4">
        <f t="shared" ref="H325:H388" si="25" xml:space="preserve"> - LN(G325) - 0.5 * ($D325/G325)^2</f>
        <v>4.3924507047985983</v>
      </c>
    </row>
    <row r="326" spans="2:8" x14ac:dyDescent="0.15">
      <c r="B326" s="16">
        <v>41011</v>
      </c>
      <c r="C326" s="11">
        <v>1387.57</v>
      </c>
      <c r="D326" s="12">
        <f t="shared" si="22"/>
        <v>1.3685325404961968E-2</v>
      </c>
      <c r="E326" s="3">
        <f t="shared" si="23"/>
        <v>9.6162264319939739E-3</v>
      </c>
      <c r="F326" s="18">
        <f t="shared" ref="F326:F389" si="26" xml:space="preserve"> - LN(E326) - 0.5 * (D326/E326)^2</f>
        <v>3.6316264645331851</v>
      </c>
      <c r="G326" s="3">
        <f t="shared" si="24"/>
        <v>8.2082981012103536E-3</v>
      </c>
      <c r="H326" s="4">
        <f t="shared" si="25"/>
        <v>3.412740186495101</v>
      </c>
    </row>
    <row r="327" spans="2:8" x14ac:dyDescent="0.15">
      <c r="B327" s="16">
        <v>41012</v>
      </c>
      <c r="C327" s="11">
        <v>1370.26</v>
      </c>
      <c r="D327" s="12">
        <f t="shared" ref="D327:D390" si="27">LN(C327/C326)</f>
        <v>-1.2553512960530443E-2</v>
      </c>
      <c r="E327" s="3">
        <f t="shared" si="23"/>
        <v>1.027389501057858E-2</v>
      </c>
      <c r="F327" s="18">
        <f t="shared" si="26"/>
        <v>3.8316482130500509</v>
      </c>
      <c r="G327" s="3">
        <f t="shared" si="24"/>
        <v>8.7578364229133308E-3</v>
      </c>
      <c r="H327" s="4">
        <f t="shared" si="25"/>
        <v>3.7104836601427014</v>
      </c>
    </row>
    <row r="328" spans="2:8" x14ac:dyDescent="0.15">
      <c r="B328" s="16">
        <v>41015</v>
      </c>
      <c r="C328" s="11">
        <v>1369.57</v>
      </c>
      <c r="D328" s="12">
        <f t="shared" si="27"/>
        <v>-5.036808959588716E-4</v>
      </c>
      <c r="E328" s="3">
        <f t="shared" ref="E328:E391" si="28">SQRT($L$18 + $L$19*E327^2 + $L$20*D327^2)</f>
        <v>1.0594611668800701E-2</v>
      </c>
      <c r="F328" s="18">
        <f t="shared" si="26"/>
        <v>4.5462796558502525</v>
      </c>
      <c r="G328" s="3">
        <f t="shared" ref="G328:G391" si="29">SQRT($V$18*G327^2 + (1-$V$18)*D327^2)</f>
        <v>9.109842644077994E-3</v>
      </c>
      <c r="H328" s="4">
        <f t="shared" si="25"/>
        <v>4.6968713626703478</v>
      </c>
    </row>
    <row r="329" spans="2:8" x14ac:dyDescent="0.15">
      <c r="B329" s="16">
        <v>41016</v>
      </c>
      <c r="C329" s="11">
        <v>1390.78</v>
      </c>
      <c r="D329" s="12">
        <f t="shared" si="27"/>
        <v>1.5367918875513488E-2</v>
      </c>
      <c r="E329" s="3">
        <f t="shared" si="28"/>
        <v>9.8173511497976363E-3</v>
      </c>
      <c r="F329" s="18">
        <f t="shared" si="26"/>
        <v>3.3983912824612923</v>
      </c>
      <c r="G329" s="3">
        <f t="shared" si="29"/>
        <v>8.7496445153956593E-3</v>
      </c>
      <c r="H329" s="4">
        <f t="shared" si="25"/>
        <v>3.1962630445170781</v>
      </c>
    </row>
    <row r="330" spans="2:8" x14ac:dyDescent="0.15">
      <c r="B330" s="16">
        <v>41017</v>
      </c>
      <c r="C330" s="11">
        <v>1385.14</v>
      </c>
      <c r="D330" s="12">
        <f t="shared" si="27"/>
        <v>-4.0635232720984613E-3</v>
      </c>
      <c r="E330" s="3">
        <f t="shared" si="28"/>
        <v>1.0742017631984228E-2</v>
      </c>
      <c r="F330" s="18">
        <f t="shared" si="26"/>
        <v>4.4620433103493236</v>
      </c>
      <c r="G330" s="3">
        <f t="shared" si="29"/>
        <v>9.4322312552805425E-3</v>
      </c>
      <c r="H330" s="4">
        <f t="shared" si="25"/>
        <v>4.5708228862130911</v>
      </c>
    </row>
    <row r="331" spans="2:8" x14ac:dyDescent="0.15">
      <c r="B331" s="16">
        <v>41018</v>
      </c>
      <c r="C331" s="11">
        <v>1376.92</v>
      </c>
      <c r="D331" s="12">
        <f t="shared" si="27"/>
        <v>-5.952096817443118E-3</v>
      </c>
      <c r="E331" s="3">
        <f t="shared" si="28"/>
        <v>1.0058079981645089E-2</v>
      </c>
      <c r="F331" s="18">
        <f t="shared" si="26"/>
        <v>4.4242815444109347</v>
      </c>
      <c r="G331" s="3">
        <f t="shared" si="29"/>
        <v>9.12871271086034E-3</v>
      </c>
      <c r="H331" s="4">
        <f t="shared" si="25"/>
        <v>4.4837660099251764</v>
      </c>
    </row>
    <row r="332" spans="2:8" x14ac:dyDescent="0.15">
      <c r="B332" s="16">
        <v>41019</v>
      </c>
      <c r="C332" s="11">
        <v>1378.53</v>
      </c>
      <c r="D332" s="12">
        <f t="shared" si="27"/>
        <v>1.1685932847406632E-3</v>
      </c>
      <c r="E332" s="3">
        <f t="shared" si="28"/>
        <v>9.5953314686698533E-3</v>
      </c>
      <c r="F332" s="18">
        <f t="shared" si="26"/>
        <v>4.6390624830365796</v>
      </c>
      <c r="G332" s="3">
        <f t="shared" si="29"/>
        <v>8.9223626420877142E-3</v>
      </c>
      <c r="H332" s="4">
        <f t="shared" si="25"/>
        <v>4.7106174651742103</v>
      </c>
    </row>
    <row r="333" spans="2:8" x14ac:dyDescent="0.15">
      <c r="B333" s="16">
        <v>41022</v>
      </c>
      <c r="C333" s="11">
        <v>1366.94</v>
      </c>
      <c r="D333" s="12">
        <f t="shared" si="27"/>
        <v>-8.4430489857261516E-3</v>
      </c>
      <c r="E333" s="3">
        <f t="shared" si="28"/>
        <v>8.9438688283064831E-3</v>
      </c>
      <c r="F333" s="18">
        <f t="shared" si="26"/>
        <v>4.2712151431738468</v>
      </c>
      <c r="G333" s="3">
        <f t="shared" si="29"/>
        <v>8.574667040338161E-3</v>
      </c>
      <c r="H333" s="4">
        <f t="shared" si="25"/>
        <v>4.2741749503532551</v>
      </c>
    </row>
    <row r="334" spans="2:8" x14ac:dyDescent="0.15">
      <c r="B334" s="16">
        <v>41023</v>
      </c>
      <c r="C334" s="11">
        <v>1371.97</v>
      </c>
      <c r="D334" s="12">
        <f t="shared" si="27"/>
        <v>3.6729981305998567E-3</v>
      </c>
      <c r="E334" s="3">
        <f t="shared" si="28"/>
        <v>8.9208156877126649E-3</v>
      </c>
      <c r="F334" s="18">
        <f t="shared" si="26"/>
        <v>4.6346056789580743</v>
      </c>
      <c r="G334" s="3">
        <f t="shared" si="29"/>
        <v>8.5645058352218969E-3</v>
      </c>
      <c r="H334" s="4">
        <f t="shared" si="25"/>
        <v>4.6681671852001951</v>
      </c>
    </row>
    <row r="335" spans="2:8" x14ac:dyDescent="0.15">
      <c r="B335" s="16">
        <v>41024</v>
      </c>
      <c r="C335" s="11">
        <v>1390.69</v>
      </c>
      <c r="D335" s="12">
        <f t="shared" si="27"/>
        <v>1.3552363677729872E-2</v>
      </c>
      <c r="E335" s="3">
        <f t="shared" si="28"/>
        <v>8.4498673573647886E-3</v>
      </c>
      <c r="F335" s="18">
        <f t="shared" si="26"/>
        <v>3.487428788112751</v>
      </c>
      <c r="G335" s="3">
        <f t="shared" si="29"/>
        <v>8.2883330651609532E-3</v>
      </c>
      <c r="H335" s="4">
        <f t="shared" si="25"/>
        <v>3.4561086464401827</v>
      </c>
    </row>
    <row r="336" spans="2:8" x14ac:dyDescent="0.15">
      <c r="B336" s="16">
        <v>41025</v>
      </c>
      <c r="C336" s="11">
        <v>1399.98</v>
      </c>
      <c r="D336" s="12">
        <f t="shared" si="27"/>
        <v>6.6579239517370777E-3</v>
      </c>
      <c r="E336" s="3">
        <f t="shared" si="28"/>
        <v>9.3695440956171432E-3</v>
      </c>
      <c r="F336" s="18">
        <f t="shared" si="26"/>
        <v>4.4178202781687963</v>
      </c>
      <c r="G336" s="3">
        <f t="shared" si="29"/>
        <v>8.8111156640774905E-3</v>
      </c>
      <c r="H336" s="4">
        <f t="shared" si="25"/>
        <v>4.4462545242855978</v>
      </c>
    </row>
    <row r="337" spans="2:8" x14ac:dyDescent="0.15">
      <c r="B337" s="16">
        <v>41026</v>
      </c>
      <c r="C337" s="11">
        <v>1403.36</v>
      </c>
      <c r="D337" s="12">
        <f t="shared" si="27"/>
        <v>2.4114104160489723E-3</v>
      </c>
      <c r="E337" s="3">
        <f t="shared" si="28"/>
        <v>9.0726495139071064E-3</v>
      </c>
      <c r="F337" s="18">
        <f t="shared" si="26"/>
        <v>4.6671690436008104</v>
      </c>
      <c r="G337" s="3">
        <f t="shared" si="29"/>
        <v>8.6629077221821362E-3</v>
      </c>
      <c r="H337" s="4">
        <f t="shared" si="25"/>
        <v>4.709962593304696</v>
      </c>
    </row>
    <row r="338" spans="2:8" x14ac:dyDescent="0.15">
      <c r="B338" s="16">
        <v>41029</v>
      </c>
      <c r="C338" s="11">
        <v>1397.91</v>
      </c>
      <c r="D338" s="12">
        <f t="shared" si="27"/>
        <v>-3.8910971640511403E-3</v>
      </c>
      <c r="E338" s="3">
        <f t="shared" si="28"/>
        <v>8.5204516115325972E-3</v>
      </c>
      <c r="F338" s="18">
        <f t="shared" si="26"/>
        <v>4.6610088377862109</v>
      </c>
      <c r="G338" s="3">
        <f t="shared" si="29"/>
        <v>8.3464382914119947E-3</v>
      </c>
      <c r="H338" s="4">
        <f t="shared" si="25"/>
        <v>4.6772498538399043</v>
      </c>
    </row>
    <row r="339" spans="2:8" x14ac:dyDescent="0.15">
      <c r="B339" s="16">
        <v>41030</v>
      </c>
      <c r="C339" s="11">
        <v>1405.82</v>
      </c>
      <c r="D339" s="12">
        <f t="shared" si="27"/>
        <v>5.6424983763752054E-3</v>
      </c>
      <c r="E339" s="3">
        <f t="shared" si="28"/>
        <v>8.1178843293647183E-3</v>
      </c>
      <c r="F339" s="18">
        <f t="shared" si="26"/>
        <v>4.5721245127349688</v>
      </c>
      <c r="G339" s="3">
        <f t="shared" si="29"/>
        <v>8.0884943484050096E-3</v>
      </c>
      <c r="H339" s="4">
        <f t="shared" si="25"/>
        <v>4.5739928407551531</v>
      </c>
    </row>
    <row r="340" spans="2:8" x14ac:dyDescent="0.15">
      <c r="B340" s="16">
        <v>41031</v>
      </c>
      <c r="C340" s="11">
        <v>1402.31</v>
      </c>
      <c r="D340" s="12">
        <f t="shared" si="27"/>
        <v>-2.4998855665210461E-3</v>
      </c>
      <c r="E340" s="3">
        <f t="shared" si="28"/>
        <v>7.9167763576417603E-3</v>
      </c>
      <c r="F340" s="18">
        <f t="shared" si="26"/>
        <v>4.7889156318505339</v>
      </c>
      <c r="G340" s="3">
        <f t="shared" si="29"/>
        <v>7.9254227088852644E-3</v>
      </c>
      <c r="H340" s="4">
        <f t="shared" si="25"/>
        <v>4.7879327941542069</v>
      </c>
    </row>
    <row r="341" spans="2:8" x14ac:dyDescent="0.15">
      <c r="B341" s="16">
        <v>41032</v>
      </c>
      <c r="C341" s="11">
        <v>1391.57</v>
      </c>
      <c r="D341" s="12">
        <f t="shared" si="27"/>
        <v>-7.688270722404974E-3</v>
      </c>
      <c r="E341" s="3">
        <f t="shared" si="28"/>
        <v>7.520599684504992E-3</v>
      </c>
      <c r="F341" s="18">
        <f t="shared" si="26"/>
        <v>4.3675659649191259</v>
      </c>
      <c r="G341" s="3">
        <f t="shared" si="29"/>
        <v>7.6429299474860095E-3</v>
      </c>
      <c r="H341" s="4">
        <f t="shared" si="25"/>
        <v>4.3680242704385002</v>
      </c>
    </row>
    <row r="342" spans="2:8" x14ac:dyDescent="0.15">
      <c r="B342" s="16">
        <v>41033</v>
      </c>
      <c r="C342" s="11">
        <v>1369.1</v>
      </c>
      <c r="D342" s="12">
        <f t="shared" si="27"/>
        <v>-1.6279016486759133E-2</v>
      </c>
      <c r="E342" s="3">
        <f t="shared" si="28"/>
        <v>7.6628640036138446E-3</v>
      </c>
      <c r="F342" s="18">
        <f t="shared" si="26"/>
        <v>2.6148239770144142</v>
      </c>
      <c r="G342" s="3">
        <f t="shared" si="29"/>
        <v>7.6464649778274522E-3</v>
      </c>
      <c r="H342" s="4">
        <f t="shared" si="25"/>
        <v>2.6072769349164759</v>
      </c>
    </row>
    <row r="343" spans="2:8" x14ac:dyDescent="0.15">
      <c r="B343" s="16">
        <v>41036</v>
      </c>
      <c r="C343" s="11">
        <v>1369.58</v>
      </c>
      <c r="D343" s="12">
        <f t="shared" si="27"/>
        <v>3.5053383740709244E-4</v>
      </c>
      <c r="E343" s="3">
        <f t="shared" si="28"/>
        <v>9.4038237122119513E-3</v>
      </c>
      <c r="F343" s="18">
        <f t="shared" si="26"/>
        <v>4.6659441567044126</v>
      </c>
      <c r="G343" s="3">
        <f t="shared" si="29"/>
        <v>8.6329262546825519E-3</v>
      </c>
      <c r="H343" s="4">
        <f t="shared" si="25"/>
        <v>4.7513473978583241</v>
      </c>
    </row>
    <row r="344" spans="2:8" x14ac:dyDescent="0.15">
      <c r="B344" s="16">
        <v>41037</v>
      </c>
      <c r="C344" s="11">
        <v>1363.72</v>
      </c>
      <c r="D344" s="12">
        <f t="shared" si="27"/>
        <v>-4.2878637386193951E-3</v>
      </c>
      <c r="E344" s="3">
        <f t="shared" si="28"/>
        <v>8.7659310540564861E-3</v>
      </c>
      <c r="F344" s="18">
        <f t="shared" si="26"/>
        <v>4.6172482030647419</v>
      </c>
      <c r="G344" s="3">
        <f t="shared" si="29"/>
        <v>8.2910930295181269E-3</v>
      </c>
      <c r="H344" s="4">
        <f t="shared" si="25"/>
        <v>4.6588436125813359</v>
      </c>
    </row>
    <row r="345" spans="2:8" x14ac:dyDescent="0.15">
      <c r="B345" s="16">
        <v>41038</v>
      </c>
      <c r="C345" s="11">
        <v>1354.58</v>
      </c>
      <c r="D345" s="12">
        <f t="shared" si="27"/>
        <v>-6.7248165728184027E-3</v>
      </c>
      <c r="E345" s="3">
        <f t="shared" si="28"/>
        <v>8.3557729122064137E-3</v>
      </c>
      <c r="F345" s="18">
        <f t="shared" si="26"/>
        <v>4.4609423723713792</v>
      </c>
      <c r="G345" s="3">
        <f t="shared" si="29"/>
        <v>8.0515121587300606E-3</v>
      </c>
      <c r="H345" s="4">
        <f t="shared" si="25"/>
        <v>4.4730957547188499</v>
      </c>
    </row>
    <row r="346" spans="2:8" x14ac:dyDescent="0.15">
      <c r="B346" s="16">
        <v>41039</v>
      </c>
      <c r="C346" s="11">
        <v>1357.99</v>
      </c>
      <c r="D346" s="12">
        <f t="shared" si="27"/>
        <v>2.5142221555989205E-3</v>
      </c>
      <c r="E346" s="3">
        <f t="shared" si="28"/>
        <v>8.2282621033193861E-3</v>
      </c>
      <c r="F346" s="18">
        <f t="shared" si="26"/>
        <v>4.7534972042821169</v>
      </c>
      <c r="G346" s="3">
        <f t="shared" si="29"/>
        <v>7.956292991909834E-3</v>
      </c>
      <c r="H346" s="4">
        <f t="shared" si="25"/>
        <v>4.7838627588194322</v>
      </c>
    </row>
    <row r="347" spans="2:8" x14ac:dyDescent="0.15">
      <c r="B347" s="16">
        <v>41040</v>
      </c>
      <c r="C347" s="11">
        <v>1353.39</v>
      </c>
      <c r="D347" s="12">
        <f t="shared" si="27"/>
        <v>-3.3931093490318499E-3</v>
      </c>
      <c r="E347" s="3">
        <f t="shared" si="28"/>
        <v>7.7904801232479134E-3</v>
      </c>
      <c r="F347" s="18">
        <f t="shared" si="26"/>
        <v>4.76000280235038</v>
      </c>
      <c r="G347" s="3">
        <f t="shared" si="29"/>
        <v>7.6728169690891378E-3</v>
      </c>
      <c r="H347" s="4">
        <f t="shared" si="25"/>
        <v>4.7722901077087183</v>
      </c>
    </row>
    <row r="348" spans="2:8" x14ac:dyDescent="0.15">
      <c r="B348" s="16">
        <v>41043</v>
      </c>
      <c r="C348" s="11">
        <v>1338.35</v>
      </c>
      <c r="D348" s="12">
        <f t="shared" si="27"/>
        <v>-1.1175044036911441E-2</v>
      </c>
      <c r="E348" s="3">
        <f t="shared" si="28"/>
        <v>7.4597310901884746E-3</v>
      </c>
      <c r="F348" s="18">
        <f t="shared" si="26"/>
        <v>3.7761602406163606</v>
      </c>
      <c r="G348" s="3">
        <f t="shared" si="29"/>
        <v>7.4289845462658759E-3</v>
      </c>
      <c r="H348" s="4">
        <f t="shared" si="25"/>
        <v>3.7709832759376081</v>
      </c>
    </row>
    <row r="349" spans="2:8" x14ac:dyDescent="0.15">
      <c r="B349" s="16">
        <v>41044</v>
      </c>
      <c r="C349" s="11">
        <v>1330.66</v>
      </c>
      <c r="D349" s="12">
        <f t="shared" si="27"/>
        <v>-5.7624522046803815E-3</v>
      </c>
      <c r="E349" s="3">
        <f t="shared" si="28"/>
        <v>8.1791067541364306E-3</v>
      </c>
      <c r="F349" s="18">
        <f t="shared" si="26"/>
        <v>4.5579888224426641</v>
      </c>
      <c r="G349" s="3">
        <f t="shared" si="29"/>
        <v>7.7851507697600355E-3</v>
      </c>
      <c r="H349" s="4">
        <f t="shared" si="25"/>
        <v>4.5816001537361695</v>
      </c>
    </row>
    <row r="350" spans="2:8" x14ac:dyDescent="0.15">
      <c r="B350" s="16">
        <v>41045</v>
      </c>
      <c r="C350" s="11">
        <v>1324.8</v>
      </c>
      <c r="D350" s="12">
        <f t="shared" si="27"/>
        <v>-4.4135550996594808E-3</v>
      </c>
      <c r="E350" s="3">
        <f t="shared" si="28"/>
        <v>7.9799052781244269E-3</v>
      </c>
      <c r="F350" s="18">
        <f t="shared" si="26"/>
        <v>4.6778779782004261</v>
      </c>
      <c r="G350" s="3">
        <f t="shared" si="29"/>
        <v>7.6470859313277984E-3</v>
      </c>
      <c r="H350" s="4">
        <f t="shared" si="25"/>
        <v>4.7068765887106956</v>
      </c>
    </row>
    <row r="351" spans="2:8" x14ac:dyDescent="0.15">
      <c r="B351" s="16">
        <v>41046</v>
      </c>
      <c r="C351" s="11">
        <v>1304.8599999999999</v>
      </c>
      <c r="D351" s="12">
        <f t="shared" si="27"/>
        <v>-1.516574932256603E-2</v>
      </c>
      <c r="E351" s="3">
        <f t="shared" si="28"/>
        <v>7.6926894858625628E-3</v>
      </c>
      <c r="F351" s="18">
        <f t="shared" si="26"/>
        <v>2.9241781294733125</v>
      </c>
      <c r="G351" s="3">
        <f t="shared" si="29"/>
        <v>7.4461848041958312E-3</v>
      </c>
      <c r="H351" s="4">
        <f t="shared" si="25"/>
        <v>2.8259513929494102</v>
      </c>
    </row>
    <row r="352" spans="2:8" x14ac:dyDescent="0.15">
      <c r="B352" s="16">
        <v>41047</v>
      </c>
      <c r="C352" s="11">
        <v>1295.22</v>
      </c>
      <c r="D352" s="12">
        <f t="shared" si="27"/>
        <v>-7.4151904335883496E-3</v>
      </c>
      <c r="E352" s="3">
        <f t="shared" si="28"/>
        <v>9.1682439027307959E-3</v>
      </c>
      <c r="F352" s="18">
        <f t="shared" si="26"/>
        <v>4.3649383148368788</v>
      </c>
      <c r="G352" s="3">
        <f t="shared" si="29"/>
        <v>8.3076966955332211E-3</v>
      </c>
      <c r="H352" s="4">
        <f t="shared" si="25"/>
        <v>4.3922333967061791</v>
      </c>
    </row>
    <row r="353" spans="2:8" x14ac:dyDescent="0.15">
      <c r="B353" s="16">
        <v>41050</v>
      </c>
      <c r="C353" s="11">
        <v>1315.99</v>
      </c>
      <c r="D353" s="12">
        <f t="shared" si="27"/>
        <v>1.5908669197356163E-2</v>
      </c>
      <c r="E353" s="3">
        <f t="shared" si="28"/>
        <v>8.9833314608740722E-3</v>
      </c>
      <c r="F353" s="18">
        <f t="shared" si="26"/>
        <v>3.1443238220345435</v>
      </c>
      <c r="G353" s="3">
        <f t="shared" si="29"/>
        <v>8.2417674706957954E-3</v>
      </c>
      <c r="H353" s="4">
        <f t="shared" si="25"/>
        <v>2.9356085047737617</v>
      </c>
    </row>
    <row r="354" spans="2:8" x14ac:dyDescent="0.15">
      <c r="B354" s="16">
        <v>41051</v>
      </c>
      <c r="C354" s="11">
        <v>1316.63</v>
      </c>
      <c r="D354" s="12">
        <f t="shared" si="27"/>
        <v>4.8620766582948318E-4</v>
      </c>
      <c r="E354" s="3">
        <f t="shared" si="28"/>
        <v>1.0238778263384667E-2</v>
      </c>
      <c r="F354" s="18">
        <f t="shared" si="26"/>
        <v>4.5804454746748879</v>
      </c>
      <c r="G354" s="3">
        <f t="shared" si="29"/>
        <v>9.0732265429570493E-3</v>
      </c>
      <c r="H354" s="4">
        <f t="shared" si="25"/>
        <v>4.7009915529208097</v>
      </c>
    </row>
    <row r="355" spans="2:8" x14ac:dyDescent="0.15">
      <c r="B355" s="16">
        <v>41052</v>
      </c>
      <c r="C355" s="11">
        <v>1318.86</v>
      </c>
      <c r="D355" s="12">
        <f t="shared" si="27"/>
        <v>1.6922853300106668E-3</v>
      </c>
      <c r="E355" s="3">
        <f t="shared" si="28"/>
        <v>9.502692457916186E-3</v>
      </c>
      <c r="F355" s="18">
        <f t="shared" si="26"/>
        <v>4.6403230013362036</v>
      </c>
      <c r="G355" s="3">
        <f t="shared" si="29"/>
        <v>8.7144081115885248E-3</v>
      </c>
      <c r="H355" s="4">
        <f t="shared" si="25"/>
        <v>4.7239218733312249</v>
      </c>
    </row>
    <row r="356" spans="2:8" x14ac:dyDescent="0.15">
      <c r="B356" s="16">
        <v>41053</v>
      </c>
      <c r="C356" s="11">
        <v>1320.68</v>
      </c>
      <c r="D356" s="12">
        <f t="shared" si="27"/>
        <v>1.3790283825421373E-3</v>
      </c>
      <c r="E356" s="3">
        <f t="shared" si="28"/>
        <v>8.8738839274153016E-3</v>
      </c>
      <c r="F356" s="18">
        <f t="shared" si="26"/>
        <v>4.7125676565039303</v>
      </c>
      <c r="G356" s="3">
        <f t="shared" si="29"/>
        <v>8.3820600764548323E-3</v>
      </c>
      <c r="H356" s="4">
        <f t="shared" si="25"/>
        <v>4.7681279142270308</v>
      </c>
    </row>
    <row r="357" spans="2:8" x14ac:dyDescent="0.15">
      <c r="B357" s="16">
        <v>41054</v>
      </c>
      <c r="C357" s="11">
        <v>1317.82</v>
      </c>
      <c r="D357" s="12">
        <f t="shared" si="27"/>
        <v>-2.167899276191806E-3</v>
      </c>
      <c r="E357" s="3">
        <f t="shared" si="28"/>
        <v>8.315222650754555E-3</v>
      </c>
      <c r="F357" s="18">
        <f t="shared" si="26"/>
        <v>4.7556813594111436</v>
      </c>
      <c r="G357" s="3">
        <f t="shared" si="29"/>
        <v>8.0587802025770157E-3</v>
      </c>
      <c r="H357" s="4">
        <f t="shared" si="25"/>
        <v>4.7848096560423219</v>
      </c>
    </row>
    <row r="358" spans="2:8" x14ac:dyDescent="0.15">
      <c r="B358" s="16">
        <v>41058</v>
      </c>
      <c r="C358" s="11">
        <v>1332.42</v>
      </c>
      <c r="D358" s="12">
        <f t="shared" si="27"/>
        <v>1.1017981539835837E-2</v>
      </c>
      <c r="E358" s="3">
        <f t="shared" si="28"/>
        <v>7.8518038159137941E-3</v>
      </c>
      <c r="F358" s="18">
        <f t="shared" si="26"/>
        <v>3.8624678167445152</v>
      </c>
      <c r="G358" s="3">
        <f t="shared" si="29"/>
        <v>7.7627161556791894E-3</v>
      </c>
      <c r="H358" s="4">
        <f t="shared" si="25"/>
        <v>3.8511511933642857</v>
      </c>
    </row>
    <row r="359" spans="2:8" x14ac:dyDescent="0.15">
      <c r="B359" s="16">
        <v>41059</v>
      </c>
      <c r="C359" s="11">
        <v>1313.32</v>
      </c>
      <c r="D359" s="12">
        <f t="shared" si="27"/>
        <v>-1.4438555426152216E-2</v>
      </c>
      <c r="E359" s="3">
        <f t="shared" si="28"/>
        <v>8.4466451786889933E-3</v>
      </c>
      <c r="F359" s="18">
        <f t="shared" si="26"/>
        <v>3.3129900573366928</v>
      </c>
      <c r="G359" s="3">
        <f t="shared" si="29"/>
        <v>8.0630821979380939E-3</v>
      </c>
      <c r="H359" s="4">
        <f t="shared" si="25"/>
        <v>3.2171574465606181</v>
      </c>
    </row>
    <row r="360" spans="2:8" x14ac:dyDescent="0.15">
      <c r="B360" s="16">
        <v>41060</v>
      </c>
      <c r="C360" s="11">
        <v>1310.33</v>
      </c>
      <c r="D360" s="12">
        <f t="shared" si="27"/>
        <v>-2.2792684195200048E-3</v>
      </c>
      <c r="E360" s="3">
        <f t="shared" si="28"/>
        <v>9.5451555060986435E-3</v>
      </c>
      <c r="F360" s="18">
        <f t="shared" si="26"/>
        <v>4.6232116799138856</v>
      </c>
      <c r="G360" s="3">
        <f t="shared" si="29"/>
        <v>8.7274085804975206E-3</v>
      </c>
      <c r="H360" s="4">
        <f t="shared" si="25"/>
        <v>4.7071839706729781</v>
      </c>
    </row>
    <row r="361" spans="2:8" x14ac:dyDescent="0.15">
      <c r="B361" s="16">
        <v>41061</v>
      </c>
      <c r="C361" s="11">
        <v>1278.04</v>
      </c>
      <c r="D361" s="12">
        <f t="shared" si="27"/>
        <v>-2.4951359516333108E-2</v>
      </c>
      <c r="E361" s="3">
        <f t="shared" si="28"/>
        <v>8.9288973460696069E-3</v>
      </c>
      <c r="F361" s="18">
        <f t="shared" si="26"/>
        <v>0.81398623948675741</v>
      </c>
      <c r="G361" s="3">
        <f t="shared" si="29"/>
        <v>8.4053145830912685E-3</v>
      </c>
      <c r="H361" s="4">
        <f t="shared" si="25"/>
        <v>0.37283026718441548</v>
      </c>
    </row>
    <row r="362" spans="2:8" x14ac:dyDescent="0.15">
      <c r="B362" s="16">
        <v>41064</v>
      </c>
      <c r="C362" s="11">
        <v>1278.18</v>
      </c>
      <c r="D362" s="12">
        <f t="shared" si="27"/>
        <v>1.0953673794903053E-4</v>
      </c>
      <c r="E362" s="3">
        <f t="shared" si="28"/>
        <v>1.2416727096263772E-2</v>
      </c>
      <c r="F362" s="18">
        <f t="shared" si="26"/>
        <v>4.3886718447593092</v>
      </c>
      <c r="G362" s="3">
        <f t="shared" si="29"/>
        <v>1.0656591663093486E-2</v>
      </c>
      <c r="H362" s="4">
        <f t="shared" si="25"/>
        <v>4.5415238161498825</v>
      </c>
    </row>
    <row r="363" spans="2:8" x14ac:dyDescent="0.15">
      <c r="B363" s="16">
        <v>41065</v>
      </c>
      <c r="C363" s="11">
        <v>1285.5</v>
      </c>
      <c r="D363" s="12">
        <f t="shared" si="27"/>
        <v>5.7105566157771509E-3</v>
      </c>
      <c r="E363" s="3">
        <f t="shared" si="28"/>
        <v>1.1433219547363148E-2</v>
      </c>
      <c r="F363" s="18">
        <f t="shared" si="26"/>
        <v>4.346496743497072</v>
      </c>
      <c r="G363" s="3">
        <f t="shared" si="29"/>
        <v>1.0233962819696032E-2</v>
      </c>
      <c r="H363" s="4">
        <f t="shared" si="25"/>
        <v>4.426361109242916</v>
      </c>
    </row>
    <row r="364" spans="2:8" x14ac:dyDescent="0.15">
      <c r="B364" s="16">
        <v>41066</v>
      </c>
      <c r="C364" s="11">
        <v>1315.13</v>
      </c>
      <c r="D364" s="12">
        <f t="shared" si="27"/>
        <v>2.2787772335250183E-2</v>
      </c>
      <c r="E364" s="3">
        <f t="shared" si="28"/>
        <v>1.0766344089776479E-2</v>
      </c>
      <c r="F364" s="18">
        <f t="shared" si="26"/>
        <v>2.2913859063714512</v>
      </c>
      <c r="G364" s="3">
        <f t="shared" si="29"/>
        <v>9.9562120436171263E-3</v>
      </c>
      <c r="H364" s="4">
        <f t="shared" si="25"/>
        <v>1.9902572077152954</v>
      </c>
    </row>
    <row r="365" spans="2:8" x14ac:dyDescent="0.15">
      <c r="B365" s="16">
        <v>41067</v>
      </c>
      <c r="C365" s="11">
        <v>1314.99</v>
      </c>
      <c r="D365" s="12">
        <f t="shared" si="27"/>
        <v>-1.0645902098176338E-4</v>
      </c>
      <c r="E365" s="3">
        <f t="shared" si="28"/>
        <v>1.3031636391323006E-2</v>
      </c>
      <c r="F365" s="18">
        <f t="shared" si="26"/>
        <v>4.3403419407631842</v>
      </c>
      <c r="G365" s="3">
        <f t="shared" si="29"/>
        <v>1.1480185912291403E-2</v>
      </c>
      <c r="H365" s="4">
        <f t="shared" si="25"/>
        <v>4.4670896968760134</v>
      </c>
    </row>
    <row r="366" spans="2:8" x14ac:dyDescent="0.15">
      <c r="B366" s="16">
        <v>41068</v>
      </c>
      <c r="C366" s="11">
        <v>1325.66</v>
      </c>
      <c r="D366" s="12">
        <f t="shared" si="27"/>
        <v>8.0813875904548593E-3</v>
      </c>
      <c r="E366" s="3">
        <f t="shared" si="28"/>
        <v>1.1981067916552958E-2</v>
      </c>
      <c r="F366" s="18">
        <f t="shared" si="26"/>
        <v>4.1969435691084085</v>
      </c>
      <c r="G366" s="3">
        <f t="shared" si="29"/>
        <v>1.1024885079494635E-2</v>
      </c>
      <c r="H366" s="4">
        <f t="shared" si="25"/>
        <v>4.2389460192980195</v>
      </c>
    </row>
    <row r="367" spans="2:8" x14ac:dyDescent="0.15">
      <c r="B367" s="16">
        <v>41071</v>
      </c>
      <c r="C367" s="11">
        <v>1308.93</v>
      </c>
      <c r="D367" s="12">
        <f t="shared" si="27"/>
        <v>-1.2700439066485178E-2</v>
      </c>
      <c r="E367" s="3">
        <f t="shared" si="28"/>
        <v>1.1439698845488922E-2</v>
      </c>
      <c r="F367" s="18">
        <f t="shared" si="26"/>
        <v>3.8543853093460836</v>
      </c>
      <c r="G367" s="3">
        <f t="shared" si="29"/>
        <v>1.0824754384427215E-2</v>
      </c>
      <c r="H367" s="4">
        <f t="shared" si="25"/>
        <v>3.8376298328120395</v>
      </c>
    </row>
    <row r="368" spans="2:8" x14ac:dyDescent="0.15">
      <c r="B368" s="16">
        <v>41072</v>
      </c>
      <c r="C368" s="11">
        <v>1324.18</v>
      </c>
      <c r="D368" s="12">
        <f t="shared" si="27"/>
        <v>1.1583390373813106E-2</v>
      </c>
      <c r="E368" s="3">
        <f t="shared" si="28"/>
        <v>1.155421712829161E-2</v>
      </c>
      <c r="F368" s="18">
        <f t="shared" si="26"/>
        <v>3.9581767015277913</v>
      </c>
      <c r="G368" s="3">
        <f t="shared" si="29"/>
        <v>1.0982086944472046E-2</v>
      </c>
      <c r="H368" s="4">
        <f t="shared" si="25"/>
        <v>3.9552377302061013</v>
      </c>
    </row>
    <row r="369" spans="2:8" x14ac:dyDescent="0.15">
      <c r="B369" s="16">
        <v>41073</v>
      </c>
      <c r="C369" s="11">
        <v>1314.88</v>
      </c>
      <c r="D369" s="12">
        <f t="shared" si="27"/>
        <v>-7.0479932229503646E-3</v>
      </c>
      <c r="E369" s="3">
        <f t="shared" si="28"/>
        <v>1.1488135161646516E-2</v>
      </c>
      <c r="F369" s="18">
        <f t="shared" si="26"/>
        <v>4.2782481853263823</v>
      </c>
      <c r="G369" s="3">
        <f t="shared" si="29"/>
        <v>1.1030015574572114E-2</v>
      </c>
      <c r="H369" s="4">
        <f t="shared" si="25"/>
        <v>4.3029853513059724</v>
      </c>
    </row>
    <row r="370" spans="2:8" x14ac:dyDescent="0.15">
      <c r="B370" s="16">
        <v>41074</v>
      </c>
      <c r="C370" s="11">
        <v>1329.1</v>
      </c>
      <c r="D370" s="12">
        <f t="shared" si="27"/>
        <v>1.0756614732241909E-2</v>
      </c>
      <c r="E370" s="3">
        <f t="shared" si="28"/>
        <v>1.0920699442157313E-2</v>
      </c>
      <c r="F370" s="18">
        <f t="shared" si="26"/>
        <v>4.032007492228435</v>
      </c>
      <c r="G370" s="3">
        <f t="shared" si="29"/>
        <v>1.0773301276151536E-2</v>
      </c>
      <c r="H370" s="4">
        <f t="shared" si="25"/>
        <v>4.0322319894458394</v>
      </c>
    </row>
    <row r="371" spans="2:8" x14ac:dyDescent="0.15">
      <c r="B371" s="16">
        <v>41075</v>
      </c>
      <c r="C371" s="11">
        <v>1342.84</v>
      </c>
      <c r="D371" s="12">
        <f t="shared" si="27"/>
        <v>1.0284752736562524E-2</v>
      </c>
      <c r="E371" s="3">
        <f t="shared" si="28"/>
        <v>1.0853529970828359E-2</v>
      </c>
      <c r="F371" s="18">
        <f t="shared" si="26"/>
        <v>4.0742965920105112</v>
      </c>
      <c r="G371" s="3">
        <f t="shared" si="29"/>
        <v>1.0772004770538007E-2</v>
      </c>
      <c r="H371" s="4">
        <f t="shared" si="25"/>
        <v>4.0750148211679651</v>
      </c>
    </row>
    <row r="372" spans="2:8" x14ac:dyDescent="0.15">
      <c r="B372" s="16">
        <v>41078</v>
      </c>
      <c r="C372" s="11">
        <v>1344.78</v>
      </c>
      <c r="D372" s="12">
        <f t="shared" si="27"/>
        <v>1.4436567200249713E-3</v>
      </c>
      <c r="E372" s="3">
        <f t="shared" si="28"/>
        <v>1.0735586183818039E-2</v>
      </c>
      <c r="F372" s="18">
        <f t="shared" si="26"/>
        <v>4.5251496221026466</v>
      </c>
      <c r="G372" s="3">
        <f t="shared" si="29"/>
        <v>1.0734912336498377E-2</v>
      </c>
      <c r="H372" s="4">
        <f t="shared" si="25"/>
        <v>4.5252112565550275</v>
      </c>
    </row>
    <row r="373" spans="2:8" x14ac:dyDescent="0.15">
      <c r="B373" s="16">
        <v>41079</v>
      </c>
      <c r="C373" s="11">
        <v>1357.98</v>
      </c>
      <c r="D373" s="12">
        <f t="shared" si="27"/>
        <v>9.767870585814924E-3</v>
      </c>
      <c r="E373" s="3">
        <f t="shared" si="28"/>
        <v>9.954584071535176E-3</v>
      </c>
      <c r="F373" s="18">
        <f t="shared" si="26"/>
        <v>4.128302752540665</v>
      </c>
      <c r="G373" s="3">
        <f t="shared" si="29"/>
        <v>1.0316987958497151E-2</v>
      </c>
      <c r="H373" s="4">
        <f t="shared" si="25"/>
        <v>4.1257715800518504</v>
      </c>
    </row>
    <row r="374" spans="2:8" x14ac:dyDescent="0.15">
      <c r="B374" s="16">
        <v>41080</v>
      </c>
      <c r="C374" s="11">
        <v>1355.69</v>
      </c>
      <c r="D374" s="12">
        <f t="shared" si="27"/>
        <v>-1.6877516747354983E-3</v>
      </c>
      <c r="E374" s="3">
        <f t="shared" si="28"/>
        <v>9.9253604374529795E-3</v>
      </c>
      <c r="F374" s="18">
        <f t="shared" si="26"/>
        <v>4.5982045928600357</v>
      </c>
      <c r="G374" s="3">
        <f t="shared" si="29"/>
        <v>1.0275344503137347E-2</v>
      </c>
      <c r="H374" s="4">
        <f t="shared" si="25"/>
        <v>4.5645185385798612</v>
      </c>
    </row>
    <row r="375" spans="2:8" x14ac:dyDescent="0.15">
      <c r="B375" s="16">
        <v>41081</v>
      </c>
      <c r="C375" s="11">
        <v>1325.51</v>
      </c>
      <c r="D375" s="12">
        <f t="shared" si="27"/>
        <v>-2.2513258771434952E-2</v>
      </c>
      <c r="E375" s="3">
        <f t="shared" si="28"/>
        <v>9.2452736559717232E-3</v>
      </c>
      <c r="F375" s="18">
        <f t="shared" si="26"/>
        <v>1.718762342462469</v>
      </c>
      <c r="G375" s="3">
        <f t="shared" si="29"/>
        <v>9.8790075780365461E-3</v>
      </c>
      <c r="H375" s="4">
        <f t="shared" si="25"/>
        <v>2.0206532903082084</v>
      </c>
    </row>
    <row r="376" spans="2:8" x14ac:dyDescent="0.15">
      <c r="B376" s="16">
        <v>41082</v>
      </c>
      <c r="C376" s="11">
        <v>1335.02</v>
      </c>
      <c r="D376" s="12">
        <f t="shared" si="27"/>
        <v>7.1489819720210544E-3</v>
      </c>
      <c r="E376" s="3">
        <f t="shared" si="28"/>
        <v>1.196594942694415E-2</v>
      </c>
      <c r="F376" s="18">
        <f t="shared" si="26"/>
        <v>4.2472206795280014</v>
      </c>
      <c r="G376" s="3">
        <f t="shared" si="29"/>
        <v>1.1376091177782009E-2</v>
      </c>
      <c r="H376" s="4">
        <f t="shared" si="25"/>
        <v>4.2787845068443069</v>
      </c>
    </row>
    <row r="377" spans="2:8" x14ac:dyDescent="0.15">
      <c r="B377" s="16">
        <v>41085</v>
      </c>
      <c r="C377" s="11">
        <v>1313.72</v>
      </c>
      <c r="D377" s="12">
        <f t="shared" si="27"/>
        <v>-1.6083465459972662E-2</v>
      </c>
      <c r="E377" s="3">
        <f t="shared" si="28"/>
        <v>1.1342079412563058E-2</v>
      </c>
      <c r="F377" s="18">
        <f t="shared" si="26"/>
        <v>3.4738240121462018</v>
      </c>
      <c r="G377" s="3">
        <f t="shared" si="29"/>
        <v>1.110525957765995E-2</v>
      </c>
      <c r="H377" s="4">
        <f t="shared" si="25"/>
        <v>3.4515867771833939</v>
      </c>
    </row>
    <row r="378" spans="2:8" x14ac:dyDescent="0.15">
      <c r="B378" s="16">
        <v>41086</v>
      </c>
      <c r="C378" s="11">
        <v>1319.99</v>
      </c>
      <c r="D378" s="12">
        <f t="shared" si="27"/>
        <v>4.7613532585773716E-3</v>
      </c>
      <c r="E378" s="3">
        <f t="shared" si="28"/>
        <v>1.2037093970519362E-2</v>
      </c>
      <c r="F378" s="18">
        <f t="shared" si="26"/>
        <v>4.3415296783941146</v>
      </c>
      <c r="G378" s="3">
        <f t="shared" si="29"/>
        <v>1.1569389386382457E-2</v>
      </c>
      <c r="H378" s="4">
        <f t="shared" si="25"/>
        <v>4.3747068430930858</v>
      </c>
    </row>
    <row r="379" spans="2:8" x14ac:dyDescent="0.15">
      <c r="B379" s="16">
        <v>41087</v>
      </c>
      <c r="C379" s="11">
        <v>1331.85</v>
      </c>
      <c r="D379" s="12">
        <f t="shared" si="27"/>
        <v>8.9447923523008708E-3</v>
      </c>
      <c r="E379" s="3">
        <f t="shared" si="28"/>
        <v>1.1233140283353805E-2</v>
      </c>
      <c r="F379" s="18">
        <f t="shared" si="26"/>
        <v>4.1718512183879497</v>
      </c>
      <c r="G379" s="3">
        <f t="shared" si="29"/>
        <v>1.1189555239268716E-2</v>
      </c>
      <c r="H379" s="4">
        <f t="shared" si="25"/>
        <v>4.1732641901541996</v>
      </c>
    </row>
    <row r="380" spans="2:8" x14ac:dyDescent="0.15">
      <c r="B380" s="16">
        <v>41088</v>
      </c>
      <c r="C380" s="11">
        <v>1329.04</v>
      </c>
      <c r="D380" s="12">
        <f t="shared" si="27"/>
        <v>-2.112076068222122E-3</v>
      </c>
      <c r="E380" s="3">
        <f t="shared" si="28"/>
        <v>1.0891693498714012E-2</v>
      </c>
      <c r="F380" s="18">
        <f t="shared" si="26"/>
        <v>4.5009530937813063</v>
      </c>
      <c r="G380" s="3">
        <f t="shared" si="29"/>
        <v>1.1031407311491669E-2</v>
      </c>
      <c r="H380" s="4">
        <f t="shared" si="25"/>
        <v>4.4886803495990151</v>
      </c>
    </row>
    <row r="381" spans="2:8" x14ac:dyDescent="0.15">
      <c r="B381" s="16">
        <v>41089</v>
      </c>
      <c r="C381" s="11">
        <v>1362.16</v>
      </c>
      <c r="D381" s="12">
        <f t="shared" si="27"/>
        <v>2.4614798034165282E-2</v>
      </c>
      <c r="E381" s="3">
        <f t="shared" si="28"/>
        <v>1.0108602901821362E-2</v>
      </c>
      <c r="F381" s="18">
        <f t="shared" si="26"/>
        <v>1.6296716429074647</v>
      </c>
      <c r="G381" s="3">
        <f t="shared" si="29"/>
        <v>1.0610224037469657E-2</v>
      </c>
      <c r="H381" s="4">
        <f t="shared" si="25"/>
        <v>1.8549387504580395</v>
      </c>
    </row>
    <row r="382" spans="2:8" x14ac:dyDescent="0.15">
      <c r="B382" s="16">
        <v>41092</v>
      </c>
      <c r="C382" s="11">
        <v>1365.51</v>
      </c>
      <c r="D382" s="12">
        <f t="shared" si="27"/>
        <v>2.4563100993451855E-3</v>
      </c>
      <c r="E382" s="3">
        <f t="shared" si="28"/>
        <v>1.305072291745136E-2</v>
      </c>
      <c r="F382" s="18">
        <f t="shared" si="26"/>
        <v>4.3211997650402862</v>
      </c>
      <c r="G382" s="3">
        <f t="shared" si="29"/>
        <v>1.2285495598025654E-2</v>
      </c>
      <c r="H382" s="4">
        <f t="shared" si="25"/>
        <v>4.3793487747852247</v>
      </c>
    </row>
    <row r="383" spans="2:8" x14ac:dyDescent="0.15">
      <c r="B383" s="16">
        <v>41093</v>
      </c>
      <c r="C383" s="11">
        <v>1374.02</v>
      </c>
      <c r="D383" s="12">
        <f t="shared" si="27"/>
        <v>6.2127645053796339E-3</v>
      </c>
      <c r="E383" s="3">
        <f t="shared" si="28"/>
        <v>1.2032095304481393E-2</v>
      </c>
      <c r="F383" s="18">
        <f t="shared" si="26"/>
        <v>4.2868692688802046</v>
      </c>
      <c r="G383" s="3">
        <f t="shared" si="29"/>
        <v>1.1818077937864963E-2</v>
      </c>
      <c r="H383" s="4">
        <f t="shared" si="25"/>
        <v>4.2999446047144092</v>
      </c>
    </row>
    <row r="384" spans="2:8" x14ac:dyDescent="0.15">
      <c r="B384" s="16">
        <v>41095</v>
      </c>
      <c r="C384" s="11">
        <v>1367.58</v>
      </c>
      <c r="D384" s="12">
        <f t="shared" si="27"/>
        <v>-4.6979952180121604E-3</v>
      </c>
      <c r="E384" s="3">
        <f t="shared" si="28"/>
        <v>1.1324590825710206E-2</v>
      </c>
      <c r="F384" s="18">
        <f t="shared" si="26"/>
        <v>4.3947288906329183</v>
      </c>
      <c r="G384" s="3">
        <f t="shared" si="29"/>
        <v>1.1480791080830086E-2</v>
      </c>
      <c r="H384" s="4">
        <f t="shared" si="25"/>
        <v>4.3833556825585118</v>
      </c>
    </row>
    <row r="385" spans="2:8" x14ac:dyDescent="0.15">
      <c r="B385" s="16">
        <v>41096</v>
      </c>
      <c r="C385" s="11">
        <v>1354.68</v>
      </c>
      <c r="D385" s="12">
        <f t="shared" si="27"/>
        <v>-9.4774904376453764E-3</v>
      </c>
      <c r="E385" s="3">
        <f t="shared" si="28"/>
        <v>1.0604593097911293E-2</v>
      </c>
      <c r="F385" s="18">
        <f t="shared" si="26"/>
        <v>4.1471042607394919</v>
      </c>
      <c r="G385" s="3">
        <f t="shared" si="29"/>
        <v>1.1102978346554979E-2</v>
      </c>
      <c r="H385" s="4">
        <f t="shared" si="25"/>
        <v>4.1362263204038143</v>
      </c>
    </row>
    <row r="386" spans="2:8" x14ac:dyDescent="0.15">
      <c r="B386" s="16">
        <v>41099</v>
      </c>
      <c r="C386" s="11">
        <v>1352.46</v>
      </c>
      <c r="D386" s="12">
        <f t="shared" si="27"/>
        <v>-1.6401076395319903E-3</v>
      </c>
      <c r="E386" s="3">
        <f t="shared" si="28"/>
        <v>1.0426362476624238E-2</v>
      </c>
      <c r="F386" s="18">
        <f t="shared" si="26"/>
        <v>4.5510455657568665</v>
      </c>
      <c r="G386" s="3">
        <f t="shared" si="29"/>
        <v>1.0985218541150235E-2</v>
      </c>
      <c r="H386" s="4">
        <f t="shared" si="25"/>
        <v>4.5000592366129588</v>
      </c>
    </row>
    <row r="387" spans="2:8" x14ac:dyDescent="0.15">
      <c r="B387" s="16">
        <v>41100</v>
      </c>
      <c r="C387" s="11">
        <v>1341.47</v>
      </c>
      <c r="D387" s="12">
        <f t="shared" si="27"/>
        <v>-8.1591288327641839E-3</v>
      </c>
      <c r="E387" s="3">
        <f t="shared" si="28"/>
        <v>9.6856488996013776E-3</v>
      </c>
      <c r="F387" s="18">
        <f t="shared" si="26"/>
        <v>4.2822964788903422</v>
      </c>
      <c r="G387" s="3">
        <f t="shared" si="29"/>
        <v>1.0559417976343466E-2</v>
      </c>
      <c r="H387" s="4">
        <f t="shared" si="25"/>
        <v>4.2522142374972347</v>
      </c>
    </row>
    <row r="388" spans="2:8" x14ac:dyDescent="0.15">
      <c r="B388" s="16">
        <v>41101</v>
      </c>
      <c r="C388" s="11">
        <v>1341.45</v>
      </c>
      <c r="D388" s="12">
        <f t="shared" si="27"/>
        <v>-1.490912885989825E-5</v>
      </c>
      <c r="E388" s="3">
        <f t="shared" si="28"/>
        <v>9.5010099924199374E-3</v>
      </c>
      <c r="F388" s="18">
        <f t="shared" si="26"/>
        <v>4.6563559398170078</v>
      </c>
      <c r="G388" s="3">
        <f t="shared" si="29"/>
        <v>1.0392683101481259E-2</v>
      </c>
      <c r="H388" s="4">
        <f t="shared" si="25"/>
        <v>4.5666522393662978</v>
      </c>
    </row>
    <row r="389" spans="2:8" x14ac:dyDescent="0.15">
      <c r="B389" s="16">
        <v>41102</v>
      </c>
      <c r="C389" s="11">
        <v>1334.76</v>
      </c>
      <c r="D389" s="12">
        <f t="shared" si="27"/>
        <v>-4.9996180683616704E-3</v>
      </c>
      <c r="E389" s="3">
        <f t="shared" si="28"/>
        <v>8.850479858308587E-3</v>
      </c>
      <c r="F389" s="18">
        <f t="shared" si="26"/>
        <v>4.5677287442687788</v>
      </c>
      <c r="G389" s="3">
        <f t="shared" si="29"/>
        <v>9.9804770003862134E-3</v>
      </c>
      <c r="H389" s="4">
        <f t="shared" ref="H389:H452" si="30" xml:space="preserve"> - LN(G389) - 0.5 * ($D389/G389)^2</f>
        <v>4.4816540567810064</v>
      </c>
    </row>
    <row r="390" spans="2:8" x14ac:dyDescent="0.15">
      <c r="B390" s="16">
        <v>41103</v>
      </c>
      <c r="C390" s="11">
        <v>1356.78</v>
      </c>
      <c r="D390" s="12">
        <f t="shared" si="27"/>
        <v>1.636274497101934E-2</v>
      </c>
      <c r="E390" s="3">
        <f t="shared" si="28"/>
        <v>8.4815666842298684E-3</v>
      </c>
      <c r="F390" s="18">
        <f t="shared" ref="F390:F453" si="31" xml:space="preserve"> - LN(E390) - 0.5 * (D390/E390)^2</f>
        <v>2.9089295459761688</v>
      </c>
      <c r="G390" s="3">
        <f t="shared" si="29"/>
        <v>9.6854769216191804E-3</v>
      </c>
      <c r="H390" s="4">
        <f t="shared" si="30"/>
        <v>3.2100740720576759</v>
      </c>
    </row>
    <row r="391" spans="2:8" x14ac:dyDescent="0.15">
      <c r="B391" s="16">
        <v>41106</v>
      </c>
      <c r="C391" s="11">
        <v>1353.64</v>
      </c>
      <c r="D391" s="12">
        <f t="shared" ref="D391:D454" si="32">LN(C391/C390)</f>
        <v>-2.316985120192678E-3</v>
      </c>
      <c r="E391" s="3">
        <f t="shared" si="28"/>
        <v>9.9818651802962132E-3</v>
      </c>
      <c r="F391" s="18">
        <f t="shared" si="31"/>
        <v>4.580045593271989</v>
      </c>
      <c r="G391" s="3">
        <f t="shared" si="29"/>
        <v>1.0360123259746177E-2</v>
      </c>
      <c r="H391" s="4">
        <f t="shared" si="30"/>
        <v>4.5447827018487734</v>
      </c>
    </row>
    <row r="392" spans="2:8" x14ac:dyDescent="0.15">
      <c r="B392" s="16">
        <v>41107</v>
      </c>
      <c r="C392" s="11">
        <v>1363.67</v>
      </c>
      <c r="D392" s="12">
        <f t="shared" si="32"/>
        <v>7.3823344056611782E-3</v>
      </c>
      <c r="E392" s="3">
        <f t="shared" ref="E392:E455" si="33">SQRT($L$18 + $L$19*E391^2 + $L$20*D391^2)</f>
        <v>9.3133848367763592E-3</v>
      </c>
      <c r="F392" s="18">
        <f t="shared" si="31"/>
        <v>4.3621488710304375</v>
      </c>
      <c r="G392" s="3">
        <f t="shared" ref="G392:G455" si="34">SQRT($V$18*G391^2 + (1-$V$18)*D391^2)</f>
        <v>9.9701627948977425E-3</v>
      </c>
      <c r="H392" s="4">
        <f t="shared" si="30"/>
        <v>4.3340306598047418</v>
      </c>
    </row>
    <row r="393" spans="2:8" x14ac:dyDescent="0.15">
      <c r="B393" s="16">
        <v>41108</v>
      </c>
      <c r="C393" s="11">
        <v>1372.78</v>
      </c>
      <c r="D393" s="12">
        <f t="shared" si="32"/>
        <v>6.6582862145774472E-3</v>
      </c>
      <c r="E393" s="3">
        <f t="shared" si="33"/>
        <v>9.1012721842909042E-3</v>
      </c>
      <c r="F393" s="18">
        <f t="shared" si="31"/>
        <v>4.4317382343513998</v>
      </c>
      <c r="G393" s="3">
        <f t="shared" si="34"/>
        <v>9.7934986613465464E-3</v>
      </c>
      <c r="H393" s="4">
        <f t="shared" si="30"/>
        <v>4.394926275900203</v>
      </c>
    </row>
    <row r="394" spans="2:8" x14ac:dyDescent="0.15">
      <c r="B394" s="16">
        <v>41109</v>
      </c>
      <c r="C394" s="11">
        <v>1376.51</v>
      </c>
      <c r="D394" s="12">
        <f t="shared" si="32"/>
        <v>2.7134294953041031E-3</v>
      </c>
      <c r="E394" s="3">
        <f t="shared" si="33"/>
        <v>8.8459975250103663E-3</v>
      </c>
      <c r="F394" s="18">
        <f t="shared" si="31"/>
        <v>4.6807451806800584</v>
      </c>
      <c r="G394" s="3">
        <f t="shared" si="34"/>
        <v>9.5865592236850251E-3</v>
      </c>
      <c r="H394" s="4">
        <f t="shared" si="30"/>
        <v>4.6073359520694579</v>
      </c>
    </row>
    <row r="395" spans="2:8" x14ac:dyDescent="0.15">
      <c r="B395" s="16">
        <v>41110</v>
      </c>
      <c r="C395" s="11">
        <v>1362.66</v>
      </c>
      <c r="D395" s="12">
        <f t="shared" si="32"/>
        <v>-1.011263852275059E-2</v>
      </c>
      <c r="E395" s="3">
        <f t="shared" si="33"/>
        <v>8.3354037950219891E-3</v>
      </c>
      <c r="F395" s="18">
        <f t="shared" si="31"/>
        <v>4.0512977661451552</v>
      </c>
      <c r="G395" s="3">
        <f t="shared" si="34"/>
        <v>9.2373646926481728E-3</v>
      </c>
      <c r="H395" s="4">
        <f t="shared" si="30"/>
        <v>4.0852558859619243</v>
      </c>
    </row>
    <row r="396" spans="2:8" x14ac:dyDescent="0.15">
      <c r="B396" s="16">
        <v>41113</v>
      </c>
      <c r="C396" s="11">
        <v>1350.52</v>
      </c>
      <c r="D396" s="12">
        <f t="shared" si="32"/>
        <v>-8.9489683826660012E-3</v>
      </c>
      <c r="E396" s="3">
        <f t="shared" si="33"/>
        <v>8.6698710393583751E-3</v>
      </c>
      <c r="F396" s="18">
        <f t="shared" si="31"/>
        <v>4.2151915746723185</v>
      </c>
      <c r="G396" s="3">
        <f t="shared" si="34"/>
        <v>9.3083713793298186E-3</v>
      </c>
      <c r="H396" s="4">
        <f t="shared" si="30"/>
        <v>4.2147064693654217</v>
      </c>
    </row>
    <row r="397" spans="2:8" x14ac:dyDescent="0.15">
      <c r="B397" s="16">
        <v>41114</v>
      </c>
      <c r="C397" s="11">
        <v>1338.31</v>
      </c>
      <c r="D397" s="12">
        <f t="shared" si="32"/>
        <v>-9.0820795122977943E-3</v>
      </c>
      <c r="E397" s="3">
        <f t="shared" si="33"/>
        <v>8.7646387607252622E-3</v>
      </c>
      <c r="F397" s="18">
        <f t="shared" si="31"/>
        <v>4.2001557411738162</v>
      </c>
      <c r="G397" s="3">
        <f t="shared" si="34"/>
        <v>9.2809256635090921E-3</v>
      </c>
      <c r="H397" s="4">
        <f t="shared" si="30"/>
        <v>4.2009897181233251</v>
      </c>
    </row>
    <row r="398" spans="2:8" x14ac:dyDescent="0.15">
      <c r="B398" s="16">
        <v>41115</v>
      </c>
      <c r="C398" s="11">
        <v>1337.89</v>
      </c>
      <c r="D398" s="12">
        <f t="shared" si="32"/>
        <v>-3.1387788913235705E-4</v>
      </c>
      <c r="E398" s="3">
        <f t="shared" si="33"/>
        <v>8.8599660372938871E-3</v>
      </c>
      <c r="F398" s="18">
        <f t="shared" si="31"/>
        <v>4.7255848279751174</v>
      </c>
      <c r="G398" s="3">
        <f t="shared" si="34"/>
        <v>9.2656177392893852E-3</v>
      </c>
      <c r="H398" s="4">
        <f t="shared" si="30"/>
        <v>4.6808709705472928</v>
      </c>
    </row>
    <row r="399" spans="2:8" x14ac:dyDescent="0.15">
      <c r="B399" s="16">
        <v>41116</v>
      </c>
      <c r="C399" s="11">
        <v>1360.02</v>
      </c>
      <c r="D399" s="12">
        <f t="shared" si="32"/>
        <v>1.6405659452859416E-2</v>
      </c>
      <c r="E399" s="3">
        <f t="shared" si="33"/>
        <v>8.2882986761902751E-3</v>
      </c>
      <c r="F399" s="18">
        <f t="shared" si="31"/>
        <v>2.8339458888381124</v>
      </c>
      <c r="G399" s="3">
        <f t="shared" si="34"/>
        <v>8.8985442090259714E-3</v>
      </c>
      <c r="H399" s="4">
        <f t="shared" si="30"/>
        <v>3.0223742592088136</v>
      </c>
    </row>
    <row r="400" spans="2:8" x14ac:dyDescent="0.15">
      <c r="B400" s="16">
        <v>41117</v>
      </c>
      <c r="C400" s="11">
        <v>1385.97</v>
      </c>
      <c r="D400" s="12">
        <f t="shared" si="32"/>
        <v>1.8900849989626385E-2</v>
      </c>
      <c r="E400" s="3">
        <f t="shared" si="33"/>
        <v>9.8575678664439212E-3</v>
      </c>
      <c r="F400" s="18">
        <f t="shared" si="31"/>
        <v>2.7813142769926724</v>
      </c>
      <c r="G400" s="3">
        <f t="shared" si="34"/>
        <v>9.6929980638574154E-3</v>
      </c>
      <c r="H400" s="4">
        <f t="shared" si="30"/>
        <v>2.7352013325318141</v>
      </c>
    </row>
    <row r="401" spans="2:8" x14ac:dyDescent="0.15">
      <c r="B401" s="16">
        <v>41120</v>
      </c>
      <c r="C401" s="11">
        <v>1385.3</v>
      </c>
      <c r="D401" s="12">
        <f t="shared" si="32"/>
        <v>-4.8353283011341573E-4</v>
      </c>
      <c r="E401" s="3">
        <f t="shared" si="33"/>
        <v>1.1509541976547182E-2</v>
      </c>
      <c r="F401" s="18">
        <f t="shared" si="31"/>
        <v>4.4636963685654294</v>
      </c>
      <c r="G401" s="3">
        <f t="shared" si="34"/>
        <v>1.0696994568116517E-2</v>
      </c>
      <c r="H401" s="4">
        <f t="shared" si="30"/>
        <v>4.5367708172812238</v>
      </c>
    </row>
    <row r="402" spans="2:8" x14ac:dyDescent="0.15">
      <c r="B402" s="16">
        <v>41121</v>
      </c>
      <c r="C402" s="11">
        <v>1379.32</v>
      </c>
      <c r="D402" s="12">
        <f t="shared" si="32"/>
        <v>-4.3260985787338772E-3</v>
      </c>
      <c r="E402" s="3">
        <f t="shared" si="33"/>
        <v>1.0628066966991924E-2</v>
      </c>
      <c r="F402" s="18">
        <f t="shared" si="31"/>
        <v>4.461414246688598</v>
      </c>
      <c r="G402" s="3">
        <f t="shared" si="34"/>
        <v>1.0273602419464426E-2</v>
      </c>
      <c r="H402" s="4">
        <f t="shared" si="30"/>
        <v>4.4895196704404823</v>
      </c>
    </row>
    <row r="403" spans="2:8" x14ac:dyDescent="0.15">
      <c r="B403" s="16">
        <v>41122</v>
      </c>
      <c r="C403" s="11">
        <v>1375.14</v>
      </c>
      <c r="D403" s="12">
        <f t="shared" si="32"/>
        <v>-3.0350799857287686E-3</v>
      </c>
      <c r="E403" s="3">
        <f t="shared" si="33"/>
        <v>9.9733524081296026E-3</v>
      </c>
      <c r="F403" s="18">
        <f t="shared" si="31"/>
        <v>4.5615334947896935</v>
      </c>
      <c r="G403" s="3">
        <f t="shared" si="34"/>
        <v>9.9395903871621321E-3</v>
      </c>
      <c r="H403" s="4">
        <f t="shared" si="30"/>
        <v>4.5646093558349543</v>
      </c>
    </row>
    <row r="404" spans="2:8" x14ac:dyDescent="0.15">
      <c r="B404" s="16">
        <v>41123</v>
      </c>
      <c r="C404" s="11">
        <v>1365</v>
      </c>
      <c r="D404" s="12">
        <f t="shared" si="32"/>
        <v>-7.4011154803105836E-3</v>
      </c>
      <c r="E404" s="3">
        <f t="shared" si="33"/>
        <v>9.3338870972990151E-3</v>
      </c>
      <c r="F404" s="18">
        <f t="shared" si="31"/>
        <v>4.3597350420959016</v>
      </c>
      <c r="G404" s="3">
        <f t="shared" si="34"/>
        <v>9.5827988105819835E-3</v>
      </c>
      <c r="H404" s="4">
        <f t="shared" si="30"/>
        <v>4.3495361464618343</v>
      </c>
    </row>
    <row r="405" spans="2:8" x14ac:dyDescent="0.15">
      <c r="B405" s="16">
        <v>41124</v>
      </c>
      <c r="C405" s="11">
        <v>1390.99</v>
      </c>
      <c r="D405" s="12">
        <f t="shared" si="32"/>
        <v>1.8861295205931709E-2</v>
      </c>
      <c r="E405" s="3">
        <f t="shared" si="33"/>
        <v>9.1205388159009033E-3</v>
      </c>
      <c r="F405" s="18">
        <f t="shared" si="31"/>
        <v>2.5589096492046126</v>
      </c>
      <c r="G405" s="3">
        <f t="shared" si="34"/>
        <v>9.4312778903873819E-3</v>
      </c>
      <c r="H405" s="4">
        <f t="shared" si="30"/>
        <v>2.6639909872192007</v>
      </c>
    </row>
    <row r="406" spans="2:8" x14ac:dyDescent="0.15">
      <c r="B406" s="16">
        <v>41127</v>
      </c>
      <c r="C406" s="11">
        <v>1394.23</v>
      </c>
      <c r="D406" s="12">
        <f t="shared" si="32"/>
        <v>2.3265677120569918E-3</v>
      </c>
      <c r="E406" s="3">
        <f t="shared" si="33"/>
        <v>1.0990945368565631E-2</v>
      </c>
      <c r="F406" s="18">
        <f t="shared" si="31"/>
        <v>4.4882791975953307</v>
      </c>
      <c r="G406" s="3">
        <f t="shared" si="34"/>
        <v>1.0473467292200804E-2</v>
      </c>
      <c r="H406" s="4">
        <f t="shared" si="30"/>
        <v>4.5342372309338117</v>
      </c>
    </row>
    <row r="407" spans="2:8" x14ac:dyDescent="0.15">
      <c r="B407" s="16">
        <v>41128</v>
      </c>
      <c r="C407" s="11">
        <v>1401.35</v>
      </c>
      <c r="D407" s="12">
        <f t="shared" si="32"/>
        <v>5.0937661557810326E-3</v>
      </c>
      <c r="E407" s="3">
        <f t="shared" si="33"/>
        <v>1.0202618763284941E-2</v>
      </c>
      <c r="F407" s="18">
        <f t="shared" si="31"/>
        <v>4.4604802478961529</v>
      </c>
      <c r="G407" s="3">
        <f t="shared" si="34"/>
        <v>1.0078956570794965E-2</v>
      </c>
      <c r="H407" s="4">
        <f t="shared" si="30"/>
        <v>4.4695979011138682</v>
      </c>
    </row>
    <row r="408" spans="2:8" x14ac:dyDescent="0.15">
      <c r="B408" s="16">
        <v>41129</v>
      </c>
      <c r="C408" s="11">
        <v>1402.22</v>
      </c>
      <c r="D408" s="12">
        <f t="shared" si="32"/>
        <v>6.2063727884550447E-4</v>
      </c>
      <c r="E408" s="3">
        <f t="shared" si="33"/>
        <v>9.6532016357361305E-3</v>
      </c>
      <c r="F408" s="18">
        <f t="shared" si="31"/>
        <v>4.6383988214597087</v>
      </c>
      <c r="G408" s="3">
        <f t="shared" si="34"/>
        <v>9.7828522025484779E-3</v>
      </c>
      <c r="H408" s="4">
        <f t="shared" si="30"/>
        <v>4.625111799220881</v>
      </c>
    </row>
    <row r="409" spans="2:8" x14ac:dyDescent="0.15">
      <c r="B409" s="16">
        <v>41130</v>
      </c>
      <c r="C409" s="11">
        <v>1402.8</v>
      </c>
      <c r="D409" s="12">
        <f t="shared" si="32"/>
        <v>4.13544294347905E-4</v>
      </c>
      <c r="E409" s="3">
        <f t="shared" si="33"/>
        <v>8.9873719815524063E-3</v>
      </c>
      <c r="F409" s="18">
        <f t="shared" si="31"/>
        <v>4.7108761592705433</v>
      </c>
      <c r="G409" s="3">
        <f t="shared" si="34"/>
        <v>9.3964268904567824E-3</v>
      </c>
      <c r="H409" s="4">
        <f t="shared" si="30"/>
        <v>4.6664573046081674</v>
      </c>
    </row>
    <row r="410" spans="2:8" x14ac:dyDescent="0.15">
      <c r="B410" s="16">
        <v>41131</v>
      </c>
      <c r="C410" s="11">
        <v>1405.87</v>
      </c>
      <c r="D410" s="12">
        <f t="shared" si="32"/>
        <v>2.1860889478816747E-3</v>
      </c>
      <c r="E410" s="3">
        <f t="shared" si="33"/>
        <v>8.4005769866055333E-3</v>
      </c>
      <c r="F410" s="18">
        <f t="shared" si="31"/>
        <v>4.7455948495535845</v>
      </c>
      <c r="G410" s="3">
        <f t="shared" si="34"/>
        <v>9.0244713870832969E-3</v>
      </c>
      <c r="H410" s="4">
        <f t="shared" si="30"/>
        <v>4.6784752129291993</v>
      </c>
    </row>
    <row r="411" spans="2:8" x14ac:dyDescent="0.15">
      <c r="B411" s="16">
        <v>41134</v>
      </c>
      <c r="C411" s="11">
        <v>1404.11</v>
      </c>
      <c r="D411" s="12">
        <f t="shared" si="32"/>
        <v>-1.2526781188120387E-3</v>
      </c>
      <c r="E411" s="3">
        <f t="shared" si="33"/>
        <v>7.9266096672104078E-3</v>
      </c>
      <c r="F411" s="18">
        <f t="shared" si="31"/>
        <v>4.8250424092195976</v>
      </c>
      <c r="G411" s="3">
        <f t="shared" si="34"/>
        <v>8.6879433354487383E-3</v>
      </c>
      <c r="H411" s="4">
        <f t="shared" si="30"/>
        <v>4.7354242645407831</v>
      </c>
    </row>
    <row r="412" spans="2:8" x14ac:dyDescent="0.15">
      <c r="B412" s="16">
        <v>41135</v>
      </c>
      <c r="C412" s="11">
        <v>1403.93</v>
      </c>
      <c r="D412" s="12">
        <f t="shared" si="32"/>
        <v>-1.2820330212278219E-4</v>
      </c>
      <c r="E412" s="3">
        <f t="shared" si="33"/>
        <v>7.4867875066143503E-3</v>
      </c>
      <c r="F412" s="18">
        <f t="shared" si="31"/>
        <v>4.8944688631173392</v>
      </c>
      <c r="G412" s="3">
        <f t="shared" si="34"/>
        <v>8.3506604265464347E-3</v>
      </c>
      <c r="H412" s="4">
        <f t="shared" si="30"/>
        <v>4.7852968010092578</v>
      </c>
    </row>
    <row r="413" spans="2:8" x14ac:dyDescent="0.15">
      <c r="B413" s="16">
        <v>41136</v>
      </c>
      <c r="C413" s="11">
        <v>1405.53</v>
      </c>
      <c r="D413" s="12">
        <f t="shared" si="32"/>
        <v>1.1390090430037803E-3</v>
      </c>
      <c r="E413" s="3">
        <f t="shared" si="33"/>
        <v>7.0911322090203887E-3</v>
      </c>
      <c r="F413" s="18">
        <f t="shared" si="31"/>
        <v>4.9360101570466215</v>
      </c>
      <c r="G413" s="3">
        <f t="shared" si="34"/>
        <v>8.0195262717581116E-3</v>
      </c>
      <c r="H413" s="4">
        <f t="shared" si="30"/>
        <v>4.8157897424411997</v>
      </c>
    </row>
    <row r="414" spans="2:8" x14ac:dyDescent="0.15">
      <c r="B414" s="16">
        <v>41137</v>
      </c>
      <c r="C414" s="11">
        <v>1415.51</v>
      </c>
      <c r="D414" s="12">
        <f t="shared" si="32"/>
        <v>7.0754343324954463E-3</v>
      </c>
      <c r="E414" s="3">
        <f t="shared" si="33"/>
        <v>6.7623880072619161E-3</v>
      </c>
      <c r="F414" s="18">
        <f t="shared" si="31"/>
        <v>4.4490154334414092</v>
      </c>
      <c r="G414" s="3">
        <f t="shared" si="34"/>
        <v>7.7079924242609253E-3</v>
      </c>
      <c r="H414" s="4">
        <f t="shared" si="30"/>
        <v>4.4441953808320669</v>
      </c>
    </row>
    <row r="415" spans="2:8" x14ac:dyDescent="0.15">
      <c r="B415" s="16">
        <v>41138</v>
      </c>
      <c r="C415" s="11">
        <v>1418.16</v>
      </c>
      <c r="D415" s="12">
        <f t="shared" si="32"/>
        <v>1.8703665370596102E-3</v>
      </c>
      <c r="E415" s="3">
        <f t="shared" si="33"/>
        <v>6.9723953610317862E-3</v>
      </c>
      <c r="F415" s="18">
        <f t="shared" si="31"/>
        <v>4.9298165882425939</v>
      </c>
      <c r="G415" s="3">
        <f t="shared" si="34"/>
        <v>7.6606819328650542E-3</v>
      </c>
      <c r="H415" s="4">
        <f t="shared" si="30"/>
        <v>4.8418493108118259</v>
      </c>
    </row>
    <row r="416" spans="2:8" x14ac:dyDescent="0.15">
      <c r="B416" s="16">
        <v>41141</v>
      </c>
      <c r="C416" s="11">
        <v>1418.13</v>
      </c>
      <c r="D416" s="12">
        <f t="shared" si="32"/>
        <v>-2.1154395355287849E-5</v>
      </c>
      <c r="E416" s="3">
        <f t="shared" si="33"/>
        <v>6.6827937482560034E-3</v>
      </c>
      <c r="F416" s="18">
        <f t="shared" si="31"/>
        <v>5.0082141428780957</v>
      </c>
      <c r="G416" s="3">
        <f t="shared" si="34"/>
        <v>7.3752980133381879E-3</v>
      </c>
      <c r="H416" s="4">
        <f t="shared" si="30"/>
        <v>4.9096148554788517</v>
      </c>
    </row>
    <row r="417" spans="2:8" x14ac:dyDescent="0.15">
      <c r="B417" s="16">
        <v>41142</v>
      </c>
      <c r="C417" s="11">
        <v>1413.17</v>
      </c>
      <c r="D417" s="12">
        <f t="shared" si="32"/>
        <v>-3.5036944682847937E-3</v>
      </c>
      <c r="E417" s="3">
        <f t="shared" si="33"/>
        <v>6.3986996064078188E-3</v>
      </c>
      <c r="F417" s="18">
        <f t="shared" si="31"/>
        <v>4.9017475925376512</v>
      </c>
      <c r="G417" s="3">
        <f t="shared" si="34"/>
        <v>7.0827726214971725E-3</v>
      </c>
      <c r="H417" s="4">
        <f t="shared" si="30"/>
        <v>4.8277364861703846</v>
      </c>
    </row>
    <row r="418" spans="2:8" x14ac:dyDescent="0.15">
      <c r="B418" s="16">
        <v>41143</v>
      </c>
      <c r="C418" s="11">
        <v>1413.49</v>
      </c>
      <c r="D418" s="12">
        <f t="shared" si="32"/>
        <v>2.2641562930589981E-4</v>
      </c>
      <c r="E418" s="3">
        <f t="shared" si="33"/>
        <v>6.2898950955752814E-3</v>
      </c>
      <c r="F418" s="18">
        <f t="shared" si="31"/>
        <v>5.0681630042422876</v>
      </c>
      <c r="G418" s="3">
        <f t="shared" si="34"/>
        <v>6.8716529962385194E-3</v>
      </c>
      <c r="H418" s="4">
        <f t="shared" si="30"/>
        <v>4.9798077652243871</v>
      </c>
    </row>
    <row r="419" spans="2:8" x14ac:dyDescent="0.15">
      <c r="B419" s="16">
        <v>41144</v>
      </c>
      <c r="C419" s="11">
        <v>1402.08</v>
      </c>
      <c r="D419" s="12">
        <f t="shared" si="32"/>
        <v>-8.1049751636543699E-3</v>
      </c>
      <c r="E419" s="3">
        <f t="shared" si="33"/>
        <v>6.0640005874604257E-3</v>
      </c>
      <c r="F419" s="18">
        <f t="shared" si="31"/>
        <v>4.2121727879421051</v>
      </c>
      <c r="G419" s="3">
        <f t="shared" si="34"/>
        <v>6.5994033158275215E-3</v>
      </c>
      <c r="H419" s="4">
        <f t="shared" si="30"/>
        <v>4.2666150930914188</v>
      </c>
    </row>
    <row r="420" spans="2:8" x14ac:dyDescent="0.15">
      <c r="B420" s="16">
        <v>41145</v>
      </c>
      <c r="C420" s="11">
        <v>1411.13</v>
      </c>
      <c r="D420" s="12">
        <f t="shared" si="32"/>
        <v>6.4339535401051222E-3</v>
      </c>
      <c r="E420" s="3">
        <f t="shared" si="33"/>
        <v>6.5872783428907299E-3</v>
      </c>
      <c r="F420" s="18">
        <f t="shared" si="31"/>
        <v>4.5456200257294226</v>
      </c>
      <c r="G420" s="3">
        <f t="shared" si="34"/>
        <v>6.7285558235714886E-3</v>
      </c>
      <c r="H420" s="4">
        <f t="shared" si="30"/>
        <v>4.5442201125439379</v>
      </c>
    </row>
    <row r="421" spans="2:8" x14ac:dyDescent="0.15">
      <c r="B421" s="16">
        <v>41148</v>
      </c>
      <c r="C421" s="11">
        <v>1410.44</v>
      </c>
      <c r="D421" s="12">
        <f t="shared" si="32"/>
        <v>-4.8908941741975952E-4</v>
      </c>
      <c r="E421" s="3">
        <f t="shared" si="33"/>
        <v>6.746999092033407E-3</v>
      </c>
      <c r="F421" s="18">
        <f t="shared" si="31"/>
        <v>4.9960300577346626</v>
      </c>
      <c r="G421" s="3">
        <f t="shared" si="34"/>
        <v>6.7061135859915423E-3</v>
      </c>
      <c r="H421" s="4">
        <f t="shared" si="30"/>
        <v>5.0020761641428271</v>
      </c>
    </row>
    <row r="422" spans="2:8" x14ac:dyDescent="0.15">
      <c r="B422" s="16">
        <v>41149</v>
      </c>
      <c r="C422" s="11">
        <v>1409.3</v>
      </c>
      <c r="D422" s="12">
        <f t="shared" si="32"/>
        <v>-8.0858523276048809E-4</v>
      </c>
      <c r="E422" s="3">
        <f t="shared" si="33"/>
        <v>6.4562052796936151E-3</v>
      </c>
      <c r="F422" s="18">
        <f t="shared" si="31"/>
        <v>5.0348708273837435</v>
      </c>
      <c r="G422" s="3">
        <f t="shared" si="34"/>
        <v>6.4415715758567391E-3</v>
      </c>
      <c r="H422" s="4">
        <f t="shared" si="30"/>
        <v>5.0371043366648767</v>
      </c>
    </row>
    <row r="423" spans="2:8" x14ac:dyDescent="0.15">
      <c r="B423" s="16">
        <v>41150</v>
      </c>
      <c r="C423" s="11">
        <v>1410.49</v>
      </c>
      <c r="D423" s="12">
        <f t="shared" si="32"/>
        <v>8.4403453494465283E-4</v>
      </c>
      <c r="E423" s="3">
        <f t="shared" si="33"/>
        <v>6.2122099471165681E-3</v>
      </c>
      <c r="F423" s="18">
        <f t="shared" si="31"/>
        <v>5.072008651891017</v>
      </c>
      <c r="G423" s="3">
        <f t="shared" si="34"/>
        <v>6.1901858235638065E-3</v>
      </c>
      <c r="H423" s="4">
        <f t="shared" si="30"/>
        <v>5.0754944520981367</v>
      </c>
    </row>
    <row r="424" spans="2:8" x14ac:dyDescent="0.15">
      <c r="B424" s="16">
        <v>41151</v>
      </c>
      <c r="C424" s="11">
        <v>1399.48</v>
      </c>
      <c r="D424" s="12">
        <f t="shared" si="32"/>
        <v>-7.836422697165871E-3</v>
      </c>
      <c r="E424" s="3">
        <f t="shared" si="33"/>
        <v>6.005470336358806E-3</v>
      </c>
      <c r="F424" s="18">
        <f t="shared" si="31"/>
        <v>4.2637276033764859</v>
      </c>
      <c r="G424" s="3">
        <f t="shared" si="34"/>
        <v>5.9493203613466836E-3</v>
      </c>
      <c r="H424" s="4">
        <f t="shared" si="30"/>
        <v>4.2569752601335349</v>
      </c>
    </row>
    <row r="425" spans="2:8" x14ac:dyDescent="0.15">
      <c r="B425" s="16">
        <v>41152</v>
      </c>
      <c r="C425" s="11">
        <v>1406.58</v>
      </c>
      <c r="D425" s="12">
        <f t="shared" si="32"/>
        <v>5.0604870542372508E-3</v>
      </c>
      <c r="E425" s="3">
        <f t="shared" si="33"/>
        <v>6.4986286232936808E-3</v>
      </c>
      <c r="F425" s="18">
        <f t="shared" si="31"/>
        <v>4.7329766678022462</v>
      </c>
      <c r="G425" s="3">
        <f t="shared" si="34"/>
        <v>6.1169576554859009E-3</v>
      </c>
      <c r="H425" s="4">
        <f t="shared" si="30"/>
        <v>4.7544875158031799</v>
      </c>
    </row>
    <row r="426" spans="2:8" x14ac:dyDescent="0.15">
      <c r="B426" s="16">
        <v>41156</v>
      </c>
      <c r="C426" s="11">
        <v>1404.94</v>
      </c>
      <c r="D426" s="12">
        <f t="shared" si="32"/>
        <v>-1.1666288598383128E-3</v>
      </c>
      <c r="E426" s="3">
        <f t="shared" si="33"/>
        <v>6.5137246760484631E-3</v>
      </c>
      <c r="F426" s="18">
        <f t="shared" si="31"/>
        <v>5.0178048634143577</v>
      </c>
      <c r="G426" s="3">
        <f t="shared" si="34"/>
        <v>6.0414411473650705E-3</v>
      </c>
      <c r="H426" s="4">
        <f t="shared" si="30"/>
        <v>5.0904680405467788</v>
      </c>
    </row>
    <row r="427" spans="2:8" x14ac:dyDescent="0.15">
      <c r="B427" s="16">
        <v>41157</v>
      </c>
      <c r="C427" s="11">
        <v>1403.44</v>
      </c>
      <c r="D427" s="12">
        <f t="shared" si="32"/>
        <v>-1.0682316087138285E-3</v>
      </c>
      <c r="E427" s="3">
        <f t="shared" si="33"/>
        <v>6.2688968101783692E-3</v>
      </c>
      <c r="F427" s="18">
        <f t="shared" si="31"/>
        <v>5.0576364920574566</v>
      </c>
      <c r="G427" s="3">
        <f t="shared" si="34"/>
        <v>5.8109310523000455E-3</v>
      </c>
      <c r="H427" s="4">
        <f t="shared" si="30"/>
        <v>5.1311174786068801</v>
      </c>
    </row>
    <row r="428" spans="2:8" x14ac:dyDescent="0.15">
      <c r="B428" s="16">
        <v>41158</v>
      </c>
      <c r="C428" s="11">
        <v>1432.12</v>
      </c>
      <c r="D428" s="12">
        <f t="shared" si="32"/>
        <v>2.0229498271412946E-2</v>
      </c>
      <c r="E428" s="3">
        <f t="shared" si="33"/>
        <v>6.0583685644697294E-3</v>
      </c>
      <c r="F428" s="18">
        <f t="shared" si="31"/>
        <v>-0.46847956462277196</v>
      </c>
      <c r="G428" s="3">
        <f t="shared" si="34"/>
        <v>5.5883950186595725E-3</v>
      </c>
      <c r="H428" s="4">
        <f t="shared" si="30"/>
        <v>-1.3648183478342002</v>
      </c>
    </row>
    <row r="429" spans="2:8" x14ac:dyDescent="0.15">
      <c r="B429" s="16">
        <v>41159</v>
      </c>
      <c r="C429" s="11">
        <v>1437.92</v>
      </c>
      <c r="D429" s="12">
        <f t="shared" si="32"/>
        <v>4.0417610177212364E-3</v>
      </c>
      <c r="E429" s="3">
        <f t="shared" si="33"/>
        <v>9.4845910828528987E-3</v>
      </c>
      <c r="F429" s="18">
        <f t="shared" si="31"/>
        <v>4.5672892567063128</v>
      </c>
      <c r="G429" s="3">
        <f t="shared" si="34"/>
        <v>7.7859529140872508E-3</v>
      </c>
      <c r="H429" s="4">
        <f t="shared" si="30"/>
        <v>4.7206968146024861</v>
      </c>
    </row>
    <row r="430" spans="2:8" x14ac:dyDescent="0.15">
      <c r="B430" s="16">
        <v>41162</v>
      </c>
      <c r="C430" s="11">
        <v>1429.08</v>
      </c>
      <c r="D430" s="12">
        <f t="shared" si="32"/>
        <v>-6.1667443421586504E-3</v>
      </c>
      <c r="E430" s="3">
        <f t="shared" si="33"/>
        <v>8.9605985952477766E-3</v>
      </c>
      <c r="F430" s="18">
        <f t="shared" si="31"/>
        <v>4.4781039886551453</v>
      </c>
      <c r="G430" s="3">
        <f t="shared" si="34"/>
        <v>7.5615966475879896E-3</v>
      </c>
      <c r="H430" s="4">
        <f t="shared" si="30"/>
        <v>4.5521245028763175</v>
      </c>
    </row>
    <row r="431" spans="2:8" x14ac:dyDescent="0.15">
      <c r="B431" s="16">
        <v>41163</v>
      </c>
      <c r="C431" s="11">
        <v>1433.56</v>
      </c>
      <c r="D431" s="12">
        <f t="shared" si="32"/>
        <v>3.1299804777848361E-3</v>
      </c>
      <c r="E431" s="3">
        <f t="shared" si="33"/>
        <v>8.6783271161119478E-3</v>
      </c>
      <c r="F431" s="18">
        <f t="shared" si="31"/>
        <v>4.681886393059477</v>
      </c>
      <c r="G431" s="3">
        <f t="shared" si="34"/>
        <v>7.4624960287786816E-3</v>
      </c>
      <c r="H431" s="4">
        <f t="shared" si="30"/>
        <v>4.8099053698546399</v>
      </c>
    </row>
    <row r="432" spans="2:8" x14ac:dyDescent="0.15">
      <c r="B432" s="16">
        <v>41164</v>
      </c>
      <c r="C432" s="11">
        <v>1436.56</v>
      </c>
      <c r="D432" s="12">
        <f t="shared" si="32"/>
        <v>2.0905056879527827E-3</v>
      </c>
      <c r="E432" s="3">
        <f t="shared" si="33"/>
        <v>8.2097894572337182E-3</v>
      </c>
      <c r="F432" s="18">
        <f t="shared" si="31"/>
        <v>4.7700083243768558</v>
      </c>
      <c r="G432" s="3">
        <f t="shared" si="34"/>
        <v>7.2194592043460411E-3</v>
      </c>
      <c r="H432" s="4">
        <f t="shared" si="30"/>
        <v>4.8890511670523624</v>
      </c>
    </row>
    <row r="433" spans="2:8" x14ac:dyDescent="0.15">
      <c r="B433" s="16">
        <v>41165</v>
      </c>
      <c r="C433" s="11">
        <v>1459.99</v>
      </c>
      <c r="D433" s="12">
        <f t="shared" si="32"/>
        <v>1.617821963021452E-2</v>
      </c>
      <c r="E433" s="3">
        <f t="shared" si="33"/>
        <v>7.7574406777983895E-3</v>
      </c>
      <c r="F433" s="18">
        <f t="shared" si="31"/>
        <v>2.6844269571340207</v>
      </c>
      <c r="G433" s="3">
        <f t="shared" si="34"/>
        <v>6.9575747220294495E-3</v>
      </c>
      <c r="H433" s="4">
        <f t="shared" si="30"/>
        <v>2.264490770544243</v>
      </c>
    </row>
    <row r="434" spans="2:8" x14ac:dyDescent="0.15">
      <c r="B434" s="16">
        <v>41166</v>
      </c>
      <c r="C434" s="11">
        <v>1465.77</v>
      </c>
      <c r="D434" s="12">
        <f t="shared" si="32"/>
        <v>3.9511152790704966E-3</v>
      </c>
      <c r="E434" s="3">
        <f t="shared" si="33"/>
        <v>9.4436975858868868E-3</v>
      </c>
      <c r="F434" s="18">
        <f t="shared" si="31"/>
        <v>4.5748840637381605</v>
      </c>
      <c r="G434" s="3">
        <f t="shared" si="34"/>
        <v>8.0619291181550663E-3</v>
      </c>
      <c r="H434" s="4">
        <f t="shared" si="30"/>
        <v>4.7005056009642532</v>
      </c>
    </row>
    <row r="435" spans="2:8" x14ac:dyDescent="0.15">
      <c r="B435" s="16">
        <v>41169</v>
      </c>
      <c r="C435" s="11">
        <v>1461.19</v>
      </c>
      <c r="D435" s="12">
        <f t="shared" si="32"/>
        <v>-3.1295294353358739E-3</v>
      </c>
      <c r="E435" s="3">
        <f t="shared" si="33"/>
        <v>8.919612859263959E-3</v>
      </c>
      <c r="F435" s="18">
        <f t="shared" si="31"/>
        <v>4.6579515983178785</v>
      </c>
      <c r="G435" s="3">
        <f t="shared" si="34"/>
        <v>7.8201652149255223E-3</v>
      </c>
      <c r="H435" s="4">
        <f t="shared" si="30"/>
        <v>4.7709747298632781</v>
      </c>
    </row>
    <row r="436" spans="2:8" x14ac:dyDescent="0.15">
      <c r="B436" s="16">
        <v>41170</v>
      </c>
      <c r="C436" s="11">
        <v>1459.32</v>
      </c>
      <c r="D436" s="12">
        <f t="shared" si="32"/>
        <v>-1.2805984266831857E-3</v>
      </c>
      <c r="E436" s="3">
        <f t="shared" si="33"/>
        <v>8.4190832426469155E-3</v>
      </c>
      <c r="F436" s="18">
        <f t="shared" si="31"/>
        <v>4.7656861209077945</v>
      </c>
      <c r="G436" s="3">
        <f t="shared" si="34"/>
        <v>7.5605224014419726E-3</v>
      </c>
      <c r="H436" s="4">
        <f t="shared" si="30"/>
        <v>4.8704702622791913</v>
      </c>
    </row>
    <row r="437" spans="2:8" x14ac:dyDescent="0.15">
      <c r="B437" s="16">
        <v>41171</v>
      </c>
      <c r="C437" s="11">
        <v>1461.05</v>
      </c>
      <c r="D437" s="12">
        <f t="shared" si="32"/>
        <v>1.18478151903211E-3</v>
      </c>
      <c r="E437" s="3">
        <f t="shared" si="33"/>
        <v>7.9158263054633672E-3</v>
      </c>
      <c r="F437" s="18">
        <f t="shared" si="31"/>
        <v>4.8276902649450708</v>
      </c>
      <c r="G437" s="3">
        <f t="shared" si="34"/>
        <v>7.2694235569520258E-3</v>
      </c>
      <c r="H437" s="4">
        <f t="shared" si="30"/>
        <v>4.9107967973787803</v>
      </c>
    </row>
    <row r="438" spans="2:8" x14ac:dyDescent="0.15">
      <c r="B438" s="16">
        <v>41172</v>
      </c>
      <c r="C438" s="11">
        <v>1460.26</v>
      </c>
      <c r="D438" s="12">
        <f t="shared" si="32"/>
        <v>-5.4085326052881347E-4</v>
      </c>
      <c r="E438" s="3">
        <f t="shared" si="33"/>
        <v>7.4759273035459942E-3</v>
      </c>
      <c r="F438" s="18">
        <f t="shared" si="31"/>
        <v>4.8934501432602255</v>
      </c>
      <c r="G438" s="3">
        <f t="shared" si="34"/>
        <v>6.9889076778699632E-3</v>
      </c>
      <c r="H438" s="4">
        <f t="shared" si="30"/>
        <v>4.9604366008469762</v>
      </c>
    </row>
    <row r="439" spans="2:8" x14ac:dyDescent="0.15">
      <c r="B439" s="16">
        <v>41173</v>
      </c>
      <c r="C439" s="11">
        <v>1460.15</v>
      </c>
      <c r="D439" s="12">
        <f t="shared" si="32"/>
        <v>-7.5331888366289224E-5</v>
      </c>
      <c r="E439" s="3">
        <f t="shared" si="33"/>
        <v>7.0843784172048311E-3</v>
      </c>
      <c r="F439" s="18">
        <f t="shared" si="31"/>
        <v>4.9498066060235413</v>
      </c>
      <c r="G439" s="3">
        <f t="shared" si="34"/>
        <v>6.7133994831123558E-3</v>
      </c>
      <c r="H439" s="4">
        <f t="shared" si="30"/>
        <v>5.0035868701035486</v>
      </c>
    </row>
    <row r="440" spans="2:8" x14ac:dyDescent="0.15">
      <c r="B440" s="16">
        <v>41176</v>
      </c>
      <c r="C440" s="11">
        <v>1456.89</v>
      </c>
      <c r="D440" s="12">
        <f t="shared" si="32"/>
        <v>-2.2351434037312782E-3</v>
      </c>
      <c r="E440" s="3">
        <f t="shared" si="33"/>
        <v>6.7435986418204526E-3</v>
      </c>
      <c r="F440" s="18">
        <f t="shared" si="31"/>
        <v>4.9442331214707664</v>
      </c>
      <c r="G440" s="3">
        <f t="shared" si="34"/>
        <v>6.4471588621738546E-3</v>
      </c>
      <c r="H440" s="4">
        <f t="shared" si="30"/>
        <v>4.9840199421710416</v>
      </c>
    </row>
    <row r="441" spans="2:8" x14ac:dyDescent="0.15">
      <c r="B441" s="16">
        <v>41177</v>
      </c>
      <c r="C441" s="11">
        <v>1441.59</v>
      </c>
      <c r="D441" s="12">
        <f t="shared" si="32"/>
        <v>-1.0557355654258943E-2</v>
      </c>
      <c r="E441" s="3">
        <f t="shared" si="33"/>
        <v>6.5031143131763251E-3</v>
      </c>
      <c r="F441" s="18">
        <f t="shared" si="31"/>
        <v>3.7177104147932538</v>
      </c>
      <c r="G441" s="3">
        <f t="shared" si="34"/>
        <v>6.2227343756445655E-3</v>
      </c>
      <c r="H441" s="4">
        <f t="shared" si="30"/>
        <v>3.6403570183967791</v>
      </c>
    </row>
    <row r="442" spans="2:8" x14ac:dyDescent="0.15">
      <c r="B442" s="16">
        <v>41178</v>
      </c>
      <c r="C442" s="11">
        <v>1433.32</v>
      </c>
      <c r="D442" s="12">
        <f t="shared" si="32"/>
        <v>-5.7532394483594748E-3</v>
      </c>
      <c r="E442" s="3">
        <f t="shared" si="33"/>
        <v>7.3570915203995547E-3</v>
      </c>
      <c r="F442" s="18">
        <f t="shared" si="31"/>
        <v>4.6063292487716199</v>
      </c>
      <c r="G442" s="3">
        <f t="shared" si="34"/>
        <v>6.6616686379657635E-3</v>
      </c>
      <c r="H442" s="4">
        <f t="shared" si="30"/>
        <v>4.6384539660668844</v>
      </c>
    </row>
    <row r="443" spans="2:8" x14ac:dyDescent="0.15">
      <c r="B443" s="16">
        <v>41179</v>
      </c>
      <c r="C443" s="11">
        <v>1447.15</v>
      </c>
      <c r="D443" s="12">
        <f t="shared" si="32"/>
        <v>9.6026733646948151E-3</v>
      </c>
      <c r="E443" s="3">
        <f t="shared" si="33"/>
        <v>7.2935356696465902E-3</v>
      </c>
      <c r="F443" s="18">
        <f t="shared" si="31"/>
        <v>4.0540482912554028</v>
      </c>
      <c r="G443" s="3">
        <f t="shared" si="34"/>
        <v>6.5955229719582512E-3</v>
      </c>
      <c r="H443" s="4">
        <f t="shared" si="30"/>
        <v>3.9614862823693939</v>
      </c>
    </row>
    <row r="444" spans="2:8" x14ac:dyDescent="0.15">
      <c r="B444" s="16">
        <v>41180</v>
      </c>
      <c r="C444" s="11">
        <v>1440.67</v>
      </c>
      <c r="D444" s="12">
        <f t="shared" si="32"/>
        <v>-4.4878218697084783E-3</v>
      </c>
      <c r="E444" s="3">
        <f t="shared" si="33"/>
        <v>7.7752337309364263E-3</v>
      </c>
      <c r="F444" s="18">
        <f t="shared" si="31"/>
        <v>4.6902350345858341</v>
      </c>
      <c r="G444" s="3">
        <f t="shared" si="34"/>
        <v>6.876649932382079E-3</v>
      </c>
      <c r="H444" s="4">
        <f t="shared" si="30"/>
        <v>4.7666688940498299</v>
      </c>
    </row>
    <row r="445" spans="2:8" x14ac:dyDescent="0.15">
      <c r="B445" s="16">
        <v>41183</v>
      </c>
      <c r="C445" s="11">
        <v>1444.49</v>
      </c>
      <c r="D445" s="12">
        <f t="shared" si="32"/>
        <v>2.6480349319839992E-3</v>
      </c>
      <c r="E445" s="3">
        <f t="shared" si="33"/>
        <v>7.5248816379872999E-3</v>
      </c>
      <c r="F445" s="18">
        <f t="shared" si="31"/>
        <v>4.8276220325453245</v>
      </c>
      <c r="G445" s="3">
        <f t="shared" si="34"/>
        <v>6.72142009152838E-3</v>
      </c>
      <c r="H445" s="4">
        <f t="shared" si="30"/>
        <v>4.9248498155904095</v>
      </c>
    </row>
    <row r="446" spans="2:8" x14ac:dyDescent="0.15">
      <c r="B446" s="16">
        <v>41184</v>
      </c>
      <c r="C446" s="11">
        <v>1445.75</v>
      </c>
      <c r="D446" s="12">
        <f t="shared" si="32"/>
        <v>8.7189996666161944E-4</v>
      </c>
      <c r="E446" s="3">
        <f t="shared" si="33"/>
        <v>7.1904303647495485E-3</v>
      </c>
      <c r="F446" s="18">
        <f t="shared" si="31"/>
        <v>4.9276524551739014</v>
      </c>
      <c r="G446" s="3">
        <f t="shared" si="34"/>
        <v>6.4969227862663103E-3</v>
      </c>
      <c r="H446" s="4">
        <f t="shared" si="30"/>
        <v>5.0274215446182202</v>
      </c>
    </row>
    <row r="447" spans="2:8" x14ac:dyDescent="0.15">
      <c r="B447" s="16">
        <v>41185</v>
      </c>
      <c r="C447" s="11">
        <v>1450.99</v>
      </c>
      <c r="D447" s="12">
        <f t="shared" si="32"/>
        <v>3.6178640233520921E-3</v>
      </c>
      <c r="E447" s="3">
        <f t="shared" si="33"/>
        <v>6.8424770225182716E-3</v>
      </c>
      <c r="F447" s="18">
        <f t="shared" si="31"/>
        <v>4.8448245891227053</v>
      </c>
      <c r="G447" s="3">
        <f t="shared" si="34"/>
        <v>6.2439691632601695E-3</v>
      </c>
      <c r="H447" s="4">
        <f t="shared" si="30"/>
        <v>4.9082769861830267</v>
      </c>
    </row>
    <row r="448" spans="2:8" x14ac:dyDescent="0.15">
      <c r="B448" s="16">
        <v>41186</v>
      </c>
      <c r="C448" s="11">
        <v>1461.4</v>
      </c>
      <c r="D448" s="12">
        <f t="shared" si="32"/>
        <v>7.1487982954376974E-3</v>
      </c>
      <c r="E448" s="3">
        <f t="shared" si="33"/>
        <v>6.6700819108579858E-3</v>
      </c>
      <c r="F448" s="18">
        <f t="shared" si="31"/>
        <v>4.4357769321106923</v>
      </c>
      <c r="G448" s="3">
        <f t="shared" si="34"/>
        <v>6.0805823602800317E-3</v>
      </c>
      <c r="H448" s="4">
        <f t="shared" si="30"/>
        <v>4.4115470900751319</v>
      </c>
    </row>
    <row r="449" spans="2:8" x14ac:dyDescent="0.15">
      <c r="B449" s="16">
        <v>41187</v>
      </c>
      <c r="C449" s="11">
        <v>1460.93</v>
      </c>
      <c r="D449" s="12">
        <f t="shared" si="32"/>
        <v>-3.2166114302795205E-4</v>
      </c>
      <c r="E449" s="3">
        <f t="shared" si="33"/>
        <v>6.9093795366509747E-3</v>
      </c>
      <c r="F449" s="18">
        <f t="shared" si="31"/>
        <v>4.9737917871456112</v>
      </c>
      <c r="G449" s="3">
        <f t="shared" si="34"/>
        <v>6.1702736906924698E-3</v>
      </c>
      <c r="H449" s="4">
        <f t="shared" si="30"/>
        <v>5.0866532749549185</v>
      </c>
    </row>
    <row r="450" spans="2:8" x14ac:dyDescent="0.15">
      <c r="B450" s="16">
        <v>41190</v>
      </c>
      <c r="C450" s="11">
        <v>1455.88</v>
      </c>
      <c r="D450" s="12">
        <f t="shared" si="32"/>
        <v>-3.4626904363913532E-3</v>
      </c>
      <c r="E450" s="3">
        <f t="shared" si="33"/>
        <v>6.5940845645613751E-3</v>
      </c>
      <c r="F450" s="18">
        <f t="shared" si="31"/>
        <v>4.883706424489362</v>
      </c>
      <c r="G450" s="3">
        <f t="shared" si="34"/>
        <v>5.9262197371458417E-3</v>
      </c>
      <c r="H450" s="4">
        <f t="shared" si="30"/>
        <v>4.9576654812832608</v>
      </c>
    </row>
    <row r="451" spans="2:8" x14ac:dyDescent="0.15">
      <c r="B451" s="16">
        <v>41191</v>
      </c>
      <c r="C451" s="11">
        <v>1441.48</v>
      </c>
      <c r="D451" s="12">
        <f t="shared" si="32"/>
        <v>-9.9401652318431739E-3</v>
      </c>
      <c r="E451" s="3">
        <f t="shared" si="33"/>
        <v>6.4501930386423739E-3</v>
      </c>
      <c r="F451" s="18">
        <f t="shared" si="31"/>
        <v>3.8562049121915907</v>
      </c>
      <c r="G451" s="3">
        <f t="shared" si="34"/>
        <v>5.7724916486171967E-3</v>
      </c>
      <c r="H451" s="4">
        <f t="shared" si="30"/>
        <v>3.6720289691350456</v>
      </c>
    </row>
    <row r="452" spans="2:8" x14ac:dyDescent="0.15">
      <c r="B452" s="16">
        <v>41192</v>
      </c>
      <c r="C452" s="11">
        <v>1432.56</v>
      </c>
      <c r="D452" s="12">
        <f t="shared" si="32"/>
        <v>-6.2073100173509251E-3</v>
      </c>
      <c r="E452" s="3">
        <f t="shared" si="33"/>
        <v>7.2005586780395647E-3</v>
      </c>
      <c r="F452" s="18">
        <f t="shared" si="31"/>
        <v>4.5620233705923905</v>
      </c>
      <c r="G452" s="3">
        <f t="shared" si="34"/>
        <v>6.1978501437118206E-3</v>
      </c>
      <c r="H452" s="4">
        <f t="shared" si="30"/>
        <v>4.5820253179359067</v>
      </c>
    </row>
    <row r="453" spans="2:8" x14ac:dyDescent="0.15">
      <c r="B453" s="16">
        <v>41193</v>
      </c>
      <c r="C453" s="11">
        <v>1432.84</v>
      </c>
      <c r="D453" s="12">
        <f t="shared" si="32"/>
        <v>1.954351929163438E-4</v>
      </c>
      <c r="E453" s="3">
        <f t="shared" si="33"/>
        <v>7.2155879349292155E-3</v>
      </c>
      <c r="F453" s="18">
        <f t="shared" si="31"/>
        <v>4.9311447998710456</v>
      </c>
      <c r="G453" s="3">
        <f t="shared" si="34"/>
        <v>6.1985861968936124E-3</v>
      </c>
      <c r="H453" s="4">
        <f t="shared" ref="H453:H516" si="35" xml:space="preserve"> - LN(G453) - 0.5 * ($D453/G453)^2</f>
        <v>5.0829370069322417</v>
      </c>
    </row>
    <row r="454" spans="2:8" x14ac:dyDescent="0.15">
      <c r="B454" s="16">
        <v>41194</v>
      </c>
      <c r="C454" s="11">
        <v>1428.59</v>
      </c>
      <c r="D454" s="12">
        <f t="shared" si="32"/>
        <v>-2.9705448850503111E-3</v>
      </c>
      <c r="E454" s="3">
        <f t="shared" si="33"/>
        <v>6.8570108457887639E-3</v>
      </c>
      <c r="F454" s="18">
        <f t="shared" ref="F454:F517" si="36" xml:space="preserve"> - LN(E454) - 0.5 * (D454/E454)^2</f>
        <v>4.8886470028600524</v>
      </c>
      <c r="G454" s="3">
        <f t="shared" si="34"/>
        <v>5.9529799347738952E-3</v>
      </c>
      <c r="H454" s="4">
        <f t="shared" si="35"/>
        <v>4.9993621934182961</v>
      </c>
    </row>
    <row r="455" spans="2:8" x14ac:dyDescent="0.15">
      <c r="B455" s="16">
        <v>41197</v>
      </c>
      <c r="C455" s="11">
        <v>1440.13</v>
      </c>
      <c r="D455" s="12">
        <f t="shared" ref="D455:D518" si="37">LN(C455/C454)</f>
        <v>8.0454434366606341E-3</v>
      </c>
      <c r="E455" s="3">
        <f t="shared" si="33"/>
        <v>6.638858435287001E-3</v>
      </c>
      <c r="F455" s="18">
        <f t="shared" si="36"/>
        <v>4.2804989669917548</v>
      </c>
      <c r="G455" s="3">
        <f t="shared" si="34"/>
        <v>5.7765611824469529E-3</v>
      </c>
      <c r="H455" s="4">
        <f t="shared" si="35"/>
        <v>4.1840372068583953</v>
      </c>
    </row>
    <row r="456" spans="2:8" x14ac:dyDescent="0.15">
      <c r="B456" s="16">
        <v>41198</v>
      </c>
      <c r="C456" s="11">
        <v>1454.92</v>
      </c>
      <c r="D456" s="12">
        <f t="shared" si="37"/>
        <v>1.0217529003082159E-2</v>
      </c>
      <c r="E456" s="3">
        <f t="shared" ref="E456:E519" si="38">SQRT($L$18 + $L$19*E455^2 + $L$20*D455^2)</f>
        <v>7.0176734241378007E-3</v>
      </c>
      <c r="F456" s="18">
        <f t="shared" si="36"/>
        <v>3.8993977584304229</v>
      </c>
      <c r="G456" s="3">
        <f t="shared" ref="G456:G519" si="39">SQRT($V$18*G455^2 + (1-$V$18)*D455^2)</f>
        <v>5.9838982921954637E-3</v>
      </c>
      <c r="H456" s="4">
        <f t="shared" si="35"/>
        <v>3.6608984414483405</v>
      </c>
    </row>
    <row r="457" spans="2:8" x14ac:dyDescent="0.15">
      <c r="B457" s="16">
        <v>41199</v>
      </c>
      <c r="C457" s="11">
        <v>1460.91</v>
      </c>
      <c r="D457" s="12">
        <f t="shared" si="37"/>
        <v>4.1086129344168739E-3</v>
      </c>
      <c r="E457" s="3">
        <f t="shared" si="38"/>
        <v>7.6727971960683702E-3</v>
      </c>
      <c r="F457" s="18">
        <f t="shared" si="36"/>
        <v>4.7267057738790896</v>
      </c>
      <c r="G457" s="3">
        <f t="shared" si="39"/>
        <v>6.4140625542543342E-3</v>
      </c>
      <c r="H457" s="4">
        <f t="shared" si="35"/>
        <v>4.8441017684928704</v>
      </c>
    </row>
    <row r="458" spans="2:8" x14ac:dyDescent="0.15">
      <c r="B458" s="16">
        <v>41200</v>
      </c>
      <c r="C458" s="11">
        <v>1457.34</v>
      </c>
      <c r="D458" s="12">
        <f t="shared" si="37"/>
        <v>-2.4466730272574805E-3</v>
      </c>
      <c r="E458" s="3">
        <f t="shared" si="38"/>
        <v>7.4083921907453429E-3</v>
      </c>
      <c r="F458" s="18">
        <f t="shared" si="36"/>
        <v>4.8506070142130016</v>
      </c>
      <c r="G458" s="3">
        <f t="shared" si="39"/>
        <v>6.2652968443141889E-3</v>
      </c>
      <c r="H458" s="4">
        <f t="shared" si="35"/>
        <v>4.9964795350872331</v>
      </c>
    </row>
    <row r="459" spans="2:8" x14ac:dyDescent="0.15">
      <c r="B459" s="16">
        <v>41201</v>
      </c>
      <c r="C459" s="11">
        <v>1433.19</v>
      </c>
      <c r="D459" s="12">
        <f t="shared" si="37"/>
        <v>-1.6710127170061661E-2</v>
      </c>
      <c r="E459" s="3">
        <f t="shared" si="38"/>
        <v>7.0807544733554719E-3</v>
      </c>
      <c r="F459" s="18">
        <f t="shared" si="36"/>
        <v>2.165725923786697</v>
      </c>
      <c r="G459" s="3">
        <f t="shared" si="39"/>
        <v>6.0553506299044785E-3</v>
      </c>
      <c r="H459" s="4">
        <f t="shared" si="35"/>
        <v>1.2992164596200491</v>
      </c>
    </row>
    <row r="460" spans="2:8" x14ac:dyDescent="0.15">
      <c r="B460" s="16">
        <v>41204</v>
      </c>
      <c r="C460" s="11">
        <v>1433.82</v>
      </c>
      <c r="D460" s="12">
        <f t="shared" si="37"/>
        <v>4.3948225512983235E-4</v>
      </c>
      <c r="E460" s="3">
        <f t="shared" si="38"/>
        <v>9.1283423305176629E-3</v>
      </c>
      <c r="F460" s="18">
        <f t="shared" si="36"/>
        <v>4.6952122026915202</v>
      </c>
      <c r="G460" s="3">
        <f t="shared" si="39"/>
        <v>7.4516558018158192E-3</v>
      </c>
      <c r="H460" s="4">
        <f t="shared" si="35"/>
        <v>4.8975798256444625</v>
      </c>
    </row>
    <row r="461" spans="2:8" x14ac:dyDescent="0.15">
      <c r="B461" s="16">
        <v>41205</v>
      </c>
      <c r="C461" s="11">
        <v>1413.11</v>
      </c>
      <c r="D461" s="12">
        <f t="shared" si="37"/>
        <v>-1.4549262064668257E-2</v>
      </c>
      <c r="E461" s="3">
        <f t="shared" si="38"/>
        <v>8.5244423810042803E-3</v>
      </c>
      <c r="F461" s="18">
        <f t="shared" si="36"/>
        <v>3.3082858430475079</v>
      </c>
      <c r="G461" s="3">
        <f t="shared" si="39"/>
        <v>7.1571485711498161E-3</v>
      </c>
      <c r="H461" s="4">
        <f t="shared" si="35"/>
        <v>2.8734459285747094</v>
      </c>
    </row>
    <row r="462" spans="2:8" x14ac:dyDescent="0.15">
      <c r="B462" s="16">
        <v>41206</v>
      </c>
      <c r="C462" s="11">
        <v>1408.75</v>
      </c>
      <c r="D462" s="12">
        <f t="shared" si="37"/>
        <v>-3.0901628496863881E-3</v>
      </c>
      <c r="E462" s="3">
        <f t="shared" si="38"/>
        <v>9.6243335833591116E-3</v>
      </c>
      <c r="F462" s="18">
        <f t="shared" si="36"/>
        <v>4.5919150625125793</v>
      </c>
      <c r="G462" s="3">
        <f t="shared" si="39"/>
        <v>7.9812758715354336E-3</v>
      </c>
      <c r="H462" s="4">
        <f t="shared" si="35"/>
        <v>4.7557041565468809</v>
      </c>
    </row>
    <row r="463" spans="2:8" x14ac:dyDescent="0.15">
      <c r="B463" s="16">
        <v>41207</v>
      </c>
      <c r="C463" s="11">
        <v>1412.97</v>
      </c>
      <c r="D463" s="12">
        <f t="shared" si="37"/>
        <v>2.9910856826463454E-3</v>
      </c>
      <c r="E463" s="3">
        <f t="shared" si="38"/>
        <v>9.0310730292672541E-3</v>
      </c>
      <c r="F463" s="18">
        <f t="shared" si="36"/>
        <v>4.6522375784451793</v>
      </c>
      <c r="G463" s="3">
        <f t="shared" si="39"/>
        <v>7.7129954748498871E-3</v>
      </c>
      <c r="H463" s="4">
        <f t="shared" si="35"/>
        <v>4.7896549307376066</v>
      </c>
    </row>
    <row r="464" spans="2:8" x14ac:dyDescent="0.15">
      <c r="B464" s="16">
        <v>41208</v>
      </c>
      <c r="C464" s="11">
        <v>1411.94</v>
      </c>
      <c r="D464" s="12">
        <f t="shared" si="37"/>
        <v>-7.2922680414156456E-4</v>
      </c>
      <c r="E464" s="3">
        <f t="shared" si="38"/>
        <v>8.5091764650593593E-3</v>
      </c>
      <c r="F464" s="18">
        <f t="shared" si="36"/>
        <v>4.7629379655691571</v>
      </c>
      <c r="G464" s="3">
        <f t="shared" si="39"/>
        <v>7.453882461164749E-3</v>
      </c>
      <c r="H464" s="4">
        <f t="shared" si="35"/>
        <v>4.894234715196351</v>
      </c>
    </row>
    <row r="465" spans="2:8" x14ac:dyDescent="0.15">
      <c r="B465" s="16">
        <v>41213</v>
      </c>
      <c r="C465" s="11">
        <v>1412.16</v>
      </c>
      <c r="D465" s="12">
        <f t="shared" si="37"/>
        <v>1.5580184869156202E-4</v>
      </c>
      <c r="E465" s="3">
        <f t="shared" si="38"/>
        <v>7.9849931656634111E-3</v>
      </c>
      <c r="F465" s="18">
        <f t="shared" si="36"/>
        <v>4.8300009974098037</v>
      </c>
      <c r="G465" s="3">
        <f t="shared" si="39"/>
        <v>7.1611251891076956E-3</v>
      </c>
      <c r="H465" s="4">
        <f t="shared" si="35"/>
        <v>4.93885148587625</v>
      </c>
    </row>
    <row r="466" spans="2:8" x14ac:dyDescent="0.15">
      <c r="B466" s="16">
        <v>41214</v>
      </c>
      <c r="C466" s="11">
        <v>1427.59</v>
      </c>
      <c r="D466" s="12">
        <f t="shared" si="37"/>
        <v>1.0867260747050345E-2</v>
      </c>
      <c r="E466" s="3">
        <f t="shared" si="38"/>
        <v>7.5235525016295783E-3</v>
      </c>
      <c r="F466" s="18">
        <f t="shared" si="36"/>
        <v>3.8465247982118362</v>
      </c>
      <c r="G466" s="3">
        <f t="shared" si="39"/>
        <v>6.877229340611018E-3</v>
      </c>
      <c r="H466" s="4">
        <f t="shared" si="35"/>
        <v>3.7310548920310613</v>
      </c>
    </row>
    <row r="467" spans="2:8" x14ac:dyDescent="0.15">
      <c r="B467" s="16">
        <v>41215</v>
      </c>
      <c r="C467" s="11">
        <v>1414.2</v>
      </c>
      <c r="D467" s="12">
        <f t="shared" si="37"/>
        <v>-9.4237076580922455E-3</v>
      </c>
      <c r="E467" s="3">
        <f t="shared" si="38"/>
        <v>8.1707397978397125E-3</v>
      </c>
      <c r="F467" s="18">
        <f t="shared" si="36"/>
        <v>4.1420898421546415</v>
      </c>
      <c r="G467" s="3">
        <f t="shared" si="39"/>
        <v>7.2664499041194446E-3</v>
      </c>
      <c r="H467" s="4">
        <f t="shared" si="35"/>
        <v>4.0835396126619186</v>
      </c>
    </row>
    <row r="468" spans="2:8" x14ac:dyDescent="0.15">
      <c r="B468" s="16">
        <v>41218</v>
      </c>
      <c r="C468" s="11">
        <v>1417.26</v>
      </c>
      <c r="D468" s="12">
        <f t="shared" si="37"/>
        <v>2.1614299275310735E-3</v>
      </c>
      <c r="E468" s="3">
        <f t="shared" si="38"/>
        <v>8.4328013428213531E-3</v>
      </c>
      <c r="F468" s="18">
        <f t="shared" si="36"/>
        <v>4.7427782819303621</v>
      </c>
      <c r="G468" s="3">
        <f t="shared" si="39"/>
        <v>7.4565941561256484E-3</v>
      </c>
      <c r="H468" s="4">
        <f t="shared" si="35"/>
        <v>4.8566447141639282</v>
      </c>
    </row>
    <row r="469" spans="2:8" x14ac:dyDescent="0.15">
      <c r="B469" s="16">
        <v>41219</v>
      </c>
      <c r="C469" s="11">
        <v>1428.39</v>
      </c>
      <c r="D469" s="12">
        <f t="shared" si="37"/>
        <v>7.822505758014995E-3</v>
      </c>
      <c r="E469" s="3">
        <f t="shared" si="38"/>
        <v>7.953694309861932E-3</v>
      </c>
      <c r="F469" s="18">
        <f t="shared" si="36"/>
        <v>4.3504767784794973</v>
      </c>
      <c r="G469" s="3">
        <f t="shared" si="39"/>
        <v>7.1861604321568125E-3</v>
      </c>
      <c r="H469" s="4">
        <f t="shared" si="35"/>
        <v>4.3431260746967215</v>
      </c>
    </row>
    <row r="470" spans="2:8" x14ac:dyDescent="0.15">
      <c r="B470" s="16">
        <v>41220</v>
      </c>
      <c r="C470" s="11">
        <v>1394.53</v>
      </c>
      <c r="D470" s="12">
        <f t="shared" si="37"/>
        <v>-2.3990494932418175E-2</v>
      </c>
      <c r="E470" s="3">
        <f t="shared" si="38"/>
        <v>8.0309256639476169E-3</v>
      </c>
      <c r="F470" s="18">
        <f t="shared" si="36"/>
        <v>0.36258244984670096</v>
      </c>
      <c r="G470" s="3">
        <f t="shared" si="39"/>
        <v>7.2376445709346864E-3</v>
      </c>
      <c r="H470" s="4">
        <f t="shared" si="35"/>
        <v>-0.56510109527426788</v>
      </c>
    </row>
    <row r="471" spans="2:8" x14ac:dyDescent="0.15">
      <c r="B471" s="16">
        <v>41221</v>
      </c>
      <c r="C471" s="11">
        <v>1377.51</v>
      </c>
      <c r="D471" s="12">
        <f t="shared" si="37"/>
        <v>-1.2279919394418561E-2</v>
      </c>
      <c r="E471" s="3">
        <f t="shared" si="38"/>
        <v>1.1632246650714424E-2</v>
      </c>
      <c r="F471" s="18">
        <f t="shared" si="36"/>
        <v>3.896744998312494</v>
      </c>
      <c r="G471" s="3">
        <f t="shared" si="39"/>
        <v>9.6468075704129602E-3</v>
      </c>
      <c r="H471" s="4">
        <f t="shared" si="35"/>
        <v>3.8309253174384899</v>
      </c>
    </row>
    <row r="472" spans="2:8" x14ac:dyDescent="0.15">
      <c r="B472" s="16">
        <v>41222</v>
      </c>
      <c r="C472" s="11">
        <v>1379.85</v>
      </c>
      <c r="D472" s="12">
        <f t="shared" si="37"/>
        <v>1.6972760624259981E-3</v>
      </c>
      <c r="E472" s="3">
        <f t="shared" si="38"/>
        <v>1.1649720891733117E-2</v>
      </c>
      <c r="F472" s="18">
        <f t="shared" si="36"/>
        <v>4.441859916008327</v>
      </c>
      <c r="G472" s="3">
        <f t="shared" si="39"/>
        <v>9.8767413011619561E-3</v>
      </c>
      <c r="H472" s="4">
        <f t="shared" si="35"/>
        <v>4.602807167748737</v>
      </c>
    </row>
    <row r="473" spans="2:8" x14ac:dyDescent="0.15">
      <c r="B473" s="16">
        <v>41225</v>
      </c>
      <c r="C473" s="11">
        <v>1380.03</v>
      </c>
      <c r="D473" s="12">
        <f t="shared" si="37"/>
        <v>1.3044045411771709E-4</v>
      </c>
      <c r="E473" s="3">
        <f t="shared" si="38"/>
        <v>1.0769226424904013E-2</v>
      </c>
      <c r="F473" s="18">
        <f t="shared" si="36"/>
        <v>4.530989262933673</v>
      </c>
      <c r="G473" s="3">
        <f t="shared" si="39"/>
        <v>9.4967983403572622E-3</v>
      </c>
      <c r="H473" s="4">
        <f t="shared" si="35"/>
        <v>4.6567062260808045</v>
      </c>
    </row>
    <row r="474" spans="2:8" x14ac:dyDescent="0.15">
      <c r="B474" s="16">
        <v>41226</v>
      </c>
      <c r="C474" s="11">
        <v>1374.53</v>
      </c>
      <c r="D474" s="12">
        <f t="shared" si="37"/>
        <v>-3.9933835596909703E-3</v>
      </c>
      <c r="E474" s="3">
        <f t="shared" si="38"/>
        <v>9.9702676798487499E-3</v>
      </c>
      <c r="F474" s="18">
        <f t="shared" si="36"/>
        <v>4.5279360178899264</v>
      </c>
      <c r="G474" s="3">
        <f t="shared" si="39"/>
        <v>9.1201975499158559E-3</v>
      </c>
      <c r="H474" s="4">
        <f t="shared" si="35"/>
        <v>4.6014024587135216</v>
      </c>
    </row>
    <row r="475" spans="2:8" x14ac:dyDescent="0.15">
      <c r="B475" s="16">
        <v>41227</v>
      </c>
      <c r="C475" s="11">
        <v>1355.49</v>
      </c>
      <c r="D475" s="12">
        <f t="shared" si="37"/>
        <v>-1.394884192572606E-2</v>
      </c>
      <c r="E475" s="3">
        <f t="shared" si="38"/>
        <v>9.3800352751820353E-3</v>
      </c>
      <c r="F475" s="18">
        <f t="shared" si="36"/>
        <v>3.5634716104664617</v>
      </c>
      <c r="G475" s="3">
        <f t="shared" si="39"/>
        <v>8.8289628855006737E-3</v>
      </c>
      <c r="H475" s="4">
        <f t="shared" si="35"/>
        <v>3.4816822578988544</v>
      </c>
    </row>
    <row r="476" spans="2:8" x14ac:dyDescent="0.15">
      <c r="B476" s="16">
        <v>41228</v>
      </c>
      <c r="C476" s="11">
        <v>1353.33</v>
      </c>
      <c r="D476" s="12">
        <f t="shared" si="37"/>
        <v>-1.5947906895285239E-3</v>
      </c>
      <c r="E476" s="3">
        <f t="shared" si="38"/>
        <v>1.0142149833420436E-2</v>
      </c>
      <c r="F476" s="18">
        <f t="shared" si="36"/>
        <v>4.5786924739415982</v>
      </c>
      <c r="G476" s="3">
        <f t="shared" si="39"/>
        <v>9.3283511145860719E-3</v>
      </c>
      <c r="H476" s="4">
        <f t="shared" si="35"/>
        <v>4.6600830590984472</v>
      </c>
    </row>
    <row r="477" spans="2:8" x14ac:dyDescent="0.15">
      <c r="B477" s="16">
        <v>41229</v>
      </c>
      <c r="C477" s="11">
        <v>1359.88</v>
      </c>
      <c r="D477" s="12">
        <f t="shared" si="37"/>
        <v>4.8282386725694085E-3</v>
      </c>
      <c r="E477" s="3">
        <f t="shared" si="38"/>
        <v>9.4339741488826175E-3</v>
      </c>
      <c r="F477" s="18">
        <f t="shared" si="36"/>
        <v>4.5324719737079837</v>
      </c>
      <c r="G477" s="3">
        <f t="shared" si="39"/>
        <v>8.9693895708800285E-3</v>
      </c>
      <c r="H477" s="4">
        <f t="shared" si="35"/>
        <v>4.56905323628256</v>
      </c>
    </row>
    <row r="478" spans="2:8" x14ac:dyDescent="0.15">
      <c r="B478" s="16">
        <v>41232</v>
      </c>
      <c r="C478" s="11">
        <v>1386.89</v>
      </c>
      <c r="D478" s="12">
        <f t="shared" si="37"/>
        <v>1.9667369768091868E-2</v>
      </c>
      <c r="E478" s="3">
        <f t="shared" si="38"/>
        <v>8.9696182678958153E-3</v>
      </c>
      <c r="F478" s="18">
        <f t="shared" si="36"/>
        <v>2.3100218366451162</v>
      </c>
      <c r="G478" s="3">
        <f t="shared" si="39"/>
        <v>8.7182155023807321E-3</v>
      </c>
      <c r="H478" s="4">
        <f t="shared" si="35"/>
        <v>2.1978119076201477</v>
      </c>
    </row>
    <row r="479" spans="2:8" x14ac:dyDescent="0.15">
      <c r="B479" s="16">
        <v>41233</v>
      </c>
      <c r="C479" s="11">
        <v>1387.81</v>
      </c>
      <c r="D479" s="12">
        <f t="shared" si="37"/>
        <v>6.6313477760757589E-4</v>
      </c>
      <c r="E479" s="3">
        <f t="shared" si="38"/>
        <v>1.1080501860147064E-2</v>
      </c>
      <c r="F479" s="18">
        <f t="shared" si="36"/>
        <v>4.5007774728401415</v>
      </c>
      <c r="G479" s="3">
        <f t="shared" si="39"/>
        <v>1.0008638073913931E-2</v>
      </c>
      <c r="H479" s="4">
        <f t="shared" si="35"/>
        <v>4.6021118064544639</v>
      </c>
    </row>
    <row r="480" spans="2:8" x14ac:dyDescent="0.15">
      <c r="B480" s="16">
        <v>41234</v>
      </c>
      <c r="C480" s="11">
        <v>1391.03</v>
      </c>
      <c r="D480" s="12">
        <f t="shared" si="37"/>
        <v>2.3175148199859131E-3</v>
      </c>
      <c r="E480" s="3">
        <f t="shared" si="38"/>
        <v>1.0248846550390694E-2</v>
      </c>
      <c r="F480" s="18">
        <f t="shared" si="36"/>
        <v>4.5550239772790624</v>
      </c>
      <c r="G480" s="3">
        <f t="shared" si="39"/>
        <v>9.6134420552713238E-3</v>
      </c>
      <c r="H480" s="4">
        <f t="shared" si="35"/>
        <v>4.6155355145812029</v>
      </c>
    </row>
    <row r="481" spans="2:8" x14ac:dyDescent="0.15">
      <c r="B481" s="16">
        <v>41236</v>
      </c>
      <c r="C481" s="11">
        <v>1409.15</v>
      </c>
      <c r="D481" s="12">
        <f t="shared" si="37"/>
        <v>1.2942205804867957E-2</v>
      </c>
      <c r="E481" s="3">
        <f t="shared" si="38"/>
        <v>9.5481433633282497E-3</v>
      </c>
      <c r="F481" s="18">
        <f t="shared" si="36"/>
        <v>3.7327613778733539</v>
      </c>
      <c r="G481" s="3">
        <f t="shared" si="39"/>
        <v>9.2547314249377469E-3</v>
      </c>
      <c r="H481" s="4">
        <f t="shared" si="35"/>
        <v>3.7048002361706427</v>
      </c>
    </row>
    <row r="482" spans="2:8" x14ac:dyDescent="0.15">
      <c r="B482" s="16">
        <v>41239</v>
      </c>
      <c r="C482" s="11">
        <v>1406.29</v>
      </c>
      <c r="D482" s="12">
        <f t="shared" si="37"/>
        <v>-2.0316547209315592E-3</v>
      </c>
      <c r="E482" s="3">
        <f t="shared" si="38"/>
        <v>1.0089502029721999E-2</v>
      </c>
      <c r="F482" s="18">
        <f t="shared" si="36"/>
        <v>4.5759862234260549</v>
      </c>
      <c r="G482" s="3">
        <f t="shared" si="39"/>
        <v>9.5924034366162616E-3</v>
      </c>
      <c r="H482" s="4">
        <f t="shared" si="35"/>
        <v>4.6243545429411475</v>
      </c>
    </row>
    <row r="483" spans="2:8" x14ac:dyDescent="0.15">
      <c r="B483" s="16">
        <v>41240</v>
      </c>
      <c r="C483" s="11">
        <v>1398.94</v>
      </c>
      <c r="D483" s="12">
        <f t="shared" si="37"/>
        <v>-5.2402240238485368E-3</v>
      </c>
      <c r="E483" s="3">
        <f t="shared" si="38"/>
        <v>9.3990277271254266E-3</v>
      </c>
      <c r="F483" s="18">
        <f t="shared" si="36"/>
        <v>4.5117301213305145</v>
      </c>
      <c r="G483" s="3">
        <f t="shared" si="39"/>
        <v>9.2293412334565113E-3</v>
      </c>
      <c r="H483" s="4">
        <f t="shared" si="35"/>
        <v>4.5241812388661993</v>
      </c>
    </row>
    <row r="484" spans="2:8" x14ac:dyDescent="0.15">
      <c r="B484" s="16">
        <v>41241</v>
      </c>
      <c r="C484" s="11">
        <v>1409.93</v>
      </c>
      <c r="D484" s="12">
        <f t="shared" si="37"/>
        <v>7.8252507809793547E-3</v>
      </c>
      <c r="E484" s="3">
        <f t="shared" si="38"/>
        <v>8.9709235312129543E-3</v>
      </c>
      <c r="F484" s="18">
        <f t="shared" si="36"/>
        <v>4.3333213497613361</v>
      </c>
      <c r="G484" s="3">
        <f t="shared" si="39"/>
        <v>8.9829150421110796E-3</v>
      </c>
      <c r="H484" s="4">
        <f t="shared" si="35"/>
        <v>4.3330005870654844</v>
      </c>
    </row>
    <row r="485" spans="2:8" x14ac:dyDescent="0.15">
      <c r="B485" s="16">
        <v>41242</v>
      </c>
      <c r="C485" s="11">
        <v>1415.95</v>
      </c>
      <c r="D485" s="12">
        <f t="shared" si="37"/>
        <v>4.2606261459933554E-3</v>
      </c>
      <c r="E485" s="3">
        <f t="shared" si="38"/>
        <v>8.8664722457347297E-3</v>
      </c>
      <c r="F485" s="18">
        <f t="shared" si="36"/>
        <v>4.6100226420119492</v>
      </c>
      <c r="G485" s="3">
        <f t="shared" si="39"/>
        <v>8.8983045636251354E-3</v>
      </c>
      <c r="H485" s="4">
        <f t="shared" si="35"/>
        <v>4.6072634536827044</v>
      </c>
    </row>
    <row r="486" spans="2:8" x14ac:dyDescent="0.15">
      <c r="B486" s="16">
        <v>41243</v>
      </c>
      <c r="C486" s="11">
        <v>1416.18</v>
      </c>
      <c r="D486" s="12">
        <f t="shared" si="37"/>
        <v>1.6242192307947768E-4</v>
      </c>
      <c r="E486" s="3">
        <f t="shared" si="38"/>
        <v>8.4404120083880936E-3</v>
      </c>
      <c r="F486" s="18">
        <f t="shared" si="36"/>
        <v>4.7745390018713145</v>
      </c>
      <c r="G486" s="3">
        <f t="shared" si="39"/>
        <v>8.627559764143769E-3</v>
      </c>
      <c r="H486" s="4">
        <f t="shared" si="35"/>
        <v>4.7526163678381144</v>
      </c>
    </row>
    <row r="487" spans="2:8" x14ac:dyDescent="0.15">
      <c r="B487" s="16">
        <v>41246</v>
      </c>
      <c r="C487" s="11">
        <v>1409.46</v>
      </c>
      <c r="D487" s="12">
        <f t="shared" si="37"/>
        <v>-4.7564535251138646E-3</v>
      </c>
      <c r="E487" s="3">
        <f t="shared" si="38"/>
        <v>7.9206126971751722E-3</v>
      </c>
      <c r="F487" s="18">
        <f t="shared" si="36"/>
        <v>4.6579770678887815</v>
      </c>
      <c r="G487" s="3">
        <f t="shared" si="39"/>
        <v>8.2854870034481179E-3</v>
      </c>
      <c r="H487" s="4">
        <f t="shared" si="35"/>
        <v>4.6284713888182649</v>
      </c>
    </row>
    <row r="488" spans="2:8" x14ac:dyDescent="0.15">
      <c r="B488" s="16">
        <v>41247</v>
      </c>
      <c r="C488" s="11">
        <v>1407.05</v>
      </c>
      <c r="D488" s="12">
        <f t="shared" si="37"/>
        <v>-1.7113382080492271E-3</v>
      </c>
      <c r="E488" s="3">
        <f t="shared" si="38"/>
        <v>7.6701600685092986E-3</v>
      </c>
      <c r="F488" s="18">
        <f t="shared" si="36"/>
        <v>4.8455273389667743</v>
      </c>
      <c r="G488" s="3">
        <f t="shared" si="39"/>
        <v>8.0666392462943673E-3</v>
      </c>
      <c r="H488" s="4">
        <f t="shared" si="35"/>
        <v>4.7975145042650817</v>
      </c>
    </row>
    <row r="489" spans="2:8" x14ac:dyDescent="0.15">
      <c r="B489" s="16">
        <v>41248</v>
      </c>
      <c r="C489" s="11">
        <v>1409.28</v>
      </c>
      <c r="D489" s="12">
        <f t="shared" si="37"/>
        <v>1.5836215685260085E-3</v>
      </c>
      <c r="E489" s="3">
        <f t="shared" si="38"/>
        <v>7.2772051153699828E-3</v>
      </c>
      <c r="F489" s="18">
        <f t="shared" si="36"/>
        <v>4.8993304810622718</v>
      </c>
      <c r="G489" s="3">
        <f t="shared" si="39"/>
        <v>7.7613741951953388E-3</v>
      </c>
      <c r="H489" s="4">
        <f t="shared" si="35"/>
        <v>4.8377799551001512</v>
      </c>
    </row>
    <row r="490" spans="2:8" x14ac:dyDescent="0.15">
      <c r="B490" s="16">
        <v>41249</v>
      </c>
      <c r="C490" s="11">
        <v>1413.94</v>
      </c>
      <c r="D490" s="12">
        <f t="shared" si="37"/>
        <v>3.3011980873050694E-3</v>
      </c>
      <c r="E490" s="3">
        <f t="shared" si="38"/>
        <v>6.9343908685850523E-3</v>
      </c>
      <c r="F490" s="18">
        <f t="shared" si="36"/>
        <v>4.8579446798573374</v>
      </c>
      <c r="G490" s="3">
        <f t="shared" si="39"/>
        <v>7.4666025150957084E-3</v>
      </c>
      <c r="H490" s="4">
        <f t="shared" si="35"/>
        <v>4.7995763765149944</v>
      </c>
    </row>
    <row r="491" spans="2:8" x14ac:dyDescent="0.15">
      <c r="B491" s="16">
        <v>41250</v>
      </c>
      <c r="C491" s="11">
        <v>1418.07</v>
      </c>
      <c r="D491" s="12">
        <f t="shared" si="37"/>
        <v>2.916658435379544E-3</v>
      </c>
      <c r="E491" s="3">
        <f t="shared" si="38"/>
        <v>6.7253751932328815E-3</v>
      </c>
      <c r="F491" s="18">
        <f t="shared" si="36"/>
        <v>4.9078285399571797</v>
      </c>
      <c r="G491" s="3">
        <f t="shared" si="39"/>
        <v>7.2292978266475022E-3</v>
      </c>
      <c r="H491" s="4">
        <f t="shared" si="35"/>
        <v>4.8482275146250799</v>
      </c>
    </row>
    <row r="492" spans="2:8" x14ac:dyDescent="0.15">
      <c r="B492" s="16">
        <v>41253</v>
      </c>
      <c r="C492" s="11">
        <v>1418.55</v>
      </c>
      <c r="D492" s="12">
        <f t="shared" si="37"/>
        <v>3.3843095274054159E-4</v>
      </c>
      <c r="E492" s="3">
        <f t="shared" si="38"/>
        <v>6.5242443075108634E-3</v>
      </c>
      <c r="F492" s="18">
        <f t="shared" si="36"/>
        <v>5.0308847526769132</v>
      </c>
      <c r="G492" s="3">
        <f t="shared" si="39"/>
        <v>6.9900349887175922E-3</v>
      </c>
      <c r="H492" s="4">
        <f t="shared" si="35"/>
        <v>4.9620976528552134</v>
      </c>
    </row>
    <row r="493" spans="2:8" x14ac:dyDescent="0.15">
      <c r="B493" s="16">
        <v>41254</v>
      </c>
      <c r="C493" s="11">
        <v>1427.84</v>
      </c>
      <c r="D493" s="12">
        <f t="shared" si="37"/>
        <v>6.52758967448202E-3</v>
      </c>
      <c r="E493" s="3">
        <f t="shared" si="38"/>
        <v>6.2643706837460008E-3</v>
      </c>
      <c r="F493" s="18">
        <f t="shared" si="36"/>
        <v>4.5299759460170597</v>
      </c>
      <c r="G493" s="3">
        <f t="shared" si="39"/>
        <v>6.7134511922007315E-3</v>
      </c>
      <c r="H493" s="4">
        <f t="shared" si="35"/>
        <v>4.5309438401389954</v>
      </c>
    </row>
    <row r="494" spans="2:8" x14ac:dyDescent="0.15">
      <c r="B494" s="16">
        <v>41255</v>
      </c>
      <c r="C494" s="11">
        <v>1428.48</v>
      </c>
      <c r="D494" s="12">
        <f t="shared" si="37"/>
        <v>4.4812906866902318E-4</v>
      </c>
      <c r="E494" s="3">
        <f t="shared" si="38"/>
        <v>6.5026829750864336E-3</v>
      </c>
      <c r="F494" s="18">
        <f t="shared" si="36"/>
        <v>5.0331658185100503</v>
      </c>
      <c r="G494" s="3">
        <f t="shared" si="39"/>
        <v>6.6991847458879759E-3</v>
      </c>
      <c r="H494" s="4">
        <f t="shared" si="35"/>
        <v>5.0035320979553095</v>
      </c>
    </row>
    <row r="495" spans="2:8" x14ac:dyDescent="0.15">
      <c r="B495" s="16">
        <v>41256</v>
      </c>
      <c r="C495" s="11">
        <v>1419.45</v>
      </c>
      <c r="D495" s="12">
        <f t="shared" si="37"/>
        <v>-6.3414692504306803E-3</v>
      </c>
      <c r="E495" s="3">
        <f t="shared" si="38"/>
        <v>6.246903554744089E-3</v>
      </c>
      <c r="F495" s="18">
        <f t="shared" si="36"/>
        <v>4.5604167783970322</v>
      </c>
      <c r="G495" s="3">
        <f t="shared" si="39"/>
        <v>6.4346871183222042E-3</v>
      </c>
      <c r="H495" s="4">
        <f t="shared" si="35"/>
        <v>4.5604339031752508</v>
      </c>
    </row>
    <row r="496" spans="2:8" x14ac:dyDescent="0.15">
      <c r="B496" s="16">
        <v>41257</v>
      </c>
      <c r="C496" s="11">
        <v>1413.58</v>
      </c>
      <c r="D496" s="12">
        <f t="shared" si="37"/>
        <v>-4.1439789908631845E-3</v>
      </c>
      <c r="E496" s="3">
        <f t="shared" si="38"/>
        <v>6.4637990786699387E-3</v>
      </c>
      <c r="F496" s="18">
        <f t="shared" si="36"/>
        <v>4.8360297267546297</v>
      </c>
      <c r="G496" s="3">
        <f t="shared" si="39"/>
        <v>6.4274876020604024E-3</v>
      </c>
      <c r="H496" s="4">
        <f t="shared" si="35"/>
        <v>4.8393346749961843</v>
      </c>
    </row>
    <row r="497" spans="2:8" x14ac:dyDescent="0.15">
      <c r="B497" s="16">
        <v>41260</v>
      </c>
      <c r="C497" s="11">
        <v>1430.36</v>
      </c>
      <c r="D497" s="12">
        <f t="shared" si="37"/>
        <v>1.1800667190939215E-2</v>
      </c>
      <c r="E497" s="3">
        <f t="shared" si="38"/>
        <v>6.3963814389352254E-3</v>
      </c>
      <c r="F497" s="18">
        <f t="shared" si="36"/>
        <v>3.3501997255511293</v>
      </c>
      <c r="G497" s="3">
        <f t="shared" si="39"/>
        <v>6.2797795837252358E-3</v>
      </c>
      <c r="H497" s="4">
        <f t="shared" si="35"/>
        <v>3.3048122349097673</v>
      </c>
    </row>
    <row r="498" spans="2:8" x14ac:dyDescent="0.15">
      <c r="B498" s="16">
        <v>41261</v>
      </c>
      <c r="C498" s="11">
        <v>1446.79</v>
      </c>
      <c r="D498" s="12">
        <f t="shared" si="37"/>
        <v>1.1421148426265303E-2</v>
      </c>
      <c r="E498" s="3">
        <f t="shared" si="38"/>
        <v>7.5346252563615965E-3</v>
      </c>
      <c r="F498" s="18">
        <f t="shared" si="36"/>
        <v>3.7393884765575445</v>
      </c>
      <c r="G498" s="3">
        <f t="shared" si="39"/>
        <v>6.8700048128751265E-3</v>
      </c>
      <c r="H498" s="4">
        <f t="shared" si="35"/>
        <v>3.5986941123793441</v>
      </c>
    </row>
    <row r="499" spans="2:8" x14ac:dyDescent="0.15">
      <c r="B499" s="16">
        <v>41262</v>
      </c>
      <c r="C499" s="11">
        <v>1435.81</v>
      </c>
      <c r="D499" s="12">
        <f t="shared" si="37"/>
        <v>-7.6181593722409987E-3</v>
      </c>
      <c r="E499" s="3">
        <f t="shared" si="38"/>
        <v>8.2808823996792374E-3</v>
      </c>
      <c r="F499" s="18">
        <f t="shared" si="36"/>
        <v>4.3706337911850177</v>
      </c>
      <c r="G499" s="3">
        <f t="shared" si="39"/>
        <v>7.3259527688656848E-3</v>
      </c>
      <c r="H499" s="4">
        <f t="shared" si="35"/>
        <v>4.3756500969279006</v>
      </c>
    </row>
    <row r="500" spans="2:8" x14ac:dyDescent="0.15">
      <c r="B500" s="16">
        <v>41263</v>
      </c>
      <c r="C500" s="11">
        <v>1443.69</v>
      </c>
      <c r="D500" s="12">
        <f t="shared" si="37"/>
        <v>5.4731860885176876E-3</v>
      </c>
      <c r="E500" s="3">
        <f t="shared" si="38"/>
        <v>8.271747846457924E-3</v>
      </c>
      <c r="F500" s="18">
        <f t="shared" si="36"/>
        <v>4.5760043548880516</v>
      </c>
      <c r="G500" s="3">
        <f t="shared" si="39"/>
        <v>7.3490893468706976E-3</v>
      </c>
      <c r="H500" s="4">
        <f t="shared" si="35"/>
        <v>4.6358574753506829</v>
      </c>
    </row>
    <row r="501" spans="2:8" x14ac:dyDescent="0.15">
      <c r="B501" s="16">
        <v>41264</v>
      </c>
      <c r="C501" s="11">
        <v>1430.15</v>
      </c>
      <c r="D501" s="12">
        <f t="shared" si="37"/>
        <v>-9.4230021072279815E-3</v>
      </c>
      <c r="E501" s="3">
        <f t="shared" si="38"/>
        <v>8.0303875156994865E-3</v>
      </c>
      <c r="F501" s="18">
        <f t="shared" si="36"/>
        <v>4.1360674682266634</v>
      </c>
      <c r="G501" s="3">
        <f t="shared" si="39"/>
        <v>7.2207263585761334E-3</v>
      </c>
      <c r="H501" s="4">
        <f t="shared" si="35"/>
        <v>4.0792955031804299</v>
      </c>
    </row>
    <row r="502" spans="2:8" x14ac:dyDescent="0.15">
      <c r="B502" s="16">
        <v>41267</v>
      </c>
      <c r="C502" s="11">
        <v>1426.66</v>
      </c>
      <c r="D502" s="12">
        <f t="shared" si="37"/>
        <v>-2.4432858581227004E-3</v>
      </c>
      <c r="E502" s="3">
        <f t="shared" si="38"/>
        <v>8.3214402092168013E-3</v>
      </c>
      <c r="F502" s="18">
        <f t="shared" si="36"/>
        <v>4.7458155401818702</v>
      </c>
      <c r="G502" s="3">
        <f t="shared" si="39"/>
        <v>7.4154474954653349E-3</v>
      </c>
      <c r="H502" s="4">
        <f t="shared" si="35"/>
        <v>4.8499094553214555</v>
      </c>
    </row>
    <row r="503" spans="2:8" x14ac:dyDescent="0.15">
      <c r="B503" s="16">
        <v>41269</v>
      </c>
      <c r="C503" s="11">
        <v>1419.83</v>
      </c>
      <c r="D503" s="12">
        <f t="shared" si="37"/>
        <v>-4.7989018809801616E-3</v>
      </c>
      <c r="E503" s="3">
        <f t="shared" si="38"/>
        <v>7.8681602238380322E-3</v>
      </c>
      <c r="F503" s="18">
        <f t="shared" si="36"/>
        <v>4.6589334084837537</v>
      </c>
      <c r="G503" s="3">
        <f t="shared" si="39"/>
        <v>7.153842330583882E-3</v>
      </c>
      <c r="H503" s="4">
        <f t="shared" si="35"/>
        <v>4.715109563982895</v>
      </c>
    </row>
    <row r="504" spans="2:8" x14ac:dyDescent="0.15">
      <c r="B504" s="16">
        <v>41270</v>
      </c>
      <c r="C504" s="11">
        <v>1418.1</v>
      </c>
      <c r="D504" s="12">
        <f t="shared" si="37"/>
        <v>-1.2191986513380225E-3</v>
      </c>
      <c r="E504" s="3">
        <f t="shared" si="38"/>
        <v>7.6293858067726138E-3</v>
      </c>
      <c r="F504" s="18">
        <f t="shared" si="36"/>
        <v>4.8629794365265449</v>
      </c>
      <c r="G504" s="3">
        <f t="shared" si="39"/>
        <v>6.9992044276672473E-3</v>
      </c>
      <c r="H504" s="4">
        <f t="shared" si="35"/>
        <v>4.9467875315400294</v>
      </c>
    </row>
    <row r="505" spans="2:8" x14ac:dyDescent="0.15">
      <c r="B505" s="16">
        <v>41271</v>
      </c>
      <c r="C505" s="11">
        <v>1402.43</v>
      </c>
      <c r="D505" s="12">
        <f t="shared" si="37"/>
        <v>-1.11115011894783E-2</v>
      </c>
      <c r="E505" s="3">
        <f t="shared" si="38"/>
        <v>7.2284589769593963E-3</v>
      </c>
      <c r="F505" s="18">
        <f t="shared" si="36"/>
        <v>3.7482557663993941</v>
      </c>
      <c r="G505" s="3">
        <f t="shared" si="39"/>
        <v>6.7301855181371812E-3</v>
      </c>
      <c r="H505" s="4">
        <f t="shared" si="35"/>
        <v>3.6382606805596689</v>
      </c>
    </row>
    <row r="506" spans="2:8" x14ac:dyDescent="0.15">
      <c r="B506" s="16">
        <v>41274</v>
      </c>
      <c r="C506" s="11">
        <v>1426.19</v>
      </c>
      <c r="D506" s="12">
        <f t="shared" si="37"/>
        <v>1.6800106652478265E-2</v>
      </c>
      <c r="E506" s="3">
        <f t="shared" si="38"/>
        <v>7.9950604191845829E-3</v>
      </c>
      <c r="F506" s="18">
        <f t="shared" si="36"/>
        <v>2.6211778767193734</v>
      </c>
      <c r="G506" s="3">
        <f t="shared" si="39"/>
        <v>7.1675219193222551E-3</v>
      </c>
      <c r="H506" s="4">
        <f t="shared" si="35"/>
        <v>2.1912119818500302</v>
      </c>
    </row>
    <row r="507" spans="2:8" x14ac:dyDescent="0.15">
      <c r="B507" s="16">
        <v>41276</v>
      </c>
      <c r="C507" s="11">
        <v>1462.42</v>
      </c>
      <c r="D507" s="12">
        <f t="shared" si="37"/>
        <v>2.5086044824864026E-2</v>
      </c>
      <c r="E507" s="3">
        <f t="shared" si="38"/>
        <v>9.7485883015426215E-3</v>
      </c>
      <c r="F507" s="18">
        <f t="shared" si="36"/>
        <v>1.3196956763211491</v>
      </c>
      <c r="G507" s="3">
        <f t="shared" si="39"/>
        <v>8.3261198071567562E-3</v>
      </c>
      <c r="H507" s="4">
        <f t="shared" si="35"/>
        <v>0.24947377211904431</v>
      </c>
    </row>
    <row r="508" spans="2:8" x14ac:dyDescent="0.15">
      <c r="B508" s="16">
        <v>41277</v>
      </c>
      <c r="C508" s="11">
        <v>1459.37</v>
      </c>
      <c r="D508" s="12">
        <f t="shared" si="37"/>
        <v>-2.0877620279685176E-3</v>
      </c>
      <c r="E508" s="3">
        <f t="shared" si="38"/>
        <v>1.2947572580596029E-2</v>
      </c>
      <c r="F508" s="18">
        <f t="shared" si="36"/>
        <v>4.3338465967363344</v>
      </c>
      <c r="G508" s="3">
        <f t="shared" si="39"/>
        <v>1.0623790869338021E-2</v>
      </c>
      <c r="H508" s="4">
        <f t="shared" si="35"/>
        <v>4.5253497849723949</v>
      </c>
    </row>
    <row r="509" spans="2:8" x14ac:dyDescent="0.15">
      <c r="B509" s="16">
        <v>41278</v>
      </c>
      <c r="C509" s="11">
        <v>1466.47</v>
      </c>
      <c r="D509" s="12">
        <f t="shared" si="37"/>
        <v>4.8533166109664457E-3</v>
      </c>
      <c r="E509" s="3">
        <f t="shared" si="38"/>
        <v>1.193087325910017E-2</v>
      </c>
      <c r="F509" s="18">
        <f t="shared" si="36"/>
        <v>4.345888272003255</v>
      </c>
      <c r="G509" s="3">
        <f t="shared" si="39"/>
        <v>1.0219013077163898E-2</v>
      </c>
      <c r="H509" s="4">
        <f t="shared" si="35"/>
        <v>4.4707259802742376</v>
      </c>
    </row>
    <row r="510" spans="2:8" x14ac:dyDescent="0.15">
      <c r="B510" s="16">
        <v>41281</v>
      </c>
      <c r="C510" s="11">
        <v>1461.89</v>
      </c>
      <c r="D510" s="12">
        <f t="shared" si="37"/>
        <v>-3.1280332571486792E-3</v>
      </c>
      <c r="E510" s="3">
        <f t="shared" si="38"/>
        <v>1.114524445746894E-2</v>
      </c>
      <c r="F510" s="18">
        <f t="shared" si="36"/>
        <v>4.4573571349901275</v>
      </c>
      <c r="G510" s="3">
        <f t="shared" si="39"/>
        <v>9.9065660199400343E-3</v>
      </c>
      <c r="H510" s="4">
        <f t="shared" si="35"/>
        <v>4.564707359383986</v>
      </c>
    </row>
    <row r="511" spans="2:8" x14ac:dyDescent="0.15">
      <c r="B511" s="16">
        <v>41282</v>
      </c>
      <c r="C511" s="11">
        <v>1457.15</v>
      </c>
      <c r="D511" s="12">
        <f t="shared" si="37"/>
        <v>-3.2476459151946561E-3</v>
      </c>
      <c r="E511" s="3">
        <f t="shared" si="38"/>
        <v>1.0367573491615628E-2</v>
      </c>
      <c r="F511" s="18">
        <f t="shared" si="36"/>
        <v>4.5200093896424196</v>
      </c>
      <c r="G511" s="3">
        <f t="shared" si="39"/>
        <v>9.5535401630466189E-3</v>
      </c>
      <c r="H511" s="4">
        <f t="shared" si="35"/>
        <v>4.5930633431380752</v>
      </c>
    </row>
    <row r="512" spans="2:8" x14ac:dyDescent="0.15">
      <c r="B512" s="16">
        <v>41283</v>
      </c>
      <c r="C512" s="11">
        <v>1461.02</v>
      </c>
      <c r="D512" s="12">
        <f t="shared" si="37"/>
        <v>2.6523487451191913E-3</v>
      </c>
      <c r="E512" s="3">
        <f t="shared" si="38"/>
        <v>9.688962448102854E-3</v>
      </c>
      <c r="F512" s="18">
        <f t="shared" si="36"/>
        <v>4.5992985355620011</v>
      </c>
      <c r="G512" s="3">
        <f t="shared" si="39"/>
        <v>9.2192007739215071E-3</v>
      </c>
      <c r="H512" s="4">
        <f t="shared" si="35"/>
        <v>4.6450817621344083</v>
      </c>
    </row>
    <row r="513" spans="2:8" x14ac:dyDescent="0.15">
      <c r="B513" s="16">
        <v>41284</v>
      </c>
      <c r="C513" s="11">
        <v>1472.12</v>
      </c>
      <c r="D513" s="12">
        <f t="shared" si="37"/>
        <v>7.5687167942973159E-3</v>
      </c>
      <c r="E513" s="3">
        <f t="shared" si="38"/>
        <v>9.0687530070273619E-3</v>
      </c>
      <c r="F513" s="18">
        <f t="shared" si="36"/>
        <v>4.3546478624920315</v>
      </c>
      <c r="G513" s="3">
        <f t="shared" si="39"/>
        <v>8.8843752111542242E-3</v>
      </c>
      <c r="H513" s="4">
        <f t="shared" si="35"/>
        <v>4.3605830625181907</v>
      </c>
    </row>
    <row r="514" spans="2:8" x14ac:dyDescent="0.15">
      <c r="B514" s="16">
        <v>41285</v>
      </c>
      <c r="C514" s="11">
        <v>1472.05</v>
      </c>
      <c r="D514" s="12">
        <f t="shared" si="37"/>
        <v>-4.7551601988409018E-5</v>
      </c>
      <c r="E514" s="3">
        <f t="shared" si="38"/>
        <v>8.9176840787232332E-3</v>
      </c>
      <c r="F514" s="18">
        <f t="shared" si="36"/>
        <v>4.7197047819175957</v>
      </c>
      <c r="G514" s="3">
        <f t="shared" si="39"/>
        <v>8.7891425298077096E-3</v>
      </c>
      <c r="H514" s="4">
        <f t="shared" si="35"/>
        <v>4.7342234872000759</v>
      </c>
    </row>
    <row r="515" spans="2:8" x14ac:dyDescent="0.15">
      <c r="B515" s="16">
        <v>41288</v>
      </c>
      <c r="C515" s="11">
        <v>1470.68</v>
      </c>
      <c r="D515" s="12">
        <f t="shared" si="37"/>
        <v>-9.3110825592432821E-4</v>
      </c>
      <c r="E515" s="3">
        <f t="shared" si="38"/>
        <v>8.338102588663323E-3</v>
      </c>
      <c r="F515" s="18">
        <f t="shared" si="36"/>
        <v>4.7806846039896849</v>
      </c>
      <c r="G515" s="3">
        <f t="shared" si="39"/>
        <v>8.440547512351031E-3</v>
      </c>
      <c r="H515" s="4">
        <f t="shared" si="35"/>
        <v>4.7686235421393128</v>
      </c>
    </row>
    <row r="516" spans="2:8" x14ac:dyDescent="0.15">
      <c r="B516" s="16">
        <v>41289</v>
      </c>
      <c r="C516" s="11">
        <v>1472.34</v>
      </c>
      <c r="D516" s="12">
        <f t="shared" si="37"/>
        <v>1.128093030996665E-3</v>
      </c>
      <c r="E516" s="3">
        <f t="shared" si="38"/>
        <v>7.8385599171418539E-3</v>
      </c>
      <c r="F516" s="18">
        <f t="shared" si="36"/>
        <v>4.8383442592634145</v>
      </c>
      <c r="G516" s="3">
        <f t="shared" si="39"/>
        <v>8.1099255005982595E-3</v>
      </c>
      <c r="H516" s="4">
        <f t="shared" si="35"/>
        <v>4.8049921509539653</v>
      </c>
    </row>
    <row r="517" spans="2:8" x14ac:dyDescent="0.15">
      <c r="B517" s="16">
        <v>41290</v>
      </c>
      <c r="C517" s="11">
        <v>1472.63</v>
      </c>
      <c r="D517" s="12">
        <f t="shared" si="37"/>
        <v>1.969459797129973E-4</v>
      </c>
      <c r="E517" s="3">
        <f t="shared" si="38"/>
        <v>7.4076882569927751E-3</v>
      </c>
      <c r="F517" s="18">
        <f t="shared" si="36"/>
        <v>4.9048834381750508</v>
      </c>
      <c r="G517" s="3">
        <f t="shared" si="39"/>
        <v>7.7946097926279304E-3</v>
      </c>
      <c r="H517" s="4">
        <f t="shared" ref="H517:H580" si="40" xml:space="preserve"> - LN(G517) - 0.5 * ($D517/G517)^2</f>
        <v>4.8540036271365832</v>
      </c>
    </row>
    <row r="518" spans="2:8" x14ac:dyDescent="0.15">
      <c r="B518" s="16">
        <v>41291</v>
      </c>
      <c r="C518" s="11">
        <v>1480.94</v>
      </c>
      <c r="D518" s="12">
        <f t="shared" si="37"/>
        <v>5.6271034223067872E-3</v>
      </c>
      <c r="E518" s="3">
        <f t="shared" si="38"/>
        <v>7.0229214165414104E-3</v>
      </c>
      <c r="F518" s="18">
        <f t="shared" ref="F518:F581" si="41" xml:space="preserve"> - LN(E518) - 0.5 * (D518/E518)^2</f>
        <v>4.6375766205280842</v>
      </c>
      <c r="G518" s="3">
        <f t="shared" si="39"/>
        <v>7.4856521476505782E-3</v>
      </c>
      <c r="H518" s="4">
        <f t="shared" si="40"/>
        <v>4.6122267640828625</v>
      </c>
    </row>
    <row r="519" spans="2:8" x14ac:dyDescent="0.15">
      <c r="B519" s="16">
        <v>41292</v>
      </c>
      <c r="C519" s="11">
        <v>1485.98</v>
      </c>
      <c r="D519" s="12">
        <f t="shared" ref="D519:D582" si="42">LN(C519/C518)</f>
        <v>3.3974659565910057E-3</v>
      </c>
      <c r="E519" s="3">
        <f t="shared" si="38"/>
        <v>7.0044077793293734E-3</v>
      </c>
      <c r="F519" s="18">
        <f t="shared" si="41"/>
        <v>4.8435804201075703</v>
      </c>
      <c r="G519" s="3">
        <f t="shared" si="39"/>
        <v>7.3579948527756709E-3</v>
      </c>
      <c r="H519" s="4">
        <f t="shared" si="40"/>
        <v>4.8053668234075353</v>
      </c>
    </row>
    <row r="520" spans="2:8" x14ac:dyDescent="0.15">
      <c r="B520" s="16">
        <v>41296</v>
      </c>
      <c r="C520" s="11">
        <v>1492.56</v>
      </c>
      <c r="D520" s="12">
        <f t="shared" si="42"/>
        <v>4.41827922681335E-3</v>
      </c>
      <c r="E520" s="3">
        <f t="shared" ref="E520:E583" si="43">SQRT($L$18 + $L$19*E519^2 + $L$20*D519^2)</f>
        <v>6.7910386740591055E-3</v>
      </c>
      <c r="F520" s="18">
        <f t="shared" si="41"/>
        <v>4.7805083750859643</v>
      </c>
      <c r="G520" s="3">
        <f t="shared" ref="G520:G583" si="44">SQRT($V$18*G519^2 + (1-$V$18)*D519^2)</f>
        <v>7.1293765735507622E-3</v>
      </c>
      <c r="H520" s="4">
        <f t="shared" si="40"/>
        <v>4.7514996589193341</v>
      </c>
    </row>
    <row r="521" spans="2:8" x14ac:dyDescent="0.15">
      <c r="B521" s="16">
        <v>41297</v>
      </c>
      <c r="C521" s="11">
        <v>1494.81</v>
      </c>
      <c r="D521" s="12">
        <f t="shared" si="42"/>
        <v>1.5063419833833689E-3</v>
      </c>
      <c r="E521" s="3">
        <f t="shared" si="43"/>
        <v>6.6923858751900735E-3</v>
      </c>
      <c r="F521" s="18">
        <f t="shared" si="41"/>
        <v>4.9814536672236711</v>
      </c>
      <c r="G521" s="3">
        <f t="shared" si="44"/>
        <v>6.9565655749339404E-3</v>
      </c>
      <c r="H521" s="4">
        <f t="shared" si="40"/>
        <v>4.9446256111723557</v>
      </c>
    </row>
    <row r="522" spans="2:8" x14ac:dyDescent="0.15">
      <c r="B522" s="16">
        <v>41298</v>
      </c>
      <c r="C522" s="11">
        <v>1494.82</v>
      </c>
      <c r="D522" s="12">
        <f t="shared" si="42"/>
        <v>6.689791044299383E-6</v>
      </c>
      <c r="E522" s="3">
        <f t="shared" si="43"/>
        <v>6.430893726194039E-3</v>
      </c>
      <c r="F522" s="18">
        <f t="shared" si="41"/>
        <v>5.0466412161352725</v>
      </c>
      <c r="G522" s="3">
        <f t="shared" si="44"/>
        <v>6.6938373181153745E-3</v>
      </c>
      <c r="H522" s="4">
        <f t="shared" si="40"/>
        <v>5.006567479734473</v>
      </c>
    </row>
    <row r="523" spans="2:8" x14ac:dyDescent="0.15">
      <c r="B523" s="16">
        <v>41299</v>
      </c>
      <c r="C523" s="11">
        <v>1502.96</v>
      </c>
      <c r="D523" s="12">
        <f t="shared" si="42"/>
        <v>5.4306987208722545E-3</v>
      </c>
      <c r="E523" s="3">
        <f t="shared" si="43"/>
        <v>6.1834812382913652E-3</v>
      </c>
      <c r="F523" s="18">
        <f t="shared" si="41"/>
        <v>4.7002043279551629</v>
      </c>
      <c r="G523" s="3">
        <f t="shared" si="44"/>
        <v>6.4283386457952771E-3</v>
      </c>
      <c r="H523" s="4">
        <f t="shared" si="40"/>
        <v>4.6901906050637825</v>
      </c>
    </row>
    <row r="524" spans="2:8" x14ac:dyDescent="0.15">
      <c r="B524" s="16">
        <v>41302</v>
      </c>
      <c r="C524" s="11">
        <v>1500.18</v>
      </c>
      <c r="D524" s="12">
        <f t="shared" si="42"/>
        <v>-1.8513960681661246E-3</v>
      </c>
      <c r="E524" s="3">
        <f t="shared" si="43"/>
        <v>6.2991609687711864E-3</v>
      </c>
      <c r="F524" s="18">
        <f t="shared" si="41"/>
        <v>5.0241468388752084</v>
      </c>
      <c r="G524" s="3">
        <f t="shared" si="44"/>
        <v>6.35638542527041E-3</v>
      </c>
      <c r="H524" s="4">
        <f t="shared" si="40"/>
        <v>5.0158775835588623</v>
      </c>
    </row>
    <row r="525" spans="2:8" x14ac:dyDescent="0.15">
      <c r="B525" s="16">
        <v>41303</v>
      </c>
      <c r="C525" s="11">
        <v>1507.84</v>
      </c>
      <c r="D525" s="12">
        <f t="shared" si="42"/>
        <v>5.0930622521802886E-3</v>
      </c>
      <c r="E525" s="3">
        <f t="shared" si="43"/>
        <v>6.1094948296558857E-3</v>
      </c>
      <c r="F525" s="18">
        <f t="shared" si="41"/>
        <v>4.750441143692048</v>
      </c>
      <c r="G525" s="3">
        <f t="shared" si="44"/>
        <v>6.1260619798762508E-3</v>
      </c>
      <c r="H525" s="4">
        <f t="shared" si="40"/>
        <v>4.7496099435386734</v>
      </c>
    </row>
    <row r="526" spans="2:8" x14ac:dyDescent="0.15">
      <c r="B526" s="16">
        <v>41304</v>
      </c>
      <c r="C526" s="11">
        <v>1501.96</v>
      </c>
      <c r="D526" s="12">
        <f t="shared" si="42"/>
        <v>-3.9072413320486547E-3</v>
      </c>
      <c r="E526" s="3">
        <f t="shared" si="43"/>
        <v>6.2009412840214485E-3</v>
      </c>
      <c r="F526" s="18">
        <f t="shared" si="41"/>
        <v>4.8845383049916435</v>
      </c>
      <c r="G526" s="3">
        <f t="shared" si="44"/>
        <v>6.052067912613918E-3</v>
      </c>
      <c r="H526" s="4">
        <f t="shared" si="40"/>
        <v>4.898952777375901</v>
      </c>
    </row>
    <row r="527" spans="2:8" x14ac:dyDescent="0.15">
      <c r="B527" s="16">
        <v>41305</v>
      </c>
      <c r="C527" s="11">
        <v>1498.11</v>
      </c>
      <c r="D527" s="12">
        <f t="shared" si="42"/>
        <v>-2.5666081881304615E-3</v>
      </c>
      <c r="E527" s="3">
        <f t="shared" si="43"/>
        <v>6.1584181997739202E-3</v>
      </c>
      <c r="F527" s="18">
        <f t="shared" si="41"/>
        <v>5.0030891240860633</v>
      </c>
      <c r="G527" s="3">
        <f t="shared" si="44"/>
        <v>5.9132597056203041E-3</v>
      </c>
      <c r="H527" s="4">
        <f t="shared" si="40"/>
        <v>5.0363614373582299</v>
      </c>
    </row>
    <row r="528" spans="2:8" x14ac:dyDescent="0.15">
      <c r="B528" s="16">
        <v>41306</v>
      </c>
      <c r="C528" s="11">
        <v>1513.17</v>
      </c>
      <c r="D528" s="12">
        <f t="shared" si="42"/>
        <v>1.0002474404177631E-2</v>
      </c>
      <c r="E528" s="3">
        <f t="shared" si="43"/>
        <v>6.0263989127091744E-3</v>
      </c>
      <c r="F528" s="18">
        <f t="shared" si="41"/>
        <v>3.7341768722296784</v>
      </c>
      <c r="G528" s="3">
        <f t="shared" si="44"/>
        <v>5.7236412617537018E-3</v>
      </c>
      <c r="H528" s="4">
        <f t="shared" si="40"/>
        <v>3.636146389457533</v>
      </c>
    </row>
    <row r="529" spans="2:8" x14ac:dyDescent="0.15">
      <c r="B529" s="16">
        <v>41309</v>
      </c>
      <c r="C529" s="11">
        <v>1495.71</v>
      </c>
      <c r="D529" s="12">
        <f t="shared" si="42"/>
        <v>-1.1605777551404992E-2</v>
      </c>
      <c r="E529" s="3">
        <f t="shared" si="43"/>
        <v>6.9052387920633491E-3</v>
      </c>
      <c r="F529" s="18">
        <f t="shared" si="41"/>
        <v>3.563063929259136</v>
      </c>
      <c r="G529" s="3">
        <f t="shared" si="44"/>
        <v>6.1637681820104909E-3</v>
      </c>
      <c r="H529" s="4">
        <f t="shared" si="40"/>
        <v>3.3164051321115009</v>
      </c>
    </row>
    <row r="530" spans="2:8" x14ac:dyDescent="0.15">
      <c r="B530" s="16">
        <v>41310</v>
      </c>
      <c r="C530" s="11">
        <v>1511.29</v>
      </c>
      <c r="D530" s="12">
        <f t="shared" si="42"/>
        <v>1.036258025857612E-2</v>
      </c>
      <c r="E530" s="3">
        <f t="shared" si="43"/>
        <v>7.8549350826229956E-3</v>
      </c>
      <c r="F530" s="18">
        <f t="shared" si="41"/>
        <v>3.976410187102684</v>
      </c>
      <c r="G530" s="3">
        <f t="shared" si="44"/>
        <v>6.7461790639721485E-3</v>
      </c>
      <c r="H530" s="4">
        <f t="shared" si="40"/>
        <v>3.8190287171875275</v>
      </c>
    </row>
    <row r="531" spans="2:8" x14ac:dyDescent="0.15">
      <c r="B531" s="16">
        <v>41311</v>
      </c>
      <c r="C531" s="11">
        <v>1512.12</v>
      </c>
      <c r="D531" s="12">
        <f t="shared" si="42"/>
        <v>5.4904893537455462E-4</v>
      </c>
      <c r="E531" s="3">
        <f t="shared" si="43"/>
        <v>8.3357353284308801E-3</v>
      </c>
      <c r="F531" s="18">
        <f t="shared" si="41"/>
        <v>4.7850343215141713</v>
      </c>
      <c r="G531" s="3">
        <f t="shared" si="44"/>
        <v>7.0937782166934108E-3</v>
      </c>
      <c r="H531" s="4">
        <f t="shared" si="40"/>
        <v>4.9455419102627332</v>
      </c>
    </row>
    <row r="532" spans="2:8" x14ac:dyDescent="0.15">
      <c r="B532" s="16">
        <v>41312</v>
      </c>
      <c r="C532" s="11">
        <v>1509.39</v>
      </c>
      <c r="D532" s="12">
        <f t="shared" si="42"/>
        <v>-1.807043989846203E-3</v>
      </c>
      <c r="E532" s="3">
        <f t="shared" si="43"/>
        <v>7.8315976622457279E-3</v>
      </c>
      <c r="F532" s="18">
        <f t="shared" si="41"/>
        <v>4.8229688277925993</v>
      </c>
      <c r="G532" s="3">
        <f t="shared" si="44"/>
        <v>6.814136444731703E-3</v>
      </c>
      <c r="H532" s="4">
        <f t="shared" si="40"/>
        <v>4.9535929452807759</v>
      </c>
    </row>
    <row r="533" spans="2:8" x14ac:dyDescent="0.15">
      <c r="B533" s="16">
        <v>41313</v>
      </c>
      <c r="C533" s="11">
        <v>1517.93</v>
      </c>
      <c r="D533" s="12">
        <f t="shared" si="42"/>
        <v>5.6419689055853262E-3</v>
      </c>
      <c r="E533" s="3">
        <f t="shared" si="43"/>
        <v>7.4198957004838403E-3</v>
      </c>
      <c r="F533" s="18">
        <f t="shared" si="41"/>
        <v>4.614498474029836</v>
      </c>
      <c r="G533" s="3">
        <f t="shared" si="44"/>
        <v>6.5632369223691915E-3</v>
      </c>
      <c r="H533" s="4">
        <f t="shared" si="40"/>
        <v>4.6567877212510167</v>
      </c>
    </row>
    <row r="534" spans="2:8" x14ac:dyDescent="0.15">
      <c r="B534" s="16">
        <v>41316</v>
      </c>
      <c r="C534" s="11">
        <v>1517.01</v>
      </c>
      <c r="D534" s="12">
        <f t="shared" si="42"/>
        <v>-6.0627230072434325E-4</v>
      </c>
      <c r="E534" s="3">
        <f t="shared" si="43"/>
        <v>7.3337816032236734E-3</v>
      </c>
      <c r="F534" s="18">
        <f t="shared" si="41"/>
        <v>4.9118469527782471</v>
      </c>
      <c r="G534" s="3">
        <f t="shared" si="44"/>
        <v>6.4962913359236383E-3</v>
      </c>
      <c r="H534" s="4">
        <f t="shared" si="40"/>
        <v>5.0321689658768465</v>
      </c>
    </row>
    <row r="535" spans="2:8" x14ac:dyDescent="0.15">
      <c r="B535" s="16">
        <v>41317</v>
      </c>
      <c r="C535" s="11">
        <v>1519.43</v>
      </c>
      <c r="D535" s="12">
        <f t="shared" si="42"/>
        <v>1.5939722256221329E-3</v>
      </c>
      <c r="E535" s="3">
        <f t="shared" si="43"/>
        <v>6.9622516208072372E-3</v>
      </c>
      <c r="F535" s="18">
        <f t="shared" si="41"/>
        <v>4.9410444572156891</v>
      </c>
      <c r="G535" s="3">
        <f t="shared" si="44"/>
        <v>6.2409177998582624E-3</v>
      </c>
      <c r="H535" s="4">
        <f t="shared" si="40"/>
        <v>5.0440117326828808</v>
      </c>
    </row>
    <row r="536" spans="2:8" x14ac:dyDescent="0.15">
      <c r="B536" s="16">
        <v>41318</v>
      </c>
      <c r="C536" s="11">
        <v>1520.33</v>
      </c>
      <c r="D536" s="12">
        <f t="shared" si="42"/>
        <v>5.92152029303837E-4</v>
      </c>
      <c r="E536" s="3">
        <f t="shared" si="43"/>
        <v>6.664376951390074E-3</v>
      </c>
      <c r="F536" s="18">
        <f t="shared" si="41"/>
        <v>5.0070313539926552</v>
      </c>
      <c r="G536" s="3">
        <f t="shared" si="44"/>
        <v>6.0098412738953831E-3</v>
      </c>
      <c r="H536" s="4">
        <f t="shared" si="40"/>
        <v>5.1095028218347975</v>
      </c>
    </row>
    <row r="537" spans="2:8" x14ac:dyDescent="0.15">
      <c r="B537" s="16">
        <v>41319</v>
      </c>
      <c r="C537" s="11">
        <v>1521.38</v>
      </c>
      <c r="D537" s="12">
        <f t="shared" si="42"/>
        <v>6.9040115047624235E-4</v>
      </c>
      <c r="E537" s="3">
        <f t="shared" si="43"/>
        <v>6.3866564119509908E-3</v>
      </c>
      <c r="F537" s="18">
        <f t="shared" si="41"/>
        <v>5.0477015349493675</v>
      </c>
      <c r="G537" s="3">
        <f t="shared" si="44"/>
        <v>5.7738332494897448E-3</v>
      </c>
      <c r="H537" s="4">
        <f t="shared" si="40"/>
        <v>5.147270090121097</v>
      </c>
    </row>
    <row r="538" spans="2:8" x14ac:dyDescent="0.15">
      <c r="B538" s="16">
        <v>41320</v>
      </c>
      <c r="C538" s="11">
        <v>1519.79</v>
      </c>
      <c r="D538" s="12">
        <f t="shared" si="42"/>
        <v>-1.0456502891147328E-3</v>
      </c>
      <c r="E538" s="3">
        <f t="shared" si="43"/>
        <v>6.1510420591200064E-3</v>
      </c>
      <c r="F538" s="18">
        <f t="shared" si="41"/>
        <v>5.0766845133718999</v>
      </c>
      <c r="G538" s="3">
        <f t="shared" si="44"/>
        <v>5.5481655740351231E-3</v>
      </c>
      <c r="H538" s="4">
        <f t="shared" si="40"/>
        <v>5.1765278864365412</v>
      </c>
    </row>
    <row r="539" spans="2:8" x14ac:dyDescent="0.15">
      <c r="B539" s="16">
        <v>41324</v>
      </c>
      <c r="C539" s="11">
        <v>1530.94</v>
      </c>
      <c r="D539" s="12">
        <f t="shared" si="42"/>
        <v>7.3097584169803118E-3</v>
      </c>
      <c r="E539" s="3">
        <f t="shared" si="43"/>
        <v>5.9579749669937069E-3</v>
      </c>
      <c r="F539" s="18">
        <f t="shared" si="41"/>
        <v>4.3703995155853068</v>
      </c>
      <c r="G539" s="3">
        <f t="shared" si="44"/>
        <v>5.3360795578649206E-3</v>
      </c>
      <c r="H539" s="4">
        <f t="shared" si="40"/>
        <v>4.2949862188302186</v>
      </c>
    </row>
    <row r="540" spans="2:8" x14ac:dyDescent="0.15">
      <c r="B540" s="16">
        <v>41325</v>
      </c>
      <c r="C540" s="11">
        <v>1511.95</v>
      </c>
      <c r="D540" s="12">
        <f t="shared" si="42"/>
        <v>-1.248171740825915E-2</v>
      </c>
      <c r="E540" s="3">
        <f t="shared" si="43"/>
        <v>6.3783902435091576E-3</v>
      </c>
      <c r="F540" s="18">
        <f t="shared" si="41"/>
        <v>3.1401581094393545</v>
      </c>
      <c r="G540" s="3">
        <f t="shared" si="44"/>
        <v>5.5149228194491156E-3</v>
      </c>
      <c r="H540" s="4">
        <f t="shared" si="40"/>
        <v>2.6391192950663473</v>
      </c>
    </row>
    <row r="541" spans="2:8" x14ac:dyDescent="0.15">
      <c r="B541" s="16">
        <v>41326</v>
      </c>
      <c r="C541" s="11">
        <v>1502.42</v>
      </c>
      <c r="D541" s="12">
        <f t="shared" si="42"/>
        <v>-6.3230670101523416E-3</v>
      </c>
      <c r="E541" s="3">
        <f t="shared" si="43"/>
        <v>7.6698396346545289E-3</v>
      </c>
      <c r="F541" s="18">
        <f t="shared" si="41"/>
        <v>4.5306363869979238</v>
      </c>
      <c r="G541" s="3">
        <f t="shared" si="44"/>
        <v>6.3374273600204801E-3</v>
      </c>
      <c r="H541" s="4">
        <f t="shared" si="40"/>
        <v>4.5635457636656955</v>
      </c>
    </row>
    <row r="542" spans="2:8" x14ac:dyDescent="0.15">
      <c r="B542" s="16">
        <v>41327</v>
      </c>
      <c r="C542" s="11">
        <v>1515.6</v>
      </c>
      <c r="D542" s="12">
        <f t="shared" si="42"/>
        <v>8.7342587449727293E-3</v>
      </c>
      <c r="E542" s="3">
        <f t="shared" si="43"/>
        <v>7.614590213121275E-3</v>
      </c>
      <c r="F542" s="18">
        <f t="shared" si="41"/>
        <v>4.2198358361342319</v>
      </c>
      <c r="G542" s="3">
        <f t="shared" si="44"/>
        <v>6.3363119635830118E-3</v>
      </c>
      <c r="H542" s="4">
        <f t="shared" si="40"/>
        <v>4.1114028188645664</v>
      </c>
    </row>
    <row r="543" spans="2:8" x14ac:dyDescent="0.15">
      <c r="B543" s="16">
        <v>41330</v>
      </c>
      <c r="C543" s="11">
        <v>1487.85</v>
      </c>
      <c r="D543" s="12">
        <f t="shared" si="42"/>
        <v>-1.8479275284333255E-2</v>
      </c>
      <c r="E543" s="3">
        <f t="shared" si="43"/>
        <v>7.8877602304013323E-3</v>
      </c>
      <c r="F543" s="18">
        <f t="shared" si="41"/>
        <v>2.0981374484561228</v>
      </c>
      <c r="G543" s="3">
        <f t="shared" si="44"/>
        <v>6.5542908107687654E-3</v>
      </c>
      <c r="H543" s="4">
        <f t="shared" si="40"/>
        <v>1.0530808185602796</v>
      </c>
    </row>
    <row r="544" spans="2:8" x14ac:dyDescent="0.15">
      <c r="B544" s="16">
        <v>41331</v>
      </c>
      <c r="C544" s="11">
        <v>1496.94</v>
      </c>
      <c r="D544" s="12">
        <f t="shared" si="42"/>
        <v>6.0908995959643225E-3</v>
      </c>
      <c r="E544" s="3">
        <f t="shared" si="43"/>
        <v>1.0083514741899618E-2</v>
      </c>
      <c r="F544" s="18">
        <f t="shared" si="41"/>
        <v>4.414418035649895</v>
      </c>
      <c r="G544" s="3">
        <f t="shared" si="44"/>
        <v>8.1344942561845067E-3</v>
      </c>
      <c r="H544" s="4">
        <f t="shared" si="40"/>
        <v>4.5313102924663582</v>
      </c>
    </row>
    <row r="545" spans="2:8" x14ac:dyDescent="0.15">
      <c r="B545" s="16">
        <v>41332</v>
      </c>
      <c r="C545" s="11">
        <v>1515.99</v>
      </c>
      <c r="D545" s="12">
        <f t="shared" si="42"/>
        <v>1.2645666418416045E-2</v>
      </c>
      <c r="E545" s="3">
        <f t="shared" si="43"/>
        <v>9.6289761747623166E-3</v>
      </c>
      <c r="F545" s="18">
        <f t="shared" si="41"/>
        <v>3.7806092034661654</v>
      </c>
      <c r="G545" s="3">
        <f t="shared" si="44"/>
        <v>7.9943503759001971E-3</v>
      </c>
      <c r="H545" s="4">
        <f t="shared" si="40"/>
        <v>3.5779344041538486</v>
      </c>
    </row>
    <row r="546" spans="2:8" x14ac:dyDescent="0.15">
      <c r="B546" s="16">
        <v>41333</v>
      </c>
      <c r="C546" s="11">
        <v>1514.68</v>
      </c>
      <c r="D546" s="12">
        <f t="shared" si="42"/>
        <v>-8.644953634581831E-4</v>
      </c>
      <c r="E546" s="3">
        <f t="shared" si="43"/>
        <v>1.0101437180686771E-2</v>
      </c>
      <c r="F546" s="18">
        <f t="shared" si="41"/>
        <v>4.591415480199811</v>
      </c>
      <c r="G546" s="3">
        <f t="shared" si="44"/>
        <v>8.4483251762344502E-3</v>
      </c>
      <c r="H546" s="4">
        <f t="shared" si="40"/>
        <v>4.7685516102687897</v>
      </c>
    </row>
    <row r="547" spans="2:8" x14ac:dyDescent="0.15">
      <c r="B547" s="16">
        <v>41334</v>
      </c>
      <c r="C547" s="11">
        <v>1518.2</v>
      </c>
      <c r="D547" s="12">
        <f t="shared" si="42"/>
        <v>2.3212270716333073E-3</v>
      </c>
      <c r="E547" s="3">
        <f t="shared" si="43"/>
        <v>9.3851231181217524E-3</v>
      </c>
      <c r="F547" s="18">
        <f t="shared" si="41"/>
        <v>4.6380433055162094</v>
      </c>
      <c r="G547" s="3">
        <f t="shared" si="44"/>
        <v>8.1168179825899106E-3</v>
      </c>
      <c r="H547" s="4">
        <f t="shared" si="40"/>
        <v>4.7729255189843567</v>
      </c>
    </row>
    <row r="548" spans="2:8" x14ac:dyDescent="0.15">
      <c r="B548" s="16">
        <v>41337</v>
      </c>
      <c r="C548" s="11">
        <v>1525.2</v>
      </c>
      <c r="D548" s="12">
        <f t="shared" si="42"/>
        <v>4.6001264007408333E-3</v>
      </c>
      <c r="E548" s="3">
        <f t="shared" si="43"/>
        <v>8.7902247483169008E-3</v>
      </c>
      <c r="F548" s="18">
        <f t="shared" si="41"/>
        <v>4.5971815407447831</v>
      </c>
      <c r="G548" s="3">
        <f t="shared" si="44"/>
        <v>7.8217058036639739E-3</v>
      </c>
      <c r="H548" s="4">
        <f t="shared" si="40"/>
        <v>4.677908184057241</v>
      </c>
    </row>
    <row r="549" spans="2:8" x14ac:dyDescent="0.15">
      <c r="B549" s="16">
        <v>41338</v>
      </c>
      <c r="C549" s="11">
        <v>1539.79</v>
      </c>
      <c r="D549" s="12">
        <f t="shared" si="42"/>
        <v>9.5204944895365129E-3</v>
      </c>
      <c r="E549" s="3">
        <f t="shared" si="43"/>
        <v>8.3991191083092401E-3</v>
      </c>
      <c r="F549" s="18">
        <f t="shared" si="41"/>
        <v>4.137204773511522</v>
      </c>
      <c r="G549" s="3">
        <f t="shared" si="44"/>
        <v>7.6202073438966138E-3</v>
      </c>
      <c r="H549" s="4">
        <f t="shared" si="40"/>
        <v>4.0964830917265154</v>
      </c>
    </row>
    <row r="550" spans="2:8" x14ac:dyDescent="0.15">
      <c r="B550" s="16">
        <v>41339</v>
      </c>
      <c r="C550" s="11">
        <v>1541.46</v>
      </c>
      <c r="D550" s="12">
        <f t="shared" si="42"/>
        <v>1.0839757653689358E-3</v>
      </c>
      <c r="E550" s="3">
        <f t="shared" si="43"/>
        <v>8.6291955820067302E-3</v>
      </c>
      <c r="F550" s="18">
        <f t="shared" si="41"/>
        <v>4.7447141440776663</v>
      </c>
      <c r="G550" s="3">
        <f t="shared" si="44"/>
        <v>7.784610294320966E-3</v>
      </c>
      <c r="H550" s="4">
        <f t="shared" si="40"/>
        <v>4.8459118106492554</v>
      </c>
    </row>
    <row r="551" spans="2:8" x14ac:dyDescent="0.15">
      <c r="B551" s="16">
        <v>41340</v>
      </c>
      <c r="C551" s="11">
        <v>1544.26</v>
      </c>
      <c r="D551" s="12">
        <f t="shared" si="42"/>
        <v>1.8148119521493281E-3</v>
      </c>
      <c r="E551" s="3">
        <f t="shared" si="43"/>
        <v>8.0952792709556628E-3</v>
      </c>
      <c r="F551" s="18">
        <f t="shared" si="41"/>
        <v>4.7913455179528563</v>
      </c>
      <c r="G551" s="3">
        <f t="shared" si="44"/>
        <v>7.4819556835226363E-3</v>
      </c>
      <c r="H551" s="4">
        <f t="shared" si="40"/>
        <v>4.8658437530461525</v>
      </c>
    </row>
    <row r="552" spans="2:8" x14ac:dyDescent="0.15">
      <c r="B552" s="16">
        <v>41341</v>
      </c>
      <c r="C552" s="11">
        <v>1551.18</v>
      </c>
      <c r="D552" s="12">
        <f t="shared" si="42"/>
        <v>4.4711004109199912E-3</v>
      </c>
      <c r="E552" s="3">
        <f t="shared" si="43"/>
        <v>7.6486109391410238E-3</v>
      </c>
      <c r="F552" s="18">
        <f t="shared" si="41"/>
        <v>4.7023738568556785</v>
      </c>
      <c r="G552" s="3">
        <f t="shared" si="44"/>
        <v>7.2029956215589712E-3</v>
      </c>
      <c r="H552" s="4">
        <f t="shared" si="40"/>
        <v>4.7406067124144711</v>
      </c>
    </row>
    <row r="553" spans="2:8" x14ac:dyDescent="0.15">
      <c r="B553" s="16">
        <v>41344</v>
      </c>
      <c r="C553" s="11">
        <v>1556.22</v>
      </c>
      <c r="D553" s="12">
        <f t="shared" si="42"/>
        <v>3.2438723173948535E-3</v>
      </c>
      <c r="E553" s="3">
        <f t="shared" si="43"/>
        <v>7.4163712859414551E-3</v>
      </c>
      <c r="F553" s="18">
        <f t="shared" si="41"/>
        <v>4.808408865841268</v>
      </c>
      <c r="G553" s="3">
        <f t="shared" si="44"/>
        <v>7.0287558532276875E-3</v>
      </c>
      <c r="H553" s="4">
        <f t="shared" si="40"/>
        <v>4.8512477767083011</v>
      </c>
    </row>
    <row r="554" spans="2:8" x14ac:dyDescent="0.15">
      <c r="B554" s="16">
        <v>41345</v>
      </c>
      <c r="C554" s="11">
        <v>1552.48</v>
      </c>
      <c r="D554" s="12">
        <f t="shared" si="42"/>
        <v>-2.4061516417888235E-3</v>
      </c>
      <c r="E554" s="3">
        <f t="shared" si="43"/>
        <v>7.1308965393687539E-3</v>
      </c>
      <c r="F554" s="18">
        <f t="shared" si="41"/>
        <v>4.8863900752525087</v>
      </c>
      <c r="G554" s="3">
        <f t="shared" si="44"/>
        <v>6.8103090565505174E-3</v>
      </c>
      <c r="H554" s="4">
        <f t="shared" si="40"/>
        <v>4.9269037290617286</v>
      </c>
    </row>
    <row r="555" spans="2:8" x14ac:dyDescent="0.15">
      <c r="B555" s="16">
        <v>41346</v>
      </c>
      <c r="C555" s="11">
        <v>1554.52</v>
      </c>
      <c r="D555" s="12">
        <f t="shared" si="42"/>
        <v>1.3131640123256268E-3</v>
      </c>
      <c r="E555" s="3">
        <f t="shared" si="43"/>
        <v>6.8412794126140259E-3</v>
      </c>
      <c r="F555" s="18">
        <f t="shared" si="41"/>
        <v>4.9663586640707607</v>
      </c>
      <c r="G555" s="3">
        <f t="shared" si="44"/>
        <v>6.5745150962839239E-3</v>
      </c>
      <c r="H555" s="4">
        <f t="shared" si="40"/>
        <v>5.0046073197212122</v>
      </c>
    </row>
    <row r="556" spans="2:8" x14ac:dyDescent="0.15">
      <c r="B556" s="16">
        <v>41347</v>
      </c>
      <c r="C556" s="11">
        <v>1563.23</v>
      </c>
      <c r="D556" s="12">
        <f t="shared" si="42"/>
        <v>5.5873772173025285E-3</v>
      </c>
      <c r="E556" s="3">
        <f t="shared" si="43"/>
        <v>6.552427527332691E-3</v>
      </c>
      <c r="F556" s="18">
        <f t="shared" si="41"/>
        <v>4.6643551270418619</v>
      </c>
      <c r="G556" s="3">
        <f t="shared" si="44"/>
        <v>6.3243578487788069E-3</v>
      </c>
      <c r="H556" s="4">
        <f t="shared" si="40"/>
        <v>4.673087603562295</v>
      </c>
    </row>
    <row r="557" spans="2:8" x14ac:dyDescent="0.15">
      <c r="B557" s="16">
        <v>41348</v>
      </c>
      <c r="C557" s="11">
        <v>1560.7</v>
      </c>
      <c r="D557" s="12">
        <f t="shared" si="42"/>
        <v>-1.6197549581095975E-3</v>
      </c>
      <c r="E557" s="3">
        <f t="shared" si="43"/>
        <v>6.615551752733359E-3</v>
      </c>
      <c r="F557" s="18">
        <f t="shared" si="41"/>
        <v>4.9883586418513337</v>
      </c>
      <c r="G557" s="3">
        <f t="shared" si="44"/>
        <v>6.2701617743774422E-3</v>
      </c>
      <c r="H557" s="4">
        <f t="shared" si="40"/>
        <v>5.038586585321414</v>
      </c>
    </row>
    <row r="558" spans="2:8" x14ac:dyDescent="0.15">
      <c r="B558" s="16">
        <v>41351</v>
      </c>
      <c r="C558" s="11">
        <v>1552.1</v>
      </c>
      <c r="D558" s="12">
        <f t="shared" si="42"/>
        <v>-5.5255858913691377E-3</v>
      </c>
      <c r="E558" s="3">
        <f t="shared" si="43"/>
        <v>6.3691699449234243E-3</v>
      </c>
      <c r="F558" s="18">
        <f t="shared" si="41"/>
        <v>4.6799629201509951</v>
      </c>
      <c r="G558" s="3">
        <f t="shared" si="44"/>
        <v>6.038382275293898E-3</v>
      </c>
      <c r="H558" s="4">
        <f t="shared" si="40"/>
        <v>4.6909360052742421</v>
      </c>
    </row>
    <row r="559" spans="2:8" x14ac:dyDescent="0.15">
      <c r="B559" s="16">
        <v>41352</v>
      </c>
      <c r="C559" s="11">
        <v>1548.34</v>
      </c>
      <c r="D559" s="12">
        <f t="shared" si="42"/>
        <v>-2.4254633815200036E-3</v>
      </c>
      <c r="E559" s="3">
        <f t="shared" si="43"/>
        <v>6.4599706039532483E-3</v>
      </c>
      <c r="F559" s="18">
        <f t="shared" si="41"/>
        <v>4.9716452420519879</v>
      </c>
      <c r="G559" s="3">
        <f t="shared" si="44"/>
        <v>6.0000822481231127E-3</v>
      </c>
      <c r="H559" s="4">
        <f t="shared" si="40"/>
        <v>5.034277777753438</v>
      </c>
    </row>
    <row r="560" spans="2:8" x14ac:dyDescent="0.15">
      <c r="B560" s="16">
        <v>41353</v>
      </c>
      <c r="C560" s="11">
        <v>1558.71</v>
      </c>
      <c r="D560" s="12">
        <f t="shared" si="42"/>
        <v>6.6751668015524457E-3</v>
      </c>
      <c r="E560" s="3">
        <f t="shared" si="43"/>
        <v>6.2722437538897287E-3</v>
      </c>
      <c r="F560" s="18">
        <f t="shared" si="41"/>
        <v>4.5053187436344988</v>
      </c>
      <c r="G560" s="3">
        <f t="shared" si="44"/>
        <v>5.8016555273614429E-3</v>
      </c>
      <c r="H560" s="4">
        <f t="shared" si="40"/>
        <v>4.4877150296146109</v>
      </c>
    </row>
    <row r="561" spans="2:8" x14ac:dyDescent="0.15">
      <c r="B561" s="16">
        <v>41354</v>
      </c>
      <c r="C561" s="11">
        <v>1545.8</v>
      </c>
      <c r="D561" s="12">
        <f t="shared" si="42"/>
        <v>-8.3169804044007662E-3</v>
      </c>
      <c r="E561" s="3">
        <f t="shared" si="43"/>
        <v>6.5291814793811305E-3</v>
      </c>
      <c r="F561" s="18">
        <f t="shared" si="41"/>
        <v>4.2201691989385752</v>
      </c>
      <c r="G561" s="3">
        <f t="shared" si="44"/>
        <v>5.8742328443011317E-3</v>
      </c>
      <c r="H561" s="4">
        <f t="shared" si="40"/>
        <v>4.1348767698390061</v>
      </c>
    </row>
    <row r="562" spans="2:8" x14ac:dyDescent="0.15">
      <c r="B562" s="16">
        <v>41355</v>
      </c>
      <c r="C562" s="11">
        <v>1556.89</v>
      </c>
      <c r="D562" s="12">
        <f t="shared" si="42"/>
        <v>7.1486659821265496E-3</v>
      </c>
      <c r="E562" s="3">
        <f t="shared" si="43"/>
        <v>6.976159583550052E-3</v>
      </c>
      <c r="F562" s="18">
        <f t="shared" si="41"/>
        <v>4.4402229906685182</v>
      </c>
      <c r="G562" s="3">
        <f t="shared" si="44"/>
        <v>6.0993417251838863E-3</v>
      </c>
      <c r="H562" s="4">
        <f t="shared" si="40"/>
        <v>4.4127367945024734</v>
      </c>
    </row>
    <row r="563" spans="2:8" x14ac:dyDescent="0.15">
      <c r="B563" s="16">
        <v>41358</v>
      </c>
      <c r="C563" s="11">
        <v>1551.69</v>
      </c>
      <c r="D563" s="12">
        <f t="shared" si="42"/>
        <v>-3.3455821309178592E-3</v>
      </c>
      <c r="E563" s="3">
        <f t="shared" si="43"/>
        <v>7.152841805554231E-3</v>
      </c>
      <c r="F563" s="18">
        <f t="shared" si="41"/>
        <v>4.8308609527815163</v>
      </c>
      <c r="G563" s="3">
        <f t="shared" si="44"/>
        <v>6.1873138211449808E-3</v>
      </c>
      <c r="H563" s="4">
        <f t="shared" si="40"/>
        <v>4.9390671218063957</v>
      </c>
    </row>
    <row r="564" spans="2:8" x14ac:dyDescent="0.15">
      <c r="B564" s="16">
        <v>41359</v>
      </c>
      <c r="C564" s="11">
        <v>1563.77</v>
      </c>
      <c r="D564" s="12">
        <f t="shared" si="42"/>
        <v>7.7549129435386119E-3</v>
      </c>
      <c r="E564" s="3">
        <f t="shared" si="43"/>
        <v>6.9132722906808022E-3</v>
      </c>
      <c r="F564" s="18">
        <f t="shared" si="41"/>
        <v>4.3451588166550659</v>
      </c>
      <c r="G564" s="3">
        <f t="shared" si="44"/>
        <v>6.0146922663987202E-3</v>
      </c>
      <c r="H564" s="4">
        <f t="shared" si="40"/>
        <v>4.2823663617314658</v>
      </c>
    </row>
    <row r="565" spans="2:8" x14ac:dyDescent="0.15">
      <c r="B565" s="16">
        <v>41360</v>
      </c>
      <c r="C565" s="11">
        <v>1562.85</v>
      </c>
      <c r="D565" s="12">
        <f t="shared" si="42"/>
        <v>-5.8849494121564802E-4</v>
      </c>
      <c r="E565" s="3">
        <f t="shared" si="43"/>
        <v>7.1884131399701139E-3</v>
      </c>
      <c r="F565" s="18">
        <f t="shared" si="41"/>
        <v>4.9319337197367199</v>
      </c>
      <c r="G565" s="3">
        <f t="shared" si="44"/>
        <v>6.1676297972874236E-3</v>
      </c>
      <c r="H565" s="4">
        <f t="shared" si="40"/>
        <v>5.0838884901830843</v>
      </c>
    </row>
    <row r="566" spans="2:8" x14ac:dyDescent="0.15">
      <c r="B566" s="16">
        <v>41361</v>
      </c>
      <c r="C566" s="11">
        <v>1569.19</v>
      </c>
      <c r="D566" s="12">
        <f t="shared" si="42"/>
        <v>4.0484851148155808E-3</v>
      </c>
      <c r="E566" s="3">
        <f t="shared" si="43"/>
        <v>6.8366328016421498E-3</v>
      </c>
      <c r="F566" s="18">
        <f t="shared" si="41"/>
        <v>4.8101241530646428</v>
      </c>
      <c r="G566" s="3">
        <f t="shared" si="44"/>
        <v>5.9252746573852195E-3</v>
      </c>
      <c r="H566" s="4">
        <f t="shared" si="40"/>
        <v>4.8951082046719012</v>
      </c>
    </row>
    <row r="567" spans="2:8" x14ac:dyDescent="0.15">
      <c r="B567" s="16">
        <v>41365</v>
      </c>
      <c r="C567" s="11">
        <v>1562.17</v>
      </c>
      <c r="D567" s="12">
        <f t="shared" si="42"/>
        <v>-4.4836823364220995E-3</v>
      </c>
      <c r="E567" s="3">
        <f t="shared" si="43"/>
        <v>6.6986916495718795E-3</v>
      </c>
      <c r="F567" s="18">
        <f t="shared" si="41"/>
        <v>4.781837021688645</v>
      </c>
      <c r="G567" s="3">
        <f t="shared" si="44"/>
        <v>5.8011589152015047E-3</v>
      </c>
      <c r="H567" s="4">
        <f t="shared" si="40"/>
        <v>4.8510148119088692</v>
      </c>
    </row>
    <row r="568" spans="2:8" x14ac:dyDescent="0.15">
      <c r="B568" s="16">
        <v>41366</v>
      </c>
      <c r="C568" s="11">
        <v>1570.25</v>
      </c>
      <c r="D568" s="12">
        <f t="shared" si="42"/>
        <v>5.1589620297942326E-3</v>
      </c>
      <c r="E568" s="3">
        <f t="shared" si="43"/>
        <v>6.6216211014971183E-3</v>
      </c>
      <c r="F568" s="18">
        <f t="shared" si="41"/>
        <v>4.713909944488603</v>
      </c>
      <c r="G568" s="3">
        <f t="shared" si="44"/>
        <v>5.7096309711081828E-3</v>
      </c>
      <c r="H568" s="4">
        <f t="shared" si="40"/>
        <v>4.7573956338210328</v>
      </c>
    </row>
    <row r="569" spans="2:8" x14ac:dyDescent="0.15">
      <c r="B569" s="16">
        <v>41367</v>
      </c>
      <c r="C569" s="11">
        <v>1553.69</v>
      </c>
      <c r="D569" s="12">
        <f t="shared" si="42"/>
        <v>-1.0602095506201462E-2</v>
      </c>
      <c r="E569" s="3">
        <f t="shared" si="43"/>
        <v>6.6248003328144931E-3</v>
      </c>
      <c r="F569" s="18">
        <f t="shared" si="41"/>
        <v>3.7363517230547725</v>
      </c>
      <c r="G569" s="3">
        <f t="shared" si="44"/>
        <v>5.6687329375942211E-3</v>
      </c>
      <c r="H569" s="4">
        <f t="shared" si="40"/>
        <v>3.4238233828869546</v>
      </c>
    </row>
    <row r="570" spans="2:8" x14ac:dyDescent="0.15">
      <c r="B570" s="16">
        <v>41368</v>
      </c>
      <c r="C570" s="11">
        <v>1559.98</v>
      </c>
      <c r="D570" s="12">
        <f t="shared" si="42"/>
        <v>4.0402538202902035E-3</v>
      </c>
      <c r="E570" s="3">
        <f t="shared" si="43"/>
        <v>7.4541786337649187E-3</v>
      </c>
      <c r="F570" s="18">
        <f t="shared" si="41"/>
        <v>4.7520920419943256</v>
      </c>
      <c r="G570" s="3">
        <f t="shared" si="44"/>
        <v>6.1948184270706596E-3</v>
      </c>
      <c r="H570" s="4">
        <f t="shared" si="40"/>
        <v>4.8713603653994166</v>
      </c>
    </row>
    <row r="571" spans="2:8" x14ac:dyDescent="0.15">
      <c r="B571" s="16">
        <v>41369</v>
      </c>
      <c r="C571" s="11">
        <v>1553.28</v>
      </c>
      <c r="D571" s="12">
        <f t="shared" si="42"/>
        <v>-4.3041765503969041E-3</v>
      </c>
      <c r="E571" s="3">
        <f t="shared" si="43"/>
        <v>7.2178795158448885E-3</v>
      </c>
      <c r="F571" s="18">
        <f t="shared" si="41"/>
        <v>4.75339441504007</v>
      </c>
      <c r="G571" s="3">
        <f t="shared" si="44"/>
        <v>6.0548453195724741E-3</v>
      </c>
      <c r="H571" s="4">
        <f t="shared" si="40"/>
        <v>4.854232049444076</v>
      </c>
    </row>
    <row r="572" spans="2:8" x14ac:dyDescent="0.15">
      <c r="B572" s="16">
        <v>41372</v>
      </c>
      <c r="C572" s="11">
        <v>1563.07</v>
      </c>
      <c r="D572" s="12">
        <f t="shared" si="42"/>
        <v>6.2830119890327149E-3</v>
      </c>
      <c r="E572" s="3">
        <f t="shared" si="43"/>
        <v>7.0395052815062954E-3</v>
      </c>
      <c r="F572" s="18">
        <f t="shared" si="41"/>
        <v>4.5579071150749453</v>
      </c>
      <c r="G572" s="3">
        <f t="shared" si="44"/>
        <v>5.9372620413574292E-3</v>
      </c>
      <c r="H572" s="4">
        <f t="shared" si="40"/>
        <v>4.5665776898934176</v>
      </c>
    </row>
    <row r="573" spans="2:8" x14ac:dyDescent="0.15">
      <c r="B573" s="16">
        <v>41373</v>
      </c>
      <c r="C573" s="11">
        <v>1568.61</v>
      </c>
      <c r="D573" s="12">
        <f t="shared" si="42"/>
        <v>3.5380407825949659E-3</v>
      </c>
      <c r="E573" s="3">
        <f t="shared" si="43"/>
        <v>7.0931683627387752E-3</v>
      </c>
      <c r="F573" s="18">
        <f t="shared" si="41"/>
        <v>4.8242246624901419</v>
      </c>
      <c r="G573" s="3">
        <f t="shared" si="44"/>
        <v>5.9648638072230453E-3</v>
      </c>
      <c r="H573" s="4">
        <f t="shared" si="40"/>
        <v>4.9459574027155391</v>
      </c>
    </row>
    <row r="574" spans="2:8" x14ac:dyDescent="0.15">
      <c r="B574" s="16">
        <v>41374</v>
      </c>
      <c r="C574" s="11">
        <v>1587.73</v>
      </c>
      <c r="D574" s="12">
        <f t="shared" si="42"/>
        <v>1.2115446292433605E-2</v>
      </c>
      <c r="E574" s="3">
        <f t="shared" si="43"/>
        <v>6.8757731977438907E-3</v>
      </c>
      <c r="F574" s="18">
        <f t="shared" si="41"/>
        <v>3.4273436049212389</v>
      </c>
      <c r="G574" s="3">
        <f t="shared" si="44"/>
        <v>5.8126126619358611E-3</v>
      </c>
      <c r="H574" s="4">
        <f t="shared" si="40"/>
        <v>2.9754938089024501</v>
      </c>
    </row>
    <row r="575" spans="2:8" x14ac:dyDescent="0.15">
      <c r="B575" s="16">
        <v>41375</v>
      </c>
      <c r="C575" s="11">
        <v>1593.37</v>
      </c>
      <c r="D575" s="12">
        <f t="shared" si="42"/>
        <v>3.5459469426653589E-3</v>
      </c>
      <c r="E575" s="3">
        <f t="shared" si="43"/>
        <v>7.9377476102499341E-3</v>
      </c>
      <c r="F575" s="18">
        <f t="shared" si="41"/>
        <v>4.736346547585585</v>
      </c>
      <c r="G575" s="3">
        <f t="shared" si="44"/>
        <v>6.5247521162703328E-3</v>
      </c>
      <c r="H575" s="4">
        <f t="shared" si="40"/>
        <v>4.8844775009548087</v>
      </c>
    </row>
    <row r="576" spans="2:8" x14ac:dyDescent="0.15">
      <c r="B576" s="16">
        <v>41376</v>
      </c>
      <c r="C576" s="11">
        <v>1588.85</v>
      </c>
      <c r="D576" s="12">
        <f t="shared" si="42"/>
        <v>-2.8407860171352811E-3</v>
      </c>
      <c r="E576" s="3">
        <f t="shared" si="43"/>
        <v>7.5954083994716551E-3</v>
      </c>
      <c r="F576" s="18">
        <f t="shared" si="41"/>
        <v>4.8102682868131197</v>
      </c>
      <c r="G576" s="3">
        <f t="shared" si="44"/>
        <v>6.3434926306758501E-3</v>
      </c>
      <c r="H576" s="4">
        <f t="shared" si="40"/>
        <v>4.9600513518848235</v>
      </c>
    </row>
    <row r="577" spans="2:8" x14ac:dyDescent="0.15">
      <c r="B577" s="16">
        <v>41379</v>
      </c>
      <c r="C577" s="11">
        <v>1552.36</v>
      </c>
      <c r="D577" s="12">
        <f t="shared" si="42"/>
        <v>-2.3234130479996954E-2</v>
      </c>
      <c r="E577" s="3">
        <f t="shared" si="43"/>
        <v>7.2608551283406906E-3</v>
      </c>
      <c r="F577" s="18">
        <f t="shared" si="41"/>
        <v>-0.19447528723792118</v>
      </c>
      <c r="G577" s="3">
        <f t="shared" si="44"/>
        <v>6.1431743319315148E-3</v>
      </c>
      <c r="H577" s="4">
        <f t="shared" si="40"/>
        <v>-2.0597455131937972</v>
      </c>
    </row>
    <row r="578" spans="2:8" x14ac:dyDescent="0.15">
      <c r="B578" s="16">
        <v>41380</v>
      </c>
      <c r="C578" s="11">
        <v>1574.57</v>
      </c>
      <c r="D578" s="12">
        <f t="shared" si="42"/>
        <v>1.4205865503323178E-2</v>
      </c>
      <c r="E578" s="3">
        <f t="shared" si="43"/>
        <v>1.0991307062619237E-2</v>
      </c>
      <c r="F578" s="18">
        <f t="shared" si="41"/>
        <v>3.6754193648785733</v>
      </c>
      <c r="G578" s="3">
        <f t="shared" si="44"/>
        <v>8.7622718361820839E-3</v>
      </c>
      <c r="H578" s="4">
        <f t="shared" si="40"/>
        <v>3.4230683100750787</v>
      </c>
    </row>
    <row r="579" spans="2:8" x14ac:dyDescent="0.15">
      <c r="B579" s="16">
        <v>41381</v>
      </c>
      <c r="C579" s="11">
        <v>1552.01</v>
      </c>
      <c r="D579" s="12">
        <f t="shared" si="42"/>
        <v>-1.4431354089724242E-2</v>
      </c>
      <c r="E579" s="3">
        <f t="shared" si="43"/>
        <v>1.1434685423691577E-2</v>
      </c>
      <c r="F579" s="18">
        <f t="shared" si="41"/>
        <v>3.6746957543090684</v>
      </c>
      <c r="G579" s="3">
        <f t="shared" si="44"/>
        <v>9.3004747267984838E-3</v>
      </c>
      <c r="H579" s="4">
        <f t="shared" si="40"/>
        <v>3.4738355132169891</v>
      </c>
    </row>
    <row r="580" spans="2:8" x14ac:dyDescent="0.15">
      <c r="B580" s="16">
        <v>41382</v>
      </c>
      <c r="C580" s="11">
        <v>1541.61</v>
      </c>
      <c r="D580" s="12">
        <f t="shared" si="42"/>
        <v>-6.7235401752622328E-3</v>
      </c>
      <c r="E580" s="3">
        <f t="shared" si="43"/>
        <v>1.1822822495462567E-2</v>
      </c>
      <c r="F580" s="18">
        <f t="shared" si="41"/>
        <v>4.276018421696155</v>
      </c>
      <c r="G580" s="3">
        <f t="shared" si="44"/>
        <v>9.7962473274023337E-3</v>
      </c>
      <c r="H580" s="4">
        <f t="shared" si="40"/>
        <v>4.3902257306918147</v>
      </c>
    </row>
    <row r="581" spans="2:8" x14ac:dyDescent="0.15">
      <c r="B581" s="16">
        <v>41383</v>
      </c>
      <c r="C581" s="11">
        <v>1555.25</v>
      </c>
      <c r="D581" s="12">
        <f t="shared" si="42"/>
        <v>8.8089795490163252E-3</v>
      </c>
      <c r="E581" s="3">
        <f t="shared" si="43"/>
        <v>1.1182610689896002E-2</v>
      </c>
      <c r="F581" s="18">
        <f t="shared" si="41"/>
        <v>4.1831288886418037</v>
      </c>
      <c r="G581" s="3">
        <f t="shared" si="44"/>
        <v>9.5926884753500495E-3</v>
      </c>
      <c r="H581" s="4">
        <f t="shared" ref="H581:H644" si="45" xml:space="preserve"> - LN(G581) - 0.5 * ($D581/G581)^2</f>
        <v>4.2251153292307277</v>
      </c>
    </row>
    <row r="582" spans="2:8" x14ac:dyDescent="0.15">
      <c r="B582" s="16">
        <v>41386</v>
      </c>
      <c r="C582" s="11">
        <v>1562.5</v>
      </c>
      <c r="D582" s="12">
        <f t="shared" si="42"/>
        <v>4.6507982154273889E-3</v>
      </c>
      <c r="E582" s="3">
        <f t="shared" si="43"/>
        <v>1.0833895464692326E-2</v>
      </c>
      <c r="F582" s="18">
        <f t="shared" ref="F582:F645" si="46" xml:space="preserve"> - LN(E582) - 0.5 * (D582/E582)^2</f>
        <v>4.4329339974634818</v>
      </c>
      <c r="G582" s="3">
        <f t="shared" si="44"/>
        <v>9.5340626302416048E-3</v>
      </c>
      <c r="H582" s="4">
        <f t="shared" si="45"/>
        <v>4.5339057138357086</v>
      </c>
    </row>
    <row r="583" spans="2:8" x14ac:dyDescent="0.15">
      <c r="B583" s="16">
        <v>41387</v>
      </c>
      <c r="C583" s="11">
        <v>1578.78</v>
      </c>
      <c r="D583" s="12">
        <f t="shared" ref="D583:D646" si="47">LN(C583/C582)</f>
        <v>1.0365294248898439E-2</v>
      </c>
      <c r="E583" s="3">
        <f t="shared" si="43"/>
        <v>1.0172732339258566E-2</v>
      </c>
      <c r="F583" s="18">
        <f t="shared" si="46"/>
        <v>4.0689360586050647</v>
      </c>
      <c r="G583" s="3">
        <f t="shared" si="44"/>
        <v>9.247297314515783E-3</v>
      </c>
      <c r="H583" s="4">
        <f t="shared" si="45"/>
        <v>4.0552157062701344</v>
      </c>
    </row>
    <row r="584" spans="2:8" x14ac:dyDescent="0.15">
      <c r="B584" s="16">
        <v>41388</v>
      </c>
      <c r="C584" s="11">
        <v>1578.79</v>
      </c>
      <c r="D584" s="12">
        <f t="shared" si="47"/>
        <v>6.3339846780946741E-6</v>
      </c>
      <c r="E584" s="3">
        <f t="shared" ref="E584:E647" si="48">SQRT($L$18 + $L$19*E583^2 + $L$20*D583^2)</f>
        <v>1.0185495330353253E-2</v>
      </c>
      <c r="F584" s="18">
        <f t="shared" si="46"/>
        <v>4.5867904038100873</v>
      </c>
      <c r="G584" s="3">
        <f t="shared" ref="G584:G647" si="49">SQRT($V$18*G583^2 + (1-$V$18)*D583^2)</f>
        <v>9.3390250073890346E-3</v>
      </c>
      <c r="H584" s="4">
        <f t="shared" si="45"/>
        <v>4.6735531911244497</v>
      </c>
    </row>
    <row r="585" spans="2:8" x14ac:dyDescent="0.15">
      <c r="B585" s="16">
        <v>41389</v>
      </c>
      <c r="C585" s="11">
        <v>1585.16</v>
      </c>
      <c r="D585" s="12">
        <f t="shared" si="47"/>
        <v>4.0266177447456745E-3</v>
      </c>
      <c r="E585" s="3">
        <f t="shared" si="48"/>
        <v>9.4539409461919591E-3</v>
      </c>
      <c r="F585" s="18">
        <f t="shared" si="46"/>
        <v>4.5706198853534854</v>
      </c>
      <c r="G585" s="3">
        <f t="shared" si="49"/>
        <v>8.9686096557855376E-3</v>
      </c>
      <c r="H585" s="4">
        <f t="shared" si="45"/>
        <v>4.6132385315873776</v>
      </c>
    </row>
    <row r="586" spans="2:8" x14ac:dyDescent="0.15">
      <c r="B586" s="16">
        <v>41390</v>
      </c>
      <c r="C586" s="11">
        <v>1582.24</v>
      </c>
      <c r="D586" s="12">
        <f t="shared" si="47"/>
        <v>-1.8437840671979098E-3</v>
      </c>
      <c r="E586" s="3">
        <f t="shared" si="48"/>
        <v>8.933079862328169E-3</v>
      </c>
      <c r="F586" s="18">
        <f t="shared" si="46"/>
        <v>4.6966936577129683</v>
      </c>
      <c r="G586" s="3">
        <f t="shared" si="49"/>
        <v>8.6857623952337048E-3</v>
      </c>
      <c r="H586" s="4">
        <f t="shared" si="45"/>
        <v>4.7235394237399095</v>
      </c>
    </row>
    <row r="587" spans="2:8" x14ac:dyDescent="0.15">
      <c r="B587" s="16">
        <v>41393</v>
      </c>
      <c r="C587" s="11">
        <v>1593.61</v>
      </c>
      <c r="D587" s="12">
        <f t="shared" si="47"/>
        <v>7.1603183893662135E-3</v>
      </c>
      <c r="E587" s="3">
        <f t="shared" si="48"/>
        <v>8.3791572129216577E-3</v>
      </c>
      <c r="F587" s="18">
        <f t="shared" si="46"/>
        <v>4.4168893096571527</v>
      </c>
      <c r="G587" s="3">
        <f t="shared" si="49"/>
        <v>8.3570867705986089E-3</v>
      </c>
      <c r="H587" s="4">
        <f t="shared" si="45"/>
        <v>4.4175957052794459</v>
      </c>
    </row>
    <row r="588" spans="2:8" x14ac:dyDescent="0.15">
      <c r="B588" s="16">
        <v>41394</v>
      </c>
      <c r="C588" s="11">
        <v>1597.57</v>
      </c>
      <c r="D588" s="12">
        <f t="shared" si="47"/>
        <v>2.4818418469955725E-3</v>
      </c>
      <c r="E588" s="3">
        <f t="shared" si="48"/>
        <v>8.2973315556373797E-3</v>
      </c>
      <c r="F588" s="18">
        <f t="shared" si="46"/>
        <v>4.7470869456214526</v>
      </c>
      <c r="G588" s="3">
        <f t="shared" si="49"/>
        <v>8.2702457413203513E-3</v>
      </c>
      <c r="H588" s="4">
        <f t="shared" si="45"/>
        <v>4.7500631878580357</v>
      </c>
    </row>
    <row r="589" spans="2:8" x14ac:dyDescent="0.15">
      <c r="B589" s="16">
        <v>41395</v>
      </c>
      <c r="C589" s="11">
        <v>1582.7</v>
      </c>
      <c r="D589" s="12">
        <f t="shared" si="47"/>
        <v>-9.3514754188050771E-3</v>
      </c>
      <c r="E589" s="3">
        <f t="shared" si="48"/>
        <v>7.8489033194977069E-3</v>
      </c>
      <c r="F589" s="18">
        <f t="shared" si="46"/>
        <v>4.1376201569407964</v>
      </c>
      <c r="G589" s="3">
        <f t="shared" si="49"/>
        <v>7.9723149010109684E-3</v>
      </c>
      <c r="H589" s="4">
        <f t="shared" si="45"/>
        <v>4.1438232273480642</v>
      </c>
    </row>
    <row r="590" spans="2:8" x14ac:dyDescent="0.15">
      <c r="B590" s="16">
        <v>41396</v>
      </c>
      <c r="C590" s="11">
        <v>1597.59</v>
      </c>
      <c r="D590" s="12">
        <f t="shared" si="47"/>
        <v>9.3639943536941335E-3</v>
      </c>
      <c r="E590" s="3">
        <f t="shared" si="48"/>
        <v>8.1671159912572993E-3</v>
      </c>
      <c r="F590" s="18">
        <f t="shared" si="46"/>
        <v>4.1503527338972912</v>
      </c>
      <c r="G590" s="3">
        <f t="shared" si="49"/>
        <v>8.0879853475133122E-3</v>
      </c>
      <c r="H590" s="4">
        <f t="shared" si="45"/>
        <v>4.1471645664258405</v>
      </c>
    </row>
    <row r="591" spans="2:8" x14ac:dyDescent="0.15">
      <c r="B591" s="16">
        <v>41397</v>
      </c>
      <c r="C591" s="11">
        <v>1614.42</v>
      </c>
      <c r="D591" s="12">
        <f t="shared" si="47"/>
        <v>1.04795153331448E-2</v>
      </c>
      <c r="E591" s="3">
        <f t="shared" si="48"/>
        <v>8.4208882557759365E-3</v>
      </c>
      <c r="F591" s="18">
        <f t="shared" si="46"/>
        <v>4.0026912325627908</v>
      </c>
      <c r="G591" s="3">
        <f t="shared" si="49"/>
        <v>8.1943263408140263E-3</v>
      </c>
      <c r="H591" s="4">
        <f t="shared" si="45"/>
        <v>3.9865532287838592</v>
      </c>
    </row>
    <row r="592" spans="2:8" x14ac:dyDescent="0.15">
      <c r="B592" s="16">
        <v>41400</v>
      </c>
      <c r="C592" s="11">
        <v>1617.5</v>
      </c>
      <c r="D592" s="12">
        <f t="shared" si="47"/>
        <v>1.9059883489792062E-3</v>
      </c>
      <c r="E592" s="3">
        <f t="shared" si="48"/>
        <v>8.7957998262807348E-3</v>
      </c>
      <c r="F592" s="18">
        <f t="shared" si="46"/>
        <v>4.7100030333867</v>
      </c>
      <c r="G592" s="3">
        <f t="shared" si="49"/>
        <v>8.3943413681034935E-3</v>
      </c>
      <c r="H592" s="4">
        <f t="shared" si="45"/>
        <v>4.7544201581526861</v>
      </c>
    </row>
    <row r="593" spans="2:8" x14ac:dyDescent="0.15">
      <c r="B593" s="16">
        <v>41401</v>
      </c>
      <c r="C593" s="11">
        <v>1625.96</v>
      </c>
      <c r="D593" s="12">
        <f t="shared" si="47"/>
        <v>5.2166631841068997E-3</v>
      </c>
      <c r="E593" s="3">
        <f t="shared" si="48"/>
        <v>8.2611646430501128E-3</v>
      </c>
      <c r="F593" s="18">
        <f t="shared" si="46"/>
        <v>4.5968136277559273</v>
      </c>
      <c r="G593" s="3">
        <f t="shared" si="49"/>
        <v>8.0788953893951056E-3</v>
      </c>
      <c r="H593" s="4">
        <f t="shared" si="45"/>
        <v>4.6100262545404211</v>
      </c>
    </row>
    <row r="594" spans="2:8" x14ac:dyDescent="0.15">
      <c r="B594" s="16">
        <v>41402</v>
      </c>
      <c r="C594" s="11">
        <v>1632.69</v>
      </c>
      <c r="D594" s="12">
        <f t="shared" si="47"/>
        <v>4.1305507302880854E-3</v>
      </c>
      <c r="E594" s="3">
        <f t="shared" si="48"/>
        <v>7.998222174373992E-3</v>
      </c>
      <c r="F594" s="18">
        <f t="shared" si="46"/>
        <v>4.6951841547764905</v>
      </c>
      <c r="G594" s="3">
        <f t="shared" si="49"/>
        <v>7.8936464392643547E-3</v>
      </c>
      <c r="H594" s="4">
        <f t="shared" si="45"/>
        <v>4.7047885369065172</v>
      </c>
    </row>
    <row r="595" spans="2:8" x14ac:dyDescent="0.15">
      <c r="B595" s="16">
        <v>41403</v>
      </c>
      <c r="C595" s="11">
        <v>1626.67</v>
      </c>
      <c r="D595" s="12">
        <f t="shared" si="47"/>
        <v>-3.6939809321391258E-3</v>
      </c>
      <c r="E595" s="3">
        <f t="shared" si="48"/>
        <v>7.6869525779191808E-3</v>
      </c>
      <c r="F595" s="18">
        <f t="shared" si="46"/>
        <v>4.7527657143445978</v>
      </c>
      <c r="G595" s="3">
        <f t="shared" si="49"/>
        <v>7.6675589895401127E-3</v>
      </c>
      <c r="H595" s="4">
        <f t="shared" si="45"/>
        <v>4.7547069935417827</v>
      </c>
    </row>
    <row r="596" spans="2:8" x14ac:dyDescent="0.15">
      <c r="B596" s="16">
        <v>41404</v>
      </c>
      <c r="C596" s="11">
        <v>1633.7</v>
      </c>
      <c r="D596" s="12">
        <f t="shared" si="47"/>
        <v>4.3124006751514296E-3</v>
      </c>
      <c r="E596" s="3">
        <f t="shared" si="48"/>
        <v>7.3907687571411309E-3</v>
      </c>
      <c r="F596" s="18">
        <f t="shared" si="46"/>
        <v>4.7372963106526518</v>
      </c>
      <c r="G596" s="3">
        <f t="shared" si="49"/>
        <v>7.4351339612610994E-3</v>
      </c>
      <c r="H596" s="4">
        <f t="shared" si="45"/>
        <v>4.7333368891346765</v>
      </c>
    </row>
    <row r="597" spans="2:8" x14ac:dyDescent="0.15">
      <c r="B597" s="16">
        <v>41407</v>
      </c>
      <c r="C597" s="11">
        <v>1633.77</v>
      </c>
      <c r="D597" s="12">
        <f t="shared" si="47"/>
        <v>4.2846606096343147E-5</v>
      </c>
      <c r="E597" s="3">
        <f t="shared" si="48"/>
        <v>7.1857245979977218E-3</v>
      </c>
      <c r="F597" s="18">
        <f t="shared" si="46"/>
        <v>4.9356411386907624</v>
      </c>
      <c r="G597" s="3">
        <f t="shared" si="49"/>
        <v>7.2407793601507505E-3</v>
      </c>
      <c r="H597" s="4">
        <f t="shared" si="45"/>
        <v>4.9280089241219676</v>
      </c>
    </row>
    <row r="598" spans="2:8" x14ac:dyDescent="0.15">
      <c r="B598" s="16">
        <v>41408</v>
      </c>
      <c r="C598" s="11">
        <v>1650.34</v>
      </c>
      <c r="D598" s="12">
        <f t="shared" si="47"/>
        <v>1.0091099634557102E-2</v>
      </c>
      <c r="E598" s="3">
        <f t="shared" si="48"/>
        <v>6.8308944586184537E-3</v>
      </c>
      <c r="F598" s="18">
        <f t="shared" si="46"/>
        <v>3.8951310985142413</v>
      </c>
      <c r="G598" s="3">
        <f t="shared" si="49"/>
        <v>6.953597214803711E-3</v>
      </c>
      <c r="H598" s="4">
        <f t="shared" si="45"/>
        <v>3.9154972348277317</v>
      </c>
    </row>
    <row r="599" spans="2:8" x14ac:dyDescent="0.15">
      <c r="B599" s="16">
        <v>41409</v>
      </c>
      <c r="C599" s="11">
        <v>1658.78</v>
      </c>
      <c r="D599" s="12">
        <f t="shared" si="47"/>
        <v>5.1010651178161831E-3</v>
      </c>
      <c r="E599" s="3">
        <f t="shared" si="48"/>
        <v>7.5101950474069836E-3</v>
      </c>
      <c r="F599" s="18">
        <f t="shared" si="46"/>
        <v>4.6608248024608638</v>
      </c>
      <c r="G599" s="3">
        <f t="shared" si="49"/>
        <v>7.2464186461767286E-3</v>
      </c>
      <c r="H599" s="4">
        <f t="shared" si="45"/>
        <v>4.6794800930910947</v>
      </c>
    </row>
    <row r="600" spans="2:8" x14ac:dyDescent="0.15">
      <c r="B600" s="16">
        <v>41410</v>
      </c>
      <c r="C600" s="11">
        <v>1650.47</v>
      </c>
      <c r="D600" s="12">
        <f t="shared" si="47"/>
        <v>-5.0222965730849136E-3</v>
      </c>
      <c r="E600" s="3">
        <f t="shared" si="48"/>
        <v>7.3553322158652163E-3</v>
      </c>
      <c r="F600" s="18">
        <f t="shared" si="46"/>
        <v>4.6792148065574928</v>
      </c>
      <c r="G600" s="3">
        <f t="shared" si="49"/>
        <v>7.1028812852217925E-3</v>
      </c>
      <c r="H600" s="4">
        <f t="shared" si="45"/>
        <v>4.6972745679004086</v>
      </c>
    </row>
    <row r="601" spans="2:8" x14ac:dyDescent="0.15">
      <c r="B601" s="16">
        <v>41411</v>
      </c>
      <c r="C601" s="11">
        <v>1667.47</v>
      </c>
      <c r="D601" s="12">
        <f t="shared" si="47"/>
        <v>1.0247411805593496E-2</v>
      </c>
      <c r="E601" s="3">
        <f t="shared" si="48"/>
        <v>7.2184189582525935E-3</v>
      </c>
      <c r="F601" s="18">
        <f t="shared" si="46"/>
        <v>3.9234588815064191</v>
      </c>
      <c r="G601" s="3">
        <f t="shared" si="49"/>
        <v>6.9634335306326877E-3</v>
      </c>
      <c r="H601" s="4">
        <f t="shared" si="45"/>
        <v>3.8842744576282069</v>
      </c>
    </row>
    <row r="602" spans="2:8" x14ac:dyDescent="0.15">
      <c r="B602" s="16">
        <v>41414</v>
      </c>
      <c r="C602" s="11">
        <v>1666.29</v>
      </c>
      <c r="D602" s="12">
        <f t="shared" si="47"/>
        <v>-7.0790941716164719E-4</v>
      </c>
      <c r="E602" s="3">
        <f t="shared" si="48"/>
        <v>7.8292702999654112E-3</v>
      </c>
      <c r="F602" s="18">
        <f t="shared" si="46"/>
        <v>4.8457982304583744</v>
      </c>
      <c r="G602" s="3">
        <f t="shared" si="49"/>
        <v>7.2721400802592028E-3</v>
      </c>
      <c r="H602" s="4">
        <f t="shared" si="45"/>
        <v>4.918966595449036</v>
      </c>
    </row>
    <row r="603" spans="2:8" x14ac:dyDescent="0.15">
      <c r="B603" s="16">
        <v>41415</v>
      </c>
      <c r="C603" s="11">
        <v>1669.16</v>
      </c>
      <c r="D603" s="12">
        <f t="shared" si="47"/>
        <v>1.7209076486218429E-3</v>
      </c>
      <c r="E603" s="3">
        <f t="shared" si="48"/>
        <v>7.3925531320439015E-3</v>
      </c>
      <c r="F603" s="18">
        <f t="shared" si="46"/>
        <v>4.8801866779160692</v>
      </c>
      <c r="G603" s="3">
        <f t="shared" si="49"/>
        <v>6.9864929504686894E-3</v>
      </c>
      <c r="H603" s="4">
        <f t="shared" si="45"/>
        <v>4.9334399879473727</v>
      </c>
    </row>
    <row r="604" spans="2:8" x14ac:dyDescent="0.15">
      <c r="B604" s="16">
        <v>41416</v>
      </c>
      <c r="C604" s="11">
        <v>1655.35</v>
      </c>
      <c r="D604" s="12">
        <f t="shared" si="47"/>
        <v>-8.3080390400197494E-3</v>
      </c>
      <c r="E604" s="3">
        <f t="shared" si="48"/>
        <v>7.0380706608169511E-3</v>
      </c>
      <c r="F604" s="18">
        <f t="shared" si="46"/>
        <v>4.2596987319445425</v>
      </c>
      <c r="G604" s="3">
        <f t="shared" si="49"/>
        <v>6.7265245966226595E-3</v>
      </c>
      <c r="H604" s="4">
        <f t="shared" si="45"/>
        <v>4.2389407438944211</v>
      </c>
    </row>
    <row r="605" spans="2:8" x14ac:dyDescent="0.15">
      <c r="B605" s="16">
        <v>41417</v>
      </c>
      <c r="C605" s="11">
        <v>1650.51</v>
      </c>
      <c r="D605" s="12">
        <f t="shared" si="47"/>
        <v>-2.928135769918223E-3</v>
      </c>
      <c r="E605" s="3">
        <f t="shared" si="48"/>
        <v>7.3692785599463028E-3</v>
      </c>
      <c r="F605" s="18">
        <f t="shared" si="46"/>
        <v>4.8314944928298038</v>
      </c>
      <c r="G605" s="3">
        <f t="shared" si="49"/>
        <v>6.8625724605951696E-3</v>
      </c>
      <c r="H605" s="4">
        <f t="shared" si="45"/>
        <v>4.8906441718928022</v>
      </c>
    </row>
    <row r="606" spans="2:8" x14ac:dyDescent="0.15">
      <c r="B606" s="16">
        <v>41418</v>
      </c>
      <c r="C606" s="11">
        <v>1649.6</v>
      </c>
      <c r="D606" s="12">
        <f t="shared" si="47"/>
        <v>-5.5149678226770488E-4</v>
      </c>
      <c r="E606" s="3">
        <f t="shared" si="48"/>
        <v>7.0720894996170553E-3</v>
      </c>
      <c r="F606" s="18">
        <f t="shared" si="46"/>
        <v>4.9485586899586611</v>
      </c>
      <c r="G606" s="3">
        <f t="shared" si="49"/>
        <v>6.6407661751770467E-3</v>
      </c>
      <c r="H606" s="4">
        <f t="shared" si="45"/>
        <v>5.0110795187905532</v>
      </c>
    </row>
    <row r="607" spans="2:8" x14ac:dyDescent="0.15">
      <c r="B607" s="16">
        <v>41422</v>
      </c>
      <c r="C607" s="11">
        <v>1660.06</v>
      </c>
      <c r="D607" s="12">
        <f t="shared" si="47"/>
        <v>6.3209120130071905E-3</v>
      </c>
      <c r="E607" s="3">
        <f t="shared" si="48"/>
        <v>6.736024077744842E-3</v>
      </c>
      <c r="F607" s="18">
        <f t="shared" si="46"/>
        <v>4.5600122454064316</v>
      </c>
      <c r="G607" s="3">
        <f t="shared" si="49"/>
        <v>6.3792260309919599E-3</v>
      </c>
      <c r="H607" s="4">
        <f t="shared" si="45"/>
        <v>4.5638079567830481</v>
      </c>
    </row>
    <row r="608" spans="2:8" x14ac:dyDescent="0.15">
      <c r="B608" s="16">
        <v>41423</v>
      </c>
      <c r="C608" s="11">
        <v>1648.36</v>
      </c>
      <c r="D608" s="12">
        <f t="shared" si="47"/>
        <v>-7.072892060328735E-3</v>
      </c>
      <c r="E608" s="3">
        <f t="shared" si="48"/>
        <v>6.8520703249167923E-3</v>
      </c>
      <c r="F608" s="18">
        <f t="shared" si="46"/>
        <v>4.4504581355942836</v>
      </c>
      <c r="G608" s="3">
        <f t="shared" si="49"/>
        <v>6.3747110546861548E-3</v>
      </c>
      <c r="H608" s="4">
        <f t="shared" si="45"/>
        <v>4.4398952561132203</v>
      </c>
    </row>
    <row r="609" spans="2:8" x14ac:dyDescent="0.15">
      <c r="B609" s="16">
        <v>41424</v>
      </c>
      <c r="C609" s="11">
        <v>1654.41</v>
      </c>
      <c r="D609" s="12">
        <f t="shared" si="47"/>
        <v>3.6635955678957278E-3</v>
      </c>
      <c r="E609" s="3">
        <f t="shared" si="48"/>
        <v>7.0434574378929532E-3</v>
      </c>
      <c r="F609" s="18">
        <f t="shared" si="46"/>
        <v>4.8203824484096423</v>
      </c>
      <c r="G609" s="3">
        <f t="shared" si="49"/>
        <v>6.4317147895370658E-3</v>
      </c>
      <c r="H609" s="4">
        <f t="shared" si="45"/>
        <v>4.8842839669544658</v>
      </c>
    </row>
    <row r="610" spans="2:8" x14ac:dyDescent="0.15">
      <c r="B610" s="16">
        <v>41425</v>
      </c>
      <c r="C610" s="11">
        <v>1630.74</v>
      </c>
      <c r="D610" s="12">
        <f t="shared" si="47"/>
        <v>-1.4410550273650714E-2</v>
      </c>
      <c r="E610" s="3">
        <f t="shared" si="48"/>
        <v>6.8427260121960883E-3</v>
      </c>
      <c r="F610" s="18">
        <f t="shared" si="46"/>
        <v>2.7670220918714188</v>
      </c>
      <c r="G610" s="3">
        <f t="shared" si="49"/>
        <v>6.2605223319383008E-3</v>
      </c>
      <c r="H610" s="4">
        <f t="shared" si="45"/>
        <v>2.4243206351743507</v>
      </c>
    </row>
    <row r="611" spans="2:8" x14ac:dyDescent="0.15">
      <c r="B611" s="16">
        <v>41428</v>
      </c>
      <c r="C611" s="11">
        <v>1640.42</v>
      </c>
      <c r="D611" s="12">
        <f t="shared" si="47"/>
        <v>5.9184070822181989E-3</v>
      </c>
      <c r="E611" s="3">
        <f t="shared" si="48"/>
        <v>8.4200986509534673E-3</v>
      </c>
      <c r="F611" s="18">
        <f t="shared" si="46"/>
        <v>4.5301062294582488</v>
      </c>
      <c r="G611" s="3">
        <f t="shared" si="49"/>
        <v>7.23140438747168E-3</v>
      </c>
      <c r="H611" s="4">
        <f t="shared" si="45"/>
        <v>4.5944071900028911</v>
      </c>
    </row>
    <row r="612" spans="2:8" x14ac:dyDescent="0.15">
      <c r="B612" s="16">
        <v>41429</v>
      </c>
      <c r="C612" s="11">
        <v>1631.38</v>
      </c>
      <c r="D612" s="12">
        <f t="shared" si="47"/>
        <v>-5.5260242096006633E-3</v>
      </c>
      <c r="E612" s="3">
        <f t="shared" si="48"/>
        <v>8.1978819910564354E-3</v>
      </c>
      <c r="F612" s="18">
        <f t="shared" si="46"/>
        <v>4.5766878643725244</v>
      </c>
      <c r="G612" s="3">
        <f t="shared" si="49"/>
        <v>7.1379792903762153E-3</v>
      </c>
      <c r="H612" s="4">
        <f t="shared" si="45"/>
        <v>4.6426543575221473</v>
      </c>
    </row>
    <row r="613" spans="2:8" x14ac:dyDescent="0.15">
      <c r="B613" s="16">
        <v>41430</v>
      </c>
      <c r="C613" s="11">
        <v>1608.9</v>
      </c>
      <c r="D613" s="12">
        <f t="shared" si="47"/>
        <v>-1.3875566725247141E-2</v>
      </c>
      <c r="E613" s="3">
        <f t="shared" si="48"/>
        <v>7.9730013609880003E-3</v>
      </c>
      <c r="F613" s="18">
        <f t="shared" si="46"/>
        <v>3.317338952220271</v>
      </c>
      <c r="G613" s="3">
        <f t="shared" si="49"/>
        <v>7.0259169837407452E-3</v>
      </c>
      <c r="H613" s="4">
        <f t="shared" si="45"/>
        <v>3.0080111283902484</v>
      </c>
    </row>
    <row r="614" spans="2:8" x14ac:dyDescent="0.15">
      <c r="B614" s="16">
        <v>41431</v>
      </c>
      <c r="C614" s="11">
        <v>1622.56</v>
      </c>
      <c r="D614" s="12">
        <f t="shared" si="47"/>
        <v>8.4544332066969503E-3</v>
      </c>
      <c r="E614" s="3">
        <f t="shared" si="48"/>
        <v>9.0868924227862583E-3</v>
      </c>
      <c r="F614" s="18">
        <f t="shared" si="46"/>
        <v>4.2681013947531676</v>
      </c>
      <c r="G614" s="3">
        <f t="shared" si="49"/>
        <v>7.7778704697695437E-3</v>
      </c>
      <c r="H614" s="4">
        <f t="shared" si="45"/>
        <v>4.2657038484614427</v>
      </c>
    </row>
    <row r="615" spans="2:8" x14ac:dyDescent="0.15">
      <c r="B615" s="16">
        <v>41432</v>
      </c>
      <c r="C615" s="11">
        <v>1643.38</v>
      </c>
      <c r="D615" s="12">
        <f t="shared" si="47"/>
        <v>1.2749947667659597E-2</v>
      </c>
      <c r="E615" s="3">
        <f t="shared" si="48"/>
        <v>9.0399673819437799E-3</v>
      </c>
      <c r="F615" s="18">
        <f t="shared" si="46"/>
        <v>3.7114891163234125</v>
      </c>
      <c r="G615" s="3">
        <f t="shared" si="49"/>
        <v>7.832570981155914E-3</v>
      </c>
      <c r="H615" s="4">
        <f t="shared" si="45"/>
        <v>3.5245796343789406</v>
      </c>
    </row>
    <row r="616" spans="2:8" x14ac:dyDescent="0.15">
      <c r="B616" s="16">
        <v>41435</v>
      </c>
      <c r="C616" s="11">
        <v>1642.81</v>
      </c>
      <c r="D616" s="12">
        <f t="shared" si="47"/>
        <v>-3.4690629921981507E-4</v>
      </c>
      <c r="E616" s="3">
        <f t="shared" si="48"/>
        <v>9.663564493854573E-3</v>
      </c>
      <c r="F616" s="18">
        <f t="shared" si="46"/>
        <v>4.638748356794717</v>
      </c>
      <c r="G616" s="3">
        <f t="shared" si="49"/>
        <v>8.3197792064146972E-3</v>
      </c>
      <c r="H616" s="4">
        <f t="shared" si="45"/>
        <v>4.7882502600005274</v>
      </c>
    </row>
    <row r="617" spans="2:8" x14ac:dyDescent="0.15">
      <c r="B617" s="16">
        <v>41436</v>
      </c>
      <c r="C617" s="11">
        <v>1626.13</v>
      </c>
      <c r="D617" s="12">
        <f t="shared" si="47"/>
        <v>-1.020523152075696E-2</v>
      </c>
      <c r="E617" s="3">
        <f t="shared" si="48"/>
        <v>8.9944986233362681E-3</v>
      </c>
      <c r="F617" s="18">
        <f t="shared" si="46"/>
        <v>4.0674743158112472</v>
      </c>
      <c r="G617" s="3">
        <f t="shared" si="49"/>
        <v>7.9903757675541861E-3</v>
      </c>
      <c r="H617" s="4">
        <f t="shared" si="45"/>
        <v>4.0139097840126006</v>
      </c>
    </row>
    <row r="618" spans="2:8" x14ac:dyDescent="0.15">
      <c r="B618" s="16">
        <v>41437</v>
      </c>
      <c r="C618" s="11">
        <v>1612.52</v>
      </c>
      <c r="D618" s="12">
        <f t="shared" si="47"/>
        <v>-8.404786017584211E-3</v>
      </c>
      <c r="E618" s="3">
        <f t="shared" si="48"/>
        <v>9.2078782633893564E-3</v>
      </c>
      <c r="F618" s="18">
        <f t="shared" si="46"/>
        <v>4.2711102909926577</v>
      </c>
      <c r="G618" s="3">
        <f t="shared" si="49"/>
        <v>8.1841071309901106E-3</v>
      </c>
      <c r="H618" s="4">
        <f t="shared" si="45"/>
        <v>4.2782333024685997</v>
      </c>
    </row>
    <row r="619" spans="2:8" x14ac:dyDescent="0.15">
      <c r="B619" s="16">
        <v>41438</v>
      </c>
      <c r="C619" s="11">
        <v>1636.36</v>
      </c>
      <c r="D619" s="12">
        <f t="shared" si="47"/>
        <v>1.4676090161454946E-2</v>
      </c>
      <c r="E619" s="3">
        <f t="shared" si="48"/>
        <v>9.1335551398614798E-3</v>
      </c>
      <c r="F619" s="18">
        <f t="shared" si="46"/>
        <v>3.404845469105485</v>
      </c>
      <c r="G619" s="3">
        <f t="shared" si="49"/>
        <v>8.2014785206957746E-3</v>
      </c>
      <c r="H619" s="4">
        <f t="shared" si="45"/>
        <v>3.2023851266617505</v>
      </c>
    </row>
    <row r="620" spans="2:8" x14ac:dyDescent="0.15">
      <c r="B620" s="16">
        <v>41439</v>
      </c>
      <c r="C620" s="11">
        <v>1626.73</v>
      </c>
      <c r="D620" s="12">
        <f t="shared" si="47"/>
        <v>-5.902398007852176E-3</v>
      </c>
      <c r="E620" s="3">
        <f t="shared" si="48"/>
        <v>1.0096912512902375E-2</v>
      </c>
      <c r="F620" s="18">
        <f t="shared" si="46"/>
        <v>4.4246618960822977</v>
      </c>
      <c r="G620" s="3">
        <f t="shared" si="49"/>
        <v>8.8758840620321387E-3</v>
      </c>
      <c r="H620" s="4">
        <f t="shared" si="45"/>
        <v>4.5033096978822691</v>
      </c>
    </row>
    <row r="621" spans="2:8" x14ac:dyDescent="0.15">
      <c r="B621" s="16">
        <v>41442</v>
      </c>
      <c r="C621" s="11">
        <v>1639.04</v>
      </c>
      <c r="D621" s="12">
        <f t="shared" si="47"/>
        <v>7.5388397237181716E-3</v>
      </c>
      <c r="E621" s="3">
        <f t="shared" si="48"/>
        <v>9.6245527080371495E-3</v>
      </c>
      <c r="F621" s="18">
        <f t="shared" si="46"/>
        <v>4.3366643200858341</v>
      </c>
      <c r="G621" s="3">
        <f t="shared" si="49"/>
        <v>8.6812791269333823E-3</v>
      </c>
      <c r="H621" s="4">
        <f t="shared" si="45"/>
        <v>4.3695254227914972</v>
      </c>
    </row>
    <row r="622" spans="2:8" x14ac:dyDescent="0.15">
      <c r="B622" s="16">
        <v>41443</v>
      </c>
      <c r="C622" s="11">
        <v>1651.81</v>
      </c>
      <c r="D622" s="12">
        <f t="shared" si="47"/>
        <v>7.7609517888806018E-3</v>
      </c>
      <c r="E622" s="3">
        <f t="shared" si="48"/>
        <v>9.3798008013118127E-3</v>
      </c>
      <c r="F622" s="18">
        <f t="shared" si="46"/>
        <v>4.3268921452903184</v>
      </c>
      <c r="G622" s="3">
        <f t="shared" si="49"/>
        <v>8.5978951588560736E-3</v>
      </c>
      <c r="H622" s="4">
        <f t="shared" si="45"/>
        <v>4.3488428633064586</v>
      </c>
    </row>
    <row r="623" spans="2:8" x14ac:dyDescent="0.15">
      <c r="B623" s="16">
        <v>41444</v>
      </c>
      <c r="C623" s="11">
        <v>1628.93</v>
      </c>
      <c r="D623" s="12">
        <f t="shared" si="47"/>
        <v>-1.3948298829170962E-2</v>
      </c>
      <c r="E623" s="3">
        <f t="shared" si="48"/>
        <v>9.199399854477151E-3</v>
      </c>
      <c r="F623" s="18">
        <f t="shared" si="46"/>
        <v>3.5391579942822124</v>
      </c>
      <c r="G623" s="3">
        <f t="shared" si="49"/>
        <v>8.5357629197955875E-3</v>
      </c>
      <c r="H623" s="4">
        <f t="shared" si="45"/>
        <v>3.4283474800995446</v>
      </c>
    </row>
    <row r="624" spans="2:8" x14ac:dyDescent="0.15">
      <c r="B624" s="16">
        <v>41445</v>
      </c>
      <c r="C624" s="11">
        <v>1588.19</v>
      </c>
      <c r="D624" s="12">
        <f t="shared" si="47"/>
        <v>-2.532835452574456E-2</v>
      </c>
      <c r="E624" s="3">
        <f t="shared" si="48"/>
        <v>1.0005500053633329E-2</v>
      </c>
      <c r="F624" s="18">
        <f t="shared" si="46"/>
        <v>1.4005181329611465</v>
      </c>
      <c r="G624" s="3">
        <f t="shared" si="49"/>
        <v>9.0731189392001584E-3</v>
      </c>
      <c r="H624" s="4">
        <f t="shared" si="45"/>
        <v>0.80597447260728927</v>
      </c>
    </row>
    <row r="625" spans="2:8" x14ac:dyDescent="0.15">
      <c r="B625" s="16">
        <v>41446</v>
      </c>
      <c r="C625" s="11">
        <v>1592.43</v>
      </c>
      <c r="D625" s="12">
        <f t="shared" si="47"/>
        <v>2.6661484311964016E-3</v>
      </c>
      <c r="E625" s="3">
        <f t="shared" si="48"/>
        <v>1.3170331272861387E-2</v>
      </c>
      <c r="F625" s="18">
        <f t="shared" si="46"/>
        <v>4.3092984544325716</v>
      </c>
      <c r="G625" s="3">
        <f t="shared" si="49"/>
        <v>1.1216122265582915E-2</v>
      </c>
      <c r="H625" s="4">
        <f t="shared" si="45"/>
        <v>4.4621507885089109</v>
      </c>
    </row>
    <row r="626" spans="2:8" x14ac:dyDescent="0.15">
      <c r="B626" s="16">
        <v>41449</v>
      </c>
      <c r="C626" s="11">
        <v>1573.09</v>
      </c>
      <c r="D626" s="12">
        <f t="shared" si="47"/>
        <v>-1.2219313502973374E-2</v>
      </c>
      <c r="E626" s="3">
        <f t="shared" si="48"/>
        <v>1.2144467356034477E-2</v>
      </c>
      <c r="F626" s="18">
        <f t="shared" si="46"/>
        <v>3.9046996002782564</v>
      </c>
      <c r="G626" s="3">
        <f t="shared" si="49"/>
        <v>1.0796880694155143E-2</v>
      </c>
      <c r="H626" s="4">
        <f t="shared" si="45"/>
        <v>3.8880748732874864</v>
      </c>
    </row>
    <row r="627" spans="2:8" x14ac:dyDescent="0.15">
      <c r="B627" s="16">
        <v>41450</v>
      </c>
      <c r="C627" s="11">
        <v>1588.03</v>
      </c>
      <c r="D627" s="12">
        <f t="shared" si="47"/>
        <v>9.4524163829988878E-3</v>
      </c>
      <c r="E627" s="3">
        <f t="shared" si="48"/>
        <v>1.2062254744171197E-2</v>
      </c>
      <c r="F627" s="18">
        <f t="shared" si="46"/>
        <v>4.1106314982629559</v>
      </c>
      <c r="G627" s="3">
        <f t="shared" si="49"/>
        <v>1.0914128198317989E-2</v>
      </c>
      <c r="H627" s="4">
        <f t="shared" si="45"/>
        <v>4.1426571629058788</v>
      </c>
    </row>
    <row r="628" spans="2:8" x14ac:dyDescent="0.15">
      <c r="B628" s="16">
        <v>41451</v>
      </c>
      <c r="C628" s="11">
        <v>1603.26</v>
      </c>
      <c r="D628" s="12">
        <f t="shared" si="47"/>
        <v>9.5448020236501563E-3</v>
      </c>
      <c r="E628" s="3">
        <f t="shared" si="48"/>
        <v>1.1650285471932306E-2</v>
      </c>
      <c r="F628" s="18">
        <f t="shared" si="46"/>
        <v>4.1168178202353332</v>
      </c>
      <c r="G628" s="3">
        <f t="shared" si="49"/>
        <v>1.0807565856738482E-2</v>
      </c>
      <c r="H628" s="4">
        <f t="shared" si="45"/>
        <v>4.1375236955544334</v>
      </c>
    </row>
    <row r="629" spans="2:8" x14ac:dyDescent="0.15">
      <c r="B629" s="16">
        <v>41452</v>
      </c>
      <c r="C629" s="11">
        <v>1613.2</v>
      </c>
      <c r="D629" s="12">
        <f t="shared" si="47"/>
        <v>6.1807276592703957E-3</v>
      </c>
      <c r="E629" s="3">
        <f t="shared" si="48"/>
        <v>1.1311917153261256E-2</v>
      </c>
      <c r="F629" s="18">
        <f t="shared" si="46"/>
        <v>4.3326270309998129</v>
      </c>
      <c r="G629" s="3">
        <f t="shared" si="49"/>
        <v>1.0714719035224128E-2</v>
      </c>
      <c r="H629" s="4">
        <f t="shared" si="45"/>
        <v>4.3697620341938395</v>
      </c>
    </row>
    <row r="630" spans="2:8" x14ac:dyDescent="0.15">
      <c r="B630" s="16">
        <v>41453</v>
      </c>
      <c r="C630" s="11">
        <v>1606.28</v>
      </c>
      <c r="D630" s="12">
        <f t="shared" si="47"/>
        <v>-4.2988374872954703E-3</v>
      </c>
      <c r="E630" s="3">
        <f t="shared" si="48"/>
        <v>1.0696317854905209E-2</v>
      </c>
      <c r="F630" s="18">
        <f t="shared" si="46"/>
        <v>4.4570943930780258</v>
      </c>
      <c r="G630" s="3">
        <f t="shared" si="49"/>
        <v>1.0433072978251285E-2</v>
      </c>
      <c r="H630" s="4">
        <f t="shared" si="45"/>
        <v>4.4778861768941969</v>
      </c>
    </row>
    <row r="631" spans="2:8" x14ac:dyDescent="0.15">
      <c r="B631" s="16">
        <v>41456</v>
      </c>
      <c r="C631" s="11">
        <v>1614.96</v>
      </c>
      <c r="D631" s="12">
        <f t="shared" si="47"/>
        <v>5.3892420362545825E-3</v>
      </c>
      <c r="E631" s="3">
        <f t="shared" si="48"/>
        <v>1.0031395665767905E-2</v>
      </c>
      <c r="F631" s="18">
        <f t="shared" si="46"/>
        <v>4.4577234661113794</v>
      </c>
      <c r="G631" s="3">
        <f t="shared" si="49"/>
        <v>1.0090715095901702E-2</v>
      </c>
      <c r="H631" s="4">
        <f t="shared" si="45"/>
        <v>4.4535192270270345</v>
      </c>
    </row>
    <row r="632" spans="2:8" x14ac:dyDescent="0.15">
      <c r="B632" s="16">
        <v>41457</v>
      </c>
      <c r="C632" s="11">
        <v>1614.08</v>
      </c>
      <c r="D632" s="12">
        <f t="shared" si="47"/>
        <v>-5.4505365172693261E-4</v>
      </c>
      <c r="E632" s="3">
        <f t="shared" si="48"/>
        <v>9.5270486229260994E-3</v>
      </c>
      <c r="F632" s="18">
        <f t="shared" si="46"/>
        <v>4.6519837432661832</v>
      </c>
      <c r="G632" s="3">
        <f t="shared" si="49"/>
        <v>9.8063123106796758E-3</v>
      </c>
      <c r="H632" s="4">
        <f t="shared" si="45"/>
        <v>4.6231843124903342</v>
      </c>
    </row>
    <row r="633" spans="2:8" x14ac:dyDescent="0.15">
      <c r="B633" s="16">
        <v>41458</v>
      </c>
      <c r="C633" s="11">
        <v>1615.41</v>
      </c>
      <c r="D633" s="12">
        <f t="shared" si="47"/>
        <v>8.236595098241727E-4</v>
      </c>
      <c r="E633" s="3">
        <f t="shared" si="48"/>
        <v>8.8756650249609634E-3</v>
      </c>
      <c r="F633" s="18">
        <f t="shared" si="46"/>
        <v>4.7201361170871392</v>
      </c>
      <c r="G633" s="3">
        <f t="shared" si="49"/>
        <v>9.4185890153968607E-3</v>
      </c>
      <c r="H633" s="4">
        <f t="shared" si="45"/>
        <v>4.6612462001993098</v>
      </c>
    </row>
    <row r="634" spans="2:8" x14ac:dyDescent="0.15">
      <c r="B634" s="16">
        <v>41460</v>
      </c>
      <c r="C634" s="11">
        <v>1631.89</v>
      </c>
      <c r="D634" s="12">
        <f t="shared" si="47"/>
        <v>1.0150057885384197E-2</v>
      </c>
      <c r="E634" s="3">
        <f t="shared" si="48"/>
        <v>8.3067942727487187E-3</v>
      </c>
      <c r="F634" s="18">
        <f t="shared" si="46"/>
        <v>4.0441637716772352</v>
      </c>
      <c r="G634" s="3">
        <f t="shared" si="49"/>
        <v>9.047933169242052E-3</v>
      </c>
      <c r="H634" s="4">
        <f t="shared" si="45"/>
        <v>4.0759905872096995</v>
      </c>
    </row>
    <row r="635" spans="2:8" x14ac:dyDescent="0.15">
      <c r="B635" s="16">
        <v>41463</v>
      </c>
      <c r="C635" s="11">
        <v>1640.46</v>
      </c>
      <c r="D635" s="12">
        <f t="shared" si="47"/>
        <v>5.2378380021182091E-3</v>
      </c>
      <c r="E635" s="3">
        <f t="shared" si="48"/>
        <v>8.653280473922954E-3</v>
      </c>
      <c r="F635" s="18">
        <f t="shared" si="46"/>
        <v>4.5666222265694865</v>
      </c>
      <c r="G635" s="3">
        <f t="shared" si="49"/>
        <v>9.138393853511435E-3</v>
      </c>
      <c r="H635" s="4">
        <f t="shared" si="45"/>
        <v>4.5310096652358123</v>
      </c>
    </row>
    <row r="636" spans="2:8" x14ac:dyDescent="0.15">
      <c r="B636" s="16">
        <v>41464</v>
      </c>
      <c r="C636" s="11">
        <v>1652.32</v>
      </c>
      <c r="D636" s="12">
        <f t="shared" si="47"/>
        <v>7.2036706293219874E-3</v>
      </c>
      <c r="E636" s="3">
        <f t="shared" si="48"/>
        <v>8.3329723222103479E-3</v>
      </c>
      <c r="F636" s="18">
        <f t="shared" si="46"/>
        <v>4.4138740229088338</v>
      </c>
      <c r="G636" s="3">
        <f t="shared" si="49"/>
        <v>8.896640259662851E-3</v>
      </c>
      <c r="H636" s="4">
        <f t="shared" si="45"/>
        <v>4.3942689746727108</v>
      </c>
    </row>
    <row r="637" spans="2:8" x14ac:dyDescent="0.15">
      <c r="B637" s="16">
        <v>41465</v>
      </c>
      <c r="C637" s="11">
        <v>1652.62</v>
      </c>
      <c r="D637" s="12">
        <f t="shared" si="47"/>
        <v>1.8154641283901302E-4</v>
      </c>
      <c r="E637" s="3">
        <f t="shared" si="48"/>
        <v>8.2642305618370656E-3</v>
      </c>
      <c r="F637" s="18">
        <f t="shared" si="46"/>
        <v>4.7955773573563496</v>
      </c>
      <c r="G637" s="3">
        <f t="shared" si="49"/>
        <v>8.7767227587199764E-3</v>
      </c>
      <c r="H637" s="4">
        <f t="shared" si="45"/>
        <v>4.7354382687366492</v>
      </c>
    </row>
    <row r="638" spans="2:8" x14ac:dyDescent="0.15">
      <c r="B638" s="16">
        <v>41466</v>
      </c>
      <c r="C638" s="11">
        <v>1675.02</v>
      </c>
      <c r="D638" s="12">
        <f t="shared" si="47"/>
        <v>1.3463198150456835E-2</v>
      </c>
      <c r="E638" s="3">
        <f t="shared" si="48"/>
        <v>7.7668834680998406E-3</v>
      </c>
      <c r="F638" s="18">
        <f t="shared" si="46"/>
        <v>3.3555301350321955</v>
      </c>
      <c r="G638" s="3">
        <f t="shared" si="49"/>
        <v>8.4287619553501721E-3</v>
      </c>
      <c r="H638" s="4">
        <f t="shared" si="45"/>
        <v>3.5004337341557807</v>
      </c>
    </row>
    <row r="639" spans="2:8" x14ac:dyDescent="0.15">
      <c r="B639" s="16">
        <v>41467</v>
      </c>
      <c r="C639" s="11">
        <v>1680.19</v>
      </c>
      <c r="D639" s="12">
        <f t="shared" si="47"/>
        <v>3.0817767542262128E-3</v>
      </c>
      <c r="E639" s="3">
        <f t="shared" si="48"/>
        <v>8.8533752383392339E-3</v>
      </c>
      <c r="F639" s="18">
        <f t="shared" si="46"/>
        <v>4.6663729747212672</v>
      </c>
      <c r="G639" s="3">
        <f t="shared" si="49"/>
        <v>8.9226394873634183E-3</v>
      </c>
      <c r="H639" s="4">
        <f t="shared" si="45"/>
        <v>4.6595168737091814</v>
      </c>
    </row>
    <row r="640" spans="2:8" x14ac:dyDescent="0.15">
      <c r="B640" s="16">
        <v>41470</v>
      </c>
      <c r="C640" s="11">
        <v>1682.5</v>
      </c>
      <c r="D640" s="12">
        <f t="shared" si="47"/>
        <v>1.3739002782673193E-3</v>
      </c>
      <c r="E640" s="3">
        <f t="shared" si="48"/>
        <v>8.3591677688937445E-3</v>
      </c>
      <c r="F640" s="18">
        <f t="shared" si="46"/>
        <v>4.7708895477055204</v>
      </c>
      <c r="G640" s="3">
        <f t="shared" si="49"/>
        <v>8.6117210681899096E-3</v>
      </c>
      <c r="H640" s="4">
        <f t="shared" si="45"/>
        <v>4.7419048367637462</v>
      </c>
    </row>
    <row r="641" spans="2:8" x14ac:dyDescent="0.15">
      <c r="B641" s="16">
        <v>41471</v>
      </c>
      <c r="C641" s="11">
        <v>1676.26</v>
      </c>
      <c r="D641" s="12">
        <f t="shared" si="47"/>
        <v>-3.7156612435484218E-3</v>
      </c>
      <c r="E641" s="3">
        <f t="shared" si="48"/>
        <v>7.8657393883464818E-3</v>
      </c>
      <c r="F641" s="18">
        <f t="shared" si="46"/>
        <v>4.7336647060405959</v>
      </c>
      <c r="G641" s="3">
        <f t="shared" si="49"/>
        <v>8.2790212834889104E-3</v>
      </c>
      <c r="H641" s="4">
        <f t="shared" si="45"/>
        <v>4.6933178218589964</v>
      </c>
    </row>
    <row r="642" spans="2:8" x14ac:dyDescent="0.15">
      <c r="B642" s="16">
        <v>41472</v>
      </c>
      <c r="C642" s="11">
        <v>1680.91</v>
      </c>
      <c r="D642" s="12">
        <f t="shared" si="47"/>
        <v>2.7701921402020061E-3</v>
      </c>
      <c r="E642" s="3">
        <f t="shared" si="48"/>
        <v>7.5448413908959459E-3</v>
      </c>
      <c r="F642" s="18">
        <f t="shared" si="46"/>
        <v>4.8194866048203524</v>
      </c>
      <c r="G642" s="3">
        <f t="shared" si="49"/>
        <v>8.0178731181662737E-3</v>
      </c>
      <c r="H642" s="4">
        <f t="shared" si="45"/>
        <v>4.7663962329110934</v>
      </c>
    </row>
    <row r="643" spans="2:8" x14ac:dyDescent="0.15">
      <c r="B643" s="16">
        <v>41473</v>
      </c>
      <c r="C643" s="11">
        <v>1689.37</v>
      </c>
      <c r="D643" s="12">
        <f t="shared" si="47"/>
        <v>5.0203649363598224E-3</v>
      </c>
      <c r="E643" s="3">
        <f t="shared" si="48"/>
        <v>7.2137837954163054E-3</v>
      </c>
      <c r="F643" s="18">
        <f t="shared" si="46"/>
        <v>4.6895950160691058</v>
      </c>
      <c r="G643" s="3">
        <f t="shared" si="49"/>
        <v>7.7385075598494796E-3</v>
      </c>
      <c r="H643" s="4">
        <f t="shared" si="45"/>
        <v>4.6511074666211822</v>
      </c>
    </row>
    <row r="644" spans="2:8" x14ac:dyDescent="0.15">
      <c r="B644" s="16">
        <v>41474</v>
      </c>
      <c r="C644" s="11">
        <v>1692.09</v>
      </c>
      <c r="D644" s="12">
        <f t="shared" si="47"/>
        <v>1.6087728890168559E-3</v>
      </c>
      <c r="E644" s="3">
        <f t="shared" si="48"/>
        <v>7.1001727643476304E-3</v>
      </c>
      <c r="F644" s="18">
        <f t="shared" si="46"/>
        <v>4.9219664115985315</v>
      </c>
      <c r="G644" s="3">
        <f t="shared" si="49"/>
        <v>7.5622737343321398E-3</v>
      </c>
      <c r="H644" s="4">
        <f t="shared" si="45"/>
        <v>4.8619549313241057</v>
      </c>
    </row>
    <row r="645" spans="2:8" x14ac:dyDescent="0.15">
      <c r="B645" s="16">
        <v>41477</v>
      </c>
      <c r="C645" s="11">
        <v>1695.53</v>
      </c>
      <c r="D645" s="12">
        <f t="shared" si="47"/>
        <v>2.0309250638510861E-3</v>
      </c>
      <c r="E645" s="3">
        <f t="shared" si="48"/>
        <v>6.7830843751574615E-3</v>
      </c>
      <c r="F645" s="18">
        <f t="shared" si="46"/>
        <v>4.9485001056591962</v>
      </c>
      <c r="G645" s="3">
        <f t="shared" si="49"/>
        <v>7.2761714925108582E-3</v>
      </c>
      <c r="H645" s="4">
        <f t="shared" ref="H645:H708" si="50" xml:space="preserve"> - LN(G645) - 0.5 * ($D645/G645)^2</f>
        <v>4.8841964588416342</v>
      </c>
    </row>
    <row r="646" spans="2:8" x14ac:dyDescent="0.15">
      <c r="B646" s="16">
        <v>41478</v>
      </c>
      <c r="C646" s="11">
        <v>1692.39</v>
      </c>
      <c r="D646" s="12">
        <f t="shared" si="47"/>
        <v>-1.8536452449211241E-3</v>
      </c>
      <c r="E646" s="3">
        <f t="shared" si="48"/>
        <v>6.5276408937491202E-3</v>
      </c>
      <c r="F646" s="18">
        <f t="shared" ref="F646:F709" si="51" xml:space="preserve"> - LN(E646) - 0.5 * (D646/E646)^2</f>
        <v>4.9913905814313067</v>
      </c>
      <c r="G646" s="3">
        <f t="shared" si="49"/>
        <v>7.010486012374792E-3</v>
      </c>
      <c r="H646" s="4">
        <f t="shared" si="50"/>
        <v>4.9253918254838931</v>
      </c>
    </row>
    <row r="647" spans="2:8" x14ac:dyDescent="0.15">
      <c r="B647" s="16">
        <v>41479</v>
      </c>
      <c r="C647" s="11">
        <v>1685.94</v>
      </c>
      <c r="D647" s="12">
        <f t="shared" ref="D647:D710" si="52">LN(C647/C646)</f>
        <v>-3.8184593198933806E-3</v>
      </c>
      <c r="E647" s="3">
        <f t="shared" si="48"/>
        <v>6.3031284240824626E-3</v>
      </c>
      <c r="F647" s="18">
        <f t="shared" si="51"/>
        <v>4.8832100553252697</v>
      </c>
      <c r="G647" s="3">
        <f t="shared" si="49"/>
        <v>6.7522399094656653E-3</v>
      </c>
      <c r="H647" s="4">
        <f t="shared" si="50"/>
        <v>4.8379801998764398</v>
      </c>
    </row>
    <row r="648" spans="2:8" x14ac:dyDescent="0.15">
      <c r="B648" s="16">
        <v>41480</v>
      </c>
      <c r="C648" s="11">
        <v>1690.25</v>
      </c>
      <c r="D648" s="12">
        <f t="shared" si="52"/>
        <v>2.5531752308375314E-3</v>
      </c>
      <c r="E648" s="3">
        <f t="shared" ref="E648:E711" si="53">SQRT($L$18 + $L$19*E647^2 + $L$20*D647^2)</f>
        <v>6.2354192400832448E-3</v>
      </c>
      <c r="F648" s="18">
        <f t="shared" si="51"/>
        <v>4.9936793723963833</v>
      </c>
      <c r="G648" s="3">
        <f t="shared" ref="G648:G711" si="54">SQRT($V$18*G647^2 + (1-$V$18)*D647^2)</f>
        <v>6.5712595797800324E-3</v>
      </c>
      <c r="H648" s="4">
        <f t="shared" si="50"/>
        <v>4.9495693809984971</v>
      </c>
    </row>
    <row r="649" spans="2:8" x14ac:dyDescent="0.15">
      <c r="B649" s="16">
        <v>41481</v>
      </c>
      <c r="C649" s="11">
        <v>1691.65</v>
      </c>
      <c r="D649" s="12">
        <f t="shared" si="52"/>
        <v>8.2793700580897325E-4</v>
      </c>
      <c r="E649" s="3">
        <f t="shared" si="53"/>
        <v>6.0901933683792783E-3</v>
      </c>
      <c r="F649" s="18">
        <f t="shared" si="51"/>
        <v>5.0918347979365457</v>
      </c>
      <c r="G649" s="3">
        <f t="shared" si="54"/>
        <v>6.3506539819890035E-3</v>
      </c>
      <c r="H649" s="4">
        <f t="shared" si="50"/>
        <v>5.0506992675300424</v>
      </c>
    </row>
    <row r="650" spans="2:8" x14ac:dyDescent="0.15">
      <c r="B650" s="16">
        <v>41484</v>
      </c>
      <c r="C650" s="11">
        <v>1685.33</v>
      </c>
      <c r="D650" s="12">
        <f t="shared" si="52"/>
        <v>-3.7429936680698351E-3</v>
      </c>
      <c r="E650" s="3">
        <f t="shared" si="53"/>
        <v>5.9018234155480929E-3</v>
      </c>
      <c r="F650" s="18">
        <f t="shared" si="51"/>
        <v>4.931382949447265</v>
      </c>
      <c r="G650" s="3">
        <f t="shared" si="54"/>
        <v>6.1031348129095371E-3</v>
      </c>
      <c r="H650" s="4">
        <f t="shared" si="50"/>
        <v>4.9108902111011288</v>
      </c>
    </row>
    <row r="651" spans="2:8" x14ac:dyDescent="0.15">
      <c r="B651" s="16">
        <v>41485</v>
      </c>
      <c r="C651" s="11">
        <v>1685.96</v>
      </c>
      <c r="D651" s="12">
        <f t="shared" si="52"/>
        <v>3.7374417942905253E-4</v>
      </c>
      <c r="E651" s="3">
        <f t="shared" si="53"/>
        <v>5.8981376480748077E-3</v>
      </c>
      <c r="F651" s="18">
        <f t="shared" si="51"/>
        <v>5.1311109758241873</v>
      </c>
      <c r="G651" s="3">
        <f t="shared" si="54"/>
        <v>5.953268492267772E-3</v>
      </c>
      <c r="H651" s="4">
        <f t="shared" si="50"/>
        <v>5.1218442408826137</v>
      </c>
    </row>
    <row r="652" spans="2:8" x14ac:dyDescent="0.15">
      <c r="B652" s="16">
        <v>41486</v>
      </c>
      <c r="C652" s="11">
        <v>1685.73</v>
      </c>
      <c r="D652" s="12">
        <f t="shared" si="52"/>
        <v>-1.3643009906418412E-4</v>
      </c>
      <c r="E652" s="3">
        <f t="shared" si="53"/>
        <v>5.7332426118163176E-3</v>
      </c>
      <c r="F652" s="18">
        <f t="shared" si="51"/>
        <v>5.1611908749572297</v>
      </c>
      <c r="G652" s="3">
        <f t="shared" si="54"/>
        <v>5.7180926495047583E-3</v>
      </c>
      <c r="H652" s="4">
        <f t="shared" si="50"/>
        <v>5.1638353472683365</v>
      </c>
    </row>
    <row r="653" spans="2:8" x14ac:dyDescent="0.15">
      <c r="B653" s="16">
        <v>41487</v>
      </c>
      <c r="C653" s="11">
        <v>1706.87</v>
      </c>
      <c r="D653" s="12">
        <f t="shared" si="52"/>
        <v>1.2462579504871753E-2</v>
      </c>
      <c r="E653" s="3">
        <f t="shared" si="53"/>
        <v>5.5929799073753794E-3</v>
      </c>
      <c r="F653" s="18">
        <f t="shared" si="51"/>
        <v>2.7036852490608361</v>
      </c>
      <c r="G653" s="3">
        <f t="shared" si="54"/>
        <v>5.4914266266507866E-3</v>
      </c>
      <c r="H653" s="4">
        <f t="shared" si="50"/>
        <v>2.6293401937976166</v>
      </c>
    </row>
    <row r="654" spans="2:8" x14ac:dyDescent="0.15">
      <c r="B654" s="16">
        <v>41488</v>
      </c>
      <c r="C654" s="11">
        <v>1709.67</v>
      </c>
      <c r="D654" s="12">
        <f t="shared" si="52"/>
        <v>1.6390855232919159E-3</v>
      </c>
      <c r="E654" s="3">
        <f t="shared" si="53"/>
        <v>7.145218596969264E-3</v>
      </c>
      <c r="F654" s="18">
        <f t="shared" si="51"/>
        <v>4.9150005805058035</v>
      </c>
      <c r="G654" s="3">
        <f t="shared" si="54"/>
        <v>6.3156446888222436E-3</v>
      </c>
      <c r="H654" s="4">
        <f t="shared" si="50"/>
        <v>5.0310480941821831</v>
      </c>
    </row>
    <row r="655" spans="2:8" x14ac:dyDescent="0.15">
      <c r="B655" s="16">
        <v>41491</v>
      </c>
      <c r="C655" s="11">
        <v>1707.14</v>
      </c>
      <c r="D655" s="12">
        <f t="shared" si="52"/>
        <v>-1.480913754279429E-3</v>
      </c>
      <c r="E655" s="3">
        <f t="shared" si="53"/>
        <v>6.8227277857271377E-3</v>
      </c>
      <c r="F655" s="18">
        <f t="shared" si="51"/>
        <v>4.9639392728323184</v>
      </c>
      <c r="G655" s="3">
        <f t="shared" si="54"/>
        <v>6.0823423743941885E-3</v>
      </c>
      <c r="H655" s="4">
        <f t="shared" si="50"/>
        <v>5.0727247421877637</v>
      </c>
    </row>
    <row r="656" spans="2:8" x14ac:dyDescent="0.15">
      <c r="B656" s="16">
        <v>41492</v>
      </c>
      <c r="C656" s="11">
        <v>1697.37</v>
      </c>
      <c r="D656" s="12">
        <f t="shared" si="52"/>
        <v>-5.7394613731720544E-3</v>
      </c>
      <c r="E656" s="3">
        <f t="shared" si="53"/>
        <v>6.5414156805847726E-3</v>
      </c>
      <c r="F656" s="18">
        <f t="shared" si="51"/>
        <v>4.6446831728141778</v>
      </c>
      <c r="G656" s="3">
        <f t="shared" si="54"/>
        <v>5.8556757370668332E-3</v>
      </c>
      <c r="H656" s="4">
        <f t="shared" si="50"/>
        <v>4.6599933838547347</v>
      </c>
    </row>
    <row r="657" spans="2:8" x14ac:dyDescent="0.15">
      <c r="B657" s="16">
        <v>41493</v>
      </c>
      <c r="C657" s="11">
        <v>1690.91</v>
      </c>
      <c r="D657" s="12">
        <f t="shared" si="52"/>
        <v>-3.81314875241731E-3</v>
      </c>
      <c r="E657" s="3">
        <f t="shared" si="53"/>
        <v>6.6242813644968278E-3</v>
      </c>
      <c r="F657" s="18">
        <f t="shared" si="51"/>
        <v>4.8513372498935432</v>
      </c>
      <c r="G657" s="3">
        <f t="shared" si="54"/>
        <v>5.8467225190131419E-3</v>
      </c>
      <c r="H657" s="4">
        <f t="shared" si="50"/>
        <v>4.9292009416579923</v>
      </c>
    </row>
    <row r="658" spans="2:8" x14ac:dyDescent="0.15">
      <c r="B658" s="16">
        <v>41494</v>
      </c>
      <c r="C658" s="11">
        <v>1697.48</v>
      </c>
      <c r="D658" s="12">
        <f t="shared" si="52"/>
        <v>3.8779527938558253E-3</v>
      </c>
      <c r="E658" s="3">
        <f t="shared" si="53"/>
        <v>6.5021709300881149E-3</v>
      </c>
      <c r="F658" s="18">
        <f t="shared" si="51"/>
        <v>4.8577673639203267</v>
      </c>
      <c r="G658" s="3">
        <f t="shared" si="54"/>
        <v>5.7146106948343846E-3</v>
      </c>
      <c r="H658" s="4">
        <f t="shared" si="50"/>
        <v>4.934477989280678</v>
      </c>
    </row>
    <row r="659" spans="2:8" x14ac:dyDescent="0.15">
      <c r="B659" s="16">
        <v>41495</v>
      </c>
      <c r="C659" s="11">
        <v>1691.42</v>
      </c>
      <c r="D659" s="12">
        <f t="shared" si="52"/>
        <v>-3.5763855287662917E-3</v>
      </c>
      <c r="E659" s="3">
        <f t="shared" si="53"/>
        <v>6.405617160654989E-3</v>
      </c>
      <c r="F659" s="18">
        <f t="shared" si="51"/>
        <v>4.8947192628431919</v>
      </c>
      <c r="G659" s="3">
        <f t="shared" si="54"/>
        <v>5.5934693424159188E-3</v>
      </c>
      <c r="H659" s="4">
        <f t="shared" si="50"/>
        <v>4.9817483747302784</v>
      </c>
    </row>
    <row r="660" spans="2:8" x14ac:dyDescent="0.15">
      <c r="B660" s="16">
        <v>41498</v>
      </c>
      <c r="C660" s="11">
        <v>1689.47</v>
      </c>
      <c r="D660" s="12">
        <f t="shared" si="52"/>
        <v>-1.1535425383448848E-3</v>
      </c>
      <c r="E660" s="3">
        <f t="shared" si="53"/>
        <v>6.3012086902108381E-3</v>
      </c>
      <c r="F660" s="18">
        <f t="shared" si="51"/>
        <v>5.0502570693523614</v>
      </c>
      <c r="G660" s="3">
        <f t="shared" si="54"/>
        <v>5.4634007206129237E-3</v>
      </c>
      <c r="H660" s="4">
        <f t="shared" si="50"/>
        <v>5.1873937864495634</v>
      </c>
    </row>
    <row r="661" spans="2:8" x14ac:dyDescent="0.15">
      <c r="B661" s="16">
        <v>41499</v>
      </c>
      <c r="C661" s="11">
        <v>1694.16</v>
      </c>
      <c r="D661" s="12">
        <f t="shared" si="52"/>
        <v>2.7721724913956085E-3</v>
      </c>
      <c r="E661" s="3">
        <f t="shared" si="53"/>
        <v>6.0878977065636298E-3</v>
      </c>
      <c r="F661" s="18">
        <f t="shared" si="51"/>
        <v>4.9977770392993008</v>
      </c>
      <c r="G661" s="3">
        <f t="shared" si="54"/>
        <v>5.2565553902977147E-3</v>
      </c>
      <c r="H661" s="4">
        <f t="shared" si="50"/>
        <v>5.1092174820756169</v>
      </c>
    </row>
    <row r="662" spans="2:8" x14ac:dyDescent="0.15">
      <c r="B662" s="16">
        <v>41500</v>
      </c>
      <c r="C662" s="11">
        <v>1685.39</v>
      </c>
      <c r="D662" s="12">
        <f t="shared" si="52"/>
        <v>-5.1900517442756379E-3</v>
      </c>
      <c r="E662" s="3">
        <f t="shared" si="53"/>
        <v>5.9798395696649591E-3</v>
      </c>
      <c r="F662" s="18">
        <f t="shared" si="51"/>
        <v>4.7427147110178787</v>
      </c>
      <c r="G662" s="3">
        <f t="shared" si="54"/>
        <v>5.1069046636970823E-3</v>
      </c>
      <c r="H662" s="4">
        <f t="shared" si="50"/>
        <v>4.7607479521944578</v>
      </c>
    </row>
    <row r="663" spans="2:8" x14ac:dyDescent="0.15">
      <c r="B663" s="16">
        <v>41501</v>
      </c>
      <c r="C663" s="11">
        <v>1661.32</v>
      </c>
      <c r="D663" s="12">
        <f t="shared" si="52"/>
        <v>-1.4384523926260438E-2</v>
      </c>
      <c r="E663" s="3">
        <f t="shared" si="53"/>
        <v>6.1075470560143404E-3</v>
      </c>
      <c r="F663" s="18">
        <f t="shared" si="51"/>
        <v>2.3247353086690787</v>
      </c>
      <c r="G663" s="3">
        <f t="shared" si="54"/>
        <v>5.1134180915377364E-3</v>
      </c>
      <c r="H663" s="4">
        <f t="shared" si="50"/>
        <v>1.3191392743601882</v>
      </c>
    </row>
    <row r="664" spans="2:8" x14ac:dyDescent="0.15">
      <c r="B664" s="16">
        <v>41502</v>
      </c>
      <c r="C664" s="11">
        <v>1655.83</v>
      </c>
      <c r="D664" s="12">
        <f t="shared" si="52"/>
        <v>-3.3100734140073594E-3</v>
      </c>
      <c r="E664" s="3">
        <f t="shared" si="53"/>
        <v>7.9367406055468204E-3</v>
      </c>
      <c r="F664" s="18">
        <f t="shared" si="51"/>
        <v>4.7492843106166802</v>
      </c>
      <c r="G664" s="3">
        <f t="shared" si="54"/>
        <v>6.3405281367143454E-3</v>
      </c>
      <c r="H664" s="4">
        <f t="shared" si="50"/>
        <v>4.9245250527773781</v>
      </c>
    </row>
    <row r="665" spans="2:8" x14ac:dyDescent="0.15">
      <c r="B665" s="16">
        <v>41505</v>
      </c>
      <c r="C665" s="11">
        <v>1646.06</v>
      </c>
      <c r="D665" s="12">
        <f t="shared" si="52"/>
        <v>-5.9178400932658947E-3</v>
      </c>
      <c r="E665" s="3">
        <f t="shared" si="53"/>
        <v>7.5800834401423371E-3</v>
      </c>
      <c r="F665" s="18">
        <f t="shared" si="51"/>
        <v>4.5774777248454424</v>
      </c>
      <c r="G665" s="3">
        <f t="shared" si="54"/>
        <v>6.1585996043528775E-3</v>
      </c>
      <c r="H665" s="4">
        <f t="shared" si="50"/>
        <v>4.6282349477234632</v>
      </c>
    </row>
    <row r="666" spans="2:8" x14ac:dyDescent="0.15">
      <c r="B666" s="16">
        <v>41506</v>
      </c>
      <c r="C666" s="11">
        <v>1652.35</v>
      </c>
      <c r="D666" s="12">
        <f t="shared" si="52"/>
        <v>3.8139634700918462E-3</v>
      </c>
      <c r="E666" s="3">
        <f t="shared" si="53"/>
        <v>7.4957851942453468E-3</v>
      </c>
      <c r="F666" s="18">
        <f t="shared" si="51"/>
        <v>4.7639683420575105</v>
      </c>
      <c r="G666" s="3">
        <f t="shared" si="54"/>
        <v>6.1402182571796502E-3</v>
      </c>
      <c r="H666" s="4">
        <f t="shared" si="50"/>
        <v>4.8999846778801013</v>
      </c>
    </row>
    <row r="667" spans="2:8" x14ac:dyDescent="0.15">
      <c r="B667" s="16">
        <v>41507</v>
      </c>
      <c r="C667" s="11">
        <v>1642.8</v>
      </c>
      <c r="D667" s="12">
        <f t="shared" si="52"/>
        <v>-5.7964139652054766E-3</v>
      </c>
      <c r="E667" s="3">
        <f t="shared" si="53"/>
        <v>7.2364684803387525E-3</v>
      </c>
      <c r="F667" s="18">
        <f t="shared" si="51"/>
        <v>4.6078211703062451</v>
      </c>
      <c r="G667" s="3">
        <f t="shared" si="54"/>
        <v>5.9918135616878997E-3</v>
      </c>
      <c r="H667" s="4">
        <f t="shared" si="50"/>
        <v>4.6494405002558237</v>
      </c>
    </row>
    <row r="668" spans="2:8" x14ac:dyDescent="0.15">
      <c r="B668" s="16">
        <v>41508</v>
      </c>
      <c r="C668" s="11">
        <v>1656.96</v>
      </c>
      <c r="D668" s="12">
        <f t="shared" si="52"/>
        <v>8.5824950407145766E-3</v>
      </c>
      <c r="E668" s="3">
        <f t="shared" si="53"/>
        <v>7.1986344314632069E-3</v>
      </c>
      <c r="F668" s="18">
        <f t="shared" si="51"/>
        <v>4.2231466316538624</v>
      </c>
      <c r="G668" s="3">
        <f t="shared" si="54"/>
        <v>5.9768496594149933E-3</v>
      </c>
      <c r="H668" s="4">
        <f t="shared" si="50"/>
        <v>4.0888763865063975</v>
      </c>
    </row>
    <row r="669" spans="2:8" x14ac:dyDescent="0.15">
      <c r="B669" s="16">
        <v>41509</v>
      </c>
      <c r="C669" s="11">
        <v>1663.5</v>
      </c>
      <c r="D669" s="12">
        <f t="shared" si="52"/>
        <v>3.9392183354132132E-3</v>
      </c>
      <c r="E669" s="3">
        <f t="shared" si="53"/>
        <v>7.5371876668344539E-3</v>
      </c>
      <c r="F669" s="18">
        <f t="shared" si="51"/>
        <v>4.7513310786199785</v>
      </c>
      <c r="G669" s="3">
        <f t="shared" si="54"/>
        <v>6.2187149586763607E-3</v>
      </c>
      <c r="H669" s="4">
        <f t="shared" si="50"/>
        <v>4.8795652557445273</v>
      </c>
    </row>
    <row r="670" spans="2:8" x14ac:dyDescent="0.15">
      <c r="B670" s="16">
        <v>41512</v>
      </c>
      <c r="C670" s="11">
        <v>1656.78</v>
      </c>
      <c r="D670" s="12">
        <f t="shared" si="52"/>
        <v>-4.047856913079035E-3</v>
      </c>
      <c r="E670" s="3">
        <f t="shared" si="53"/>
        <v>7.2806915641297912E-3</v>
      </c>
      <c r="F670" s="18">
        <f t="shared" si="51"/>
        <v>4.7679772792034338</v>
      </c>
      <c r="G670" s="3">
        <f t="shared" si="54"/>
        <v>6.0722353453411312E-3</v>
      </c>
      <c r="H670" s="4">
        <f t="shared" si="50"/>
        <v>4.881839192106125</v>
      </c>
    </row>
    <row r="671" spans="2:8" x14ac:dyDescent="0.15">
      <c r="B671" s="16">
        <v>41513</v>
      </c>
      <c r="C671" s="11">
        <v>1630.48</v>
      </c>
      <c r="D671" s="12">
        <f t="shared" si="52"/>
        <v>-1.6001509567328324E-2</v>
      </c>
      <c r="E671" s="3">
        <f t="shared" si="53"/>
        <v>7.0718196926291442E-3</v>
      </c>
      <c r="F671" s="18">
        <f t="shared" si="51"/>
        <v>2.3916988013135967</v>
      </c>
      <c r="G671" s="3">
        <f t="shared" si="54"/>
        <v>5.9396228909025881E-3</v>
      </c>
      <c r="H671" s="4">
        <f t="shared" si="50"/>
        <v>1.4972165690943497</v>
      </c>
    </row>
    <row r="672" spans="2:8" x14ac:dyDescent="0.15">
      <c r="B672" s="16">
        <v>41514</v>
      </c>
      <c r="C672" s="11">
        <v>1634.96</v>
      </c>
      <c r="D672" s="12">
        <f t="shared" si="52"/>
        <v>2.7438892221566106E-3</v>
      </c>
      <c r="E672" s="3">
        <f t="shared" si="53"/>
        <v>8.948590630544314E-3</v>
      </c>
      <c r="F672" s="18">
        <f t="shared" si="51"/>
        <v>4.669248838819283</v>
      </c>
      <c r="G672" s="3">
        <f t="shared" si="54"/>
        <v>7.241866717249021E-3</v>
      </c>
      <c r="H672" s="4">
        <f t="shared" si="50"/>
        <v>4.8560964962663311</v>
      </c>
    </row>
    <row r="673" spans="2:8" x14ac:dyDescent="0.15">
      <c r="B673" s="16">
        <v>41515</v>
      </c>
      <c r="C673" s="11">
        <v>1638.17</v>
      </c>
      <c r="D673" s="12">
        <f t="shared" si="52"/>
        <v>1.9614259312179068E-3</v>
      </c>
      <c r="E673" s="3">
        <f t="shared" si="53"/>
        <v>8.426032559192026E-3</v>
      </c>
      <c r="F673" s="18">
        <f t="shared" si="51"/>
        <v>4.7493355983379244</v>
      </c>
      <c r="G673" s="3">
        <f t="shared" si="54"/>
        <v>6.9965915407257714E-3</v>
      </c>
      <c r="H673" s="4">
        <f t="shared" si="50"/>
        <v>4.9230368550186991</v>
      </c>
    </row>
    <row r="674" spans="2:8" x14ac:dyDescent="0.15">
      <c r="B674" s="16">
        <v>41516</v>
      </c>
      <c r="C674" s="11">
        <v>1632.97</v>
      </c>
      <c r="D674" s="12">
        <f t="shared" si="52"/>
        <v>-3.1793224259261555E-3</v>
      </c>
      <c r="E674" s="3">
        <f t="shared" si="53"/>
        <v>7.9407686930034176E-3</v>
      </c>
      <c r="F674" s="18">
        <f t="shared" si="51"/>
        <v>4.7555932517274675</v>
      </c>
      <c r="G674" s="3">
        <f t="shared" si="54"/>
        <v>6.7413074901291527E-3</v>
      </c>
      <c r="H674" s="4">
        <f t="shared" si="50"/>
        <v>4.8882895813918914</v>
      </c>
    </row>
    <row r="675" spans="2:8" x14ac:dyDescent="0.15">
      <c r="B675" s="16">
        <v>41520</v>
      </c>
      <c r="C675" s="11">
        <v>1639.77</v>
      </c>
      <c r="D675" s="12">
        <f t="shared" si="52"/>
        <v>4.1555453751369511E-3</v>
      </c>
      <c r="E675" s="3">
        <f t="shared" si="53"/>
        <v>7.5759451464732933E-3</v>
      </c>
      <c r="F675" s="18">
        <f t="shared" si="51"/>
        <v>4.7323409412897828</v>
      </c>
      <c r="G675" s="3">
        <f t="shared" si="54"/>
        <v>6.5343439523832996E-3</v>
      </c>
      <c r="H675" s="4">
        <f t="shared" si="50"/>
        <v>4.8284642701686407</v>
      </c>
    </row>
    <row r="676" spans="2:8" x14ac:dyDescent="0.15">
      <c r="B676" s="16">
        <v>41521</v>
      </c>
      <c r="C676" s="11">
        <v>1653.08</v>
      </c>
      <c r="D676" s="12">
        <f t="shared" si="52"/>
        <v>8.0842264234291927E-3</v>
      </c>
      <c r="E676" s="3">
        <f t="shared" si="53"/>
        <v>7.3298203510141586E-3</v>
      </c>
      <c r="F676" s="18">
        <f t="shared" si="51"/>
        <v>4.3075848547682298</v>
      </c>
      <c r="G676" s="3">
        <f t="shared" si="54"/>
        <v>6.3812582766267813E-3</v>
      </c>
      <c r="H676" s="4">
        <f t="shared" si="50"/>
        <v>4.2519098330490852</v>
      </c>
    </row>
    <row r="677" spans="2:8" x14ac:dyDescent="0.15">
      <c r="B677" s="16">
        <v>41522</v>
      </c>
      <c r="C677" s="11">
        <v>1655.08</v>
      </c>
      <c r="D677" s="12">
        <f t="shared" si="52"/>
        <v>1.2091315073432651E-3</v>
      </c>
      <c r="E677" s="3">
        <f t="shared" si="53"/>
        <v>7.5660142344510265E-3</v>
      </c>
      <c r="F677" s="18">
        <f t="shared" si="51"/>
        <v>4.8713191103018501</v>
      </c>
      <c r="G677" s="3">
        <f t="shared" si="54"/>
        <v>6.5296133119254474E-3</v>
      </c>
      <c r="H677" s="4">
        <f t="shared" si="50"/>
        <v>5.0142623704290994</v>
      </c>
    </row>
    <row r="678" spans="2:8" x14ac:dyDescent="0.15">
      <c r="B678" s="16">
        <v>41523</v>
      </c>
      <c r="C678" s="11">
        <v>1655.17</v>
      </c>
      <c r="D678" s="12">
        <f t="shared" si="52"/>
        <v>5.4376557675273835E-5</v>
      </c>
      <c r="E678" s="3">
        <f t="shared" si="53"/>
        <v>7.173418474625784E-3</v>
      </c>
      <c r="F678" s="18">
        <f t="shared" si="51"/>
        <v>4.9373442329261952</v>
      </c>
      <c r="G678" s="3">
        <f t="shared" si="54"/>
        <v>6.2796855689633583E-3</v>
      </c>
      <c r="H678" s="4">
        <f t="shared" si="50"/>
        <v>5.0703978782029901</v>
      </c>
    </row>
    <row r="679" spans="2:8" x14ac:dyDescent="0.15">
      <c r="B679" s="16">
        <v>41526</v>
      </c>
      <c r="C679" s="11">
        <v>1671.71</v>
      </c>
      <c r="D679" s="12">
        <f t="shared" si="52"/>
        <v>9.9433320560937486E-3</v>
      </c>
      <c r="E679" s="3">
        <f t="shared" si="53"/>
        <v>6.8202946892002448E-3</v>
      </c>
      <c r="F679" s="18">
        <f t="shared" si="51"/>
        <v>3.9251111716351117</v>
      </c>
      <c r="G679" s="3">
        <f t="shared" si="54"/>
        <v>6.0306322667754778E-3</v>
      </c>
      <c r="H679" s="4">
        <f t="shared" si="50"/>
        <v>3.7516257079908915</v>
      </c>
    </row>
    <row r="680" spans="2:8" x14ac:dyDescent="0.15">
      <c r="B680" s="16">
        <v>41527</v>
      </c>
      <c r="C680" s="11">
        <v>1683.99</v>
      </c>
      <c r="D680" s="12">
        <f t="shared" si="52"/>
        <v>7.3189229171092005E-3</v>
      </c>
      <c r="E680" s="3">
        <f t="shared" si="53"/>
        <v>7.4754706087659037E-3</v>
      </c>
      <c r="F680" s="18">
        <f t="shared" si="51"/>
        <v>4.4168504470091214</v>
      </c>
      <c r="G680" s="3">
        <f t="shared" si="54"/>
        <v>6.4209192832312637E-3</v>
      </c>
      <c r="H680" s="4">
        <f t="shared" si="50"/>
        <v>4.3985582111167547</v>
      </c>
    </row>
    <row r="681" spans="2:8" x14ac:dyDescent="0.15">
      <c r="B681" s="16">
        <v>41528</v>
      </c>
      <c r="C681" s="11">
        <v>1689.13</v>
      </c>
      <c r="D681" s="12">
        <f t="shared" si="52"/>
        <v>3.0476259239930587E-3</v>
      </c>
      <c r="E681" s="3">
        <f t="shared" si="53"/>
        <v>7.5771045076323887E-3</v>
      </c>
      <c r="F681" s="18">
        <f t="shared" si="51"/>
        <v>4.8017356459746852</v>
      </c>
      <c r="G681" s="3">
        <f t="shared" si="54"/>
        <v>6.4951949058535781E-3</v>
      </c>
      <c r="H681" s="4">
        <f t="shared" si="50"/>
        <v>4.9266124873393853</v>
      </c>
    </row>
    <row r="682" spans="2:8" x14ac:dyDescent="0.15">
      <c r="B682" s="16">
        <v>41529</v>
      </c>
      <c r="C682" s="11">
        <v>1683.42</v>
      </c>
      <c r="D682" s="12">
        <f t="shared" si="52"/>
        <v>-3.3861650418574234E-3</v>
      </c>
      <c r="E682" s="3">
        <f t="shared" si="53"/>
        <v>7.2565590797602931E-3</v>
      </c>
      <c r="F682" s="18">
        <f t="shared" si="51"/>
        <v>4.8169753685364922</v>
      </c>
      <c r="G682" s="3">
        <f t="shared" si="54"/>
        <v>6.295197574326318E-3</v>
      </c>
      <c r="H682" s="4">
        <f t="shared" si="50"/>
        <v>4.9233018780904176</v>
      </c>
    </row>
    <row r="683" spans="2:8" x14ac:dyDescent="0.15">
      <c r="B683" s="16">
        <v>41530</v>
      </c>
      <c r="C683" s="11">
        <v>1687.99</v>
      </c>
      <c r="D683" s="12">
        <f t="shared" si="52"/>
        <v>2.7110335432424617E-3</v>
      </c>
      <c r="E683" s="3">
        <f t="shared" si="53"/>
        <v>7.0039635351647244E-3</v>
      </c>
      <c r="F683" s="18">
        <f t="shared" si="51"/>
        <v>4.8863669601559341</v>
      </c>
      <c r="G683" s="3">
        <f t="shared" si="54"/>
        <v>6.118800355192809E-3</v>
      </c>
      <c r="H683" s="4">
        <f t="shared" si="50"/>
        <v>4.9982353989726205</v>
      </c>
    </row>
    <row r="684" spans="2:8" x14ac:dyDescent="0.15">
      <c r="B684" s="16">
        <v>41533</v>
      </c>
      <c r="C684" s="11">
        <v>1697.6</v>
      </c>
      <c r="D684" s="12">
        <f t="shared" si="52"/>
        <v>5.6770168919803715E-3</v>
      </c>
      <c r="E684" s="3">
        <f t="shared" si="53"/>
        <v>6.7486349676211168E-3</v>
      </c>
      <c r="F684" s="18">
        <f t="shared" si="51"/>
        <v>4.6445981798411644</v>
      </c>
      <c r="G684" s="3">
        <f t="shared" si="54"/>
        <v>5.9245356344196027E-3</v>
      </c>
      <c r="H684" s="4">
        <f t="shared" si="50"/>
        <v>4.6695588332304965</v>
      </c>
    </row>
    <row r="685" spans="2:8" x14ac:dyDescent="0.15">
      <c r="B685" s="16">
        <v>41534</v>
      </c>
      <c r="C685" s="11">
        <v>1704.76</v>
      </c>
      <c r="D685" s="12">
        <f t="shared" si="52"/>
        <v>4.2088494865901299E-3</v>
      </c>
      <c r="E685" s="3">
        <f t="shared" si="53"/>
        <v>6.7854160774645849E-3</v>
      </c>
      <c r="F685" s="18">
        <f t="shared" si="51"/>
        <v>4.800606792927411</v>
      </c>
      <c r="G685" s="3">
        <f t="shared" si="54"/>
        <v>5.905662217645039E-3</v>
      </c>
      <c r="H685" s="4">
        <f t="shared" si="50"/>
        <v>4.8778870412539748</v>
      </c>
    </row>
    <row r="686" spans="2:8" x14ac:dyDescent="0.15">
      <c r="B686" s="16">
        <v>41535</v>
      </c>
      <c r="C686" s="11">
        <v>1725.52</v>
      </c>
      <c r="D686" s="12">
        <f t="shared" si="52"/>
        <v>1.2104115967809937E-2</v>
      </c>
      <c r="E686" s="3">
        <f t="shared" si="53"/>
        <v>6.6693523815796081E-3</v>
      </c>
      <c r="F686" s="18">
        <f t="shared" si="51"/>
        <v>3.3633264584920033</v>
      </c>
      <c r="G686" s="3">
        <f t="shared" si="54"/>
        <v>5.7915811313135109E-3</v>
      </c>
      <c r="H686" s="4">
        <f t="shared" si="50"/>
        <v>2.9674040892359623</v>
      </c>
    </row>
    <row r="687" spans="2:8" x14ac:dyDescent="0.15">
      <c r="B687" s="16">
        <v>41536</v>
      </c>
      <c r="C687" s="11">
        <v>1722.34</v>
      </c>
      <c r="D687" s="12">
        <f t="shared" si="52"/>
        <v>-1.8446229845168335E-3</v>
      </c>
      <c r="E687" s="3">
        <f t="shared" si="53"/>
        <v>7.7896483449858616E-3</v>
      </c>
      <c r="F687" s="18">
        <f t="shared" si="51"/>
        <v>4.8269214005871284</v>
      </c>
      <c r="G687" s="3">
        <f t="shared" si="54"/>
        <v>6.5058416453201654E-3</v>
      </c>
      <c r="H687" s="4">
        <f t="shared" si="50"/>
        <v>4.9948592147356221</v>
      </c>
    </row>
    <row r="688" spans="2:8" x14ac:dyDescent="0.15">
      <c r="B688" s="16">
        <v>41537</v>
      </c>
      <c r="C688" s="11">
        <v>1709.91</v>
      </c>
      <c r="D688" s="12">
        <f t="shared" si="52"/>
        <v>-7.2430937969337897E-3</v>
      </c>
      <c r="E688" s="3">
        <f t="shared" si="53"/>
        <v>7.3848698008937771E-3</v>
      </c>
      <c r="F688" s="18">
        <f t="shared" si="51"/>
        <v>4.4273358809024419</v>
      </c>
      <c r="G688" s="3">
        <f t="shared" si="54"/>
        <v>6.2689361691689472E-3</v>
      </c>
      <c r="H688" s="4">
        <f t="shared" si="50"/>
        <v>4.4046804891562159</v>
      </c>
    </row>
    <row r="689" spans="2:8" x14ac:dyDescent="0.15">
      <c r="B689" s="16">
        <v>41540</v>
      </c>
      <c r="C689" s="11">
        <v>1701.84</v>
      </c>
      <c r="D689" s="12">
        <f t="shared" si="52"/>
        <v>-4.7307188688171364E-3</v>
      </c>
      <c r="E689" s="3">
        <f t="shared" si="53"/>
        <v>7.4939311301801962E-3</v>
      </c>
      <c r="F689" s="18">
        <f t="shared" si="51"/>
        <v>4.694408759264487</v>
      </c>
      <c r="G689" s="3">
        <f t="shared" si="54"/>
        <v>6.3500404981809092E-3</v>
      </c>
      <c r="H689" s="4">
        <f t="shared" si="50"/>
        <v>4.7817887805019703</v>
      </c>
    </row>
    <row r="690" spans="2:8" x14ac:dyDescent="0.15">
      <c r="B690" s="16">
        <v>41541</v>
      </c>
      <c r="C690" s="11">
        <v>1697.42</v>
      </c>
      <c r="D690" s="12">
        <f t="shared" si="52"/>
        <v>-2.6005674711671984E-3</v>
      </c>
      <c r="E690" s="3">
        <f t="shared" si="53"/>
        <v>7.3079916822715984E-3</v>
      </c>
      <c r="F690" s="18">
        <f t="shared" si="51"/>
        <v>4.8554712601755332</v>
      </c>
      <c r="G690" s="3">
        <f t="shared" si="54"/>
        <v>6.2392198300611984E-3</v>
      </c>
      <c r="H690" s="4">
        <f t="shared" si="50"/>
        <v>4.9900349602557288</v>
      </c>
    </row>
    <row r="691" spans="2:8" x14ac:dyDescent="0.15">
      <c r="B691" s="16">
        <v>41542</v>
      </c>
      <c r="C691" s="11">
        <v>1692.77</v>
      </c>
      <c r="D691" s="12">
        <f t="shared" si="52"/>
        <v>-2.7432108029442847E-3</v>
      </c>
      <c r="E691" s="3">
        <f t="shared" si="53"/>
        <v>7.0022359734499802E-3</v>
      </c>
      <c r="F691" s="18">
        <f t="shared" si="51"/>
        <v>4.8847869771979564</v>
      </c>
      <c r="G691" s="3">
        <f t="shared" si="54"/>
        <v>6.0354733700688622E-3</v>
      </c>
      <c r="H691" s="4">
        <f t="shared" si="50"/>
        <v>5.006809226355454</v>
      </c>
    </row>
    <row r="692" spans="2:8" x14ac:dyDescent="0.15">
      <c r="B692" s="16">
        <v>41543</v>
      </c>
      <c r="C692" s="11">
        <v>1698.67</v>
      </c>
      <c r="D692" s="12">
        <f t="shared" si="52"/>
        <v>3.4793515156158698E-3</v>
      </c>
      <c r="E692" s="3">
        <f t="shared" si="53"/>
        <v>6.7489300011196827E-3</v>
      </c>
      <c r="F692" s="18">
        <f t="shared" si="51"/>
        <v>4.8654799371965156</v>
      </c>
      <c r="G692" s="3">
        <f t="shared" si="54"/>
        <v>5.8463438327144967E-3</v>
      </c>
      <c r="H692" s="4">
        <f t="shared" si="50"/>
        <v>4.9648472191263888</v>
      </c>
    </row>
    <row r="693" spans="2:8" x14ac:dyDescent="0.15">
      <c r="B693" s="16">
        <v>41544</v>
      </c>
      <c r="C693" s="11">
        <v>1691.75</v>
      </c>
      <c r="D693" s="12">
        <f t="shared" si="52"/>
        <v>-4.0820957930202389E-3</v>
      </c>
      <c r="E693" s="3">
        <f t="shared" si="53"/>
        <v>6.5813634486071512E-3</v>
      </c>
      <c r="F693" s="18">
        <f t="shared" si="51"/>
        <v>4.831157830862594</v>
      </c>
      <c r="G693" s="3">
        <f t="shared" si="54"/>
        <v>5.6976682541768752E-3</v>
      </c>
      <c r="H693" s="4">
        <f t="shared" si="50"/>
        <v>4.9110477922405229</v>
      </c>
    </row>
    <row r="694" spans="2:8" x14ac:dyDescent="0.15">
      <c r="B694" s="16">
        <v>41547</v>
      </c>
      <c r="C694" s="11">
        <v>1681.55</v>
      </c>
      <c r="D694" s="12">
        <f t="shared" si="52"/>
        <v>-6.0475090187600816E-3</v>
      </c>
      <c r="E694" s="3">
        <f t="shared" si="53"/>
        <v>6.488589704532673E-3</v>
      </c>
      <c r="F694" s="18">
        <f t="shared" si="51"/>
        <v>4.6033774749393341</v>
      </c>
      <c r="G694" s="3">
        <f t="shared" si="54"/>
        <v>5.5888218082900034E-3</v>
      </c>
      <c r="H694" s="4">
        <f t="shared" si="50"/>
        <v>4.6015465988949815</v>
      </c>
    </row>
    <row r="695" spans="2:8" x14ac:dyDescent="0.15">
      <c r="B695" s="16">
        <v>41548</v>
      </c>
      <c r="C695" s="11">
        <v>1695</v>
      </c>
      <c r="D695" s="12">
        <f t="shared" si="52"/>
        <v>7.9667537209757739E-3</v>
      </c>
      <c r="E695" s="3">
        <f t="shared" si="53"/>
        <v>6.6188826890923209E-3</v>
      </c>
      <c r="F695" s="18">
        <f t="shared" si="51"/>
        <v>4.2934537563097583</v>
      </c>
      <c r="G695" s="3">
        <f t="shared" si="54"/>
        <v>5.6258272286459545E-3</v>
      </c>
      <c r="H695" s="4">
        <f t="shared" si="50"/>
        <v>4.1777126942961686</v>
      </c>
    </row>
    <row r="696" spans="2:8" x14ac:dyDescent="0.15">
      <c r="B696" s="16">
        <v>41549</v>
      </c>
      <c r="C696" s="11">
        <v>1693.87</v>
      </c>
      <c r="D696" s="12">
        <f t="shared" si="52"/>
        <v>-6.6688898770376765E-4</v>
      </c>
      <c r="E696" s="3">
        <f t="shared" si="53"/>
        <v>6.9899682748536295E-3</v>
      </c>
      <c r="F696" s="18">
        <f t="shared" si="51"/>
        <v>4.9587280533636591</v>
      </c>
      <c r="G696" s="3">
        <f t="shared" si="54"/>
        <v>5.8415733803284875E-3</v>
      </c>
      <c r="H696" s="4">
        <f t="shared" si="50"/>
        <v>5.1362385586187074</v>
      </c>
    </row>
    <row r="697" spans="2:8" x14ac:dyDescent="0.15">
      <c r="B697" s="16">
        <v>41550</v>
      </c>
      <c r="C697" s="11">
        <v>1678.66</v>
      </c>
      <c r="D697" s="12">
        <f t="shared" si="52"/>
        <v>-9.0199957444824265E-3</v>
      </c>
      <c r="E697" s="3">
        <f t="shared" si="53"/>
        <v>6.6668189760436449E-3</v>
      </c>
      <c r="F697" s="18">
        <f t="shared" si="51"/>
        <v>4.0953506329725444</v>
      </c>
      <c r="G697" s="3">
        <f t="shared" si="54"/>
        <v>5.6129591644932062E-3</v>
      </c>
      <c r="H697" s="4">
        <f t="shared" si="50"/>
        <v>3.8914612021395909</v>
      </c>
    </row>
    <row r="698" spans="2:8" x14ac:dyDescent="0.15">
      <c r="B698" s="16">
        <v>41551</v>
      </c>
      <c r="C698" s="11">
        <v>1690.5</v>
      </c>
      <c r="D698" s="12">
        <f t="shared" si="52"/>
        <v>7.0284870655762189E-3</v>
      </c>
      <c r="E698" s="3">
        <f t="shared" si="53"/>
        <v>7.1978942672357793E-3</v>
      </c>
      <c r="F698" s="18">
        <f t="shared" si="51"/>
        <v>4.4572254562585298</v>
      </c>
      <c r="G698" s="3">
        <f t="shared" si="54"/>
        <v>5.9482516709410656E-3</v>
      </c>
      <c r="H698" s="4">
        <f t="shared" si="50"/>
        <v>4.4265621256807588</v>
      </c>
    </row>
    <row r="699" spans="2:8" x14ac:dyDescent="0.15">
      <c r="B699" s="16">
        <v>41554</v>
      </c>
      <c r="C699" s="11">
        <v>1676.12</v>
      </c>
      <c r="D699" s="12">
        <f t="shared" si="52"/>
        <v>-8.5427446236556424E-3</v>
      </c>
      <c r="E699" s="3">
        <f t="shared" si="53"/>
        <v>7.3149337893784801E-3</v>
      </c>
      <c r="F699" s="18">
        <f t="shared" si="51"/>
        <v>4.2359006127351879</v>
      </c>
      <c r="G699" s="3">
        <f t="shared" si="54"/>
        <v>6.0391752098276135E-3</v>
      </c>
      <c r="H699" s="4">
        <f t="shared" si="50"/>
        <v>4.1090051096865139</v>
      </c>
    </row>
    <row r="700" spans="2:8" x14ac:dyDescent="0.15">
      <c r="B700" s="16">
        <v>41555</v>
      </c>
      <c r="C700" s="11">
        <v>1655.45</v>
      </c>
      <c r="D700" s="12">
        <f t="shared" si="52"/>
        <v>-1.2408723348868085E-2</v>
      </c>
      <c r="E700" s="3">
        <f t="shared" si="53"/>
        <v>7.6223659718447538E-3</v>
      </c>
      <c r="F700" s="18">
        <f t="shared" si="51"/>
        <v>3.5515807852520624</v>
      </c>
      <c r="G700" s="3">
        <f t="shared" si="54"/>
        <v>6.2697816499793129E-3</v>
      </c>
      <c r="H700" s="4">
        <f t="shared" si="50"/>
        <v>3.1135326907180412</v>
      </c>
    </row>
    <row r="701" spans="2:8" x14ac:dyDescent="0.15">
      <c r="B701" s="16">
        <v>41556</v>
      </c>
      <c r="C701" s="11">
        <v>1656.4</v>
      </c>
      <c r="D701" s="12">
        <f t="shared" si="52"/>
        <v>5.7369749599523064E-4</v>
      </c>
      <c r="E701" s="3">
        <f t="shared" si="53"/>
        <v>8.5356239382400351E-3</v>
      </c>
      <c r="F701" s="18">
        <f t="shared" si="51"/>
        <v>4.7612480864755966</v>
      </c>
      <c r="G701" s="3">
        <f t="shared" si="54"/>
        <v>6.9444820838247372E-3</v>
      </c>
      <c r="H701" s="4">
        <f t="shared" si="50"/>
        <v>4.9663955089368725</v>
      </c>
    </row>
    <row r="702" spans="2:8" x14ac:dyDescent="0.15">
      <c r="B702" s="16">
        <v>41557</v>
      </c>
      <c r="C702" s="11">
        <v>1692.56</v>
      </c>
      <c r="D702" s="12">
        <f t="shared" si="52"/>
        <v>2.1595603003649867E-2</v>
      </c>
      <c r="E702" s="3">
        <f t="shared" si="53"/>
        <v>8.0063815539535167E-3</v>
      </c>
      <c r="F702" s="18">
        <f t="shared" si="51"/>
        <v>1.1898060721243278</v>
      </c>
      <c r="G702" s="3">
        <f t="shared" si="54"/>
        <v>6.6709601220737618E-3</v>
      </c>
      <c r="H702" s="4">
        <f t="shared" si="50"/>
        <v>-0.22992042246583377</v>
      </c>
    </row>
    <row r="703" spans="2:8" x14ac:dyDescent="0.15">
      <c r="B703" s="16">
        <v>41558</v>
      </c>
      <c r="C703" s="11">
        <v>1703.2</v>
      </c>
      <c r="D703" s="12">
        <f t="shared" si="52"/>
        <v>6.2666589042077387E-3</v>
      </c>
      <c r="E703" s="3">
        <f t="shared" si="53"/>
        <v>1.0962244491459319E-2</v>
      </c>
      <c r="F703" s="18">
        <f t="shared" si="51"/>
        <v>4.3499015785463824</v>
      </c>
      <c r="G703" s="3">
        <f t="shared" si="54"/>
        <v>8.7922311682135709E-3</v>
      </c>
      <c r="H703" s="4">
        <f t="shared" si="50"/>
        <v>4.4798808009486866</v>
      </c>
    </row>
    <row r="704" spans="2:8" x14ac:dyDescent="0.15">
      <c r="B704" s="16">
        <v>41561</v>
      </c>
      <c r="C704" s="11">
        <v>1710.14</v>
      </c>
      <c r="D704" s="12">
        <f t="shared" si="52"/>
        <v>4.0664039111895159E-3</v>
      </c>
      <c r="E704" s="3">
        <f t="shared" si="53"/>
        <v>1.0400563910416395E-2</v>
      </c>
      <c r="F704" s="18">
        <f t="shared" si="51"/>
        <v>4.4894628939827239</v>
      </c>
      <c r="G704" s="3">
        <f t="shared" si="54"/>
        <v>8.6224239204491689E-3</v>
      </c>
      <c r="H704" s="4">
        <f t="shared" si="50"/>
        <v>4.6421819940773323</v>
      </c>
    </row>
    <row r="705" spans="2:8" x14ac:dyDescent="0.15">
      <c r="B705" s="16">
        <v>41562</v>
      </c>
      <c r="C705" s="11">
        <v>1698.06</v>
      </c>
      <c r="D705" s="12">
        <f t="shared" si="52"/>
        <v>-7.0888155544114413E-3</v>
      </c>
      <c r="E705" s="3">
        <f t="shared" si="53"/>
        <v>9.7596265149391282E-3</v>
      </c>
      <c r="F705" s="18">
        <f t="shared" si="51"/>
        <v>4.3657156209002386</v>
      </c>
      <c r="G705" s="3">
        <f t="shared" si="54"/>
        <v>8.3577053102373063E-3</v>
      </c>
      <c r="H705" s="4">
        <f t="shared" si="50"/>
        <v>4.4248690453981183</v>
      </c>
    </row>
    <row r="706" spans="2:8" x14ac:dyDescent="0.15">
      <c r="B706" s="16">
        <v>41563</v>
      </c>
      <c r="C706" s="11">
        <v>1721.54</v>
      </c>
      <c r="D706" s="12">
        <f t="shared" si="52"/>
        <v>1.3732816122981576E-2</v>
      </c>
      <c r="E706" s="3">
        <f t="shared" si="53"/>
        <v>9.4463557140445353E-3</v>
      </c>
      <c r="F706" s="18">
        <f t="shared" si="51"/>
        <v>3.6054045560621493</v>
      </c>
      <c r="G706" s="3">
        <f t="shared" si="54"/>
        <v>8.2660317191204022E-3</v>
      </c>
      <c r="H706" s="4">
        <f t="shared" si="50"/>
        <v>3.4155499053813858</v>
      </c>
    </row>
    <row r="707" spans="2:8" x14ac:dyDescent="0.15">
      <c r="B707" s="16">
        <v>41564</v>
      </c>
      <c r="C707" s="11">
        <v>1733.15</v>
      </c>
      <c r="D707" s="12">
        <f t="shared" si="52"/>
        <v>6.7213230176509332E-3</v>
      </c>
      <c r="E707" s="3">
        <f t="shared" si="53"/>
        <v>1.0152594715653504E-2</v>
      </c>
      <c r="F707" s="18">
        <f t="shared" si="51"/>
        <v>4.3708840605771835</v>
      </c>
      <c r="G707" s="3">
        <f t="shared" si="54"/>
        <v>8.8135186872716383E-3</v>
      </c>
      <c r="H707" s="4">
        <f t="shared" si="50"/>
        <v>4.4406775760200343</v>
      </c>
    </row>
    <row r="708" spans="2:8" x14ac:dyDescent="0.15">
      <c r="B708" s="16">
        <v>41565</v>
      </c>
      <c r="C708" s="11">
        <v>1744.5</v>
      </c>
      <c r="D708" s="12">
        <f t="shared" si="52"/>
        <v>6.5274195501484516E-3</v>
      </c>
      <c r="E708" s="3">
        <f t="shared" si="53"/>
        <v>9.7447023394263508E-3</v>
      </c>
      <c r="F708" s="18">
        <f t="shared" si="51"/>
        <v>4.4066867446626663</v>
      </c>
      <c r="G708" s="3">
        <f t="shared" si="54"/>
        <v>8.6689666233290778E-3</v>
      </c>
      <c r="H708" s="4">
        <f t="shared" si="50"/>
        <v>4.4645283129339184</v>
      </c>
    </row>
    <row r="709" spans="2:8" x14ac:dyDescent="0.15">
      <c r="B709" s="16">
        <v>41568</v>
      </c>
      <c r="C709" s="11">
        <v>1744.66</v>
      </c>
      <c r="D709" s="12">
        <f t="shared" si="52"/>
        <v>9.1712618574313345E-5</v>
      </c>
      <c r="E709" s="3">
        <f t="shared" si="53"/>
        <v>9.3785746111702886E-3</v>
      </c>
      <c r="F709" s="18">
        <f t="shared" si="51"/>
        <v>4.6692796740025617</v>
      </c>
      <c r="G709" s="3">
        <f t="shared" si="54"/>
        <v>8.5217720681712364E-3</v>
      </c>
      <c r="H709" s="4">
        <f t="shared" ref="H709:H758" si="55" xml:space="preserve"> - LN(G709) - 0.5 * ($D709/G709)^2</f>
        <v>4.7650730585723684</v>
      </c>
    </row>
    <row r="710" spans="2:8" x14ac:dyDescent="0.15">
      <c r="B710" s="16">
        <v>41569</v>
      </c>
      <c r="C710" s="11">
        <v>1754.67</v>
      </c>
      <c r="D710" s="12">
        <f t="shared" si="52"/>
        <v>5.7211107858845976E-3</v>
      </c>
      <c r="E710" s="3">
        <f t="shared" si="53"/>
        <v>8.7428407155776856E-3</v>
      </c>
      <c r="F710" s="18">
        <f t="shared" ref="F710:F757" si="56" xml:space="preserve"> - LN(E710) - 0.5 * (D710/E710)^2</f>
        <v>4.5254157198998683</v>
      </c>
      <c r="G710" s="3">
        <f t="shared" si="54"/>
        <v>8.1838113583796012E-3</v>
      </c>
      <c r="H710" s="4">
        <f t="shared" si="55"/>
        <v>4.5612432742682847</v>
      </c>
    </row>
    <row r="711" spans="2:8" x14ac:dyDescent="0.15">
      <c r="B711" s="16">
        <v>41570</v>
      </c>
      <c r="C711" s="11">
        <v>1746.38</v>
      </c>
      <c r="D711" s="12">
        <f t="shared" ref="D711:D758" si="57">LN(C711/C710)</f>
        <v>-4.7357309912257808E-3</v>
      </c>
      <c r="E711" s="3">
        <f t="shared" si="53"/>
        <v>8.4518816803135707E-3</v>
      </c>
      <c r="F711" s="18">
        <f t="shared" si="56"/>
        <v>4.6163887404389419</v>
      </c>
      <c r="G711" s="3">
        <f t="shared" si="54"/>
        <v>8.0194896235069504E-3</v>
      </c>
      <c r="H711" s="4">
        <f t="shared" si="55"/>
        <v>4.6515189980223806</v>
      </c>
    </row>
    <row r="712" spans="2:8" x14ac:dyDescent="0.15">
      <c r="B712" s="16">
        <v>41571</v>
      </c>
      <c r="C712" s="11">
        <v>1752.07</v>
      </c>
      <c r="D712" s="12">
        <f t="shared" si="57"/>
        <v>3.2528719960210105E-3</v>
      </c>
      <c r="E712" s="3">
        <f t="shared" ref="E712:E757" si="58">SQRT($L$18 + $L$19*E711^2 + $L$20*D711^2)</f>
        <v>8.1200294871696926E-3</v>
      </c>
      <c r="F712" s="18">
        <f t="shared" si="56"/>
        <v>4.7331818963557986</v>
      </c>
      <c r="G712" s="3">
        <f t="shared" ref="G712:G757" si="59">SQRT($V$18*G711^2 + (1-$V$18)*D711^2)</f>
        <v>7.8138028787773893E-3</v>
      </c>
      <c r="H712" s="4">
        <f t="shared" si="55"/>
        <v>4.7652114178114662</v>
      </c>
    </row>
    <row r="713" spans="2:8" x14ac:dyDescent="0.15">
      <c r="B713" s="16">
        <v>41572</v>
      </c>
      <c r="C713" s="11">
        <v>1759.77</v>
      </c>
      <c r="D713" s="12">
        <f t="shared" si="57"/>
        <v>4.3851726383198801E-3</v>
      </c>
      <c r="E713" s="3">
        <f t="shared" si="58"/>
        <v>7.7342886895280022E-3</v>
      </c>
      <c r="F713" s="18">
        <f t="shared" si="56"/>
        <v>4.7013596518708702</v>
      </c>
      <c r="G713" s="3">
        <f t="shared" si="59"/>
        <v>7.5585033863048356E-3</v>
      </c>
      <c r="H713" s="4">
        <f t="shared" si="55"/>
        <v>4.7167868568402431</v>
      </c>
    </row>
    <row r="714" spans="2:8" x14ac:dyDescent="0.15">
      <c r="B714" s="16">
        <v>41575</v>
      </c>
      <c r="C714" s="11">
        <v>1762.11</v>
      </c>
      <c r="D714" s="12">
        <f t="shared" si="57"/>
        <v>1.328835930998072E-3</v>
      </c>
      <c r="E714" s="3">
        <f t="shared" si="58"/>
        <v>7.4819568053990258E-3</v>
      </c>
      <c r="F714" s="18">
        <f t="shared" si="56"/>
        <v>4.8794890771588486</v>
      </c>
      <c r="G714" s="3">
        <f t="shared" si="59"/>
        <v>7.3609802836613995E-3</v>
      </c>
      <c r="H714" s="4">
        <f t="shared" si="55"/>
        <v>4.89526765005703</v>
      </c>
    </row>
    <row r="715" spans="2:8" x14ac:dyDescent="0.15">
      <c r="B715" s="16">
        <v>41576</v>
      </c>
      <c r="C715" s="11">
        <v>1771.95</v>
      </c>
      <c r="D715" s="12">
        <f t="shared" si="57"/>
        <v>5.568680457237637E-3</v>
      </c>
      <c r="E715" s="3">
        <f t="shared" si="58"/>
        <v>7.1036809966013399E-3</v>
      </c>
      <c r="F715" s="18">
        <f t="shared" si="56"/>
        <v>4.639880995455516</v>
      </c>
      <c r="G715" s="3">
        <f t="shared" si="59"/>
        <v>7.0787248373106945E-3</v>
      </c>
      <c r="H715" s="4">
        <f t="shared" si="55"/>
        <v>4.6412299840107343</v>
      </c>
    </row>
    <row r="716" spans="2:8" x14ac:dyDescent="0.15">
      <c r="B716" s="16">
        <v>41577</v>
      </c>
      <c r="C716" s="11">
        <v>1763.31</v>
      </c>
      <c r="D716" s="12">
        <f t="shared" si="57"/>
        <v>-4.8879104801314577E-3</v>
      </c>
      <c r="E716" s="3">
        <f t="shared" si="58"/>
        <v>7.0645711068696489E-3</v>
      </c>
      <c r="F716" s="18">
        <f t="shared" si="56"/>
        <v>4.7133066567053268</v>
      </c>
      <c r="G716" s="3">
        <f t="shared" si="59"/>
        <v>6.97304835362615E-3</v>
      </c>
      <c r="H716" s="4">
        <f t="shared" si="55"/>
        <v>4.7200220416235918</v>
      </c>
    </row>
    <row r="717" spans="2:8" x14ac:dyDescent="0.15">
      <c r="B717" s="16">
        <v>41578</v>
      </c>
      <c r="C717" s="11">
        <v>1756.54</v>
      </c>
      <c r="D717" s="12">
        <f t="shared" si="57"/>
        <v>-3.846759576849974E-3</v>
      </c>
      <c r="E717" s="3">
        <f t="shared" si="58"/>
        <v>6.9633251083130064E-3</v>
      </c>
      <c r="F717" s="18">
        <f t="shared" si="56"/>
        <v>4.8145079364230767</v>
      </c>
      <c r="G717" s="3">
        <f t="shared" si="59"/>
        <v>6.8337714003587147E-3</v>
      </c>
      <c r="H717" s="4">
        <f t="shared" si="55"/>
        <v>4.8274479284411393</v>
      </c>
    </row>
    <row r="718" spans="2:8" x14ac:dyDescent="0.15">
      <c r="B718" s="16">
        <v>41579</v>
      </c>
      <c r="C718" s="11">
        <v>1761.64</v>
      </c>
      <c r="D718" s="12">
        <f t="shared" si="57"/>
        <v>2.8992283353028092E-3</v>
      </c>
      <c r="E718" s="3">
        <f t="shared" si="58"/>
        <v>6.7889258881050438E-3</v>
      </c>
      <c r="F718" s="18">
        <f t="shared" si="56"/>
        <v>4.9012755859292074</v>
      </c>
      <c r="G718" s="3">
        <f t="shared" si="59"/>
        <v>6.6498030620495375E-3</v>
      </c>
      <c r="H718" s="4">
        <f t="shared" si="55"/>
        <v>4.9181256649327709</v>
      </c>
    </row>
    <row r="719" spans="2:8" x14ac:dyDescent="0.15">
      <c r="B719" s="16">
        <v>41582</v>
      </c>
      <c r="C719" s="11">
        <v>1767.93</v>
      </c>
      <c r="D719" s="12">
        <f t="shared" si="57"/>
        <v>3.5641773126337483E-3</v>
      </c>
      <c r="E719" s="3">
        <f t="shared" si="58"/>
        <v>6.5769317112774851E-3</v>
      </c>
      <c r="F719" s="18">
        <f t="shared" si="56"/>
        <v>4.8773477705705686</v>
      </c>
      <c r="G719" s="3">
        <f t="shared" si="59"/>
        <v>6.4370179096828566E-3</v>
      </c>
      <c r="H719" s="4">
        <f t="shared" si="55"/>
        <v>4.8923980159441509</v>
      </c>
    </row>
    <row r="720" spans="2:8" x14ac:dyDescent="0.15">
      <c r="B720" s="16">
        <v>41583</v>
      </c>
      <c r="C720" s="11">
        <v>1762.97</v>
      </c>
      <c r="D720" s="12">
        <f t="shared" si="57"/>
        <v>-2.8094838497391963E-3</v>
      </c>
      <c r="E720" s="3">
        <f t="shared" si="58"/>
        <v>6.4433355487168815E-3</v>
      </c>
      <c r="F720" s="18">
        <f t="shared" si="56"/>
        <v>4.9496481038929776</v>
      </c>
      <c r="G720" s="3">
        <f t="shared" si="59"/>
        <v>6.2610867072008776E-3</v>
      </c>
      <c r="H720" s="4">
        <f t="shared" si="55"/>
        <v>4.9727260477115127</v>
      </c>
    </row>
    <row r="721" spans="2:8" x14ac:dyDescent="0.15">
      <c r="B721" s="16">
        <v>41584</v>
      </c>
      <c r="C721" s="11">
        <v>1770.49</v>
      </c>
      <c r="D721" s="12">
        <f t="shared" si="57"/>
        <v>4.2564576101536706E-3</v>
      </c>
      <c r="E721" s="3">
        <f t="shared" si="58"/>
        <v>6.2799605235221755E-3</v>
      </c>
      <c r="F721" s="18">
        <f t="shared" si="56"/>
        <v>4.8406959178767286</v>
      </c>
      <c r="G721" s="3">
        <f t="shared" si="59"/>
        <v>6.0635722668704144E-3</v>
      </c>
      <c r="H721" s="4">
        <f t="shared" si="55"/>
        <v>4.8590738647001777</v>
      </c>
    </row>
    <row r="722" spans="2:8" x14ac:dyDescent="0.15">
      <c r="B722" s="16">
        <v>41585</v>
      </c>
      <c r="C722" s="11">
        <v>1747.15</v>
      </c>
      <c r="D722" s="12">
        <f t="shared" si="57"/>
        <v>-1.327045548901987E-2</v>
      </c>
      <c r="E722" s="3">
        <f t="shared" si="58"/>
        <v>6.2547142934531652E-3</v>
      </c>
      <c r="F722" s="18">
        <f t="shared" si="56"/>
        <v>2.8236726538616015</v>
      </c>
      <c r="G722" s="3">
        <f t="shared" si="59"/>
        <v>5.9427983207219551E-3</v>
      </c>
      <c r="H722" s="4">
        <f t="shared" si="55"/>
        <v>2.6323604537867786</v>
      </c>
    </row>
    <row r="723" spans="2:8" x14ac:dyDescent="0.15">
      <c r="B723" s="16">
        <v>41586</v>
      </c>
      <c r="C723" s="11">
        <v>1770.61</v>
      </c>
      <c r="D723" s="12">
        <f t="shared" si="57"/>
        <v>1.333823103901602E-2</v>
      </c>
      <c r="E723" s="3">
        <f t="shared" si="58"/>
        <v>7.7654444905449907E-3</v>
      </c>
      <c r="F723" s="18">
        <f t="shared" si="56"/>
        <v>3.3829295526261705</v>
      </c>
      <c r="G723" s="3">
        <f t="shared" si="59"/>
        <v>6.8017337288881112E-3</v>
      </c>
      <c r="H723" s="4">
        <f t="shared" si="55"/>
        <v>3.067808244880875</v>
      </c>
    </row>
    <row r="724" spans="2:8" x14ac:dyDescent="0.15">
      <c r="B724" s="16">
        <v>41589</v>
      </c>
      <c r="C724" s="11">
        <v>1771.89</v>
      </c>
      <c r="D724" s="12">
        <f t="shared" si="57"/>
        <v>7.2265352474504111E-4</v>
      </c>
      <c r="E724" s="3">
        <f t="shared" si="58"/>
        <v>8.8266305563137817E-3</v>
      </c>
      <c r="F724" s="18">
        <f t="shared" si="56"/>
        <v>4.7266304189018786</v>
      </c>
      <c r="G724" s="3">
        <f t="shared" si="59"/>
        <v>7.5166075940466216E-3</v>
      </c>
      <c r="H724" s="4">
        <f t="shared" si="55"/>
        <v>4.8860188229391488</v>
      </c>
    </row>
    <row r="725" spans="2:8" x14ac:dyDescent="0.15">
      <c r="B725" s="16">
        <v>41590</v>
      </c>
      <c r="C725" s="11">
        <v>1767.69</v>
      </c>
      <c r="D725" s="12">
        <f t="shared" si="57"/>
        <v>-2.3731640314203425E-3</v>
      </c>
      <c r="E725" s="3">
        <f t="shared" si="58"/>
        <v>8.2625714432135663E-3</v>
      </c>
      <c r="F725" s="18">
        <f t="shared" si="56"/>
        <v>4.7547721710070103</v>
      </c>
      <c r="G725" s="3">
        <f t="shared" si="59"/>
        <v>7.2212869780669386E-3</v>
      </c>
      <c r="H725" s="4">
        <f t="shared" si="55"/>
        <v>4.8767217730382351</v>
      </c>
    </row>
    <row r="726" spans="2:8" x14ac:dyDescent="0.15">
      <c r="B726" s="16">
        <v>41591</v>
      </c>
      <c r="C726" s="11">
        <v>1782</v>
      </c>
      <c r="D726" s="12">
        <f t="shared" si="57"/>
        <v>8.0627195734255634E-3</v>
      </c>
      <c r="E726" s="3">
        <f t="shared" si="58"/>
        <v>7.8142063336463872E-3</v>
      </c>
      <c r="F726" s="18">
        <f t="shared" si="56"/>
        <v>4.3195034210198546</v>
      </c>
      <c r="G726" s="3">
        <f t="shared" si="59"/>
        <v>6.9663684154249441E-3</v>
      </c>
      <c r="H726" s="4">
        <f t="shared" si="55"/>
        <v>4.2968996307087028</v>
      </c>
    </row>
    <row r="727" spans="2:8" x14ac:dyDescent="0.15">
      <c r="B727" s="16">
        <v>41592</v>
      </c>
      <c r="C727" s="11">
        <v>1790.62</v>
      </c>
      <c r="D727" s="12">
        <f t="shared" si="57"/>
        <v>4.8255995473341796E-3</v>
      </c>
      <c r="E727" s="3">
        <f t="shared" si="58"/>
        <v>7.9505128475184511E-3</v>
      </c>
      <c r="F727" s="18">
        <f t="shared" si="56"/>
        <v>4.6503219609514224</v>
      </c>
      <c r="G727" s="3">
        <f t="shared" si="59"/>
        <v>7.057722072816801E-3</v>
      </c>
      <c r="H727" s="4">
        <f t="shared" si="55"/>
        <v>4.7198873247763204</v>
      </c>
    </row>
    <row r="728" spans="2:8" x14ac:dyDescent="0.15">
      <c r="B728" s="16">
        <v>41593</v>
      </c>
      <c r="C728" s="11">
        <v>1798.18</v>
      </c>
      <c r="D728" s="12">
        <f t="shared" si="57"/>
        <v>4.2131136773868576E-3</v>
      </c>
      <c r="E728" s="3">
        <f t="shared" si="58"/>
        <v>7.7013164032736451E-3</v>
      </c>
      <c r="F728" s="18">
        <f t="shared" si="56"/>
        <v>4.7167244420385277</v>
      </c>
      <c r="G728" s="3">
        <f t="shared" si="59"/>
        <v>6.910067625682509E-3</v>
      </c>
      <c r="H728" s="4">
        <f t="shared" si="55"/>
        <v>4.7889047997248317</v>
      </c>
    </row>
    <row r="729" spans="2:8" x14ac:dyDescent="0.15">
      <c r="B729" s="16">
        <v>41596</v>
      </c>
      <c r="C729" s="11">
        <v>1791.53</v>
      </c>
      <c r="D729" s="12">
        <f t="shared" si="57"/>
        <v>-3.7050389068854113E-3</v>
      </c>
      <c r="E729" s="3">
        <f t="shared" si="58"/>
        <v>7.4405449134434427E-3</v>
      </c>
      <c r="F729" s="18">
        <f t="shared" si="56"/>
        <v>4.7768327809964317</v>
      </c>
      <c r="G729" s="3">
        <f t="shared" si="59"/>
        <v>6.7391793799323864E-3</v>
      </c>
      <c r="H729" s="4">
        <f t="shared" si="55"/>
        <v>4.8486903044511944</v>
      </c>
    </row>
    <row r="730" spans="2:8" x14ac:dyDescent="0.15">
      <c r="B730" s="16">
        <v>41597</v>
      </c>
      <c r="C730" s="11">
        <v>1787.87</v>
      </c>
      <c r="D730" s="12">
        <f t="shared" si="57"/>
        <v>-2.0450361935312332E-3</v>
      </c>
      <c r="E730" s="3">
        <f t="shared" si="58"/>
        <v>7.1818506263836204E-3</v>
      </c>
      <c r="F730" s="18">
        <f t="shared" si="56"/>
        <v>4.8956567328548504</v>
      </c>
      <c r="G730" s="3">
        <f t="shared" si="59"/>
        <v>6.5538232856110412E-3</v>
      </c>
      <c r="H730" s="4">
        <f t="shared" si="55"/>
        <v>4.9790231073658546</v>
      </c>
    </row>
    <row r="731" spans="2:8" x14ac:dyDescent="0.15">
      <c r="B731" s="16">
        <v>41598</v>
      </c>
      <c r="C731" s="11">
        <v>1781.37</v>
      </c>
      <c r="D731" s="12">
        <f t="shared" si="57"/>
        <v>-3.642235986195912E-3</v>
      </c>
      <c r="E731" s="3">
        <f t="shared" si="58"/>
        <v>6.8689734175960996E-3</v>
      </c>
      <c r="F731" s="18">
        <f t="shared" si="56"/>
        <v>4.8401609516210664</v>
      </c>
      <c r="G731" s="3">
        <f t="shared" si="59"/>
        <v>6.3196577807117611E-3</v>
      </c>
      <c r="H731" s="4">
        <f t="shared" si="55"/>
        <v>4.8980095678406883</v>
      </c>
    </row>
    <row r="732" spans="2:8" x14ac:dyDescent="0.15">
      <c r="B732" s="16">
        <v>41599</v>
      </c>
      <c r="C732" s="11">
        <v>1795.85</v>
      </c>
      <c r="D732" s="12">
        <f t="shared" si="57"/>
        <v>8.0957162744240488E-3</v>
      </c>
      <c r="E732" s="3">
        <f t="shared" si="58"/>
        <v>6.6941629915539562E-3</v>
      </c>
      <c r="F732" s="18">
        <f t="shared" si="56"/>
        <v>4.2752320836098976</v>
      </c>
      <c r="G732" s="3">
        <f t="shared" si="59"/>
        <v>6.1533914153950918E-3</v>
      </c>
      <c r="H732" s="4">
        <f t="shared" si="55"/>
        <v>4.225282971783848</v>
      </c>
    </row>
    <row r="733" spans="2:8" x14ac:dyDescent="0.15">
      <c r="B733" s="16">
        <v>41600</v>
      </c>
      <c r="C733" s="11">
        <v>1804.76</v>
      </c>
      <c r="D733" s="12">
        <f t="shared" si="57"/>
        <v>4.9491714942796741E-3</v>
      </c>
      <c r="E733" s="3">
        <f t="shared" si="58"/>
        <v>7.0684025963109179E-3</v>
      </c>
      <c r="F733" s="18">
        <f t="shared" si="56"/>
        <v>4.7069930294373021</v>
      </c>
      <c r="G733" s="3">
        <f t="shared" si="59"/>
        <v>6.3258323245391837E-3</v>
      </c>
      <c r="H733" s="4">
        <f t="shared" si="55"/>
        <v>4.7570585341558242</v>
      </c>
    </row>
    <row r="734" spans="2:8" x14ac:dyDescent="0.15">
      <c r="B734" s="16">
        <v>41603</v>
      </c>
      <c r="C734" s="11">
        <v>1802.48</v>
      </c>
      <c r="D734" s="12">
        <f t="shared" si="57"/>
        <v>-1.2641245404365169E-3</v>
      </c>
      <c r="E734" s="3">
        <f t="shared" si="58"/>
        <v>6.972378848411653E-3</v>
      </c>
      <c r="F734" s="18">
        <f t="shared" si="56"/>
        <v>4.9493631305143886</v>
      </c>
      <c r="G734" s="3">
        <f t="shared" si="59"/>
        <v>6.2297094981720808E-3</v>
      </c>
      <c r="H734" s="4">
        <f t="shared" si="55"/>
        <v>5.057837577772986</v>
      </c>
    </row>
    <row r="735" spans="2:8" x14ac:dyDescent="0.15">
      <c r="B735" s="16">
        <v>41604</v>
      </c>
      <c r="C735" s="11">
        <v>1802.75</v>
      </c>
      <c r="D735" s="12">
        <f t="shared" si="57"/>
        <v>1.4978239973848013E-4</v>
      </c>
      <c r="E735" s="3">
        <f t="shared" si="58"/>
        <v>6.6634573692076135E-3</v>
      </c>
      <c r="F735" s="18">
        <f t="shared" si="56"/>
        <v>5.0108641703158536</v>
      </c>
      <c r="G735" s="3">
        <f t="shared" si="59"/>
        <v>5.9929946359178442E-3</v>
      </c>
      <c r="H735" s="4">
        <f t="shared" si="55"/>
        <v>5.1168517296884746</v>
      </c>
    </row>
    <row r="736" spans="2:8" x14ac:dyDescent="0.15">
      <c r="B736" s="16">
        <v>41605</v>
      </c>
      <c r="C736" s="11">
        <v>1807.23</v>
      </c>
      <c r="D736" s="12">
        <f t="shared" si="57"/>
        <v>2.4820094847459511E-3</v>
      </c>
      <c r="E736" s="3">
        <f t="shared" si="58"/>
        <v>6.3823814510293089E-3</v>
      </c>
      <c r="F736" s="18">
        <f t="shared" si="56"/>
        <v>4.9785983897479227</v>
      </c>
      <c r="G736" s="3">
        <f t="shared" si="59"/>
        <v>5.755444892870794E-3</v>
      </c>
      <c r="H736" s="4">
        <f t="shared" si="55"/>
        <v>5.0646226106290211</v>
      </c>
    </row>
    <row r="737" spans="2:8" x14ac:dyDescent="0.15">
      <c r="B737" s="16">
        <v>41607</v>
      </c>
      <c r="C737" s="11">
        <v>1805.81</v>
      </c>
      <c r="D737" s="12">
        <f t="shared" si="57"/>
        <v>-7.8604171175170024E-4</v>
      </c>
      <c r="E737" s="3">
        <f t="shared" si="58"/>
        <v>6.2098223877948798E-3</v>
      </c>
      <c r="F737" s="18">
        <f t="shared" si="56"/>
        <v>5.0736116874479471</v>
      </c>
      <c r="G737" s="3">
        <f t="shared" si="59"/>
        <v>5.5703274648550207E-3</v>
      </c>
      <c r="H737" s="4">
        <f t="shared" si="55"/>
        <v>5.1803450955646655</v>
      </c>
    </row>
    <row r="738" spans="2:8" x14ac:dyDescent="0.15">
      <c r="B738" s="16">
        <v>41610</v>
      </c>
      <c r="C738" s="11">
        <v>1800.9</v>
      </c>
      <c r="D738" s="12">
        <f t="shared" si="57"/>
        <v>-2.7227046439559808E-3</v>
      </c>
      <c r="E738" s="3">
        <f t="shared" si="58"/>
        <v>6.002377294935966E-3</v>
      </c>
      <c r="F738" s="18">
        <f t="shared" si="56"/>
        <v>5.0127212046773852</v>
      </c>
      <c r="G738" s="3">
        <f t="shared" si="59"/>
        <v>5.3538789225489403E-3</v>
      </c>
      <c r="H738" s="4">
        <f t="shared" si="55"/>
        <v>5.1006233929450655</v>
      </c>
    </row>
    <row r="739" spans="2:8" x14ac:dyDescent="0.15">
      <c r="B739" s="16">
        <v>41611</v>
      </c>
      <c r="C739" s="11">
        <v>1795.15</v>
      </c>
      <c r="D739" s="12">
        <f t="shared" si="57"/>
        <v>-3.1979560353162999E-3</v>
      </c>
      <c r="E739" s="3">
        <f t="shared" si="58"/>
        <v>5.905422577845508E-3</v>
      </c>
      <c r="F739" s="18">
        <f t="shared" si="56"/>
        <v>4.9852575821930429</v>
      </c>
      <c r="G739" s="3">
        <f t="shared" si="59"/>
        <v>5.1972775441375867E-3</v>
      </c>
      <c r="H739" s="4">
        <f t="shared" si="55"/>
        <v>5.0703148697654186</v>
      </c>
    </row>
    <row r="740" spans="2:8" x14ac:dyDescent="0.15">
      <c r="B740" s="16">
        <v>41612</v>
      </c>
      <c r="C740" s="11">
        <v>1792.81</v>
      </c>
      <c r="D740" s="12">
        <f t="shared" si="57"/>
        <v>-1.3043625524062031E-3</v>
      </c>
      <c r="E740" s="3">
        <f t="shared" si="58"/>
        <v>5.8574287395770433E-3</v>
      </c>
      <c r="F740" s="18">
        <f t="shared" si="56"/>
        <v>5.115250209423281</v>
      </c>
      <c r="G740" s="3">
        <f t="shared" si="59"/>
        <v>5.0701700179306523E-3</v>
      </c>
      <c r="H740" s="4">
        <f t="shared" si="55"/>
        <v>5.251289035497666</v>
      </c>
    </row>
    <row r="741" spans="2:8" x14ac:dyDescent="0.15">
      <c r="B741" s="16">
        <v>41613</v>
      </c>
      <c r="C741" s="11">
        <v>1785.03</v>
      </c>
      <c r="D741" s="12">
        <f t="shared" si="57"/>
        <v>-4.3489995429874546E-3</v>
      </c>
      <c r="E741" s="3">
        <f t="shared" si="58"/>
        <v>5.7174918189379165E-3</v>
      </c>
      <c r="F741" s="18">
        <f t="shared" si="56"/>
        <v>4.8749322631211731</v>
      </c>
      <c r="G741" s="3">
        <f t="shared" si="59"/>
        <v>4.8826363537612947E-3</v>
      </c>
      <c r="H741" s="4">
        <f t="shared" si="55"/>
        <v>4.9253902762570343</v>
      </c>
    </row>
    <row r="742" spans="2:8" x14ac:dyDescent="0.15">
      <c r="B742" s="16">
        <v>41614</v>
      </c>
      <c r="C742" s="11">
        <v>1805.09</v>
      </c>
      <c r="D742" s="12">
        <f t="shared" si="57"/>
        <v>1.1175230224585924E-2</v>
      </c>
      <c r="E742" s="3">
        <f t="shared" si="58"/>
        <v>5.804980203797246E-3</v>
      </c>
      <c r="F742" s="18">
        <f t="shared" si="56"/>
        <v>3.2960132313142818</v>
      </c>
      <c r="G742" s="3">
        <f t="shared" si="59"/>
        <v>4.8432529304356098E-3</v>
      </c>
      <c r="H742" s="4">
        <f t="shared" si="55"/>
        <v>2.668164944263105</v>
      </c>
    </row>
    <row r="743" spans="2:8" x14ac:dyDescent="0.15">
      <c r="B743" s="16">
        <v>41617</v>
      </c>
      <c r="C743" s="11">
        <v>1808.37</v>
      </c>
      <c r="D743" s="12">
        <f t="shared" si="57"/>
        <v>1.8154350128978636E-3</v>
      </c>
      <c r="E743" s="3">
        <f t="shared" si="58"/>
        <v>6.9932352714001155E-3</v>
      </c>
      <c r="F743" s="18">
        <f t="shared" si="56"/>
        <v>4.9291162360110201</v>
      </c>
      <c r="G743" s="3">
        <f t="shared" si="59"/>
        <v>5.5985269435196048E-3</v>
      </c>
      <c r="H743" s="4">
        <f t="shared" si="55"/>
        <v>5.1326762057542616</v>
      </c>
    </row>
    <row r="744" spans="2:8" x14ac:dyDescent="0.15">
      <c r="B744" s="16">
        <v>41618</v>
      </c>
      <c r="C744" s="11">
        <v>1802.62</v>
      </c>
      <c r="D744" s="12">
        <f t="shared" si="57"/>
        <v>-3.1847248870443094E-3</v>
      </c>
      <c r="E744" s="3">
        <f t="shared" si="58"/>
        <v>6.698569530201556E-3</v>
      </c>
      <c r="F744" s="18">
        <f t="shared" si="56"/>
        <v>4.8928427342353249</v>
      </c>
      <c r="G744" s="3">
        <f t="shared" si="59"/>
        <v>5.4002504761673613E-3</v>
      </c>
      <c r="H744" s="4">
        <f t="shared" si="55"/>
        <v>5.0474153644217044</v>
      </c>
    </row>
    <row r="745" spans="2:8" x14ac:dyDescent="0.15">
      <c r="B745" s="16">
        <v>41619</v>
      </c>
      <c r="C745" s="11">
        <v>1782.22</v>
      </c>
      <c r="D745" s="12">
        <f t="shared" si="57"/>
        <v>-1.1381383944921048E-2</v>
      </c>
      <c r="E745" s="3">
        <f t="shared" si="58"/>
        <v>6.5186464888374145E-3</v>
      </c>
      <c r="F745" s="18">
        <f t="shared" si="56"/>
        <v>3.5088768085294788</v>
      </c>
      <c r="G745" s="3">
        <f t="shared" si="59"/>
        <v>5.2615416971881117E-3</v>
      </c>
      <c r="H745" s="4">
        <f t="shared" si="55"/>
        <v>2.9077715610009913</v>
      </c>
    </row>
    <row r="746" spans="2:8" x14ac:dyDescent="0.15">
      <c r="B746" s="16">
        <v>41620</v>
      </c>
      <c r="C746" s="11">
        <v>1775.5</v>
      </c>
      <c r="D746" s="12">
        <f t="shared" si="57"/>
        <v>-3.777704817573199E-3</v>
      </c>
      <c r="E746" s="3">
        <f t="shared" si="58"/>
        <v>7.5329894692218388E-3</v>
      </c>
      <c r="F746" s="18">
        <f t="shared" si="56"/>
        <v>4.7627181348054233</v>
      </c>
      <c r="G746" s="3">
        <f t="shared" si="59"/>
        <v>5.9668372979608166E-3</v>
      </c>
      <c r="H746" s="4">
        <f t="shared" si="55"/>
        <v>4.921119829155316</v>
      </c>
    </row>
    <row r="747" spans="2:8" x14ac:dyDescent="0.15">
      <c r="B747" s="16">
        <v>41621</v>
      </c>
      <c r="C747" s="11">
        <v>1775.32</v>
      </c>
      <c r="D747" s="12">
        <f t="shared" si="57"/>
        <v>-1.0138503227667498E-4</v>
      </c>
      <c r="E747" s="3">
        <f t="shared" si="58"/>
        <v>7.2654981229555498E-3</v>
      </c>
      <c r="F747" s="18">
        <f t="shared" si="56"/>
        <v>4.9245210581333083</v>
      </c>
      <c r="G747" s="3">
        <f t="shared" si="59"/>
        <v>5.8261915986463977E-3</v>
      </c>
      <c r="H747" s="4">
        <f t="shared" si="55"/>
        <v>5.1452403263887252</v>
      </c>
    </row>
    <row r="748" spans="2:8" x14ac:dyDescent="0.15">
      <c r="B748" s="16">
        <v>41624</v>
      </c>
      <c r="C748" s="11">
        <v>1786.54</v>
      </c>
      <c r="D748" s="12">
        <f t="shared" si="57"/>
        <v>6.3001000102775595E-3</v>
      </c>
      <c r="E748" s="3">
        <f t="shared" si="58"/>
        <v>6.8998025934856773E-3</v>
      </c>
      <c r="F748" s="18">
        <f t="shared" si="56"/>
        <v>4.5594011946903414</v>
      </c>
      <c r="G748" s="3">
        <f t="shared" si="59"/>
        <v>5.5951776737374623E-3</v>
      </c>
      <c r="H748" s="4">
        <f t="shared" si="55"/>
        <v>4.5519262791012487</v>
      </c>
    </row>
    <row r="749" spans="2:8" x14ac:dyDescent="0.15">
      <c r="B749" s="16">
        <v>41625</v>
      </c>
      <c r="C749" s="11">
        <v>1781</v>
      </c>
      <c r="D749" s="12">
        <f t="shared" si="57"/>
        <v>-3.1057840714818681E-3</v>
      </c>
      <c r="E749" s="3">
        <f t="shared" si="58"/>
        <v>6.98182635358475E-3</v>
      </c>
      <c r="F749" s="18">
        <f t="shared" si="56"/>
        <v>4.8655041651569295</v>
      </c>
      <c r="G749" s="3">
        <f t="shared" si="59"/>
        <v>5.6531401081224572E-3</v>
      </c>
      <c r="H749" s="4">
        <f t="shared" si="55"/>
        <v>5.0246289033482325</v>
      </c>
    </row>
    <row r="750" spans="2:8" x14ac:dyDescent="0.15">
      <c r="B750" s="16">
        <v>41626</v>
      </c>
      <c r="C750" s="11">
        <v>1810.65</v>
      </c>
      <c r="D750" s="12">
        <f t="shared" si="57"/>
        <v>1.6510892525584176E-2</v>
      </c>
      <c r="E750" s="3">
        <f t="shared" si="58"/>
        <v>6.752917101199526E-3</v>
      </c>
      <c r="F750" s="18">
        <f t="shared" si="56"/>
        <v>2.0087645064791735</v>
      </c>
      <c r="G750" s="3">
        <f t="shared" si="59"/>
        <v>5.4975590738411372E-3</v>
      </c>
      <c r="H750" s="4">
        <f t="shared" si="55"/>
        <v>0.6935055690561196</v>
      </c>
    </row>
    <row r="751" spans="2:8" x14ac:dyDescent="0.15">
      <c r="B751" s="16">
        <v>41627</v>
      </c>
      <c r="C751" s="11">
        <v>1809.6</v>
      </c>
      <c r="D751" s="12">
        <f t="shared" si="57"/>
        <v>-5.8007045338986994E-4</v>
      </c>
      <c r="E751" s="3">
        <f t="shared" si="58"/>
        <v>8.8719084111023513E-3</v>
      </c>
      <c r="F751" s="18">
        <f t="shared" si="56"/>
        <v>4.7227278953151561</v>
      </c>
      <c r="G751" s="3">
        <f t="shared" si="59"/>
        <v>7.0049609658023159E-3</v>
      </c>
      <c r="H751" s="4">
        <f t="shared" si="55"/>
        <v>4.9577080460128293</v>
      </c>
    </row>
    <row r="752" spans="2:8" x14ac:dyDescent="0.15">
      <c r="B752" s="16">
        <v>41628</v>
      </c>
      <c r="C752" s="11">
        <v>1818.32</v>
      </c>
      <c r="D752" s="12">
        <f t="shared" si="57"/>
        <v>4.8071714880478693E-3</v>
      </c>
      <c r="E752" s="3">
        <f t="shared" si="58"/>
        <v>8.3007093574951358E-3</v>
      </c>
      <c r="F752" s="18">
        <f t="shared" si="56"/>
        <v>4.6237198029344277</v>
      </c>
      <c r="G752" s="3">
        <f t="shared" si="59"/>
        <v>6.7290661418001217E-3</v>
      </c>
      <c r="H752" s="4">
        <f t="shared" si="55"/>
        <v>4.7461430141464973</v>
      </c>
    </row>
    <row r="753" spans="2:8" x14ac:dyDescent="0.15">
      <c r="B753" s="16">
        <v>41631</v>
      </c>
      <c r="C753" s="11">
        <v>1827.99</v>
      </c>
      <c r="D753" s="12">
        <f t="shared" si="57"/>
        <v>5.3040046897099881E-3</v>
      </c>
      <c r="E753" s="3">
        <f t="shared" si="58"/>
        <v>7.9969616451147519E-3</v>
      </c>
      <c r="F753" s="18">
        <f t="shared" si="56"/>
        <v>4.6087416738646949</v>
      </c>
      <c r="G753" s="3">
        <f t="shared" si="59"/>
        <v>6.5997296142583754E-3</v>
      </c>
      <c r="H753" s="4">
        <f t="shared" si="55"/>
        <v>4.6977838650179189</v>
      </c>
    </row>
    <row r="754" spans="2:8" x14ac:dyDescent="0.15">
      <c r="B754" s="16">
        <v>41632</v>
      </c>
      <c r="C754" s="11">
        <v>1833.32</v>
      </c>
      <c r="D754" s="12">
        <f t="shared" si="57"/>
        <v>2.9115282591196121E-3</v>
      </c>
      <c r="E754" s="3">
        <f t="shared" si="58"/>
        <v>7.7830027158284276E-3</v>
      </c>
      <c r="F754" s="18">
        <f t="shared" si="56"/>
        <v>4.7858421298876213</v>
      </c>
      <c r="G754" s="3">
        <f t="shared" si="59"/>
        <v>6.5082384825318178E-3</v>
      </c>
      <c r="H754" s="4">
        <f t="shared" si="55"/>
        <v>4.9346207759652589</v>
      </c>
    </row>
    <row r="755" spans="2:8" x14ac:dyDescent="0.15">
      <c r="B755" s="16">
        <v>41634</v>
      </c>
      <c r="C755" s="11">
        <v>1842.02</v>
      </c>
      <c r="D755" s="12">
        <f t="shared" si="57"/>
        <v>4.7342647208743665E-3</v>
      </c>
      <c r="E755" s="3">
        <f t="shared" si="58"/>
        <v>7.4256377694544434E-3</v>
      </c>
      <c r="F755" s="18">
        <f t="shared" si="56"/>
        <v>4.699577463803533</v>
      </c>
      <c r="G755" s="3">
        <f t="shared" si="59"/>
        <v>6.3026086667952201E-3</v>
      </c>
      <c r="H755" s="4">
        <f t="shared" si="55"/>
        <v>4.7846713187345493</v>
      </c>
    </row>
    <row r="756" spans="2:8" x14ac:dyDescent="0.15">
      <c r="B756" s="16">
        <v>41635</v>
      </c>
      <c r="C756" s="11">
        <v>1841.4</v>
      </c>
      <c r="D756" s="12">
        <f t="shared" si="57"/>
        <v>-3.3664366586225631E-4</v>
      </c>
      <c r="E756" s="3">
        <f t="shared" si="58"/>
        <v>7.2509353097499592E-3</v>
      </c>
      <c r="F756" s="18">
        <f t="shared" si="56"/>
        <v>4.9255470482670036</v>
      </c>
      <c r="G756" s="3">
        <f t="shared" si="59"/>
        <v>6.1949171065641354E-3</v>
      </c>
      <c r="H756" s="4">
        <f t="shared" si="55"/>
        <v>5.0825496227658915</v>
      </c>
    </row>
    <row r="757" spans="2:8" x14ac:dyDescent="0.15">
      <c r="B757" s="16">
        <v>41638</v>
      </c>
      <c r="C757" s="11">
        <v>1841.07</v>
      </c>
      <c r="D757" s="12">
        <f t="shared" si="57"/>
        <v>-1.7922752982837381E-4</v>
      </c>
      <c r="E757" s="3">
        <f t="shared" si="58"/>
        <v>6.8882485745575131E-3</v>
      </c>
      <c r="F757" s="18">
        <f t="shared" si="56"/>
        <v>4.977599921994357</v>
      </c>
      <c r="G757" s="3">
        <f t="shared" si="59"/>
        <v>5.9499474616659595E-3</v>
      </c>
      <c r="H757" s="4">
        <f t="shared" si="55"/>
        <v>5.1239192057306191</v>
      </c>
    </row>
    <row r="758" spans="2:8" x14ac:dyDescent="0.15">
      <c r="B758" s="16">
        <v>41639</v>
      </c>
      <c r="C758" s="11">
        <v>1848.36</v>
      </c>
      <c r="D758" s="12">
        <f t="shared" si="57"/>
        <v>3.9518351004493735E-3</v>
      </c>
      <c r="E758" s="3">
        <f>SQRT($L$18 + $L$19*E757^2 + $L$20*D757^2)</f>
        <v>6.5752011242199513E-3</v>
      </c>
      <c r="F758" s="18">
        <f xml:space="preserve"> - LN(E758) - 0.5 * (D758/E758)^2</f>
        <v>4.8438368862173062</v>
      </c>
      <c r="G758" s="3">
        <f>SQRT($V$18*G757^2 + (1-$V$18)*D757^2)</f>
        <v>5.7141721145697556E-3</v>
      </c>
      <c r="H758" s="4">
        <f t="shared" si="55"/>
        <v>4.9256610231674633</v>
      </c>
    </row>
  </sheetData>
  <mergeCells count="20">
    <mergeCell ref="T25:V25"/>
    <mergeCell ref="J20:K20"/>
    <mergeCell ref="J25:L25"/>
    <mergeCell ref="J21:K21"/>
    <mergeCell ref="J22:K22"/>
    <mergeCell ref="J23:K23"/>
    <mergeCell ref="N17:P17"/>
    <mergeCell ref="X16:Z16"/>
    <mergeCell ref="T18:U18"/>
    <mergeCell ref="T16:V16"/>
    <mergeCell ref="T17:V17"/>
    <mergeCell ref="X17:Z17"/>
    <mergeCell ref="N16:P16"/>
    <mergeCell ref="B3:D3"/>
    <mergeCell ref="G3:H3"/>
    <mergeCell ref="J18:K18"/>
    <mergeCell ref="E3:F3"/>
    <mergeCell ref="J16:L16"/>
    <mergeCell ref="J19:K19"/>
    <mergeCell ref="J17:L17"/>
  </mergeCells>
  <phoneticPr fontId="2"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74439" r:id="rId4" name="Button 7">
              <controlPr defaultSize="0" print="0" autoFill="0" autoPict="0" macro="[0]!CalibrateGARCH">
                <anchor moveWithCells="1" sizeWithCells="1">
                  <from>
                    <xdr:col>9</xdr:col>
                    <xdr:colOff>19050</xdr:colOff>
                    <xdr:row>27</xdr:row>
                    <xdr:rowOff>0</xdr:rowOff>
                  </from>
                  <to>
                    <xdr:col>11</xdr:col>
                    <xdr:colOff>533400</xdr:colOff>
                    <xdr:row>28</xdr:row>
                    <xdr:rowOff>123825</xdr:rowOff>
                  </to>
                </anchor>
              </controlPr>
            </control>
          </mc:Choice>
        </mc:AlternateContent>
        <mc:AlternateContent xmlns:mc="http://schemas.openxmlformats.org/markup-compatibility/2006">
          <mc:Choice Requires="x14">
            <control shapeId="274441" r:id="rId5" name="Button 9">
              <controlPr defaultSize="0" print="0" autoFill="0" autoPict="0" macro="[0]!CalibrateEWMA">
                <anchor moveWithCells="1" sizeWithCells="1">
                  <from>
                    <xdr:col>19</xdr:col>
                    <xdr:colOff>9525</xdr:colOff>
                    <xdr:row>27</xdr:row>
                    <xdr:rowOff>9525</xdr:rowOff>
                  </from>
                  <to>
                    <xdr:col>22</xdr:col>
                    <xdr:colOff>114300</xdr:colOff>
                    <xdr:row>29</xdr:row>
                    <xdr:rowOff>9525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8</vt:i4>
      </vt:variant>
    </vt:vector>
  </HeadingPairs>
  <TitlesOfParts>
    <vt:vector size="10" baseType="lpstr">
      <vt:lpstr>COPYING</vt:lpstr>
      <vt:lpstr>Volatility</vt:lpstr>
      <vt:lpstr>Volatility!EWMA_Lambda</vt:lpstr>
      <vt:lpstr>Volatility!EWMA_Objective</vt:lpstr>
      <vt:lpstr>Volatility!GARCH_Alpha</vt:lpstr>
      <vt:lpstr>Volatility!GARCH_Beta</vt:lpstr>
      <vt:lpstr>Volatility!GARCH_Lambda</vt:lpstr>
      <vt:lpstr>Volatility!GARCH_Objective</vt:lpstr>
      <vt:lpstr>Volatility!GARCH_Parameters</vt:lpstr>
      <vt:lpstr>Volatility!GARCH_ParamSum</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Brian Fagan</dc:creator>
  <cp:lastModifiedBy>Brian Fagan</cp:lastModifiedBy>
  <dcterms:created xsi:type="dcterms:W3CDTF">2009-10-19T10:13:09Z</dcterms:created>
  <dcterms:modified xsi:type="dcterms:W3CDTF">2018-03-07T16:04:36Z</dcterms:modified>
</cp:coreProperties>
</file>